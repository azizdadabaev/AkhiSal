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CRM Clients" sheetId="2" state="visible" r:id="rId2"/>
    <sheet name="Client Matcher" sheetId="3" state="visible" r:id="rId3"/>
    <sheet name="Phone Cleaner" sheetId="4" state="visible" r:id="rId4"/>
    <sheet name="Receivables" sheetId="5" state="visible" r:id="rId5"/>
    <sheet name="Money in Word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# ##0"/>
  </numFmts>
  <fonts count="9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i val="1"/>
      <color rgb="00595959"/>
      <sz val="9"/>
    </font>
    <font>
      <name val="Arial"/>
      <sz val="10"/>
    </font>
    <font>
      <name val="Arial"/>
      <b val="1"/>
      <sz val="10"/>
    </font>
    <font>
      <name val="Arial"/>
      <b val="1"/>
      <color rgb="00FFFFFF"/>
      <sz val="11"/>
    </font>
    <font>
      <name val="Arial"/>
      <color rgb="00000000"/>
      <sz val="10"/>
    </font>
    <font>
      <name val="Arial"/>
      <color rgb="000000FF"/>
      <sz val="10"/>
    </font>
    <font>
      <name val="Arial"/>
      <b val="1"/>
      <color rgb="001F3864"/>
      <sz val="12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49" fontId="3" fillId="0" borderId="1" pivotButton="0" quotePrefix="0" xfId="0"/>
    <xf numFmtId="0" fontId="6" fillId="3" borderId="1" pivotButton="0" quotePrefix="0" xfId="0"/>
    <xf numFmtId="0" fontId="6" fillId="3" borderId="1" applyAlignment="1" pivotButton="0" quotePrefix="0" xfId="0">
      <alignment horizontal="center"/>
    </xf>
    <xf numFmtId="0" fontId="7" fillId="4" borderId="1" pivotButton="0" quotePrefix="0" xfId="0"/>
    <xf numFmtId="49" fontId="6" fillId="3" borderId="1" pivotButton="0" quotePrefix="0" xfId="0"/>
    <xf numFmtId="164" fontId="3" fillId="0" borderId="1" pivotButton="0" quotePrefix="0" xfId="0"/>
    <xf numFmtId="165" fontId="3" fillId="0" borderId="1" pivotButton="0" quotePrefix="0" xfId="0"/>
    <xf numFmtId="165" fontId="6" fillId="3" borderId="1" pivotButton="0" quotePrefix="0" xfId="0"/>
    <xf numFmtId="165" fontId="4" fillId="0" borderId="1" pivotButton="0" quotePrefix="0" xfId="0"/>
    <xf numFmtId="0" fontId="8" fillId="0" borderId="0" pivotButton="0" quotePrefix="0" xfId="0"/>
    <xf numFmtId="0" fontId="4" fillId="0" borderId="1" pivotButton="0" quotePrefix="0" xfId="0"/>
    <xf numFmtId="165" fontId="7" fillId="4" borderId="1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AkhiSal toolkit</author>
  </authors>
  <commentList>
    <comment ref="D4" authorId="0" shapeId="0">
      <text>
        <t>Cyrillic folded to lowercase Latin so that a client written 'Xalimjon' in one sheet and 'Халимжон' in another lands on the same text.</t>
      </text>
    </comment>
    <comment ref="E4" authorId="0" shapeId="0">
      <text>
        <t>Anything above 1 means the name alone cannot identify the client - three different people are called Abdulloh. Match on phone in that case.</t>
      </text>
    </comment>
  </commentList>
</comments>
</file>

<file path=xl/comments/comment2.xml><?xml version="1.0" encoding="utf-8"?>
<comments xmlns="http://schemas.openxmlformats.org/spreadsheetml/2006/main">
  <authors>
    <author>AkhiSal toolkit</author>
  </authors>
  <commentList>
    <comment ref="A4" authorId="0" shapeId="0">
      <text>
        <t>Example rows - type over them. Row 3 of this set ('Abdulloh') deliberately shows the ambiguous case: three CRM clients carry that name.</t>
      </text>
    </comment>
  </commentList>
</comments>
</file>

<file path=xl/comments/comment3.xml><?xml version="1.0" encoding="utf-8"?>
<comments xmlns="http://schemas.openxmlformats.org/spreadsheetml/2006/main">
  <authors>
    <author>AkhiSal toolkit</author>
  </authors>
  <commentList>
    <comment ref="A4" authorId="0" shapeId="0">
      <text>
        <t>Example rows covering the spellings that actually turn up, including one ('не указан') that cannot be read and is flagged rather than guessed.</t>
      </text>
    </comment>
  </commentList>
</comments>
</file>

<file path=xl/comments/comment4.xml><?xml version="1.0" encoding="utf-8"?>
<comments xmlns="http://schemas.openxmlformats.org/spreadsheetml/2006/main">
  <authors>
    <author>AkhiSal toolkit</author>
  </authors>
  <commentList>
    <comment ref="A4" authorId="0" shapeId="0">
      <text>
        <t>Example amounts taken from real orders - type over them.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95" customWidth="1" min="2" max="2"/>
  </cols>
  <sheetData>
    <row r="1" ht="22" customHeight="1">
      <c r="A1" s="1" t="inlineStr">
        <is>
          <t>AkhiSal Excel toolkit</t>
        </is>
      </c>
    </row>
    <row r="2">
      <c r="A2" s="2" t="inlineStr">
        <is>
          <t>Nothing to install. Open the file, type in the yellow cells, read the grey ones.</t>
        </is>
      </c>
    </row>
    <row r="4" ht="15" customHeight="1">
      <c r="A4" s="3" t="inlineStr"/>
      <c r="B4" s="4" t="inlineStr"/>
    </row>
    <row r="5" ht="15" customHeight="1">
      <c r="A5" s="5" t="inlineStr">
        <is>
          <t>Sheet</t>
        </is>
      </c>
      <c r="B5" s="6" t="inlineStr">
        <is>
          <t>What it is for</t>
        </is>
      </c>
    </row>
    <row r="6" ht="30" customHeight="1">
      <c r="A6" s="5" t="inlineStr">
        <is>
          <t>Client Matcher</t>
        </is>
      </c>
      <c r="B6" s="4" t="inlineStr">
        <is>
          <t>Paste a list of client names in any spelling - Latin or Cyrillic - and get the matching CRM client, their phone, and a warning when several clients share that name.</t>
        </is>
      </c>
    </row>
    <row r="7" ht="30" customHeight="1">
      <c r="A7" s="5" t="inlineStr">
        <is>
          <t>CRM Clients</t>
        </is>
      </c>
      <c r="B7" s="4" t="inlineStr">
        <is>
          <t>The reference list the matcher looks against: 50 clients copied from the CRM on 2026-09-19. Replace it with a fresh export whenever you like; the formulas follow.</t>
        </is>
      </c>
    </row>
    <row r="8" ht="30" customHeight="1">
      <c r="A8" s="5" t="inlineStr">
        <is>
          <t>Phone Cleaner</t>
        </is>
      </c>
      <c r="B8" s="4" t="inlineStr">
        <is>
          <t>Paste phone numbers written any which way and get them back as 998XXXXXXXXX, ready for the CRM.</t>
        </is>
      </c>
    </row>
    <row r="9" ht="30" customHeight="1">
      <c r="A9" s="5" t="inlineStr">
        <is>
          <t>Receivables</t>
        </is>
      </c>
      <c r="B9" s="4" t="inlineStr">
        <is>
          <t>Who owes what and for how long, bucketed 0-30 / 31-60 / 61-90 / 90+ days. Pre-filled with real unpaid orders.</t>
        </is>
      </c>
    </row>
    <row r="10" ht="30" customHeight="1">
      <c r="A10" s="5" t="inlineStr">
        <is>
          <t>Money in Words</t>
        </is>
      </c>
      <c r="B10" s="4" t="inlineStr">
        <is>
          <t>Turn an amount into Uzbek words for invoices and contracts: 13 500 000 -&gt; o'n uch million besh yuz ming so'm.</t>
        </is>
      </c>
    </row>
    <row r="11" ht="15" customHeight="1">
      <c r="A11" s="3" t="inlineStr"/>
      <c r="B11" s="4" t="inlineStr"/>
    </row>
    <row r="12" ht="15" customHeight="1">
      <c r="A12" s="5" t="inlineStr">
        <is>
          <t>Colour</t>
        </is>
      </c>
      <c r="B12" s="6" t="inlineStr">
        <is>
          <t>Meaning</t>
        </is>
      </c>
    </row>
    <row r="13" ht="15" customHeight="1">
      <c r="A13" s="5" t="inlineStr">
        <is>
          <t>Yellow cell, blue text</t>
        </is>
      </c>
      <c r="B13" s="4" t="inlineStr">
        <is>
          <t>You type here. Everything else recalculates on its own.</t>
        </is>
      </c>
    </row>
    <row r="14" ht="15" customHeight="1">
      <c r="A14" s="5" t="inlineStr">
        <is>
          <t>Grey cell, black text</t>
        </is>
      </c>
      <c r="B14" s="4" t="inlineStr">
        <is>
          <t>A formula. Leave it alone - or copy it down if you add rows.</t>
        </is>
      </c>
    </row>
    <row r="15" ht="15" customHeight="1">
      <c r="A15" s="5" t="inlineStr">
        <is>
          <t>Pink cell</t>
        </is>
      </c>
      <c r="B15" s="4" t="inlineStr">
        <is>
          <t>Something needs a human eye.</t>
        </is>
      </c>
    </row>
    <row r="17">
      <c r="A17" s="2" t="inlineStr">
        <is>
          <t>Built with classic Excel functions only, so it works in any Excel version and needs no macros, no add-in and no admin rights.</t>
        </is>
      </c>
    </row>
  </sheetData>
  <mergeCells count="3">
    <mergeCell ref="A2:H2"/>
    <mergeCell ref="A17:B17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46" customWidth="1" min="3" max="3"/>
    <col width="26" customWidth="1" min="4" max="4"/>
    <col width="16" customWidth="1" min="5" max="5"/>
  </cols>
  <sheetData>
    <row r="1" ht="22" customHeight="1">
      <c r="A1" s="1" t="inlineStr">
        <is>
          <t>CRM Clients</t>
        </is>
      </c>
    </row>
    <row r="2">
      <c r="A2" s="2" t="inlineStr">
        <is>
          <t>Reference list for the matcher. Snapshot taken 2026-09-19 - paste a fresh export over rows 4 and below any time.</t>
        </is>
      </c>
    </row>
    <row r="3" ht="28" customHeight="1">
      <c r="A3" s="7" t="inlineStr">
        <is>
          <t>Client name</t>
        </is>
      </c>
      <c r="B3" s="7" t="inlineStr">
        <is>
          <t>Phone</t>
        </is>
      </c>
      <c r="C3" s="7" t="inlineStr">
        <is>
          <t>Address</t>
        </is>
      </c>
      <c r="D3" s="7" t="inlineStr">
        <is>
          <t>Name, normalised</t>
        </is>
      </c>
      <c r="E3" s="7" t="inlineStr">
        <is>
          <t>Clients sharing this name</t>
        </is>
      </c>
    </row>
    <row r="4">
      <c r="A4" s="8" t="inlineStr">
        <is>
          <t>0424</t>
        </is>
      </c>
      <c r="B4" s="9" t="inlineStr">
        <is>
          <t>998979740424</t>
        </is>
      </c>
      <c r="C4" s="8" t="inlineStr">
        <is>
          <t>Андижон вилояти, Жалақудуқ тумани</t>
        </is>
      </c>
      <c r="D4" s="10">
        <f>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$A4),"ё","yo"),"ю","yu"),"я","ya"),"ц","ts"),"ч","ch"),"ш","sh"),"щ","sh"),"ў","o"),"қ","q"),"ғ","g"),"ҳ","h"),"а","a"),"б","b"),"в","v"),"г","g"),"д","d"),"е","e"),"ж","j"),"з","z"),"и","i"),"й","y"),"к","k"),"л","l"),"м","m"),"н","n"),"о","o"),"п","p"),"р","r"),"с","s"),"т","t"),"у","u"),"ф","f"),"х","x"),"ъ",""),"ы","i"),"ь",""),"э","e"),"'",""),"‘",""),"’",""),"ʻ",""),"ʼ",""),"`",""))</f>
        <v/>
      </c>
      <c r="E4" s="11">
        <f>COUNTIF($D$4:$D$53,$D4)</f>
        <v/>
      </c>
    </row>
    <row r="5">
      <c r="A5" s="8" t="inlineStr">
        <is>
          <t>28476</t>
        </is>
      </c>
      <c r="B5" s="9" t="inlineStr">
        <is>
          <t>998997919206</t>
        </is>
      </c>
      <c r="C5" s="8" t="inlineStr">
        <is>
          <t>Farg‘ona viloyati, Quvasoy shahri</t>
        </is>
      </c>
      <c r="D5" s="10">
        <f>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$A5),"ё","yo"),"ю","yu"),"я","ya"),"ц","ts"),"ч","ch"),"ш","sh"),"щ","sh"),"ў","o"),"қ","q"),"ғ","g"),"ҳ","h"),"а","a"),"б","b"),"в","v"),"г","g"),"д","d"),"е","e"),"ж","j"),"з","z"),"и","i"),"й","y"),"к","k"),"л","l"),"м","m"),"н","n"),"о","o"),"п","p"),"р","r"),"с","s"),"т","t"),"у","u"),"ф","f"),"х","x"),"ъ",""),"ы","i"),"ь",""),"э","e"),"'",""),"‘",""),"’",""),"ʻ",""),"ʼ",""),"`",""))</f>
        <v/>
      </c>
      <c r="E5" s="11">
        <f>COUNTIF($D$4:$D$53,$D5)</f>
        <v/>
      </c>
    </row>
    <row r="6">
      <c r="A6" s="8" t="inlineStr">
        <is>
          <t>3050</t>
        </is>
      </c>
      <c r="B6" s="9" t="inlineStr">
        <is>
          <t>998508033050</t>
        </is>
      </c>
      <c r="C6" s="8" t="inlineStr">
        <is>
          <t>Наманган вилояти, Наманган шаҳри</t>
        </is>
      </c>
      <c r="D6" s="10">
        <f>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$A6),"ё","yo"),"ю","yu"),"я","ya"),"ц","ts"),"ч","ch"),"ш","sh"),"щ","sh"),"ў","o"),"қ","q"),"ғ","g"),"ҳ","h"),"а","a"),"б","b"),"в","v"),"г","g"),"д","d"),"е","e"),"ж","j"),"з","z"),"и","i"),"й","y"),"к","k"),"л","l"),"м","m"),"н","n"),"о","o"),"п","p"),"р","r"),"с","s"),"т","t"),"у","u"),"ф","f"),"х","x"),"ъ",""),"ы","i"),"ь",""),"э","e"),"'",""),"‘",""),"’",""),"ʻ",""),"ʼ",""),"`",""))</f>
        <v/>
      </c>
      <c r="E6" s="11">
        <f>COUNTIF($D$4:$D$53,$D6)</f>
        <v/>
      </c>
    </row>
    <row r="7">
      <c r="A7" s="8" t="inlineStr">
        <is>
          <t>4455</t>
        </is>
      </c>
      <c r="B7" s="9" t="inlineStr">
        <is>
          <t>998917114455</t>
        </is>
      </c>
      <c r="C7" s="8" t="inlineStr">
        <is>
          <t>Фарғона вилояти, Ўзбекистон тумани, Нурсух кишлоги</t>
        </is>
      </c>
      <c r="D7" s="10">
        <f>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$A7),"ё","yo"),"ю","yu"),"я","ya"),"ц","ts"),"ч","ch"),"ш","sh"),"щ","sh"),"ў","o"),"қ","q"),"ғ","g"),"ҳ","h"),"а","a"),"б","b"),"в","v"),"г","g"),"д","d"),"е","e"),"ж","j"),"з","z"),"и","i"),"й","y"),"к","k"),"л","l"),"м","m"),"н","n"),"о","o"),"п","p"),"р","r"),"с","s"),"т","t"),"у","u"),"ф","f"),"х","x"),"ъ",""),"ы","i"),"ь",""),"э","e"),"'",""),"‘",""),"’",""),"ʻ",""),"ʼ",""),"`",""))</f>
        <v/>
      </c>
      <c r="E7" s="11">
        <f>COUNTIF($D$4:$D$53,$D7)</f>
        <v/>
      </c>
    </row>
    <row r="8">
      <c r="A8" s="8" t="inlineStr">
        <is>
          <t>7004</t>
        </is>
      </c>
      <c r="B8" s="9" t="inlineStr">
        <is>
          <t>998934287004</t>
        </is>
      </c>
      <c r="C8" s="8" t="inlineStr">
        <is>
          <t>Наманган вилояти, Учқўрғон тумани, Бозор боши</t>
        </is>
      </c>
      <c r="D8" s="10">
        <f>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$A8),"ё","yo"),"ю","yu"),"я","ya"),"ц","ts"),"ч","ch"),"ш","sh"),"щ","sh"),"ў","o"),"қ","q"),"ғ","g"),"ҳ","h"),"а","a"),"б","b"),"в","v"),"г","g"),"д","d"),"е","e"),"ж","j"),"з","z"),"и","i"),"й","y"),"к","k"),"л","l"),"м","m"),"н","n"),"о","o"),"п","p"),"р","r"),"с","s"),"т","t"),"у","u"),"ф","f"),"х","x"),"ъ",""),"ы","i"),"ь",""),"э","e"),"'",""),"‘",""),"’",""),"ʻ",""),"ʼ",""),"`",""))</f>
        <v/>
      </c>
      <c r="E8" s="11">
        <f>COUNTIF($D$4:$D$53,$D8)</f>
        <v/>
      </c>
    </row>
    <row r="9">
      <c r="A9" s="8" t="inlineStr">
        <is>
          <t>7272</t>
        </is>
      </c>
      <c r="B9" s="9" t="inlineStr">
        <is>
          <t>998918087272</t>
        </is>
      </c>
      <c r="C9" s="8" t="inlineStr">
        <is>
          <t>Андижон вилояти, Шаҳрихон тумани</t>
        </is>
      </c>
      <c r="D9" s="10">
        <f>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$A9),"ё","yo"),"ю","yu"),"я","ya"),"ц","ts"),"ч","ch"),"ш","sh"),"щ","sh"),"ў","o"),"қ","q"),"ғ","g"),"ҳ","h"),"а","a"),"б","b"),"в","v"),"г","g"),"д","d"),"е","e"),"ж","j"),"з","z"),"и","i"),"й","y"),"к","k"),"л","l"),"м","m"),"н","n"),"о","o"),"п","p"),"р","r"),"с","s"),"т","t"),"у","u"),"ф","f"),"х","x"),"ъ",""),"ы","i"),"ь",""),"э","e"),"'",""),"‘",""),"’",""),"ʻ",""),"ʼ",""),"`",""))</f>
        <v/>
      </c>
      <c r="E9" s="11">
        <f>COUNTIF($D$4:$D$53,$D9)</f>
        <v/>
      </c>
    </row>
    <row r="10">
      <c r="A10" s="8" t="inlineStr">
        <is>
          <t>@Alibek_1985</t>
        </is>
      </c>
      <c r="B10" s="9" t="inlineStr">
        <is>
          <t>998946028788</t>
        </is>
      </c>
      <c r="C10" s="8" t="inlineStr">
        <is>
          <t>Тошкент вилояти, Янгийўл шаҳри</t>
        </is>
      </c>
      <c r="D10" s="10">
        <f>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$A10),"ё","yo"),"ю","yu"),"я","ya"),"ц","ts"),"ч","ch"),"ш","sh"),"щ","sh"),"ў","o"),"қ","q"),"ғ","g"),"ҳ","h"),"а","a"),"б","b"),"в","v"),"г","g"),"д","d"),"е","e"),"ж","j"),"з","z"),"и","i"),"й","y"),"к","k"),"л","l"),"м","m"),"н","n"),"о","o"),"п","p"),"р","r"),"с","s"),"т","t"),"у","u"),"ф","f"),"х","x"),"ъ",""),"ы","i"),"ь",""),"э","e"),"'",""),"‘",""),"’",""),"ʻ",""),"ʼ",""),"`",""))</f>
        <v/>
      </c>
      <c r="E10" s="11">
        <f>COUNTIF($D$4:$D$53,$D10)</f>
        <v/>
      </c>
    </row>
    <row r="11">
      <c r="A11" s="8" t="inlineStr">
        <is>
          <t>AXADJON MO'YDINOV "IPEKCI_textile"</t>
        </is>
      </c>
      <c r="B11" s="9" t="inlineStr">
        <is>
          <t>998993991105</t>
        </is>
      </c>
      <c r="C11" s="8" t="inlineStr">
        <is>
          <t>Наманган вилояти, Чортоқ тумани</t>
        </is>
      </c>
      <c r="D11" s="10">
        <f>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$A11),"ё","yo"),"ю","yu"),"я","ya"),"ц","ts"),"ч","ch"),"ш","sh"),"щ","sh"),"ў","o"),"қ","q"),"ғ","g"),"ҳ","h"),"а","a"),"б","b"),"в","v"),"г","g"),"д","d"),"е","e"),"ж","j"),"з","z"),"и","i"),"й","y"),"к","k"),"л","l"),"м","m"),"н","n"),"о","o"),"п","p"),"р","r"),"с","s"),"т","t"),"у","u"),"ф","f"),"х","x"),"ъ",""),"ы","i"),"ь",""),"э","e"),"'",""),"‘",""),"’",""),"ʻ",""),"ʼ",""),"`",""))</f>
        <v/>
      </c>
      <c r="E11" s="11">
        <f>COUNTIF($D$4:$D$53,$D11)</f>
        <v/>
      </c>
    </row>
    <row r="12">
      <c r="A12" s="8" t="inlineStr">
        <is>
          <t>Abdubanno</t>
        </is>
      </c>
      <c r="B12" s="9" t="inlineStr">
        <is>
          <t>998958722624</t>
        </is>
      </c>
      <c r="C12" s="8" t="inlineStr">
        <is>
          <t>Наманган вилояти, Янгиқўрғон тумани, Бирлашган</t>
        </is>
      </c>
      <c r="D12" s="10">
        <f>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$A12),"ё","yo"),"ю","yu"),"я","ya"),"ц","ts"),"ч","ch"),"ш","sh"),"щ","sh"),"ў","o"),"қ","q"),"ғ","g"),"ҳ","h"),"а","a"),"б","b"),"в","v"),"г","g"),"д","d"),"е","e"),"ж","j"),"з","z"),"и","i"),"й","y"),"к","k"),"л","l"),"м","m"),"н","n"),"о","o"),"п","p"),"р","r"),"с","s"),"т","t"),"у","u"),"ф","f"),"х","x"),"ъ",""),"ы","i"),"ь",""),"э","e"),"'",""),"‘",""),"’",""),"ʻ",""),"ʼ",""),"`",""))</f>
        <v/>
      </c>
      <c r="E12" s="11">
        <f>COUNTIF($D$4:$D$53,$D12)</f>
        <v/>
      </c>
    </row>
    <row r="13">
      <c r="A13" s="8" t="inlineStr">
        <is>
          <t>Abdujalil</t>
        </is>
      </c>
      <c r="B13" s="9" t="inlineStr">
        <is>
          <t>998975721101</t>
        </is>
      </c>
      <c r="C13" s="8" t="inlineStr">
        <is>
          <t>Begovot</t>
        </is>
      </c>
      <c r="D13" s="10">
        <f>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$A13),"ё","yo"),"ю","yu"),"я","ya"),"ц","ts"),"ч","ch"),"ш","sh"),"щ","sh"),"ў","o"),"қ","q"),"ғ","g"),"ҳ","h"),"а","a"),"б","b"),"в","v"),"г","g"),"д","d"),"е","e"),"ж","j"),"з","z"),"и","i"),"й","y"),"к","k"),"л","l"),"м","m"),"н","n"),"о","o"),"п","p"),"р","r"),"с","s"),"т","t"),"у","u"),"ф","f"),"х","x"),"ъ",""),"ы","i"),"ь",""),"э","e"),"'",""),"‘",""),"’",""),"ʻ",""),"ʼ",""),"`",""))</f>
        <v/>
      </c>
      <c r="E13" s="11">
        <f>COUNTIF($D$4:$D$53,$D13)</f>
        <v/>
      </c>
    </row>
    <row r="14">
      <c r="A14" s="8" t="inlineStr">
        <is>
          <t>Abdukulov</t>
        </is>
      </c>
      <c r="B14" s="9" t="inlineStr">
        <is>
          <t>998991876227</t>
        </is>
      </c>
      <c r="C14" s="8" t="inlineStr">
        <is>
          <t>Тошкент вилояти, Оҳангарон тумани</t>
        </is>
      </c>
      <c r="D14" s="10">
        <f>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$A14),"ё","yo"),"ю","yu"),"я","ya"),"ц","ts"),"ч","ch"),"ш","sh"),"щ","sh"),"ў","o"),"қ","q"),"ғ","g"),"ҳ","h"),"а","a"),"б","b"),"в","v"),"г","g"),"д","d"),"е","e"),"ж","j"),"з","z"),"и","i"),"й","y"),"к","k"),"л","l"),"м","m"),"н","n"),"о","o"),"п","p"),"р","r"),"с","s"),"т","t"),"у","u"),"ф","f"),"х","x"),"ъ",""),"ы","i"),"ь",""),"э","e"),"'",""),"‘",""),"’",""),"ʻ",""),"ʼ",""),"`",""))</f>
        <v/>
      </c>
      <c r="E14" s="11">
        <f>COUNTIF($D$4:$D$53,$D14)</f>
        <v/>
      </c>
    </row>
    <row r="15">
      <c r="A15" s="8" t="inlineStr">
        <is>
          <t>Abdulahad Chinaqov</t>
        </is>
      </c>
      <c r="B15" s="9" t="inlineStr">
        <is>
          <t>998930546090</t>
        </is>
      </c>
      <c r="C15" s="8" t="inlineStr">
        <is>
          <t>Наманган вилояти, Тўрақўрғон тумани</t>
        </is>
      </c>
      <c r="D15" s="10">
        <f>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$A15),"ё","yo"),"ю","yu"),"я","ya"),"ц","ts"),"ч","ch"),"ш","sh"),"щ","sh"),"ў","o"),"қ","q"),"ғ","g"),"ҳ","h"),"а","a"),"б","b"),"в","v"),"г","g"),"д","d"),"е","e"),"ж","j"),"з","z"),"и","i"),"й","y"),"к","k"),"л","l"),"м","m"),"н","n"),"о","o"),"п","p"),"р","r"),"с","s"),"т","t"),"у","u"),"ф","f"),"х","x"),"ъ",""),"ы","i"),"ь",""),"э","e"),"'",""),"‘",""),"’",""),"ʻ",""),"ʼ",""),"`",""))</f>
        <v/>
      </c>
      <c r="E15" s="11">
        <f>COUNTIF($D$4:$D$53,$D15)</f>
        <v/>
      </c>
    </row>
    <row r="16">
      <c r="A16" s="8" t="inlineStr">
        <is>
          <t>Abdulhamidov</t>
        </is>
      </c>
      <c r="B16" s="9" t="inlineStr">
        <is>
          <t>998705019300</t>
        </is>
      </c>
      <c r="C16" s="8" t="inlineStr">
        <is>
          <t>Андижон вилояти, Бўз тумани</t>
        </is>
      </c>
      <c r="D16" s="10">
        <f>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$A16),"ё","yo"),"ю","yu"),"я","ya"),"ц","ts"),"ч","ch"),"ш","sh"),"щ","sh"),"ў","o"),"қ","q"),"ғ","g"),"ҳ","h"),"а","a"),"б","b"),"в","v"),"г","g"),"д","d"),"е","e"),"ж","j"),"з","z"),"и","i"),"й","y"),"к","k"),"л","l"),"м","m"),"н","n"),"о","o"),"п","p"),"р","r"),"с","s"),"т","t"),"у","u"),"ф","f"),"х","x"),"ъ",""),"ы","i"),"ь",""),"э","e"),"'",""),"‘",""),"’",""),"ʻ",""),"ʼ",""),"`",""))</f>
        <v/>
      </c>
      <c r="E16" s="11">
        <f>COUNTIF($D$4:$D$53,$D16)</f>
        <v/>
      </c>
    </row>
    <row r="17">
      <c r="A17" s="8" t="inlineStr">
        <is>
          <t>Abdulloh</t>
        </is>
      </c>
      <c r="B17" s="9" t="inlineStr">
        <is>
          <t>998911740174</t>
        </is>
      </c>
      <c r="C17" s="8" t="inlineStr">
        <is>
          <t>Андижон вилояти, Андижон шаҳри</t>
        </is>
      </c>
      <c r="D17" s="10">
        <f>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$A17),"ё","yo"),"ю","yu"),"я","ya"),"ц","ts"),"ч","ch"),"ш","sh"),"щ","sh"),"ў","o"),"қ","q"),"ғ","g"),"ҳ","h"),"а","a"),"б","b"),"в","v"),"г","g"),"д","d"),"е","e"),"ж","j"),"з","z"),"и","i"),"й","y"),"к","k"),"л","l"),"м","m"),"н","n"),"о","o"),"п","p"),"р","r"),"с","s"),"т","t"),"у","u"),"ф","f"),"х","x"),"ъ",""),"ы","i"),"ь",""),"э","e"),"'",""),"‘",""),"’",""),"ʻ",""),"ʼ",""),"`",""))</f>
        <v/>
      </c>
      <c r="E17" s="11">
        <f>COUNTIF($D$4:$D$53,$D17)</f>
        <v/>
      </c>
    </row>
    <row r="18">
      <c r="A18" s="8" t="inlineStr">
        <is>
          <t>Abdulloh</t>
        </is>
      </c>
      <c r="B18" s="9" t="inlineStr">
        <is>
          <t>998942746606</t>
        </is>
      </c>
      <c r="C18" s="8" t="inlineStr">
        <is>
          <t>Наманган вилояти, Янгиқўрғон тумани, Шалгам махалла</t>
        </is>
      </c>
      <c r="D18" s="10">
        <f>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$A18),"ё","yo"),"ю","yu"),"я","ya"),"ц","ts"),"ч","ch"),"ш","sh"),"щ","sh"),"ў","o"),"қ","q"),"ғ","g"),"ҳ","h"),"а","a"),"б","b"),"в","v"),"г","g"),"д","d"),"е","e"),"ж","j"),"з","z"),"и","i"),"й","y"),"к","k"),"л","l"),"м","m"),"н","n"),"о","o"),"п","p"),"р","r"),"с","s"),"т","t"),"у","u"),"ф","f"),"х","x"),"ъ",""),"ы","i"),"ь",""),"э","e"),"'",""),"‘",""),"’",""),"ʻ",""),"ʼ",""),"`",""))</f>
        <v/>
      </c>
      <c r="E18" s="11">
        <f>COUNTIF($D$4:$D$53,$D18)</f>
        <v/>
      </c>
    </row>
    <row r="19">
      <c r="A19" s="8" t="inlineStr">
        <is>
          <t>Abdulloh</t>
        </is>
      </c>
      <c r="B19" s="9" t="inlineStr">
        <is>
          <t>998946119697</t>
        </is>
      </c>
      <c r="C19" s="8" t="inlineStr">
        <is>
          <t>Тошкент вилояти, Uch qaxramon</t>
        </is>
      </c>
      <c r="D19" s="10">
        <f>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$A19),"ё","yo"),"ю","yu"),"я","ya"),"ц","ts"),"ч","ch"),"ш","sh"),"щ","sh"),"ў","o"),"қ","q"),"ғ","g"),"ҳ","h"),"а","a"),"б","b"),"в","v"),"г","g"),"д","d"),"е","e"),"ж","j"),"з","z"),"и","i"),"й","y"),"к","k"),"л","l"),"м","m"),"н","n"),"о","o"),"п","p"),"р","r"),"с","s"),"т","t"),"у","u"),"ф","f"),"х","x"),"ъ",""),"ы","i"),"ь",""),"э","e"),"'",""),"‘",""),"’",""),"ʻ",""),"ʼ",""),"`",""))</f>
        <v/>
      </c>
      <c r="E19" s="11">
        <f>COUNTIF($D$4:$D$53,$D19)</f>
        <v/>
      </c>
    </row>
    <row r="20">
      <c r="A20" s="8" t="inlineStr">
        <is>
          <t>Abdurashid</t>
        </is>
      </c>
      <c r="B20" s="9" t="inlineStr">
        <is>
          <t>998704746688</t>
        </is>
      </c>
      <c r="C20" s="8" t="inlineStr">
        <is>
          <t>Наманган вилояти, Уйчи тумани</t>
        </is>
      </c>
      <c r="D20" s="10">
        <f>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$A20),"ё","yo"),"ю","yu"),"я","ya"),"ц","ts"),"ч","ch"),"ш","sh"),"щ","sh"),"ў","o"),"қ","q"),"ғ","g"),"ҳ","h"),"а","a"),"б","b"),"в","v"),"г","g"),"д","d"),"е","e"),"ж","j"),"з","z"),"и","i"),"й","y"),"к","k"),"л","l"),"м","m"),"н","n"),"о","o"),"п","p"),"р","r"),"с","s"),"т","t"),"у","u"),"ф","f"),"х","x"),"ъ",""),"ы","i"),"ь",""),"э","e"),"'",""),"‘",""),"’",""),"ʻ",""),"ʼ",""),"`",""))</f>
        <v/>
      </c>
      <c r="E20" s="11">
        <f>COUNTIF($D$4:$D$53,$D20)</f>
        <v/>
      </c>
    </row>
    <row r="21">
      <c r="A21" s="8" t="inlineStr">
        <is>
          <t>Abdurashid</t>
        </is>
      </c>
      <c r="B21" s="9" t="inlineStr">
        <is>
          <t>998934941606</t>
        </is>
      </c>
      <c r="C21" s="8" t="inlineStr">
        <is>
          <t>Наманган вилояти, Наманган шаҳри, Yangixayot</t>
        </is>
      </c>
      <c r="D21" s="10">
        <f>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$A21),"ё","yo"),"ю","yu"),"я","ya"),"ц","ts"),"ч","ch"),"ш","sh"),"щ","sh"),"ў","o"),"қ","q"),"ғ","g"),"ҳ","h"),"а","a"),"б","b"),"в","v"),"г","g"),"д","d"),"е","e"),"ж","j"),"з","z"),"и","i"),"й","y"),"к","k"),"л","l"),"м","m"),"н","n"),"о","o"),"п","p"),"р","r"),"с","s"),"т","t"),"у","u"),"ф","f"),"х","x"),"ъ",""),"ы","i"),"ь",""),"э","e"),"'",""),"‘",""),"’",""),"ʻ",""),"ʼ",""),"`",""))</f>
        <v/>
      </c>
      <c r="E21" s="11">
        <f>COUNTIF($D$4:$D$53,$D21)</f>
        <v/>
      </c>
    </row>
    <row r="22">
      <c r="A22" s="8" t="inlineStr">
        <is>
          <t>Abduraxmon Jomiy</t>
        </is>
      </c>
      <c r="B22" s="9" t="inlineStr">
        <is>
          <t>998913421133</t>
        </is>
      </c>
      <c r="C22" s="8" t="inlineStr">
        <is>
          <t>Наманган вилояти, Наманган шаҳри, Chorsu</t>
        </is>
      </c>
      <c r="D22" s="10">
        <f>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$A22),"ё","yo"),"ю","yu"),"я","ya"),"ц","ts"),"ч","ch"),"ш","sh"),"щ","sh"),"ў","o"),"қ","q"),"ғ","g"),"ҳ","h"),"а","a"),"б","b"),"в","v"),"г","g"),"д","d"),"е","e"),"ж","j"),"з","z"),"и","i"),"й","y"),"к","k"),"л","l"),"м","m"),"н","n"),"о","o"),"п","p"),"р","r"),"с","s"),"т","t"),"у","u"),"ф","f"),"х","x"),"ъ",""),"ы","i"),"ь",""),"э","e"),"'",""),"‘",""),"’",""),"ʻ",""),"ʼ",""),"`",""))</f>
        <v/>
      </c>
      <c r="E22" s="11">
        <f>COUNTIF($D$4:$D$53,$D22)</f>
        <v/>
      </c>
    </row>
    <row r="23">
      <c r="A23" s="8" t="inlineStr">
        <is>
          <t>Abrorjon Oripov</t>
        </is>
      </c>
      <c r="B23" s="9" t="inlineStr">
        <is>
          <t>998995901890</t>
        </is>
      </c>
      <c r="C23" s="8" t="inlineStr">
        <is>
          <t>Наманган вилояти, Мингбулоқ тумани, Жамашуй</t>
        </is>
      </c>
      <c r="D23" s="10">
        <f>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$A23),"ё","yo"),"ю","yu"),"я","ya"),"ц","ts"),"ч","ch"),"ш","sh"),"щ","sh"),"ў","o"),"қ","q"),"ғ","g"),"ҳ","h"),"а","a"),"б","b"),"в","v"),"г","g"),"д","d"),"е","e"),"ж","j"),"з","z"),"и","i"),"й","y"),"к","k"),"л","l"),"м","m"),"н","n"),"о","o"),"п","p"),"р","r"),"с","s"),"т","t"),"у","u"),"ф","f"),"х","x"),"ъ",""),"ы","i"),"ь",""),"э","e"),"'",""),"‘",""),"’",""),"ʻ",""),"ʼ",""),"`",""))</f>
        <v/>
      </c>
      <c r="E23" s="11">
        <f>COUNTIF($D$4:$D$53,$D23)</f>
        <v/>
      </c>
    </row>
    <row r="24">
      <c r="A24" s="8" t="inlineStr">
        <is>
          <t>AbuBakr</t>
        </is>
      </c>
      <c r="B24" s="9" t="inlineStr">
        <is>
          <t>998944304114</t>
        </is>
      </c>
      <c r="C24" s="8" t="inlineStr">
        <is>
          <t>Тошкент шаҳри, Ipodrom</t>
        </is>
      </c>
      <c r="D24" s="10">
        <f>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$A24),"ё","yo"),"ю","yu"),"я","ya"),"ц","ts"),"ч","ch"),"ш","sh"),"щ","sh"),"ў","o"),"қ","q"),"ғ","g"),"ҳ","h"),"а","a"),"б","b"),"в","v"),"г","g"),"д","d"),"е","e"),"ж","j"),"з","z"),"и","i"),"й","y"),"к","k"),"л","l"),"м","m"),"н","n"),"о","o"),"п","p"),"р","r"),"с","s"),"т","t"),"у","u"),"ф","f"),"х","x"),"ъ",""),"ы","i"),"ь",""),"э","e"),"'",""),"‘",""),"’",""),"ʻ",""),"ʼ",""),"`",""))</f>
        <v/>
      </c>
      <c r="E24" s="11">
        <f>COUNTIF($D$4:$D$53,$D24)</f>
        <v/>
      </c>
    </row>
    <row r="25">
      <c r="A25" s="8" t="inlineStr">
        <is>
          <t>Adbushohid</t>
        </is>
      </c>
      <c r="B25" s="9" t="inlineStr">
        <is>
          <t>998999110557</t>
        </is>
      </c>
      <c r="C25" s="8" t="inlineStr">
        <is>
          <t>Фарғона вилояти, Vodil</t>
        </is>
      </c>
      <c r="D25" s="10">
        <f>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$A25),"ё","yo"),"ю","yu"),"я","ya"),"ц","ts"),"ч","ch"),"ш","sh"),"щ","sh"),"ў","o"),"қ","q"),"ғ","g"),"ҳ","h"),"а","a"),"б","b"),"в","v"),"г","g"),"д","d"),"е","e"),"ж","j"),"з","z"),"и","i"),"й","y"),"к","k"),"л","l"),"м","m"),"н","n"),"о","o"),"п","p"),"р","r"),"с","s"),"т","t"),"у","u"),"ф","f"),"х","x"),"ъ",""),"ы","i"),"ь",""),"э","e"),"'",""),"‘",""),"’",""),"ʻ",""),"ʼ",""),"`",""))</f>
        <v/>
      </c>
      <c r="E25" s="11">
        <f>COUNTIF($D$4:$D$53,$D25)</f>
        <v/>
      </c>
    </row>
    <row r="26">
      <c r="A26" s="8" t="inlineStr">
        <is>
          <t>Adhamjon</t>
        </is>
      </c>
      <c r="B26" s="9" t="inlineStr">
        <is>
          <t>998946174700</t>
        </is>
      </c>
      <c r="C26" s="8" t="inlineStr">
        <is>
          <t>Фарғона вилояти, Бувайда тумани, Yangiqo'rg'on</t>
        </is>
      </c>
      <c r="D26" s="10">
        <f>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$A26),"ё","yo"),"ю","yu"),"я","ya"),"ц","ts"),"ч","ch"),"ш","sh"),"щ","sh"),"ў","o"),"қ","q"),"ғ","g"),"ҳ","h"),"а","a"),"б","b"),"в","v"),"г","g"),"д","d"),"е","e"),"ж","j"),"з","z"),"и","i"),"й","y"),"к","k"),"л","l"),"м","m"),"н","n"),"о","o"),"п","p"),"р","r"),"с","s"),"т","t"),"у","u"),"ф","f"),"х","x"),"ъ",""),"ы","i"),"ь",""),"э","e"),"'",""),"‘",""),"’",""),"ʻ",""),"ʼ",""),"`",""))</f>
        <v/>
      </c>
      <c r="E26" s="11">
        <f>COUNTIF($D$4:$D$53,$D26)</f>
        <v/>
      </c>
    </row>
    <row r="27">
      <c r="A27" s="8" t="inlineStr">
        <is>
          <t>Adiba</t>
        </is>
      </c>
      <c r="B27" s="9" t="inlineStr">
        <is>
          <t>998701319431</t>
        </is>
      </c>
      <c r="C27" s="8" t="inlineStr">
        <is>
          <t>Жиззах вилояти, Зомин тумани</t>
        </is>
      </c>
      <c r="D27" s="10">
        <f>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$A27),"ё","yo"),"ю","yu"),"я","ya"),"ц","ts"),"ч","ch"),"ш","sh"),"щ","sh"),"ў","o"),"қ","q"),"ғ","g"),"ҳ","h"),"а","a"),"б","b"),"в","v"),"г","g"),"д","d"),"е","e"),"ж","j"),"з","z"),"и","i"),"й","y"),"к","k"),"л","l"),"м","m"),"н","n"),"о","o"),"п","p"),"р","r"),"с","s"),"т","t"),"у","u"),"ф","f"),"х","x"),"ъ",""),"ы","i"),"ь",""),"э","e"),"'",""),"‘",""),"’",""),"ʻ",""),"ʼ",""),"`",""))</f>
        <v/>
      </c>
      <c r="E27" s="11">
        <f>COUNTIF($D$4:$D$53,$D27)</f>
        <v/>
      </c>
    </row>
    <row r="28">
      <c r="A28" s="8" t="inlineStr">
        <is>
          <t>Akmal jon</t>
        </is>
      </c>
      <c r="B28" s="9" t="inlineStr">
        <is>
          <t>998950952293</t>
        </is>
      </c>
      <c r="C28" s="8" t="inlineStr">
        <is>
          <t>Тошкент вилояти, Қибрай тумани</t>
        </is>
      </c>
      <c r="D28" s="10">
        <f>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$A28),"ё","yo"),"ю","yu"),"я","ya"),"ц","ts"),"ч","ch"),"ш","sh"),"щ","sh"),"ў","o"),"қ","q"),"ғ","g"),"ҳ","h"),"а","a"),"б","b"),"в","v"),"г","g"),"д","d"),"е","e"),"ж","j"),"з","z"),"и","i"),"й","y"),"к","k"),"л","l"),"м","m"),"н","n"),"о","o"),"п","p"),"р","r"),"с","s"),"т","t"),"у","u"),"ф","f"),"х","x"),"ъ",""),"ы","i"),"ь",""),"э","e"),"'",""),"‘",""),"’",""),"ʻ",""),"ʼ",""),"`",""))</f>
        <v/>
      </c>
      <c r="E28" s="11">
        <f>COUNTIF($D$4:$D$53,$D28)</f>
        <v/>
      </c>
    </row>
    <row r="29">
      <c r="A29" s="8" t="inlineStr">
        <is>
          <t>Akram</t>
        </is>
      </c>
      <c r="B29" s="9" t="inlineStr">
        <is>
          <t>998997233038</t>
        </is>
      </c>
      <c r="C29" s="8" t="inlineStr">
        <is>
          <t>Наманган вилояти, Янгиқўрғон тумани, Birlashgan</t>
        </is>
      </c>
      <c r="D29" s="10">
        <f>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$A29),"ё","yo"),"ю","yu"),"я","ya"),"ц","ts"),"ч","ch"),"ш","sh"),"щ","sh"),"ў","o"),"қ","q"),"ғ","g"),"ҳ","h"),"а","a"),"б","b"),"в","v"),"г","g"),"д","d"),"е","e"),"ж","j"),"з","z"),"и","i"),"й","y"),"к","k"),"л","l"),"м","m"),"н","n"),"о","o"),"п","p"),"р","r"),"с","s"),"т","t"),"у","u"),"ф","f"),"х","x"),"ъ",""),"ы","i"),"ь",""),"э","e"),"'",""),"‘",""),"’",""),"ʻ",""),"ʼ",""),"`",""))</f>
        <v/>
      </c>
      <c r="E29" s="11">
        <f>COUNTIF($D$4:$D$53,$D29)</f>
        <v/>
      </c>
    </row>
    <row r="30">
      <c r="A30" s="8" t="inlineStr">
        <is>
          <t>Akramjon aka</t>
        </is>
      </c>
      <c r="B30" s="9" t="inlineStr">
        <is>
          <t>998916077532</t>
        </is>
      </c>
      <c r="C30" s="8" t="inlineStr">
        <is>
          <t>Андижон вилояти, Пахтаобод тумани</t>
        </is>
      </c>
      <c r="D30" s="10">
        <f>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$A30),"ё","yo"),"ю","yu"),"я","ya"),"ц","ts"),"ч","ch"),"ш","sh"),"щ","sh"),"ў","o"),"қ","q"),"ғ","g"),"ҳ","h"),"а","a"),"б","b"),"в","v"),"г","g"),"д","d"),"е","e"),"ж","j"),"з","z"),"и","i"),"й","y"),"к","k"),"л","l"),"м","m"),"н","n"),"о","o"),"п","p"),"р","r"),"с","s"),"т","t"),"у","u"),"ф","f"),"х","x"),"ъ",""),"ы","i"),"ь",""),"э","e"),"'",""),"‘",""),"’",""),"ʻ",""),"ʼ",""),"`",""))</f>
        <v/>
      </c>
      <c r="E30" s="11">
        <f>COUNTIF($D$4:$D$53,$D30)</f>
        <v/>
      </c>
    </row>
    <row r="31">
      <c r="A31" s="8" t="inlineStr">
        <is>
          <t>Alijon</t>
        </is>
      </c>
      <c r="B31" s="9" t="inlineStr">
        <is>
          <t>998976660207</t>
        </is>
      </c>
      <c r="C31" s="8" t="inlineStr">
        <is>
          <t>Фарғона вилояти, Тошлоқ тумани</t>
        </is>
      </c>
      <c r="D31" s="10">
        <f>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$A31),"ё","yo"),"ю","yu"),"я","ya"),"ц","ts"),"ч","ch"),"ш","sh"),"щ","sh"),"ў","o"),"қ","q"),"ғ","g"),"ҳ","h"),"а","a"),"б","b"),"в","v"),"г","g"),"д","d"),"е","e"),"ж","j"),"з","z"),"и","i"),"й","y"),"к","k"),"л","l"),"м","m"),"н","n"),"о","o"),"п","p"),"р","r"),"с","s"),"т","t"),"у","u"),"ф","f"),"х","x"),"ъ",""),"ы","i"),"ь",""),"э","e"),"'",""),"‘",""),"’",""),"ʻ",""),"ʼ",""),"`",""))</f>
        <v/>
      </c>
      <c r="E31" s="11">
        <f>COUNTIF($D$4:$D$53,$D31)</f>
        <v/>
      </c>
    </row>
    <row r="32">
      <c r="A32" s="8" t="inlineStr">
        <is>
          <t>Alisher</t>
        </is>
      </c>
      <c r="B32" s="9" t="inlineStr">
        <is>
          <t>998931409000</t>
        </is>
      </c>
      <c r="C32" s="8" t="inlineStr">
        <is>
          <t>Наманган вилояти, Чортоқ тумани</t>
        </is>
      </c>
      <c r="D32" s="10">
        <f>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$A32),"ё","yo"),"ю","yu"),"я","ya"),"ц","ts"),"ч","ch"),"ш","sh"),"щ","sh"),"ў","o"),"қ","q"),"ғ","g"),"ҳ","h"),"а","a"),"б","b"),"в","v"),"г","g"),"д","d"),"е","e"),"ж","j"),"з","z"),"и","i"),"й","y"),"к","k"),"л","l"),"м","m"),"н","n"),"о","o"),"п","p"),"р","r"),"с","s"),"т","t"),"у","u"),"ф","f"),"х","x"),"ъ",""),"ы","i"),"ь",""),"э","e"),"'",""),"‘",""),"’",""),"ʻ",""),"ʼ",""),"`",""))</f>
        <v/>
      </c>
      <c r="E32" s="11">
        <f>COUNTIF($D$4:$D$53,$D32)</f>
        <v/>
      </c>
    </row>
    <row r="33">
      <c r="A33" s="8" t="inlineStr">
        <is>
          <t>Alisher</t>
        </is>
      </c>
      <c r="B33" s="9" t="inlineStr">
        <is>
          <t>998700548141</t>
        </is>
      </c>
      <c r="C33" s="8" t="inlineStr">
        <is>
          <t>Toshkent viloyati, Sergeli-5</t>
        </is>
      </c>
      <c r="D33" s="10">
        <f>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$A33),"ё","yo"),"ю","yu"),"я","ya"),"ц","ts"),"ч","ch"),"ш","sh"),"щ","sh"),"ў","o"),"қ","q"),"ғ","g"),"ҳ","h"),"а","a"),"б","b"),"в","v"),"г","g"),"д","d"),"е","e"),"ж","j"),"з","z"),"и","i"),"й","y"),"к","k"),"л","l"),"м","m"),"н","n"),"о","o"),"п","p"),"р","r"),"с","s"),"т","t"),"у","u"),"ф","f"),"х","x"),"ъ",""),"ы","i"),"ь",""),"э","e"),"'",""),"‘",""),"’",""),"ʻ",""),"ʼ",""),"`",""))</f>
        <v/>
      </c>
      <c r="E33" s="11">
        <f>COUNTIF($D$4:$D$53,$D33)</f>
        <v/>
      </c>
    </row>
    <row r="34">
      <c r="A34" s="8" t="inlineStr">
        <is>
          <t>Alisher aka</t>
        </is>
      </c>
      <c r="B34" s="9" t="inlineStr">
        <is>
          <t>998776248668</t>
        </is>
      </c>
      <c r="C34" s="8" t="inlineStr">
        <is>
          <t>Андижон вилояти, Жалақудуқ тумани</t>
        </is>
      </c>
      <c r="D34" s="10">
        <f>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$A34),"ё","yo"),"ю","yu"),"я","ya"),"ц","ts"),"ч","ch"),"ш","sh"),"щ","sh"),"ў","o"),"қ","q"),"ғ","g"),"ҳ","h"),"а","a"),"б","b"),"в","v"),"г","g"),"д","d"),"е","e"),"ж","j"),"з","z"),"и","i"),"й","y"),"к","k"),"л","l"),"м","m"),"н","n"),"о","o"),"п","p"),"р","r"),"с","s"),"т","t"),"у","u"),"ф","f"),"х","x"),"ъ",""),"ы","i"),"ь",""),"э","e"),"'",""),"‘",""),"’",""),"ʻ",""),"ʼ",""),"`",""))</f>
        <v/>
      </c>
      <c r="E34" s="11">
        <f>COUNTIF($D$4:$D$53,$D34)</f>
        <v/>
      </c>
    </row>
    <row r="35">
      <c r="A35" s="8" t="inlineStr">
        <is>
          <t>Anvarbek</t>
        </is>
      </c>
      <c r="B35" s="9" t="inlineStr">
        <is>
          <t>998998892620</t>
        </is>
      </c>
      <c r="C35" s="8" t="inlineStr">
        <is>
          <t>Наманган вилояти</t>
        </is>
      </c>
      <c r="D35" s="10">
        <f>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$A35),"ё","yo"),"ю","yu"),"я","ya"),"ц","ts"),"ч","ch"),"ш","sh"),"щ","sh"),"ў","o"),"қ","q"),"ғ","g"),"ҳ","h"),"а","a"),"б","b"),"в","v"),"г","g"),"д","d"),"е","e"),"ж","j"),"з","z"),"и","i"),"й","y"),"к","k"),"л","l"),"м","m"),"н","n"),"о","o"),"п","p"),"р","r"),"с","s"),"т","t"),"у","u"),"ф","f"),"х","x"),"ъ",""),"ы","i"),"ь",""),"э","e"),"'",""),"‘",""),"’",""),"ʻ",""),"ʼ",""),"`",""))</f>
        <v/>
      </c>
      <c r="E35" s="11">
        <f>COUNTIF($D$4:$D$53,$D35)</f>
        <v/>
      </c>
    </row>
    <row r="36">
      <c r="A36" s="8" t="inlineStr">
        <is>
          <t>Anvarjon</t>
        </is>
      </c>
      <c r="B36" s="9" t="inlineStr">
        <is>
          <t>998943090804</t>
        </is>
      </c>
      <c r="C36" s="8" t="inlineStr">
        <is>
          <t>Наманган вилояти, Уйчи тумани</t>
        </is>
      </c>
      <c r="D36" s="10">
        <f>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$A36),"ё","yo"),"ю","yu"),"я","ya"),"ц","ts"),"ч","ch"),"ш","sh"),"щ","sh"),"ў","o"),"қ","q"),"ғ","g"),"ҳ","h"),"а","a"),"б","b"),"в","v"),"г","g"),"д","d"),"е","e"),"ж","j"),"з","z"),"и","i"),"й","y"),"к","k"),"л","l"),"м","m"),"н","n"),"о","o"),"п","p"),"р","r"),"с","s"),"т","t"),"у","u"),"ф","f"),"х","x"),"ъ",""),"ы","i"),"ь",""),"э","e"),"'",""),"‘",""),"’",""),"ʻ",""),"ʼ",""),"`",""))</f>
        <v/>
      </c>
      <c r="E36" s="11">
        <f>COUNTIF($D$4:$D$53,$D36)</f>
        <v/>
      </c>
    </row>
    <row r="37">
      <c r="A37" s="8" t="inlineStr">
        <is>
          <t>Anvarjon Nasibjonovich</t>
        </is>
      </c>
      <c r="B37" s="9" t="inlineStr">
        <is>
          <t>998955852229</t>
        </is>
      </c>
      <c r="C37" s="8" t="inlineStr">
        <is>
          <t>Андижон вилояти, Андижон тумани</t>
        </is>
      </c>
      <c r="D37" s="10">
        <f>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$A37),"ё","yo"),"ю","yu"),"я","ya"),"ц","ts"),"ч","ch"),"ш","sh"),"щ","sh"),"ў","o"),"қ","q"),"ғ","g"),"ҳ","h"),"а","a"),"б","b"),"в","v"),"г","g"),"д","d"),"е","e"),"ж","j"),"з","z"),"и","i"),"й","y"),"к","k"),"л","l"),"м","m"),"н","n"),"о","o"),"п","p"),"р","r"),"с","s"),"т","t"),"у","u"),"ф","f"),"х","x"),"ъ",""),"ы","i"),"ь",""),"э","e"),"'",""),"‘",""),"’",""),"ʻ",""),"ʼ",""),"`",""))</f>
        <v/>
      </c>
      <c r="E37" s="11">
        <f>COUNTIF($D$4:$D$53,$D37)</f>
        <v/>
      </c>
    </row>
    <row r="38">
      <c r="A38" s="8" t="inlineStr">
        <is>
          <t>Avazbek</t>
        </is>
      </c>
      <c r="B38" s="9" t="inlineStr">
        <is>
          <t>998933337266</t>
        </is>
      </c>
      <c r="C38" s="8" t="inlineStr">
        <is>
          <t>Андижон вилояти, Пахтаобод тумани</t>
        </is>
      </c>
      <c r="D38" s="10">
        <f>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$A38),"ё","yo"),"ю","yu"),"я","ya"),"ц","ts"),"ч","ch"),"ш","sh"),"щ","sh"),"ў","o"),"қ","q"),"ғ","g"),"ҳ","h"),"а","a"),"б","b"),"в","v"),"г","g"),"д","d"),"е","e"),"ж","j"),"з","z"),"и","i"),"й","y"),"к","k"),"л","l"),"м","m"),"н","n"),"о","o"),"п","p"),"р","r"),"с","s"),"т","t"),"у","u"),"ф","f"),"х","x"),"ъ",""),"ы","i"),"ь",""),"э","e"),"'",""),"‘",""),"’",""),"ʻ",""),"ʼ",""),"`",""))</f>
        <v/>
      </c>
      <c r="E38" s="11">
        <f>COUNTIF($D$4:$D$53,$D38)</f>
        <v/>
      </c>
    </row>
    <row r="39">
      <c r="A39" s="8" t="inlineStr">
        <is>
          <t>Azambek</t>
        </is>
      </c>
      <c r="B39" s="9" t="inlineStr">
        <is>
          <t>998936150418</t>
        </is>
      </c>
      <c r="C39" s="8" t="inlineStr">
        <is>
          <t>Андижон вилояти, Избоскан тумани</t>
        </is>
      </c>
      <c r="D39" s="10">
        <f>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$A39),"ё","yo"),"ю","yu"),"я","ya"),"ц","ts"),"ч","ch"),"ш","sh"),"щ","sh"),"ў","o"),"қ","q"),"ғ","g"),"ҳ","h"),"а","a"),"б","b"),"в","v"),"г","g"),"д","d"),"е","e"),"ж","j"),"з","z"),"и","i"),"й","y"),"к","k"),"л","l"),"м","m"),"н","n"),"о","o"),"п","p"),"р","r"),"с","s"),"т","t"),"у","u"),"ф","f"),"х","x"),"ъ",""),"ы","i"),"ь",""),"э","e"),"'",""),"‘",""),"’",""),"ʻ",""),"ʼ",""),"`",""))</f>
        <v/>
      </c>
      <c r="E39" s="11">
        <f>COUNTIF($D$4:$D$53,$D39)</f>
        <v/>
      </c>
    </row>
    <row r="40">
      <c r="A40" s="8" t="inlineStr">
        <is>
          <t>Azamjon</t>
        </is>
      </c>
      <c r="B40" s="9" t="inlineStr">
        <is>
          <t>998998986768</t>
        </is>
      </c>
      <c r="C40" s="8" t="inlineStr">
        <is>
          <t>Наманган вилояти, Косонсой тумани, Tergachi</t>
        </is>
      </c>
      <c r="D40" s="10">
        <f>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$A40),"ё","yo"),"ю","yu"),"я","ya"),"ц","ts"),"ч","ch"),"ш","sh"),"щ","sh"),"ў","o"),"қ","q"),"ғ","g"),"ҳ","h"),"а","a"),"б","b"),"в","v"),"г","g"),"д","d"),"е","e"),"ж","j"),"з","z"),"и","i"),"й","y"),"к","k"),"л","l"),"м","m"),"н","n"),"о","o"),"п","p"),"р","r"),"с","s"),"т","t"),"у","u"),"ф","f"),"х","x"),"ъ",""),"ы","i"),"ь",""),"э","e"),"'",""),"‘",""),"’",""),"ʻ",""),"ʼ",""),"`",""))</f>
        <v/>
      </c>
      <c r="E40" s="11">
        <f>COUNTIF($D$4:$D$53,$D40)</f>
        <v/>
      </c>
    </row>
    <row r="41">
      <c r="A41" s="8" t="inlineStr">
        <is>
          <t>Azamjon Rahmonov</t>
        </is>
      </c>
      <c r="B41" s="9" t="inlineStr">
        <is>
          <t>998945650140</t>
        </is>
      </c>
      <c r="C41" s="8" t="inlineStr">
        <is>
          <t>Андижон вилояти, Избоскан тумани</t>
        </is>
      </c>
      <c r="D41" s="10">
        <f>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$A41),"ё","yo"),"ю","yu"),"я","ya"),"ц","ts"),"ч","ch"),"ш","sh"),"щ","sh"),"ў","o"),"қ","q"),"ғ","g"),"ҳ","h"),"а","a"),"б","b"),"в","v"),"г","g"),"д","d"),"е","e"),"ж","j"),"з","z"),"и","i"),"й","y"),"к","k"),"л","l"),"м","m"),"н","n"),"о","o"),"п","p"),"р","r"),"с","s"),"т","t"),"у","u"),"ф","f"),"х","x"),"ъ",""),"ы","i"),"ь",""),"э","e"),"'",""),"‘",""),"’",""),"ʻ",""),"ʼ",""),"`",""))</f>
        <v/>
      </c>
      <c r="E41" s="11">
        <f>COUNTIF($D$4:$D$53,$D41)</f>
        <v/>
      </c>
    </row>
    <row r="42">
      <c r="A42" s="8" t="inlineStr">
        <is>
          <t>Bahrom aka, Qo'q'ay</t>
        </is>
      </c>
      <c r="B42" s="9" t="inlineStr">
        <is>
          <t>998945053000</t>
        </is>
      </c>
      <c r="C42" s="8" t="inlineStr">
        <is>
          <t>Наманган вилояти, Учқўрғон тумани, Qo'g'ay</t>
        </is>
      </c>
      <c r="D42" s="10">
        <f>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$A42),"ё","yo"),"ю","yu"),"я","ya"),"ц","ts"),"ч","ch"),"ш","sh"),"щ","sh"),"ў","o"),"қ","q"),"ғ","g"),"ҳ","h"),"а","a"),"б","b"),"в","v"),"г","g"),"д","d"),"е","e"),"ж","j"),"з","z"),"и","i"),"й","y"),"к","k"),"л","l"),"м","m"),"н","n"),"о","o"),"п","p"),"р","r"),"с","s"),"т","t"),"у","u"),"ф","f"),"х","x"),"ъ",""),"ы","i"),"ь",""),"э","e"),"'",""),"‘",""),"’",""),"ʻ",""),"ʼ",""),"`",""))</f>
        <v/>
      </c>
      <c r="E42" s="11">
        <f>COUNTIF($D$4:$D$53,$D42)</f>
        <v/>
      </c>
    </row>
    <row r="43">
      <c r="A43" s="8" t="inlineStr">
        <is>
          <t>Baxodir</t>
        </is>
      </c>
      <c r="B43" s="9" t="inlineStr">
        <is>
          <t>998995177576</t>
        </is>
      </c>
      <c r="C43" s="8" t="inlineStr">
        <is>
          <t>Наманган вилояти, Уйчи тумани</t>
        </is>
      </c>
      <c r="D43" s="10">
        <f>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$A43),"ё","yo"),"ю","yu"),"я","ya"),"ц","ts"),"ч","ch"),"ш","sh"),"щ","sh"),"ў","o"),"қ","q"),"ғ","g"),"ҳ","h"),"а","a"),"б","b"),"в","v"),"г","g"),"д","d"),"е","e"),"ж","j"),"з","z"),"и","i"),"й","y"),"к","k"),"л","l"),"м","m"),"н","n"),"о","o"),"п","p"),"р","r"),"с","s"),"т","t"),"у","u"),"ф","f"),"х","x"),"ъ",""),"ы","i"),"ь",""),"э","e"),"'",""),"‘",""),"’",""),"ʻ",""),"ʼ",""),"`",""))</f>
        <v/>
      </c>
      <c r="E43" s="11">
        <f>COUNTIF($D$4:$D$53,$D43)</f>
        <v/>
      </c>
    </row>
    <row r="44">
      <c r="A44" s="8" t="inlineStr">
        <is>
          <t>Baxodir</t>
        </is>
      </c>
      <c r="B44" s="9" t="inlineStr">
        <is>
          <t>998934290084</t>
        </is>
      </c>
      <c r="C44" s="8" t="inlineStr">
        <is>
          <t>Наманган вилояти, Янгиқўрғон тумани, Michurin</t>
        </is>
      </c>
      <c r="D44" s="10">
        <f>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$A44),"ё","yo"),"ю","yu"),"я","ya"),"ц","ts"),"ч","ch"),"ш","sh"),"щ","sh"),"ў","o"),"қ","q"),"ғ","g"),"ҳ","h"),"а","a"),"б","b"),"в","v"),"г","g"),"д","d"),"е","e"),"ж","j"),"з","z"),"и","i"),"й","y"),"к","k"),"л","l"),"м","m"),"н","n"),"о","o"),"п","p"),"р","r"),"с","s"),"т","t"),"у","u"),"ф","f"),"х","x"),"ъ",""),"ы","i"),"ь",""),"э","e"),"'",""),"‘",""),"’",""),"ʻ",""),"ʼ",""),"`",""))</f>
        <v/>
      </c>
      <c r="E44" s="11">
        <f>COUNTIF($D$4:$D$53,$D44)</f>
        <v/>
      </c>
    </row>
    <row r="45">
      <c r="A45" s="8" t="inlineStr">
        <is>
          <t>Baxtiyor</t>
        </is>
      </c>
      <c r="B45" s="9" t="inlineStr">
        <is>
          <t>998936707971</t>
        </is>
      </c>
      <c r="C45" s="8" t="inlineStr">
        <is>
          <t>Наманган вилояти, Янгиқўрғон тумани, Begovot</t>
        </is>
      </c>
      <c r="D45" s="10">
        <f>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$A45),"ё","yo"),"ю","yu"),"я","ya"),"ц","ts"),"ч","ch"),"ш","sh"),"щ","sh"),"ў","o"),"қ","q"),"ғ","g"),"ҳ","h"),"а","a"),"б","b"),"в","v"),"г","g"),"д","d"),"е","e"),"ж","j"),"з","z"),"и","i"),"й","y"),"к","k"),"л","l"),"м","m"),"н","n"),"о","o"),"п","p"),"р","r"),"с","s"),"т","t"),"у","u"),"ф","f"),"х","x"),"ъ",""),"ы","i"),"ь",""),"э","e"),"'",""),"‘",""),"’",""),"ʻ",""),"ʼ",""),"`",""))</f>
        <v/>
      </c>
      <c r="E45" s="11">
        <f>COUNTIF($D$4:$D$53,$D45)</f>
        <v/>
      </c>
    </row>
    <row r="46">
      <c r="A46" s="8" t="inlineStr">
        <is>
          <t>Bekmurod</t>
        </is>
      </c>
      <c r="B46" s="9" t="inlineStr">
        <is>
          <t>998991188557</t>
        </is>
      </c>
      <c r="C46" s="8" t="inlineStr">
        <is>
          <t>Андижон вилояти, Жалақудуқ тумани</t>
        </is>
      </c>
      <c r="D46" s="10">
        <f>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$A46),"ё","yo"),"ю","yu"),"я","ya"),"ц","ts"),"ч","ch"),"ш","sh"),"щ","sh"),"ў","o"),"қ","q"),"ғ","g"),"ҳ","h"),"а","a"),"б","b"),"в","v"),"г","g"),"д","d"),"е","e"),"ж","j"),"з","z"),"и","i"),"й","y"),"к","k"),"л","l"),"м","m"),"н","n"),"о","o"),"п","p"),"р","r"),"с","s"),"т","t"),"у","u"),"ф","f"),"х","x"),"ъ",""),"ы","i"),"ь",""),"э","e"),"'",""),"‘",""),"’",""),"ʻ",""),"ʼ",""),"`",""))</f>
        <v/>
      </c>
      <c r="E46" s="11">
        <f>COUNTIF($D$4:$D$53,$D46)</f>
        <v/>
      </c>
    </row>
    <row r="47">
      <c r="A47" s="8" t="inlineStr">
        <is>
          <t>Bobur</t>
        </is>
      </c>
      <c r="B47" s="9" t="inlineStr">
        <is>
          <t>998958819098</t>
        </is>
      </c>
      <c r="C47" s="8" t="inlineStr">
        <is>
          <t>Yangiqo'rg'on, Texnikum</t>
        </is>
      </c>
      <c r="D47" s="10">
        <f>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$A47),"ё","yo"),"ю","yu"),"я","ya"),"ц","ts"),"ч","ch"),"ш","sh"),"щ","sh"),"ў","o"),"қ","q"),"ғ","g"),"ҳ","h"),"а","a"),"б","b"),"в","v"),"г","g"),"д","d"),"е","e"),"ж","j"),"з","z"),"и","i"),"й","y"),"к","k"),"л","l"),"м","m"),"н","n"),"о","o"),"п","p"),"р","r"),"с","s"),"т","t"),"у","u"),"ф","f"),"х","x"),"ъ",""),"ы","i"),"ь",""),"э","e"),"'",""),"‘",""),"’",""),"ʻ",""),"ʼ",""),"`",""))</f>
        <v/>
      </c>
      <c r="E47" s="11">
        <f>COUNTIF($D$4:$D$53,$D47)</f>
        <v/>
      </c>
    </row>
    <row r="48">
      <c r="A48" s="8" t="inlineStr">
        <is>
          <t>Cho'ja</t>
        </is>
      </c>
      <c r="B48" s="9" t="inlineStr">
        <is>
          <t>998993689266</t>
        </is>
      </c>
      <c r="C48" s="8" t="inlineStr">
        <is>
          <t>Наманган вилояти, Норин тумани</t>
        </is>
      </c>
      <c r="D48" s="10">
        <f>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$A48),"ё","yo"),"ю","yu"),"я","ya"),"ц","ts"),"ч","ch"),"ш","sh"),"щ","sh"),"ў","o"),"қ","q"),"ғ","g"),"ҳ","h"),"а","a"),"б","b"),"в","v"),"г","g"),"д","d"),"е","e"),"ж","j"),"з","z"),"и","i"),"й","y"),"к","k"),"л","l"),"м","m"),"н","n"),"о","o"),"п","p"),"р","r"),"с","s"),"т","t"),"у","u"),"ф","f"),"х","x"),"ъ",""),"ы","i"),"ь",""),"э","e"),"'",""),"‘",""),"’",""),"ʻ",""),"ʼ",""),"`",""))</f>
        <v/>
      </c>
      <c r="E48" s="11">
        <f>COUNTIF($D$4:$D$53,$D48)</f>
        <v/>
      </c>
    </row>
    <row r="49">
      <c r="A49" s="8" t="inlineStr">
        <is>
          <t>Chortoq 7575</t>
        </is>
      </c>
      <c r="B49" s="9" t="inlineStr">
        <is>
          <t>998999178587</t>
        </is>
      </c>
      <c r="C49" s="8" t="inlineStr">
        <is>
          <t>Namangan viloyati, Chortoq tumani</t>
        </is>
      </c>
      <c r="D49" s="10">
        <f>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$A49),"ё","yo"),"ю","yu"),"я","ya"),"ц","ts"),"ч","ch"),"ш","sh"),"щ","sh"),"ў","o"),"қ","q"),"ғ","g"),"ҳ","h"),"а","a"),"б","b"),"в","v"),"г","g"),"д","d"),"е","e"),"ж","j"),"з","z"),"и","i"),"й","y"),"к","k"),"л","l"),"м","m"),"н","n"),"о","o"),"п","p"),"р","r"),"с","s"),"т","t"),"у","u"),"ф","f"),"х","x"),"ъ",""),"ы","i"),"ь",""),"э","e"),"'",""),"‘",""),"’",""),"ʻ",""),"ʼ",""),"`",""))</f>
        <v/>
      </c>
      <c r="E49" s="11">
        <f>COUNTIF($D$4:$D$53,$D49)</f>
        <v/>
      </c>
    </row>
    <row r="50">
      <c r="A50" s="8" t="inlineStr">
        <is>
          <t>Davron</t>
        </is>
      </c>
      <c r="B50" s="9" t="inlineStr">
        <is>
          <t>998972508663</t>
        </is>
      </c>
      <c r="C50" s="8" t="inlineStr">
        <is>
          <t>Наманган вилояти, Radivon</t>
        </is>
      </c>
      <c r="D50" s="10">
        <f>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$A50),"ё","yo"),"ю","yu"),"я","ya"),"ц","ts"),"ч","ch"),"ш","sh"),"щ","sh"),"ў","o"),"қ","q"),"ғ","g"),"ҳ","h"),"а","a"),"б","b"),"в","v"),"г","g"),"д","d"),"е","e"),"ж","j"),"з","z"),"и","i"),"й","y"),"к","k"),"л","l"),"м","m"),"н","n"),"о","o"),"п","p"),"р","r"),"с","s"),"т","t"),"у","u"),"ф","f"),"х","x"),"ъ",""),"ы","i"),"ь",""),"э","e"),"'",""),"‘",""),"’",""),"ʻ",""),"ʼ",""),"`",""))</f>
        <v/>
      </c>
      <c r="E50" s="11">
        <f>COUNTIF($D$4:$D$53,$D50)</f>
        <v/>
      </c>
    </row>
    <row r="51">
      <c r="A51" s="8" t="inlineStr">
        <is>
          <t>Davron</t>
        </is>
      </c>
      <c r="B51" s="9" t="inlineStr">
        <is>
          <t>998990704296</t>
        </is>
      </c>
      <c r="C51" s="8" t="inlineStr">
        <is>
          <t>Наманган вилояти, Тўрақўрғон тумани</t>
        </is>
      </c>
      <c r="D51" s="10">
        <f>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$A51),"ё","yo"),"ю","yu"),"я","ya"),"ц","ts"),"ч","ch"),"ш","sh"),"щ","sh"),"ў","o"),"қ","q"),"ғ","g"),"ҳ","h"),"а","a"),"б","b"),"в","v"),"г","g"),"д","d"),"е","e"),"ж","j"),"з","z"),"и","i"),"й","y"),"к","k"),"л","l"),"м","m"),"н","n"),"о","o"),"п","p"),"р","r"),"с","s"),"т","t"),"у","u"),"ф","f"),"х","x"),"ъ",""),"ы","i"),"ь",""),"э","e"),"'",""),"‘",""),"’",""),"ʻ",""),"ʼ",""),"`",""))</f>
        <v/>
      </c>
      <c r="E51" s="11">
        <f>COUNTIF($D$4:$D$53,$D51)</f>
        <v/>
      </c>
    </row>
    <row r="52">
      <c r="A52" s="8" t="inlineStr">
        <is>
          <t>Davron</t>
        </is>
      </c>
      <c r="B52" s="9" t="inlineStr">
        <is>
          <t>998887019797</t>
        </is>
      </c>
      <c r="C52" s="8" t="inlineStr">
        <is>
          <t>Наманган вилояти, Уйчи тумани</t>
        </is>
      </c>
      <c r="D52" s="10">
        <f>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$A52),"ё","yo"),"ю","yu"),"я","ya"),"ц","ts"),"ч","ch"),"ш","sh"),"щ","sh"),"ў","o"),"қ","q"),"ғ","g"),"ҳ","h"),"а","a"),"б","b"),"в","v"),"г","g"),"д","d"),"е","e"),"ж","j"),"з","z"),"и","i"),"й","y"),"к","k"),"л","l"),"м","m"),"н","n"),"о","o"),"п","p"),"р","r"),"с","s"),"т","t"),"у","u"),"ф","f"),"х","x"),"ъ",""),"ы","i"),"ь",""),"э","e"),"'",""),"‘",""),"’",""),"ʻ",""),"ʼ",""),"`",""))</f>
        <v/>
      </c>
      <c r="E52" s="11">
        <f>COUNTIF($D$4:$D$53,$D52)</f>
        <v/>
      </c>
    </row>
    <row r="53">
      <c r="A53" s="8" t="inlineStr">
        <is>
          <t>Davron Vahobov</t>
        </is>
      </c>
      <c r="B53" s="9" t="inlineStr">
        <is>
          <t>998941575550</t>
        </is>
      </c>
      <c r="C53" s="8" t="inlineStr">
        <is>
          <t>Namangan, Chorsu</t>
        </is>
      </c>
      <c r="D53" s="10">
        <f>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$A53),"ё","yo"),"ю","yu"),"я","ya"),"ц","ts"),"ч","ch"),"ш","sh"),"щ","sh"),"ў","o"),"қ","q"),"ғ","g"),"ҳ","h"),"а","a"),"б","b"),"в","v"),"г","g"),"д","d"),"е","e"),"ж","j"),"з","z"),"и","i"),"й","y"),"к","k"),"л","l"),"м","m"),"н","n"),"о","o"),"п","p"),"р","r"),"с","s"),"т","t"),"у","u"),"ф","f"),"х","x"),"ъ",""),"ы","i"),"ь",""),"э","e"),"'",""),"‘",""),"’",""),"ʻ",""),"ʼ",""),"`",""))</f>
        <v/>
      </c>
      <c r="E53" s="11">
        <f>COUNTIF($D$4:$D$53,$D53)</f>
        <v/>
      </c>
    </row>
  </sheetData>
  <mergeCells count="2">
    <mergeCell ref="A2:E2"/>
    <mergeCell ref="A1:E1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30" customWidth="1" min="3" max="3"/>
    <col width="16" customWidth="1" min="4" max="4"/>
    <col width="42" customWidth="1" min="5" max="5"/>
    <col width="9" customWidth="1" min="6" max="6"/>
  </cols>
  <sheetData>
    <row r="1" ht="22" customHeight="1">
      <c r="A1" s="1" t="inlineStr">
        <is>
          <t>Client Matcher</t>
        </is>
      </c>
    </row>
    <row r="2">
      <c r="A2" s="2" t="inlineStr">
        <is>
          <t>Type or paste names into the yellow column. Latin or Cyrillic, either works.</t>
        </is>
      </c>
    </row>
    <row r="3" ht="28" customHeight="1">
      <c r="A3" s="7" t="inlineStr">
        <is>
          <t>Name as you have it</t>
        </is>
      </c>
      <c r="B3" s="7" t="inlineStr">
        <is>
          <t>Normalised</t>
        </is>
      </c>
      <c r="C3" s="7" t="inlineStr">
        <is>
          <t>Matching CRM client</t>
        </is>
      </c>
      <c r="D3" s="7" t="inlineStr">
        <is>
          <t>Phone</t>
        </is>
      </c>
      <c r="E3" s="7" t="inlineStr">
        <is>
          <t>Result</t>
        </is>
      </c>
      <c r="F3" s="7" t="inlineStr">
        <is>
          <t>Matches</t>
        </is>
      </c>
    </row>
    <row r="4">
      <c r="A4" s="12" t="inlineStr">
        <is>
          <t>Халимжон</t>
        </is>
      </c>
      <c r="B4" s="10">
        <f>IF($A4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$A4),"ё","yo"),"ю","yu"),"я","ya"),"ц","ts"),"ч","ch"),"ш","sh"),"щ","sh"),"ў","o"),"қ","q"),"ғ","g"),"ҳ","h"),"а","a"),"б","b"),"в","v"),"г","g"),"д","d"),"е","e"),"ж","j"),"з","z"),"и","i"),"й","y"),"к","k"),"л","l"),"м","m"),"н","n"),"о","o"),"п","p"),"р","r"),"с","s"),"т","t"),"у","u"),"ф","f"),"х","x"),"ъ",""),"ы","i"),"ь",""),"э","e"),"'",""),"‘",""),"’",""),"ʻ",""),"ʼ",""),"`","")))</f>
        <v/>
      </c>
      <c r="C4" s="10">
        <f>IF($B4="","",IFERROR(INDEX('CRM Clients'!$A$4:$A$53,MATCH($B4,'CRM Clients'!$D$4:$D$53,0)),"not found"))</f>
        <v/>
      </c>
      <c r="D4" s="13">
        <f>IF($B4="","",IFERROR(INDEX('CRM Clients'!$B$4:$B$53,MATCH($B4,'CRM Clients'!$D$4:$D$53,0)),""))</f>
        <v/>
      </c>
      <c r="E4" s="10">
        <f>IF($B4="","",IF($F4=0,"no match - new client, or a typo",IF($F4&gt;1,"CHECK PHONE - "&amp;$F4&amp;" clients share this name","matched")))</f>
        <v/>
      </c>
      <c r="F4" s="11">
        <f>IF($B4="","",COUNTIF('CRM Clients'!$D$4:$D$53,$B4))</f>
        <v/>
      </c>
    </row>
    <row r="5">
      <c r="A5" s="12" t="inlineStr">
        <is>
          <t>ШУҲРАТЖОН АКА</t>
        </is>
      </c>
      <c r="B5" s="10">
        <f>IF($A5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$A5),"ё","yo"),"ю","yu"),"я","ya"),"ц","ts"),"ч","ch"),"ш","sh"),"щ","sh"),"ў","o"),"қ","q"),"ғ","g"),"ҳ","h"),"а","a"),"б","b"),"в","v"),"г","g"),"д","d"),"е","e"),"ж","j"),"з","z"),"и","i"),"й","y"),"к","k"),"л","l"),"м","m"),"н","n"),"о","o"),"п","p"),"р","r"),"с","s"),"т","t"),"у","u"),"ф","f"),"х","x"),"ъ",""),"ы","i"),"ь",""),"э","e"),"'",""),"‘",""),"’",""),"ʻ",""),"ʼ",""),"`","")))</f>
        <v/>
      </c>
      <c r="C5" s="10">
        <f>IF($B5="","",IFERROR(INDEX('CRM Clients'!$A$4:$A$53,MATCH($B5,'CRM Clients'!$D$4:$D$53,0)),"not found"))</f>
        <v/>
      </c>
      <c r="D5" s="13">
        <f>IF($B5="","",IFERROR(INDEX('CRM Clients'!$B$4:$B$53,MATCH($B5,'CRM Clients'!$D$4:$D$53,0)),""))</f>
        <v/>
      </c>
      <c r="E5" s="10">
        <f>IF($B5="","",IF($F5=0,"no match - new client, or a typo",IF($F5&gt;1,"CHECK PHONE - "&amp;$F5&amp;" clients share this name","matched")))</f>
        <v/>
      </c>
      <c r="F5" s="11">
        <f>IF($B5="","",COUNTIF('CRM Clients'!$D$4:$D$53,$B5))</f>
        <v/>
      </c>
    </row>
    <row r="6">
      <c r="A6" s="12" t="inlineStr">
        <is>
          <t>Abdulloh</t>
        </is>
      </c>
      <c r="B6" s="10">
        <f>IF($A6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$A6),"ё","yo"),"ю","yu"),"я","ya"),"ц","ts"),"ч","ch"),"ш","sh"),"щ","sh"),"ў","o"),"қ","q"),"ғ","g"),"ҳ","h"),"а","a"),"б","b"),"в","v"),"г","g"),"д","d"),"е","e"),"ж","j"),"з","z"),"и","i"),"й","y"),"к","k"),"л","l"),"м","m"),"н","n"),"о","o"),"п","p"),"р","r"),"с","s"),"т","t"),"у","u"),"ф","f"),"х","x"),"ъ",""),"ы","i"),"ь",""),"э","e"),"'",""),"‘",""),"’",""),"ʻ",""),"ʼ",""),"`","")))</f>
        <v/>
      </c>
      <c r="C6" s="10">
        <f>IF($B6="","",IFERROR(INDEX('CRM Clients'!$A$4:$A$53,MATCH($B6,'CRM Clients'!$D$4:$D$53,0)),"not found"))</f>
        <v/>
      </c>
      <c r="D6" s="13">
        <f>IF($B6="","",IFERROR(INDEX('CRM Clients'!$B$4:$B$53,MATCH($B6,'CRM Clients'!$D$4:$D$53,0)),""))</f>
        <v/>
      </c>
      <c r="E6" s="10">
        <f>IF($B6="","",IF($F6=0,"no match - new client, or a typo",IF($F6&gt;1,"CHECK PHONE - "&amp;$F6&amp;" clients share this name","matched")))</f>
        <v/>
      </c>
      <c r="F6" s="11">
        <f>IF($B6="","",COUNTIF('CRM Clients'!$D$4:$D$53,$B6))</f>
        <v/>
      </c>
    </row>
    <row r="7">
      <c r="A7" s="12" t="inlineStr">
        <is>
          <t>Баходир</t>
        </is>
      </c>
      <c r="B7" s="10">
        <f>IF($A7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$A7),"ё","yo"),"ю","yu"),"я","ya"),"ц","ts"),"ч","ch"),"ш","sh"),"щ","sh"),"ў","o"),"қ","q"),"ғ","g"),"ҳ","h"),"а","a"),"б","b"),"в","v"),"г","g"),"д","d"),"е","e"),"ж","j"),"з","z"),"и","i"),"й","y"),"к","k"),"л","l"),"м","m"),"н","n"),"о","o"),"п","p"),"р","r"),"с","s"),"т","t"),"у","u"),"ф","f"),"х","x"),"ъ",""),"ы","i"),"ь",""),"э","e"),"'",""),"‘",""),"’",""),"ʻ",""),"ʼ",""),"`","")))</f>
        <v/>
      </c>
      <c r="C7" s="10">
        <f>IF($B7="","",IFERROR(INDEX('CRM Clients'!$A$4:$A$53,MATCH($B7,'CRM Clients'!$D$4:$D$53,0)),"not found"))</f>
        <v/>
      </c>
      <c r="D7" s="13">
        <f>IF($B7="","",IFERROR(INDEX('CRM Clients'!$B$4:$B$53,MATCH($B7,'CRM Clients'!$D$4:$D$53,0)),""))</f>
        <v/>
      </c>
      <c r="E7" s="10">
        <f>IF($B7="","",IF($F7=0,"no match - new client, or a typo",IF($F7&gt;1,"CHECK PHONE - "&amp;$F7&amp;" clients share this name","matched")))</f>
        <v/>
      </c>
      <c r="F7" s="11">
        <f>IF($B7="","",COUNTIF('CRM Clients'!$D$4:$D$53,$B7))</f>
        <v/>
      </c>
    </row>
    <row r="8">
      <c r="A8" s="12" t="inlineStr">
        <is>
          <t>Davron Vahobov</t>
        </is>
      </c>
      <c r="B8" s="10">
        <f>IF($A8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$A8),"ё","yo"),"ю","yu"),"я","ya"),"ц","ts"),"ч","ch"),"ш","sh"),"щ","sh"),"ў","o"),"қ","q"),"ғ","g"),"ҳ","h"),"а","a"),"б","b"),"в","v"),"г","g"),"д","d"),"е","e"),"ж","j"),"з","z"),"и","i"),"й","y"),"к","k"),"л","l"),"м","m"),"н","n"),"о","o"),"п","p"),"р","r"),"с","s"),"т","t"),"у","u"),"ф","f"),"х","x"),"ъ",""),"ы","i"),"ь",""),"э","e"),"'",""),"‘",""),"’",""),"ʻ",""),"ʼ",""),"`","")))</f>
        <v/>
      </c>
      <c r="C8" s="10">
        <f>IF($B8="","",IFERROR(INDEX('CRM Clients'!$A$4:$A$53,MATCH($B8,'CRM Clients'!$D$4:$D$53,0)),"not found"))</f>
        <v/>
      </c>
      <c r="D8" s="13">
        <f>IF($B8="","",IFERROR(INDEX('CRM Clients'!$B$4:$B$53,MATCH($B8,'CRM Clients'!$D$4:$D$53,0)),""))</f>
        <v/>
      </c>
      <c r="E8" s="10">
        <f>IF($B8="","",IF($F8=0,"no match - new client, or a typo",IF($F8&gt;1,"CHECK PHONE - "&amp;$F8&amp;" clients share this name","matched")))</f>
        <v/>
      </c>
      <c r="F8" s="11">
        <f>IF($B8="","",COUNTIF('CRM Clients'!$D$4:$D$53,$B8))</f>
        <v/>
      </c>
    </row>
    <row r="9">
      <c r="A9" s="12" t="inlineStr">
        <is>
          <t>Нематжон</t>
        </is>
      </c>
      <c r="B9" s="10">
        <f>IF($A9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$A9),"ё","yo"),"ю","yu"),"я","ya"),"ц","ts"),"ч","ch"),"ш","sh"),"щ","sh"),"ў","o"),"қ","q"),"ғ","g"),"ҳ","h"),"а","a"),"б","b"),"в","v"),"г","g"),"д","d"),"е","e"),"ж","j"),"з","z"),"и","i"),"й","y"),"к","k"),"л","l"),"м","m"),"н","n"),"о","o"),"п","p"),"р","r"),"с","s"),"т","t"),"у","u"),"ф","f"),"х","x"),"ъ",""),"ы","i"),"ь",""),"э","e"),"'",""),"‘",""),"’",""),"ʻ",""),"ʼ",""),"`","")))</f>
        <v/>
      </c>
      <c r="C9" s="10">
        <f>IF($B9="","",IFERROR(INDEX('CRM Clients'!$A$4:$A$53,MATCH($B9,'CRM Clients'!$D$4:$D$53,0)),"not found"))</f>
        <v/>
      </c>
      <c r="D9" s="13">
        <f>IF($B9="","",IFERROR(INDEX('CRM Clients'!$B$4:$B$53,MATCH($B9,'CRM Clients'!$D$4:$D$53,0)),""))</f>
        <v/>
      </c>
      <c r="E9" s="10">
        <f>IF($B9="","",IF($F9=0,"no match - new client, or a typo",IF($F9&gt;1,"CHECK PHONE - "&amp;$F9&amp;" clients share this name","matched")))</f>
        <v/>
      </c>
      <c r="F9" s="11">
        <f>IF($B9="","",COUNTIF('CRM Clients'!$D$4:$D$53,$B9))</f>
        <v/>
      </c>
    </row>
    <row r="10">
      <c r="A10" s="12" t="n"/>
      <c r="B10" s="10">
        <f>IF($A10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$A10),"ё","yo"),"ю","yu"),"я","ya"),"ц","ts"),"ч","ch"),"ш","sh"),"щ","sh"),"ў","o"),"қ","q"),"ғ","g"),"ҳ","h"),"а","a"),"б","b"),"в","v"),"г","g"),"д","d"),"е","e"),"ж","j"),"з","z"),"и","i"),"й","y"),"к","k"),"л","l"),"м","m"),"н","n"),"о","o"),"п","p"),"р","r"),"с","s"),"т","t"),"у","u"),"ф","f"),"х","x"),"ъ",""),"ы","i"),"ь",""),"э","e"),"'",""),"‘",""),"’",""),"ʻ",""),"ʼ",""),"`","")))</f>
        <v/>
      </c>
      <c r="C10" s="10">
        <f>IF($B10="","",IFERROR(INDEX('CRM Clients'!$A$4:$A$53,MATCH($B10,'CRM Clients'!$D$4:$D$53,0)),"not found"))</f>
        <v/>
      </c>
      <c r="D10" s="13">
        <f>IF($B10="","",IFERROR(INDEX('CRM Clients'!$B$4:$B$53,MATCH($B10,'CRM Clients'!$D$4:$D$53,0)),""))</f>
        <v/>
      </c>
      <c r="E10" s="10">
        <f>IF($B10="","",IF($F10=0,"no match - new client, or a typo",IF($F10&gt;1,"CHECK PHONE - "&amp;$F10&amp;" clients share this name","matched")))</f>
        <v/>
      </c>
      <c r="F10" s="11">
        <f>IF($B10="","",COUNTIF('CRM Clients'!$D$4:$D$53,$B10))</f>
        <v/>
      </c>
    </row>
    <row r="11">
      <c r="A11" s="12" t="n"/>
      <c r="B11" s="10">
        <f>IF($A11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$A11),"ё","yo"),"ю","yu"),"я","ya"),"ц","ts"),"ч","ch"),"ш","sh"),"щ","sh"),"ў","o"),"қ","q"),"ғ","g"),"ҳ","h"),"а","a"),"б","b"),"в","v"),"г","g"),"д","d"),"е","e"),"ж","j"),"з","z"),"и","i"),"й","y"),"к","k"),"л","l"),"м","m"),"н","n"),"о","o"),"п","p"),"р","r"),"с","s"),"т","t"),"у","u"),"ф","f"),"х","x"),"ъ",""),"ы","i"),"ь",""),"э","e"),"'",""),"‘",""),"’",""),"ʻ",""),"ʼ",""),"`","")))</f>
        <v/>
      </c>
      <c r="C11" s="10">
        <f>IF($B11="","",IFERROR(INDEX('CRM Clients'!$A$4:$A$53,MATCH($B11,'CRM Clients'!$D$4:$D$53,0)),"not found"))</f>
        <v/>
      </c>
      <c r="D11" s="13">
        <f>IF($B11="","",IFERROR(INDEX('CRM Clients'!$B$4:$B$53,MATCH($B11,'CRM Clients'!$D$4:$D$53,0)),""))</f>
        <v/>
      </c>
      <c r="E11" s="10">
        <f>IF($B11="","",IF($F11=0,"no match - new client, or a typo",IF($F11&gt;1,"CHECK PHONE - "&amp;$F11&amp;" clients share this name","matched")))</f>
        <v/>
      </c>
      <c r="F11" s="11">
        <f>IF($B11="","",COUNTIF('CRM Clients'!$D$4:$D$53,$B11))</f>
        <v/>
      </c>
    </row>
    <row r="12">
      <c r="A12" s="12" t="n"/>
      <c r="B12" s="10">
        <f>IF($A12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$A12),"ё","yo"),"ю","yu"),"я","ya"),"ц","ts"),"ч","ch"),"ш","sh"),"щ","sh"),"ў","o"),"қ","q"),"ғ","g"),"ҳ","h"),"а","a"),"б","b"),"в","v"),"г","g"),"д","d"),"е","e"),"ж","j"),"з","z"),"и","i"),"й","y"),"к","k"),"л","l"),"м","m"),"н","n"),"о","o"),"п","p"),"р","r"),"с","s"),"т","t"),"у","u"),"ф","f"),"х","x"),"ъ",""),"ы","i"),"ь",""),"э","e"),"'",""),"‘",""),"’",""),"ʻ",""),"ʼ",""),"`","")))</f>
        <v/>
      </c>
      <c r="C12" s="10">
        <f>IF($B12="","",IFERROR(INDEX('CRM Clients'!$A$4:$A$53,MATCH($B12,'CRM Clients'!$D$4:$D$53,0)),"not found"))</f>
        <v/>
      </c>
      <c r="D12" s="13">
        <f>IF($B12="","",IFERROR(INDEX('CRM Clients'!$B$4:$B$53,MATCH($B12,'CRM Clients'!$D$4:$D$53,0)),""))</f>
        <v/>
      </c>
      <c r="E12" s="10">
        <f>IF($B12="","",IF($F12=0,"no match - new client, or a typo",IF($F12&gt;1,"CHECK PHONE - "&amp;$F12&amp;" clients share this name","matched")))</f>
        <v/>
      </c>
      <c r="F12" s="11">
        <f>IF($B12="","",COUNTIF('CRM Clients'!$D$4:$D$53,$B12))</f>
        <v/>
      </c>
    </row>
    <row r="13">
      <c r="A13" s="12" t="n"/>
      <c r="B13" s="10">
        <f>IF($A13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$A13),"ё","yo"),"ю","yu"),"я","ya"),"ц","ts"),"ч","ch"),"ш","sh"),"щ","sh"),"ў","o"),"қ","q"),"ғ","g"),"ҳ","h"),"а","a"),"б","b"),"в","v"),"г","g"),"д","d"),"е","e"),"ж","j"),"з","z"),"и","i"),"й","y"),"к","k"),"л","l"),"м","m"),"н","n"),"о","o"),"п","p"),"р","r"),"с","s"),"т","t"),"у","u"),"ф","f"),"х","x"),"ъ",""),"ы","i"),"ь",""),"э","e"),"'",""),"‘",""),"’",""),"ʻ",""),"ʼ",""),"`","")))</f>
        <v/>
      </c>
      <c r="C13" s="10">
        <f>IF($B13="","",IFERROR(INDEX('CRM Clients'!$A$4:$A$53,MATCH($B13,'CRM Clients'!$D$4:$D$53,0)),"not found"))</f>
        <v/>
      </c>
      <c r="D13" s="13">
        <f>IF($B13="","",IFERROR(INDEX('CRM Clients'!$B$4:$B$53,MATCH($B13,'CRM Clients'!$D$4:$D$53,0)),""))</f>
        <v/>
      </c>
      <c r="E13" s="10">
        <f>IF($B13="","",IF($F13=0,"no match - new client, or a typo",IF($F13&gt;1,"CHECK PHONE - "&amp;$F13&amp;" clients share this name","matched")))</f>
        <v/>
      </c>
      <c r="F13" s="11">
        <f>IF($B13="","",COUNTIF('CRM Clients'!$D$4:$D$53,$B13))</f>
        <v/>
      </c>
    </row>
    <row r="14">
      <c r="A14" s="12" t="n"/>
      <c r="B14" s="10">
        <f>IF($A14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$A14),"ё","yo"),"ю","yu"),"я","ya"),"ц","ts"),"ч","ch"),"ш","sh"),"щ","sh"),"ў","o"),"қ","q"),"ғ","g"),"ҳ","h"),"а","a"),"б","b"),"в","v"),"г","g"),"д","d"),"е","e"),"ж","j"),"з","z"),"и","i"),"й","y"),"к","k"),"л","l"),"м","m"),"н","n"),"о","o"),"п","p"),"р","r"),"с","s"),"т","t"),"у","u"),"ф","f"),"х","x"),"ъ",""),"ы","i"),"ь",""),"э","e"),"'",""),"‘",""),"’",""),"ʻ",""),"ʼ",""),"`","")))</f>
        <v/>
      </c>
      <c r="C14" s="10">
        <f>IF($B14="","",IFERROR(INDEX('CRM Clients'!$A$4:$A$53,MATCH($B14,'CRM Clients'!$D$4:$D$53,0)),"not found"))</f>
        <v/>
      </c>
      <c r="D14" s="13">
        <f>IF($B14="","",IFERROR(INDEX('CRM Clients'!$B$4:$B$53,MATCH($B14,'CRM Clients'!$D$4:$D$53,0)),""))</f>
        <v/>
      </c>
      <c r="E14" s="10">
        <f>IF($B14="","",IF($F14=0,"no match - new client, or a typo",IF($F14&gt;1,"CHECK PHONE - "&amp;$F14&amp;" clients share this name","matched")))</f>
        <v/>
      </c>
      <c r="F14" s="11">
        <f>IF($B14="","",COUNTIF('CRM Clients'!$D$4:$D$53,$B14))</f>
        <v/>
      </c>
    </row>
    <row r="15">
      <c r="A15" s="12" t="n"/>
      <c r="B15" s="10">
        <f>IF($A15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$A15),"ё","yo"),"ю","yu"),"я","ya"),"ц","ts"),"ч","ch"),"ш","sh"),"щ","sh"),"ў","o"),"қ","q"),"ғ","g"),"ҳ","h"),"а","a"),"б","b"),"в","v"),"г","g"),"д","d"),"е","e"),"ж","j"),"з","z"),"и","i"),"й","y"),"к","k"),"л","l"),"м","m"),"н","n"),"о","o"),"п","p"),"р","r"),"с","s"),"т","t"),"у","u"),"ф","f"),"х","x"),"ъ",""),"ы","i"),"ь",""),"э","e"),"'",""),"‘",""),"’",""),"ʻ",""),"ʼ",""),"`","")))</f>
        <v/>
      </c>
      <c r="C15" s="10">
        <f>IF($B15="","",IFERROR(INDEX('CRM Clients'!$A$4:$A$53,MATCH($B15,'CRM Clients'!$D$4:$D$53,0)),"not found"))</f>
        <v/>
      </c>
      <c r="D15" s="13">
        <f>IF($B15="","",IFERROR(INDEX('CRM Clients'!$B$4:$B$53,MATCH($B15,'CRM Clients'!$D$4:$D$53,0)),""))</f>
        <v/>
      </c>
      <c r="E15" s="10">
        <f>IF($B15="","",IF($F15=0,"no match - new client, or a typo",IF($F15&gt;1,"CHECK PHONE - "&amp;$F15&amp;" clients share this name","matched")))</f>
        <v/>
      </c>
      <c r="F15" s="11">
        <f>IF($B15="","",COUNTIF('CRM Clients'!$D$4:$D$53,$B15))</f>
        <v/>
      </c>
    </row>
    <row r="16">
      <c r="A16" s="12" t="n"/>
      <c r="B16" s="10">
        <f>IF($A16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$A16),"ё","yo"),"ю","yu"),"я","ya"),"ц","ts"),"ч","ch"),"ш","sh"),"щ","sh"),"ў","o"),"қ","q"),"ғ","g"),"ҳ","h"),"а","a"),"б","b"),"в","v"),"г","g"),"д","d"),"е","e"),"ж","j"),"з","z"),"и","i"),"й","y"),"к","k"),"л","l"),"м","m"),"н","n"),"о","o"),"п","p"),"р","r"),"с","s"),"т","t"),"у","u"),"ф","f"),"х","x"),"ъ",""),"ы","i"),"ь",""),"э","e"),"'",""),"‘",""),"’",""),"ʻ",""),"ʼ",""),"`","")))</f>
        <v/>
      </c>
      <c r="C16" s="10">
        <f>IF($B16="","",IFERROR(INDEX('CRM Clients'!$A$4:$A$53,MATCH($B16,'CRM Clients'!$D$4:$D$53,0)),"not found"))</f>
        <v/>
      </c>
      <c r="D16" s="13">
        <f>IF($B16="","",IFERROR(INDEX('CRM Clients'!$B$4:$B$53,MATCH($B16,'CRM Clients'!$D$4:$D$53,0)),""))</f>
        <v/>
      </c>
      <c r="E16" s="10">
        <f>IF($B16="","",IF($F16=0,"no match - new client, or a typo",IF($F16&gt;1,"CHECK PHONE - "&amp;$F16&amp;" clients share this name","matched")))</f>
        <v/>
      </c>
      <c r="F16" s="11">
        <f>IF($B16="","",COUNTIF('CRM Clients'!$D$4:$D$53,$B16))</f>
        <v/>
      </c>
    </row>
    <row r="17">
      <c r="A17" s="12" t="n"/>
      <c r="B17" s="10">
        <f>IF($A17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$A17),"ё","yo"),"ю","yu"),"я","ya"),"ц","ts"),"ч","ch"),"ш","sh"),"щ","sh"),"ў","o"),"қ","q"),"ғ","g"),"ҳ","h"),"а","a"),"б","b"),"в","v"),"г","g"),"д","d"),"е","e"),"ж","j"),"з","z"),"и","i"),"й","y"),"к","k"),"л","l"),"м","m"),"н","n"),"о","o"),"п","p"),"р","r"),"с","s"),"т","t"),"у","u"),"ф","f"),"х","x"),"ъ",""),"ы","i"),"ь",""),"э","e"),"'",""),"‘",""),"’",""),"ʻ",""),"ʼ",""),"`","")))</f>
        <v/>
      </c>
      <c r="C17" s="10">
        <f>IF($B17="","",IFERROR(INDEX('CRM Clients'!$A$4:$A$53,MATCH($B17,'CRM Clients'!$D$4:$D$53,0)),"not found"))</f>
        <v/>
      </c>
      <c r="D17" s="13">
        <f>IF($B17="","",IFERROR(INDEX('CRM Clients'!$B$4:$B$53,MATCH($B17,'CRM Clients'!$D$4:$D$53,0)),""))</f>
        <v/>
      </c>
      <c r="E17" s="10">
        <f>IF($B17="","",IF($F17=0,"no match - new client, or a typo",IF($F17&gt;1,"CHECK PHONE - "&amp;$F17&amp;" clients share this name","matched")))</f>
        <v/>
      </c>
      <c r="F17" s="11">
        <f>IF($B17="","",COUNTIF('CRM Clients'!$D$4:$D$53,$B17))</f>
        <v/>
      </c>
    </row>
    <row r="18">
      <c r="A18" s="12" t="n"/>
      <c r="B18" s="10">
        <f>IF($A18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$A18),"ё","yo"),"ю","yu"),"я","ya"),"ц","ts"),"ч","ch"),"ш","sh"),"щ","sh"),"ў","o"),"қ","q"),"ғ","g"),"ҳ","h"),"а","a"),"б","b"),"в","v"),"г","g"),"д","d"),"е","e"),"ж","j"),"з","z"),"и","i"),"й","y"),"к","k"),"л","l"),"м","m"),"н","n"),"о","o"),"п","p"),"р","r"),"с","s"),"т","t"),"у","u"),"ф","f"),"х","x"),"ъ",""),"ы","i"),"ь",""),"э","e"),"'",""),"‘",""),"’",""),"ʻ",""),"ʼ",""),"`","")))</f>
        <v/>
      </c>
      <c r="C18" s="10">
        <f>IF($B18="","",IFERROR(INDEX('CRM Clients'!$A$4:$A$53,MATCH($B18,'CRM Clients'!$D$4:$D$53,0)),"not found"))</f>
        <v/>
      </c>
      <c r="D18" s="13">
        <f>IF($B18="","",IFERROR(INDEX('CRM Clients'!$B$4:$B$53,MATCH($B18,'CRM Clients'!$D$4:$D$53,0)),""))</f>
        <v/>
      </c>
      <c r="E18" s="10">
        <f>IF($B18="","",IF($F18=0,"no match - new client, or a typo",IF($F18&gt;1,"CHECK PHONE - "&amp;$F18&amp;" clients share this name","matched")))</f>
        <v/>
      </c>
      <c r="F18" s="11">
        <f>IF($B18="","",COUNTIF('CRM Clients'!$D$4:$D$53,$B18))</f>
        <v/>
      </c>
    </row>
    <row r="19">
      <c r="A19" s="12" t="n"/>
      <c r="B19" s="10">
        <f>IF($A19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$A19),"ё","yo"),"ю","yu"),"я","ya"),"ц","ts"),"ч","ch"),"ш","sh"),"щ","sh"),"ў","o"),"қ","q"),"ғ","g"),"ҳ","h"),"а","a"),"б","b"),"в","v"),"г","g"),"д","d"),"е","e"),"ж","j"),"з","z"),"и","i"),"й","y"),"к","k"),"л","l"),"м","m"),"н","n"),"о","o"),"п","p"),"р","r"),"с","s"),"т","t"),"у","u"),"ф","f"),"х","x"),"ъ",""),"ы","i"),"ь",""),"э","e"),"'",""),"‘",""),"’",""),"ʻ",""),"ʼ",""),"`","")))</f>
        <v/>
      </c>
      <c r="C19" s="10">
        <f>IF($B19="","",IFERROR(INDEX('CRM Clients'!$A$4:$A$53,MATCH($B19,'CRM Clients'!$D$4:$D$53,0)),"not found"))</f>
        <v/>
      </c>
      <c r="D19" s="13">
        <f>IF($B19="","",IFERROR(INDEX('CRM Clients'!$B$4:$B$53,MATCH($B19,'CRM Clients'!$D$4:$D$53,0)),""))</f>
        <v/>
      </c>
      <c r="E19" s="10">
        <f>IF($B19="","",IF($F19=0,"no match - new client, or a typo",IF($F19&gt;1,"CHECK PHONE - "&amp;$F19&amp;" clients share this name","matched")))</f>
        <v/>
      </c>
      <c r="F19" s="11">
        <f>IF($B19="","",COUNTIF('CRM Clients'!$D$4:$D$53,$B19))</f>
        <v/>
      </c>
    </row>
    <row r="20">
      <c r="A20" s="12" t="n"/>
      <c r="B20" s="10">
        <f>IF($A20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$A20),"ё","yo"),"ю","yu"),"я","ya"),"ц","ts"),"ч","ch"),"ш","sh"),"щ","sh"),"ў","o"),"қ","q"),"ғ","g"),"ҳ","h"),"а","a"),"б","b"),"в","v"),"г","g"),"д","d"),"е","e"),"ж","j"),"з","z"),"и","i"),"й","y"),"к","k"),"л","l"),"м","m"),"н","n"),"о","o"),"п","p"),"р","r"),"с","s"),"т","t"),"у","u"),"ф","f"),"х","x"),"ъ",""),"ы","i"),"ь",""),"э","e"),"'",""),"‘",""),"’",""),"ʻ",""),"ʼ",""),"`","")))</f>
        <v/>
      </c>
      <c r="C20" s="10">
        <f>IF($B20="","",IFERROR(INDEX('CRM Clients'!$A$4:$A$53,MATCH($B20,'CRM Clients'!$D$4:$D$53,0)),"not found"))</f>
        <v/>
      </c>
      <c r="D20" s="13">
        <f>IF($B20="","",IFERROR(INDEX('CRM Clients'!$B$4:$B$53,MATCH($B20,'CRM Clients'!$D$4:$D$53,0)),""))</f>
        <v/>
      </c>
      <c r="E20" s="10">
        <f>IF($B20="","",IF($F20=0,"no match - new client, or a typo",IF($F20&gt;1,"CHECK PHONE - "&amp;$F20&amp;" clients share this name","matched")))</f>
        <v/>
      </c>
      <c r="F20" s="11">
        <f>IF($B20="","",COUNTIF('CRM Clients'!$D$4:$D$53,$B20))</f>
        <v/>
      </c>
    </row>
    <row r="21">
      <c r="A21" s="12" t="n"/>
      <c r="B21" s="10">
        <f>IF($A21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$A21),"ё","yo"),"ю","yu"),"я","ya"),"ц","ts"),"ч","ch"),"ш","sh"),"щ","sh"),"ў","o"),"қ","q"),"ғ","g"),"ҳ","h"),"а","a"),"б","b"),"в","v"),"г","g"),"д","d"),"е","e"),"ж","j"),"з","z"),"и","i"),"й","y"),"к","k"),"л","l"),"м","m"),"н","n"),"о","o"),"п","p"),"р","r"),"с","s"),"т","t"),"у","u"),"ф","f"),"х","x"),"ъ",""),"ы","i"),"ь",""),"э","e"),"'",""),"‘",""),"’",""),"ʻ",""),"ʼ",""),"`","")))</f>
        <v/>
      </c>
      <c r="C21" s="10">
        <f>IF($B21="","",IFERROR(INDEX('CRM Clients'!$A$4:$A$53,MATCH($B21,'CRM Clients'!$D$4:$D$53,0)),"not found"))</f>
        <v/>
      </c>
      <c r="D21" s="13">
        <f>IF($B21="","",IFERROR(INDEX('CRM Clients'!$B$4:$B$53,MATCH($B21,'CRM Clients'!$D$4:$D$53,0)),""))</f>
        <v/>
      </c>
      <c r="E21" s="10">
        <f>IF($B21="","",IF($F21=0,"no match - new client, or a typo",IF($F21&gt;1,"CHECK PHONE - "&amp;$F21&amp;" clients share this name","matched")))</f>
        <v/>
      </c>
      <c r="F21" s="11">
        <f>IF($B21="","",COUNTIF('CRM Clients'!$D$4:$D$53,$B21))</f>
        <v/>
      </c>
    </row>
    <row r="22">
      <c r="A22" s="12" t="n"/>
      <c r="B22" s="10">
        <f>IF($A22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$A22),"ё","yo"),"ю","yu"),"я","ya"),"ц","ts"),"ч","ch"),"ш","sh"),"щ","sh"),"ў","o"),"қ","q"),"ғ","g"),"ҳ","h"),"а","a"),"б","b"),"в","v"),"г","g"),"д","d"),"е","e"),"ж","j"),"з","z"),"и","i"),"й","y"),"к","k"),"л","l"),"м","m"),"н","n"),"о","o"),"п","p"),"р","r"),"с","s"),"т","t"),"у","u"),"ф","f"),"х","x"),"ъ",""),"ы","i"),"ь",""),"э","e"),"'",""),"‘",""),"’",""),"ʻ",""),"ʼ",""),"`","")))</f>
        <v/>
      </c>
      <c r="C22" s="10">
        <f>IF($B22="","",IFERROR(INDEX('CRM Clients'!$A$4:$A$53,MATCH($B22,'CRM Clients'!$D$4:$D$53,0)),"not found"))</f>
        <v/>
      </c>
      <c r="D22" s="13">
        <f>IF($B22="","",IFERROR(INDEX('CRM Clients'!$B$4:$B$53,MATCH($B22,'CRM Clients'!$D$4:$D$53,0)),""))</f>
        <v/>
      </c>
      <c r="E22" s="10">
        <f>IF($B22="","",IF($F22=0,"no match - new client, or a typo",IF($F22&gt;1,"CHECK PHONE - "&amp;$F22&amp;" clients share this name","matched")))</f>
        <v/>
      </c>
      <c r="F22" s="11">
        <f>IF($B22="","",COUNTIF('CRM Clients'!$D$4:$D$53,$B22))</f>
        <v/>
      </c>
    </row>
    <row r="23">
      <c r="A23" s="12" t="n"/>
      <c r="B23" s="10">
        <f>IF($A23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$A23),"ё","yo"),"ю","yu"),"я","ya"),"ц","ts"),"ч","ch"),"ш","sh"),"щ","sh"),"ў","o"),"қ","q"),"ғ","g"),"ҳ","h"),"а","a"),"б","b"),"в","v"),"г","g"),"д","d"),"е","e"),"ж","j"),"з","z"),"и","i"),"й","y"),"к","k"),"л","l"),"м","m"),"н","n"),"о","o"),"п","p"),"р","r"),"с","s"),"т","t"),"у","u"),"ф","f"),"х","x"),"ъ",""),"ы","i"),"ь",""),"э","e"),"'",""),"‘",""),"’",""),"ʻ",""),"ʼ",""),"`","")))</f>
        <v/>
      </c>
      <c r="C23" s="10">
        <f>IF($B23="","",IFERROR(INDEX('CRM Clients'!$A$4:$A$53,MATCH($B23,'CRM Clients'!$D$4:$D$53,0)),"not found"))</f>
        <v/>
      </c>
      <c r="D23" s="13">
        <f>IF($B23="","",IFERROR(INDEX('CRM Clients'!$B$4:$B$53,MATCH($B23,'CRM Clients'!$D$4:$D$53,0)),""))</f>
        <v/>
      </c>
      <c r="E23" s="10">
        <f>IF($B23="","",IF($F23=0,"no match - new client, or a typo",IF($F23&gt;1,"CHECK PHONE - "&amp;$F23&amp;" clients share this name","matched")))</f>
        <v/>
      </c>
      <c r="F23" s="11">
        <f>IF($B23="","",COUNTIF('CRM Clients'!$D$4:$D$53,$B23))</f>
        <v/>
      </c>
    </row>
    <row r="24">
      <c r="A24" s="12" t="n"/>
      <c r="B24" s="10">
        <f>IF($A24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$A24),"ё","yo"),"ю","yu"),"я","ya"),"ц","ts"),"ч","ch"),"ш","sh"),"щ","sh"),"ў","o"),"қ","q"),"ғ","g"),"ҳ","h"),"а","a"),"б","b"),"в","v"),"г","g"),"д","d"),"е","e"),"ж","j"),"з","z"),"и","i"),"й","y"),"к","k"),"л","l"),"м","m"),"н","n"),"о","o"),"п","p"),"р","r"),"с","s"),"т","t"),"у","u"),"ф","f"),"х","x"),"ъ",""),"ы","i"),"ь",""),"э","e"),"'",""),"‘",""),"’",""),"ʻ",""),"ʼ",""),"`","")))</f>
        <v/>
      </c>
      <c r="C24" s="10">
        <f>IF($B24="","",IFERROR(INDEX('CRM Clients'!$A$4:$A$53,MATCH($B24,'CRM Clients'!$D$4:$D$53,0)),"not found"))</f>
        <v/>
      </c>
      <c r="D24" s="13">
        <f>IF($B24="","",IFERROR(INDEX('CRM Clients'!$B$4:$B$53,MATCH($B24,'CRM Clients'!$D$4:$D$53,0)),""))</f>
        <v/>
      </c>
      <c r="E24" s="10">
        <f>IF($B24="","",IF($F24=0,"no match - new client, or a typo",IF($F24&gt;1,"CHECK PHONE - "&amp;$F24&amp;" clients share this name","matched")))</f>
        <v/>
      </c>
      <c r="F24" s="11">
        <f>IF($B24="","",COUNTIF('CRM Clients'!$D$4:$D$53,$B24))</f>
        <v/>
      </c>
    </row>
    <row r="25">
      <c r="A25" s="12" t="n"/>
      <c r="B25" s="10">
        <f>IF($A25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$A25),"ё","yo"),"ю","yu"),"я","ya"),"ц","ts"),"ч","ch"),"ш","sh"),"щ","sh"),"ў","o"),"қ","q"),"ғ","g"),"ҳ","h"),"а","a"),"б","b"),"в","v"),"г","g"),"д","d"),"е","e"),"ж","j"),"з","z"),"и","i"),"й","y"),"к","k"),"л","l"),"м","m"),"н","n"),"о","o"),"п","p"),"р","r"),"с","s"),"т","t"),"у","u"),"ф","f"),"х","x"),"ъ",""),"ы","i"),"ь",""),"э","e"),"'",""),"‘",""),"’",""),"ʻ",""),"ʼ",""),"`","")))</f>
        <v/>
      </c>
      <c r="C25" s="10">
        <f>IF($B25="","",IFERROR(INDEX('CRM Clients'!$A$4:$A$53,MATCH($B25,'CRM Clients'!$D$4:$D$53,0)),"not found"))</f>
        <v/>
      </c>
      <c r="D25" s="13">
        <f>IF($B25="","",IFERROR(INDEX('CRM Clients'!$B$4:$B$53,MATCH($B25,'CRM Clients'!$D$4:$D$53,0)),""))</f>
        <v/>
      </c>
      <c r="E25" s="10">
        <f>IF($B25="","",IF($F25=0,"no match - new client, or a typo",IF($F25&gt;1,"CHECK PHONE - "&amp;$F25&amp;" clients share this name","matched")))</f>
        <v/>
      </c>
      <c r="F25" s="11">
        <f>IF($B25="","",COUNTIF('CRM Clients'!$D$4:$D$53,$B25))</f>
        <v/>
      </c>
    </row>
    <row r="26">
      <c r="A26" s="12" t="n"/>
      <c r="B26" s="10">
        <f>IF($A26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$A26),"ё","yo"),"ю","yu"),"я","ya"),"ц","ts"),"ч","ch"),"ш","sh"),"щ","sh"),"ў","o"),"қ","q"),"ғ","g"),"ҳ","h"),"а","a"),"б","b"),"в","v"),"г","g"),"д","d"),"е","e"),"ж","j"),"з","z"),"и","i"),"й","y"),"к","k"),"л","l"),"м","m"),"н","n"),"о","o"),"п","p"),"р","r"),"с","s"),"т","t"),"у","u"),"ф","f"),"х","x"),"ъ",""),"ы","i"),"ь",""),"э","e"),"'",""),"‘",""),"’",""),"ʻ",""),"ʼ",""),"`","")))</f>
        <v/>
      </c>
      <c r="C26" s="10">
        <f>IF($B26="","",IFERROR(INDEX('CRM Clients'!$A$4:$A$53,MATCH($B26,'CRM Clients'!$D$4:$D$53,0)),"not found"))</f>
        <v/>
      </c>
      <c r="D26" s="13">
        <f>IF($B26="","",IFERROR(INDEX('CRM Clients'!$B$4:$B$53,MATCH($B26,'CRM Clients'!$D$4:$D$53,0)),""))</f>
        <v/>
      </c>
      <c r="E26" s="10">
        <f>IF($B26="","",IF($F26=0,"no match - new client, or a typo",IF($F26&gt;1,"CHECK PHONE - "&amp;$F26&amp;" clients share this name","matched")))</f>
        <v/>
      </c>
      <c r="F26" s="11">
        <f>IF($B26="","",COUNTIF('CRM Clients'!$D$4:$D$53,$B26))</f>
        <v/>
      </c>
    </row>
    <row r="27">
      <c r="A27" s="12" t="n"/>
      <c r="B27" s="10">
        <f>IF($A27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$A27),"ё","yo"),"ю","yu"),"я","ya"),"ц","ts"),"ч","ch"),"ш","sh"),"щ","sh"),"ў","o"),"қ","q"),"ғ","g"),"ҳ","h"),"а","a"),"б","b"),"в","v"),"г","g"),"д","d"),"е","e"),"ж","j"),"з","z"),"и","i"),"й","y"),"к","k"),"л","l"),"м","m"),"н","n"),"о","o"),"п","p"),"р","r"),"с","s"),"т","t"),"у","u"),"ф","f"),"х","x"),"ъ",""),"ы","i"),"ь",""),"э","e"),"'",""),"‘",""),"’",""),"ʻ",""),"ʼ",""),"`","")))</f>
        <v/>
      </c>
      <c r="C27" s="10">
        <f>IF($B27="","",IFERROR(INDEX('CRM Clients'!$A$4:$A$53,MATCH($B27,'CRM Clients'!$D$4:$D$53,0)),"not found"))</f>
        <v/>
      </c>
      <c r="D27" s="13">
        <f>IF($B27="","",IFERROR(INDEX('CRM Clients'!$B$4:$B$53,MATCH($B27,'CRM Clients'!$D$4:$D$53,0)),""))</f>
        <v/>
      </c>
      <c r="E27" s="10">
        <f>IF($B27="","",IF($F27=0,"no match - new client, or a typo",IF($F27&gt;1,"CHECK PHONE - "&amp;$F27&amp;" clients share this name","matched")))</f>
        <v/>
      </c>
      <c r="F27" s="11">
        <f>IF($B27="","",COUNTIF('CRM Clients'!$D$4:$D$53,$B27))</f>
        <v/>
      </c>
    </row>
    <row r="28">
      <c r="A28" s="12" t="n"/>
      <c r="B28" s="10">
        <f>IF($A28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$A28),"ё","yo"),"ю","yu"),"я","ya"),"ц","ts"),"ч","ch"),"ш","sh"),"щ","sh"),"ў","o"),"қ","q"),"ғ","g"),"ҳ","h"),"а","a"),"б","b"),"в","v"),"г","g"),"д","d"),"е","e"),"ж","j"),"з","z"),"и","i"),"й","y"),"к","k"),"л","l"),"м","m"),"н","n"),"о","o"),"п","p"),"р","r"),"с","s"),"т","t"),"у","u"),"ф","f"),"х","x"),"ъ",""),"ы","i"),"ь",""),"э","e"),"'",""),"‘",""),"’",""),"ʻ",""),"ʼ",""),"`","")))</f>
        <v/>
      </c>
      <c r="C28" s="10">
        <f>IF($B28="","",IFERROR(INDEX('CRM Clients'!$A$4:$A$53,MATCH($B28,'CRM Clients'!$D$4:$D$53,0)),"not found"))</f>
        <v/>
      </c>
      <c r="D28" s="13">
        <f>IF($B28="","",IFERROR(INDEX('CRM Clients'!$B$4:$B$53,MATCH($B28,'CRM Clients'!$D$4:$D$53,0)),""))</f>
        <v/>
      </c>
      <c r="E28" s="10">
        <f>IF($B28="","",IF($F28=0,"no match - new client, or a typo",IF($F28&gt;1,"CHECK PHONE - "&amp;$F28&amp;" clients share this name","matched")))</f>
        <v/>
      </c>
      <c r="F28" s="11">
        <f>IF($B28="","",COUNTIF('CRM Clients'!$D$4:$D$53,$B28))</f>
        <v/>
      </c>
    </row>
    <row r="29">
      <c r="A29" s="12" t="n"/>
      <c r="B29" s="10">
        <f>IF($A29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$A29),"ё","yo"),"ю","yu"),"я","ya"),"ц","ts"),"ч","ch"),"ш","sh"),"щ","sh"),"ў","o"),"қ","q"),"ғ","g"),"ҳ","h"),"а","a"),"б","b"),"в","v"),"г","g"),"д","d"),"е","e"),"ж","j"),"з","z"),"и","i"),"й","y"),"к","k"),"л","l"),"м","m"),"н","n"),"о","o"),"п","p"),"р","r"),"с","s"),"т","t"),"у","u"),"ф","f"),"х","x"),"ъ",""),"ы","i"),"ь",""),"э","e"),"'",""),"‘",""),"’",""),"ʻ",""),"ʼ",""),"`","")))</f>
        <v/>
      </c>
      <c r="C29" s="10">
        <f>IF($B29="","",IFERROR(INDEX('CRM Clients'!$A$4:$A$53,MATCH($B29,'CRM Clients'!$D$4:$D$53,0)),"not found"))</f>
        <v/>
      </c>
      <c r="D29" s="13">
        <f>IF($B29="","",IFERROR(INDEX('CRM Clients'!$B$4:$B$53,MATCH($B29,'CRM Clients'!$D$4:$D$53,0)),""))</f>
        <v/>
      </c>
      <c r="E29" s="10">
        <f>IF($B29="","",IF($F29=0,"no match - new client, or a typo",IF($F29&gt;1,"CHECK PHONE - "&amp;$F29&amp;" clients share this name","matched")))</f>
        <v/>
      </c>
      <c r="F29" s="11">
        <f>IF($B29="","",COUNTIF('CRM Clients'!$D$4:$D$53,$B29))</f>
        <v/>
      </c>
    </row>
    <row r="30">
      <c r="A30" s="12" t="n"/>
      <c r="B30" s="10">
        <f>IF($A30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$A30),"ё","yo"),"ю","yu"),"я","ya"),"ц","ts"),"ч","ch"),"ш","sh"),"щ","sh"),"ў","o"),"қ","q"),"ғ","g"),"ҳ","h"),"а","a"),"б","b"),"в","v"),"г","g"),"д","d"),"е","e"),"ж","j"),"з","z"),"и","i"),"й","y"),"к","k"),"л","l"),"м","m"),"н","n"),"о","o"),"п","p"),"р","r"),"с","s"),"т","t"),"у","u"),"ф","f"),"х","x"),"ъ",""),"ы","i"),"ь",""),"э","e"),"'",""),"‘",""),"’",""),"ʻ",""),"ʼ",""),"`","")))</f>
        <v/>
      </c>
      <c r="C30" s="10">
        <f>IF($B30="","",IFERROR(INDEX('CRM Clients'!$A$4:$A$53,MATCH($B30,'CRM Clients'!$D$4:$D$53,0)),"not found"))</f>
        <v/>
      </c>
      <c r="D30" s="13">
        <f>IF($B30="","",IFERROR(INDEX('CRM Clients'!$B$4:$B$53,MATCH($B30,'CRM Clients'!$D$4:$D$53,0)),""))</f>
        <v/>
      </c>
      <c r="E30" s="10">
        <f>IF($B30="","",IF($F30=0,"no match - new client, or a typo",IF($F30&gt;1,"CHECK PHONE - "&amp;$F30&amp;" clients share this name","matched")))</f>
        <v/>
      </c>
      <c r="F30" s="11">
        <f>IF($B30="","",COUNTIF('CRM Clients'!$D$4:$D$53,$B30))</f>
        <v/>
      </c>
    </row>
    <row r="31">
      <c r="A31" s="12" t="n"/>
      <c r="B31" s="10">
        <f>IF($A31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$A31),"ё","yo"),"ю","yu"),"я","ya"),"ц","ts"),"ч","ch"),"ш","sh"),"щ","sh"),"ў","o"),"қ","q"),"ғ","g"),"ҳ","h"),"а","a"),"б","b"),"в","v"),"г","g"),"д","d"),"е","e"),"ж","j"),"з","z"),"и","i"),"й","y"),"к","k"),"л","l"),"м","m"),"н","n"),"о","o"),"п","p"),"р","r"),"с","s"),"т","t"),"у","u"),"ф","f"),"х","x"),"ъ",""),"ы","i"),"ь",""),"э","e"),"'",""),"‘",""),"’",""),"ʻ",""),"ʼ",""),"`","")))</f>
        <v/>
      </c>
      <c r="C31" s="10">
        <f>IF($B31="","",IFERROR(INDEX('CRM Clients'!$A$4:$A$53,MATCH($B31,'CRM Clients'!$D$4:$D$53,0)),"not found"))</f>
        <v/>
      </c>
      <c r="D31" s="13">
        <f>IF($B31="","",IFERROR(INDEX('CRM Clients'!$B$4:$B$53,MATCH($B31,'CRM Clients'!$D$4:$D$53,0)),""))</f>
        <v/>
      </c>
      <c r="E31" s="10">
        <f>IF($B31="","",IF($F31=0,"no match - new client, or a typo",IF($F31&gt;1,"CHECK PHONE - "&amp;$F31&amp;" clients share this name","matched")))</f>
        <v/>
      </c>
      <c r="F31" s="11">
        <f>IF($B31="","",COUNTIF('CRM Clients'!$D$4:$D$53,$B31))</f>
        <v/>
      </c>
    </row>
    <row r="32">
      <c r="A32" s="12" t="n"/>
      <c r="B32" s="10">
        <f>IF($A32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$A32),"ё","yo"),"ю","yu"),"я","ya"),"ц","ts"),"ч","ch"),"ш","sh"),"щ","sh"),"ў","o"),"қ","q"),"ғ","g"),"ҳ","h"),"а","a"),"б","b"),"в","v"),"г","g"),"д","d"),"е","e"),"ж","j"),"з","z"),"и","i"),"й","y"),"к","k"),"л","l"),"м","m"),"н","n"),"о","o"),"п","p"),"р","r"),"с","s"),"т","t"),"у","u"),"ф","f"),"х","x"),"ъ",""),"ы","i"),"ь",""),"э","e"),"'",""),"‘",""),"’",""),"ʻ",""),"ʼ",""),"`","")))</f>
        <v/>
      </c>
      <c r="C32" s="10">
        <f>IF($B32="","",IFERROR(INDEX('CRM Clients'!$A$4:$A$53,MATCH($B32,'CRM Clients'!$D$4:$D$53,0)),"not found"))</f>
        <v/>
      </c>
      <c r="D32" s="13">
        <f>IF($B32="","",IFERROR(INDEX('CRM Clients'!$B$4:$B$53,MATCH($B32,'CRM Clients'!$D$4:$D$53,0)),""))</f>
        <v/>
      </c>
      <c r="E32" s="10">
        <f>IF($B32="","",IF($F32=0,"no match - new client, or a typo",IF($F32&gt;1,"CHECK PHONE - "&amp;$F32&amp;" clients share this name","matched")))</f>
        <v/>
      </c>
      <c r="F32" s="11">
        <f>IF($B32="","",COUNTIF('CRM Clients'!$D$4:$D$53,$B32))</f>
        <v/>
      </c>
    </row>
    <row r="33">
      <c r="A33" s="12" t="n"/>
      <c r="B33" s="10">
        <f>IF($A33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$A33),"ё","yo"),"ю","yu"),"я","ya"),"ц","ts"),"ч","ch"),"ш","sh"),"щ","sh"),"ў","o"),"қ","q"),"ғ","g"),"ҳ","h"),"а","a"),"б","b"),"в","v"),"г","g"),"д","d"),"е","e"),"ж","j"),"з","z"),"и","i"),"й","y"),"к","k"),"л","l"),"м","m"),"н","n"),"о","o"),"п","p"),"р","r"),"с","s"),"т","t"),"у","u"),"ф","f"),"х","x"),"ъ",""),"ы","i"),"ь",""),"э","e"),"'",""),"‘",""),"’",""),"ʻ",""),"ʼ",""),"`","")))</f>
        <v/>
      </c>
      <c r="C33" s="10">
        <f>IF($B33="","",IFERROR(INDEX('CRM Clients'!$A$4:$A$53,MATCH($B33,'CRM Clients'!$D$4:$D$53,0)),"not found"))</f>
        <v/>
      </c>
      <c r="D33" s="13">
        <f>IF($B33="","",IFERROR(INDEX('CRM Clients'!$B$4:$B$53,MATCH($B33,'CRM Clients'!$D$4:$D$53,0)),""))</f>
        <v/>
      </c>
      <c r="E33" s="10">
        <f>IF($B33="","",IF($F33=0,"no match - new client, or a typo",IF($F33&gt;1,"CHECK PHONE - "&amp;$F33&amp;" clients share this name","matched")))</f>
        <v/>
      </c>
      <c r="F33" s="11">
        <f>IF($B33="","",COUNTIF('CRM Clients'!$D$4:$D$53,$B33))</f>
        <v/>
      </c>
    </row>
    <row r="34">
      <c r="A34" s="12" t="n"/>
      <c r="B34" s="10">
        <f>IF($A34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$A34),"ё","yo"),"ю","yu"),"я","ya"),"ц","ts"),"ч","ch"),"ш","sh"),"щ","sh"),"ў","o"),"қ","q"),"ғ","g"),"ҳ","h"),"а","a"),"б","b"),"в","v"),"г","g"),"д","d"),"е","e"),"ж","j"),"з","z"),"и","i"),"й","y"),"к","k"),"л","l"),"м","m"),"н","n"),"о","o"),"п","p"),"р","r"),"с","s"),"т","t"),"у","u"),"ф","f"),"х","x"),"ъ",""),"ы","i"),"ь",""),"э","e"),"'",""),"‘",""),"’",""),"ʻ",""),"ʼ",""),"`","")))</f>
        <v/>
      </c>
      <c r="C34" s="10">
        <f>IF($B34="","",IFERROR(INDEX('CRM Clients'!$A$4:$A$53,MATCH($B34,'CRM Clients'!$D$4:$D$53,0)),"not found"))</f>
        <v/>
      </c>
      <c r="D34" s="13">
        <f>IF($B34="","",IFERROR(INDEX('CRM Clients'!$B$4:$B$53,MATCH($B34,'CRM Clients'!$D$4:$D$53,0)),""))</f>
        <v/>
      </c>
      <c r="E34" s="10">
        <f>IF($B34="","",IF($F34=0,"no match - new client, or a typo",IF($F34&gt;1,"CHECK PHONE - "&amp;$F34&amp;" clients share this name","matched")))</f>
        <v/>
      </c>
      <c r="F34" s="11">
        <f>IF($B34="","",COUNTIF('CRM Clients'!$D$4:$D$53,$B34))</f>
        <v/>
      </c>
    </row>
    <row r="35">
      <c r="A35" s="12" t="n"/>
      <c r="B35" s="10">
        <f>IF($A35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$A35),"ё","yo"),"ю","yu"),"я","ya"),"ц","ts"),"ч","ch"),"ш","sh"),"щ","sh"),"ў","o"),"қ","q"),"ғ","g"),"ҳ","h"),"а","a"),"б","b"),"в","v"),"г","g"),"д","d"),"е","e"),"ж","j"),"з","z"),"и","i"),"й","y"),"к","k"),"л","l"),"м","m"),"н","n"),"о","o"),"п","p"),"р","r"),"с","s"),"т","t"),"у","u"),"ф","f"),"х","x"),"ъ",""),"ы","i"),"ь",""),"э","e"),"'",""),"‘",""),"’",""),"ʻ",""),"ʼ",""),"`","")))</f>
        <v/>
      </c>
      <c r="C35" s="10">
        <f>IF($B35="","",IFERROR(INDEX('CRM Clients'!$A$4:$A$53,MATCH($B35,'CRM Clients'!$D$4:$D$53,0)),"not found"))</f>
        <v/>
      </c>
      <c r="D35" s="13">
        <f>IF($B35="","",IFERROR(INDEX('CRM Clients'!$B$4:$B$53,MATCH($B35,'CRM Clients'!$D$4:$D$53,0)),""))</f>
        <v/>
      </c>
      <c r="E35" s="10">
        <f>IF($B35="","",IF($F35=0,"no match - new client, or a typo",IF($F35&gt;1,"CHECK PHONE - "&amp;$F35&amp;" clients share this name","matched")))</f>
        <v/>
      </c>
      <c r="F35" s="11">
        <f>IF($B35="","",COUNTIF('CRM Clients'!$D$4:$D$53,$B35))</f>
        <v/>
      </c>
    </row>
    <row r="36">
      <c r="A36" s="12" t="n"/>
      <c r="B36" s="10">
        <f>IF($A36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$A36),"ё","yo"),"ю","yu"),"я","ya"),"ц","ts"),"ч","ch"),"ш","sh"),"щ","sh"),"ў","o"),"қ","q"),"ғ","g"),"ҳ","h"),"а","a"),"б","b"),"в","v"),"г","g"),"д","d"),"е","e"),"ж","j"),"з","z"),"и","i"),"й","y"),"к","k"),"л","l"),"м","m"),"н","n"),"о","o"),"п","p"),"р","r"),"с","s"),"т","t"),"у","u"),"ф","f"),"х","x"),"ъ",""),"ы","i"),"ь",""),"э","e"),"'",""),"‘",""),"’",""),"ʻ",""),"ʼ",""),"`","")))</f>
        <v/>
      </c>
      <c r="C36" s="10">
        <f>IF($B36="","",IFERROR(INDEX('CRM Clients'!$A$4:$A$53,MATCH($B36,'CRM Clients'!$D$4:$D$53,0)),"not found"))</f>
        <v/>
      </c>
      <c r="D36" s="13">
        <f>IF($B36="","",IFERROR(INDEX('CRM Clients'!$B$4:$B$53,MATCH($B36,'CRM Clients'!$D$4:$D$53,0)),""))</f>
        <v/>
      </c>
      <c r="E36" s="10">
        <f>IF($B36="","",IF($F36=0,"no match - new client, or a typo",IF($F36&gt;1,"CHECK PHONE - "&amp;$F36&amp;" clients share this name","matched")))</f>
        <v/>
      </c>
      <c r="F36" s="11">
        <f>IF($B36="","",COUNTIF('CRM Clients'!$D$4:$D$53,$B36))</f>
        <v/>
      </c>
    </row>
    <row r="37">
      <c r="A37" s="12" t="n"/>
      <c r="B37" s="10">
        <f>IF($A37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$A37),"ё","yo"),"ю","yu"),"я","ya"),"ц","ts"),"ч","ch"),"ш","sh"),"щ","sh"),"ў","o"),"қ","q"),"ғ","g"),"ҳ","h"),"а","a"),"б","b"),"в","v"),"г","g"),"д","d"),"е","e"),"ж","j"),"з","z"),"и","i"),"й","y"),"к","k"),"л","l"),"м","m"),"н","n"),"о","o"),"п","p"),"р","r"),"с","s"),"т","t"),"у","u"),"ф","f"),"х","x"),"ъ",""),"ы","i"),"ь",""),"э","e"),"'",""),"‘",""),"’",""),"ʻ",""),"ʼ",""),"`","")))</f>
        <v/>
      </c>
      <c r="C37" s="10">
        <f>IF($B37="","",IFERROR(INDEX('CRM Clients'!$A$4:$A$53,MATCH($B37,'CRM Clients'!$D$4:$D$53,0)),"not found"))</f>
        <v/>
      </c>
      <c r="D37" s="13">
        <f>IF($B37="","",IFERROR(INDEX('CRM Clients'!$B$4:$B$53,MATCH($B37,'CRM Clients'!$D$4:$D$53,0)),""))</f>
        <v/>
      </c>
      <c r="E37" s="10">
        <f>IF($B37="","",IF($F37=0,"no match - new client, or a typo",IF($F37&gt;1,"CHECK PHONE - "&amp;$F37&amp;" clients share this name","matched")))</f>
        <v/>
      </c>
      <c r="F37" s="11">
        <f>IF($B37="","",COUNTIF('CRM Clients'!$D$4:$D$53,$B37))</f>
        <v/>
      </c>
    </row>
    <row r="38">
      <c r="A38" s="12" t="n"/>
      <c r="B38" s="10">
        <f>IF($A38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$A38),"ё","yo"),"ю","yu"),"я","ya"),"ц","ts"),"ч","ch"),"ш","sh"),"щ","sh"),"ў","o"),"қ","q"),"ғ","g"),"ҳ","h"),"а","a"),"б","b"),"в","v"),"г","g"),"д","d"),"е","e"),"ж","j"),"з","z"),"и","i"),"й","y"),"к","k"),"л","l"),"м","m"),"н","n"),"о","o"),"п","p"),"р","r"),"с","s"),"т","t"),"у","u"),"ф","f"),"х","x"),"ъ",""),"ы","i"),"ь",""),"э","e"),"'",""),"‘",""),"’",""),"ʻ",""),"ʼ",""),"`","")))</f>
        <v/>
      </c>
      <c r="C38" s="10">
        <f>IF($B38="","",IFERROR(INDEX('CRM Clients'!$A$4:$A$53,MATCH($B38,'CRM Clients'!$D$4:$D$53,0)),"not found"))</f>
        <v/>
      </c>
      <c r="D38" s="13">
        <f>IF($B38="","",IFERROR(INDEX('CRM Clients'!$B$4:$B$53,MATCH($B38,'CRM Clients'!$D$4:$D$53,0)),""))</f>
        <v/>
      </c>
      <c r="E38" s="10">
        <f>IF($B38="","",IF($F38=0,"no match - new client, or a typo",IF($F38&gt;1,"CHECK PHONE - "&amp;$F38&amp;" clients share this name","matched")))</f>
        <v/>
      </c>
      <c r="F38" s="11">
        <f>IF($B38="","",COUNTIF('CRM Clients'!$D$4:$D$53,$B38))</f>
        <v/>
      </c>
    </row>
    <row r="39">
      <c r="A39" s="12" t="n"/>
      <c r="B39" s="10">
        <f>IF($A39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$A39),"ё","yo"),"ю","yu"),"я","ya"),"ц","ts"),"ч","ch"),"ш","sh"),"щ","sh"),"ў","o"),"қ","q"),"ғ","g"),"ҳ","h"),"а","a"),"б","b"),"в","v"),"г","g"),"д","d"),"е","e"),"ж","j"),"з","z"),"и","i"),"й","y"),"к","k"),"л","l"),"м","m"),"н","n"),"о","o"),"п","p"),"р","r"),"с","s"),"т","t"),"у","u"),"ф","f"),"х","x"),"ъ",""),"ы","i"),"ь",""),"э","e"),"'",""),"‘",""),"’",""),"ʻ",""),"ʼ",""),"`","")))</f>
        <v/>
      </c>
      <c r="C39" s="10">
        <f>IF($B39="","",IFERROR(INDEX('CRM Clients'!$A$4:$A$53,MATCH($B39,'CRM Clients'!$D$4:$D$53,0)),"not found"))</f>
        <v/>
      </c>
      <c r="D39" s="13">
        <f>IF($B39="","",IFERROR(INDEX('CRM Clients'!$B$4:$B$53,MATCH($B39,'CRM Clients'!$D$4:$D$53,0)),""))</f>
        <v/>
      </c>
      <c r="E39" s="10">
        <f>IF($B39="","",IF($F39=0,"no match - new client, or a typo",IF($F39&gt;1,"CHECK PHONE - "&amp;$F39&amp;" clients share this name","matched")))</f>
        <v/>
      </c>
      <c r="F39" s="11">
        <f>IF($B39="","",COUNTIF('CRM Clients'!$D$4:$D$53,$B39))</f>
        <v/>
      </c>
    </row>
    <row r="40">
      <c r="A40" s="12" t="n"/>
      <c r="B40" s="10">
        <f>IF($A40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$A40),"ё","yo"),"ю","yu"),"я","ya"),"ц","ts"),"ч","ch"),"ш","sh"),"щ","sh"),"ў","o"),"қ","q"),"ғ","g"),"ҳ","h"),"а","a"),"б","b"),"в","v"),"г","g"),"д","d"),"е","e"),"ж","j"),"з","z"),"и","i"),"й","y"),"к","k"),"л","l"),"м","m"),"н","n"),"о","o"),"п","p"),"р","r"),"с","s"),"т","t"),"у","u"),"ф","f"),"х","x"),"ъ",""),"ы","i"),"ь",""),"э","e"),"'",""),"‘",""),"’",""),"ʻ",""),"ʼ",""),"`","")))</f>
        <v/>
      </c>
      <c r="C40" s="10">
        <f>IF($B40="","",IFERROR(INDEX('CRM Clients'!$A$4:$A$53,MATCH($B40,'CRM Clients'!$D$4:$D$53,0)),"not found"))</f>
        <v/>
      </c>
      <c r="D40" s="13">
        <f>IF($B40="","",IFERROR(INDEX('CRM Clients'!$B$4:$B$53,MATCH($B40,'CRM Clients'!$D$4:$D$53,0)),""))</f>
        <v/>
      </c>
      <c r="E40" s="10">
        <f>IF($B40="","",IF($F40=0,"no match - new client, or a typo",IF($F40&gt;1,"CHECK PHONE - "&amp;$F40&amp;" clients share this name","matched")))</f>
        <v/>
      </c>
      <c r="F40" s="11">
        <f>IF($B40="","",COUNTIF('CRM Clients'!$D$4:$D$53,$B40))</f>
        <v/>
      </c>
    </row>
    <row r="41">
      <c r="A41" s="12" t="n"/>
      <c r="B41" s="10">
        <f>IF($A41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$A41),"ё","yo"),"ю","yu"),"я","ya"),"ц","ts"),"ч","ch"),"ш","sh"),"щ","sh"),"ў","o"),"қ","q"),"ғ","g"),"ҳ","h"),"а","a"),"б","b"),"в","v"),"г","g"),"д","d"),"е","e"),"ж","j"),"з","z"),"и","i"),"й","y"),"к","k"),"л","l"),"м","m"),"н","n"),"о","o"),"п","p"),"р","r"),"с","s"),"т","t"),"у","u"),"ф","f"),"х","x"),"ъ",""),"ы","i"),"ь",""),"э","e"),"'",""),"‘",""),"’",""),"ʻ",""),"ʼ",""),"`","")))</f>
        <v/>
      </c>
      <c r="C41" s="10">
        <f>IF($B41="","",IFERROR(INDEX('CRM Clients'!$A$4:$A$53,MATCH($B41,'CRM Clients'!$D$4:$D$53,0)),"not found"))</f>
        <v/>
      </c>
      <c r="D41" s="13">
        <f>IF($B41="","",IFERROR(INDEX('CRM Clients'!$B$4:$B$53,MATCH($B41,'CRM Clients'!$D$4:$D$53,0)),""))</f>
        <v/>
      </c>
      <c r="E41" s="10">
        <f>IF($B41="","",IF($F41=0,"no match - new client, or a typo",IF($F41&gt;1,"CHECK PHONE - "&amp;$F41&amp;" clients share this name","matched")))</f>
        <v/>
      </c>
      <c r="F41" s="11">
        <f>IF($B41="","",COUNTIF('CRM Clients'!$D$4:$D$53,$B41))</f>
        <v/>
      </c>
    </row>
    <row r="42">
      <c r="A42" s="12" t="n"/>
      <c r="B42" s="10">
        <f>IF($A42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$A42),"ё","yo"),"ю","yu"),"я","ya"),"ц","ts"),"ч","ch"),"ш","sh"),"щ","sh"),"ў","o"),"қ","q"),"ғ","g"),"ҳ","h"),"а","a"),"б","b"),"в","v"),"г","g"),"д","d"),"е","e"),"ж","j"),"з","z"),"и","i"),"й","y"),"к","k"),"л","l"),"м","m"),"н","n"),"о","o"),"п","p"),"р","r"),"с","s"),"т","t"),"у","u"),"ф","f"),"х","x"),"ъ",""),"ы","i"),"ь",""),"э","e"),"'",""),"‘",""),"’",""),"ʻ",""),"ʼ",""),"`","")))</f>
        <v/>
      </c>
      <c r="C42" s="10">
        <f>IF($B42="","",IFERROR(INDEX('CRM Clients'!$A$4:$A$53,MATCH($B42,'CRM Clients'!$D$4:$D$53,0)),"not found"))</f>
        <v/>
      </c>
      <c r="D42" s="13">
        <f>IF($B42="","",IFERROR(INDEX('CRM Clients'!$B$4:$B$53,MATCH($B42,'CRM Clients'!$D$4:$D$53,0)),""))</f>
        <v/>
      </c>
      <c r="E42" s="10">
        <f>IF($B42="","",IF($F42=0,"no match - new client, or a typo",IF($F42&gt;1,"CHECK PHONE - "&amp;$F42&amp;" clients share this name","matched")))</f>
        <v/>
      </c>
      <c r="F42" s="11">
        <f>IF($B42="","",COUNTIF('CRM Clients'!$D$4:$D$53,$B42))</f>
        <v/>
      </c>
    </row>
    <row r="43">
      <c r="A43" s="12" t="n"/>
      <c r="B43" s="10">
        <f>IF($A43="","",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$A43),"ё","yo"),"ю","yu"),"я","ya"),"ц","ts"),"ч","ch"),"ш","sh"),"щ","sh"),"ў","o"),"қ","q"),"ғ","g"),"ҳ","h"),"а","a"),"б","b"),"в","v"),"г","g"),"д","d"),"е","e"),"ж","j"),"з","z"),"и","i"),"й","y"),"к","k"),"л","l"),"м","m"),"н","n"),"о","o"),"п","p"),"р","r"),"с","s"),"т","t"),"у","u"),"ф","f"),"х","x"),"ъ",""),"ы","i"),"ь",""),"э","e"),"'",""),"‘",""),"’",""),"ʻ",""),"ʼ",""),"`","")))</f>
        <v/>
      </c>
      <c r="C43" s="10">
        <f>IF($B43="","",IFERROR(INDEX('CRM Clients'!$A$4:$A$53,MATCH($B43,'CRM Clients'!$D$4:$D$53,0)),"not found"))</f>
        <v/>
      </c>
      <c r="D43" s="13">
        <f>IF($B43="","",IFERROR(INDEX('CRM Clients'!$B$4:$B$53,MATCH($B43,'CRM Clients'!$D$4:$D$53,0)),""))</f>
        <v/>
      </c>
      <c r="E43" s="10">
        <f>IF($B43="","",IF($F43=0,"no match - new client, or a typo",IF($F43&gt;1,"CHECK PHONE - "&amp;$F43&amp;" clients share this name","matched")))</f>
        <v/>
      </c>
      <c r="F43" s="11">
        <f>IF($B43="","",COUNTIF('CRM Clients'!$D$4:$D$53,$B43))</f>
        <v/>
      </c>
    </row>
    <row r="46">
      <c r="A46" s="2" t="inlineStr">
        <is>
          <t>Matching is exact after normalising, not fuzzy: it forgives alphabet and capitalisation, not misspellings. 'no match' on a name you expect usually means a real spelling difference - compare the Normalised column against the CRM Clients sheet.</t>
        </is>
      </c>
    </row>
  </sheetData>
  <mergeCells count="3">
    <mergeCell ref="A2:E2"/>
    <mergeCell ref="A1:E1"/>
    <mergeCell ref="A46:E46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4" customWidth="1" min="4" max="4"/>
  </cols>
  <sheetData>
    <row r="1" ht="22" customHeight="1">
      <c r="A1" s="1" t="inlineStr">
        <is>
          <t>Phone Cleaner</t>
        </is>
      </c>
    </row>
    <row r="2">
      <c r="A2" s="2" t="inlineStr">
        <is>
          <t>Paste numbers however they are written. Out comes 998XXXXXXXXX.</t>
        </is>
      </c>
    </row>
    <row r="3" ht="28" customHeight="1">
      <c r="A3" s="7" t="inlineStr">
        <is>
          <t>Number as you have it</t>
        </is>
      </c>
      <c r="B3" s="7" t="inlineStr">
        <is>
          <t>Digits only</t>
        </is>
      </c>
      <c r="C3" s="7" t="inlineStr">
        <is>
          <t>CRM format</t>
        </is>
      </c>
      <c r="D3" s="7" t="inlineStr">
        <is>
          <t>Result</t>
        </is>
      </c>
    </row>
    <row r="4">
      <c r="A4" s="12" t="inlineStr">
        <is>
          <t>+998 90 123-45-67</t>
        </is>
      </c>
      <c r="B4" s="13">
        <f>IF($A4="","",SUBSTITUTE(SUBSTITUTE(SUBSTITUTE(SUBSTITUTE(SUBSTITUTE(SUBSTITUTE(SUBSTITUTE(SUBSTITUTE($A4," ",""),"+",""),"-",""),"(",""),")",""),".",""),"/",""),CHAR(160),""))</f>
        <v/>
      </c>
      <c r="C4" s="13">
        <f>IF($B4="","",IF(AND(LEN($B4)=12,LEFT($B4,3)="998"),$B4,IF(LEN($B4)=9,"998"&amp;$B4,IF(AND(LEN($B4)=10,LEFT($B4,1)="8"),"998"&amp;MID($B4,2,9),IF(AND(LEN($B4)=14,LEFT($B4,5)="00998"),MID($B4,3,12),"?")))))</f>
        <v/>
      </c>
      <c r="D4" s="10">
        <f>IF($C4="","",IF($C4="?","cannot read - fix by hand","ok"))</f>
        <v/>
      </c>
    </row>
    <row r="5">
      <c r="A5" s="12" t="inlineStr">
        <is>
          <t>998934290084</t>
        </is>
      </c>
      <c r="B5" s="13">
        <f>IF($A5="","",SUBSTITUTE(SUBSTITUTE(SUBSTITUTE(SUBSTITUTE(SUBSTITUTE(SUBSTITUTE(SUBSTITUTE(SUBSTITUTE($A5," ",""),"+",""),"-",""),"(",""),")",""),".",""),"/",""),CHAR(160),""))</f>
        <v/>
      </c>
      <c r="C5" s="13">
        <f>IF($B5="","",IF(AND(LEN($B5)=12,LEFT($B5,3)="998"),$B5,IF(LEN($B5)=9,"998"&amp;$B5,IF(AND(LEN($B5)=10,LEFT($B5,1)="8"),"998"&amp;MID($B5,2,9),IF(AND(LEN($B5)=14,LEFT($B5,5)="00998"),MID($B5,3,12),"?")))))</f>
        <v/>
      </c>
      <c r="D5" s="10">
        <f>IF($C5="","",IF($C5="?","cannot read - fix by hand","ok"))</f>
        <v/>
      </c>
    </row>
    <row r="6">
      <c r="A6" s="12" t="inlineStr">
        <is>
          <t>90 123 45 67</t>
        </is>
      </c>
      <c r="B6" s="13">
        <f>IF($A6="","",SUBSTITUTE(SUBSTITUTE(SUBSTITUTE(SUBSTITUTE(SUBSTITUTE(SUBSTITUTE(SUBSTITUTE(SUBSTITUTE($A6," ",""),"+",""),"-",""),"(",""),")",""),".",""),"/",""),CHAR(160),""))</f>
        <v/>
      </c>
      <c r="C6" s="13">
        <f>IF($B6="","",IF(AND(LEN($B6)=12,LEFT($B6,3)="998"),$B6,IF(LEN($B6)=9,"998"&amp;$B6,IF(AND(LEN($B6)=10,LEFT($B6,1)="8"),"998"&amp;MID($B6,2,9),IF(AND(LEN($B6)=14,LEFT($B6,5)="00998"),MID($B6,3,12),"?")))))</f>
        <v/>
      </c>
      <c r="D6" s="10">
        <f>IF($C6="","",IF($C6="?","cannot read - fix by hand","ok"))</f>
        <v/>
      </c>
    </row>
    <row r="7">
      <c r="A7" s="12" t="inlineStr">
        <is>
          <t>(99) 807-27-27</t>
        </is>
      </c>
      <c r="B7" s="13">
        <f>IF($A7="","",SUBSTITUTE(SUBSTITUTE(SUBSTITUTE(SUBSTITUTE(SUBSTITUTE(SUBSTITUTE(SUBSTITUTE(SUBSTITUTE($A7," ",""),"+",""),"-",""),"(",""),")",""),".",""),"/",""),CHAR(160),""))</f>
        <v/>
      </c>
      <c r="C7" s="13">
        <f>IF($B7="","",IF(AND(LEN($B7)=12,LEFT($B7,3)="998"),$B7,IF(LEN($B7)=9,"998"&amp;$B7,IF(AND(LEN($B7)=10,LEFT($B7,1)="8"),"998"&amp;MID($B7,2,9),IF(AND(LEN($B7)=14,LEFT($B7,5)="00998"),MID($B7,3,12),"?")))))</f>
        <v/>
      </c>
      <c r="D7" s="10">
        <f>IF($C7="","",IF($C7="?","cannot read - fix by hand","ok"))</f>
        <v/>
      </c>
    </row>
    <row r="8">
      <c r="A8" s="12" t="inlineStr">
        <is>
          <t>8 94 5053000</t>
        </is>
      </c>
      <c r="B8" s="13">
        <f>IF($A8="","",SUBSTITUTE(SUBSTITUTE(SUBSTITUTE(SUBSTITUTE(SUBSTITUTE(SUBSTITUTE(SUBSTITUTE(SUBSTITUTE($A8," ",""),"+",""),"-",""),"(",""),")",""),".",""),"/",""),CHAR(160),""))</f>
        <v/>
      </c>
      <c r="C8" s="13">
        <f>IF($B8="","",IF(AND(LEN($B8)=12,LEFT($B8,3)="998"),$B8,IF(LEN($B8)=9,"998"&amp;$B8,IF(AND(LEN($B8)=10,LEFT($B8,1)="8"),"998"&amp;MID($B8,2,9),IF(AND(LEN($B8)=14,LEFT($B8,5)="00998"),MID($B8,3,12),"?")))))</f>
        <v/>
      </c>
      <c r="D8" s="10">
        <f>IF($C8="","",IF($C8="?","cannot read - fix by hand","ok"))</f>
        <v/>
      </c>
    </row>
    <row r="9">
      <c r="A9" s="12" t="inlineStr">
        <is>
          <t>00998913421133</t>
        </is>
      </c>
      <c r="B9" s="13">
        <f>IF($A9="","",SUBSTITUTE(SUBSTITUTE(SUBSTITUTE(SUBSTITUTE(SUBSTITUTE(SUBSTITUTE(SUBSTITUTE(SUBSTITUTE($A9," ",""),"+",""),"-",""),"(",""),")",""),".",""),"/",""),CHAR(160),""))</f>
        <v/>
      </c>
      <c r="C9" s="13">
        <f>IF($B9="","",IF(AND(LEN($B9)=12,LEFT($B9,3)="998"),$B9,IF(LEN($B9)=9,"998"&amp;$B9,IF(AND(LEN($B9)=10,LEFT($B9,1)="8"),"998"&amp;MID($B9,2,9),IF(AND(LEN($B9)=14,LEFT($B9,5)="00998"),MID($B9,3,12),"?")))))</f>
        <v/>
      </c>
      <c r="D9" s="10">
        <f>IF($C9="","",IF($C9="?","cannot read - fix by hand","ok"))</f>
        <v/>
      </c>
    </row>
    <row r="10">
      <c r="A10" s="12" t="inlineStr">
        <is>
          <t>998-97-974-04-24</t>
        </is>
      </c>
      <c r="B10" s="13">
        <f>IF($A10="","",SUBSTITUTE(SUBSTITUTE(SUBSTITUTE(SUBSTITUTE(SUBSTITUTE(SUBSTITUTE(SUBSTITUTE(SUBSTITUTE($A10," ",""),"+",""),"-",""),"(",""),")",""),".",""),"/",""),CHAR(160),""))</f>
        <v/>
      </c>
      <c r="C10" s="13">
        <f>IF($B10="","",IF(AND(LEN($B10)=12,LEFT($B10,3)="998"),$B10,IF(LEN($B10)=9,"998"&amp;$B10,IF(AND(LEN($B10)=10,LEFT($B10,1)="8"),"998"&amp;MID($B10,2,9),IF(AND(LEN($B10)=14,LEFT($B10,5)="00998"),MID($B10,3,12),"?")))))</f>
        <v/>
      </c>
      <c r="D10" s="10">
        <f>IF($C10="","",IF($C10="?","cannot read - fix by hand","ok"))</f>
        <v/>
      </c>
    </row>
    <row r="11">
      <c r="A11" s="12" t="inlineStr">
        <is>
          <t>93 966 88 85</t>
        </is>
      </c>
      <c r="B11" s="13">
        <f>IF($A11="","",SUBSTITUTE(SUBSTITUTE(SUBSTITUTE(SUBSTITUTE(SUBSTITUTE(SUBSTITUTE(SUBSTITUTE(SUBSTITUTE($A11," ",""),"+",""),"-",""),"(",""),")",""),".",""),"/",""),CHAR(160),""))</f>
        <v/>
      </c>
      <c r="C11" s="13">
        <f>IF($B11="","",IF(AND(LEN($B11)=12,LEFT($B11,3)="998"),$B11,IF(LEN($B11)=9,"998"&amp;$B11,IF(AND(LEN($B11)=10,LEFT($B11,1)="8"),"998"&amp;MID($B11,2,9),IF(AND(LEN($B11)=14,LEFT($B11,5)="00998"),MID($B11,3,12),"?")))))</f>
        <v/>
      </c>
      <c r="D11" s="10">
        <f>IF($C11="","",IF($C11="?","cannot read - fix by hand","ok"))</f>
        <v/>
      </c>
    </row>
    <row r="12">
      <c r="A12" s="12" t="inlineStr">
        <is>
          <t>не указан</t>
        </is>
      </c>
      <c r="B12" s="13">
        <f>IF($A12="","",SUBSTITUTE(SUBSTITUTE(SUBSTITUTE(SUBSTITUTE(SUBSTITUTE(SUBSTITUTE(SUBSTITUTE(SUBSTITUTE($A12," ",""),"+",""),"-",""),"(",""),")",""),".",""),"/",""),CHAR(160),""))</f>
        <v/>
      </c>
      <c r="C12" s="13">
        <f>IF($B12="","",IF(AND(LEN($B12)=12,LEFT($B12,3)="998"),$B12,IF(LEN($B12)=9,"998"&amp;$B12,IF(AND(LEN($B12)=10,LEFT($B12,1)="8"),"998"&amp;MID($B12,2,9),IF(AND(LEN($B12)=14,LEFT($B12,5)="00998"),MID($B12,3,12),"?")))))</f>
        <v/>
      </c>
      <c r="D12" s="10">
        <f>IF($C12="","",IF($C12="?","cannot read - fix by hand","ok"))</f>
        <v/>
      </c>
    </row>
    <row r="13">
      <c r="A13" s="12" t="n"/>
      <c r="B13" s="13">
        <f>IF($A13="","",SUBSTITUTE(SUBSTITUTE(SUBSTITUTE(SUBSTITUTE(SUBSTITUTE(SUBSTITUTE(SUBSTITUTE(SUBSTITUTE($A13," ",""),"+",""),"-",""),"(",""),")",""),".",""),"/",""),CHAR(160),""))</f>
        <v/>
      </c>
      <c r="C13" s="13">
        <f>IF($B13="","",IF(AND(LEN($B13)=12,LEFT($B13,3)="998"),$B13,IF(LEN($B13)=9,"998"&amp;$B13,IF(AND(LEN($B13)=10,LEFT($B13,1)="8"),"998"&amp;MID($B13,2,9),IF(AND(LEN($B13)=14,LEFT($B13,5)="00998"),MID($B13,3,12),"?")))))</f>
        <v/>
      </c>
      <c r="D13" s="10">
        <f>IF($C13="","",IF($C13="?","cannot read - fix by hand","ok"))</f>
        <v/>
      </c>
    </row>
    <row r="14">
      <c r="A14" s="12" t="n"/>
      <c r="B14" s="13">
        <f>IF($A14="","",SUBSTITUTE(SUBSTITUTE(SUBSTITUTE(SUBSTITUTE(SUBSTITUTE(SUBSTITUTE(SUBSTITUTE(SUBSTITUTE($A14," ",""),"+",""),"-",""),"(",""),")",""),".",""),"/",""),CHAR(160),""))</f>
        <v/>
      </c>
      <c r="C14" s="13">
        <f>IF($B14="","",IF(AND(LEN($B14)=12,LEFT($B14,3)="998"),$B14,IF(LEN($B14)=9,"998"&amp;$B14,IF(AND(LEN($B14)=10,LEFT($B14,1)="8"),"998"&amp;MID($B14,2,9),IF(AND(LEN($B14)=14,LEFT($B14,5)="00998"),MID($B14,3,12),"?")))))</f>
        <v/>
      </c>
      <c r="D14" s="10">
        <f>IF($C14="","",IF($C14="?","cannot read - fix by hand","ok"))</f>
        <v/>
      </c>
    </row>
    <row r="15">
      <c r="A15" s="12" t="n"/>
      <c r="B15" s="13">
        <f>IF($A15="","",SUBSTITUTE(SUBSTITUTE(SUBSTITUTE(SUBSTITUTE(SUBSTITUTE(SUBSTITUTE(SUBSTITUTE(SUBSTITUTE($A15," ",""),"+",""),"-",""),"(",""),")",""),".",""),"/",""),CHAR(160),""))</f>
        <v/>
      </c>
      <c r="C15" s="13">
        <f>IF($B15="","",IF(AND(LEN($B15)=12,LEFT($B15,3)="998"),$B15,IF(LEN($B15)=9,"998"&amp;$B15,IF(AND(LEN($B15)=10,LEFT($B15,1)="8"),"998"&amp;MID($B15,2,9),IF(AND(LEN($B15)=14,LEFT($B15,5)="00998"),MID($B15,3,12),"?")))))</f>
        <v/>
      </c>
      <c r="D15" s="10">
        <f>IF($C15="","",IF($C15="?","cannot read - fix by hand","ok"))</f>
        <v/>
      </c>
    </row>
    <row r="16">
      <c r="A16" s="12" t="n"/>
      <c r="B16" s="13">
        <f>IF($A16="","",SUBSTITUTE(SUBSTITUTE(SUBSTITUTE(SUBSTITUTE(SUBSTITUTE(SUBSTITUTE(SUBSTITUTE(SUBSTITUTE($A16," ",""),"+",""),"-",""),"(",""),")",""),".",""),"/",""),CHAR(160),""))</f>
        <v/>
      </c>
      <c r="C16" s="13">
        <f>IF($B16="","",IF(AND(LEN($B16)=12,LEFT($B16,3)="998"),$B16,IF(LEN($B16)=9,"998"&amp;$B16,IF(AND(LEN($B16)=10,LEFT($B16,1)="8"),"998"&amp;MID($B16,2,9),IF(AND(LEN($B16)=14,LEFT($B16,5)="00998"),MID($B16,3,12),"?")))))</f>
        <v/>
      </c>
      <c r="D16" s="10">
        <f>IF($C16="","",IF($C16="?","cannot read - fix by hand","ok"))</f>
        <v/>
      </c>
    </row>
    <row r="17">
      <c r="A17" s="12" t="n"/>
      <c r="B17" s="13">
        <f>IF($A17="","",SUBSTITUTE(SUBSTITUTE(SUBSTITUTE(SUBSTITUTE(SUBSTITUTE(SUBSTITUTE(SUBSTITUTE(SUBSTITUTE($A17," ",""),"+",""),"-",""),"(",""),")",""),".",""),"/",""),CHAR(160),""))</f>
        <v/>
      </c>
      <c r="C17" s="13">
        <f>IF($B17="","",IF(AND(LEN($B17)=12,LEFT($B17,3)="998"),$B17,IF(LEN($B17)=9,"998"&amp;$B17,IF(AND(LEN($B17)=10,LEFT($B17,1)="8"),"998"&amp;MID($B17,2,9),IF(AND(LEN($B17)=14,LEFT($B17,5)="00998"),MID($B17,3,12),"?")))))</f>
        <v/>
      </c>
      <c r="D17" s="10">
        <f>IF($C17="","",IF($C17="?","cannot read - fix by hand","ok"))</f>
        <v/>
      </c>
    </row>
    <row r="18">
      <c r="A18" s="12" t="n"/>
      <c r="B18" s="13">
        <f>IF($A18="","",SUBSTITUTE(SUBSTITUTE(SUBSTITUTE(SUBSTITUTE(SUBSTITUTE(SUBSTITUTE(SUBSTITUTE(SUBSTITUTE($A18," ",""),"+",""),"-",""),"(",""),")",""),".",""),"/",""),CHAR(160),""))</f>
        <v/>
      </c>
      <c r="C18" s="13">
        <f>IF($B18="","",IF(AND(LEN($B18)=12,LEFT($B18,3)="998"),$B18,IF(LEN($B18)=9,"998"&amp;$B18,IF(AND(LEN($B18)=10,LEFT($B18,1)="8"),"998"&amp;MID($B18,2,9),IF(AND(LEN($B18)=14,LEFT($B18,5)="00998"),MID($B18,3,12),"?")))))</f>
        <v/>
      </c>
      <c r="D18" s="10">
        <f>IF($C18="","",IF($C18="?","cannot read - fix by hand","ok"))</f>
        <v/>
      </c>
    </row>
    <row r="19">
      <c r="A19" s="12" t="n"/>
      <c r="B19" s="13">
        <f>IF($A19="","",SUBSTITUTE(SUBSTITUTE(SUBSTITUTE(SUBSTITUTE(SUBSTITUTE(SUBSTITUTE(SUBSTITUTE(SUBSTITUTE($A19," ",""),"+",""),"-",""),"(",""),")",""),".",""),"/",""),CHAR(160),""))</f>
        <v/>
      </c>
      <c r="C19" s="13">
        <f>IF($B19="","",IF(AND(LEN($B19)=12,LEFT($B19,3)="998"),$B19,IF(LEN($B19)=9,"998"&amp;$B19,IF(AND(LEN($B19)=10,LEFT($B19,1)="8"),"998"&amp;MID($B19,2,9),IF(AND(LEN($B19)=14,LEFT($B19,5)="00998"),MID($B19,3,12),"?")))))</f>
        <v/>
      </c>
      <c r="D19" s="10">
        <f>IF($C19="","",IF($C19="?","cannot read - fix by hand","ok"))</f>
        <v/>
      </c>
    </row>
    <row r="20">
      <c r="A20" s="12" t="n"/>
      <c r="B20" s="13">
        <f>IF($A20="","",SUBSTITUTE(SUBSTITUTE(SUBSTITUTE(SUBSTITUTE(SUBSTITUTE(SUBSTITUTE(SUBSTITUTE(SUBSTITUTE($A20," ",""),"+",""),"-",""),"(",""),")",""),".",""),"/",""),CHAR(160),""))</f>
        <v/>
      </c>
      <c r="C20" s="13">
        <f>IF($B20="","",IF(AND(LEN($B20)=12,LEFT($B20,3)="998"),$B20,IF(LEN($B20)=9,"998"&amp;$B20,IF(AND(LEN($B20)=10,LEFT($B20,1)="8"),"998"&amp;MID($B20,2,9),IF(AND(LEN($B20)=14,LEFT($B20,5)="00998"),MID($B20,3,12),"?")))))</f>
        <v/>
      </c>
      <c r="D20" s="10">
        <f>IF($C20="","",IF($C20="?","cannot read - fix by hand","ok"))</f>
        <v/>
      </c>
    </row>
    <row r="21">
      <c r="A21" s="12" t="n"/>
      <c r="B21" s="13">
        <f>IF($A21="","",SUBSTITUTE(SUBSTITUTE(SUBSTITUTE(SUBSTITUTE(SUBSTITUTE(SUBSTITUTE(SUBSTITUTE(SUBSTITUTE($A21," ",""),"+",""),"-",""),"(",""),")",""),".",""),"/",""),CHAR(160),""))</f>
        <v/>
      </c>
      <c r="C21" s="13">
        <f>IF($B21="","",IF(AND(LEN($B21)=12,LEFT($B21,3)="998"),$B21,IF(LEN($B21)=9,"998"&amp;$B21,IF(AND(LEN($B21)=10,LEFT($B21,1)="8"),"998"&amp;MID($B21,2,9),IF(AND(LEN($B21)=14,LEFT($B21,5)="00998"),MID($B21,3,12),"?")))))</f>
        <v/>
      </c>
      <c r="D21" s="10">
        <f>IF($C21="","",IF($C21="?","cannot read - fix by hand","ok"))</f>
        <v/>
      </c>
    </row>
    <row r="22">
      <c r="A22" s="12" t="n"/>
      <c r="B22" s="13">
        <f>IF($A22="","",SUBSTITUTE(SUBSTITUTE(SUBSTITUTE(SUBSTITUTE(SUBSTITUTE(SUBSTITUTE(SUBSTITUTE(SUBSTITUTE($A22," ",""),"+",""),"-",""),"(",""),")",""),".",""),"/",""),CHAR(160),""))</f>
        <v/>
      </c>
      <c r="C22" s="13">
        <f>IF($B22="","",IF(AND(LEN($B22)=12,LEFT($B22,3)="998"),$B22,IF(LEN($B22)=9,"998"&amp;$B22,IF(AND(LEN($B22)=10,LEFT($B22,1)="8"),"998"&amp;MID($B22,2,9),IF(AND(LEN($B22)=14,LEFT($B22,5)="00998"),MID($B22,3,12),"?")))))</f>
        <v/>
      </c>
      <c r="D22" s="10">
        <f>IF($C22="","",IF($C22="?","cannot read - fix by hand","ok"))</f>
        <v/>
      </c>
    </row>
    <row r="23">
      <c r="A23" s="12" t="n"/>
      <c r="B23" s="13">
        <f>IF($A23="","",SUBSTITUTE(SUBSTITUTE(SUBSTITUTE(SUBSTITUTE(SUBSTITUTE(SUBSTITUTE(SUBSTITUTE(SUBSTITUTE($A23," ",""),"+",""),"-",""),"(",""),")",""),".",""),"/",""),CHAR(160),""))</f>
        <v/>
      </c>
      <c r="C23" s="13">
        <f>IF($B23="","",IF(AND(LEN($B23)=12,LEFT($B23,3)="998"),$B23,IF(LEN($B23)=9,"998"&amp;$B23,IF(AND(LEN($B23)=10,LEFT($B23,1)="8"),"998"&amp;MID($B23,2,9),IF(AND(LEN($B23)=14,LEFT($B23,5)="00998"),MID($B23,3,12),"?")))))</f>
        <v/>
      </c>
      <c r="D23" s="10">
        <f>IF($C23="","",IF($C23="?","cannot read - fix by hand","ok"))</f>
        <v/>
      </c>
    </row>
    <row r="24">
      <c r="A24" s="12" t="n"/>
      <c r="B24" s="13">
        <f>IF($A24="","",SUBSTITUTE(SUBSTITUTE(SUBSTITUTE(SUBSTITUTE(SUBSTITUTE(SUBSTITUTE(SUBSTITUTE(SUBSTITUTE($A24," ",""),"+",""),"-",""),"(",""),")",""),".",""),"/",""),CHAR(160),""))</f>
        <v/>
      </c>
      <c r="C24" s="13">
        <f>IF($B24="","",IF(AND(LEN($B24)=12,LEFT($B24,3)="998"),$B24,IF(LEN($B24)=9,"998"&amp;$B24,IF(AND(LEN($B24)=10,LEFT($B24,1)="8"),"998"&amp;MID($B24,2,9),IF(AND(LEN($B24)=14,LEFT($B24,5)="00998"),MID($B24,3,12),"?")))))</f>
        <v/>
      </c>
      <c r="D24" s="10">
        <f>IF($C24="","",IF($C24="?","cannot read - fix by hand","ok"))</f>
        <v/>
      </c>
    </row>
    <row r="25">
      <c r="A25" s="12" t="n"/>
      <c r="B25" s="13">
        <f>IF($A25="","",SUBSTITUTE(SUBSTITUTE(SUBSTITUTE(SUBSTITUTE(SUBSTITUTE(SUBSTITUTE(SUBSTITUTE(SUBSTITUTE($A25," ",""),"+",""),"-",""),"(",""),")",""),".",""),"/",""),CHAR(160),""))</f>
        <v/>
      </c>
      <c r="C25" s="13">
        <f>IF($B25="","",IF(AND(LEN($B25)=12,LEFT($B25,3)="998"),$B25,IF(LEN($B25)=9,"998"&amp;$B25,IF(AND(LEN($B25)=10,LEFT($B25,1)="8"),"998"&amp;MID($B25,2,9),IF(AND(LEN($B25)=14,LEFT($B25,5)="00998"),MID($B25,3,12),"?")))))</f>
        <v/>
      </c>
      <c r="D25" s="10">
        <f>IF($C25="","",IF($C25="?","cannot read - fix by hand","ok"))</f>
        <v/>
      </c>
    </row>
    <row r="26">
      <c r="A26" s="12" t="n"/>
      <c r="B26" s="13">
        <f>IF($A26="","",SUBSTITUTE(SUBSTITUTE(SUBSTITUTE(SUBSTITUTE(SUBSTITUTE(SUBSTITUTE(SUBSTITUTE(SUBSTITUTE($A26," ",""),"+",""),"-",""),"(",""),")",""),".",""),"/",""),CHAR(160),""))</f>
        <v/>
      </c>
      <c r="C26" s="13">
        <f>IF($B26="","",IF(AND(LEN($B26)=12,LEFT($B26,3)="998"),$B26,IF(LEN($B26)=9,"998"&amp;$B26,IF(AND(LEN($B26)=10,LEFT($B26,1)="8"),"998"&amp;MID($B26,2,9),IF(AND(LEN($B26)=14,LEFT($B26,5)="00998"),MID($B26,3,12),"?")))))</f>
        <v/>
      </c>
      <c r="D26" s="10">
        <f>IF($C26="","",IF($C26="?","cannot read - fix by hand","ok"))</f>
        <v/>
      </c>
    </row>
    <row r="27">
      <c r="A27" s="12" t="n"/>
      <c r="B27" s="13">
        <f>IF($A27="","",SUBSTITUTE(SUBSTITUTE(SUBSTITUTE(SUBSTITUTE(SUBSTITUTE(SUBSTITUTE(SUBSTITUTE(SUBSTITUTE($A27," ",""),"+",""),"-",""),"(",""),")",""),".",""),"/",""),CHAR(160),""))</f>
        <v/>
      </c>
      <c r="C27" s="13">
        <f>IF($B27="","",IF(AND(LEN($B27)=12,LEFT($B27,3)="998"),$B27,IF(LEN($B27)=9,"998"&amp;$B27,IF(AND(LEN($B27)=10,LEFT($B27,1)="8"),"998"&amp;MID($B27,2,9),IF(AND(LEN($B27)=14,LEFT($B27,5)="00998"),MID($B27,3,12),"?")))))</f>
        <v/>
      </c>
      <c r="D27" s="10">
        <f>IF($C27="","",IF($C27="?","cannot read - fix by hand","ok"))</f>
        <v/>
      </c>
    </row>
    <row r="28">
      <c r="A28" s="12" t="n"/>
      <c r="B28" s="13">
        <f>IF($A28="","",SUBSTITUTE(SUBSTITUTE(SUBSTITUTE(SUBSTITUTE(SUBSTITUTE(SUBSTITUTE(SUBSTITUTE(SUBSTITUTE($A28," ",""),"+",""),"-",""),"(",""),")",""),".",""),"/",""),CHAR(160),""))</f>
        <v/>
      </c>
      <c r="C28" s="13">
        <f>IF($B28="","",IF(AND(LEN($B28)=12,LEFT($B28,3)="998"),$B28,IF(LEN($B28)=9,"998"&amp;$B28,IF(AND(LEN($B28)=10,LEFT($B28,1)="8"),"998"&amp;MID($B28,2,9),IF(AND(LEN($B28)=14,LEFT($B28,5)="00998"),MID($B28,3,12),"?")))))</f>
        <v/>
      </c>
      <c r="D28" s="10">
        <f>IF($C28="","",IF($C28="?","cannot read - fix by hand","ok"))</f>
        <v/>
      </c>
    </row>
    <row r="29">
      <c r="A29" s="12" t="n"/>
      <c r="B29" s="13">
        <f>IF($A29="","",SUBSTITUTE(SUBSTITUTE(SUBSTITUTE(SUBSTITUTE(SUBSTITUTE(SUBSTITUTE(SUBSTITUTE(SUBSTITUTE($A29," ",""),"+",""),"-",""),"(",""),")",""),".",""),"/",""),CHAR(160),""))</f>
        <v/>
      </c>
      <c r="C29" s="13">
        <f>IF($B29="","",IF(AND(LEN($B29)=12,LEFT($B29,3)="998"),$B29,IF(LEN($B29)=9,"998"&amp;$B29,IF(AND(LEN($B29)=10,LEFT($B29,1)="8"),"998"&amp;MID($B29,2,9),IF(AND(LEN($B29)=14,LEFT($B29,5)="00998"),MID($B29,3,12),"?")))))</f>
        <v/>
      </c>
      <c r="D29" s="10">
        <f>IF($C29="","",IF($C29="?","cannot read - fix by hand","ok"))</f>
        <v/>
      </c>
    </row>
    <row r="30">
      <c r="A30" s="12" t="n"/>
      <c r="B30" s="13">
        <f>IF($A30="","",SUBSTITUTE(SUBSTITUTE(SUBSTITUTE(SUBSTITUTE(SUBSTITUTE(SUBSTITUTE(SUBSTITUTE(SUBSTITUTE($A30," ",""),"+",""),"-",""),"(",""),")",""),".",""),"/",""),CHAR(160),""))</f>
        <v/>
      </c>
      <c r="C30" s="13">
        <f>IF($B30="","",IF(AND(LEN($B30)=12,LEFT($B30,3)="998"),$B30,IF(LEN($B30)=9,"998"&amp;$B30,IF(AND(LEN($B30)=10,LEFT($B30,1)="8"),"998"&amp;MID($B30,2,9),IF(AND(LEN($B30)=14,LEFT($B30,5)="00998"),MID($B30,3,12),"?")))))</f>
        <v/>
      </c>
      <c r="D30" s="10">
        <f>IF($C30="","",IF($C30="?","cannot read - fix by hand","ok"))</f>
        <v/>
      </c>
    </row>
    <row r="31">
      <c r="A31" s="12" t="n"/>
      <c r="B31" s="13">
        <f>IF($A31="","",SUBSTITUTE(SUBSTITUTE(SUBSTITUTE(SUBSTITUTE(SUBSTITUTE(SUBSTITUTE(SUBSTITUTE(SUBSTITUTE($A31," ",""),"+",""),"-",""),"(",""),")",""),".",""),"/",""),CHAR(160),""))</f>
        <v/>
      </c>
      <c r="C31" s="13">
        <f>IF($B31="","",IF(AND(LEN($B31)=12,LEFT($B31,3)="998"),$B31,IF(LEN($B31)=9,"998"&amp;$B31,IF(AND(LEN($B31)=10,LEFT($B31,1)="8"),"998"&amp;MID($B31,2,9),IF(AND(LEN($B31)=14,LEFT($B31,5)="00998"),MID($B31,3,12),"?")))))</f>
        <v/>
      </c>
      <c r="D31" s="10">
        <f>IF($C31="","",IF($C31="?","cannot read - fix by hand","ok"))</f>
        <v/>
      </c>
    </row>
    <row r="32">
      <c r="A32" s="12" t="n"/>
      <c r="B32" s="13">
        <f>IF($A32="","",SUBSTITUTE(SUBSTITUTE(SUBSTITUTE(SUBSTITUTE(SUBSTITUTE(SUBSTITUTE(SUBSTITUTE(SUBSTITUTE($A32," ",""),"+",""),"-",""),"(",""),")",""),".",""),"/",""),CHAR(160),""))</f>
        <v/>
      </c>
      <c r="C32" s="13">
        <f>IF($B32="","",IF(AND(LEN($B32)=12,LEFT($B32,3)="998"),$B32,IF(LEN($B32)=9,"998"&amp;$B32,IF(AND(LEN($B32)=10,LEFT($B32,1)="8"),"998"&amp;MID($B32,2,9),IF(AND(LEN($B32)=14,LEFT($B32,5)="00998"),MID($B32,3,12),"?")))))</f>
        <v/>
      </c>
      <c r="D32" s="10">
        <f>IF($C32="","",IF($C32="?","cannot read - fix by hand","ok"))</f>
        <v/>
      </c>
    </row>
    <row r="33">
      <c r="A33" s="12" t="n"/>
      <c r="B33" s="13">
        <f>IF($A33="","",SUBSTITUTE(SUBSTITUTE(SUBSTITUTE(SUBSTITUTE(SUBSTITUTE(SUBSTITUTE(SUBSTITUTE(SUBSTITUTE($A33," ",""),"+",""),"-",""),"(",""),")",""),".",""),"/",""),CHAR(160),""))</f>
        <v/>
      </c>
      <c r="C33" s="13">
        <f>IF($B33="","",IF(AND(LEN($B33)=12,LEFT($B33,3)="998"),$B33,IF(LEN($B33)=9,"998"&amp;$B33,IF(AND(LEN($B33)=10,LEFT($B33,1)="8"),"998"&amp;MID($B33,2,9),IF(AND(LEN($B33)=14,LEFT($B33,5)="00998"),MID($B33,3,12),"?")))))</f>
        <v/>
      </c>
      <c r="D33" s="10">
        <f>IF($C33="","",IF($C33="?","cannot read - fix by hand","ok"))</f>
        <v/>
      </c>
    </row>
  </sheetData>
  <mergeCells count="2">
    <mergeCell ref="A1:D1"/>
    <mergeCell ref="A2:D2"/>
  </mergeCell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2" customWidth="1" min="4" max="4"/>
    <col width="15" customWidth="1" min="5" max="5"/>
    <col width="15" customWidth="1" min="6" max="6"/>
    <col width="15" customWidth="1" min="7" max="7"/>
    <col width="12" customWidth="1" min="8" max="8"/>
    <col width="12" customWidth="1" min="9" max="9"/>
  </cols>
  <sheetData>
    <row r="1" ht="22" customHeight="1">
      <c r="A1" s="1" t="inlineStr">
        <is>
          <t>Receivables</t>
        </is>
      </c>
    </row>
    <row r="2">
      <c r="A2" s="2" t="inlineStr">
        <is>
          <t>Who owes what, and for how long. Ages against today's date every time the file opens.</t>
        </is>
      </c>
    </row>
    <row r="3" ht="28" customHeight="1">
      <c r="A3" s="7" t="inlineStr">
        <is>
          <t>Order</t>
        </is>
      </c>
      <c r="B3" s="7" t="inlineStr">
        <is>
          <t>Client</t>
        </is>
      </c>
      <c r="C3" s="7" t="inlineStr">
        <is>
          <t>Phone</t>
        </is>
      </c>
      <c r="D3" s="7" t="inlineStr">
        <is>
          <t>Due date</t>
        </is>
      </c>
      <c r="E3" s="7" t="inlineStr">
        <is>
          <t>Order total</t>
        </is>
      </c>
      <c r="F3" s="7" t="inlineStr">
        <is>
          <t>Paid</t>
        </is>
      </c>
      <c r="G3" s="7" t="inlineStr">
        <is>
          <t>Outstanding</t>
        </is>
      </c>
      <c r="H3" s="7" t="inlineStr">
        <is>
          <t>Days overdue</t>
        </is>
      </c>
      <c r="I3" s="7" t="inlineStr">
        <is>
          <t>Bucket</t>
        </is>
      </c>
    </row>
    <row r="4">
      <c r="A4" s="8" t="inlineStr">
        <is>
          <t>2026-06-0035</t>
        </is>
      </c>
      <c r="B4" s="8" t="inlineStr">
        <is>
          <t>SH N</t>
        </is>
      </c>
      <c r="C4" s="9" t="inlineStr">
        <is>
          <t>998942779491</t>
        </is>
      </c>
      <c r="D4" s="14" t="n">
        <v>46192</v>
      </c>
      <c r="E4" s="15" t="n">
        <v>2842000</v>
      </c>
      <c r="F4" s="15" t="n">
        <v>0</v>
      </c>
      <c r="G4" s="16">
        <f>$E4-$F4</f>
        <v/>
      </c>
      <c r="H4" s="11">
        <f>IF($G4&lt;=0,"",TODAY()-$D4)</f>
        <v/>
      </c>
      <c r="I4" s="11">
        <f>IF($G4&lt;=0,"paid",IF(TODAY()-$D4&lt;=0,"not due",IF(TODAY()-$D4&lt;=30,"0-30",IF(TODAY()-$D4&lt;=60,"31-60",IF(TODAY()-$D4&lt;=90,"61-90","90+")))))</f>
        <v/>
      </c>
    </row>
    <row r="5">
      <c r="A5" s="8" t="inlineStr">
        <is>
          <t>2026-09-0072</t>
        </is>
      </c>
      <c r="B5" s="8" t="inlineStr">
        <is>
          <t>Нематжон</t>
        </is>
      </c>
      <c r="C5" s="9" t="inlineStr">
        <is>
          <t>998907946622</t>
        </is>
      </c>
      <c r="D5" s="14" t="n">
        <v>46283</v>
      </c>
      <c r="E5" s="15" t="n">
        <v>13500000</v>
      </c>
      <c r="F5" s="15" t="n">
        <v>11800000</v>
      </c>
      <c r="G5" s="16">
        <f>$E5-$F5</f>
        <v/>
      </c>
      <c r="H5" s="11">
        <f>IF($G5&lt;=0,"",TODAY()-$D5)</f>
        <v/>
      </c>
      <c r="I5" s="11">
        <f>IF($G5&lt;=0,"paid",IF(TODAY()-$D5&lt;=0,"not due",IF(TODAY()-$D5&lt;=30,"0-30",IF(TODAY()-$D5&lt;=60,"31-60",IF(TODAY()-$D5&lt;=90,"61-90","90+")))))</f>
        <v/>
      </c>
    </row>
    <row r="6">
      <c r="A6" s="8" t="inlineStr">
        <is>
          <t>2026-09-0073</t>
        </is>
      </c>
      <c r="B6" s="8" t="inlineStr">
        <is>
          <t>Ortik</t>
        </is>
      </c>
      <c r="C6" s="9" t="inlineStr">
        <is>
          <t>998935800787</t>
        </is>
      </c>
      <c r="D6" s="14" t="n">
        <v>46282</v>
      </c>
      <c r="E6" s="15" t="n">
        <v>5300000</v>
      </c>
      <c r="F6" s="15" t="n">
        <v>5100000</v>
      </c>
      <c r="G6" s="16">
        <f>$E6-$F6</f>
        <v/>
      </c>
      <c r="H6" s="11">
        <f>IF($G6&lt;=0,"",TODAY()-$D6)</f>
        <v/>
      </c>
      <c r="I6" s="11">
        <f>IF($G6&lt;=0,"paid",IF(TODAY()-$D6&lt;=0,"not due",IF(TODAY()-$D6&lt;=30,"0-30",IF(TODAY()-$D6&lt;=60,"31-60",IF(TODAY()-$D6&lt;=90,"61-90","90+")))))</f>
        <v/>
      </c>
    </row>
    <row r="7">
      <c r="A7" s="8" t="inlineStr">
        <is>
          <t>2026-09-0074</t>
        </is>
      </c>
      <c r="B7" s="8" t="inlineStr">
        <is>
          <t>Озодбек</t>
        </is>
      </c>
      <c r="C7" s="9" t="inlineStr">
        <is>
          <t>998952196655</t>
        </is>
      </c>
      <c r="D7" s="14" t="n">
        <v>46285</v>
      </c>
      <c r="E7" s="15" t="n">
        <v>4808400</v>
      </c>
      <c r="F7" s="15" t="n">
        <v>0</v>
      </c>
      <c r="G7" s="16">
        <f>$E7-$F7</f>
        <v/>
      </c>
      <c r="H7" s="11">
        <f>IF($G7&lt;=0,"",TODAY()-$D7)</f>
        <v/>
      </c>
      <c r="I7" s="11">
        <f>IF($G7&lt;=0,"paid",IF(TODAY()-$D7&lt;=0,"not due",IF(TODAY()-$D7&lt;=30,"0-30",IF(TODAY()-$D7&lt;=60,"31-60",IF(TODAY()-$D7&lt;=90,"61-90","90+")))))</f>
        <v/>
      </c>
    </row>
    <row r="8">
      <c r="A8" s="8" t="inlineStr">
        <is>
          <t>2026-09-0075</t>
        </is>
      </c>
      <c r="B8" s="8" t="inlineStr">
        <is>
          <t>Адхам ака</t>
        </is>
      </c>
      <c r="C8" s="9" t="inlineStr">
        <is>
          <t>998881480576</t>
        </is>
      </c>
      <c r="D8" s="14" t="n">
        <v>46285</v>
      </c>
      <c r="E8" s="15" t="n">
        <v>5074020</v>
      </c>
      <c r="F8" s="15" t="n">
        <v>0</v>
      </c>
      <c r="G8" s="16">
        <f>$E8-$F8</f>
        <v/>
      </c>
      <c r="H8" s="11">
        <f>IF($G8&lt;=0,"",TODAY()-$D8)</f>
        <v/>
      </c>
      <c r="I8" s="11">
        <f>IF($G8&lt;=0,"paid",IF(TODAY()-$D8&lt;=0,"not due",IF(TODAY()-$D8&lt;=30,"0-30",IF(TODAY()-$D8&lt;=60,"31-60",IF(TODAY()-$D8&lt;=90,"61-90","90+")))))</f>
        <v/>
      </c>
    </row>
    <row r="9">
      <c r="A9" s="8" t="inlineStr">
        <is>
          <t>2026-09-0076</t>
        </is>
      </c>
      <c r="B9" s="8" t="inlineStr">
        <is>
          <t>Ziyo Ziyayev</t>
        </is>
      </c>
      <c r="C9" s="9" t="inlineStr">
        <is>
          <t>998909045653</t>
        </is>
      </c>
      <c r="D9" s="14" t="n">
        <v>46288</v>
      </c>
      <c r="E9" s="15" t="n">
        <v>9262000</v>
      </c>
      <c r="F9" s="15" t="n">
        <v>1000000</v>
      </c>
      <c r="G9" s="16">
        <f>$E9-$F9</f>
        <v/>
      </c>
      <c r="H9" s="11">
        <f>IF($G9&lt;=0,"",TODAY()-$D9)</f>
        <v/>
      </c>
      <c r="I9" s="11">
        <f>IF($G9&lt;=0,"paid",IF(TODAY()-$D9&lt;=0,"not due",IF(TODAY()-$D9&lt;=30,"0-30",IF(TODAY()-$D9&lt;=60,"31-60",IF(TODAY()-$D9&lt;=90,"61-90","90+")))))</f>
        <v/>
      </c>
    </row>
    <row r="10">
      <c r="A10" s="8" t="inlineStr">
        <is>
          <t>2026-09-0077</t>
        </is>
      </c>
      <c r="B10" s="8" t="inlineStr">
        <is>
          <t>Baxodir</t>
        </is>
      </c>
      <c r="C10" s="9" t="inlineStr">
        <is>
          <t>998934290084</t>
        </is>
      </c>
      <c r="D10" s="14" t="n">
        <v>46283</v>
      </c>
      <c r="E10" s="15" t="n">
        <v>3005040</v>
      </c>
      <c r="F10" s="15" t="n">
        <v>0</v>
      </c>
      <c r="G10" s="16">
        <f>$E10-$F10</f>
        <v/>
      </c>
      <c r="H10" s="11">
        <f>IF($G10&lt;=0,"",TODAY()-$D10)</f>
        <v/>
      </c>
      <c r="I10" s="11">
        <f>IF($G10&lt;=0,"paid",IF(TODAY()-$D10&lt;=0,"not due",IF(TODAY()-$D10&lt;=30,"0-30",IF(TODAY()-$D10&lt;=60,"31-60",IF(TODAY()-$D10&lt;=90,"61-90","90+")))))</f>
        <v/>
      </c>
    </row>
    <row r="11">
      <c r="A11" s="8" t="inlineStr">
        <is>
          <t>2026-08-0081</t>
        </is>
      </c>
      <c r="B11" s="8" t="inlineStr">
        <is>
          <t>Журавой</t>
        </is>
      </c>
      <c r="C11" s="9" t="inlineStr">
        <is>
          <t>998000000000</t>
        </is>
      </c>
      <c r="D11" s="14" t="n">
        <v>46283</v>
      </c>
      <c r="E11" s="15" t="n">
        <v>22500000</v>
      </c>
      <c r="F11" s="15" t="n">
        <v>0</v>
      </c>
      <c r="G11" s="16">
        <f>$E11-$F11</f>
        <v/>
      </c>
      <c r="H11" s="11">
        <f>IF($G11&lt;=0,"",TODAY()-$D11)</f>
        <v/>
      </c>
      <c r="I11" s="11">
        <f>IF($G11&lt;=0,"paid",IF(TODAY()-$D11&lt;=0,"not due",IF(TODAY()-$D11&lt;=30,"0-30",IF(TODAY()-$D11&lt;=60,"31-60",IF(TODAY()-$D11&lt;=90,"61-90","90+")))))</f>
        <v/>
      </c>
    </row>
    <row r="12">
      <c r="F12" s="5" t="inlineStr">
        <is>
          <t>Total</t>
        </is>
      </c>
      <c r="G12" s="17">
        <f>SUM($G$4:$G$11)</f>
        <v/>
      </c>
    </row>
    <row r="15">
      <c r="A15" s="18" t="inlineStr">
        <is>
          <t>Aging summary</t>
        </is>
      </c>
    </row>
    <row r="16" ht="28" customHeight="1">
      <c r="A16" s="7" t="inlineStr">
        <is>
          <t>Bucket</t>
        </is>
      </c>
      <c r="B16" s="7" t="inlineStr">
        <is>
          <t>Orders</t>
        </is>
      </c>
      <c r="C16" s="7" t="inlineStr">
        <is>
          <t>Outstanding</t>
        </is>
      </c>
    </row>
    <row r="17">
      <c r="A17" s="8" t="inlineStr">
        <is>
          <t>not due</t>
        </is>
      </c>
      <c r="B17" s="10">
        <f>COUNTIFS($I$4:$I$11,$A17)</f>
        <v/>
      </c>
      <c r="C17" s="16">
        <f>SUMIFS($G$4:$G$11,$I$4:$I$11,$A17)</f>
        <v/>
      </c>
    </row>
    <row r="18">
      <c r="A18" s="8" t="inlineStr">
        <is>
          <t>0-30</t>
        </is>
      </c>
      <c r="B18" s="10">
        <f>COUNTIFS($I$4:$I$11,$A18)</f>
        <v/>
      </c>
      <c r="C18" s="16">
        <f>SUMIFS($G$4:$G$11,$I$4:$I$11,$A18)</f>
        <v/>
      </c>
    </row>
    <row r="19">
      <c r="A19" s="8" t="inlineStr">
        <is>
          <t>31-60</t>
        </is>
      </c>
      <c r="B19" s="10">
        <f>COUNTIFS($I$4:$I$11,$A19)</f>
        <v/>
      </c>
      <c r="C19" s="16">
        <f>SUMIFS($G$4:$G$11,$I$4:$I$11,$A19)</f>
        <v/>
      </c>
    </row>
    <row r="20">
      <c r="A20" s="8" t="inlineStr">
        <is>
          <t>61-90</t>
        </is>
      </c>
      <c r="B20" s="10">
        <f>COUNTIFS($I$4:$I$11,$A20)</f>
        <v/>
      </c>
      <c r="C20" s="16">
        <f>SUMIFS($G$4:$G$11,$I$4:$I$11,$A20)</f>
        <v/>
      </c>
    </row>
    <row r="21">
      <c r="A21" s="8" t="inlineStr">
        <is>
          <t>90+</t>
        </is>
      </c>
      <c r="B21" s="10">
        <f>COUNTIFS($I$4:$I$11,$A21)</f>
        <v/>
      </c>
      <c r="C21" s="16">
        <f>SUMIFS($G$4:$G$11,$I$4:$I$11,$A21)</f>
        <v/>
      </c>
    </row>
    <row r="22">
      <c r="A22" s="5" t="inlineStr">
        <is>
          <t>Total</t>
        </is>
      </c>
      <c r="B22" s="19">
        <f>SUM($B$17:$B$21)</f>
        <v/>
      </c>
      <c r="C22" s="17">
        <f>SUM($C$17:$C$21)</f>
        <v/>
      </c>
    </row>
  </sheetData>
  <mergeCells count="2">
    <mergeCell ref="A1:I1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92" customWidth="1" min="2" max="2"/>
    <col width="7" customWidth="1" min="4" max="4"/>
    <col width="7" customWidth="1" min="5" max="5"/>
    <col width="7" customWidth="1" min="6" max="6"/>
    <col width="7" customWidth="1" min="7" max="7"/>
    <col width="14" customWidth="1" min="8" max="8"/>
    <col width="14" customWidth="1" min="9" max="9"/>
    <col width="14" customWidth="1" min="10" max="10"/>
    <col width="14" customWidth="1" min="11" max="11"/>
    <col width="5" customWidth="1" min="13" max="13"/>
    <col width="10" customWidth="1" min="14" max="14"/>
    <col width="10" customWidth="1" min="15" max="15"/>
  </cols>
  <sheetData>
    <row r="1" ht="22" customHeight="1">
      <c r="A1" s="1" t="inlineStr">
        <is>
          <t>Money in Words</t>
        </is>
      </c>
    </row>
    <row r="2">
      <c r="A2" s="2" t="inlineStr">
        <is>
          <t>For invoices and contracts. Type an amount in the yellow column.</t>
        </is>
      </c>
    </row>
    <row r="3" ht="28" customHeight="1">
      <c r="A3" s="7" t="inlineStr">
        <is>
          <t>Amount (UZS)</t>
        </is>
      </c>
      <c r="B3" s="7" t="inlineStr">
        <is>
          <t>In words</t>
        </is>
      </c>
      <c r="D3" s="2" t="inlineStr">
        <is>
          <t>working - the four digit groups, then their words</t>
        </is>
      </c>
      <c r="M3" s="2" t="inlineStr">
        <is>
          <t>lookup tables - leave alone</t>
        </is>
      </c>
    </row>
    <row r="4">
      <c r="A4" s="20" t="n">
        <v>13500000</v>
      </c>
      <c r="B4" s="10">
        <f>IF($A4="","",IF(INT($A4)=0,"nol so'm",TRIM(IF($D4&gt;0,$H4&amp;" milliard ","")&amp;IF($E4&gt;0,$I4&amp;" million ","")&amp;IF($F4&gt;0,$J4&amp;" ming ","")&amp;$K4)&amp;" so'm"))</f>
        <v/>
      </c>
      <c r="D4" s="21">
        <f>IF($A4="","",INT(INT($A4)/1000000000))</f>
        <v/>
      </c>
      <c r="E4" s="21">
        <f>IF($A4="","",INT(MOD(INT($A4),1000000000)/1000000))</f>
        <v/>
      </c>
      <c r="F4" s="21">
        <f>IF($A4="","",INT(MOD(INT($A4),1000000)/1000))</f>
        <v/>
      </c>
      <c r="G4" s="21">
        <f>IF($A4="","",MOD(INT($A4),1000))</f>
        <v/>
      </c>
      <c r="H4" s="21">
        <f>IF($A4="","",IF($D4=0,"",TRIM(IF(INT($D4/100)&gt;0,INDEX($N$4:$N$13,INT($D4/100)+1)&amp;" yuz ","")&amp;IF(MOD($D4,100)&gt;=20,INDEX($O$4:$O$13,INT(MOD($D4,100)/10)+1)&amp;" "&amp;INDEX($N$4:$N$13,MOD(MOD($D4,100),10)+1),IF(MOD($D4,100)&gt;=10,"o'n "&amp;INDEX($N$4:$N$13,MOD($D4,100)-10+1),INDEX($N$4:$N$13,MOD($D4,100)+1))))))</f>
        <v/>
      </c>
      <c r="I4" s="21">
        <f>IF($A4="","",IF($E4=0,"",TRIM(IF(INT($E4/100)&gt;0,INDEX($N$4:$N$13,INT($E4/100)+1)&amp;" yuz ","")&amp;IF(MOD($E4,100)&gt;=20,INDEX($O$4:$O$13,INT(MOD($E4,100)/10)+1)&amp;" "&amp;INDEX($N$4:$N$13,MOD(MOD($E4,100),10)+1),IF(MOD($E4,100)&gt;=10,"o'n "&amp;INDEX($N$4:$N$13,MOD($E4,100)-10+1),INDEX($N$4:$N$13,MOD($E4,100)+1))))))</f>
        <v/>
      </c>
      <c r="J4" s="21">
        <f>IF($A4="","",IF($F4=0,"",TRIM(IF(INT($F4/100)&gt;0,INDEX($N$4:$N$13,INT($F4/100)+1)&amp;" yuz ","")&amp;IF(MOD($F4,100)&gt;=20,INDEX($O$4:$O$13,INT(MOD($F4,100)/10)+1)&amp;" "&amp;INDEX($N$4:$N$13,MOD(MOD($F4,100),10)+1),IF(MOD($F4,100)&gt;=10,"o'n "&amp;INDEX($N$4:$N$13,MOD($F4,100)-10+1),INDEX($N$4:$N$13,MOD($F4,100)+1))))))</f>
        <v/>
      </c>
      <c r="K4" s="21">
        <f>IF($A4="","",IF($G4=0,"",TRIM(IF(INT($G4/100)&gt;0,INDEX($N$4:$N$13,INT($G4/100)+1)&amp;" yuz ","")&amp;IF(MOD($G4,100)&gt;=20,INDEX($O$4:$O$13,INT(MOD($G4,100)/10)+1)&amp;" "&amp;INDEX($N$4:$N$13,MOD(MOD($G4,100),10)+1),IF(MOD($G4,100)&gt;=10,"o'n "&amp;INDEX($N$4:$N$13,MOD($G4,100)-10+1),INDEX($N$4:$N$13,MOD($G4,100)+1))))))</f>
        <v/>
      </c>
      <c r="M4" s="2" t="n">
        <v>0</v>
      </c>
      <c r="N4" s="2" t="inlineStr"/>
      <c r="O4" s="2" t="inlineStr"/>
    </row>
    <row r="5">
      <c r="A5" s="20" t="n">
        <v>3005040</v>
      </c>
      <c r="B5" s="10">
        <f>IF($A5="","",IF(INT($A5)=0,"nol so'm",TRIM(IF($D5&gt;0,$H5&amp;" milliard ","")&amp;IF($E5&gt;0,$I5&amp;" million ","")&amp;IF($F5&gt;0,$J5&amp;" ming ","")&amp;$K5)&amp;" so'm"))</f>
        <v/>
      </c>
      <c r="D5" s="21">
        <f>IF($A5="","",INT(INT($A5)/1000000000))</f>
        <v/>
      </c>
      <c r="E5" s="21">
        <f>IF($A5="","",INT(MOD(INT($A5),1000000000)/1000000))</f>
        <v/>
      </c>
      <c r="F5" s="21">
        <f>IF($A5="","",INT(MOD(INT($A5),1000000)/1000))</f>
        <v/>
      </c>
      <c r="G5" s="21">
        <f>IF($A5="","",MOD(INT($A5),1000))</f>
        <v/>
      </c>
      <c r="H5" s="21">
        <f>IF($A5="","",IF($D5=0,"",TRIM(IF(INT($D5/100)&gt;0,INDEX($N$4:$N$13,INT($D5/100)+1)&amp;" yuz ","")&amp;IF(MOD($D5,100)&gt;=20,INDEX($O$4:$O$13,INT(MOD($D5,100)/10)+1)&amp;" "&amp;INDEX($N$4:$N$13,MOD(MOD($D5,100),10)+1),IF(MOD($D5,100)&gt;=10,"o'n "&amp;INDEX($N$4:$N$13,MOD($D5,100)-10+1),INDEX($N$4:$N$13,MOD($D5,100)+1))))))</f>
        <v/>
      </c>
      <c r="I5" s="21">
        <f>IF($A5="","",IF($E5=0,"",TRIM(IF(INT($E5/100)&gt;0,INDEX($N$4:$N$13,INT($E5/100)+1)&amp;" yuz ","")&amp;IF(MOD($E5,100)&gt;=20,INDEX($O$4:$O$13,INT(MOD($E5,100)/10)+1)&amp;" "&amp;INDEX($N$4:$N$13,MOD(MOD($E5,100),10)+1),IF(MOD($E5,100)&gt;=10,"o'n "&amp;INDEX($N$4:$N$13,MOD($E5,100)-10+1),INDEX($N$4:$N$13,MOD($E5,100)+1))))))</f>
        <v/>
      </c>
      <c r="J5" s="21">
        <f>IF($A5="","",IF($F5=0,"",TRIM(IF(INT($F5/100)&gt;0,INDEX($N$4:$N$13,INT($F5/100)+1)&amp;" yuz ","")&amp;IF(MOD($F5,100)&gt;=20,INDEX($O$4:$O$13,INT(MOD($F5,100)/10)+1)&amp;" "&amp;INDEX($N$4:$N$13,MOD(MOD($F5,100),10)+1),IF(MOD($F5,100)&gt;=10,"o'n "&amp;INDEX($N$4:$N$13,MOD($F5,100)-10+1),INDEX($N$4:$N$13,MOD($F5,100)+1))))))</f>
        <v/>
      </c>
      <c r="K5" s="21">
        <f>IF($A5="","",IF($G5=0,"",TRIM(IF(INT($G5/100)&gt;0,INDEX($N$4:$N$13,INT($G5/100)+1)&amp;" yuz ","")&amp;IF(MOD($G5,100)&gt;=20,INDEX($O$4:$O$13,INT(MOD($G5,100)/10)+1)&amp;" "&amp;INDEX($N$4:$N$13,MOD(MOD($G5,100),10)+1),IF(MOD($G5,100)&gt;=10,"o'n "&amp;INDEX($N$4:$N$13,MOD($G5,100)-10+1),INDEX($N$4:$N$13,MOD($G5,100)+1))))))</f>
        <v/>
      </c>
      <c r="M5" s="2" t="n">
        <v>1</v>
      </c>
      <c r="N5" s="2" t="inlineStr">
        <is>
          <t>bir</t>
        </is>
      </c>
      <c r="O5" s="2" t="inlineStr"/>
    </row>
    <row r="6">
      <c r="A6" s="20" t="n">
        <v>22500000</v>
      </c>
      <c r="B6" s="10">
        <f>IF($A6="","",IF(INT($A6)=0,"nol so'm",TRIM(IF($D6&gt;0,$H6&amp;" milliard ","")&amp;IF($E6&gt;0,$I6&amp;" million ","")&amp;IF($F6&gt;0,$J6&amp;" ming ","")&amp;$K6)&amp;" so'm"))</f>
        <v/>
      </c>
      <c r="D6" s="21">
        <f>IF($A6="","",INT(INT($A6)/1000000000))</f>
        <v/>
      </c>
      <c r="E6" s="21">
        <f>IF($A6="","",INT(MOD(INT($A6),1000000000)/1000000))</f>
        <v/>
      </c>
      <c r="F6" s="21">
        <f>IF($A6="","",INT(MOD(INT($A6),1000000)/1000))</f>
        <v/>
      </c>
      <c r="G6" s="21">
        <f>IF($A6="","",MOD(INT($A6),1000))</f>
        <v/>
      </c>
      <c r="H6" s="21">
        <f>IF($A6="","",IF($D6=0,"",TRIM(IF(INT($D6/100)&gt;0,INDEX($N$4:$N$13,INT($D6/100)+1)&amp;" yuz ","")&amp;IF(MOD($D6,100)&gt;=20,INDEX($O$4:$O$13,INT(MOD($D6,100)/10)+1)&amp;" "&amp;INDEX($N$4:$N$13,MOD(MOD($D6,100),10)+1),IF(MOD($D6,100)&gt;=10,"o'n "&amp;INDEX($N$4:$N$13,MOD($D6,100)-10+1),INDEX($N$4:$N$13,MOD($D6,100)+1))))))</f>
        <v/>
      </c>
      <c r="I6" s="21">
        <f>IF($A6="","",IF($E6=0,"",TRIM(IF(INT($E6/100)&gt;0,INDEX($N$4:$N$13,INT($E6/100)+1)&amp;" yuz ","")&amp;IF(MOD($E6,100)&gt;=20,INDEX($O$4:$O$13,INT(MOD($E6,100)/10)+1)&amp;" "&amp;INDEX($N$4:$N$13,MOD(MOD($E6,100),10)+1),IF(MOD($E6,100)&gt;=10,"o'n "&amp;INDEX($N$4:$N$13,MOD($E6,100)-10+1),INDEX($N$4:$N$13,MOD($E6,100)+1))))))</f>
        <v/>
      </c>
      <c r="J6" s="21">
        <f>IF($A6="","",IF($F6=0,"",TRIM(IF(INT($F6/100)&gt;0,INDEX($N$4:$N$13,INT($F6/100)+1)&amp;" yuz ","")&amp;IF(MOD($F6,100)&gt;=20,INDEX($O$4:$O$13,INT(MOD($F6,100)/10)+1)&amp;" "&amp;INDEX($N$4:$N$13,MOD(MOD($F6,100),10)+1),IF(MOD($F6,100)&gt;=10,"o'n "&amp;INDEX($N$4:$N$13,MOD($F6,100)-10+1),INDEX($N$4:$N$13,MOD($F6,100)+1))))))</f>
        <v/>
      </c>
      <c r="K6" s="21">
        <f>IF($A6="","",IF($G6=0,"",TRIM(IF(INT($G6/100)&gt;0,INDEX($N$4:$N$13,INT($G6/100)+1)&amp;" yuz ","")&amp;IF(MOD($G6,100)&gt;=20,INDEX($O$4:$O$13,INT(MOD($G6,100)/10)+1)&amp;" "&amp;INDEX($N$4:$N$13,MOD(MOD($G6,100),10)+1),IF(MOD($G6,100)&gt;=10,"o'n "&amp;INDEX($N$4:$N$13,MOD($G6,100)-10+1),INDEX($N$4:$N$13,MOD($G6,100)+1))))))</f>
        <v/>
      </c>
      <c r="M6" s="2" t="n">
        <v>2</v>
      </c>
      <c r="N6" s="2" t="inlineStr">
        <is>
          <t>ikki</t>
        </is>
      </c>
      <c r="O6" s="2" t="inlineStr">
        <is>
          <t>yigirma</t>
        </is>
      </c>
    </row>
    <row r="7">
      <c r="A7" s="20" t="n">
        <v>245508000</v>
      </c>
      <c r="B7" s="10">
        <f>IF($A7="","",IF(INT($A7)=0,"nol so'm",TRIM(IF($D7&gt;0,$H7&amp;" milliard ","")&amp;IF($E7&gt;0,$I7&amp;" million ","")&amp;IF($F7&gt;0,$J7&amp;" ming ","")&amp;$K7)&amp;" so'm"))</f>
        <v/>
      </c>
      <c r="D7" s="21">
        <f>IF($A7="","",INT(INT($A7)/1000000000))</f>
        <v/>
      </c>
      <c r="E7" s="21">
        <f>IF($A7="","",INT(MOD(INT($A7),1000000000)/1000000))</f>
        <v/>
      </c>
      <c r="F7" s="21">
        <f>IF($A7="","",INT(MOD(INT($A7),1000000)/1000))</f>
        <v/>
      </c>
      <c r="G7" s="21">
        <f>IF($A7="","",MOD(INT($A7),1000))</f>
        <v/>
      </c>
      <c r="H7" s="21">
        <f>IF($A7="","",IF($D7=0,"",TRIM(IF(INT($D7/100)&gt;0,INDEX($N$4:$N$13,INT($D7/100)+1)&amp;" yuz ","")&amp;IF(MOD($D7,100)&gt;=20,INDEX($O$4:$O$13,INT(MOD($D7,100)/10)+1)&amp;" "&amp;INDEX($N$4:$N$13,MOD(MOD($D7,100),10)+1),IF(MOD($D7,100)&gt;=10,"o'n "&amp;INDEX($N$4:$N$13,MOD($D7,100)-10+1),INDEX($N$4:$N$13,MOD($D7,100)+1))))))</f>
        <v/>
      </c>
      <c r="I7" s="21">
        <f>IF($A7="","",IF($E7=0,"",TRIM(IF(INT($E7/100)&gt;0,INDEX($N$4:$N$13,INT($E7/100)+1)&amp;" yuz ","")&amp;IF(MOD($E7,100)&gt;=20,INDEX($O$4:$O$13,INT(MOD($E7,100)/10)+1)&amp;" "&amp;INDEX($N$4:$N$13,MOD(MOD($E7,100),10)+1),IF(MOD($E7,100)&gt;=10,"o'n "&amp;INDEX($N$4:$N$13,MOD($E7,100)-10+1),INDEX($N$4:$N$13,MOD($E7,100)+1))))))</f>
        <v/>
      </c>
      <c r="J7" s="21">
        <f>IF($A7="","",IF($F7=0,"",TRIM(IF(INT($F7/100)&gt;0,INDEX($N$4:$N$13,INT($F7/100)+1)&amp;" yuz ","")&amp;IF(MOD($F7,100)&gt;=20,INDEX($O$4:$O$13,INT(MOD($F7,100)/10)+1)&amp;" "&amp;INDEX($N$4:$N$13,MOD(MOD($F7,100),10)+1),IF(MOD($F7,100)&gt;=10,"o'n "&amp;INDEX($N$4:$N$13,MOD($F7,100)-10+1),INDEX($N$4:$N$13,MOD($F7,100)+1))))))</f>
        <v/>
      </c>
      <c r="K7" s="21">
        <f>IF($A7="","",IF($G7=0,"",TRIM(IF(INT($G7/100)&gt;0,INDEX($N$4:$N$13,INT($G7/100)+1)&amp;" yuz ","")&amp;IF(MOD($G7,100)&gt;=20,INDEX($O$4:$O$13,INT(MOD($G7,100)/10)+1)&amp;" "&amp;INDEX($N$4:$N$13,MOD(MOD($G7,100),10)+1),IF(MOD($G7,100)&gt;=10,"o'n "&amp;INDEX($N$4:$N$13,MOD($G7,100)-10+1),INDEX($N$4:$N$13,MOD($G7,100)+1))))))</f>
        <v/>
      </c>
      <c r="M7" s="2" t="n">
        <v>3</v>
      </c>
      <c r="N7" s="2" t="inlineStr">
        <is>
          <t>uch</t>
        </is>
      </c>
      <c r="O7" s="2" t="inlineStr">
        <is>
          <t>o'ttiz</t>
        </is>
      </c>
    </row>
    <row r="8">
      <c r="A8" s="20" t="n">
        <v>1500</v>
      </c>
      <c r="B8" s="10">
        <f>IF($A8="","",IF(INT($A8)=0,"nol so'm",TRIM(IF($D8&gt;0,$H8&amp;" milliard ","")&amp;IF($E8&gt;0,$I8&amp;" million ","")&amp;IF($F8&gt;0,$J8&amp;" ming ","")&amp;$K8)&amp;" so'm"))</f>
        <v/>
      </c>
      <c r="D8" s="21">
        <f>IF($A8="","",INT(INT($A8)/1000000000))</f>
        <v/>
      </c>
      <c r="E8" s="21">
        <f>IF($A8="","",INT(MOD(INT($A8),1000000000)/1000000))</f>
        <v/>
      </c>
      <c r="F8" s="21">
        <f>IF($A8="","",INT(MOD(INT($A8),1000000)/1000))</f>
        <v/>
      </c>
      <c r="G8" s="21">
        <f>IF($A8="","",MOD(INT($A8),1000))</f>
        <v/>
      </c>
      <c r="H8" s="21">
        <f>IF($A8="","",IF($D8=0,"",TRIM(IF(INT($D8/100)&gt;0,INDEX($N$4:$N$13,INT($D8/100)+1)&amp;" yuz ","")&amp;IF(MOD($D8,100)&gt;=20,INDEX($O$4:$O$13,INT(MOD($D8,100)/10)+1)&amp;" "&amp;INDEX($N$4:$N$13,MOD(MOD($D8,100),10)+1),IF(MOD($D8,100)&gt;=10,"o'n "&amp;INDEX($N$4:$N$13,MOD($D8,100)-10+1),INDEX($N$4:$N$13,MOD($D8,100)+1))))))</f>
        <v/>
      </c>
      <c r="I8" s="21">
        <f>IF($A8="","",IF($E8=0,"",TRIM(IF(INT($E8/100)&gt;0,INDEX($N$4:$N$13,INT($E8/100)+1)&amp;" yuz ","")&amp;IF(MOD($E8,100)&gt;=20,INDEX($O$4:$O$13,INT(MOD($E8,100)/10)+1)&amp;" "&amp;INDEX($N$4:$N$13,MOD(MOD($E8,100),10)+1),IF(MOD($E8,100)&gt;=10,"o'n "&amp;INDEX($N$4:$N$13,MOD($E8,100)-10+1),INDEX($N$4:$N$13,MOD($E8,100)+1))))))</f>
        <v/>
      </c>
      <c r="J8" s="21">
        <f>IF($A8="","",IF($F8=0,"",TRIM(IF(INT($F8/100)&gt;0,INDEX($N$4:$N$13,INT($F8/100)+1)&amp;" yuz ","")&amp;IF(MOD($F8,100)&gt;=20,INDEX($O$4:$O$13,INT(MOD($F8,100)/10)+1)&amp;" "&amp;INDEX($N$4:$N$13,MOD(MOD($F8,100),10)+1),IF(MOD($F8,100)&gt;=10,"o'n "&amp;INDEX($N$4:$N$13,MOD($F8,100)-10+1),INDEX($N$4:$N$13,MOD($F8,100)+1))))))</f>
        <v/>
      </c>
      <c r="K8" s="21">
        <f>IF($A8="","",IF($G8=0,"",TRIM(IF(INT($G8/100)&gt;0,INDEX($N$4:$N$13,INT($G8/100)+1)&amp;" yuz ","")&amp;IF(MOD($G8,100)&gt;=20,INDEX($O$4:$O$13,INT(MOD($G8,100)/10)+1)&amp;" "&amp;INDEX($N$4:$N$13,MOD(MOD($G8,100),10)+1),IF(MOD($G8,100)&gt;=10,"o'n "&amp;INDEX($N$4:$N$13,MOD($G8,100)-10+1),INDEX($N$4:$N$13,MOD($G8,100)+1))))))</f>
        <v/>
      </c>
      <c r="M8" s="2" t="n">
        <v>4</v>
      </c>
      <c r="N8" s="2" t="inlineStr">
        <is>
          <t>to'rt</t>
        </is>
      </c>
      <c r="O8" s="2" t="inlineStr">
        <is>
          <t>qirq</t>
        </is>
      </c>
    </row>
    <row r="9">
      <c r="A9" s="20" t="n">
        <v>9262000</v>
      </c>
      <c r="B9" s="10">
        <f>IF($A9="","",IF(INT($A9)=0,"nol so'm",TRIM(IF($D9&gt;0,$H9&amp;" milliard ","")&amp;IF($E9&gt;0,$I9&amp;" million ","")&amp;IF($F9&gt;0,$J9&amp;" ming ","")&amp;$K9)&amp;" so'm"))</f>
        <v/>
      </c>
      <c r="D9" s="21">
        <f>IF($A9="","",INT(INT($A9)/1000000000))</f>
        <v/>
      </c>
      <c r="E9" s="21">
        <f>IF($A9="","",INT(MOD(INT($A9),1000000000)/1000000))</f>
        <v/>
      </c>
      <c r="F9" s="21">
        <f>IF($A9="","",INT(MOD(INT($A9),1000000)/1000))</f>
        <v/>
      </c>
      <c r="G9" s="21">
        <f>IF($A9="","",MOD(INT($A9),1000))</f>
        <v/>
      </c>
      <c r="H9" s="21">
        <f>IF($A9="","",IF($D9=0,"",TRIM(IF(INT($D9/100)&gt;0,INDEX($N$4:$N$13,INT($D9/100)+1)&amp;" yuz ","")&amp;IF(MOD($D9,100)&gt;=20,INDEX($O$4:$O$13,INT(MOD($D9,100)/10)+1)&amp;" "&amp;INDEX($N$4:$N$13,MOD(MOD($D9,100),10)+1),IF(MOD($D9,100)&gt;=10,"o'n "&amp;INDEX($N$4:$N$13,MOD($D9,100)-10+1),INDEX($N$4:$N$13,MOD($D9,100)+1))))))</f>
        <v/>
      </c>
      <c r="I9" s="21">
        <f>IF($A9="","",IF($E9=0,"",TRIM(IF(INT($E9/100)&gt;0,INDEX($N$4:$N$13,INT($E9/100)+1)&amp;" yuz ","")&amp;IF(MOD($E9,100)&gt;=20,INDEX($O$4:$O$13,INT(MOD($E9,100)/10)+1)&amp;" "&amp;INDEX($N$4:$N$13,MOD(MOD($E9,100),10)+1),IF(MOD($E9,100)&gt;=10,"o'n "&amp;INDEX($N$4:$N$13,MOD($E9,100)-10+1),INDEX($N$4:$N$13,MOD($E9,100)+1))))))</f>
        <v/>
      </c>
      <c r="J9" s="21">
        <f>IF($A9="","",IF($F9=0,"",TRIM(IF(INT($F9/100)&gt;0,INDEX($N$4:$N$13,INT($F9/100)+1)&amp;" yuz ","")&amp;IF(MOD($F9,100)&gt;=20,INDEX($O$4:$O$13,INT(MOD($F9,100)/10)+1)&amp;" "&amp;INDEX($N$4:$N$13,MOD(MOD($F9,100),10)+1),IF(MOD($F9,100)&gt;=10,"o'n "&amp;INDEX($N$4:$N$13,MOD($F9,100)-10+1),INDEX($N$4:$N$13,MOD($F9,100)+1))))))</f>
        <v/>
      </c>
      <c r="K9" s="21">
        <f>IF($A9="","",IF($G9=0,"",TRIM(IF(INT($G9/100)&gt;0,INDEX($N$4:$N$13,INT($G9/100)+1)&amp;" yuz ","")&amp;IF(MOD($G9,100)&gt;=20,INDEX($O$4:$O$13,INT(MOD($G9,100)/10)+1)&amp;" "&amp;INDEX($N$4:$N$13,MOD(MOD($G9,100),10)+1),IF(MOD($G9,100)&gt;=10,"o'n "&amp;INDEX($N$4:$N$13,MOD($G9,100)-10+1),INDEX($N$4:$N$13,MOD($G9,100)+1))))))</f>
        <v/>
      </c>
      <c r="M9" s="2" t="n">
        <v>5</v>
      </c>
      <c r="N9" s="2" t="inlineStr">
        <is>
          <t>besh</t>
        </is>
      </c>
      <c r="O9" s="2" t="inlineStr">
        <is>
          <t>ellik</t>
        </is>
      </c>
    </row>
    <row r="10">
      <c r="A10" s="20" t="n"/>
      <c r="B10" s="10">
        <f>IF($A10="","",IF(INT($A10)=0,"nol so'm",TRIM(IF($D10&gt;0,$H10&amp;" milliard ","")&amp;IF($E10&gt;0,$I10&amp;" million ","")&amp;IF($F10&gt;0,$J10&amp;" ming ","")&amp;$K10)&amp;" so'm"))</f>
        <v/>
      </c>
      <c r="D10" s="21">
        <f>IF($A10="","",INT(INT($A10)/1000000000))</f>
        <v/>
      </c>
      <c r="E10" s="21">
        <f>IF($A10="","",INT(MOD(INT($A10),1000000000)/1000000))</f>
        <v/>
      </c>
      <c r="F10" s="21">
        <f>IF($A10="","",INT(MOD(INT($A10),1000000)/1000))</f>
        <v/>
      </c>
      <c r="G10" s="21">
        <f>IF($A10="","",MOD(INT($A10),1000))</f>
        <v/>
      </c>
      <c r="H10" s="21">
        <f>IF($A10="","",IF($D10=0,"",TRIM(IF(INT($D10/100)&gt;0,INDEX($N$4:$N$13,INT($D10/100)+1)&amp;" yuz ","")&amp;IF(MOD($D10,100)&gt;=20,INDEX($O$4:$O$13,INT(MOD($D10,100)/10)+1)&amp;" "&amp;INDEX($N$4:$N$13,MOD(MOD($D10,100),10)+1),IF(MOD($D10,100)&gt;=10,"o'n "&amp;INDEX($N$4:$N$13,MOD($D10,100)-10+1),INDEX($N$4:$N$13,MOD($D10,100)+1))))))</f>
        <v/>
      </c>
      <c r="I10" s="21">
        <f>IF($A10="","",IF($E10=0,"",TRIM(IF(INT($E10/100)&gt;0,INDEX($N$4:$N$13,INT($E10/100)+1)&amp;" yuz ","")&amp;IF(MOD($E10,100)&gt;=20,INDEX($O$4:$O$13,INT(MOD($E10,100)/10)+1)&amp;" "&amp;INDEX($N$4:$N$13,MOD(MOD($E10,100),10)+1),IF(MOD($E10,100)&gt;=10,"o'n "&amp;INDEX($N$4:$N$13,MOD($E10,100)-10+1),INDEX($N$4:$N$13,MOD($E10,100)+1))))))</f>
        <v/>
      </c>
      <c r="J10" s="21">
        <f>IF($A10="","",IF($F10=0,"",TRIM(IF(INT($F10/100)&gt;0,INDEX($N$4:$N$13,INT($F10/100)+1)&amp;" yuz ","")&amp;IF(MOD($F10,100)&gt;=20,INDEX($O$4:$O$13,INT(MOD($F10,100)/10)+1)&amp;" "&amp;INDEX($N$4:$N$13,MOD(MOD($F10,100),10)+1),IF(MOD($F10,100)&gt;=10,"o'n "&amp;INDEX($N$4:$N$13,MOD($F10,100)-10+1),INDEX($N$4:$N$13,MOD($F10,100)+1))))))</f>
        <v/>
      </c>
      <c r="K10" s="21">
        <f>IF($A10="","",IF($G10=0,"",TRIM(IF(INT($G10/100)&gt;0,INDEX($N$4:$N$13,INT($G10/100)+1)&amp;" yuz ","")&amp;IF(MOD($G10,100)&gt;=20,INDEX($O$4:$O$13,INT(MOD($G10,100)/10)+1)&amp;" "&amp;INDEX($N$4:$N$13,MOD(MOD($G10,100),10)+1),IF(MOD($G10,100)&gt;=10,"o'n "&amp;INDEX($N$4:$N$13,MOD($G10,100)-10+1),INDEX($N$4:$N$13,MOD($G10,100)+1))))))</f>
        <v/>
      </c>
      <c r="M10" s="2" t="n">
        <v>6</v>
      </c>
      <c r="N10" s="2" t="inlineStr">
        <is>
          <t>olti</t>
        </is>
      </c>
      <c r="O10" s="2" t="inlineStr">
        <is>
          <t>oltmish</t>
        </is>
      </c>
    </row>
    <row r="11">
      <c r="A11" s="20" t="n"/>
      <c r="B11" s="10">
        <f>IF($A11="","",IF(INT($A11)=0,"nol so'm",TRIM(IF($D11&gt;0,$H11&amp;" milliard ","")&amp;IF($E11&gt;0,$I11&amp;" million ","")&amp;IF($F11&gt;0,$J11&amp;" ming ","")&amp;$K11)&amp;" so'm"))</f>
        <v/>
      </c>
      <c r="D11" s="21">
        <f>IF($A11="","",INT(INT($A11)/1000000000))</f>
        <v/>
      </c>
      <c r="E11" s="21">
        <f>IF($A11="","",INT(MOD(INT($A11),1000000000)/1000000))</f>
        <v/>
      </c>
      <c r="F11" s="21">
        <f>IF($A11="","",INT(MOD(INT($A11),1000000)/1000))</f>
        <v/>
      </c>
      <c r="G11" s="21">
        <f>IF($A11="","",MOD(INT($A11),1000))</f>
        <v/>
      </c>
      <c r="H11" s="21">
        <f>IF($A11="","",IF($D11=0,"",TRIM(IF(INT($D11/100)&gt;0,INDEX($N$4:$N$13,INT($D11/100)+1)&amp;" yuz ","")&amp;IF(MOD($D11,100)&gt;=20,INDEX($O$4:$O$13,INT(MOD($D11,100)/10)+1)&amp;" "&amp;INDEX($N$4:$N$13,MOD(MOD($D11,100),10)+1),IF(MOD($D11,100)&gt;=10,"o'n "&amp;INDEX($N$4:$N$13,MOD($D11,100)-10+1),INDEX($N$4:$N$13,MOD($D11,100)+1))))))</f>
        <v/>
      </c>
      <c r="I11" s="21">
        <f>IF($A11="","",IF($E11=0,"",TRIM(IF(INT($E11/100)&gt;0,INDEX($N$4:$N$13,INT($E11/100)+1)&amp;" yuz ","")&amp;IF(MOD($E11,100)&gt;=20,INDEX($O$4:$O$13,INT(MOD($E11,100)/10)+1)&amp;" "&amp;INDEX($N$4:$N$13,MOD(MOD($E11,100),10)+1),IF(MOD($E11,100)&gt;=10,"o'n "&amp;INDEX($N$4:$N$13,MOD($E11,100)-10+1),INDEX($N$4:$N$13,MOD($E11,100)+1))))))</f>
        <v/>
      </c>
      <c r="J11" s="21">
        <f>IF($A11="","",IF($F11=0,"",TRIM(IF(INT($F11/100)&gt;0,INDEX($N$4:$N$13,INT($F11/100)+1)&amp;" yuz ","")&amp;IF(MOD($F11,100)&gt;=20,INDEX($O$4:$O$13,INT(MOD($F11,100)/10)+1)&amp;" "&amp;INDEX($N$4:$N$13,MOD(MOD($F11,100),10)+1),IF(MOD($F11,100)&gt;=10,"o'n "&amp;INDEX($N$4:$N$13,MOD($F11,100)-10+1),INDEX($N$4:$N$13,MOD($F11,100)+1))))))</f>
        <v/>
      </c>
      <c r="K11" s="21">
        <f>IF($A11="","",IF($G11=0,"",TRIM(IF(INT($G11/100)&gt;0,INDEX($N$4:$N$13,INT($G11/100)+1)&amp;" yuz ","")&amp;IF(MOD($G11,100)&gt;=20,INDEX($O$4:$O$13,INT(MOD($G11,100)/10)+1)&amp;" "&amp;INDEX($N$4:$N$13,MOD(MOD($G11,100),10)+1),IF(MOD($G11,100)&gt;=10,"o'n "&amp;INDEX($N$4:$N$13,MOD($G11,100)-10+1),INDEX($N$4:$N$13,MOD($G11,100)+1))))))</f>
        <v/>
      </c>
      <c r="M11" s="2" t="n">
        <v>7</v>
      </c>
      <c r="N11" s="2" t="inlineStr">
        <is>
          <t>yetti</t>
        </is>
      </c>
      <c r="O11" s="2" t="inlineStr">
        <is>
          <t>yetmish</t>
        </is>
      </c>
    </row>
    <row r="12">
      <c r="A12" s="20" t="n"/>
      <c r="B12" s="10">
        <f>IF($A12="","",IF(INT($A12)=0,"nol so'm",TRIM(IF($D12&gt;0,$H12&amp;" milliard ","")&amp;IF($E12&gt;0,$I12&amp;" million ","")&amp;IF($F12&gt;0,$J12&amp;" ming ","")&amp;$K12)&amp;" so'm"))</f>
        <v/>
      </c>
      <c r="D12" s="21">
        <f>IF($A12="","",INT(INT($A12)/1000000000))</f>
        <v/>
      </c>
      <c r="E12" s="21">
        <f>IF($A12="","",INT(MOD(INT($A12),1000000000)/1000000))</f>
        <v/>
      </c>
      <c r="F12" s="21">
        <f>IF($A12="","",INT(MOD(INT($A12),1000000)/1000))</f>
        <v/>
      </c>
      <c r="G12" s="21">
        <f>IF($A12="","",MOD(INT($A12),1000))</f>
        <v/>
      </c>
      <c r="H12" s="21">
        <f>IF($A12="","",IF($D12=0,"",TRIM(IF(INT($D12/100)&gt;0,INDEX($N$4:$N$13,INT($D12/100)+1)&amp;" yuz ","")&amp;IF(MOD($D12,100)&gt;=20,INDEX($O$4:$O$13,INT(MOD($D12,100)/10)+1)&amp;" "&amp;INDEX($N$4:$N$13,MOD(MOD($D12,100),10)+1),IF(MOD($D12,100)&gt;=10,"o'n "&amp;INDEX($N$4:$N$13,MOD($D12,100)-10+1),INDEX($N$4:$N$13,MOD($D12,100)+1))))))</f>
        <v/>
      </c>
      <c r="I12" s="21">
        <f>IF($A12="","",IF($E12=0,"",TRIM(IF(INT($E12/100)&gt;0,INDEX($N$4:$N$13,INT($E12/100)+1)&amp;" yuz ","")&amp;IF(MOD($E12,100)&gt;=20,INDEX($O$4:$O$13,INT(MOD($E12,100)/10)+1)&amp;" "&amp;INDEX($N$4:$N$13,MOD(MOD($E12,100),10)+1),IF(MOD($E12,100)&gt;=10,"o'n "&amp;INDEX($N$4:$N$13,MOD($E12,100)-10+1),INDEX($N$4:$N$13,MOD($E12,100)+1))))))</f>
        <v/>
      </c>
      <c r="J12" s="21">
        <f>IF($A12="","",IF($F12=0,"",TRIM(IF(INT($F12/100)&gt;0,INDEX($N$4:$N$13,INT($F12/100)+1)&amp;" yuz ","")&amp;IF(MOD($F12,100)&gt;=20,INDEX($O$4:$O$13,INT(MOD($F12,100)/10)+1)&amp;" "&amp;INDEX($N$4:$N$13,MOD(MOD($F12,100),10)+1),IF(MOD($F12,100)&gt;=10,"o'n "&amp;INDEX($N$4:$N$13,MOD($F12,100)-10+1),INDEX($N$4:$N$13,MOD($F12,100)+1))))))</f>
        <v/>
      </c>
      <c r="K12" s="21">
        <f>IF($A12="","",IF($G12=0,"",TRIM(IF(INT($G12/100)&gt;0,INDEX($N$4:$N$13,INT($G12/100)+1)&amp;" yuz ","")&amp;IF(MOD($G12,100)&gt;=20,INDEX($O$4:$O$13,INT(MOD($G12,100)/10)+1)&amp;" "&amp;INDEX($N$4:$N$13,MOD(MOD($G12,100),10)+1),IF(MOD($G12,100)&gt;=10,"o'n "&amp;INDEX($N$4:$N$13,MOD($G12,100)-10+1),INDEX($N$4:$N$13,MOD($G12,100)+1))))))</f>
        <v/>
      </c>
      <c r="M12" s="2" t="n">
        <v>8</v>
      </c>
      <c r="N12" s="2" t="inlineStr">
        <is>
          <t>sakkiz</t>
        </is>
      </c>
      <c r="O12" s="2" t="inlineStr">
        <is>
          <t>sakson</t>
        </is>
      </c>
    </row>
    <row r="13">
      <c r="A13" s="20" t="n"/>
      <c r="B13" s="10">
        <f>IF($A13="","",IF(INT($A13)=0,"nol so'm",TRIM(IF($D13&gt;0,$H13&amp;" milliard ","")&amp;IF($E13&gt;0,$I13&amp;" million ","")&amp;IF($F13&gt;0,$J13&amp;" ming ","")&amp;$K13)&amp;" so'm"))</f>
        <v/>
      </c>
      <c r="D13" s="21">
        <f>IF($A13="","",INT(INT($A13)/1000000000))</f>
        <v/>
      </c>
      <c r="E13" s="21">
        <f>IF($A13="","",INT(MOD(INT($A13),1000000000)/1000000))</f>
        <v/>
      </c>
      <c r="F13" s="21">
        <f>IF($A13="","",INT(MOD(INT($A13),1000000)/1000))</f>
        <v/>
      </c>
      <c r="G13" s="21">
        <f>IF($A13="","",MOD(INT($A13),1000))</f>
        <v/>
      </c>
      <c r="H13" s="21">
        <f>IF($A13="","",IF($D13=0,"",TRIM(IF(INT($D13/100)&gt;0,INDEX($N$4:$N$13,INT($D13/100)+1)&amp;" yuz ","")&amp;IF(MOD($D13,100)&gt;=20,INDEX($O$4:$O$13,INT(MOD($D13,100)/10)+1)&amp;" "&amp;INDEX($N$4:$N$13,MOD(MOD($D13,100),10)+1),IF(MOD($D13,100)&gt;=10,"o'n "&amp;INDEX($N$4:$N$13,MOD($D13,100)-10+1),INDEX($N$4:$N$13,MOD($D13,100)+1))))))</f>
        <v/>
      </c>
      <c r="I13" s="21">
        <f>IF($A13="","",IF($E13=0,"",TRIM(IF(INT($E13/100)&gt;0,INDEX($N$4:$N$13,INT($E13/100)+1)&amp;" yuz ","")&amp;IF(MOD($E13,100)&gt;=20,INDEX($O$4:$O$13,INT(MOD($E13,100)/10)+1)&amp;" "&amp;INDEX($N$4:$N$13,MOD(MOD($E13,100),10)+1),IF(MOD($E13,100)&gt;=10,"o'n "&amp;INDEX($N$4:$N$13,MOD($E13,100)-10+1),INDEX($N$4:$N$13,MOD($E13,100)+1))))))</f>
        <v/>
      </c>
      <c r="J13" s="21">
        <f>IF($A13="","",IF($F13=0,"",TRIM(IF(INT($F13/100)&gt;0,INDEX($N$4:$N$13,INT($F13/100)+1)&amp;" yuz ","")&amp;IF(MOD($F13,100)&gt;=20,INDEX($O$4:$O$13,INT(MOD($F13,100)/10)+1)&amp;" "&amp;INDEX($N$4:$N$13,MOD(MOD($F13,100),10)+1),IF(MOD($F13,100)&gt;=10,"o'n "&amp;INDEX($N$4:$N$13,MOD($F13,100)-10+1),INDEX($N$4:$N$13,MOD($F13,100)+1))))))</f>
        <v/>
      </c>
      <c r="K13" s="21">
        <f>IF($A13="","",IF($G13=0,"",TRIM(IF(INT($G13/100)&gt;0,INDEX($N$4:$N$13,INT($G13/100)+1)&amp;" yuz ","")&amp;IF(MOD($G13,100)&gt;=20,INDEX($O$4:$O$13,INT(MOD($G13,100)/10)+1)&amp;" "&amp;INDEX($N$4:$N$13,MOD(MOD($G13,100),10)+1),IF(MOD($G13,100)&gt;=10,"o'n "&amp;INDEX($N$4:$N$13,MOD($G13,100)-10+1),INDEX($N$4:$N$13,MOD($G13,100)+1))))))</f>
        <v/>
      </c>
      <c r="M13" s="2" t="n">
        <v>9</v>
      </c>
      <c r="N13" s="2" t="inlineStr">
        <is>
          <t>to'qqiz</t>
        </is>
      </c>
      <c r="O13" s="2" t="inlineStr">
        <is>
          <t>to'qson</t>
        </is>
      </c>
    </row>
    <row r="14">
      <c r="A14" s="20" t="n"/>
      <c r="B14" s="10">
        <f>IF($A14="","",IF(INT($A14)=0,"nol so'm",TRIM(IF($D14&gt;0,$H14&amp;" milliard ","")&amp;IF($E14&gt;0,$I14&amp;" million ","")&amp;IF($F14&gt;0,$J14&amp;" ming ","")&amp;$K14)&amp;" so'm"))</f>
        <v/>
      </c>
      <c r="D14" s="21">
        <f>IF($A14="","",INT(INT($A14)/1000000000))</f>
        <v/>
      </c>
      <c r="E14" s="21">
        <f>IF($A14="","",INT(MOD(INT($A14),1000000000)/1000000))</f>
        <v/>
      </c>
      <c r="F14" s="21">
        <f>IF($A14="","",INT(MOD(INT($A14),1000000)/1000))</f>
        <v/>
      </c>
      <c r="G14" s="21">
        <f>IF($A14="","",MOD(INT($A14),1000))</f>
        <v/>
      </c>
      <c r="H14" s="21">
        <f>IF($A14="","",IF($D14=0,"",TRIM(IF(INT($D14/100)&gt;0,INDEX($N$4:$N$13,INT($D14/100)+1)&amp;" yuz ","")&amp;IF(MOD($D14,100)&gt;=20,INDEX($O$4:$O$13,INT(MOD($D14,100)/10)+1)&amp;" "&amp;INDEX($N$4:$N$13,MOD(MOD($D14,100),10)+1),IF(MOD($D14,100)&gt;=10,"o'n "&amp;INDEX($N$4:$N$13,MOD($D14,100)-10+1),INDEX($N$4:$N$13,MOD($D14,100)+1))))))</f>
        <v/>
      </c>
      <c r="I14" s="21">
        <f>IF($A14="","",IF($E14=0,"",TRIM(IF(INT($E14/100)&gt;0,INDEX($N$4:$N$13,INT($E14/100)+1)&amp;" yuz ","")&amp;IF(MOD($E14,100)&gt;=20,INDEX($O$4:$O$13,INT(MOD($E14,100)/10)+1)&amp;" "&amp;INDEX($N$4:$N$13,MOD(MOD($E14,100),10)+1),IF(MOD($E14,100)&gt;=10,"o'n "&amp;INDEX($N$4:$N$13,MOD($E14,100)-10+1),INDEX($N$4:$N$13,MOD($E14,100)+1))))))</f>
        <v/>
      </c>
      <c r="J14" s="21">
        <f>IF($A14="","",IF($F14=0,"",TRIM(IF(INT($F14/100)&gt;0,INDEX($N$4:$N$13,INT($F14/100)+1)&amp;" yuz ","")&amp;IF(MOD($F14,100)&gt;=20,INDEX($O$4:$O$13,INT(MOD($F14,100)/10)+1)&amp;" "&amp;INDEX($N$4:$N$13,MOD(MOD($F14,100),10)+1),IF(MOD($F14,100)&gt;=10,"o'n "&amp;INDEX($N$4:$N$13,MOD($F14,100)-10+1),INDEX($N$4:$N$13,MOD($F14,100)+1))))))</f>
        <v/>
      </c>
      <c r="K14" s="21">
        <f>IF($A14="","",IF($G14=0,"",TRIM(IF(INT($G14/100)&gt;0,INDEX($N$4:$N$13,INT($G14/100)+1)&amp;" yuz ","")&amp;IF(MOD($G14,100)&gt;=20,INDEX($O$4:$O$13,INT(MOD($G14,100)/10)+1)&amp;" "&amp;INDEX($N$4:$N$13,MOD(MOD($G14,100),10)+1),IF(MOD($G14,100)&gt;=10,"o'n "&amp;INDEX($N$4:$N$13,MOD($G14,100)-10+1),INDEX($N$4:$N$13,MOD($G14,100)+1))))))</f>
        <v/>
      </c>
    </row>
    <row r="15">
      <c r="A15" s="20" t="n"/>
      <c r="B15" s="10">
        <f>IF($A15="","",IF(INT($A15)=0,"nol so'm",TRIM(IF($D15&gt;0,$H15&amp;" milliard ","")&amp;IF($E15&gt;0,$I15&amp;" million ","")&amp;IF($F15&gt;0,$J15&amp;" ming ","")&amp;$K15)&amp;" so'm"))</f>
        <v/>
      </c>
      <c r="D15" s="21">
        <f>IF($A15="","",INT(INT($A15)/1000000000))</f>
        <v/>
      </c>
      <c r="E15" s="21">
        <f>IF($A15="","",INT(MOD(INT($A15),1000000000)/1000000))</f>
        <v/>
      </c>
      <c r="F15" s="21">
        <f>IF($A15="","",INT(MOD(INT($A15),1000000)/1000))</f>
        <v/>
      </c>
      <c r="G15" s="21">
        <f>IF($A15="","",MOD(INT($A15),1000))</f>
        <v/>
      </c>
      <c r="H15" s="21">
        <f>IF($A15="","",IF($D15=0,"",TRIM(IF(INT($D15/100)&gt;0,INDEX($N$4:$N$13,INT($D15/100)+1)&amp;" yuz ","")&amp;IF(MOD($D15,100)&gt;=20,INDEX($O$4:$O$13,INT(MOD($D15,100)/10)+1)&amp;" "&amp;INDEX($N$4:$N$13,MOD(MOD($D15,100),10)+1),IF(MOD($D15,100)&gt;=10,"o'n "&amp;INDEX($N$4:$N$13,MOD($D15,100)-10+1),INDEX($N$4:$N$13,MOD($D15,100)+1))))))</f>
        <v/>
      </c>
      <c r="I15" s="21">
        <f>IF($A15="","",IF($E15=0,"",TRIM(IF(INT($E15/100)&gt;0,INDEX($N$4:$N$13,INT($E15/100)+1)&amp;" yuz ","")&amp;IF(MOD($E15,100)&gt;=20,INDEX($O$4:$O$13,INT(MOD($E15,100)/10)+1)&amp;" "&amp;INDEX($N$4:$N$13,MOD(MOD($E15,100),10)+1),IF(MOD($E15,100)&gt;=10,"o'n "&amp;INDEX($N$4:$N$13,MOD($E15,100)-10+1),INDEX($N$4:$N$13,MOD($E15,100)+1))))))</f>
        <v/>
      </c>
      <c r="J15" s="21">
        <f>IF($A15="","",IF($F15=0,"",TRIM(IF(INT($F15/100)&gt;0,INDEX($N$4:$N$13,INT($F15/100)+1)&amp;" yuz ","")&amp;IF(MOD($F15,100)&gt;=20,INDEX($O$4:$O$13,INT(MOD($F15,100)/10)+1)&amp;" "&amp;INDEX($N$4:$N$13,MOD(MOD($F15,100),10)+1),IF(MOD($F15,100)&gt;=10,"o'n "&amp;INDEX($N$4:$N$13,MOD($F15,100)-10+1),INDEX($N$4:$N$13,MOD($F15,100)+1))))))</f>
        <v/>
      </c>
      <c r="K15" s="21">
        <f>IF($A15="","",IF($G15=0,"",TRIM(IF(INT($G15/100)&gt;0,INDEX($N$4:$N$13,INT($G15/100)+1)&amp;" yuz ","")&amp;IF(MOD($G15,100)&gt;=20,INDEX($O$4:$O$13,INT(MOD($G15,100)/10)+1)&amp;" "&amp;INDEX($N$4:$N$13,MOD(MOD($G15,100),10)+1),IF(MOD($G15,100)&gt;=10,"o'n "&amp;INDEX($N$4:$N$13,MOD($G15,100)-10+1),INDEX($N$4:$N$13,MOD($G15,100)+1))))))</f>
        <v/>
      </c>
    </row>
    <row r="16">
      <c r="A16" s="20" t="n"/>
      <c r="B16" s="10">
        <f>IF($A16="","",IF(INT($A16)=0,"nol so'm",TRIM(IF($D16&gt;0,$H16&amp;" milliard ","")&amp;IF($E16&gt;0,$I16&amp;" million ","")&amp;IF($F16&gt;0,$J16&amp;" ming ","")&amp;$K16)&amp;" so'm"))</f>
        <v/>
      </c>
      <c r="D16" s="21">
        <f>IF($A16="","",INT(INT($A16)/1000000000))</f>
        <v/>
      </c>
      <c r="E16" s="21">
        <f>IF($A16="","",INT(MOD(INT($A16),1000000000)/1000000))</f>
        <v/>
      </c>
      <c r="F16" s="21">
        <f>IF($A16="","",INT(MOD(INT($A16),1000000)/1000))</f>
        <v/>
      </c>
      <c r="G16" s="21">
        <f>IF($A16="","",MOD(INT($A16),1000))</f>
        <v/>
      </c>
      <c r="H16" s="21">
        <f>IF($A16="","",IF($D16=0,"",TRIM(IF(INT($D16/100)&gt;0,INDEX($N$4:$N$13,INT($D16/100)+1)&amp;" yuz ","")&amp;IF(MOD($D16,100)&gt;=20,INDEX($O$4:$O$13,INT(MOD($D16,100)/10)+1)&amp;" "&amp;INDEX($N$4:$N$13,MOD(MOD($D16,100),10)+1),IF(MOD($D16,100)&gt;=10,"o'n "&amp;INDEX($N$4:$N$13,MOD($D16,100)-10+1),INDEX($N$4:$N$13,MOD($D16,100)+1))))))</f>
        <v/>
      </c>
      <c r="I16" s="21">
        <f>IF($A16="","",IF($E16=0,"",TRIM(IF(INT($E16/100)&gt;0,INDEX($N$4:$N$13,INT($E16/100)+1)&amp;" yuz ","")&amp;IF(MOD($E16,100)&gt;=20,INDEX($O$4:$O$13,INT(MOD($E16,100)/10)+1)&amp;" "&amp;INDEX($N$4:$N$13,MOD(MOD($E16,100),10)+1),IF(MOD($E16,100)&gt;=10,"o'n "&amp;INDEX($N$4:$N$13,MOD($E16,100)-10+1),INDEX($N$4:$N$13,MOD($E16,100)+1))))))</f>
        <v/>
      </c>
      <c r="J16" s="21">
        <f>IF($A16="","",IF($F16=0,"",TRIM(IF(INT($F16/100)&gt;0,INDEX($N$4:$N$13,INT($F16/100)+1)&amp;" yuz ","")&amp;IF(MOD($F16,100)&gt;=20,INDEX($O$4:$O$13,INT(MOD($F16,100)/10)+1)&amp;" "&amp;INDEX($N$4:$N$13,MOD(MOD($F16,100),10)+1),IF(MOD($F16,100)&gt;=10,"o'n "&amp;INDEX($N$4:$N$13,MOD($F16,100)-10+1),INDEX($N$4:$N$13,MOD($F16,100)+1))))))</f>
        <v/>
      </c>
      <c r="K16" s="21">
        <f>IF($A16="","",IF($G16=0,"",TRIM(IF(INT($G16/100)&gt;0,INDEX($N$4:$N$13,INT($G16/100)+1)&amp;" yuz ","")&amp;IF(MOD($G16,100)&gt;=20,INDEX($O$4:$O$13,INT(MOD($G16,100)/10)+1)&amp;" "&amp;INDEX($N$4:$N$13,MOD(MOD($G16,100),10)+1),IF(MOD($G16,100)&gt;=10,"o'n "&amp;INDEX($N$4:$N$13,MOD($G16,100)-10+1),INDEX($N$4:$N$13,MOD($G16,100)+1))))))</f>
        <v/>
      </c>
    </row>
    <row r="17">
      <c r="A17" s="20" t="n"/>
      <c r="B17" s="10">
        <f>IF($A17="","",IF(INT($A17)=0,"nol so'm",TRIM(IF($D17&gt;0,$H17&amp;" milliard ","")&amp;IF($E17&gt;0,$I17&amp;" million ","")&amp;IF($F17&gt;0,$J17&amp;" ming ","")&amp;$K17)&amp;" so'm"))</f>
        <v/>
      </c>
      <c r="D17" s="21">
        <f>IF($A17="","",INT(INT($A17)/1000000000))</f>
        <v/>
      </c>
      <c r="E17" s="21">
        <f>IF($A17="","",INT(MOD(INT($A17),1000000000)/1000000))</f>
        <v/>
      </c>
      <c r="F17" s="21">
        <f>IF($A17="","",INT(MOD(INT($A17),1000000)/1000))</f>
        <v/>
      </c>
      <c r="G17" s="21">
        <f>IF($A17="","",MOD(INT($A17),1000))</f>
        <v/>
      </c>
      <c r="H17" s="21">
        <f>IF($A17="","",IF($D17=0,"",TRIM(IF(INT($D17/100)&gt;0,INDEX($N$4:$N$13,INT($D17/100)+1)&amp;" yuz ","")&amp;IF(MOD($D17,100)&gt;=20,INDEX($O$4:$O$13,INT(MOD($D17,100)/10)+1)&amp;" "&amp;INDEX($N$4:$N$13,MOD(MOD($D17,100),10)+1),IF(MOD($D17,100)&gt;=10,"o'n "&amp;INDEX($N$4:$N$13,MOD($D17,100)-10+1),INDEX($N$4:$N$13,MOD($D17,100)+1))))))</f>
        <v/>
      </c>
      <c r="I17" s="21">
        <f>IF($A17="","",IF($E17=0,"",TRIM(IF(INT($E17/100)&gt;0,INDEX($N$4:$N$13,INT($E17/100)+1)&amp;" yuz ","")&amp;IF(MOD($E17,100)&gt;=20,INDEX($O$4:$O$13,INT(MOD($E17,100)/10)+1)&amp;" "&amp;INDEX($N$4:$N$13,MOD(MOD($E17,100),10)+1),IF(MOD($E17,100)&gt;=10,"o'n "&amp;INDEX($N$4:$N$13,MOD($E17,100)-10+1),INDEX($N$4:$N$13,MOD($E17,100)+1))))))</f>
        <v/>
      </c>
      <c r="J17" s="21">
        <f>IF($A17="","",IF($F17=0,"",TRIM(IF(INT($F17/100)&gt;0,INDEX($N$4:$N$13,INT($F17/100)+1)&amp;" yuz ","")&amp;IF(MOD($F17,100)&gt;=20,INDEX($O$4:$O$13,INT(MOD($F17,100)/10)+1)&amp;" "&amp;INDEX($N$4:$N$13,MOD(MOD($F17,100),10)+1),IF(MOD($F17,100)&gt;=10,"o'n "&amp;INDEX($N$4:$N$13,MOD($F17,100)-10+1),INDEX($N$4:$N$13,MOD($F17,100)+1))))))</f>
        <v/>
      </c>
      <c r="K17" s="21">
        <f>IF($A17="","",IF($G17=0,"",TRIM(IF(INT($G17/100)&gt;0,INDEX($N$4:$N$13,INT($G17/100)+1)&amp;" yuz ","")&amp;IF(MOD($G17,100)&gt;=20,INDEX($O$4:$O$13,INT(MOD($G17,100)/10)+1)&amp;" "&amp;INDEX($N$4:$N$13,MOD(MOD($G17,100),10)+1),IF(MOD($G17,100)&gt;=10,"o'n "&amp;INDEX($N$4:$N$13,MOD($G17,100)-10+1),INDEX($N$4:$N$13,MOD($G17,100)+1))))))</f>
        <v/>
      </c>
    </row>
    <row r="18">
      <c r="A18" s="20" t="n"/>
      <c r="B18" s="10">
        <f>IF($A18="","",IF(INT($A18)=0,"nol so'm",TRIM(IF($D18&gt;0,$H18&amp;" milliard ","")&amp;IF($E18&gt;0,$I18&amp;" million ","")&amp;IF($F18&gt;0,$J18&amp;" ming ","")&amp;$K18)&amp;" so'm"))</f>
        <v/>
      </c>
      <c r="D18" s="21">
        <f>IF($A18="","",INT(INT($A18)/1000000000))</f>
        <v/>
      </c>
      <c r="E18" s="21">
        <f>IF($A18="","",INT(MOD(INT($A18),1000000000)/1000000))</f>
        <v/>
      </c>
      <c r="F18" s="21">
        <f>IF($A18="","",INT(MOD(INT($A18),1000000)/1000))</f>
        <v/>
      </c>
      <c r="G18" s="21">
        <f>IF($A18="","",MOD(INT($A18),1000))</f>
        <v/>
      </c>
      <c r="H18" s="21">
        <f>IF($A18="","",IF($D18=0,"",TRIM(IF(INT($D18/100)&gt;0,INDEX($N$4:$N$13,INT($D18/100)+1)&amp;" yuz ","")&amp;IF(MOD($D18,100)&gt;=20,INDEX($O$4:$O$13,INT(MOD($D18,100)/10)+1)&amp;" "&amp;INDEX($N$4:$N$13,MOD(MOD($D18,100),10)+1),IF(MOD($D18,100)&gt;=10,"o'n "&amp;INDEX($N$4:$N$13,MOD($D18,100)-10+1),INDEX($N$4:$N$13,MOD($D18,100)+1))))))</f>
        <v/>
      </c>
      <c r="I18" s="21">
        <f>IF($A18="","",IF($E18=0,"",TRIM(IF(INT($E18/100)&gt;0,INDEX($N$4:$N$13,INT($E18/100)+1)&amp;" yuz ","")&amp;IF(MOD($E18,100)&gt;=20,INDEX($O$4:$O$13,INT(MOD($E18,100)/10)+1)&amp;" "&amp;INDEX($N$4:$N$13,MOD(MOD($E18,100),10)+1),IF(MOD($E18,100)&gt;=10,"o'n "&amp;INDEX($N$4:$N$13,MOD($E18,100)-10+1),INDEX($N$4:$N$13,MOD($E18,100)+1))))))</f>
        <v/>
      </c>
      <c r="J18" s="21">
        <f>IF($A18="","",IF($F18=0,"",TRIM(IF(INT($F18/100)&gt;0,INDEX($N$4:$N$13,INT($F18/100)+1)&amp;" yuz ","")&amp;IF(MOD($F18,100)&gt;=20,INDEX($O$4:$O$13,INT(MOD($F18,100)/10)+1)&amp;" "&amp;INDEX($N$4:$N$13,MOD(MOD($F18,100),10)+1),IF(MOD($F18,100)&gt;=10,"o'n "&amp;INDEX($N$4:$N$13,MOD($F18,100)-10+1),INDEX($N$4:$N$13,MOD($F18,100)+1))))))</f>
        <v/>
      </c>
      <c r="K18" s="21">
        <f>IF($A18="","",IF($G18=0,"",TRIM(IF(INT($G18/100)&gt;0,INDEX($N$4:$N$13,INT($G18/100)+1)&amp;" yuz ","")&amp;IF(MOD($G18,100)&gt;=20,INDEX($O$4:$O$13,INT(MOD($G18,100)/10)+1)&amp;" "&amp;INDEX($N$4:$N$13,MOD(MOD($G18,100),10)+1),IF(MOD($G18,100)&gt;=10,"o'n "&amp;INDEX($N$4:$N$13,MOD($G18,100)-10+1),INDEX($N$4:$N$13,MOD($G18,100)+1))))))</f>
        <v/>
      </c>
    </row>
    <row r="19">
      <c r="A19" s="20" t="n"/>
      <c r="B19" s="10">
        <f>IF($A19="","",IF(INT($A19)=0,"nol so'm",TRIM(IF($D19&gt;0,$H19&amp;" milliard ","")&amp;IF($E19&gt;0,$I19&amp;" million ","")&amp;IF($F19&gt;0,$J19&amp;" ming ","")&amp;$K19)&amp;" so'm"))</f>
        <v/>
      </c>
      <c r="D19" s="21">
        <f>IF($A19="","",INT(INT($A19)/1000000000))</f>
        <v/>
      </c>
      <c r="E19" s="21">
        <f>IF($A19="","",INT(MOD(INT($A19),1000000000)/1000000))</f>
        <v/>
      </c>
      <c r="F19" s="21">
        <f>IF($A19="","",INT(MOD(INT($A19),1000000)/1000))</f>
        <v/>
      </c>
      <c r="G19" s="21">
        <f>IF($A19="","",MOD(INT($A19),1000))</f>
        <v/>
      </c>
      <c r="H19" s="21">
        <f>IF($A19="","",IF($D19=0,"",TRIM(IF(INT($D19/100)&gt;0,INDEX($N$4:$N$13,INT($D19/100)+1)&amp;" yuz ","")&amp;IF(MOD($D19,100)&gt;=20,INDEX($O$4:$O$13,INT(MOD($D19,100)/10)+1)&amp;" "&amp;INDEX($N$4:$N$13,MOD(MOD($D19,100),10)+1),IF(MOD($D19,100)&gt;=10,"o'n "&amp;INDEX($N$4:$N$13,MOD($D19,100)-10+1),INDEX($N$4:$N$13,MOD($D19,100)+1))))))</f>
        <v/>
      </c>
      <c r="I19" s="21">
        <f>IF($A19="","",IF($E19=0,"",TRIM(IF(INT($E19/100)&gt;0,INDEX($N$4:$N$13,INT($E19/100)+1)&amp;" yuz ","")&amp;IF(MOD($E19,100)&gt;=20,INDEX($O$4:$O$13,INT(MOD($E19,100)/10)+1)&amp;" "&amp;INDEX($N$4:$N$13,MOD(MOD($E19,100),10)+1),IF(MOD($E19,100)&gt;=10,"o'n "&amp;INDEX($N$4:$N$13,MOD($E19,100)-10+1),INDEX($N$4:$N$13,MOD($E19,100)+1))))))</f>
        <v/>
      </c>
      <c r="J19" s="21">
        <f>IF($A19="","",IF($F19=0,"",TRIM(IF(INT($F19/100)&gt;0,INDEX($N$4:$N$13,INT($F19/100)+1)&amp;" yuz ","")&amp;IF(MOD($F19,100)&gt;=20,INDEX($O$4:$O$13,INT(MOD($F19,100)/10)+1)&amp;" "&amp;INDEX($N$4:$N$13,MOD(MOD($F19,100),10)+1),IF(MOD($F19,100)&gt;=10,"o'n "&amp;INDEX($N$4:$N$13,MOD($F19,100)-10+1),INDEX($N$4:$N$13,MOD($F19,100)+1))))))</f>
        <v/>
      </c>
      <c r="K19" s="21">
        <f>IF($A19="","",IF($G19=0,"",TRIM(IF(INT($G19/100)&gt;0,INDEX($N$4:$N$13,INT($G19/100)+1)&amp;" yuz ","")&amp;IF(MOD($G19,100)&gt;=20,INDEX($O$4:$O$13,INT(MOD($G19,100)/10)+1)&amp;" "&amp;INDEX($N$4:$N$13,MOD(MOD($G19,100),10)+1),IF(MOD($G19,100)&gt;=10,"o'n "&amp;INDEX($N$4:$N$13,MOD($G19,100)-10+1),INDEX($N$4:$N$13,MOD($G19,100)+1))))))</f>
        <v/>
      </c>
    </row>
    <row r="20">
      <c r="A20" s="20" t="n"/>
      <c r="B20" s="10">
        <f>IF($A20="","",IF(INT($A20)=0,"nol so'm",TRIM(IF($D20&gt;0,$H20&amp;" milliard ","")&amp;IF($E20&gt;0,$I20&amp;" million ","")&amp;IF($F20&gt;0,$J20&amp;" ming ","")&amp;$K20)&amp;" so'm"))</f>
        <v/>
      </c>
      <c r="D20" s="21">
        <f>IF($A20="","",INT(INT($A20)/1000000000))</f>
        <v/>
      </c>
      <c r="E20" s="21">
        <f>IF($A20="","",INT(MOD(INT($A20),1000000000)/1000000))</f>
        <v/>
      </c>
      <c r="F20" s="21">
        <f>IF($A20="","",INT(MOD(INT($A20),1000000)/1000))</f>
        <v/>
      </c>
      <c r="G20" s="21">
        <f>IF($A20="","",MOD(INT($A20),1000))</f>
        <v/>
      </c>
      <c r="H20" s="21">
        <f>IF($A20="","",IF($D20=0,"",TRIM(IF(INT($D20/100)&gt;0,INDEX($N$4:$N$13,INT($D20/100)+1)&amp;" yuz ","")&amp;IF(MOD($D20,100)&gt;=20,INDEX($O$4:$O$13,INT(MOD($D20,100)/10)+1)&amp;" "&amp;INDEX($N$4:$N$13,MOD(MOD($D20,100),10)+1),IF(MOD($D20,100)&gt;=10,"o'n "&amp;INDEX($N$4:$N$13,MOD($D20,100)-10+1),INDEX($N$4:$N$13,MOD($D20,100)+1))))))</f>
        <v/>
      </c>
      <c r="I20" s="21">
        <f>IF($A20="","",IF($E20=0,"",TRIM(IF(INT($E20/100)&gt;0,INDEX($N$4:$N$13,INT($E20/100)+1)&amp;" yuz ","")&amp;IF(MOD($E20,100)&gt;=20,INDEX($O$4:$O$13,INT(MOD($E20,100)/10)+1)&amp;" "&amp;INDEX($N$4:$N$13,MOD(MOD($E20,100),10)+1),IF(MOD($E20,100)&gt;=10,"o'n "&amp;INDEX($N$4:$N$13,MOD($E20,100)-10+1),INDEX($N$4:$N$13,MOD($E20,100)+1))))))</f>
        <v/>
      </c>
      <c r="J20" s="21">
        <f>IF($A20="","",IF($F20=0,"",TRIM(IF(INT($F20/100)&gt;0,INDEX($N$4:$N$13,INT($F20/100)+1)&amp;" yuz ","")&amp;IF(MOD($F20,100)&gt;=20,INDEX($O$4:$O$13,INT(MOD($F20,100)/10)+1)&amp;" "&amp;INDEX($N$4:$N$13,MOD(MOD($F20,100),10)+1),IF(MOD($F20,100)&gt;=10,"o'n "&amp;INDEX($N$4:$N$13,MOD($F20,100)-10+1),INDEX($N$4:$N$13,MOD($F20,100)+1))))))</f>
        <v/>
      </c>
      <c r="K20" s="21">
        <f>IF($A20="","",IF($G20=0,"",TRIM(IF(INT($G20/100)&gt;0,INDEX($N$4:$N$13,INT($G20/100)+1)&amp;" yuz ","")&amp;IF(MOD($G20,100)&gt;=20,INDEX($O$4:$O$13,INT(MOD($G20,100)/10)+1)&amp;" "&amp;INDEX($N$4:$N$13,MOD(MOD($G20,100),10)+1),IF(MOD($G20,100)&gt;=10,"o'n "&amp;INDEX($N$4:$N$13,MOD($G20,100)-10+1),INDEX($N$4:$N$13,MOD($G20,100)+1))))))</f>
        <v/>
      </c>
    </row>
    <row r="21">
      <c r="A21" s="20" t="n"/>
      <c r="B21" s="10">
        <f>IF($A21="","",IF(INT($A21)=0,"nol so'm",TRIM(IF($D21&gt;0,$H21&amp;" milliard ","")&amp;IF($E21&gt;0,$I21&amp;" million ","")&amp;IF($F21&gt;0,$J21&amp;" ming ","")&amp;$K21)&amp;" so'm"))</f>
        <v/>
      </c>
      <c r="D21" s="21">
        <f>IF($A21="","",INT(INT($A21)/1000000000))</f>
        <v/>
      </c>
      <c r="E21" s="21">
        <f>IF($A21="","",INT(MOD(INT($A21),1000000000)/1000000))</f>
        <v/>
      </c>
      <c r="F21" s="21">
        <f>IF($A21="","",INT(MOD(INT($A21),1000000)/1000))</f>
        <v/>
      </c>
      <c r="G21" s="21">
        <f>IF($A21="","",MOD(INT($A21),1000))</f>
        <v/>
      </c>
      <c r="H21" s="21">
        <f>IF($A21="","",IF($D21=0,"",TRIM(IF(INT($D21/100)&gt;0,INDEX($N$4:$N$13,INT($D21/100)+1)&amp;" yuz ","")&amp;IF(MOD($D21,100)&gt;=20,INDEX($O$4:$O$13,INT(MOD($D21,100)/10)+1)&amp;" "&amp;INDEX($N$4:$N$13,MOD(MOD($D21,100),10)+1),IF(MOD($D21,100)&gt;=10,"o'n "&amp;INDEX($N$4:$N$13,MOD($D21,100)-10+1),INDEX($N$4:$N$13,MOD($D21,100)+1))))))</f>
        <v/>
      </c>
      <c r="I21" s="21">
        <f>IF($A21="","",IF($E21=0,"",TRIM(IF(INT($E21/100)&gt;0,INDEX($N$4:$N$13,INT($E21/100)+1)&amp;" yuz ","")&amp;IF(MOD($E21,100)&gt;=20,INDEX($O$4:$O$13,INT(MOD($E21,100)/10)+1)&amp;" "&amp;INDEX($N$4:$N$13,MOD(MOD($E21,100),10)+1),IF(MOD($E21,100)&gt;=10,"o'n "&amp;INDEX($N$4:$N$13,MOD($E21,100)-10+1),INDEX($N$4:$N$13,MOD($E21,100)+1))))))</f>
        <v/>
      </c>
      <c r="J21" s="21">
        <f>IF($A21="","",IF($F21=0,"",TRIM(IF(INT($F21/100)&gt;0,INDEX($N$4:$N$13,INT($F21/100)+1)&amp;" yuz ","")&amp;IF(MOD($F21,100)&gt;=20,INDEX($O$4:$O$13,INT(MOD($F21,100)/10)+1)&amp;" "&amp;INDEX($N$4:$N$13,MOD(MOD($F21,100),10)+1),IF(MOD($F21,100)&gt;=10,"o'n "&amp;INDEX($N$4:$N$13,MOD($F21,100)-10+1),INDEX($N$4:$N$13,MOD($F21,100)+1))))))</f>
        <v/>
      </c>
      <c r="K21" s="21">
        <f>IF($A21="","",IF($G21=0,"",TRIM(IF(INT($G21/100)&gt;0,INDEX($N$4:$N$13,INT($G21/100)+1)&amp;" yuz ","")&amp;IF(MOD($G21,100)&gt;=20,INDEX($O$4:$O$13,INT(MOD($G21,100)/10)+1)&amp;" "&amp;INDEX($N$4:$N$13,MOD(MOD($G21,100),10)+1),IF(MOD($G21,100)&gt;=10,"o'n "&amp;INDEX($N$4:$N$13,MOD($G21,100)-10+1),INDEX($N$4:$N$13,MOD($G21,100)+1))))))</f>
        <v/>
      </c>
    </row>
    <row r="22">
      <c r="A22" s="20" t="n"/>
      <c r="B22" s="10">
        <f>IF($A22="","",IF(INT($A22)=0,"nol so'm",TRIM(IF($D22&gt;0,$H22&amp;" milliard ","")&amp;IF($E22&gt;0,$I22&amp;" million ","")&amp;IF($F22&gt;0,$J22&amp;" ming ","")&amp;$K22)&amp;" so'm"))</f>
        <v/>
      </c>
      <c r="D22" s="21">
        <f>IF($A22="","",INT(INT($A22)/1000000000))</f>
        <v/>
      </c>
      <c r="E22" s="21">
        <f>IF($A22="","",INT(MOD(INT($A22),1000000000)/1000000))</f>
        <v/>
      </c>
      <c r="F22" s="21">
        <f>IF($A22="","",INT(MOD(INT($A22),1000000)/1000))</f>
        <v/>
      </c>
      <c r="G22" s="21">
        <f>IF($A22="","",MOD(INT($A22),1000))</f>
        <v/>
      </c>
      <c r="H22" s="21">
        <f>IF($A22="","",IF($D22=0,"",TRIM(IF(INT($D22/100)&gt;0,INDEX($N$4:$N$13,INT($D22/100)+1)&amp;" yuz ","")&amp;IF(MOD($D22,100)&gt;=20,INDEX($O$4:$O$13,INT(MOD($D22,100)/10)+1)&amp;" "&amp;INDEX($N$4:$N$13,MOD(MOD($D22,100),10)+1),IF(MOD($D22,100)&gt;=10,"o'n "&amp;INDEX($N$4:$N$13,MOD($D22,100)-10+1),INDEX($N$4:$N$13,MOD($D22,100)+1))))))</f>
        <v/>
      </c>
      <c r="I22" s="21">
        <f>IF($A22="","",IF($E22=0,"",TRIM(IF(INT($E22/100)&gt;0,INDEX($N$4:$N$13,INT($E22/100)+1)&amp;" yuz ","")&amp;IF(MOD($E22,100)&gt;=20,INDEX($O$4:$O$13,INT(MOD($E22,100)/10)+1)&amp;" "&amp;INDEX($N$4:$N$13,MOD(MOD($E22,100),10)+1),IF(MOD($E22,100)&gt;=10,"o'n "&amp;INDEX($N$4:$N$13,MOD($E22,100)-10+1),INDEX($N$4:$N$13,MOD($E22,100)+1))))))</f>
        <v/>
      </c>
      <c r="J22" s="21">
        <f>IF($A22="","",IF($F22=0,"",TRIM(IF(INT($F22/100)&gt;0,INDEX($N$4:$N$13,INT($F22/100)+1)&amp;" yuz ","")&amp;IF(MOD($F22,100)&gt;=20,INDEX($O$4:$O$13,INT(MOD($F22,100)/10)+1)&amp;" "&amp;INDEX($N$4:$N$13,MOD(MOD($F22,100),10)+1),IF(MOD($F22,100)&gt;=10,"o'n "&amp;INDEX($N$4:$N$13,MOD($F22,100)-10+1),INDEX($N$4:$N$13,MOD($F22,100)+1))))))</f>
        <v/>
      </c>
      <c r="K22" s="21">
        <f>IF($A22="","",IF($G22=0,"",TRIM(IF(INT($G22/100)&gt;0,INDEX($N$4:$N$13,INT($G22/100)+1)&amp;" yuz ","")&amp;IF(MOD($G22,100)&gt;=20,INDEX($O$4:$O$13,INT(MOD($G22,100)/10)+1)&amp;" "&amp;INDEX($N$4:$N$13,MOD(MOD($G22,100),10)+1),IF(MOD($G22,100)&gt;=10,"o'n "&amp;INDEX($N$4:$N$13,MOD($G22,100)-10+1),INDEX($N$4:$N$13,MOD($G22,100)+1))))))</f>
        <v/>
      </c>
    </row>
    <row r="23">
      <c r="A23" s="20" t="n"/>
      <c r="B23" s="10">
        <f>IF($A23="","",IF(INT($A23)=0,"nol so'm",TRIM(IF($D23&gt;0,$H23&amp;" milliard ","")&amp;IF($E23&gt;0,$I23&amp;" million ","")&amp;IF($F23&gt;0,$J23&amp;" ming ","")&amp;$K23)&amp;" so'm"))</f>
        <v/>
      </c>
      <c r="D23" s="21">
        <f>IF($A23="","",INT(INT($A23)/1000000000))</f>
        <v/>
      </c>
      <c r="E23" s="21">
        <f>IF($A23="","",INT(MOD(INT($A23),1000000000)/1000000))</f>
        <v/>
      </c>
      <c r="F23" s="21">
        <f>IF($A23="","",INT(MOD(INT($A23),1000000)/1000))</f>
        <v/>
      </c>
      <c r="G23" s="21">
        <f>IF($A23="","",MOD(INT($A23),1000))</f>
        <v/>
      </c>
      <c r="H23" s="21">
        <f>IF($A23="","",IF($D23=0,"",TRIM(IF(INT($D23/100)&gt;0,INDEX($N$4:$N$13,INT($D23/100)+1)&amp;" yuz ","")&amp;IF(MOD($D23,100)&gt;=20,INDEX($O$4:$O$13,INT(MOD($D23,100)/10)+1)&amp;" "&amp;INDEX($N$4:$N$13,MOD(MOD($D23,100),10)+1),IF(MOD($D23,100)&gt;=10,"o'n "&amp;INDEX($N$4:$N$13,MOD($D23,100)-10+1),INDEX($N$4:$N$13,MOD($D23,100)+1))))))</f>
        <v/>
      </c>
      <c r="I23" s="21">
        <f>IF($A23="","",IF($E23=0,"",TRIM(IF(INT($E23/100)&gt;0,INDEX($N$4:$N$13,INT($E23/100)+1)&amp;" yuz ","")&amp;IF(MOD($E23,100)&gt;=20,INDEX($O$4:$O$13,INT(MOD($E23,100)/10)+1)&amp;" "&amp;INDEX($N$4:$N$13,MOD(MOD($E23,100),10)+1),IF(MOD($E23,100)&gt;=10,"o'n "&amp;INDEX($N$4:$N$13,MOD($E23,100)-10+1),INDEX($N$4:$N$13,MOD($E23,100)+1))))))</f>
        <v/>
      </c>
      <c r="J23" s="21">
        <f>IF($A23="","",IF($F23=0,"",TRIM(IF(INT($F23/100)&gt;0,INDEX($N$4:$N$13,INT($F23/100)+1)&amp;" yuz ","")&amp;IF(MOD($F23,100)&gt;=20,INDEX($O$4:$O$13,INT(MOD($F23,100)/10)+1)&amp;" "&amp;INDEX($N$4:$N$13,MOD(MOD($F23,100),10)+1),IF(MOD($F23,100)&gt;=10,"o'n "&amp;INDEX($N$4:$N$13,MOD($F23,100)-10+1),INDEX($N$4:$N$13,MOD($F23,100)+1))))))</f>
        <v/>
      </c>
      <c r="K23" s="21">
        <f>IF($A23="","",IF($G23=0,"",TRIM(IF(INT($G23/100)&gt;0,INDEX($N$4:$N$13,INT($G23/100)+1)&amp;" yuz ","")&amp;IF(MOD($G23,100)&gt;=20,INDEX($O$4:$O$13,INT(MOD($G23,100)/10)+1)&amp;" "&amp;INDEX($N$4:$N$13,MOD(MOD($G23,100),10)+1),IF(MOD($G23,100)&gt;=10,"o'n "&amp;INDEX($N$4:$N$13,MOD($G23,100)-10+1),INDEX($N$4:$N$13,MOD($G23,100)+1))))))</f>
        <v/>
      </c>
    </row>
  </sheetData>
  <mergeCells count="3">
    <mergeCell ref="A1:C1"/>
    <mergeCell ref="D3:K3"/>
    <mergeCell ref="A2:C2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2026-09-23T07:29:37Z</dcterms:created>
  <dcterms:modified xsi:type="dcterms:W3CDTF">2026-09-23T07:29:37Z</dcterms:modified>
</cp:coreProperties>
</file>