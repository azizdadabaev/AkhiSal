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11/relationships/webextensiontaskpanes" Target="xl/webextensions/taskpanes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5" activeTab="11" autoFilterDateGrouping="1"/>
  </bookViews>
  <sheets>
    <sheet name="Home" sheetId="1" state="visible" r:id="rId1"/>
    <sheet name="Daily Log" sheetId="2" state="visible" r:id="rId2"/>
    <sheet name="Cash Ledger" sheetId="3" state="visible" r:id="rId3"/>
    <sheet name="Weekly Pay" sheetId="4" state="visible" r:id="rId4"/>
    <sheet name="Payslip" sheetId="5" state="visible" r:id="rId5"/>
    <sheet name="Worker History" sheetId="6" state="visible" r:id="rId6"/>
    <sheet name="Workers" sheetId="7" state="visible" r:id="rId7"/>
    <sheet name="Settings" sheetId="8" state="visible" r:id="rId8"/>
    <sheet name="Guide" sheetId="9" state="visible" r:id="rId9"/>
    <sheet name="Weeks" sheetId="10" state="visible" r:id="rId10"/>
    <sheet name="Checks" sheetId="11" state="visible" r:id="rId11"/>
    <sheet name="Project Notes" sheetId="12" state="visible" r:id="rId12"/>
  </sheets>
  <definedNames>
    <definedName name="BreakAllow">Settings!$C$6</definedName>
    <definedName name="DebtCap">Settings!$C$7</definedName>
    <definedName name="EntryTypes">Settings!$F$6:$F$8</definedName>
    <definedName name="RateDates">Settings!$B$13:$B$32</definedName>
    <definedName name="RateValues">Settings!$C$13:$C$32</definedName>
    <definedName name="RejectAlarm">Settings!$C$8</definedName>
    <definedName name="StatusList">Settings!$G$6:$G$7</definedName>
    <definedName name="WeekStarts">Weeks!$A$7:$A$59</definedName>
    <definedName name="WorkerIDs">Workers!$A$6:$A$17</definedName>
    <definedName name="WorkerNames">Workers!$B$6:$B$17</definedName>
    <definedName name="YesNo">Settings!$H$6:$H$7</definedName>
    <definedName name="_xlnm._FilterDatabase" localSheetId="2" hidden="1">'Cash Ledger'!$A$6:$M$1006</definedName>
    <definedName name="_xlnm.Print_Area" localSheetId="4">'Payslip'!$B$8:$E$46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d\ mmm\ yyyy"/>
    <numFmt numFmtId="165" formatCode="#,##0;\-#,##0;\–"/>
    <numFmt numFmtId="166" formatCode="#,##0;[Color10]\-#,##0;\–"/>
    <numFmt numFmtId="167" formatCode="yyyy\-mm\-dd"/>
    <numFmt numFmtId="168" formatCode="#,##0;\-#,##0;\-"/>
    <numFmt numFmtId="169" formatCode="#,##0;[Red]\-#,##0;\-"/>
    <numFmt numFmtId="170" formatCode="0.0%"/>
    <numFmt numFmtId="171" formatCode="&quot;→ &quot;d\ mmm"/>
    <numFmt numFmtId="172" formatCode="&quot;to &quot;d\ mmm\ yyyy"/>
  </numFmts>
  <fonts count="48">
    <font>
      <name val="Calibri"/>
      <charset val="1"/>
      <family val="2"/>
      <color theme="1"/>
      <sz val="11"/>
    </font>
    <font>
      <name val="Arial"/>
      <family val="2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b val="1"/>
      <color theme="1"/>
      <sz val="11"/>
    </font>
    <font>
      <name val="Segoe UI"/>
      <family val="2"/>
      <color theme="1"/>
      <sz val="10"/>
    </font>
    <font>
      <name val="Segoe UI"/>
      <family val="2"/>
      <b val="1"/>
      <color rgb="FF4F46E5"/>
      <sz val="12"/>
    </font>
    <font>
      <name val="Segoe UI"/>
      <family val="2"/>
      <color rgb="FFCBD5E1"/>
      <sz val="10"/>
    </font>
    <font>
      <name val="Segoe UI"/>
      <family val="2"/>
      <b val="1"/>
      <color rgb="FF4338CA"/>
      <sz val="11"/>
    </font>
    <font>
      <name val="Segoe UI"/>
      <family val="2"/>
      <color rgb="FF475569"/>
      <sz val="11"/>
    </font>
    <font>
      <name val="Segoe UI"/>
      <family val="2"/>
      <color rgb="FF94A3B8"/>
      <sz val="11"/>
    </font>
    <font>
      <name val="Segoe UI"/>
      <family val="2"/>
      <color rgb="FFCBD5E1"/>
      <sz val="11"/>
    </font>
    <font>
      <name val="Segoe UI"/>
      <family val="2"/>
      <color rgb="FF334155"/>
      <sz val="11"/>
    </font>
    <font>
      <name val="Segoe UI"/>
      <family val="2"/>
      <b val="1"/>
      <color rgb="FF0F172A"/>
      <sz val="20"/>
    </font>
    <font>
      <name val="Segoe UI"/>
      <family val="2"/>
      <color rgb="FF64748B"/>
      <sz val="9"/>
    </font>
    <font>
      <name val="Calibri"/>
      <charset val="1"/>
      <family val="2"/>
      <color rgb="FF64748B"/>
      <sz val="8"/>
    </font>
    <font>
      <name val="Calibri"/>
      <charset val="1"/>
      <family val="2"/>
      <b val="1"/>
      <color rgb="FF64748B"/>
      <sz val="8"/>
    </font>
    <font>
      <name val="Calibri"/>
      <charset val="1"/>
      <family val="2"/>
      <b val="1"/>
      <color rgb="FF0F172A"/>
      <sz val="18"/>
    </font>
    <font>
      <name val="Segoe UI"/>
      <family val="2"/>
      <b val="1"/>
      <color rgb="FF0F172A"/>
      <sz val="12"/>
    </font>
    <font>
      <name val="Segoe UI"/>
      <family val="2"/>
      <color rgb="FF64748B"/>
      <sz val="8"/>
    </font>
    <font>
      <name val="Segoe UI"/>
      <family val="2"/>
      <b val="1"/>
      <color rgb="FF64748B"/>
      <sz val="8"/>
    </font>
    <font>
      <name val="Segoe UI"/>
      <family val="2"/>
      <color rgb="FF334155"/>
      <sz val="10"/>
    </font>
    <font>
      <name val="Segoe UI"/>
      <family val="2"/>
      <b val="1"/>
      <color rgb="FF0F172A"/>
      <sz val="10"/>
    </font>
    <font>
      <name val="Segoe UI"/>
      <family val="2"/>
      <b val="1"/>
      <color rgb="FF334155"/>
      <sz val="10"/>
    </font>
    <font>
      <name val="Segoe UI"/>
      <family val="2"/>
      <b val="1"/>
      <color rgb="FF334155"/>
      <sz val="9"/>
    </font>
    <font>
      <name val="Segoe UI"/>
      <family val="2"/>
      <color rgb="FF475569"/>
      <sz val="9"/>
    </font>
    <font>
      <name val="Segoe UI"/>
      <family val="2"/>
      <b val="1"/>
      <color rgb="FF475569"/>
      <sz val="9"/>
    </font>
    <font>
      <name val="Segoe UI"/>
      <family val="2"/>
      <i val="1"/>
      <color rgb="FF475569"/>
      <sz val="9"/>
    </font>
    <font>
      <name val="Segoe UI"/>
      <family val="2"/>
      <b val="1"/>
      <color rgb="FF4338CA"/>
      <sz val="10"/>
    </font>
    <font>
      <name val="Segoe UI"/>
      <family val="2"/>
      <color rgb="FF94A3B8"/>
      <sz val="8"/>
    </font>
    <font>
      <name val="Segoe UI"/>
      <family val="2"/>
      <i val="1"/>
      <color rgb="FF94A3B8"/>
      <sz val="8"/>
    </font>
    <font>
      <name val="Segoe UI"/>
      <family val="2"/>
      <b val="1"/>
      <color rgb="FF0F172A"/>
      <sz val="18"/>
    </font>
    <font>
      <name val="Segoe UI"/>
      <family val="2"/>
      <i val="1"/>
      <color rgb="FF64748B"/>
      <sz val="9"/>
    </font>
    <font>
      <name val="Segoe UI"/>
      <family val="2"/>
      <color rgb="FF3730A3"/>
      <sz val="10"/>
    </font>
    <font>
      <name val="Segoe UI"/>
      <family val="2"/>
      <b val="1"/>
      <color rgb="FF3730A3"/>
      <sz val="12"/>
    </font>
    <font>
      <name val="Segoe UI"/>
      <family val="2"/>
      <b val="1"/>
      <color rgb="FF0F172A"/>
      <sz val="13"/>
    </font>
    <font>
      <name val="Segoe UI"/>
      <family val="2"/>
      <b val="1"/>
      <color rgb="FFFFFFFF"/>
      <sz val="10"/>
    </font>
    <font>
      <name val="Segoe UI"/>
      <family val="2"/>
      <i val="1"/>
      <color rgb="FF94A3B8"/>
      <sz val="9"/>
    </font>
    <font>
      <name val="Segoe UI"/>
      <family val="2"/>
      <color rgb="FF15803D"/>
      <sz val="10"/>
    </font>
    <font>
      <name val="Segoe UI"/>
      <family val="2"/>
      <b val="1"/>
      <color rgb="FF047857"/>
      <sz val="11"/>
    </font>
    <font>
      <name val="Segoe UI"/>
      <family val="2"/>
      <b val="1"/>
      <color rgb="FF0F172A"/>
      <sz val="14"/>
    </font>
    <font>
      <name val="Segoe UI"/>
      <family val="2"/>
      <b val="1"/>
      <color rgb="FF047857"/>
      <sz val="12"/>
    </font>
    <font>
      <name val="Segoe UI"/>
      <family val="2"/>
      <b val="1"/>
      <color rgb="FF334155"/>
      <sz val="12"/>
    </font>
    <font>
      <name val="Segoe UI"/>
      <family val="2"/>
      <b val="1"/>
      <color rgb="FF64748B"/>
      <sz val="9"/>
    </font>
    <font>
      <name val="Segoe UI"/>
      <family val="2"/>
      <color rgb="FF64748B"/>
      <sz val="10"/>
    </font>
    <font>
      <name val="Consolas"/>
      <color theme="1"/>
      <sz val="10"/>
    </font>
    <font>
      <name val="Segoe UI"/>
      <b val="1"/>
      <color rgb="FF4338CA"/>
      <sz val="11"/>
    </font>
    <font>
      <name val="Consolas"/>
      <color rgb="FF334155"/>
      <sz val="10"/>
    </font>
    <font>
      <name val="Consolas"/>
      <b val="1"/>
      <color rgb="FF0F172A"/>
      <sz val="10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4F46E5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00FEF3C7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ck">
        <color rgb="FF4F46E5"/>
      </bottom>
      <diagonal/>
    </border>
    <border>
      <left/>
      <right/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ck">
        <color rgb="FF4F46E5"/>
      </top>
      <bottom/>
      <diagonal/>
    </border>
    <border>
      <left/>
      <right style="thin">
        <color rgb="FFE2E8F0"/>
      </right>
      <top style="thick">
        <color rgb="FF4F46E5"/>
      </top>
      <bottom/>
      <diagonal/>
    </border>
    <border>
      <left/>
      <right/>
      <top/>
      <bottom style="thin">
        <color rgb="FFCBD5E1"/>
      </bottom>
      <diagonal/>
    </border>
    <border>
      <left/>
      <right/>
      <top/>
      <bottom style="thin">
        <color rgb="FFF1F5F9"/>
      </bottom>
      <diagonal/>
    </border>
    <border>
      <left/>
      <right/>
      <top style="thin">
        <color rgb="FFF1F5F9"/>
      </top>
      <bottom style="thin">
        <color rgb="FFF1F5F9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ck">
        <color rgb="FF4F46E5"/>
      </top>
      <bottom style="thin">
        <color rgb="FFE2E8F0"/>
      </bottom>
      <diagonal/>
    </border>
    <border>
      <left/>
      <right/>
      <top style="thin">
        <color rgb="FFCBD5E1"/>
      </top>
      <bottom/>
      <diagonal/>
    </border>
    <border>
      <left style="thin">
        <color rgb="FFE2E8F0"/>
      </left>
      <right style="thin">
        <color rgb="FFE2E8F0"/>
      </right>
      <top style="thick">
        <color rgb="FF4F46E5"/>
      </top>
      <bottom/>
      <diagonal/>
    </border>
    <border>
      <left/>
      <right/>
      <top style="thick">
        <color rgb="FF4F46E5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/>
      <diagonal/>
    </border>
  </borders>
  <cellStyleXfs count="2">
    <xf numFmtId="0" fontId="0" fillId="0" borderId="0"/>
    <xf numFmtId="0" fontId="2" fillId="0" borderId="0"/>
  </cellStyleXfs>
  <cellXfs count="311">
    <xf numFmtId="0" fontId="0" fillId="0" borderId="0" pivotButton="0" quotePrefix="0" xfId="0"/>
    <xf numFmtId="0" fontId="4" fillId="2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0" fontId="13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4" borderId="12" pivotButton="0" quotePrefix="0" xfId="0"/>
    <xf numFmtId="0" fontId="19" fillId="4" borderId="12" applyAlignment="1" pivotButton="0" quotePrefix="0" xfId="0">
      <alignment horizontal="left"/>
    </xf>
    <xf numFmtId="0" fontId="19" fillId="4" borderId="12" applyAlignment="1" pivotButton="0" quotePrefix="0" xfId="0">
      <alignment horizontal="right"/>
    </xf>
    <xf numFmtId="0" fontId="19" fillId="4" borderId="12" applyAlignment="1" pivotButton="0" quotePrefix="0" xfId="0">
      <alignment horizont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indent="1"/>
    </xf>
    <xf numFmtId="165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4" fillId="0" borderId="13" applyAlignment="1" pivotButton="0" quotePrefix="0" xfId="0">
      <alignment vertical="center" indent="1"/>
    </xf>
    <xf numFmtId="0" fontId="24" fillId="0" borderId="13" applyAlignment="1" pivotButton="0" quotePrefix="0" xfId="0">
      <alignment vertical="center"/>
    </xf>
    <xf numFmtId="0" fontId="25" fillId="0" borderId="13" applyAlignment="1" pivotButton="0" quotePrefix="0" xfId="0">
      <alignment horizontal="center" vertical="center"/>
    </xf>
    <xf numFmtId="0" fontId="24" fillId="0" borderId="14" applyAlignment="1" pivotButton="0" quotePrefix="0" xfId="0">
      <alignment vertical="center" indent="1"/>
    </xf>
    <xf numFmtId="0" fontId="24" fillId="0" borderId="14" applyAlignment="1" pivotButton="0" quotePrefix="0" xfId="0">
      <alignment vertical="center"/>
    </xf>
    <xf numFmtId="0" fontId="25" fillId="0" borderId="14" applyAlignment="1" pivotButton="0" quotePrefix="0" xfId="0">
      <alignment horizontal="center" vertical="center"/>
    </xf>
    <xf numFmtId="0" fontId="26" fillId="0" borderId="14" applyAlignment="1" pivotButton="0" quotePrefix="0" xfId="0">
      <alignment vertical="center" indent="1"/>
    </xf>
    <xf numFmtId="0" fontId="28" fillId="0" borderId="0" pivotButton="0" quotePrefix="0" xfId="0"/>
    <xf numFmtId="0" fontId="29" fillId="0" borderId="0" applyAlignment="1" pivotButton="0" quotePrefix="0" xfId="0">
      <alignment indent="1"/>
    </xf>
    <xf numFmtId="0" fontId="8" fillId="2" borderId="0" applyAlignment="1" pivotButton="0" quotePrefix="0" xfId="1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vertical="center"/>
    </xf>
    <xf numFmtId="0" fontId="11" fillId="0" borderId="4" pivotButton="0" quotePrefix="0" xfId="0"/>
    <xf numFmtId="0" fontId="11" fillId="0" borderId="16" pivotButton="0" quotePrefix="0" xfId="0"/>
    <xf numFmtId="0" fontId="31" fillId="0" borderId="0" pivotButton="0" quotePrefix="0" xfId="0"/>
    <xf numFmtId="0" fontId="11" fillId="0" borderId="3" pivotButton="0" quotePrefix="0" xfId="0"/>
    <xf numFmtId="0" fontId="22" fillId="0" borderId="4" pivotButton="0" quotePrefix="0" xfId="0"/>
    <xf numFmtId="0" fontId="22" fillId="0" borderId="3" pivotButton="0" quotePrefix="0" xfId="0"/>
    <xf numFmtId="0" fontId="22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7" fontId="20" fillId="0" borderId="17" applyAlignment="1" pivotButton="0" quotePrefix="0" xfId="0">
      <alignment horizontal="center" vertical="center"/>
    </xf>
    <xf numFmtId="167" fontId="20" fillId="0" borderId="4" applyAlignment="1" pivotButton="0" quotePrefix="0" xfId="0">
      <alignment horizontal="center" vertical="center"/>
    </xf>
    <xf numFmtId="0" fontId="32" fillId="3" borderId="17" applyAlignment="1" pivotButton="0" quotePrefix="0" xfId="0">
      <alignment horizontal="center" vertical="center"/>
    </xf>
    <xf numFmtId="0" fontId="32" fillId="3" borderId="4" applyAlignment="1" pivotButton="0" quotePrefix="0" xfId="0">
      <alignment horizontal="center" vertical="center"/>
    </xf>
    <xf numFmtId="0" fontId="20" fillId="2" borderId="17" applyAlignment="1" pivotButton="0" quotePrefix="0" xfId="0">
      <alignment horizontal="center" vertical="center"/>
    </xf>
    <xf numFmtId="0" fontId="20" fillId="2" borderId="4" applyAlignment="1" pivotButton="0" quotePrefix="0" xfId="0">
      <alignment horizontal="center" vertical="center"/>
    </xf>
    <xf numFmtId="167" fontId="20" fillId="2" borderId="17" applyAlignment="1" pivotButton="0" quotePrefix="0" xfId="0">
      <alignment horizontal="center" vertical="center"/>
    </xf>
    <xf numFmtId="167" fontId="20" fillId="2" borderId="4" applyAlignment="1" pivotButton="0" quotePrefix="0" xfId="0">
      <alignment horizontal="center" vertical="center"/>
    </xf>
    <xf numFmtId="167" fontId="20" fillId="0" borderId="3" applyAlignment="1" pivotButton="0" quotePrefix="0" xfId="0">
      <alignment horizontal="center" vertical="center"/>
    </xf>
    <xf numFmtId="0" fontId="32" fillId="3" borderId="3" applyAlignment="1" pivotButton="0" quotePrefix="0" xfId="0">
      <alignment horizontal="center" vertical="center"/>
    </xf>
    <xf numFmtId="0" fontId="20" fillId="2" borderId="3" applyAlignment="1" pivotButton="0" quotePrefix="0" xfId="0">
      <alignment horizontal="center" vertical="center"/>
    </xf>
    <xf numFmtId="167" fontId="20" fillId="2" borderId="3" applyAlignment="1" pivotButton="0" quotePrefix="0" xfId="0">
      <alignment horizontal="center" vertical="center"/>
    </xf>
    <xf numFmtId="167" fontId="20" fillId="4" borderId="4" applyAlignment="1" pivotButton="0" quotePrefix="0" xfId="0">
      <alignment horizontal="center" vertical="center"/>
    </xf>
    <xf numFmtId="167" fontId="20" fillId="4" borderId="3" applyAlignment="1" pivotButton="0" quotePrefix="0" xfId="0">
      <alignment horizontal="center" vertical="center"/>
    </xf>
    <xf numFmtId="0" fontId="22" fillId="0" borderId="0" pivotButton="0" quotePrefix="0" xfId="0"/>
    <xf numFmtId="168" fontId="22" fillId="0" borderId="0" pivotButton="0" quotePrefix="0" xfId="0"/>
    <xf numFmtId="0" fontId="31" fillId="0" borderId="3" pivotButton="0" quotePrefix="0" xfId="0"/>
    <xf numFmtId="0" fontId="25" fillId="4" borderId="3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center" vertical="center"/>
    </xf>
    <xf numFmtId="3" fontId="32" fillId="3" borderId="17" applyAlignment="1" pivotButton="0" quotePrefix="0" xfId="0">
      <alignment horizontal="center" vertical="center"/>
    </xf>
    <xf numFmtId="3" fontId="20" fillId="2" borderId="17" applyAlignment="1" pivotButton="0" quotePrefix="0" xfId="0">
      <alignment horizontal="center" vertical="center"/>
    </xf>
    <xf numFmtId="168" fontId="20" fillId="2" borderId="17" applyAlignment="1" pivotButton="0" quotePrefix="0" xfId="0">
      <alignment horizontal="center" vertical="center"/>
    </xf>
    <xf numFmtId="0" fontId="20" fillId="0" borderId="3" applyAlignment="1" pivotButton="0" quotePrefix="0" xfId="0">
      <alignment horizontal="center" vertical="center"/>
    </xf>
    <xf numFmtId="3" fontId="32" fillId="3" borderId="3" applyAlignment="1" pivotButton="0" quotePrefix="0" xfId="0">
      <alignment horizontal="center" vertical="center"/>
    </xf>
    <xf numFmtId="3" fontId="20" fillId="2" borderId="3" applyAlignment="1" pivotButton="0" quotePrefix="0" xfId="0">
      <alignment horizontal="center" vertical="center"/>
    </xf>
    <xf numFmtId="168" fontId="20" fillId="2" borderId="3" applyAlignment="1" pivotButton="0" quotePrefix="0" xfId="0">
      <alignment horizontal="center" vertical="center"/>
    </xf>
    <xf numFmtId="168" fontId="20" fillId="2" borderId="3" pivotButton="0" quotePrefix="0" xfId="0"/>
    <xf numFmtId="0" fontId="20" fillId="2" borderId="3" pivotButton="0" quotePrefix="0" xfId="0"/>
    <xf numFmtId="0" fontId="32" fillId="3" borderId="3" pivotButton="0" quotePrefix="0" xfId="0"/>
    <xf numFmtId="0" fontId="20" fillId="4" borderId="3" applyAlignment="1" pivotButton="0" quotePrefix="0" xfId="0">
      <alignment horizontal="center" vertical="center"/>
    </xf>
    <xf numFmtId="0" fontId="20" fillId="4" borderId="4" applyAlignment="1" pivotButton="0" quotePrefix="0" xfId="0">
      <alignment horizontal="center" vertical="center"/>
    </xf>
    <xf numFmtId="3" fontId="32" fillId="3" borderId="4" applyAlignment="1" pivotButton="0" quotePrefix="0" xfId="0">
      <alignment horizontal="center" vertical="center"/>
    </xf>
    <xf numFmtId="3" fontId="20" fillId="2" borderId="4" applyAlignment="1" pivotButton="0" quotePrefix="0" xfId="0">
      <alignment horizontal="center" vertical="center"/>
    </xf>
    <xf numFmtId="168" fontId="20" fillId="2" borderId="4" applyAlignment="1" pivotButton="0" quotePrefix="0" xfId="0">
      <alignment horizontal="center" vertical="center"/>
    </xf>
    <xf numFmtId="167" fontId="32" fillId="3" borderId="17" applyAlignment="1" pivotButton="0" quotePrefix="0" xfId="0">
      <alignment horizontal="center" vertical="center"/>
    </xf>
    <xf numFmtId="167" fontId="32" fillId="3" borderId="4" applyAlignment="1" pivotButton="0" quotePrefix="0" xfId="0">
      <alignment horizontal="center" vertical="center"/>
    </xf>
    <xf numFmtId="167" fontId="32" fillId="3" borderId="3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/>
    </xf>
    <xf numFmtId="169" fontId="20" fillId="2" borderId="3" pivotButton="0" quotePrefix="0" xfId="0"/>
    <xf numFmtId="167" fontId="33" fillId="3" borderId="3" applyAlignment="1" pivotButton="0" quotePrefix="0" xfId="0">
      <alignment horizontal="center" vertical="center"/>
    </xf>
    <xf numFmtId="170" fontId="20" fillId="2" borderId="17" applyAlignment="1" pivotButton="0" quotePrefix="0" xfId="0">
      <alignment horizontal="center" vertical="center"/>
    </xf>
    <xf numFmtId="170" fontId="20" fillId="2" borderId="4" applyAlignment="1" pivotButton="0" quotePrefix="0" xfId="0">
      <alignment horizontal="center" vertical="center"/>
    </xf>
    <xf numFmtId="170" fontId="20" fillId="2" borderId="3" applyAlignment="1" pivotButton="0" quotePrefix="0" xfId="0">
      <alignment horizontal="center" vertical="center"/>
    </xf>
    <xf numFmtId="0" fontId="22" fillId="0" borderId="4" applyAlignment="1" pivotButton="0" quotePrefix="0" xfId="0">
      <alignment horizontal="right"/>
    </xf>
    <xf numFmtId="0" fontId="31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35" fillId="5" borderId="3" applyAlignment="1" pivotButton="0" quotePrefix="0" xfId="0">
      <alignment horizontal="center" vertical="center" wrapText="1"/>
    </xf>
    <xf numFmtId="0" fontId="31" fillId="0" borderId="17" applyAlignment="1" pivotButton="0" quotePrefix="0" xfId="0">
      <alignment horizontal="center" vertical="center"/>
    </xf>
    <xf numFmtId="0" fontId="37" fillId="0" borderId="17" applyAlignment="1" pivotButton="0" quotePrefix="0" xfId="0">
      <alignment horizontal="center" vertical="center"/>
    </xf>
    <xf numFmtId="0" fontId="37" fillId="0" borderId="3" applyAlignment="1" pivotButton="0" quotePrefix="0" xfId="0">
      <alignment horizontal="center" vertical="center"/>
    </xf>
    <xf numFmtId="0" fontId="20" fillId="0" borderId="0" pivotButton="0" quotePrefix="0" xfId="0"/>
    <xf numFmtId="0" fontId="20" fillId="0" borderId="3" pivotButton="0" quotePrefix="0" xfId="0"/>
    <xf numFmtId="0" fontId="20" fillId="0" borderId="4" pivotButton="0" quotePrefix="0" xfId="0"/>
    <xf numFmtId="167" fontId="20" fillId="0" borderId="0" pivotButton="0" quotePrefix="0" xfId="0"/>
    <xf numFmtId="170" fontId="20" fillId="2" borderId="3" pivotButton="0" quotePrefix="0" xfId="0"/>
    <xf numFmtId="167" fontId="20" fillId="0" borderId="17" pivotButton="0" quotePrefix="0" xfId="0"/>
    <xf numFmtId="167" fontId="20" fillId="0" borderId="3" pivotButton="0" quotePrefix="0" xfId="0"/>
    <xf numFmtId="0" fontId="31" fillId="0" borderId="4" pivotButton="0" quotePrefix="0" xfId="0"/>
    <xf numFmtId="0" fontId="39" fillId="0" borderId="0" pivotButton="0" quotePrefix="0" xfId="0"/>
    <xf numFmtId="3" fontId="20" fillId="2" borderId="3" pivotButton="0" quotePrefix="0" xfId="0"/>
    <xf numFmtId="169" fontId="22" fillId="2" borderId="3" pivotButton="0" quotePrefix="0" xfId="0"/>
    <xf numFmtId="168" fontId="40" fillId="6" borderId="3" pivotButton="0" quotePrefix="0" xfId="0"/>
    <xf numFmtId="0" fontId="17" fillId="0" borderId="3" pivotButton="0" quotePrefix="0" xfId="0"/>
    <xf numFmtId="168" fontId="20" fillId="0" borderId="17" pivotButton="0" quotePrefix="0" xfId="0"/>
    <xf numFmtId="0" fontId="20" fillId="0" borderId="17" pivotButton="0" quotePrefix="0" xfId="0"/>
    <xf numFmtId="168" fontId="20" fillId="0" borderId="3" pivotButton="0" quotePrefix="0" xfId="0"/>
    <xf numFmtId="0" fontId="22" fillId="2" borderId="17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2" borderId="4" applyAlignment="1" pivotButton="0" quotePrefix="0" xfId="0">
      <alignment horizontal="center" vertical="center"/>
    </xf>
    <xf numFmtId="170" fontId="32" fillId="3" borderId="3" applyAlignment="1" pivotButton="0" quotePrefix="0" xfId="0">
      <alignment horizontal="center" vertical="center"/>
    </xf>
    <xf numFmtId="0" fontId="31" fillId="0" borderId="3" applyAlignment="1" pivotButton="0" quotePrefix="0" xfId="0">
      <alignment vertical="top" wrapText="1"/>
    </xf>
    <xf numFmtId="168" fontId="32" fillId="3" borderId="17" applyAlignment="1" pivotButton="0" quotePrefix="0" xfId="0">
      <alignment horizontal="center" vertical="center"/>
    </xf>
    <xf numFmtId="168" fontId="32" fillId="3" borderId="3" applyAlignment="1" pivotButton="0" quotePrefix="0" xfId="0">
      <alignment horizontal="center" vertical="center"/>
    </xf>
    <xf numFmtId="168" fontId="32" fillId="3" borderId="4" applyAlignment="1" pivotButton="0" quotePrefix="0" xfId="0">
      <alignment horizontal="center" vertical="center"/>
    </xf>
    <xf numFmtId="167" fontId="22" fillId="0" borderId="17" applyAlignment="1" pivotButton="0" quotePrefix="0" xfId="0">
      <alignment horizontal="center" vertical="center"/>
    </xf>
    <xf numFmtId="167" fontId="22" fillId="0" borderId="4" applyAlignment="1" pivotButton="0" quotePrefix="0" xfId="0">
      <alignment horizontal="center" vertical="center"/>
    </xf>
    <xf numFmtId="167" fontId="22" fillId="0" borderId="3" applyAlignment="1" pivotButton="0" quotePrefix="0" xfId="0">
      <alignment horizontal="center" vertical="center"/>
    </xf>
    <xf numFmtId="0" fontId="22" fillId="0" borderId="17" applyAlignment="1" pivotButton="0" quotePrefix="0" xfId="0">
      <alignment horizontal="center" vertical="center"/>
    </xf>
    <xf numFmtId="0" fontId="31" fillId="0" borderId="17" pivotButton="0" quotePrefix="0" xfId="0"/>
    <xf numFmtId="0" fontId="22" fillId="0" borderId="4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indent="1"/>
    </xf>
    <xf numFmtId="0" fontId="42" fillId="0" borderId="0" pivotButton="0" quotePrefix="0" xfId="0"/>
    <xf numFmtId="171" fontId="43" fillId="0" borderId="4" applyAlignment="1" pivotButton="0" quotePrefix="0" xfId="0">
      <alignment shrinkToFit="1"/>
    </xf>
    <xf numFmtId="172" fontId="20" fillId="0" borderId="0" applyAlignment="1" pivotButton="0" quotePrefix="0" xfId="0">
      <alignment shrinkToFit="1"/>
    </xf>
    <xf numFmtId="0" fontId="11" fillId="0" borderId="3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8" fontId="20" fillId="2" borderId="17" applyAlignment="1" pivotButton="0" quotePrefix="0" xfId="0">
      <alignment vertical="center"/>
    </xf>
    <xf numFmtId="0" fontId="20" fillId="2" borderId="17" applyAlignment="1" pivotButton="0" quotePrefix="0" xfId="0">
      <alignment vertical="center"/>
    </xf>
    <xf numFmtId="0" fontId="32" fillId="3" borderId="17" applyAlignment="1" pivotButton="0" quotePrefix="0" xfId="0">
      <alignment vertical="center"/>
    </xf>
    <xf numFmtId="168" fontId="20" fillId="2" borderId="3" applyAlignment="1" pivotButton="0" quotePrefix="0" xfId="0">
      <alignment vertical="center"/>
    </xf>
    <xf numFmtId="0" fontId="20" fillId="2" borderId="3" applyAlignment="1" pivotButton="0" quotePrefix="0" xfId="0">
      <alignment vertical="center"/>
    </xf>
    <xf numFmtId="0" fontId="32" fillId="3" borderId="3" applyAlignment="1" pivotButton="0" quotePrefix="0" xfId="0">
      <alignment vertical="center"/>
    </xf>
    <xf numFmtId="168" fontId="20" fillId="2" borderId="4" applyAlignment="1" pivotButton="0" quotePrefix="0" xfId="0">
      <alignment vertical="center"/>
    </xf>
    <xf numFmtId="0" fontId="20" fillId="2" borderId="4" applyAlignment="1" pivotButton="0" quotePrefix="0" xfId="0">
      <alignment vertical="center"/>
    </xf>
    <xf numFmtId="0" fontId="32" fillId="3" borderId="4" applyAlignment="1" pivotButton="0" quotePrefix="0" xfId="0">
      <alignment vertical="center"/>
    </xf>
    <xf numFmtId="0" fontId="11" fillId="0" borderId="4" applyAlignment="1" pivotButton="0" quotePrefix="0" xfId="0">
      <alignment vertical="center"/>
    </xf>
    <xf numFmtId="168" fontId="32" fillId="3" borderId="17" applyAlignment="1" pivotButton="0" quotePrefix="0" xfId="0">
      <alignment vertical="center"/>
    </xf>
    <xf numFmtId="0" fontId="31" fillId="2" borderId="17" applyAlignment="1" pivotButton="0" quotePrefix="0" xfId="0">
      <alignment vertical="center"/>
    </xf>
    <xf numFmtId="169" fontId="20" fillId="2" borderId="17" applyAlignment="1" pivotButton="0" quotePrefix="0" xfId="0">
      <alignment vertical="center"/>
    </xf>
    <xf numFmtId="168" fontId="32" fillId="3" borderId="3" applyAlignment="1" pivotButton="0" quotePrefix="0" xfId="0">
      <alignment vertical="center"/>
    </xf>
    <xf numFmtId="0" fontId="31" fillId="2" borderId="3" applyAlignment="1" pivotButton="0" quotePrefix="0" xfId="0">
      <alignment vertical="center"/>
    </xf>
    <xf numFmtId="169" fontId="20" fillId="2" borderId="3" applyAlignment="1" pivotButton="0" quotePrefix="0" xfId="0">
      <alignment vertical="center"/>
    </xf>
    <xf numFmtId="168" fontId="32" fillId="3" borderId="4" applyAlignment="1" pivotButton="0" quotePrefix="0" xfId="0">
      <alignment vertical="center"/>
    </xf>
    <xf numFmtId="0" fontId="31" fillId="2" borderId="4" applyAlignment="1" pivotButton="0" quotePrefix="0" xfId="0">
      <alignment vertical="center"/>
    </xf>
    <xf numFmtId="169" fontId="20" fillId="2" borderId="4" applyAlignment="1" pivotButton="0" quotePrefix="0" xfId="0">
      <alignment vertical="center"/>
    </xf>
    <xf numFmtId="0" fontId="25" fillId="4" borderId="3" applyAlignment="1" pivotButton="0" quotePrefix="0" xfId="0">
      <alignment horizontal="center" vertical="center"/>
    </xf>
    <xf numFmtId="0" fontId="36" fillId="0" borderId="3" applyAlignment="1" pivotButton="0" quotePrefix="0" xfId="0">
      <alignment vertical="center"/>
    </xf>
    <xf numFmtId="0" fontId="37" fillId="0" borderId="17" applyAlignment="1" pivotButton="0" quotePrefix="0" xfId="0">
      <alignment vertical="center"/>
    </xf>
    <xf numFmtId="168" fontId="38" fillId="6" borderId="3" applyAlignment="1" pivotButton="0" quotePrefix="0" xfId="0">
      <alignment vertical="center"/>
    </xf>
    <xf numFmtId="167" fontId="20" fillId="6" borderId="17" applyAlignment="1" pivotButton="0" quotePrefix="0" xfId="0">
      <alignment horizontal="center" vertical="center"/>
    </xf>
    <xf numFmtId="0" fontId="20" fillId="6" borderId="17" applyAlignment="1" pivotButton="0" quotePrefix="0" xfId="0">
      <alignment vertical="center"/>
    </xf>
    <xf numFmtId="0" fontId="20" fillId="6" borderId="17" applyAlignment="1" pivotButton="0" quotePrefix="0" xfId="0">
      <alignment horizontal="center" vertical="center"/>
    </xf>
    <xf numFmtId="168" fontId="20" fillId="6" borderId="17" applyAlignment="1" pivotButton="0" quotePrefix="0" xfId="0">
      <alignment vertical="center"/>
    </xf>
    <xf numFmtId="0" fontId="37" fillId="0" borderId="3" applyAlignment="1" pivotButton="0" quotePrefix="0" xfId="0">
      <alignment vertical="center"/>
    </xf>
    <xf numFmtId="167" fontId="20" fillId="6" borderId="3" applyAlignment="1" pivotButton="0" quotePrefix="0" xfId="0">
      <alignment horizontal="center" vertical="center"/>
    </xf>
    <xf numFmtId="0" fontId="20" fillId="6" borderId="3" applyAlignment="1" pivotButton="0" quotePrefix="0" xfId="0">
      <alignment vertical="center"/>
    </xf>
    <xf numFmtId="0" fontId="20" fillId="6" borderId="3" applyAlignment="1" pivotButton="0" quotePrefix="0" xfId="0">
      <alignment horizontal="center" vertical="center"/>
    </xf>
    <xf numFmtId="168" fontId="20" fillId="6" borderId="3" applyAlignment="1" pivotButton="0" quotePrefix="0" xfId="0">
      <alignment vertical="center"/>
    </xf>
    <xf numFmtId="0" fontId="36" fillId="0" borderId="4" applyAlignment="1" pivotButton="0" quotePrefix="0" xfId="0">
      <alignment vertical="center"/>
    </xf>
    <xf numFmtId="0" fontId="22" fillId="0" borderId="3" applyAlignment="1" pivotButton="0" quotePrefix="0" xfId="0">
      <alignment vertical="center"/>
    </xf>
    <xf numFmtId="0" fontId="22" fillId="4" borderId="3" applyAlignment="1" pivotButton="0" quotePrefix="0" xfId="0">
      <alignment vertical="center"/>
    </xf>
    <xf numFmtId="168" fontId="22" fillId="4" borderId="3" applyAlignment="1" pivotButton="0" quotePrefix="0" xfId="0">
      <alignment vertical="center"/>
    </xf>
    <xf numFmtId="169" fontId="22" fillId="4" borderId="3" applyAlignment="1" pivotButton="0" quotePrefix="0" xfId="0">
      <alignment vertical="center"/>
    </xf>
    <xf numFmtId="0" fontId="22" fillId="0" borderId="4" applyAlignment="1" pivotButton="0" quotePrefix="0" xfId="0">
      <alignment vertical="center"/>
    </xf>
    <xf numFmtId="169" fontId="22" fillId="2" borderId="17" applyAlignment="1" pivotButton="0" quotePrefix="0" xfId="0">
      <alignment vertical="center"/>
    </xf>
    <xf numFmtId="169" fontId="22" fillId="2" borderId="3" applyAlignment="1" pivotButton="0" quotePrefix="0" xfId="0">
      <alignment vertical="center"/>
    </xf>
    <xf numFmtId="169" fontId="22" fillId="2" borderId="4" applyAlignment="1" pivotButton="0" quotePrefix="0" xfId="0">
      <alignment vertical="center"/>
    </xf>
    <xf numFmtId="49" fontId="32" fillId="3" borderId="17" applyAlignment="1" pivotButton="0" quotePrefix="0" xfId="0">
      <alignment vertical="center"/>
    </xf>
    <xf numFmtId="49" fontId="32" fillId="3" borderId="3" applyAlignment="1" pivotButton="0" quotePrefix="0" xfId="0">
      <alignment vertical="center"/>
    </xf>
    <xf numFmtId="49" fontId="32" fillId="3" borderId="4" applyAlignment="1" pivotButton="0" quotePrefix="0" xfId="0">
      <alignment vertical="center"/>
    </xf>
    <xf numFmtId="0" fontId="30" fillId="0" borderId="4" pivotButton="0" quotePrefix="0" xfId="0"/>
    <xf numFmtId="0" fontId="20" fillId="0" borderId="3" applyAlignment="1" pivotButton="0" quotePrefix="0" xfId="0">
      <alignment vertical="center"/>
    </xf>
    <xf numFmtId="0" fontId="31" fillId="0" borderId="3" applyAlignment="1" pivotButton="0" quotePrefix="0" xfId="0">
      <alignment vertical="center" wrapText="1"/>
    </xf>
    <xf numFmtId="0" fontId="31" fillId="0" borderId="0" applyAlignment="1" pivotButton="0" quotePrefix="0" xfId="0">
      <alignment vertical="center"/>
    </xf>
    <xf numFmtId="0" fontId="8" fillId="2" borderId="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 vertical="center"/>
    </xf>
    <xf numFmtId="3" fontId="20" fillId="2" borderId="17" applyAlignment="1" pivotButton="0" quotePrefix="0" xfId="0">
      <alignment vertical="center"/>
    </xf>
    <xf numFmtId="3" fontId="20" fillId="2" borderId="3" applyAlignment="1" pivotButton="0" quotePrefix="0" xfId="0">
      <alignment vertical="center"/>
    </xf>
    <xf numFmtId="3" fontId="20" fillId="2" borderId="4" applyAlignment="1" pivotButton="0" quotePrefix="0" xfId="0">
      <alignment vertical="center"/>
    </xf>
    <xf numFmtId="0" fontId="8" fillId="0" borderId="0" applyAlignment="1" pivotButton="0" quotePrefix="0" xfId="1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27" fillId="2" borderId="5" applyAlignment="1" pivotButton="0" quotePrefix="0" xfId="1">
      <alignment vertical="center" indent="1"/>
    </xf>
    <xf numFmtId="0" fontId="0" fillId="2" borderId="4" applyAlignment="1" pivotButton="0" quotePrefix="0" xfId="0">
      <alignment vertical="center"/>
    </xf>
    <xf numFmtId="0" fontId="18" fillId="2" borderId="4" applyAlignment="1" pivotButton="0" quotePrefix="0" xfId="0">
      <alignment horizontal="right" vertical="center" indent="1"/>
    </xf>
    <xf numFmtId="0" fontId="0" fillId="2" borderId="15" applyAlignment="1" pivotButton="0" quotePrefix="0" xfId="0">
      <alignment vertical="center"/>
    </xf>
    <xf numFmtId="0" fontId="3" fillId="0" borderId="0" applyAlignment="1" pivotButton="0" quotePrefix="0" xfId="0">
      <alignment vertical="center" indent="1"/>
    </xf>
    <xf numFmtId="0" fontId="15" fillId="4" borderId="10" applyAlignment="1" pivotButton="0" quotePrefix="0" xfId="0">
      <alignment horizontal="left" indent="1"/>
    </xf>
    <xf numFmtId="0" fontId="0" fillId="4" borderId="11" applyAlignment="1" pivotButton="0" quotePrefix="0" xfId="0">
      <alignment horizontal="left" indent="1"/>
    </xf>
    <xf numFmtId="3" fontId="16" fillId="4" borderId="6" applyAlignment="1" pivotButton="0" quotePrefix="0" xfId="0">
      <alignment horizontal="left" indent="1"/>
    </xf>
    <xf numFmtId="0" fontId="0" fillId="4" borderId="8" applyAlignment="1" pivotButton="0" quotePrefix="0" xfId="0">
      <alignment horizontal="left" indent="1"/>
    </xf>
    <xf numFmtId="0" fontId="14" fillId="4" borderId="7" applyAlignment="1" pivotButton="0" quotePrefix="0" xfId="0">
      <alignment horizontal="left" indent="1"/>
    </xf>
    <xf numFmtId="0" fontId="0" fillId="4" borderId="9" applyAlignment="1" pivotButton="0" quotePrefix="0" xfId="0">
      <alignment horizontal="left" indent="1"/>
    </xf>
    <xf numFmtId="0" fontId="16" fillId="4" borderId="6" applyAlignment="1" pivotButton="0" quotePrefix="0" xfId="0">
      <alignment horizontal="left" indent="1"/>
    </xf>
    <xf numFmtId="170" fontId="16" fillId="4" borderId="6" applyAlignment="1" pivotButton="0" quotePrefix="0" xfId="0">
      <alignment horizontal="left" indent="1"/>
    </xf>
    <xf numFmtId="0" fontId="8" fillId="0" borderId="1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20" fillId="0" borderId="0" pivotButton="0" quotePrefix="0" xfId="0"/>
    <xf numFmtId="0" fontId="20" fillId="0" borderId="3" pivotButton="0" quotePrefix="0" xfId="0"/>
    <xf numFmtId="0" fontId="22" fillId="0" borderId="3" pivotButton="0" quotePrefix="0" xfId="0"/>
    <xf numFmtId="0" fontId="20" fillId="0" borderId="4" pivotButton="0" quotePrefix="0" xfId="0"/>
    <xf numFmtId="168" fontId="22" fillId="0" borderId="3" pivotButton="0" quotePrefix="0" xfId="0"/>
    <xf numFmtId="0" fontId="31" fillId="0" borderId="3" applyAlignment="1" pivotButton="0" quotePrefix="0" xfId="0">
      <alignment horizontal="center" vertical="center"/>
    </xf>
    <xf numFmtId="3" fontId="34" fillId="4" borderId="3" applyAlignment="1" pivotButton="0" quotePrefix="0" xfId="0">
      <alignment horizontal="center" vertical="center"/>
    </xf>
    <xf numFmtId="168" fontId="34" fillId="4" borderId="3" applyAlignment="1" pivotButton="0" quotePrefix="0" xfId="0">
      <alignment horizontal="center" vertical="center"/>
    </xf>
    <xf numFmtId="0" fontId="34" fillId="4" borderId="3" applyAlignment="1" pivotButton="0" quotePrefix="0" xfId="0">
      <alignment horizontal="center" vertical="center"/>
    </xf>
    <xf numFmtId="170" fontId="34" fillId="4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1" fillId="0" borderId="3" pivotButton="0" quotePrefix="0" xfId="0"/>
    <xf numFmtId="0" fontId="11" fillId="0" borderId="4" pivotButton="0" quotePrefix="0" xfId="0"/>
    <xf numFmtId="0" fontId="20" fillId="0" borderId="17" pivotButton="0" quotePrefix="0" xfId="0"/>
    <xf numFmtId="0" fontId="8" fillId="0" borderId="0" applyAlignment="1" pivotButton="0" quotePrefix="0" xfId="1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1">
      <alignment horizontal="center" vertical="center"/>
    </xf>
    <xf numFmtId="0" fontId="8" fillId="0" borderId="1" applyAlignment="1" pivotButton="0" quotePrefix="0" xfId="1">
      <alignment horizontal="center" vertical="center"/>
    </xf>
    <xf numFmtId="0" fontId="41" fillId="0" borderId="3" pivotButton="0" quotePrefix="0" xfId="0"/>
    <xf numFmtId="49" fontId="44" fillId="0" borderId="0" applyAlignment="1" pivotButton="0" quotePrefix="0" xfId="0">
      <alignment wrapText="1"/>
    </xf>
    <xf numFmtId="49" fontId="45" fillId="0" borderId="0" applyAlignment="1" pivotButton="0" quotePrefix="0" xfId="0">
      <alignment wrapText="1"/>
    </xf>
    <xf numFmtId="49" fontId="46" fillId="0" borderId="0" applyAlignment="1" pivotButton="0" quotePrefix="0" xfId="0">
      <alignment wrapText="1"/>
    </xf>
    <xf numFmtId="49" fontId="47" fillId="0" borderId="0" applyAlignment="1" pivotButton="0" quotePrefix="0" xfId="0">
      <alignment wrapText="1"/>
    </xf>
    <xf numFmtId="0" fontId="0" fillId="0" borderId="1" pivotButton="0" quotePrefix="0" xfId="0"/>
    <xf numFmtId="0" fontId="0" fillId="0" borderId="2" pivotButton="0" quotePrefix="0" xfId="0"/>
    <xf numFmtId="164" fontId="7" fillId="0" borderId="0" applyAlignment="1" pivotButton="0" quotePrefix="0" xfId="0">
      <alignment horizontal="right"/>
    </xf>
    <xf numFmtId="0" fontId="15" fillId="4" borderId="18" applyAlignment="1" pivotButton="0" quotePrefix="0" xfId="0">
      <alignment horizontal="left" indent="1"/>
    </xf>
    <xf numFmtId="0" fontId="0" fillId="0" borderId="11" pivotButton="0" quotePrefix="0" xfId="0"/>
    <xf numFmtId="3" fontId="16" fillId="4" borderId="20" applyAlignment="1" pivotButton="0" quotePrefix="0" xfId="0">
      <alignment horizontal="left" indent="1"/>
    </xf>
    <xf numFmtId="0" fontId="0" fillId="0" borderId="8" pivotButton="0" quotePrefix="0" xfId="0"/>
    <xf numFmtId="0" fontId="16" fillId="4" borderId="20" applyAlignment="1" pivotButton="0" quotePrefix="0" xfId="0">
      <alignment horizontal="left" indent="1"/>
    </xf>
    <xf numFmtId="170" fontId="16" fillId="4" borderId="20" applyAlignment="1" pivotButton="0" quotePrefix="0" xfId="0">
      <alignment horizontal="left" indent="1"/>
    </xf>
    <xf numFmtId="0" fontId="14" fillId="4" borderId="21" applyAlignment="1" pivotButton="0" quotePrefix="0" xfId="0">
      <alignment horizontal="left" indent="1"/>
    </xf>
    <xf numFmtId="0" fontId="0" fillId="0" borderId="9" pivotButton="0" quotePrefix="0" xfId="0"/>
    <xf numFmtId="0" fontId="0" fillId="0" borderId="4" pivotButton="0" quotePrefix="0" xfId="0"/>
    <xf numFmtId="0" fontId="18" fillId="2" borderId="15" applyAlignment="1" pivotButton="0" quotePrefix="0" xfId="0">
      <alignment horizontal="right" vertical="center" indent="1"/>
    </xf>
    <xf numFmtId="0" fontId="0" fillId="0" borderId="15" pivotButton="0" quotePrefix="0" xfId="0"/>
    <xf numFmtId="165" fontId="20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168" fontId="22" fillId="0" borderId="0" pivotButton="0" quotePrefix="0" xfId="0"/>
    <xf numFmtId="167" fontId="20" fillId="0" borderId="17" applyAlignment="1" pivotButton="0" quotePrefix="0" xfId="0">
      <alignment horizontal="center" vertical="center"/>
    </xf>
    <xf numFmtId="168" fontId="20" fillId="2" borderId="17" applyAlignment="1" pivotButton="0" quotePrefix="0" xfId="0">
      <alignment horizontal="center" vertical="center"/>
    </xf>
    <xf numFmtId="168" fontId="20" fillId="2" borderId="17" applyAlignment="1" pivotButton="0" quotePrefix="0" xfId="0">
      <alignment vertical="center"/>
    </xf>
    <xf numFmtId="167" fontId="20" fillId="2" borderId="17" applyAlignment="1" pivotButton="0" quotePrefix="0" xfId="0">
      <alignment horizontal="center" vertical="center"/>
    </xf>
    <xf numFmtId="167" fontId="20" fillId="0" borderId="3" applyAlignment="1" pivotButton="0" quotePrefix="0" xfId="0">
      <alignment horizontal="center" vertical="center"/>
    </xf>
    <xf numFmtId="168" fontId="20" fillId="2" borderId="3" applyAlignment="1" pivotButton="0" quotePrefix="0" xfId="0">
      <alignment horizontal="center" vertical="center"/>
    </xf>
    <xf numFmtId="168" fontId="20" fillId="2" borderId="3" applyAlignment="1" pivotButton="0" quotePrefix="0" xfId="0">
      <alignment vertical="center"/>
    </xf>
    <xf numFmtId="167" fontId="20" fillId="2" borderId="3" applyAlignment="1" pivotButton="0" quotePrefix="0" xfId="0">
      <alignment horizontal="center" vertical="center"/>
    </xf>
    <xf numFmtId="167" fontId="20" fillId="4" borderId="3" applyAlignment="1" pivotButton="0" quotePrefix="0" xfId="0">
      <alignment horizontal="center" vertical="center"/>
    </xf>
    <xf numFmtId="3" fontId="32" fillId="7" borderId="3" applyAlignment="1" pivotButton="0" quotePrefix="0" xfId="0">
      <alignment horizontal="center" vertical="center"/>
    </xf>
    <xf numFmtId="167" fontId="20" fillId="4" borderId="4" applyAlignment="1" pivotButton="0" quotePrefix="0" xfId="0">
      <alignment horizontal="center" vertical="center"/>
    </xf>
    <xf numFmtId="168" fontId="20" fillId="2" borderId="4" applyAlignment="1" pivotButton="0" quotePrefix="0" xfId="0">
      <alignment horizontal="center" vertical="center"/>
    </xf>
    <xf numFmtId="168" fontId="20" fillId="2" borderId="4" applyAlignment="1" pivotButton="0" quotePrefix="0" xfId="0">
      <alignment vertical="center"/>
    </xf>
    <xf numFmtId="167" fontId="20" fillId="2" borderId="4" applyAlignment="1" pivotButton="0" quotePrefix="0" xfId="0">
      <alignment horizontal="center" vertical="center"/>
    </xf>
    <xf numFmtId="165" fontId="21" fillId="0" borderId="0" applyAlignment="1" pivotButton="0" quotePrefix="0" xfId="0">
      <alignment horizontal="left" indent="1"/>
    </xf>
    <xf numFmtId="167" fontId="32" fillId="7" borderId="17" applyAlignment="1" pivotButton="0" quotePrefix="0" xfId="0">
      <alignment horizontal="center" vertical="center"/>
    </xf>
    <xf numFmtId="168" fontId="32" fillId="3" borderId="17" applyAlignment="1" pivotButton="0" quotePrefix="0" xfId="0">
      <alignment vertical="center"/>
    </xf>
    <xf numFmtId="169" fontId="20" fillId="2" borderId="17" applyAlignment="1" pivotButton="0" quotePrefix="0" xfId="0">
      <alignment vertical="center"/>
    </xf>
    <xf numFmtId="167" fontId="32" fillId="7" borderId="3" applyAlignment="1" pivotButton="0" quotePrefix="0" xfId="0">
      <alignment horizontal="center" vertical="center"/>
    </xf>
    <xf numFmtId="168" fontId="32" fillId="3" borderId="3" applyAlignment="1" pivotButton="0" quotePrefix="0" xfId="0">
      <alignment vertical="center"/>
    </xf>
    <xf numFmtId="169" fontId="20" fillId="2" borderId="3" applyAlignment="1" pivotButton="0" quotePrefix="0" xfId="0">
      <alignment vertical="center"/>
    </xf>
    <xf numFmtId="168" fontId="32" fillId="7" borderId="3" applyAlignment="1" pivotButton="0" quotePrefix="0" xfId="0">
      <alignment vertical="center"/>
    </xf>
    <xf numFmtId="167" fontId="32" fillId="3" borderId="3" applyAlignment="1" pivotButton="0" quotePrefix="0" xfId="0">
      <alignment horizontal="center" vertical="center"/>
    </xf>
    <xf numFmtId="167" fontId="32" fillId="3" borderId="4" applyAlignment="1" pivotButton="0" quotePrefix="0" xfId="0">
      <alignment horizontal="center" vertical="center"/>
    </xf>
    <xf numFmtId="168" fontId="32" fillId="3" borderId="4" applyAlignment="1" pivotButton="0" quotePrefix="0" xfId="0">
      <alignment vertical="center"/>
    </xf>
    <xf numFmtId="169" fontId="20" fillId="2" borderId="4" applyAlignment="1" pivotButton="0" quotePrefix="0" xfId="0">
      <alignment vertical="center"/>
    </xf>
    <xf numFmtId="167" fontId="33" fillId="3" borderId="3" applyAlignment="1" pivotButton="0" quotePrefix="0" xfId="0">
      <alignment horizontal="center" vertical="center"/>
    </xf>
    <xf numFmtId="0" fontId="0" fillId="0" borderId="3" pivotButton="0" quotePrefix="0" xfId="0"/>
    <xf numFmtId="168" fontId="34" fillId="4" borderId="3" applyAlignment="1" pivotButton="0" quotePrefix="0" xfId="0">
      <alignment horizontal="center" vertical="center"/>
    </xf>
    <xf numFmtId="170" fontId="34" fillId="4" borderId="3" applyAlignment="1" pivotButton="0" quotePrefix="0" xfId="0">
      <alignment horizontal="center" vertical="center"/>
    </xf>
    <xf numFmtId="170" fontId="20" fillId="2" borderId="17" applyAlignment="1" pivotButton="0" quotePrefix="0" xfId="0">
      <alignment horizontal="center" vertical="center"/>
    </xf>
    <xf numFmtId="168" fontId="38" fillId="6" borderId="3" applyAlignment="1" pivotButton="0" quotePrefix="0" xfId="0">
      <alignment vertical="center"/>
    </xf>
    <xf numFmtId="167" fontId="20" fillId="6" borderId="17" applyAlignment="1" pivotButton="0" quotePrefix="0" xfId="0">
      <alignment horizontal="center" vertical="center"/>
    </xf>
    <xf numFmtId="168" fontId="20" fillId="6" borderId="17" applyAlignment="1" pivotButton="0" quotePrefix="0" xfId="0">
      <alignment vertical="center"/>
    </xf>
    <xf numFmtId="170" fontId="20" fillId="2" borderId="3" applyAlignment="1" pivotButton="0" quotePrefix="0" xfId="0">
      <alignment horizontal="center" vertical="center"/>
    </xf>
    <xf numFmtId="167" fontId="20" fillId="6" borderId="3" applyAlignment="1" pivotButton="0" quotePrefix="0" xfId="0">
      <alignment horizontal="center" vertical="center"/>
    </xf>
    <xf numFmtId="168" fontId="20" fillId="6" borderId="3" applyAlignment="1" pivotButton="0" quotePrefix="0" xfId="0">
      <alignment vertical="center"/>
    </xf>
    <xf numFmtId="168" fontId="22" fillId="4" borderId="3" applyAlignment="1" pivotButton="0" quotePrefix="0" xfId="0">
      <alignment vertical="center"/>
    </xf>
    <xf numFmtId="169" fontId="22" fillId="4" borderId="3" applyAlignment="1" pivotButton="0" quotePrefix="0" xfId="0">
      <alignment vertical="center"/>
    </xf>
    <xf numFmtId="0" fontId="20" fillId="0" borderId="1" pivotButton="0" quotePrefix="0" xfId="0"/>
    <xf numFmtId="168" fontId="22" fillId="0" borderId="3" pivotButton="0" quotePrefix="0" xfId="0"/>
    <xf numFmtId="167" fontId="20" fillId="0" borderId="0" pivotButton="0" quotePrefix="0" xfId="0"/>
    <xf numFmtId="168" fontId="20" fillId="2" borderId="3" pivotButton="0" quotePrefix="0" xfId="0"/>
    <xf numFmtId="170" fontId="20" fillId="2" borderId="3" pivotButton="0" quotePrefix="0" xfId="0"/>
    <xf numFmtId="169" fontId="20" fillId="2" borderId="3" pivotButton="0" quotePrefix="0" xfId="0"/>
    <xf numFmtId="169" fontId="22" fillId="2" borderId="3" pivotButton="0" quotePrefix="0" xfId="0"/>
    <xf numFmtId="168" fontId="40" fillId="6" borderId="3" pivotButton="0" quotePrefix="0" xfId="0"/>
    <xf numFmtId="167" fontId="20" fillId="0" borderId="17" pivotButton="0" quotePrefix="0" xfId="0"/>
    <xf numFmtId="168" fontId="20" fillId="0" borderId="17" pivotButton="0" quotePrefix="0" xfId="0"/>
    <xf numFmtId="0" fontId="0" fillId="0" borderId="17" pivotButton="0" quotePrefix="0" xfId="0"/>
    <xf numFmtId="167" fontId="20" fillId="0" borderId="3" pivotButton="0" quotePrefix="0" xfId="0"/>
    <xf numFmtId="168" fontId="20" fillId="0" borderId="3" pivotButton="0" quotePrefix="0" xfId="0"/>
    <xf numFmtId="169" fontId="22" fillId="2" borderId="17" applyAlignment="1" pivotButton="0" quotePrefix="0" xfId="0">
      <alignment vertical="center"/>
    </xf>
    <xf numFmtId="169" fontId="22" fillId="2" borderId="3" applyAlignment="1" pivotButton="0" quotePrefix="0" xfId="0">
      <alignment vertical="center"/>
    </xf>
    <xf numFmtId="167" fontId="20" fillId="0" borderId="4" applyAlignment="1" pivotButton="0" quotePrefix="0" xfId="0">
      <alignment horizontal="center" vertical="center"/>
    </xf>
    <xf numFmtId="169" fontId="22" fillId="2" borderId="4" applyAlignment="1" pivotButton="0" quotePrefix="0" xfId="0">
      <alignment vertical="center"/>
    </xf>
    <xf numFmtId="167" fontId="32" fillId="3" borderId="17" applyAlignment="1" pivotButton="0" quotePrefix="0" xfId="0">
      <alignment horizontal="center" vertical="center"/>
    </xf>
    <xf numFmtId="170" fontId="32" fillId="3" borderId="3" applyAlignment="1" pivotButton="0" quotePrefix="0" xfId="0">
      <alignment horizontal="center" vertical="center"/>
    </xf>
    <xf numFmtId="168" fontId="32" fillId="3" borderId="17" applyAlignment="1" pivotButton="0" quotePrefix="0" xfId="0">
      <alignment horizontal="center" vertical="center"/>
    </xf>
    <xf numFmtId="168" fontId="32" fillId="3" borderId="3" applyAlignment="1" pivotButton="0" quotePrefix="0" xfId="0">
      <alignment horizontal="center" vertical="center"/>
    </xf>
    <xf numFmtId="168" fontId="32" fillId="3" borderId="4" applyAlignment="1" pivotButton="0" quotePrefix="0" xfId="0">
      <alignment horizontal="center" vertical="center"/>
    </xf>
    <xf numFmtId="167" fontId="22" fillId="0" borderId="17" applyAlignment="1" pivotButton="0" quotePrefix="0" xfId="0">
      <alignment horizontal="center" vertical="center"/>
    </xf>
    <xf numFmtId="167" fontId="22" fillId="0" borderId="3" applyAlignment="1" pivotButton="0" quotePrefix="0" xfId="0">
      <alignment horizontal="center" vertical="center"/>
    </xf>
    <xf numFmtId="167" fontId="22" fillId="0" borderId="4" applyAlignment="1" pivotButton="0" quotePrefix="0" xfId="0">
      <alignment horizontal="center" vertical="center"/>
    </xf>
    <xf numFmtId="170" fontId="20" fillId="2" borderId="4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24">
    <dxf>
      <font>
        <color rgb="FF15803D"/>
      </font>
      <fill>
        <patternFill patternType="solid">
          <fgColor indexed="64"/>
          <bgColor rgb="FFDCFCE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15803D"/>
      </font>
      <fill>
        <patternFill patternType="solid">
          <fgColor indexed="64"/>
          <bgColor rgb="FFDCFCE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b val="1"/>
        <color rgb="FF15803D"/>
      </font>
      <fill>
        <patternFill patternType="solid">
          <fgColor indexed="64"/>
          <bgColor rgb="FFDCFCE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15803D"/>
      </font>
      <fill>
        <patternFill patternType="solid">
          <fgColor indexed="64"/>
          <bgColor rgb="FFDCFCE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b val="1"/>
        <color rgb="FF15803D"/>
      </font>
      <fill>
        <patternFill patternType="solid">
          <fgColor indexed="64"/>
          <bgColor rgb="FFDCFCE7"/>
        </patternFill>
      </fill>
    </dxf>
    <dxf>
      <font>
        <color rgb="FF64748B"/>
      </font>
      <fill>
        <patternFill patternType="solid">
          <fgColor indexed="64"/>
          <bgColor rgb="FFF1F5F9"/>
        </patternFill>
      </fill>
    </dxf>
    <dxf>
      <font>
        <color rgb="FF15803D"/>
      </font>
      <fill>
        <patternFill patternType="solid">
          <fgColor indexed="64"/>
          <bgColor rgb="FFDCFCE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4338CA"/>
      </font>
      <fill>
        <patternFill patternType="solid">
          <fgColor indexed="64"/>
          <bgColor rgb="FFEEF2FF"/>
        </patternFill>
      </fill>
    </dxf>
    <dxf>
      <font>
        <color rgb="FFB45309"/>
      </font>
      <fill>
        <patternFill patternType="solid">
          <fgColor indexed="64"/>
          <bgColor rgb="FFFEF3C7"/>
        </patternFill>
      </fill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16A34A"/>
      </font>
    </dxf>
    <dxf>
      <border>
        <bottom style="thin">
          <color rgb="FFE2E8F0"/>
        </bottom>
      </border>
    </dxf>
    <dxf>
      <font>
        <color rgb="FFB91C1C"/>
      </font>
      <fill>
        <patternFill patternType="solid">
          <fgColor indexed="64"/>
          <bgColor rgb="FFFEE2E2"/>
        </patternFill>
      </fill>
    </dxf>
    <dxf>
      <font>
        <color rgb="FF15803D"/>
      </font>
      <fill>
        <patternFill patternType="solid">
          <fgColor indexed="64"/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Donabay import</author>
  </authors>
  <commentList>
    <comment ref="C32" authorId="0" shapeId="0">
      <text>
        <t>Entered before 25 Sep had happened (it was on the sheet by 23 Sep). If this is a plan or a test, clear the row - it is already counted in this week's pay. Then clear the colour.</t>
      </text>
    </comment>
    <comment ref="C33" authorId="0" shapeId="0">
      <text>
        <t>Entered before 26 Sep had happened (it was on the sheet by 23 Sep). If this is a plan or a test, clear the row - it is already counted in this week's pay. Then clear the colour.</t>
      </text>
    </comment>
  </commentList>
</comments>
</file>

<file path=xl/comments/comment2.xml><?xml version="1.0" encoding="utf-8"?>
<comments xmlns="http://schemas.openxmlformats.org/spreadsheetml/2006/main">
  <authors>
    <author>Donabay import</author>
  </authors>
  <commentList>
    <comment ref="B7" authorId="0" shapeId="0">
      <text>
        <t>Date not in the old sheet: the Avans was given sometime during 4-9 Sep. Only changes which week's statement shows it - balances are the same. Put the real date if you know it, then clear the colour.</t>
      </text>
    </comment>
    <comment ref="B8" authorId="0" shapeId="0">
      <text>
        <t>Date not in the old sheet: the Avans was given sometime during 4-9 Sep. Only changes which week's statement shows it - balances are the same. Put the real date if you know it, then clear the colour.</t>
      </text>
    </comment>
    <comment ref="B9" authorId="0" shapeId="0">
      <text>
        <t>Date not in the old sheet: the Avans was given sometime during 4-9 Sep. Only changes which week's statement shows it - balances are the same. Put the real date if you know it, then clear the colour.</t>
      </text>
    </comment>
    <comment ref="B10" authorId="0" shapeId="0">
      <text>
        <t>Date not in the old sheet: the Avans was given sometime during 4-9 Sep. Only changes which week's statement shows it - balances are the same. Put the real date if you know it, then clear the colour.</t>
      </text>
    </comment>
    <comment ref="B11" authorId="0" shapeId="0">
      <text>
        <t>Payday date not in the old sheet (its block is headed 9/4, the first day). Put the real date, then clear the colour.</t>
      </text>
    </comment>
    <comment ref="B12" authorId="0" shapeId="0">
      <text>
        <t>Payday date not in the old sheet (its block is headed 9/4, the first day). Put the real date, then clear the colour.</t>
      </text>
    </comment>
    <comment ref="E12" authorId="0" shapeId="0">
      <text>
        <t>Old sheet: Avans 200,000 + Berdim 1,247,000, yet Qoldi 0. That only adds up if this 1,247,000 already INCLUDED the 200,000 advance - then change it to 1,047,000. As written, he got 200,000 more than he earned and now owes it.</t>
      </text>
    </comment>
    <comment ref="B13" authorId="0" shapeId="0">
      <text>
        <t>Payday date not in the old sheet (its block is headed 9/4, the first day). Put the real date, then clear the colour.</t>
      </text>
    </comment>
    <comment ref="E13" authorId="0" shapeId="0">
      <text>
        <t>Old sheet: Avans 200,000 + Berdim 1,247,000, yet Qoldi 0. That only adds up if this 1,247,000 already INCLUDED the 200,000 advance - then change it to 1,047,000. As written, he got 200,000 more than he earned and now owes it.</t>
      </text>
    </comment>
    <comment ref="B14" authorId="0" shapeId="0">
      <text>
        <t>Payday date not in the old sheet (its block is headed 9/4, the first day). Put the real date, then clear the colour.</t>
      </text>
    </comment>
    <comment ref="B15" authorId="0" shapeId="0">
      <text>
        <t>Date not in the old sheet: given sometime during 14-18 Sep. Put the real date if you know it, then clear the colour.</t>
      </text>
    </comment>
    <comment ref="E17" authorId="0" shapeId="0">
      <text>
        <t>Old sheet: no advance, Berdim 848,000, Qoldi 0 - but he earned 1,148,000 that week. 300,000 is unaccounted for: an advance missing from the old sheet (add it as an Advance row), or a different amount paid? As written, you still owe him about 300,000.</t>
      </text>
    </comment>
    <comment ref="E19" authorId="0" shapeId="0">
      <text>
        <t>Old sheet: Qoldi 0 - but his numbers are the same as Oybek's (owed 500,000 from 4-9 Sep, earned 1,148,000, got 1,000,000), and Oybek's Qoldi is 352. As written he still owes about 352,000. Was the 500,000 settled some other way, or is his Qoldi wrong?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Donabay import</author>
  </authors>
  <commentList>
    <comment ref="B6" authorId="0" shapeId="0">
      <text>
        <t>Placeholder names - type the real ones over them. Everything else in the workbook follows the ID, so renaming here updates every sheet.</t>
      </text>
    </comment>
    <comment ref="D6" authorId="1" shapeId="0">
      <text>
        <t>All four were working by 4 Sep, before this date. Type each person's real start date, then clear the colour.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3" authorId="0" shapeId="0">
      <text>
        <t>Type YOUR rate next to this date. To change the rate later, add a new row below with the date the new rate starts - never overwrite an old row, or past weeks get recalculated at the new rate. Keep the dates in order, oldest first.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CEB8152-9592-45B2-8288-FF08832C3267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kH_u8wPaCNZH8bfkz8oq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A014AF1-D860-49DC-B74E-F63D37EB5B4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f7a3393d-b7cb-4951-9e6e-b763a872b88a&quot;"/>
  </we:properties>
  <we:bindings/>
  <we:snapshot xmlns:r="http://schemas.openxmlformats.org/officeDocument/2006/relationships"/>
</we:webextension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AA59"/>
  <sheetViews>
    <sheetView showGridLines="0" workbookViewId="0">
      <selection activeCell="E1" sqref="E1:F1"/>
    </sheetView>
  </sheetViews>
  <sheetFormatPr baseColWidth="8" defaultRowHeight="15"/>
  <cols>
    <col width="3" customWidth="1" min="1" max="1"/>
    <col width="16.42578125" customWidth="1" min="2" max="3"/>
    <col width="2.7109375" customWidth="1" min="4" max="4"/>
    <col width="16.42578125" customWidth="1" min="5" max="6"/>
    <col width="2.7109375" customWidth="1" min="7" max="7"/>
    <col width="16.42578125" customWidth="1" min="8" max="9"/>
    <col width="2.7109375" customWidth="1" min="10" max="10"/>
    <col width="16.42578125" customWidth="1" min="11" max="12"/>
    <col width="2.7109375" customWidth="1" min="13" max="13"/>
    <col width="16.42578125" customWidth="1" min="14" max="15"/>
    <col width="2.7109375" customWidth="1" min="16" max="16"/>
    <col width="16.42578125" customWidth="1" min="17" max="18"/>
    <col width="3" customWidth="1" min="19" max="19"/>
    <col hidden="1" outlineLevel="1" min="20" max="20"/>
    <col collapsed="1" width="9.140625" customWidth="1" min="21" max="21"/>
  </cols>
  <sheetData>
    <row r="1" ht="30" customFormat="1" customHeight="1" s="1" thickBot="1">
      <c r="A1" s="203" t="inlineStr">
        <is>
          <t>◆ Donabay</t>
        </is>
      </c>
      <c r="B1" s="229" t="n"/>
      <c r="C1" s="204" t="inlineStr">
        <is>
          <t>Home</t>
        </is>
      </c>
      <c r="D1" s="230" t="n"/>
      <c r="E1" s="223" t="inlineStr">
        <is>
          <t>Daily Log</t>
        </is>
      </c>
      <c r="F1" s="229" t="n"/>
      <c r="G1" s="223" t="inlineStr">
        <is>
          <t>Cash Ledger</t>
        </is>
      </c>
      <c r="H1" s="229" t="n"/>
      <c r="I1" s="229" t="n"/>
      <c r="J1" s="223" t="inlineStr">
        <is>
          <t>Weekly Pay</t>
        </is>
      </c>
      <c r="K1" s="229" t="n"/>
      <c r="L1" s="229" t="n"/>
      <c r="M1" s="223" t="inlineStr">
        <is>
          <t>Payslip</t>
        </is>
      </c>
      <c r="N1" s="229" t="n"/>
      <c r="O1" s="223" t="inlineStr">
        <is>
          <t>Workers</t>
        </is>
      </c>
      <c r="P1" s="229" t="n"/>
      <c r="Q1" s="223" t="inlineStr">
        <is>
          <t>Settings</t>
        </is>
      </c>
      <c r="R1" s="229" t="n"/>
      <c r="S1" s="223" t="inlineStr">
        <is>
          <t>Guide</t>
        </is>
      </c>
      <c r="T1" s="229" t="n"/>
      <c r="U1" s="2" t="inlineStr">
        <is>
          <t>·</t>
        </is>
      </c>
      <c r="V1" s="201" t="inlineStr">
        <is>
          <t>History</t>
        </is>
      </c>
      <c r="W1" s="229" t="n"/>
      <c r="X1" s="201" t="inlineStr">
        <is>
          <t>Weeks</t>
        </is>
      </c>
      <c r="Y1" s="229" t="n"/>
      <c r="Z1" s="201" t="inlineStr">
        <is>
          <t>Checks</t>
        </is>
      </c>
      <c r="AA1" s="229" t="n"/>
    </row>
    <row r="2" ht="17.25" customHeight="1" thickTop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t="inlineStr">
        <is>
          <t>row</t>
        </is>
      </c>
    </row>
    <row r="3" ht="33.95" customHeight="1">
      <c r="A3" s="3" t="n"/>
      <c r="B3" s="4" t="inlineStr">
        <is>
          <t>Dashboard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5" t="inlineStr">
        <is>
          <t>Week of</t>
        </is>
      </c>
      <c r="R3" s="231">
        <f>TODAY()-WEEKDAY(TODAY(),2)+1</f>
        <v/>
      </c>
      <c r="S3" s="3" t="n"/>
      <c r="T3">
        <f>IFERROR(MATCH($R$3,Weeks!$A$7:$A$59,0),0)</f>
        <v/>
      </c>
    </row>
    <row r="4" ht="16.5" customHeight="1">
      <c r="A4" s="3" t="n"/>
      <c r="B4" s="7">
        <f>"This week · "&amp;TEXT($R$3,"d mmm")&amp;" – "&amp;TEXT($R$3+6,"d mmm yyyy")&amp;" · updates automatically every Monday"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</row>
    <row r="5" ht="17.25" customHeight="1" thickBot="1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</row>
    <row r="6" ht="24" customHeight="1" thickTop="1">
      <c r="A6" s="3" t="n"/>
      <c r="B6" s="232" t="inlineStr">
        <is>
          <t>GOOD BLOCKS</t>
        </is>
      </c>
      <c r="C6" s="233" t="n"/>
      <c r="D6" s="3" t="n"/>
      <c r="E6" s="232" t="inlineStr">
        <is>
          <t>CREW EARNED (SO'M)</t>
        </is>
      </c>
      <c r="F6" s="233" t="n"/>
      <c r="G6" s="3" t="n"/>
      <c r="H6" s="232" t="inlineStr">
        <is>
          <t>CREW-DAYS</t>
        </is>
      </c>
      <c r="I6" s="233" t="n"/>
      <c r="J6" s="3" t="n"/>
      <c r="K6" s="232" t="inlineStr">
        <is>
          <t>REJECT RATE</t>
        </is>
      </c>
      <c r="L6" s="233" t="n"/>
      <c r="M6" s="3" t="n"/>
      <c r="N6" s="232" t="inlineStr">
        <is>
          <t>ADVANCES THIS WEEK</t>
        </is>
      </c>
      <c r="O6" s="233" t="n"/>
      <c r="P6" s="3" t="n"/>
      <c r="Q6" s="232" t="inlineStr">
        <is>
          <t>OWED TO CREW NOW</t>
        </is>
      </c>
      <c r="R6" s="233" t="n"/>
      <c r="S6" s="3" t="n"/>
    </row>
    <row r="7" ht="32.1" customHeight="1">
      <c r="A7" s="3" t="n"/>
      <c r="B7" s="234">
        <f t="array" ref="B7">IF($T$3=0,0,INDEX(Weeks!$E$7:$E$59,$T$3))</f>
        <v/>
      </c>
      <c r="C7" s="235" t="n"/>
      <c r="D7" s="3" t="n"/>
      <c r="E7" s="234">
        <f t="array" ref="E7">IF($T$3=0,0,INDEX(Weeks!$G$7:$G$59,$T$3))</f>
        <v/>
      </c>
      <c r="F7" s="235" t="n"/>
      <c r="G7" s="3" t="n"/>
      <c r="H7" s="236">
        <f t="array" ref="H7">IF($T$3=0,0,INDEX(Weeks!$H$7:$H$59,$T$3))</f>
        <v/>
      </c>
      <c r="I7" s="235" t="n"/>
      <c r="J7" s="3" t="n"/>
      <c r="K7" s="237">
        <f t="array" ref="K7">IF($T$3=0,"",INDEX(Weeks!$I$7:$I$59,$T$3))</f>
        <v/>
      </c>
      <c r="L7" s="235" t="n"/>
      <c r="M7" s="3" t="n"/>
      <c r="N7" s="234">
        <f>SUMIFS('Cash Ledger'!$E$7:$E$1006,'Cash Ledger'!$D$7:$D$1006,"Advance",'Cash Ledger'!$B$7:$B$1006,"&gt;="&amp;$R$3,'Cash Ledger'!$B$7:$B$1006,"&lt;="&amp;($R$3+6))</f>
        <v/>
      </c>
      <c r="O7" s="235" t="n"/>
      <c r="P7" s="3" t="n"/>
      <c r="Q7" s="234">
        <f>SUMIF($O$30:$O$41,"&gt;0")</f>
        <v/>
      </c>
      <c r="R7" s="235" t="n"/>
      <c r="S7" s="3" t="n"/>
    </row>
    <row r="8" ht="20.1" customHeight="1">
      <c r="A8" s="3" t="n"/>
      <c r="B8" s="238">
        <f t="array" ref="B8">"of "&amp;TEXT(IF($T$3=0,0,INDEX(Weeks!$C$7:$C$59,$T$3)),"#,##0")&amp;" moulded"</f>
        <v/>
      </c>
      <c r="C8" s="239" t="n"/>
      <c r="D8" s="3" t="n"/>
      <c r="E8" s="238">
        <f>"the week's pot, shared by days"</f>
        <v/>
      </c>
      <c r="F8" s="239" t="n"/>
      <c r="G8" s="3" t="n"/>
      <c r="H8" s="238">
        <f>IF(N(H7)=0,"no days logged yet",TEXT(B7/H7,"#,##0")&amp;" good blocks per crew-day")</f>
        <v/>
      </c>
      <c r="I8" s="239" t="n"/>
      <c r="J8" s="3" t="n"/>
      <c r="K8" s="238">
        <f>IF(N(K7)=0,"no production yet",IF(K7&gt;RejectAlarm,"⚠ above the "&amp;TEXT(RejectAlarm,"0%")&amp;" alarm","normal · alarm at "&amp;TEXT(RejectAlarm,"0%")))</f>
        <v/>
      </c>
      <c r="L8" s="239" t="n"/>
      <c r="M8" s="3" t="n"/>
      <c r="N8" s="238">
        <f>COUNTIFS('Cash Ledger'!$D$7:$D$1006,"Advance",'Cash Ledger'!$B$7:$B$1006,"&gt;="&amp;$R$3,'Cash Ledger'!$B$7:$B$1006,"&lt;="&amp;($R$3+6))&amp;" advance(s) given"</f>
        <v/>
      </c>
      <c r="O8" s="239" t="n"/>
      <c r="P8" s="3" t="n"/>
      <c r="Q8" s="238">
        <f>"earned so far minus cash given"</f>
        <v/>
      </c>
      <c r="R8" s="239" t="n"/>
      <c r="S8" s="3" t="n"/>
    </row>
    <row r="9" ht="16.5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</row>
    <row r="10" ht="20.1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</row>
    <row r="11" ht="26.1" customHeight="1">
      <c r="A11" s="3" t="n"/>
      <c r="B11" s="8" t="inlineStr">
        <is>
          <t>Workbook health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inlineStr">
        <is>
          <t>Quick actions</t>
        </is>
      </c>
      <c r="L11" s="8" t="n"/>
      <c r="M11" s="8" t="n"/>
      <c r="N11" s="8" t="n"/>
      <c r="O11" s="8" t="n"/>
      <c r="P11" s="8" t="n"/>
      <c r="Q11" s="8" t="n"/>
      <c r="R11" s="8" t="n"/>
      <c r="S11" s="3" t="n"/>
    </row>
    <row r="12" ht="26.1" customHeight="1">
      <c r="A12" s="3" t="n"/>
      <c r="B12" s="190">
        <f>Checks!C5</f>
        <v/>
      </c>
      <c r="J12" s="3" t="n"/>
      <c r="K12" s="186" t="inlineStr">
        <is>
          <t>›  Log today's production</t>
        </is>
      </c>
      <c r="L12" s="240" t="n"/>
      <c r="M12" s="240" t="n"/>
      <c r="N12" s="240" t="n"/>
      <c r="O12" s="241" t="inlineStr">
        <is>
          <t>Blocks moulded, broken, who came</t>
        </is>
      </c>
      <c r="P12" s="240" t="n"/>
      <c r="Q12" s="240" t="n"/>
      <c r="R12" s="242" t="n"/>
      <c r="S12" s="3" t="n"/>
    </row>
    <row r="13" ht="26.1" customHeight="1">
      <c r="A13" s="3" t="n"/>
      <c r="B13" s="20">
        <f>Checks!B8</f>
        <v/>
      </c>
      <c r="C13" s="21" t="n"/>
      <c r="D13" s="21" t="n"/>
      <c r="E13" s="21" t="n"/>
      <c r="F13" s="21" t="n"/>
      <c r="G13" s="21" t="n"/>
      <c r="H13" s="21" t="n"/>
      <c r="I13" s="22">
        <f>IF(Checks!C8="OK","✓ OK",Checks!C8)</f>
        <v/>
      </c>
      <c r="J13" s="3" t="n"/>
      <c r="K13" s="186" t="inlineStr">
        <is>
          <t>›  Record an advance</t>
        </is>
      </c>
      <c r="L13" s="240" t="n"/>
      <c r="M13" s="240" t="n"/>
      <c r="N13" s="240" t="n"/>
      <c r="O13" s="241" t="inlineStr">
        <is>
          <t>Date, worker, 'Advance', amount</t>
        </is>
      </c>
      <c r="P13" s="240" t="n"/>
      <c r="Q13" s="240" t="n"/>
      <c r="R13" s="242" t="n"/>
      <c r="S13" s="3" t="n"/>
    </row>
    <row r="14" ht="26.1" customHeight="1">
      <c r="A14" s="3" t="n"/>
      <c r="B14" s="23">
        <f>Checks!B9</f>
        <v/>
      </c>
      <c r="C14" s="24" t="n"/>
      <c r="D14" s="24" t="n"/>
      <c r="E14" s="24" t="n"/>
      <c r="F14" s="24" t="n"/>
      <c r="G14" s="24" t="n"/>
      <c r="H14" s="24" t="n"/>
      <c r="I14" s="25">
        <f>IF(Checks!C9="OK","✓ OK",Checks!C9)</f>
        <v/>
      </c>
      <c r="J14" s="3" t="n"/>
      <c r="K14" s="186" t="inlineStr">
        <is>
          <t>›  Run payday</t>
        </is>
      </c>
      <c r="L14" s="240" t="n"/>
      <c r="M14" s="240" t="n"/>
      <c r="N14" s="240" t="n"/>
      <c r="O14" s="241" t="inlineStr">
        <is>
          <t>Pay the TO PAY column, copy the list</t>
        </is>
      </c>
      <c r="P14" s="240" t="n"/>
      <c r="Q14" s="240" t="n"/>
      <c r="R14" s="242" t="n"/>
      <c r="S14" s="3" t="n"/>
    </row>
    <row r="15" ht="26.1" customHeight="1">
      <c r="A15" s="3" t="n"/>
      <c r="B15" s="23">
        <f>Checks!B10</f>
        <v/>
      </c>
      <c r="C15" s="24" t="n"/>
      <c r="D15" s="24" t="n"/>
      <c r="E15" s="24" t="n"/>
      <c r="F15" s="24" t="n"/>
      <c r="G15" s="24" t="n"/>
      <c r="H15" s="24" t="n"/>
      <c r="I15" s="25">
        <f>IF(Checks!C10="OK","✓ OK",Checks!C10)</f>
        <v/>
      </c>
      <c r="J15" s="3" t="n"/>
      <c r="K15" s="186" t="inlineStr">
        <is>
          <t>›  Print a payslip</t>
        </is>
      </c>
      <c r="L15" s="240" t="n"/>
      <c r="M15" s="240" t="n"/>
      <c r="N15" s="240" t="n"/>
      <c r="O15" s="241" t="inlineStr">
        <is>
          <t>Pick week + worker, print, sign</t>
        </is>
      </c>
      <c r="P15" s="240" t="n"/>
      <c r="Q15" s="240" t="n"/>
      <c r="R15" s="242" t="n"/>
      <c r="S15" s="3" t="n"/>
    </row>
    <row r="16" ht="26.1" customHeight="1">
      <c r="A16" s="3" t="n"/>
      <c r="B16" s="23">
        <f>Checks!B11</f>
        <v/>
      </c>
      <c r="C16" s="24" t="n"/>
      <c r="D16" s="24" t="n"/>
      <c r="E16" s="24" t="n"/>
      <c r="F16" s="24" t="n"/>
      <c r="G16" s="24" t="n"/>
      <c r="H16" s="24" t="n"/>
      <c r="I16" s="25">
        <f>IF(Checks!C11="OK","✓ OK",Checks!C11)</f>
        <v/>
      </c>
      <c r="J16" s="3" t="n"/>
      <c r="K16" s="186" t="inlineStr">
        <is>
          <t>›  See one worker's history</t>
        </is>
      </c>
      <c r="L16" s="240" t="n"/>
      <c r="M16" s="240" t="n"/>
      <c r="N16" s="240" t="n"/>
      <c r="O16" s="241" t="inlineStr">
        <is>
          <t>Week-by-week earnings and cash</t>
        </is>
      </c>
      <c r="P16" s="240" t="n"/>
      <c r="Q16" s="240" t="n"/>
      <c r="R16" s="242" t="n"/>
      <c r="S16" s="3" t="n"/>
    </row>
    <row r="17" ht="26.1" customHeight="1">
      <c r="A17" s="3" t="n"/>
      <c r="B17" s="23">
        <f>Checks!B12</f>
        <v/>
      </c>
      <c r="C17" s="24" t="n"/>
      <c r="D17" s="24" t="n"/>
      <c r="E17" s="24" t="n"/>
      <c r="F17" s="24" t="n"/>
      <c r="G17" s="24" t="n"/>
      <c r="H17" s="24" t="n"/>
      <c r="I17" s="25">
        <f>IF(Checks!C12="OK","✓ OK",Checks!C12)</f>
        <v/>
      </c>
      <c r="J17" s="3" t="n"/>
      <c r="K17" s="186" t="inlineStr">
        <is>
          <t>›  Add or remove a worker</t>
        </is>
      </c>
      <c r="L17" s="240" t="n"/>
      <c r="M17" s="240" t="n"/>
      <c r="N17" s="240" t="n"/>
      <c r="O17" s="241" t="inlineStr">
        <is>
          <t>Fill a slot, or set status to Left</t>
        </is>
      </c>
      <c r="P17" s="240" t="n"/>
      <c r="Q17" s="240" t="n"/>
      <c r="R17" s="242" t="n"/>
      <c r="S17" s="3" t="n"/>
    </row>
    <row r="18" ht="26.1" customHeight="1">
      <c r="A18" s="3" t="n"/>
      <c r="B18" s="23">
        <f>Checks!B13</f>
        <v/>
      </c>
      <c r="C18" s="24" t="n"/>
      <c r="D18" s="24" t="n"/>
      <c r="E18" s="24" t="n"/>
      <c r="F18" s="24" t="n"/>
      <c r="G18" s="24" t="n"/>
      <c r="H18" s="24" t="n"/>
      <c r="I18" s="25">
        <f>IF(Checks!C13="OK","✓ OK",Checks!C13)</f>
        <v/>
      </c>
      <c r="J18" s="3" t="n"/>
      <c r="K18" s="186" t="inlineStr">
        <is>
          <t>›  Change the pay rate</t>
        </is>
      </c>
      <c r="L18" s="240" t="n"/>
      <c r="M18" s="240" t="n"/>
      <c r="N18" s="240" t="n"/>
      <c r="O18" s="241" t="inlineStr">
        <is>
          <t>Add a new row with a start date</t>
        </is>
      </c>
      <c r="P18" s="240" t="n"/>
      <c r="Q18" s="240" t="n"/>
      <c r="R18" s="242" t="n"/>
      <c r="S18" s="3" t="n"/>
    </row>
    <row r="19" ht="26.1" customHeight="1">
      <c r="A19" s="3" t="n"/>
      <c r="B19" s="23">
        <f>Checks!B14</f>
        <v/>
      </c>
      <c r="C19" s="24" t="n"/>
      <c r="D19" s="24" t="n"/>
      <c r="E19" s="24" t="n"/>
      <c r="F19" s="24" t="n"/>
      <c r="G19" s="24" t="n"/>
      <c r="H19" s="24" t="n"/>
      <c r="I19" s="25">
        <f>IF(Checks!C14="OK","✓ OK",Checks!C14)</f>
        <v/>
      </c>
      <c r="J19" s="3" t="n"/>
      <c r="K19" s="186" t="inlineStr">
        <is>
          <t>›  How this works</t>
        </is>
      </c>
      <c r="L19" s="240" t="n"/>
      <c r="M19" s="240" t="n"/>
      <c r="N19" s="240" t="n"/>
      <c r="O19" s="241" t="inlineStr">
        <is>
          <t>Step-by-step instructions</t>
        </is>
      </c>
      <c r="P19" s="240" t="n"/>
      <c r="Q19" s="240" t="n"/>
      <c r="R19" s="242" t="n"/>
      <c r="S19" s="3" t="n"/>
    </row>
    <row r="20" ht="26.1" customHeight="1">
      <c r="A20" s="3" t="n"/>
      <c r="B20" s="23">
        <f>Checks!B15</f>
        <v/>
      </c>
      <c r="C20" s="24" t="n"/>
      <c r="D20" s="24" t="n"/>
      <c r="E20" s="24" t="n"/>
      <c r="F20" s="24" t="n"/>
      <c r="G20" s="24" t="n"/>
      <c r="H20" s="24" t="n"/>
      <c r="I20" s="25">
        <f>IF(Checks!C15="OK","✓ OK",Checks!C15)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</row>
    <row r="21" ht="26.1" customHeight="1">
      <c r="A21" s="3" t="n"/>
      <c r="B21" s="23">
        <f>Checks!B16</f>
        <v/>
      </c>
      <c r="C21" s="24" t="n"/>
      <c r="D21" s="24" t="n"/>
      <c r="E21" s="24" t="n"/>
      <c r="F21" s="24" t="n"/>
      <c r="G21" s="24" t="n"/>
      <c r="H21" s="24" t="n"/>
      <c r="I21" s="25">
        <f>IF(Checks!C16="OK","✓ OK",Checks!C16)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</row>
    <row r="22" ht="26.1" customHeight="1">
      <c r="A22" s="3" t="n"/>
      <c r="B22" s="26">
        <f>Checks!B19</f>
        <v/>
      </c>
      <c r="C22" s="24" t="n"/>
      <c r="D22" s="24" t="n"/>
      <c r="E22" s="24" t="n"/>
      <c r="F22" s="24" t="n"/>
      <c r="G22" s="24" t="n"/>
      <c r="H22" s="24" t="n"/>
      <c r="I22" s="25">
        <f>Checks!C19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</row>
    <row r="23" ht="26.1" customHeight="1">
      <c r="A23" s="3" t="n"/>
      <c r="B23" s="26">
        <f>Checks!B20</f>
        <v/>
      </c>
      <c r="C23" s="24" t="n"/>
      <c r="D23" s="24" t="n"/>
      <c r="E23" s="24" t="n"/>
      <c r="F23" s="24" t="n"/>
      <c r="G23" s="24" t="n"/>
      <c r="H23" s="24" t="n"/>
      <c r="I23" s="25">
        <f>Checks!C20</f>
        <v/>
      </c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</row>
    <row r="24" ht="20.1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</row>
    <row r="25" ht="20.1" customHeight="1">
      <c r="A25" s="3" t="n"/>
      <c r="B25" s="27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</row>
    <row r="26" ht="20.1" customHeight="1"/>
    <row r="27" ht="26.1" customHeight="1">
      <c r="A27" s="3" t="n"/>
      <c r="B27" s="8" t="inlineStr">
        <is>
          <t>Crew this week</t>
        </is>
      </c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</row>
    <row r="28" ht="20.1" customHeight="1">
      <c r="A28" s="3" t="n"/>
      <c r="B28" s="9">
        <f>"Owed now = everything earned up to this week, minus all cash given. Positive = you owe the worker."</f>
        <v/>
      </c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</row>
    <row r="29" ht="24" customHeight="1">
      <c r="A29" s="3" t="n"/>
      <c r="B29" s="11" t="inlineStr">
        <is>
          <t>WORKER</t>
        </is>
      </c>
      <c r="C29" s="10" t="n"/>
      <c r="D29" s="10" t="n"/>
      <c r="E29" s="10" t="n"/>
      <c r="F29" s="12" t="inlineStr">
        <is>
          <t>DAYS</t>
        </is>
      </c>
      <c r="G29" s="10" t="n"/>
      <c r="H29" s="10" t="n"/>
      <c r="I29" s="12" t="inlineStr">
        <is>
          <t>EARNED THIS WEEK</t>
        </is>
      </c>
      <c r="J29" s="10" t="n"/>
      <c r="K29" s="10" t="n"/>
      <c r="L29" s="12" t="inlineStr">
        <is>
          <t>ADVANCES THIS WEEK</t>
        </is>
      </c>
      <c r="M29" s="10" t="n"/>
      <c r="N29" s="10" t="n"/>
      <c r="O29" s="12" t="inlineStr">
        <is>
          <t>OWED NOW</t>
        </is>
      </c>
      <c r="P29" s="10" t="n"/>
      <c r="Q29" s="10" t="n"/>
      <c r="R29" s="13" t="inlineStr">
        <is>
          <t>STATUS</t>
        </is>
      </c>
      <c r="S29" s="3" t="n"/>
    </row>
    <row r="30" ht="24" customHeight="1">
      <c r="A30" s="3" t="n"/>
      <c r="B30" s="15">
        <f>IF(Workers!$B$6&lt;&gt;"",Workers!$B$6,"")</f>
        <v/>
      </c>
      <c r="C30" s="14" t="n"/>
      <c r="D30" s="14" t="n"/>
      <c r="E30" s="14" t="n"/>
      <c r="F30" s="17">
        <f t="array" ref="F30">IF($B30="","",IF($T$3=0,0,INDEX(Weeks!$L$7:$W$59,$T$3,1)))</f>
        <v/>
      </c>
      <c r="G30" s="14" t="n"/>
      <c r="H30" s="14" t="n"/>
      <c r="I30" s="243">
        <f t="array" ref="I30">IF($B30="","",IF($T$3=0,0,INDEX(Weeks!$X$7:$AI$59,$T$3,1)))</f>
        <v/>
      </c>
      <c r="J30" s="14" t="n"/>
      <c r="K30" s="14" t="n"/>
      <c r="L30" s="243">
        <f>IF($B30="","",SUMIFS('Cash Ledger'!$E$7:$E$1006,'Cash Ledger'!$I$7:$I$1006,Workers!$A$6,'Cash Ledger'!$D$7:$D$1006,"Advance",'Cash Ledger'!$B$7:$B$1006,"&gt;="&amp;$R$3,'Cash Ledger'!$B$7:$B$1006,"&lt;="&amp;($R$3+6)))</f>
        <v/>
      </c>
      <c r="M30" s="14" t="n"/>
      <c r="N30" s="14" t="n"/>
      <c r="O30" s="244">
        <f t="array" ref="O30">IF($B30="","",SUMPRODUCT((Weeks!$A$7:$A$59&lt;=$R$3)*(Weeks!$X$5:$AI$5=Workers!$A$6)*Weeks!$X$7:$AI$59)-SUMIFS('Cash Ledger'!$E$7:$E$1006,'Cash Ledger'!$I$7:$I$1006,Workers!$A$6))</f>
        <v/>
      </c>
      <c r="P30" s="14" t="n"/>
      <c r="Q30" s="14" t="n"/>
      <c r="R30" s="19">
        <f>IF($B30="","",IF(Workers!$C$6="Left","Left",IF(ROUND($O30,0)&gt;0,"To pay",IF(ROUND($O30,0)&lt;0,"Owes you","Settled"))))</f>
        <v/>
      </c>
      <c r="S30" s="3" t="n"/>
    </row>
    <row r="31" ht="24" customHeight="1">
      <c r="A31" s="3" t="n"/>
      <c r="B31" s="15">
        <f>IF(Workers!$B$7&lt;&gt;"",Workers!$B$7,"")</f>
        <v/>
      </c>
      <c r="C31" s="14" t="n"/>
      <c r="D31" s="14" t="n"/>
      <c r="E31" s="14" t="n"/>
      <c r="F31" s="17">
        <f t="array" ref="F31">IF($B31="","",IF($T$3=0,0,INDEX(Weeks!$L$7:$W$59,$T$3,2)))</f>
        <v/>
      </c>
      <c r="G31" s="14" t="n"/>
      <c r="H31" s="14" t="n"/>
      <c r="I31" s="243">
        <f t="array" ref="I31">IF($B31="","",IF($T$3=0,0,INDEX(Weeks!$X$7:$AI$59,$T$3,2)))</f>
        <v/>
      </c>
      <c r="J31" s="14" t="n"/>
      <c r="K31" s="14" t="n"/>
      <c r="L31" s="243">
        <f>IF($B31="","",SUMIFS('Cash Ledger'!$E$7:$E$1006,'Cash Ledger'!$I$7:$I$1006,Workers!$A$7,'Cash Ledger'!$D$7:$D$1006,"Advance",'Cash Ledger'!$B$7:$B$1006,"&gt;="&amp;$R$3,'Cash Ledger'!$B$7:$B$1006,"&lt;="&amp;($R$3+6)))</f>
        <v/>
      </c>
      <c r="M31" s="14" t="n"/>
      <c r="N31" s="14" t="n"/>
      <c r="O31" s="244">
        <f t="array" ref="O31">IF($B31="","",SUMPRODUCT((Weeks!$A$7:$A$59&lt;=$R$3)*(Weeks!$X$5:$AI$5=Workers!$A$7)*Weeks!$X$7:$AI$59)-SUMIFS('Cash Ledger'!$E$7:$E$1006,'Cash Ledger'!$I$7:$I$1006,Workers!$A$7))</f>
        <v/>
      </c>
      <c r="P31" s="14" t="n"/>
      <c r="Q31" s="14" t="n"/>
      <c r="R31" s="19">
        <f>IF($B31="","",IF(Workers!$C$7="Left","Left",IF(ROUND($O31,0)&gt;0,"To pay",IF(ROUND($O31,0)&lt;0,"Owes you","Settled"))))</f>
        <v/>
      </c>
      <c r="S31" s="3" t="n"/>
    </row>
    <row r="32" ht="24" customHeight="1">
      <c r="A32" s="3" t="n"/>
      <c r="B32" s="15">
        <f>IF(Workers!$B$8&lt;&gt;"",Workers!$B$8,"")</f>
        <v/>
      </c>
      <c r="C32" s="14" t="n"/>
      <c r="D32" s="14" t="n"/>
      <c r="E32" s="14" t="n"/>
      <c r="F32" s="17">
        <f t="array" ref="F32">IF($B32="","",IF($T$3=0,0,INDEX(Weeks!$L$7:$W$59,$T$3,3)))</f>
        <v/>
      </c>
      <c r="G32" s="14" t="n"/>
      <c r="H32" s="14" t="n"/>
      <c r="I32" s="243">
        <f t="array" ref="I32">IF($B32="","",IF($T$3=0,0,INDEX(Weeks!$X$7:$AI$59,$T$3,3)))</f>
        <v/>
      </c>
      <c r="J32" s="14" t="n"/>
      <c r="K32" s="14" t="n"/>
      <c r="L32" s="243">
        <f>IF($B32="","",SUMIFS('Cash Ledger'!$E$7:$E$1006,'Cash Ledger'!$I$7:$I$1006,Workers!$A$8,'Cash Ledger'!$D$7:$D$1006,"Advance",'Cash Ledger'!$B$7:$B$1006,"&gt;="&amp;$R$3,'Cash Ledger'!$B$7:$B$1006,"&lt;="&amp;($R$3+6)))</f>
        <v/>
      </c>
      <c r="M32" s="14" t="n"/>
      <c r="N32" s="14" t="n"/>
      <c r="O32" s="244">
        <f t="array" ref="O32">IF($B32="","",SUMPRODUCT((Weeks!$A$7:$A$59&lt;=$R$3)*(Weeks!$X$5:$AI$5=Workers!$A$8)*Weeks!$X$7:$AI$59)-SUMIFS('Cash Ledger'!$E$7:$E$1006,'Cash Ledger'!$I$7:$I$1006,Workers!$A$8))</f>
        <v/>
      </c>
      <c r="P32" s="14" t="n"/>
      <c r="Q32" s="14" t="n"/>
      <c r="R32" s="19">
        <f>IF($B32="","",IF(Workers!$C$8="Left","Left",IF(ROUND($O32,0)&gt;0,"To pay",IF(ROUND($O32,0)&lt;0,"Owes you","Settled"))))</f>
        <v/>
      </c>
      <c r="S32" s="3" t="n"/>
    </row>
    <row r="33" ht="24" customHeight="1">
      <c r="A33" s="3" t="n"/>
      <c r="B33" s="15">
        <f>IF(Workers!$B$9&lt;&gt;"",Workers!$B$9,"")</f>
        <v/>
      </c>
      <c r="C33" s="14" t="n"/>
      <c r="D33" s="14" t="n"/>
      <c r="E33" s="14" t="n"/>
      <c r="F33" s="17">
        <f t="array" ref="F33">IF($B33="","",IF($T$3=0,0,INDEX(Weeks!$L$7:$W$59,$T$3,4)))</f>
        <v/>
      </c>
      <c r="G33" s="14" t="n"/>
      <c r="H33" s="14" t="n"/>
      <c r="I33" s="243">
        <f t="array" ref="I33">IF($B33="","",IF($T$3=0,0,INDEX(Weeks!$X$7:$AI$59,$T$3,4)))</f>
        <v/>
      </c>
      <c r="J33" s="14" t="n"/>
      <c r="K33" s="14" t="n"/>
      <c r="L33" s="243">
        <f>IF($B33="","",SUMIFS('Cash Ledger'!$E$7:$E$1006,'Cash Ledger'!$I$7:$I$1006,Workers!$A$9,'Cash Ledger'!$D$7:$D$1006,"Advance",'Cash Ledger'!$B$7:$B$1006,"&gt;="&amp;$R$3,'Cash Ledger'!$B$7:$B$1006,"&lt;="&amp;($R$3+6)))</f>
        <v/>
      </c>
      <c r="M33" s="14" t="n"/>
      <c r="N33" s="14" t="n"/>
      <c r="O33" s="244">
        <f t="array" ref="O33">IF($B33="","",SUMPRODUCT((Weeks!$A$7:$A$59&lt;=$R$3)*(Weeks!$X$5:$AI$5=Workers!$A$9)*Weeks!$X$7:$AI$59)-SUMIFS('Cash Ledger'!$E$7:$E$1006,'Cash Ledger'!$I$7:$I$1006,Workers!$A$9))</f>
        <v/>
      </c>
      <c r="P33" s="14" t="n"/>
      <c r="Q33" s="14" t="n"/>
      <c r="R33" s="19">
        <f>IF($B33="","",IF(Workers!$C$9="Left","Left",IF(ROUND($O33,0)&gt;0,"To pay",IF(ROUND($O33,0)&lt;0,"Owes you","Settled"))))</f>
        <v/>
      </c>
      <c r="S33" s="3" t="n"/>
    </row>
    <row r="34" ht="24" customHeight="1">
      <c r="A34" s="3" t="n"/>
      <c r="B34" s="15">
        <f>IF(Workers!$B$10&lt;&gt;"",Workers!$B$10,"")</f>
        <v/>
      </c>
      <c r="C34" s="14" t="n"/>
      <c r="D34" s="14" t="n"/>
      <c r="E34" s="14" t="n"/>
      <c r="F34" s="17">
        <f t="array" ref="F34">IF($B34="","",IF($T$3=0,0,INDEX(Weeks!$L$7:$W$59,$T$3,5)))</f>
        <v/>
      </c>
      <c r="G34" s="14" t="n"/>
      <c r="H34" s="14" t="n"/>
      <c r="I34" s="243">
        <f t="array" ref="I34">IF($B34="","",IF($T$3=0,0,INDEX(Weeks!$X$7:$AI$59,$T$3,5)))</f>
        <v/>
      </c>
      <c r="J34" s="14" t="n"/>
      <c r="K34" s="14" t="n"/>
      <c r="L34" s="243">
        <f>IF($B34="","",SUMIFS('Cash Ledger'!$E$7:$E$1006,'Cash Ledger'!$I$7:$I$1006,Workers!$A$10,'Cash Ledger'!$D$7:$D$1006,"Advance",'Cash Ledger'!$B$7:$B$1006,"&gt;="&amp;$R$3,'Cash Ledger'!$B$7:$B$1006,"&lt;="&amp;($R$3+6)))</f>
        <v/>
      </c>
      <c r="M34" s="14" t="n"/>
      <c r="N34" s="14" t="n"/>
      <c r="O34" s="244">
        <f t="array" ref="O34">IF($B34="","",SUMPRODUCT((Weeks!$A$7:$A$59&lt;=$R$3)*(Weeks!$X$5:$AI$5=Workers!$A$10)*Weeks!$X$7:$AI$59)-SUMIFS('Cash Ledger'!$E$7:$E$1006,'Cash Ledger'!$I$7:$I$1006,Workers!$A$10))</f>
        <v/>
      </c>
      <c r="P34" s="14" t="n"/>
      <c r="Q34" s="14" t="n"/>
      <c r="R34" s="19">
        <f>IF($B34="","",IF(Workers!$C$10="Left","Left",IF(ROUND($O34,0)&gt;0,"To pay",IF(ROUND($O34,0)&lt;0,"Owes you","Settled"))))</f>
        <v/>
      </c>
      <c r="S34" s="3" t="n"/>
    </row>
    <row r="35" ht="24" customHeight="1">
      <c r="A35" s="3" t="n"/>
      <c r="B35" s="15">
        <f>IF(Workers!$B$11&lt;&gt;"",Workers!$B$11,"")</f>
        <v/>
      </c>
      <c r="C35" s="14" t="n"/>
      <c r="D35" s="14" t="n"/>
      <c r="E35" s="14" t="n"/>
      <c r="F35" s="17">
        <f t="array" ref="F35">IF($B35="","",IF($T$3=0,0,INDEX(Weeks!$L$7:$W$59,$T$3,6)))</f>
        <v/>
      </c>
      <c r="G35" s="14" t="n"/>
      <c r="H35" s="14" t="n"/>
      <c r="I35" s="243">
        <f t="array" ref="I35">IF($B35="","",IF($T$3=0,0,INDEX(Weeks!$X$7:$AI$59,$T$3,6)))</f>
        <v/>
      </c>
      <c r="J35" s="14" t="n"/>
      <c r="K35" s="14" t="n"/>
      <c r="L35" s="243">
        <f>IF($B35="","",SUMIFS('Cash Ledger'!$E$7:$E$1006,'Cash Ledger'!$I$7:$I$1006,Workers!$A$11,'Cash Ledger'!$D$7:$D$1006,"Advance",'Cash Ledger'!$B$7:$B$1006,"&gt;="&amp;$R$3,'Cash Ledger'!$B$7:$B$1006,"&lt;="&amp;($R$3+6)))</f>
        <v/>
      </c>
      <c r="M35" s="14" t="n"/>
      <c r="N35" s="14" t="n"/>
      <c r="O35" s="244">
        <f t="array" ref="O35">IF($B35="","",SUMPRODUCT((Weeks!$A$7:$A$59&lt;=$R$3)*(Weeks!$X$5:$AI$5=Workers!$A$11)*Weeks!$X$7:$AI$59)-SUMIFS('Cash Ledger'!$E$7:$E$1006,'Cash Ledger'!$I$7:$I$1006,Workers!$A$11))</f>
        <v/>
      </c>
      <c r="P35" s="14" t="n"/>
      <c r="Q35" s="14" t="n"/>
      <c r="R35" s="19">
        <f>IF($B35="","",IF(Workers!$C$11="Left","Left",IF(ROUND($O35,0)&gt;0,"To pay",IF(ROUND($O35,0)&lt;0,"Owes you","Settled"))))</f>
        <v/>
      </c>
      <c r="S35" s="3" t="n"/>
    </row>
    <row r="36" ht="24" customHeight="1">
      <c r="A36" s="3" t="n"/>
      <c r="B36" s="15">
        <f>IF(Workers!$B$12&lt;&gt;"",Workers!$B$12,"")</f>
        <v/>
      </c>
      <c r="C36" s="14" t="n"/>
      <c r="D36" s="14" t="n"/>
      <c r="E36" s="14" t="n"/>
      <c r="F36" s="17">
        <f t="array" ref="F36">IF($B36="","",IF($T$3=0,0,INDEX(Weeks!$L$7:$W$59,$T$3,7)))</f>
        <v/>
      </c>
      <c r="G36" s="14" t="n"/>
      <c r="H36" s="14" t="n"/>
      <c r="I36" s="243">
        <f t="array" ref="I36">IF($B36="","",IF($T$3=0,0,INDEX(Weeks!$X$7:$AI$59,$T$3,7)))</f>
        <v/>
      </c>
      <c r="J36" s="14" t="n"/>
      <c r="K36" s="14" t="n"/>
      <c r="L36" s="243">
        <f>IF($B36="","",SUMIFS('Cash Ledger'!$E$7:$E$1006,'Cash Ledger'!$I$7:$I$1006,Workers!$A$12,'Cash Ledger'!$D$7:$D$1006,"Advance",'Cash Ledger'!$B$7:$B$1006,"&gt;="&amp;$R$3,'Cash Ledger'!$B$7:$B$1006,"&lt;="&amp;($R$3+6)))</f>
        <v/>
      </c>
      <c r="M36" s="14" t="n"/>
      <c r="N36" s="14" t="n"/>
      <c r="O36" s="244">
        <f t="array" ref="O36">IF($B36="","",SUMPRODUCT((Weeks!$A$7:$A$59&lt;=$R$3)*(Weeks!$X$5:$AI$5=Workers!$A$12)*Weeks!$X$7:$AI$59)-SUMIFS('Cash Ledger'!$E$7:$E$1006,'Cash Ledger'!$I$7:$I$1006,Workers!$A$12))</f>
        <v/>
      </c>
      <c r="P36" s="14" t="n"/>
      <c r="Q36" s="14" t="n"/>
      <c r="R36" s="19">
        <f>IF($B36="","",IF(Workers!$C$12="Left","Left",IF(ROUND($O36,0)&gt;0,"To pay",IF(ROUND($O36,0)&lt;0,"Owes you","Settled"))))</f>
        <v/>
      </c>
      <c r="S36" s="3" t="n"/>
    </row>
    <row r="37" ht="24" customHeight="1">
      <c r="A37" s="3" t="n"/>
      <c r="B37" s="15">
        <f>IF(Workers!$B$13&lt;&gt;"",Workers!$B$13,"")</f>
        <v/>
      </c>
      <c r="C37" s="14" t="n"/>
      <c r="D37" s="14" t="n"/>
      <c r="E37" s="14" t="n"/>
      <c r="F37" s="17">
        <f t="array" ref="F37">IF($B37="","",IF($T$3=0,0,INDEX(Weeks!$L$7:$W$59,$T$3,8)))</f>
        <v/>
      </c>
      <c r="G37" s="14" t="n"/>
      <c r="H37" s="14" t="n"/>
      <c r="I37" s="243">
        <f t="array" ref="I37">IF($B37="","",IF($T$3=0,0,INDEX(Weeks!$X$7:$AI$59,$T$3,8)))</f>
        <v/>
      </c>
      <c r="J37" s="14" t="n"/>
      <c r="K37" s="14" t="n"/>
      <c r="L37" s="243">
        <f>IF($B37="","",SUMIFS('Cash Ledger'!$E$7:$E$1006,'Cash Ledger'!$I$7:$I$1006,Workers!$A$13,'Cash Ledger'!$D$7:$D$1006,"Advance",'Cash Ledger'!$B$7:$B$1006,"&gt;="&amp;$R$3,'Cash Ledger'!$B$7:$B$1006,"&lt;="&amp;($R$3+6)))</f>
        <v/>
      </c>
      <c r="M37" s="14" t="n"/>
      <c r="N37" s="14" t="n"/>
      <c r="O37" s="244">
        <f t="array" ref="O37">IF($B37="","",SUMPRODUCT((Weeks!$A$7:$A$59&lt;=$R$3)*(Weeks!$X$5:$AI$5=Workers!$A$13)*Weeks!$X$7:$AI$59)-SUMIFS('Cash Ledger'!$E$7:$E$1006,'Cash Ledger'!$I$7:$I$1006,Workers!$A$13))</f>
        <v/>
      </c>
      <c r="P37" s="14" t="n"/>
      <c r="Q37" s="14" t="n"/>
      <c r="R37" s="19">
        <f>IF($B37="","",IF(Workers!$C$13="Left","Left",IF(ROUND($O37,0)&gt;0,"To pay",IF(ROUND($O37,0)&lt;0,"Owes you","Settled"))))</f>
        <v/>
      </c>
      <c r="S37" s="3" t="n"/>
    </row>
    <row r="38" ht="24" customHeight="1">
      <c r="A38" s="3" t="n"/>
      <c r="B38" s="15">
        <f>IF(Workers!$B$14&lt;&gt;"",Workers!$B$14,"")</f>
        <v/>
      </c>
      <c r="C38" s="14" t="n"/>
      <c r="D38" s="14" t="n"/>
      <c r="E38" s="14" t="n"/>
      <c r="F38" s="17">
        <f t="array" ref="F38">IF($B38="","",IF($T$3=0,0,INDEX(Weeks!$L$7:$W$59,$T$3,9)))</f>
        <v/>
      </c>
      <c r="G38" s="14" t="n"/>
      <c r="H38" s="14" t="n"/>
      <c r="I38" s="243">
        <f t="array" ref="I38">IF($B38="","",IF($T$3=0,0,INDEX(Weeks!$X$7:$AI$59,$T$3,9)))</f>
        <v/>
      </c>
      <c r="J38" s="14" t="n"/>
      <c r="K38" s="14" t="n"/>
      <c r="L38" s="243">
        <f>IF($B38="","",SUMIFS('Cash Ledger'!$E$7:$E$1006,'Cash Ledger'!$I$7:$I$1006,Workers!$A$14,'Cash Ledger'!$D$7:$D$1006,"Advance",'Cash Ledger'!$B$7:$B$1006,"&gt;="&amp;$R$3,'Cash Ledger'!$B$7:$B$1006,"&lt;="&amp;($R$3+6)))</f>
        <v/>
      </c>
      <c r="M38" s="14" t="n"/>
      <c r="N38" s="14" t="n"/>
      <c r="O38" s="244">
        <f t="array" ref="O38">IF($B38="","",SUMPRODUCT((Weeks!$A$7:$A$59&lt;=$R$3)*(Weeks!$X$5:$AI$5=Workers!$A$14)*Weeks!$X$7:$AI$59)-SUMIFS('Cash Ledger'!$E$7:$E$1006,'Cash Ledger'!$I$7:$I$1006,Workers!$A$14))</f>
        <v/>
      </c>
      <c r="P38" s="14" t="n"/>
      <c r="Q38" s="14" t="n"/>
      <c r="R38" s="19">
        <f>IF($B38="","",IF(Workers!$C$14="Left","Left",IF(ROUND($O38,0)&gt;0,"To pay",IF(ROUND($O38,0)&lt;0,"Owes you","Settled"))))</f>
        <v/>
      </c>
      <c r="S38" s="3" t="n"/>
    </row>
    <row r="39" ht="24" customHeight="1">
      <c r="A39" s="3" t="n"/>
      <c r="B39" s="15">
        <f>IF(Workers!$B$15&lt;&gt;"",Workers!$B$15,"")</f>
        <v/>
      </c>
      <c r="C39" s="14" t="n"/>
      <c r="D39" s="14" t="n"/>
      <c r="E39" s="14" t="n"/>
      <c r="F39" s="17">
        <f t="array" ref="F39">IF($B39="","",IF($T$3=0,0,INDEX(Weeks!$L$7:$W$59,$T$3,10)))</f>
        <v/>
      </c>
      <c r="G39" s="14" t="n"/>
      <c r="H39" s="14" t="n"/>
      <c r="I39" s="243">
        <f t="array" ref="I39">IF($B39="","",IF($T$3=0,0,INDEX(Weeks!$X$7:$AI$59,$T$3,10)))</f>
        <v/>
      </c>
      <c r="J39" s="14" t="n"/>
      <c r="K39" s="14" t="n"/>
      <c r="L39" s="243">
        <f>IF($B39="","",SUMIFS('Cash Ledger'!$E$7:$E$1006,'Cash Ledger'!$I$7:$I$1006,Workers!$A$15,'Cash Ledger'!$D$7:$D$1006,"Advance",'Cash Ledger'!$B$7:$B$1006,"&gt;="&amp;$R$3,'Cash Ledger'!$B$7:$B$1006,"&lt;="&amp;($R$3+6)))</f>
        <v/>
      </c>
      <c r="M39" s="14" t="n"/>
      <c r="N39" s="14" t="n"/>
      <c r="O39" s="244">
        <f t="array" ref="O39">IF($B39="","",SUMPRODUCT((Weeks!$A$7:$A$59&lt;=$R$3)*(Weeks!$X$5:$AI$5=Workers!$A$15)*Weeks!$X$7:$AI$59)-SUMIFS('Cash Ledger'!$E$7:$E$1006,'Cash Ledger'!$I$7:$I$1006,Workers!$A$15))</f>
        <v/>
      </c>
      <c r="P39" s="14" t="n"/>
      <c r="Q39" s="14" t="n"/>
      <c r="R39" s="19">
        <f>IF($B39="","",IF(Workers!$C$15="Left","Left",IF(ROUND($O39,0)&gt;0,"To pay",IF(ROUND($O39,0)&lt;0,"Owes you","Settled"))))</f>
        <v/>
      </c>
      <c r="S39" s="3" t="n"/>
    </row>
    <row r="40" ht="24" customHeight="1">
      <c r="A40" s="3" t="n"/>
      <c r="B40" s="15">
        <f>IF(Workers!$B$16&lt;&gt;"",Workers!$B$16,"")</f>
        <v/>
      </c>
      <c r="C40" s="14" t="n"/>
      <c r="D40" s="14" t="n"/>
      <c r="E40" s="14" t="n"/>
      <c r="F40" s="17">
        <f t="array" ref="F40">IF($B40="","",IF($T$3=0,0,INDEX(Weeks!$L$7:$W$59,$T$3,11)))</f>
        <v/>
      </c>
      <c r="G40" s="14" t="n"/>
      <c r="H40" s="14" t="n"/>
      <c r="I40" s="243">
        <f t="array" ref="I40">IF($B40="","",IF($T$3=0,0,INDEX(Weeks!$X$7:$AI$59,$T$3,11)))</f>
        <v/>
      </c>
      <c r="J40" s="14" t="n"/>
      <c r="K40" s="14" t="n"/>
      <c r="L40" s="243">
        <f>IF($B40="","",SUMIFS('Cash Ledger'!$E$7:$E$1006,'Cash Ledger'!$I$7:$I$1006,Workers!$A$16,'Cash Ledger'!$D$7:$D$1006,"Advance",'Cash Ledger'!$B$7:$B$1006,"&gt;="&amp;$R$3,'Cash Ledger'!$B$7:$B$1006,"&lt;="&amp;($R$3+6)))</f>
        <v/>
      </c>
      <c r="M40" s="14" t="n"/>
      <c r="N40" s="14" t="n"/>
      <c r="O40" s="244">
        <f t="array" ref="O40">IF($B40="","",SUMPRODUCT((Weeks!$A$7:$A$59&lt;=$R$3)*(Weeks!$X$5:$AI$5=Workers!$A$16)*Weeks!$X$7:$AI$59)-SUMIFS('Cash Ledger'!$E$7:$E$1006,'Cash Ledger'!$I$7:$I$1006,Workers!$A$16))</f>
        <v/>
      </c>
      <c r="P40" s="14" t="n"/>
      <c r="Q40" s="14" t="n"/>
      <c r="R40" s="19">
        <f>IF($B40="","",IF(Workers!$C$16="Left","Left",IF(ROUND($O40,0)&gt;0,"To pay",IF(ROUND($O40,0)&lt;0,"Owes you","Settled"))))</f>
        <v/>
      </c>
      <c r="S40" s="3" t="n"/>
    </row>
    <row r="41" ht="24" customHeight="1">
      <c r="A41" s="3" t="n"/>
      <c r="B41" s="15">
        <f>IF(Workers!$B$17&lt;&gt;"",Workers!$B$17,"")</f>
        <v/>
      </c>
      <c r="C41" s="14" t="n"/>
      <c r="D41" s="14" t="n"/>
      <c r="E41" s="14" t="n"/>
      <c r="F41" s="17">
        <f t="array" ref="F41">IF($B41="","",IF($T$3=0,0,INDEX(Weeks!$L$7:$W$59,$T$3,12)))</f>
        <v/>
      </c>
      <c r="G41" s="14" t="n"/>
      <c r="H41" s="14" t="n"/>
      <c r="I41" s="243">
        <f t="array" ref="I41">IF($B41="","",IF($T$3=0,0,INDEX(Weeks!$X$7:$AI$59,$T$3,12)))</f>
        <v/>
      </c>
      <c r="J41" s="14" t="n"/>
      <c r="K41" s="14" t="n"/>
      <c r="L41" s="243">
        <f>IF($B41="","",SUMIFS('Cash Ledger'!$E$7:$E$1006,'Cash Ledger'!$I$7:$I$1006,Workers!$A$17,'Cash Ledger'!$D$7:$D$1006,"Advance",'Cash Ledger'!$B$7:$B$1006,"&gt;="&amp;$R$3,'Cash Ledger'!$B$7:$B$1006,"&lt;="&amp;($R$3+6)))</f>
        <v/>
      </c>
      <c r="M41" s="14" t="n"/>
      <c r="N41" s="14" t="n"/>
      <c r="O41" s="244">
        <f t="array" ref="O41">IF($B41="","",SUMPRODUCT((Weeks!$A$7:$A$59&lt;=$R$3)*(Weeks!$X$5:$AI$5=Workers!$A$17)*Weeks!$X$7:$AI$59)-SUMIFS('Cash Ledger'!$E$7:$E$1006,'Cash Ledger'!$I$7:$I$1006,Workers!$A$17))</f>
        <v/>
      </c>
      <c r="P41" s="14" t="n"/>
      <c r="Q41" s="14" t="n"/>
      <c r="R41" s="19">
        <f>IF($B41="","",IF(Workers!$C$17="Left","Left",IF(ROUND($O41,0)&gt;0,"To pay",IF(ROUND($O41,0)&lt;0,"Owes you","Settled"))))</f>
        <v/>
      </c>
      <c r="S41" s="3" t="n"/>
    </row>
    <row r="42" ht="20.1" customHeight="1">
      <c r="A42" s="3" t="n"/>
      <c r="B42" s="28">
        <f>IF(COUNTA(Workers!$B$6:$B$17)&lt;12,"+ add another worker on the Workers page","")</f>
        <v/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</row>
    <row r="43" ht="20.1" customHeight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</row>
    <row r="44" ht="20.1" customHeight="1">
      <c r="A44" s="3" t="n"/>
      <c r="B44" s="27" t="inlineStr">
        <is>
          <t>Donabay · block plant payroll · type only in the tinted cells on each page</t>
        </is>
      </c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 ht="20.1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</row>
    <row r="46" ht="20.1" customHeight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</row>
    <row r="47" ht="20.1" customHeight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</row>
    <row r="48" ht="20.1" customHeight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</row>
    <row r="49" ht="20.1" customHeight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</row>
    <row r="50" ht="20.1" customHeight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</row>
    <row r="51" ht="20.1" customHeight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</row>
    <row r="52" ht="20.1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</row>
    <row r="53" ht="20.1" customHeight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</row>
    <row r="54" ht="20.1" customHeight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</row>
    <row r="55" ht="20.1" customHeight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</row>
    <row r="56" ht="20.1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</row>
    <row r="57" ht="20.1" customHeight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</row>
    <row r="58" ht="20.1" customHeight="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</row>
    <row r="59" ht="20.1" customHeight="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</row>
    <row r="60" ht="20.1" customHeight="1"/>
  </sheetData>
  <mergeCells count="47">
    <mergeCell ref="Q7:R7"/>
    <mergeCell ref="K14:N14"/>
    <mergeCell ref="B7:C7"/>
    <mergeCell ref="O12:R12"/>
    <mergeCell ref="N7:O7"/>
    <mergeCell ref="K17:N17"/>
    <mergeCell ref="O17:R17"/>
    <mergeCell ref="A1:B1"/>
    <mergeCell ref="M1:N1"/>
    <mergeCell ref="E8:F8"/>
    <mergeCell ref="K19:N19"/>
    <mergeCell ref="O14:R14"/>
    <mergeCell ref="Q8:R8"/>
    <mergeCell ref="B12:I12"/>
    <mergeCell ref="K13:N13"/>
    <mergeCell ref="H6:I6"/>
    <mergeCell ref="K18:N18"/>
    <mergeCell ref="C1:D1"/>
    <mergeCell ref="O13:R13"/>
    <mergeCell ref="E1:F1"/>
    <mergeCell ref="V1:W1"/>
    <mergeCell ref="O1:P1"/>
    <mergeCell ref="K16:N16"/>
    <mergeCell ref="O19:R19"/>
    <mergeCell ref="K15:N15"/>
    <mergeCell ref="B8:C8"/>
    <mergeCell ref="N8:O8"/>
    <mergeCell ref="G1:I1"/>
    <mergeCell ref="O18:R18"/>
    <mergeCell ref="O15:R15"/>
    <mergeCell ref="E6:F6"/>
    <mergeCell ref="Q1:R1"/>
    <mergeCell ref="K8:L8"/>
    <mergeCell ref="H7:I7"/>
    <mergeCell ref="Q6:R6"/>
    <mergeCell ref="B6:C6"/>
    <mergeCell ref="J1:L1"/>
    <mergeCell ref="K7:L7"/>
    <mergeCell ref="E7:F7"/>
    <mergeCell ref="X1:Y1"/>
    <mergeCell ref="N6:O6"/>
    <mergeCell ref="S1:T1"/>
    <mergeCell ref="Z1:AA1"/>
    <mergeCell ref="O16:R16"/>
    <mergeCell ref="K12:N12"/>
    <mergeCell ref="H8:I8"/>
    <mergeCell ref="K6:L6"/>
  </mergeCells>
  <conditionalFormatting sqref="B12:I12">
    <cfRule type="expression" priority="6" dxfId="0">
      <formula>$B$12="ALL CHECKS OK"</formula>
    </cfRule>
    <cfRule type="expression" priority="7" dxfId="1">
      <formula>$B$12&lt;&gt;"ALL CHECKS OK"</formula>
    </cfRule>
  </conditionalFormatting>
  <conditionalFormatting sqref="B30:R41">
    <cfRule type="expression" priority="1" dxfId="21">
      <formula>$B30&lt;&gt;""</formula>
    </cfRule>
  </conditionalFormatting>
  <conditionalFormatting sqref="I13:I21">
    <cfRule type="expression" priority="11" dxfId="20">
      <formula>I13="✓ OK"</formula>
    </cfRule>
    <cfRule type="expression" priority="12" dxfId="1">
      <formula>AND(I13&lt;&gt;"✓ OK",I13&lt;&gt;"")</formula>
    </cfRule>
  </conditionalFormatting>
  <conditionalFormatting sqref="I22:I23">
    <cfRule type="expression" priority="10" dxfId="18">
      <formula>N(I22)&gt;0</formula>
    </cfRule>
  </conditionalFormatting>
  <conditionalFormatting sqref="R30:R41">
    <cfRule type="expression" priority="2" dxfId="17">
      <formula>$R30="To pay"</formula>
    </cfRule>
    <cfRule type="expression" priority="3" dxfId="1">
      <formula>$R30="Owes you"</formula>
    </cfRule>
    <cfRule type="expression" priority="4" dxfId="0">
      <formula>$R30="Settled"</formula>
    </cfRule>
    <cfRule type="expression" priority="5" dxfId="14">
      <formula>$R30="Left"</formula>
    </cfRule>
  </conditionalFormatting>
  <hyperlinks>
    <hyperlink ref="E1" location="'Daily Log'!A1" tooltip="Go to Daily Log" display="Daily Log"/>
    <hyperlink ref="G1" location="'Cash Ledger'!A1" tooltip="Go to Cash Ledger" display="Cash Ledger"/>
    <hyperlink ref="J1" location="'Weekly Pay'!A1" tooltip="Go to Weekly Pay" display="Weekly Pay"/>
    <hyperlink ref="M1" location="'Payslip'!A1" tooltip="Go to Payslip" display="Payslip"/>
    <hyperlink ref="O1" location="'Workers'!A1" tooltip="Go to Workers" display="Workers"/>
    <hyperlink ref="Q1" location="'Settings'!A1" tooltip="Go to Settings" display="Settings"/>
    <hyperlink ref="S1" location="'Guide'!A1" tooltip="Go to Guide" display="Guide"/>
    <hyperlink ref="V1" location="'Worker History'!A1" tooltip="Go to Worker History" display="History"/>
    <hyperlink ref="X1" location="'Weeks'!A1" tooltip="Go to Weeks" display="Weeks"/>
    <hyperlink ref="Z1" location="'Checks'!A1" tooltip="Go to Checks" display="Checks"/>
    <hyperlink ref="K12" location="'Daily Log'!A1" tooltip="Open Daily Log" display="›  Log today's production"/>
    <hyperlink ref="K13" location="'Cash Ledger'!A1" tooltip="Open Cash Ledger" display="›  Record an advance"/>
    <hyperlink ref="K14" location="'Weekly Pay'!A1" tooltip="Open Weekly Pay" display="›  Run payday"/>
    <hyperlink ref="K15" location="'Payslip'!A1" tooltip="Open Payslip" display="›  Print a payslip"/>
    <hyperlink ref="K16" location="'Worker History'!A1" tooltip="Open Worker History" display="›  See one worker's history"/>
    <hyperlink ref="K17" location="'Workers'!A1" tooltip="Open Workers" display="›  Add or remove a worker"/>
    <hyperlink ref="K18" location="'Settings'!A1" tooltip="Open Settings" display="›  Change the pay rate"/>
    <hyperlink ref="K19" location="'Guide'!A1" tooltip="Open Guide" display="›  How this work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F46E5"/>
    <outlinePr summaryBelow="1" summaryRight="1"/>
    <pageSetUpPr/>
  </sheetPr>
  <dimension ref="A1:AM377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H11" sqref="H11"/>
    </sheetView>
  </sheetViews>
  <sheetFormatPr baseColWidth="8" defaultColWidth="8.5703125" defaultRowHeight="15"/>
  <cols>
    <col width="11" customWidth="1" min="1" max="1"/>
    <col width="5" customWidth="1" min="2" max="2"/>
    <col width="10" customWidth="1" min="3" max="3"/>
    <col width="9" customWidth="1" min="4" max="5"/>
    <col width="10" customWidth="1" min="6" max="6"/>
    <col width="13" customWidth="1" min="7" max="10"/>
    <col hidden="1" outlineLevel="1" width="9" customWidth="1" min="11" max="18"/>
    <col collapsed="1" width="9" customWidth="1" min="19" max="19"/>
    <col hidden="1" outlineLevel="1" width="8" customWidth="1" min="20" max="20"/>
    <col hidden="1" outlineLevel="1" width="12" customWidth="1" min="21" max="21"/>
    <col hidden="1" outlineLevel="1" width="11" customWidth="1" min="22" max="22"/>
    <col collapsed="1" width="30" customWidth="1" min="23" max="23"/>
    <col width="26" customWidth="1" min="24" max="24"/>
  </cols>
  <sheetData>
    <row r="1" ht="30" customFormat="1" customHeight="1" s="1" thickBot="1">
      <c r="A1" s="185" t="inlineStr">
        <is>
          <t>◆ Donabay</t>
        </is>
      </c>
      <c r="D1" s="220" t="inlineStr">
        <is>
          <t>Home</t>
        </is>
      </c>
      <c r="F1" s="205" t="inlineStr">
        <is>
          <t>Daily Log</t>
        </is>
      </c>
      <c r="G1" s="220" t="inlineStr">
        <is>
          <t>Cash Ledger</t>
        </is>
      </c>
      <c r="I1" s="220" t="inlineStr">
        <is>
          <t>Weekly Pay</t>
        </is>
      </c>
      <c r="K1" s="220" t="inlineStr">
        <is>
          <t>Payslip</t>
        </is>
      </c>
      <c r="X1" s="176" t="inlineStr">
        <is>
          <t>Workers</t>
        </is>
      </c>
      <c r="Y1" s="220" t="inlineStr">
        <is>
          <t>Settings</t>
        </is>
      </c>
      <c r="AA1" s="220" t="inlineStr">
        <is>
          <t>Guide</t>
        </is>
      </c>
      <c r="AC1" s="31" t="inlineStr">
        <is>
          <t>·</t>
        </is>
      </c>
      <c r="AD1" s="222" t="inlineStr">
        <is>
          <t>History</t>
        </is>
      </c>
      <c r="AF1" s="222" t="inlineStr">
        <is>
          <t>Weeks</t>
        </is>
      </c>
      <c r="AH1" s="222" t="inlineStr">
        <is>
          <t>Checks</t>
        </is>
      </c>
      <c r="AJ1" s="32" t="n"/>
      <c r="AK1" s="32" t="n"/>
      <c r="AL1" s="32" t="n"/>
      <c r="AM1" s="32" t="n"/>
    </row>
    <row r="2" ht="36" customHeight="1" thickTop="1">
      <c r="A2" s="172" t="inlineStr">
        <is>
          <t>Daily Log</t>
        </is>
      </c>
      <c r="B2" s="218" t="n"/>
      <c r="C2" s="218" t="n"/>
      <c r="D2" s="218" t="n"/>
      <c r="E2" s="218" t="n"/>
      <c r="F2" s="34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</row>
    <row r="3" ht="16.5" customHeight="1">
      <c r="A3" s="35" t="inlineStr">
        <is>
          <t>One row per day. Fill: blocks moulded, blocks broken, and who worked (1 = full day, 0.5 = half day, empty = absent).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</row>
    <row r="4" ht="16.5" customHeight="1">
      <c r="A4" s="55" t="inlineStr">
        <is>
          <t>All time</t>
        </is>
      </c>
      <c r="B4" s="3" t="n"/>
      <c r="C4" s="245">
        <f>SUM(C7:C377)</f>
        <v/>
      </c>
      <c r="D4" s="245">
        <f>SUM(D7:D377)</f>
        <v/>
      </c>
      <c r="E4" s="245">
        <f>SUM(E7:E377)</f>
        <v/>
      </c>
      <c r="F4" s="245">
        <f>SUM(F7:F377)</f>
        <v/>
      </c>
      <c r="G4" s="35" t="inlineStr">
        <is>
          <t>Attendance: 1 full day, 0.5 half day, empty = absent</t>
        </is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245">
        <f>SUM(U7:U377)</f>
        <v/>
      </c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</row>
    <row r="5" ht="16.5" customHeight="1">
      <c r="A5" s="57" t="inlineStr">
        <is>
          <t>Today's row is green · Ctrl+↓ jumps down</t>
        </is>
      </c>
      <c r="B5" s="217" t="n"/>
      <c r="C5" s="217" t="n"/>
      <c r="D5" s="217" t="n"/>
      <c r="E5" s="217" t="n"/>
      <c r="F5" s="217" t="n"/>
      <c r="G5" s="57">
        <f>IF(Workers!$B$6="","",Workers!$B$6)</f>
        <v/>
      </c>
      <c r="H5" s="57">
        <f>IF(Workers!$B$7="","",Workers!$B$7)</f>
        <v/>
      </c>
      <c r="I5" s="57">
        <f>IF(Workers!$B$8="","",Workers!$B$8)</f>
        <v/>
      </c>
      <c r="J5" s="57">
        <f>IF(Workers!$B$9="","",Workers!$B$9)</f>
        <v/>
      </c>
      <c r="K5" s="57">
        <f>IF(Workers!$B$10="","",Workers!$B$10)</f>
        <v/>
      </c>
      <c r="L5" s="57">
        <f>IF(Workers!$B$11="","",Workers!$B$11)</f>
        <v/>
      </c>
      <c r="M5" s="57">
        <f>IF(Workers!$B$12="","",Workers!$B$12)</f>
        <v/>
      </c>
      <c r="N5" s="57">
        <f>IF(Workers!$B$13="","",Workers!$B$13)</f>
        <v/>
      </c>
      <c r="O5" s="57">
        <f>IF(Workers!$B$14="","",Workers!$B$14)</f>
        <v/>
      </c>
      <c r="P5" s="57">
        <f>IF(Workers!$B$15="","",Workers!$B$15)</f>
        <v/>
      </c>
      <c r="Q5" s="57">
        <f>IF(Workers!$B$16="","",Workers!$B$16)</f>
        <v/>
      </c>
      <c r="R5" s="57">
        <f>IF(Workers!$B$17="","",Workers!$B$17)</f>
        <v/>
      </c>
      <c r="S5" s="217" t="n"/>
      <c r="T5" s="217" t="n"/>
      <c r="U5" s="217" t="n"/>
      <c r="V5" s="217" t="n"/>
      <c r="W5" s="217" t="n"/>
      <c r="X5" s="217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</row>
    <row r="6" ht="32.1" customFormat="1" customHeight="1" s="127">
      <c r="A6" s="58" t="inlineStr">
        <is>
          <t>Date</t>
        </is>
      </c>
      <c r="B6" s="58" t="inlineStr">
        <is>
          <t>Day</t>
        </is>
      </c>
      <c r="C6" s="58" t="inlineStr">
        <is>
          <t>Moulded</t>
        </is>
      </c>
      <c r="D6" s="58" t="inlineStr">
        <is>
          <t>Broken</t>
        </is>
      </c>
      <c r="E6" s="58" t="inlineStr">
        <is>
          <t>Good</t>
        </is>
      </c>
      <c r="F6" s="58" t="inlineStr">
        <is>
          <t>Paid blocks</t>
        </is>
      </c>
      <c r="G6" s="58">
        <f>IF(Workers!$B$6="",Workers!$A$6,Workers!$B$6)</f>
        <v/>
      </c>
      <c r="H6" s="58">
        <f>IF(Workers!$B$7="",Workers!$A$7,Workers!$B$7)</f>
        <v/>
      </c>
      <c r="I6" s="58">
        <f>IF(Workers!$B$8="",Workers!$A$8,Workers!$B$8)</f>
        <v/>
      </c>
      <c r="J6" s="58">
        <f>IF(Workers!$B$9="",Workers!$A$9,Workers!$B$9)</f>
        <v/>
      </c>
      <c r="K6" s="58">
        <f>IF(Workers!$B$10="",Workers!$A$10,Workers!$B$10)</f>
        <v/>
      </c>
      <c r="L6" s="58">
        <f>IF(Workers!$B$11="",Workers!$A$11,Workers!$B$11)</f>
        <v/>
      </c>
      <c r="M6" s="58">
        <f>IF(Workers!$B$12="",Workers!$A$12,Workers!$B$12)</f>
        <v/>
      </c>
      <c r="N6" s="58">
        <f>IF(Workers!$B$13="",Workers!$A$13,Workers!$B$13)</f>
        <v/>
      </c>
      <c r="O6" s="58">
        <f>IF(Workers!$B$14="",Workers!$A$14,Workers!$B$14)</f>
        <v/>
      </c>
      <c r="P6" s="58">
        <f>IF(Workers!$B$15="",Workers!$A$15,Workers!$B$15)</f>
        <v/>
      </c>
      <c r="Q6" s="58">
        <f>IF(Workers!$B$16="",Workers!$A$16,Workers!$B$16)</f>
        <v/>
      </c>
      <c r="R6" s="58">
        <f>IF(Workers!$B$17="",Workers!$A$17,Workers!$B$17)</f>
        <v/>
      </c>
      <c r="S6" s="58" t="inlineStr">
        <is>
          <t>Crew-days</t>
        </is>
      </c>
      <c r="T6" s="58" t="inlineStr">
        <is>
          <t>Rate</t>
        </is>
      </c>
      <c r="U6" s="58" t="inlineStr">
        <is>
          <t>Pay value</t>
        </is>
      </c>
      <c r="V6" s="58" t="inlineStr">
        <is>
          <t>Week of</t>
        </is>
      </c>
      <c r="W6" s="58" t="inlineStr">
        <is>
          <t>Check</t>
        </is>
      </c>
      <c r="X6" s="58" t="inlineStr">
        <is>
          <t>Notes</t>
        </is>
      </c>
      <c r="Y6" s="125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</row>
    <row r="7" ht="21" customFormat="1" customHeight="1" s="127">
      <c r="A7" s="246" t="n">
        <v>46265</v>
      </c>
      <c r="B7" s="59">
        <f>CHOOSE(WEEKDAY($A7,2),"Mon","Tue","Wed","Thu","Fri","Sat","Sun")</f>
        <v/>
      </c>
      <c r="C7" s="60" t="n"/>
      <c r="D7" s="60" t="n"/>
      <c r="E7" s="61">
        <f>IF($C7="","",$C7-N($D7))</f>
        <v/>
      </c>
      <c r="F7" s="61">
        <f>IF($C7="","",$C7-MAX(0,N($D7)-BreakAllow*$C7))</f>
        <v/>
      </c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5">
        <f>IF(COUNT(G7:R7)=0,"",SUM(G7:R7))</f>
        <v/>
      </c>
      <c r="T7" s="247">
        <f>IF($C7="","",IFERROR(INDEX(RateValues,MATCH(SUMPRODUCT(MAX((RateDates&lt;=$A7)*RateDates)),RateDates,0)),0))</f>
        <v/>
      </c>
      <c r="U7" s="248">
        <f>IF($C7="","",$F7*$T7)</f>
        <v/>
      </c>
      <c r="V7" s="249">
        <f>$A7-WEEKDAY($A7,2)+1</f>
        <v/>
      </c>
      <c r="W7" s="129">
        <f t="array" ref="W7">IF(AND($C7="",S7=""),"",IF(AND(N($C7)&gt;0,N(S7)=0),"nobody marked present",IF(N($D7)&gt;N($C7),"more broken than moulded",IF(AND($C7="",N(S7)&gt;0),"attendance marked but no blocks entered",IF(AND(N($C7)&gt;0,N(T7)=0),"no pay rate for this date - see Settings",IF(SUMPRODUCT((G7:R7&lt;&gt;"")*(G$5:R$5=""))&gt;0,"attendance in an empty worker slot",""))))))</f>
        <v/>
      </c>
      <c r="X7" s="130" t="n"/>
      <c r="Y7" s="125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</row>
    <row r="8" ht="21" customFormat="1" customHeight="1" s="127">
      <c r="A8" s="250" t="n">
        <v>46266</v>
      </c>
      <c r="B8" s="63">
        <f>CHOOSE(WEEKDAY($A8,2),"Mon","Tue","Wed","Thu","Fri","Sat","Sun")</f>
        <v/>
      </c>
      <c r="C8" s="64" t="n"/>
      <c r="D8" s="64" t="n"/>
      <c r="E8" s="65">
        <f>IF($C8="","",$C8-N($D8))</f>
        <v/>
      </c>
      <c r="F8" s="65">
        <f>IF($C8="","",$C8-MAX(0,N($D8)-BreakAllow*$C8))</f>
        <v/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1">
        <f>IF(COUNT(G8:R8)=0,"",SUM(G8:R8))</f>
        <v/>
      </c>
      <c r="T8" s="251">
        <f>IF($C8="","",IFERROR(INDEX(RateValues,MATCH(SUMPRODUCT(MAX((RateDates&lt;=$A8)*RateDates)),RateDates,0)),0))</f>
        <v/>
      </c>
      <c r="U8" s="252">
        <f>IF($C8="","",$F8*$T8)</f>
        <v/>
      </c>
      <c r="V8" s="253">
        <f>$A8-WEEKDAY($A8,2)+1</f>
        <v/>
      </c>
      <c r="W8" s="132">
        <f t="array" ref="W8">IF(AND($C8="",S8=""),"",IF(AND(N($C8)&gt;0,N(S8)=0),"nobody marked present",IF(N($D8)&gt;N($C8),"more broken than moulded",IF(AND($C8="",N(S8)&gt;0),"attendance marked but no blocks entered",IF(AND(N($C8)&gt;0,N(T8)=0),"no pay rate for this date - see Settings",IF(SUMPRODUCT((G8:R8&lt;&gt;"")*(G$5:R$5=""))&gt;0,"attendance in an empty worker slot",""))))))</f>
        <v/>
      </c>
      <c r="X8" s="133" t="n"/>
      <c r="Y8" s="125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</row>
    <row r="9" ht="21" customFormat="1" customHeight="1" s="127">
      <c r="A9" s="250" t="n">
        <v>46267</v>
      </c>
      <c r="B9" s="63">
        <f>CHOOSE(WEEKDAY($A9,2),"Mon","Tue","Wed","Thu","Fri","Sat","Sun")</f>
        <v/>
      </c>
      <c r="C9" s="64" t="n"/>
      <c r="D9" s="64" t="n"/>
      <c r="E9" s="65">
        <f>IF($C9="","",$C9-N($D9))</f>
        <v/>
      </c>
      <c r="F9" s="65">
        <f>IF($C9="","",$C9-MAX(0,N($D9)-BreakAllow*$C9))</f>
        <v/>
      </c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1">
        <f>IF(COUNT(G9:R9)=0,"",SUM(G9:R9))</f>
        <v/>
      </c>
      <c r="T9" s="251">
        <f>IF($C9="","",IFERROR(INDEX(RateValues,MATCH(SUMPRODUCT(MAX((RateDates&lt;=$A9)*RateDates)),RateDates,0)),0))</f>
        <v/>
      </c>
      <c r="U9" s="252">
        <f>IF($C9="","",$F9*$T9)</f>
        <v/>
      </c>
      <c r="V9" s="253">
        <f>$A9-WEEKDAY($A9,2)+1</f>
        <v/>
      </c>
      <c r="W9" s="132">
        <f t="array" ref="W9">IF(AND($C9="",S9=""),"",IF(AND(N($C9)&gt;0,N(S9)=0),"nobody marked present",IF(N($D9)&gt;N($C9),"more broken than moulded",IF(AND($C9="",N(S9)&gt;0),"attendance marked but no blocks entered",IF(AND(N($C9)&gt;0,N(T9)=0),"no pay rate for this date - see Settings",IF(SUMPRODUCT((G9:R9&lt;&gt;"")*(G$5:R$5=""))&gt;0,"attendance in an empty worker slot",""))))))</f>
        <v/>
      </c>
      <c r="X9" s="133" t="n"/>
      <c r="Y9" s="125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</row>
    <row r="10" ht="21" customFormat="1" customHeight="1" s="127">
      <c r="A10" s="250" t="n">
        <v>46268</v>
      </c>
      <c r="B10" s="63">
        <f>CHOOSE(WEEKDAY($A10,2),"Mon","Tue","Wed","Thu","Fri","Sat","Sun")</f>
        <v/>
      </c>
      <c r="C10" s="64" t="n"/>
      <c r="D10" s="64" t="n"/>
      <c r="E10" s="65">
        <f>IF($C10="","",$C10-N($D10))</f>
        <v/>
      </c>
      <c r="F10" s="65">
        <f>IF($C10="","",$C10-MAX(0,N($D10)-BreakAllow*$C10))</f>
        <v/>
      </c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1">
        <f>IF(COUNT(G10:R10)=0,"",SUM(G10:R10))</f>
        <v/>
      </c>
      <c r="T10" s="251">
        <f>IF($C10="","",IFERROR(INDEX(RateValues,MATCH(SUMPRODUCT(MAX((RateDates&lt;=$A10)*RateDates)),RateDates,0)),0))</f>
        <v/>
      </c>
      <c r="U10" s="252">
        <f>IF($C10="","",$F10*$T10)</f>
        <v/>
      </c>
      <c r="V10" s="253">
        <f>$A10-WEEKDAY($A10,2)+1</f>
        <v/>
      </c>
      <c r="W10" s="132">
        <f t="array" ref="W10">IF(AND($C10="",S10=""),"",IF(AND(N($C10)&gt;0,N(S10)=0),"nobody marked present",IF(N($D10)&gt;N($C10),"more broken than moulded",IF(AND($C10="",N(S10)&gt;0),"attendance marked but no blocks entered",IF(AND(N($C10)&gt;0,N(T10)=0),"no pay rate for this date - see Settings",IF(SUMPRODUCT((G10:R10&lt;&gt;"")*(G$5:R$5=""))&gt;0,"attendance in an empty worker slot",""))))))</f>
        <v/>
      </c>
      <c r="X10" s="133" t="n"/>
      <c r="Y10" s="125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</row>
    <row r="11" ht="21" customFormat="1" customHeight="1" s="127">
      <c r="A11" s="250" t="n">
        <v>46269</v>
      </c>
      <c r="B11" s="63">
        <f>CHOOSE(WEEKDAY($A11,2),"Mon","Tue","Wed","Thu","Fri","Sat","Sun")</f>
        <v/>
      </c>
      <c r="C11" s="64" t="n">
        <v>266</v>
      </c>
      <c r="D11" s="64" t="n"/>
      <c r="E11" s="65">
        <f>IF($C11="","",$C11-N($D11))</f>
        <v/>
      </c>
      <c r="F11" s="65">
        <f>IF($C11="","",$C11-MAX(0,N($D11)-BreakAllow*$C11))</f>
        <v/>
      </c>
      <c r="G11" s="50" t="n">
        <v>1</v>
      </c>
      <c r="H11" s="50" t="n">
        <v>1</v>
      </c>
      <c r="I11" s="50" t="n">
        <v>1</v>
      </c>
      <c r="J11" s="50" t="n">
        <v>1</v>
      </c>
      <c r="K11" s="50" t="n"/>
      <c r="L11" s="50" t="n"/>
      <c r="M11" s="50" t="n"/>
      <c r="N11" s="50" t="n"/>
      <c r="O11" s="50" t="n"/>
      <c r="P11" s="50" t="n"/>
      <c r="Q11" s="50" t="n"/>
      <c r="R11" s="50" t="n"/>
      <c r="S11" s="51">
        <f>IF(COUNT(G11:R11)=0,"",SUM(G11:R11))</f>
        <v/>
      </c>
      <c r="T11" s="251">
        <f>IF($C11="","",IFERROR(INDEX(RateValues,MATCH(SUMPRODUCT(MAX((RateDates&lt;=$A11)*RateDates)),RateDates,0)),0))</f>
        <v/>
      </c>
      <c r="U11" s="252">
        <f>IF($C11="","",$F11*$T11)</f>
        <v/>
      </c>
      <c r="V11" s="253">
        <f>$A11-WEEKDAY($A11,2)+1</f>
        <v/>
      </c>
      <c r="W11" s="132">
        <f t="array" ref="W11">IF(AND($C11="",S11=""),"",IF(AND(N($C11)&gt;0,N(S11)=0),"nobody marked present",IF(N($D11)&gt;N($C11),"more broken than moulded",IF(AND($C11="",N(S11)&gt;0),"attendance marked but no blocks entered",IF(AND(N($C11)&gt;0,N(T11)=0),"no pay rate for this date - see Settings",IF(SUMPRODUCT((G11:R11&lt;&gt;"")*(G$5:R$5=""))&gt;0,"attendance in an empty worker slot",""))))))</f>
        <v/>
      </c>
      <c r="X11" s="133" t="inlineStr">
        <is>
          <t>From the old sheet (paid blocks only; all 4 counted, as it split equally)</t>
        </is>
      </c>
      <c r="Y11" s="125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</row>
    <row r="12" ht="21" customFormat="1" customHeight="1" s="127">
      <c r="A12" s="250" t="n">
        <v>46270</v>
      </c>
      <c r="B12" s="63">
        <f>CHOOSE(WEEKDAY($A12,2),"Mon","Tue","Wed","Thu","Fri","Sat","Sun")</f>
        <v/>
      </c>
      <c r="C12" s="64" t="n">
        <v>1967</v>
      </c>
      <c r="D12" s="64" t="n"/>
      <c r="E12" s="65">
        <f>IF($C12="","",$C12-N($D12))</f>
        <v/>
      </c>
      <c r="F12" s="65">
        <f>IF($C12="","",$C12-MAX(0,N($D12)-BreakAllow*$C12))</f>
        <v/>
      </c>
      <c r="G12" s="50" t="n">
        <v>1</v>
      </c>
      <c r="H12" s="50" t="n">
        <v>1</v>
      </c>
      <c r="I12" s="50" t="n">
        <v>1</v>
      </c>
      <c r="J12" s="50" t="n">
        <v>1</v>
      </c>
      <c r="K12" s="50" t="n"/>
      <c r="L12" s="50" t="n"/>
      <c r="M12" s="50" t="n"/>
      <c r="N12" s="50" t="n"/>
      <c r="O12" s="50" t="n"/>
      <c r="P12" s="50" t="n"/>
      <c r="Q12" s="50" t="n"/>
      <c r="R12" s="50" t="n"/>
      <c r="S12" s="51">
        <f>IF(COUNT(G12:R12)=0,"",SUM(G12:R12))</f>
        <v/>
      </c>
      <c r="T12" s="251">
        <f>IF($C12="","",IFERROR(INDEX(RateValues,MATCH(SUMPRODUCT(MAX((RateDates&lt;=$A12)*RateDates)),RateDates,0)),0))</f>
        <v/>
      </c>
      <c r="U12" s="252">
        <f>IF($C12="","",$F12*$T12)</f>
        <v/>
      </c>
      <c r="V12" s="253">
        <f>$A12-WEEKDAY($A12,2)+1</f>
        <v/>
      </c>
      <c r="W12" s="132">
        <f t="array" ref="W12">IF(AND($C12="",S12=""),"",IF(AND(N($C12)&gt;0,N(S12)=0),"nobody marked present",IF(N($D12)&gt;N($C12),"more broken than moulded",IF(AND($C12="",N(S12)&gt;0),"attendance marked but no blocks entered",IF(AND(N($C12)&gt;0,N(T12)=0),"no pay rate for this date - see Settings",IF(SUMPRODUCT((G12:R12&lt;&gt;"")*(G$5:R$5=""))&gt;0,"attendance in an empty worker slot",""))))))</f>
        <v/>
      </c>
      <c r="X12" s="133" t="inlineStr">
        <is>
          <t>From the old sheet (paid blocks only; all 4 counted, as it split equally)</t>
        </is>
      </c>
      <c r="Y12" s="125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</row>
    <row r="13" ht="21" customFormat="1" customHeight="1" s="127">
      <c r="A13" s="254" t="n">
        <v>46271</v>
      </c>
      <c r="B13" s="70">
        <f>CHOOSE(WEEKDAY($A13,2),"Mon","Tue","Wed","Thu","Fri","Sat","Sun")</f>
        <v/>
      </c>
      <c r="C13" s="64" t="n">
        <v>2331</v>
      </c>
      <c r="D13" s="64" t="n"/>
      <c r="E13" s="65">
        <f>IF($C13="","",$C13-N($D13))</f>
        <v/>
      </c>
      <c r="F13" s="65">
        <f>IF($C13="","",$C13-MAX(0,N($D13)-BreakAllow*$C13))</f>
        <v/>
      </c>
      <c r="G13" s="50" t="n">
        <v>1</v>
      </c>
      <c r="H13" s="50" t="n">
        <v>1</v>
      </c>
      <c r="I13" s="50" t="n">
        <v>1</v>
      </c>
      <c r="J13" s="50" t="n">
        <v>1</v>
      </c>
      <c r="K13" s="50" t="n"/>
      <c r="L13" s="50" t="n"/>
      <c r="M13" s="50" t="n"/>
      <c r="N13" s="50" t="n"/>
      <c r="O13" s="50" t="n"/>
      <c r="P13" s="50" t="n"/>
      <c r="Q13" s="50" t="n"/>
      <c r="R13" s="50" t="n"/>
      <c r="S13" s="51">
        <f>IF(COUNT(G13:R13)=0,"",SUM(G13:R13))</f>
        <v/>
      </c>
      <c r="T13" s="251">
        <f>IF($C13="","",IFERROR(INDEX(RateValues,MATCH(SUMPRODUCT(MAX((RateDates&lt;=$A13)*RateDates)),RateDates,0)),0))</f>
        <v/>
      </c>
      <c r="U13" s="252">
        <f>IF($C13="","",$F13*$T13)</f>
        <v/>
      </c>
      <c r="V13" s="253">
        <f>$A13-WEEKDAY($A13,2)+1</f>
        <v/>
      </c>
      <c r="W13" s="132">
        <f t="array" ref="W13">IF(AND($C13="",S13=""),"",IF(AND(N($C13)&gt;0,N(S13)=0),"nobody marked present",IF(N($D13)&gt;N($C13),"more broken than moulded",IF(AND($C13="",N(S13)&gt;0),"attendance marked but no blocks entered",IF(AND(N($C13)&gt;0,N(T13)=0),"no pay rate for this date - see Settings",IF(SUMPRODUCT((G13:R13&lt;&gt;"")*(G$5:R$5=""))&gt;0,"attendance in an empty worker slot",""))))))</f>
        <v/>
      </c>
      <c r="X13" s="133" t="inlineStr">
        <is>
          <t>From the old sheet (paid blocks only; all 4 counted, as it split equally)</t>
        </is>
      </c>
      <c r="Y13" s="125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</row>
    <row r="14" ht="21" customFormat="1" customHeight="1" s="127">
      <c r="A14" s="250" t="n">
        <v>46272</v>
      </c>
      <c r="B14" s="63">
        <f>CHOOSE(WEEKDAY($A14,2),"Mon","Tue","Wed","Thu","Fri","Sat","Sun")</f>
        <v/>
      </c>
      <c r="C14" s="64" t="n">
        <v>1771</v>
      </c>
      <c r="D14" s="64" t="n"/>
      <c r="E14" s="65">
        <f>IF($C14="","",$C14-N($D14))</f>
        <v/>
      </c>
      <c r="F14" s="65">
        <f>IF($C14="","",$C14-MAX(0,N($D14)-BreakAllow*$C14))</f>
        <v/>
      </c>
      <c r="G14" s="50" t="n">
        <v>1</v>
      </c>
      <c r="H14" s="50" t="n">
        <v>1</v>
      </c>
      <c r="I14" s="50" t="n">
        <v>1</v>
      </c>
      <c r="J14" s="50" t="n">
        <v>1</v>
      </c>
      <c r="K14" s="50" t="n"/>
      <c r="L14" s="50" t="n"/>
      <c r="M14" s="50" t="n"/>
      <c r="N14" s="50" t="n"/>
      <c r="O14" s="50" t="n"/>
      <c r="P14" s="50" t="n"/>
      <c r="Q14" s="50" t="n"/>
      <c r="R14" s="50" t="n"/>
      <c r="S14" s="51">
        <f>IF(COUNT(G14:R14)=0,"",SUM(G14:R14))</f>
        <v/>
      </c>
      <c r="T14" s="251">
        <f>IF($C14="","",IFERROR(INDEX(RateValues,MATCH(SUMPRODUCT(MAX((RateDates&lt;=$A14)*RateDates)),RateDates,0)),0))</f>
        <v/>
      </c>
      <c r="U14" s="252">
        <f>IF($C14="","",$F14*$T14)</f>
        <v/>
      </c>
      <c r="V14" s="253">
        <f>$A14-WEEKDAY($A14,2)+1</f>
        <v/>
      </c>
      <c r="W14" s="132">
        <f t="array" ref="W14">IF(AND($C14="",S14=""),"",IF(AND(N($C14)&gt;0,N(S14)=0),"nobody marked present",IF(N($D14)&gt;N($C14),"more broken than moulded",IF(AND($C14="",N(S14)&gt;0),"attendance marked but no blocks entered",IF(AND(N($C14)&gt;0,N(T14)=0),"no pay rate for this date - see Settings",IF(SUMPRODUCT((G14:R14&lt;&gt;"")*(G$5:R$5=""))&gt;0,"attendance in an empty worker slot",""))))))</f>
        <v/>
      </c>
      <c r="X14" s="133" t="inlineStr">
        <is>
          <t>From the old sheet (paid blocks only; all 4 counted, as it split equally)</t>
        </is>
      </c>
      <c r="Y14" s="125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</row>
    <row r="15" ht="21" customFormat="1" customHeight="1" s="127">
      <c r="A15" s="250" t="n">
        <v>46273</v>
      </c>
      <c r="B15" s="63">
        <f>CHOOSE(WEEKDAY($A15,2),"Mon","Tue","Wed","Thu","Fri","Sat","Sun")</f>
        <v/>
      </c>
      <c r="C15" s="64" t="n">
        <v>1260</v>
      </c>
      <c r="D15" s="64" t="n"/>
      <c r="E15" s="65">
        <f>IF($C15="","",$C15-N($D15))</f>
        <v/>
      </c>
      <c r="F15" s="65">
        <f>IF($C15="","",$C15-MAX(0,N($D15)-BreakAllow*$C15))</f>
        <v/>
      </c>
      <c r="G15" s="50" t="n">
        <v>1</v>
      </c>
      <c r="H15" s="50" t="n">
        <v>1</v>
      </c>
      <c r="I15" s="50" t="n">
        <v>1</v>
      </c>
      <c r="J15" s="50" t="n">
        <v>1</v>
      </c>
      <c r="K15" s="50" t="n"/>
      <c r="L15" s="50" t="n"/>
      <c r="M15" s="50" t="n"/>
      <c r="N15" s="50" t="n"/>
      <c r="O15" s="50" t="n"/>
      <c r="P15" s="50" t="n"/>
      <c r="Q15" s="50" t="n"/>
      <c r="R15" s="50" t="n"/>
      <c r="S15" s="51">
        <f>IF(COUNT(G15:R15)=0,"",SUM(G15:R15))</f>
        <v/>
      </c>
      <c r="T15" s="251">
        <f>IF($C15="","",IFERROR(INDEX(RateValues,MATCH(SUMPRODUCT(MAX((RateDates&lt;=$A15)*RateDates)),RateDates,0)),0))</f>
        <v/>
      </c>
      <c r="U15" s="252">
        <f>IF($C15="","",$F15*$T15)</f>
        <v/>
      </c>
      <c r="V15" s="253">
        <f>$A15-WEEKDAY($A15,2)+1</f>
        <v/>
      </c>
      <c r="W15" s="132">
        <f t="array" ref="W15">IF(AND($C15="",S15=""),"",IF(AND(N($C15)&gt;0,N(S15)=0),"nobody marked present",IF(N($D15)&gt;N($C15),"more broken than moulded",IF(AND($C15="",N(S15)&gt;0),"attendance marked but no blocks entered",IF(AND(N($C15)&gt;0,N(T15)=0),"no pay rate for this date - see Settings",IF(SUMPRODUCT((G15:R15&lt;&gt;"")*(G$5:R$5=""))&gt;0,"attendance in an empty worker slot",""))))))</f>
        <v/>
      </c>
      <c r="X15" s="133" t="inlineStr">
        <is>
          <t>From the old sheet (paid blocks only; all 4 counted, as it split equally)</t>
        </is>
      </c>
      <c r="Y15" s="125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</row>
    <row r="16" ht="21" customFormat="1" customHeight="1" s="127">
      <c r="A16" s="250" t="n">
        <v>46274</v>
      </c>
      <c r="B16" s="63">
        <f>CHOOSE(WEEKDAY($A16,2),"Mon","Tue","Wed","Thu","Fri","Sat","Sun")</f>
        <v/>
      </c>
      <c r="C16" s="64" t="n">
        <v>2380</v>
      </c>
      <c r="D16" s="64" t="n"/>
      <c r="E16" s="65">
        <f>IF($C16="","",$C16-N($D16))</f>
        <v/>
      </c>
      <c r="F16" s="65">
        <f>IF($C16="","",$C16-MAX(0,N($D16)-BreakAllow*$C16))</f>
        <v/>
      </c>
      <c r="G16" s="50" t="n">
        <v>1</v>
      </c>
      <c r="H16" s="50" t="n">
        <v>1</v>
      </c>
      <c r="I16" s="50" t="n">
        <v>1</v>
      </c>
      <c r="J16" s="50" t="n">
        <v>1</v>
      </c>
      <c r="K16" s="50" t="n"/>
      <c r="L16" s="50" t="n"/>
      <c r="M16" s="50" t="n"/>
      <c r="N16" s="50" t="n"/>
      <c r="O16" s="50" t="n"/>
      <c r="P16" s="50" t="n"/>
      <c r="Q16" s="50" t="n"/>
      <c r="R16" s="50" t="n"/>
      <c r="S16" s="51">
        <f>IF(COUNT(G16:R16)=0,"",SUM(G16:R16))</f>
        <v/>
      </c>
      <c r="T16" s="251">
        <f>IF($C16="","",IFERROR(INDEX(RateValues,MATCH(SUMPRODUCT(MAX((RateDates&lt;=$A16)*RateDates)),RateDates,0)),0))</f>
        <v/>
      </c>
      <c r="U16" s="252">
        <f>IF($C16="","",$F16*$T16)</f>
        <v/>
      </c>
      <c r="V16" s="253">
        <f>$A16-WEEKDAY($A16,2)+1</f>
        <v/>
      </c>
      <c r="W16" s="132">
        <f t="array" ref="W16">IF(AND($C16="",S16=""),"",IF(AND(N($C16)&gt;0,N(S16)=0),"nobody marked present",IF(N($D16)&gt;N($C16),"more broken than moulded",IF(AND($C16="",N(S16)&gt;0),"attendance marked but no blocks entered",IF(AND(N($C16)&gt;0,N(T16)=0),"no pay rate for this date - see Settings",IF(SUMPRODUCT((G16:R16&lt;&gt;"")*(G$5:R$5=""))&gt;0,"attendance in an empty worker slot",""))))))</f>
        <v/>
      </c>
      <c r="X16" s="133" t="inlineStr">
        <is>
          <t>From the old sheet (paid blocks only; all 4 counted, as it split equally)</t>
        </is>
      </c>
      <c r="Y16" s="125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</row>
    <row r="17" ht="21" customFormat="1" customHeight="1" s="127">
      <c r="A17" s="250" t="n">
        <v>46275</v>
      </c>
      <c r="B17" s="63">
        <f>CHOOSE(WEEKDAY($A17,2),"Mon","Tue","Wed","Thu","Fri","Sat","Sun")</f>
        <v/>
      </c>
      <c r="C17" s="64" t="n"/>
      <c r="D17" s="64" t="n"/>
      <c r="E17" s="65">
        <f>IF($C17="","",$C17-N($D17))</f>
        <v/>
      </c>
      <c r="F17" s="65">
        <f>IF($C17="","",$C17-MAX(0,N($D17)-BreakAllow*$C17))</f>
        <v/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1">
        <f>IF(COUNT(G17:R17)=0,"",SUM(G17:R17))</f>
        <v/>
      </c>
      <c r="T17" s="251">
        <f>IF($C17="","",IFERROR(INDEX(RateValues,MATCH(SUMPRODUCT(MAX((RateDates&lt;=$A17)*RateDates)),RateDates,0)),0))</f>
        <v/>
      </c>
      <c r="U17" s="252">
        <f>IF($C17="","",$F17*$T17)</f>
        <v/>
      </c>
      <c r="V17" s="253">
        <f>$A17-WEEKDAY($A17,2)+1</f>
        <v/>
      </c>
      <c r="W17" s="132">
        <f t="array" ref="W17">IF(AND($C17="",S17=""),"",IF(AND(N($C17)&gt;0,N(S17)=0),"nobody marked present",IF(N($D17)&gt;N($C17),"more broken than moulded",IF(AND($C17="",N(S17)&gt;0),"attendance marked but no blocks entered",IF(AND(N($C17)&gt;0,N(T17)=0),"no pay rate for this date - see Settings",IF(SUMPRODUCT((G17:R17&lt;&gt;"")*(G$5:R$5=""))&gt;0,"attendance in an empty worker slot",""))))))</f>
        <v/>
      </c>
      <c r="X17" s="133" t="n"/>
      <c r="Y17" s="125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</row>
    <row r="18" ht="21" customFormat="1" customHeight="1" s="127">
      <c r="A18" s="250" t="n">
        <v>46276</v>
      </c>
      <c r="B18" s="63">
        <f>CHOOSE(WEEKDAY($A18,2),"Mon","Tue","Wed","Thu","Fri","Sat","Sun")</f>
        <v/>
      </c>
      <c r="C18" s="64" t="n"/>
      <c r="D18" s="64" t="n"/>
      <c r="E18" s="65">
        <f>IF($C18="","",$C18-N($D18))</f>
        <v/>
      </c>
      <c r="F18" s="65">
        <f>IF($C18="","",$C18-MAX(0,N($D18)-BreakAllow*$C18))</f>
        <v/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1">
        <f>IF(COUNT(G18:R18)=0,"",SUM(G18:R18))</f>
        <v/>
      </c>
      <c r="T18" s="251">
        <f>IF($C18="","",IFERROR(INDEX(RateValues,MATCH(SUMPRODUCT(MAX((RateDates&lt;=$A18)*RateDates)),RateDates,0)),0))</f>
        <v/>
      </c>
      <c r="U18" s="252">
        <f>IF($C18="","",$F18*$T18)</f>
        <v/>
      </c>
      <c r="V18" s="253">
        <f>$A18-WEEKDAY($A18,2)+1</f>
        <v/>
      </c>
      <c r="W18" s="132">
        <f t="array" ref="W18">IF(AND($C18="",S18=""),"",IF(AND(N($C18)&gt;0,N(S18)=0),"nobody marked present",IF(N($D18)&gt;N($C18),"more broken than moulded",IF(AND($C18="",N(S18)&gt;0),"attendance marked but no blocks entered",IF(AND(N($C18)&gt;0,N(T18)=0),"no pay rate for this date - see Settings",IF(SUMPRODUCT((G18:R18&lt;&gt;"")*(G$5:R$5=""))&gt;0,"attendance in an empty worker slot",""))))))</f>
        <v/>
      </c>
      <c r="X18" s="133" t="n"/>
      <c r="Y18" s="125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</row>
    <row r="19" ht="21" customFormat="1" customHeight="1" s="127">
      <c r="A19" s="250" t="n">
        <v>46277</v>
      </c>
      <c r="B19" s="63">
        <f>CHOOSE(WEEKDAY($A19,2),"Mon","Tue","Wed","Thu","Fri","Sat","Sun")</f>
        <v/>
      </c>
      <c r="C19" s="64" t="n"/>
      <c r="D19" s="64" t="n"/>
      <c r="E19" s="65">
        <f>IF($C19="","",$C19-N($D19))</f>
        <v/>
      </c>
      <c r="F19" s="65">
        <f>IF($C19="","",$C19-MAX(0,N($D19)-BreakAllow*$C19))</f>
        <v/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1">
        <f>IF(COUNT(G19:R19)=0,"",SUM(G19:R19))</f>
        <v/>
      </c>
      <c r="T19" s="251">
        <f>IF($C19="","",IFERROR(INDEX(RateValues,MATCH(SUMPRODUCT(MAX((RateDates&lt;=$A19)*RateDates)),RateDates,0)),0))</f>
        <v/>
      </c>
      <c r="U19" s="252">
        <f>IF($C19="","",$F19*$T19)</f>
        <v/>
      </c>
      <c r="V19" s="253">
        <f>$A19-WEEKDAY($A19,2)+1</f>
        <v/>
      </c>
      <c r="W19" s="132">
        <f t="array" ref="W19">IF(AND($C19="",S19=""),"",IF(AND(N($C19)&gt;0,N(S19)=0),"nobody marked present",IF(N($D19)&gt;N($C19),"more broken than moulded",IF(AND($C19="",N(S19)&gt;0),"attendance marked but no blocks entered",IF(AND(N($C19)&gt;0,N(T19)=0),"no pay rate for this date - see Settings",IF(SUMPRODUCT((G19:R19&lt;&gt;"")*(G$5:R$5=""))&gt;0,"attendance in an empty worker slot",""))))))</f>
        <v/>
      </c>
      <c r="X19" s="133" t="n"/>
      <c r="Y19" s="125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</row>
    <row r="20" ht="21" customFormat="1" customHeight="1" s="127">
      <c r="A20" s="254" t="n">
        <v>46278</v>
      </c>
      <c r="B20" s="70">
        <f>CHOOSE(WEEKDAY($A20,2),"Mon","Tue","Wed","Thu","Fri","Sat","Sun")</f>
        <v/>
      </c>
      <c r="C20" s="64" t="n"/>
      <c r="D20" s="64" t="n"/>
      <c r="E20" s="65">
        <f>IF($C20="","",$C20-N($D20))</f>
        <v/>
      </c>
      <c r="F20" s="65">
        <f>IF($C20="","",$C20-MAX(0,N($D20)-BreakAllow*$C20))</f>
        <v/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1">
        <f>IF(COUNT(G20:R20)=0,"",SUM(G20:R20))</f>
        <v/>
      </c>
      <c r="T20" s="251">
        <f>IF($C20="","",IFERROR(INDEX(RateValues,MATCH(SUMPRODUCT(MAX((RateDates&lt;=$A20)*RateDates)),RateDates,0)),0))</f>
        <v/>
      </c>
      <c r="U20" s="252">
        <f>IF($C20="","",$F20*$T20)</f>
        <v/>
      </c>
      <c r="V20" s="253">
        <f>$A20-WEEKDAY($A20,2)+1</f>
        <v/>
      </c>
      <c r="W20" s="132">
        <f t="array" ref="W20">IF(AND($C20="",S20=""),"",IF(AND(N($C20)&gt;0,N(S20)=0),"nobody marked present",IF(N($D20)&gt;N($C20),"more broken than moulded",IF(AND($C20="",N(S20)&gt;0),"attendance marked but no blocks entered",IF(AND(N($C20)&gt;0,N(T20)=0),"no pay rate for this date - see Settings",IF(SUMPRODUCT((G20:R20&lt;&gt;"")*(G$5:R$5=""))&gt;0,"attendance in an empty worker slot",""))))))</f>
        <v/>
      </c>
      <c r="X20" s="133" t="n"/>
      <c r="Y20" s="125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</row>
    <row r="21" ht="21" customFormat="1" customHeight="1" s="127">
      <c r="A21" s="250" t="n">
        <v>46279</v>
      </c>
      <c r="B21" s="63">
        <f>CHOOSE(WEEKDAY($A21,2),"Mon","Tue","Wed","Thu","Fri","Sat","Sun")</f>
        <v/>
      </c>
      <c r="C21" s="64" t="n">
        <v>2422</v>
      </c>
      <c r="D21" s="64" t="n"/>
      <c r="E21" s="65">
        <f>IF($C21="","",$C21-N($D21))</f>
        <v/>
      </c>
      <c r="F21" s="65">
        <f>IF($C21="","",$C21-MAX(0,N($D21)-BreakAllow*$C21))</f>
        <v/>
      </c>
      <c r="G21" s="50" t="n">
        <v>1</v>
      </c>
      <c r="H21" s="50" t="n">
        <v>1</v>
      </c>
      <c r="I21" s="50" t="n">
        <v>1</v>
      </c>
      <c r="J21" s="50" t="n">
        <v>1</v>
      </c>
      <c r="K21" s="50" t="n"/>
      <c r="L21" s="50" t="n"/>
      <c r="M21" s="50" t="n"/>
      <c r="N21" s="50" t="n"/>
      <c r="O21" s="50" t="n"/>
      <c r="P21" s="50" t="n"/>
      <c r="Q21" s="50" t="n"/>
      <c r="R21" s="50" t="n"/>
      <c r="S21" s="51">
        <f>IF(COUNT(G21:R21)=0,"",SUM(G21:R21))</f>
        <v/>
      </c>
      <c r="T21" s="251">
        <f>IF($C21="","",IFERROR(INDEX(RateValues,MATCH(SUMPRODUCT(MAX((RateDates&lt;=$A21)*RateDates)),RateDates,0)),0))</f>
        <v/>
      </c>
      <c r="U21" s="252">
        <f>IF($C21="","",$F21*$T21)</f>
        <v/>
      </c>
      <c r="V21" s="253">
        <f>$A21-WEEKDAY($A21,2)+1</f>
        <v/>
      </c>
      <c r="W21" s="132">
        <f t="array" ref="W21">IF(AND($C21="",S21=""),"",IF(AND(N($C21)&gt;0,N(S21)=0),"nobody marked present",IF(N($D21)&gt;N($C21),"more broken than moulded",IF(AND($C21="",N(S21)&gt;0),"attendance marked but no blocks entered",IF(AND(N($C21)&gt;0,N(T21)=0),"no pay rate for this date - see Settings",IF(SUMPRODUCT((G21:R21&lt;&gt;"")*(G$5:R$5=""))&gt;0,"attendance in an empty worker slot",""))))))</f>
        <v/>
      </c>
      <c r="X21" s="133" t="inlineStr">
        <is>
          <t>From the old sheet (paid blocks only; all 4 counted, as it split equally)</t>
        </is>
      </c>
      <c r="Y21" s="125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</row>
    <row r="22" ht="21" customFormat="1" customHeight="1" s="127">
      <c r="A22" s="250" t="n">
        <v>46280</v>
      </c>
      <c r="B22" s="63">
        <f>CHOOSE(WEEKDAY($A22,2),"Mon","Tue","Wed","Thu","Fri","Sat","Sun")</f>
        <v/>
      </c>
      <c r="C22" s="64" t="n">
        <v>1750</v>
      </c>
      <c r="D22" s="64" t="n"/>
      <c r="E22" s="65">
        <f>IF($C22="","",$C22-N($D22))</f>
        <v/>
      </c>
      <c r="F22" s="65">
        <f>IF($C22="","",$C22-MAX(0,N($D22)-BreakAllow*$C22))</f>
        <v/>
      </c>
      <c r="G22" s="50" t="n">
        <v>1</v>
      </c>
      <c r="H22" s="50" t="n">
        <v>1</v>
      </c>
      <c r="I22" s="50" t="n">
        <v>1</v>
      </c>
      <c r="J22" s="50" t="n">
        <v>1</v>
      </c>
      <c r="K22" s="50" t="n"/>
      <c r="L22" s="50" t="n"/>
      <c r="M22" s="50" t="n"/>
      <c r="N22" s="50" t="n"/>
      <c r="O22" s="50" t="n"/>
      <c r="P22" s="50" t="n"/>
      <c r="Q22" s="50" t="n"/>
      <c r="R22" s="50" t="n"/>
      <c r="S22" s="51">
        <f>IF(COUNT(G22:R22)=0,"",SUM(G22:R22))</f>
        <v/>
      </c>
      <c r="T22" s="251">
        <f>IF($C22="","",IFERROR(INDEX(RateValues,MATCH(SUMPRODUCT(MAX((RateDates&lt;=$A22)*RateDates)),RateDates,0)),0))</f>
        <v/>
      </c>
      <c r="U22" s="252">
        <f>IF($C22="","",$F22*$T22)</f>
        <v/>
      </c>
      <c r="V22" s="253">
        <f>$A22-WEEKDAY($A22,2)+1</f>
        <v/>
      </c>
      <c r="W22" s="132">
        <f t="array" ref="W22">IF(AND($C22="",S22=""),"",IF(AND(N($C22)&gt;0,N(S22)=0),"nobody marked present",IF(N($D22)&gt;N($C22),"more broken than moulded",IF(AND($C22="",N(S22)&gt;0),"attendance marked but no blocks entered",IF(AND(N($C22)&gt;0,N(T22)=0),"no pay rate for this date - see Settings",IF(SUMPRODUCT((G22:R22&lt;&gt;"")*(G$5:R$5=""))&gt;0,"attendance in an empty worker slot",""))))))</f>
        <v/>
      </c>
      <c r="X22" s="133" t="inlineStr">
        <is>
          <t>From the old sheet (paid blocks only; all 4 counted, as it split equally)</t>
        </is>
      </c>
      <c r="Y22" s="125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</row>
    <row r="23" ht="21" customFormat="1" customHeight="1" s="127">
      <c r="A23" s="250" t="n">
        <v>46281</v>
      </c>
      <c r="B23" s="63">
        <f>CHOOSE(WEEKDAY($A23,2),"Mon","Tue","Wed","Thu","Fri","Sat","Sun")</f>
        <v/>
      </c>
      <c r="C23" s="64" t="n">
        <v>2107</v>
      </c>
      <c r="D23" s="64" t="n"/>
      <c r="E23" s="65">
        <f>IF($C23="","",$C23-N($D23))</f>
        <v/>
      </c>
      <c r="F23" s="65">
        <f>IF($C23="","",$C23-MAX(0,N($D23)-BreakAllow*$C23))</f>
        <v/>
      </c>
      <c r="G23" s="50" t="n">
        <v>1</v>
      </c>
      <c r="H23" s="50" t="n">
        <v>1</v>
      </c>
      <c r="I23" s="50" t="n">
        <v>1</v>
      </c>
      <c r="J23" s="50" t="n">
        <v>1</v>
      </c>
      <c r="K23" s="50" t="n"/>
      <c r="L23" s="50" t="n"/>
      <c r="M23" s="50" t="n"/>
      <c r="N23" s="50" t="n"/>
      <c r="O23" s="50" t="n"/>
      <c r="P23" s="50" t="n"/>
      <c r="Q23" s="50" t="n"/>
      <c r="R23" s="50" t="n"/>
      <c r="S23" s="51">
        <f>IF(COUNT(G23:R23)=0,"",SUM(G23:R23))</f>
        <v/>
      </c>
      <c r="T23" s="251">
        <f>IF($C23="","",IFERROR(INDEX(RateValues,MATCH(SUMPRODUCT(MAX((RateDates&lt;=$A23)*RateDates)),RateDates,0)),0))</f>
        <v/>
      </c>
      <c r="U23" s="252">
        <f>IF($C23="","",$F23*$T23)</f>
        <v/>
      </c>
      <c r="V23" s="253">
        <f>$A23-WEEKDAY($A23,2)+1</f>
        <v/>
      </c>
      <c r="W23" s="132">
        <f t="array" ref="W23">IF(AND($C23="",S23=""),"",IF(AND(N($C23)&gt;0,N(S23)=0),"nobody marked present",IF(N($D23)&gt;N($C23),"more broken than moulded",IF(AND($C23="",N(S23)&gt;0),"attendance marked but no blocks entered",IF(AND(N($C23)&gt;0,N(T23)=0),"no pay rate for this date - see Settings",IF(SUMPRODUCT((G23:R23&lt;&gt;"")*(G$5:R$5=""))&gt;0,"attendance in an empty worker slot",""))))))</f>
        <v/>
      </c>
      <c r="X23" s="133" t="inlineStr">
        <is>
          <t>From the old sheet (paid blocks only; all 4 counted, as it split equally)</t>
        </is>
      </c>
      <c r="Y23" s="125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</row>
    <row r="24" ht="21" customFormat="1" customHeight="1" s="127">
      <c r="A24" s="250" t="n">
        <v>46282</v>
      </c>
      <c r="B24" s="63">
        <f>CHOOSE(WEEKDAY($A24,2),"Mon","Tue","Wed","Thu","Fri","Sat","Sun")</f>
        <v/>
      </c>
      <c r="C24" s="64" t="n"/>
      <c r="D24" s="64" t="n"/>
      <c r="E24" s="65">
        <f>IF($C24="","",$C24-N($D24))</f>
        <v/>
      </c>
      <c r="F24" s="65">
        <f>IF($C24="","",$C24-MAX(0,N($D24)-BreakAllow*$C24))</f>
        <v/>
      </c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1">
        <f>IF(COUNT(G24:R24)=0,"",SUM(G24:R24))</f>
        <v/>
      </c>
      <c r="T24" s="251">
        <f>IF($C24="","",IFERROR(INDEX(RateValues,MATCH(SUMPRODUCT(MAX((RateDates&lt;=$A24)*RateDates)),RateDates,0)),0))</f>
        <v/>
      </c>
      <c r="U24" s="252">
        <f>IF($C24="","",$F24*$T24)</f>
        <v/>
      </c>
      <c r="V24" s="253">
        <f>$A24-WEEKDAY($A24,2)+1</f>
        <v/>
      </c>
      <c r="W24" s="132">
        <f t="array" ref="W24">IF(AND($C24="",S24=""),"",IF(AND(N($C24)&gt;0,N(S24)=0),"nobody marked present",IF(N($D24)&gt;N($C24),"more broken than moulded",IF(AND($C24="",N(S24)&gt;0),"attendance marked but no blocks entered",IF(AND(N($C24)&gt;0,N(T24)=0),"no pay rate for this date - see Settings",IF(SUMPRODUCT((G24:R24&lt;&gt;"")*(G$5:R$5=""))&gt;0,"attendance in an empty worker slot",""))))))</f>
        <v/>
      </c>
      <c r="X24" s="133" t="inlineStr">
        <is>
          <t>No production (blank in the old sheet)</t>
        </is>
      </c>
      <c r="Y24" s="125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</row>
    <row r="25" ht="21" customFormat="1" customHeight="1" s="127">
      <c r="A25" s="250" t="n">
        <v>46283</v>
      </c>
      <c r="B25" s="63">
        <f>CHOOSE(WEEKDAY($A25,2),"Mon","Tue","Wed","Thu","Fri","Sat","Sun")</f>
        <v/>
      </c>
      <c r="C25" s="64" t="n">
        <v>2905</v>
      </c>
      <c r="D25" s="64" t="n"/>
      <c r="E25" s="65">
        <f>IF($C25="","",$C25-N($D25))</f>
        <v/>
      </c>
      <c r="F25" s="65">
        <f>IF($C25="","",$C25-MAX(0,N($D25)-BreakAllow*$C25))</f>
        <v/>
      </c>
      <c r="G25" s="50" t="n">
        <v>1</v>
      </c>
      <c r="H25" s="50" t="n">
        <v>1</v>
      </c>
      <c r="I25" s="50" t="n">
        <v>1</v>
      </c>
      <c r="J25" s="50" t="n">
        <v>1</v>
      </c>
      <c r="K25" s="50" t="n"/>
      <c r="L25" s="50" t="n"/>
      <c r="M25" s="50" t="n"/>
      <c r="N25" s="50" t="n"/>
      <c r="O25" s="50" t="n"/>
      <c r="P25" s="50" t="n"/>
      <c r="Q25" s="50" t="n"/>
      <c r="R25" s="50" t="n"/>
      <c r="S25" s="51">
        <f>IF(COUNT(G25:R25)=0,"",SUM(G25:R25))</f>
        <v/>
      </c>
      <c r="T25" s="251">
        <f>IF($C25="","",IFERROR(INDEX(RateValues,MATCH(SUMPRODUCT(MAX((RateDates&lt;=$A25)*RateDates)),RateDates,0)),0))</f>
        <v/>
      </c>
      <c r="U25" s="252">
        <f>IF($C25="","",$F25*$T25)</f>
        <v/>
      </c>
      <c r="V25" s="253">
        <f>$A25-WEEKDAY($A25,2)+1</f>
        <v/>
      </c>
      <c r="W25" s="132">
        <f t="array" ref="W25">IF(AND($C25="",S25=""),"",IF(AND(N($C25)&gt;0,N(S25)=0),"nobody marked present",IF(N($D25)&gt;N($C25),"more broken than moulded",IF(AND($C25="",N(S25)&gt;0),"attendance marked but no blocks entered",IF(AND(N($C25)&gt;0,N(T25)=0),"no pay rate for this date - see Settings",IF(SUMPRODUCT((G25:R25&lt;&gt;"")*(G$5:R$5=""))&gt;0,"attendance in an empty worker slot",""))))))</f>
        <v/>
      </c>
      <c r="X25" s="133" t="inlineStr">
        <is>
          <t>From the old sheet (paid blocks only; all 4 counted, as it split equally)</t>
        </is>
      </c>
      <c r="Y25" s="125" t="n"/>
      <c r="Z25" s="126" t="n"/>
      <c r="AA25" s="126" t="n"/>
      <c r="AB25" s="126" t="n"/>
      <c r="AC25" s="126" t="n"/>
      <c r="AD25" s="126" t="n"/>
      <c r="AE25" s="126" t="n"/>
      <c r="AF25" s="126" t="n"/>
      <c r="AG25" s="126" t="n"/>
      <c r="AH25" s="126" t="n"/>
      <c r="AI25" s="126" t="n"/>
      <c r="AJ25" s="126" t="n"/>
      <c r="AK25" s="126" t="n"/>
      <c r="AL25" s="126" t="n"/>
      <c r="AM25" s="126" t="n"/>
    </row>
    <row r="26" ht="21" customFormat="1" customHeight="1" s="127">
      <c r="A26" s="250" t="n">
        <v>46284</v>
      </c>
      <c r="B26" s="63">
        <f>CHOOSE(WEEKDAY($A26,2),"Mon","Tue","Wed","Thu","Fri","Sat","Sun")</f>
        <v/>
      </c>
      <c r="C26" s="64" t="n"/>
      <c r="D26" s="64" t="n"/>
      <c r="E26" s="65">
        <f>IF($C26="","",$C26-N($D26))</f>
        <v/>
      </c>
      <c r="F26" s="65">
        <f>IF($C26="","",$C26-MAX(0,N($D26)-BreakAllow*$C26))</f>
        <v/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1">
        <f>IF(COUNT(G26:R26)=0,"",SUM(G26:R26))</f>
        <v/>
      </c>
      <c r="T26" s="251">
        <f>IF($C26="","",IFERROR(INDEX(RateValues,MATCH(SUMPRODUCT(MAX((RateDates&lt;=$A26)*RateDates)),RateDates,0)),0))</f>
        <v/>
      </c>
      <c r="U26" s="252">
        <f>IF($C26="","",$F26*$T26)</f>
        <v/>
      </c>
      <c r="V26" s="253">
        <f>$A26-WEEKDAY($A26,2)+1</f>
        <v/>
      </c>
      <c r="W26" s="132">
        <f t="array" ref="W26">IF(AND($C26="",S26=""),"",IF(AND(N($C26)&gt;0,N(S26)=0),"nobody marked present",IF(N($D26)&gt;N($C26),"more broken than moulded",IF(AND($C26="",N(S26)&gt;0),"attendance marked but no blocks entered",IF(AND(N($C26)&gt;0,N(T26)=0),"no pay rate for this date - see Settings",IF(SUMPRODUCT((G26:R26&lt;&gt;"")*(G$5:R$5=""))&gt;0,"attendance in an empty worker slot",""))))))</f>
        <v/>
      </c>
      <c r="X26" s="133" t="n"/>
      <c r="Y26" s="125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</row>
    <row r="27" ht="21" customFormat="1" customHeight="1" s="127">
      <c r="A27" s="254" t="n">
        <v>46285</v>
      </c>
      <c r="B27" s="70">
        <f>CHOOSE(WEEKDAY($A27,2),"Mon","Tue","Wed","Thu","Fri","Sat","Sun")</f>
        <v/>
      </c>
      <c r="C27" s="64" t="n"/>
      <c r="D27" s="64" t="n"/>
      <c r="E27" s="65">
        <f>IF($C27="","",$C27-N($D27))</f>
        <v/>
      </c>
      <c r="F27" s="65">
        <f>IF($C27="","",$C27-MAX(0,N($D27)-BreakAllow*$C27))</f>
        <v/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1">
        <f>IF(COUNT(G27:R27)=0,"",SUM(G27:R27))</f>
        <v/>
      </c>
      <c r="T27" s="251">
        <f>IF($C27="","",IFERROR(INDEX(RateValues,MATCH(SUMPRODUCT(MAX((RateDates&lt;=$A27)*RateDates)),RateDates,0)),0))</f>
        <v/>
      </c>
      <c r="U27" s="252">
        <f>IF($C27="","",$F27*$T27)</f>
        <v/>
      </c>
      <c r="V27" s="253">
        <f>$A27-WEEKDAY($A27,2)+1</f>
        <v/>
      </c>
      <c r="W27" s="132">
        <f t="array" ref="W27">IF(AND($C27="",S27=""),"",IF(AND(N($C27)&gt;0,N(S27)=0),"nobody marked present",IF(N($D27)&gt;N($C27),"more broken than moulded",IF(AND($C27="",N(S27)&gt;0),"attendance marked but no blocks entered",IF(AND(N($C27)&gt;0,N(T27)=0),"no pay rate for this date - see Settings",IF(SUMPRODUCT((G27:R27&lt;&gt;"")*(G$5:R$5=""))&gt;0,"attendance in an empty worker slot",""))))))</f>
        <v/>
      </c>
      <c r="X27" s="133" t="n"/>
      <c r="Y27" s="125" t="n"/>
      <c r="Z27" s="126" t="n"/>
      <c r="AA27" s="126" t="n"/>
      <c r="AB27" s="126" t="n"/>
      <c r="AC27" s="126" t="n"/>
      <c r="AD27" s="126" t="n"/>
      <c r="AE27" s="126" t="n"/>
      <c r="AF27" s="126" t="n"/>
      <c r="AG27" s="126" t="n"/>
      <c r="AH27" s="126" t="n"/>
      <c r="AI27" s="126" t="n"/>
      <c r="AJ27" s="126" t="n"/>
      <c r="AK27" s="126" t="n"/>
      <c r="AL27" s="126" t="n"/>
      <c r="AM27" s="126" t="n"/>
    </row>
    <row r="28" ht="21" customFormat="1" customHeight="1" s="127">
      <c r="A28" s="250" t="n">
        <v>46286</v>
      </c>
      <c r="B28" s="63">
        <f>CHOOSE(WEEKDAY($A28,2),"Mon","Tue","Wed","Thu","Fri","Sat","Sun")</f>
        <v/>
      </c>
      <c r="C28" s="64" t="n">
        <v>1500</v>
      </c>
      <c r="D28" s="64" t="n">
        <v>10</v>
      </c>
      <c r="E28" s="65">
        <f>IF($C28="","",$C28-N($D28))</f>
        <v/>
      </c>
      <c r="F28" s="65">
        <f>IF($C28="","",$C28-MAX(0,N($D28)-BreakAllow*$C28))</f>
        <v/>
      </c>
      <c r="G28" s="50" t="n">
        <v>1</v>
      </c>
      <c r="H28" s="50" t="n">
        <v>1</v>
      </c>
      <c r="I28" s="50" t="n">
        <v>1</v>
      </c>
      <c r="J28" s="50" t="n">
        <v>1</v>
      </c>
      <c r="K28" s="50" t="n"/>
      <c r="L28" s="50" t="n"/>
      <c r="M28" s="50" t="n"/>
      <c r="N28" s="50" t="n"/>
      <c r="O28" s="50" t="n"/>
      <c r="P28" s="50" t="n"/>
      <c r="Q28" s="50" t="n"/>
      <c r="R28" s="50" t="n"/>
      <c r="S28" s="51">
        <f>IF(COUNT(G28:R28)=0,"",SUM(G28:R28))</f>
        <v/>
      </c>
      <c r="T28" s="251">
        <f>IF($C28="","",IFERROR(INDEX(RateValues,MATCH(SUMPRODUCT(MAX((RateDates&lt;=$A28)*RateDates)),RateDates,0)),0))</f>
        <v/>
      </c>
      <c r="U28" s="252">
        <f>IF($C28="","",$F28*$T28)</f>
        <v/>
      </c>
      <c r="V28" s="253">
        <f>$A28-WEEKDAY($A28,2)+1</f>
        <v/>
      </c>
      <c r="W28" s="132">
        <f t="array" ref="W28">IF(AND($C28="",S28=""),"",IF(AND(N($C28)&gt;0,N(S28)=0),"nobody marked present",IF(N($D28)&gt;N($C28),"more broken than moulded",IF(AND($C28="",N(S28)&gt;0),"attendance marked but no blocks entered",IF(AND(N($C28)&gt;0,N(T28)=0),"no pay rate for this date - see Settings",IF(SUMPRODUCT((G28:R28&lt;&gt;"")*(G$5:R$5=""))&gt;0,"attendance in an empty worker slot",""))))))</f>
        <v/>
      </c>
      <c r="X28" s="133" t="n"/>
      <c r="Y28" s="125" t="n"/>
      <c r="Z28" s="126" t="n"/>
      <c r="AA28" s="126" t="n"/>
      <c r="AB28" s="126" t="n"/>
      <c r="AC28" s="126" t="n"/>
      <c r="AD28" s="126" t="n"/>
      <c r="AE28" s="126" t="n"/>
      <c r="AF28" s="126" t="n"/>
      <c r="AG28" s="126" t="n"/>
      <c r="AH28" s="126" t="n"/>
      <c r="AI28" s="126" t="n"/>
      <c r="AJ28" s="126" t="n"/>
      <c r="AK28" s="126" t="n"/>
      <c r="AL28" s="126" t="n"/>
      <c r="AM28" s="126" t="n"/>
    </row>
    <row r="29" ht="21" customFormat="1" customHeight="1" s="127">
      <c r="A29" s="250" t="n">
        <v>46287</v>
      </c>
      <c r="B29" s="63">
        <f>CHOOSE(WEEKDAY($A29,2),"Mon","Tue","Wed","Thu","Fri","Sat","Sun")</f>
        <v/>
      </c>
      <c r="C29" s="64" t="n">
        <v>2000</v>
      </c>
      <c r="D29" s="64" t="n">
        <v>21</v>
      </c>
      <c r="E29" s="65">
        <f>IF($C29="","",$C29-N($D29))</f>
        <v/>
      </c>
      <c r="F29" s="65">
        <f>IF($C29="","",$C29-MAX(0,N($D29)-BreakAllow*$C29))</f>
        <v/>
      </c>
      <c r="G29" s="50" t="n">
        <v>1</v>
      </c>
      <c r="H29" s="50" t="n">
        <v>1</v>
      </c>
      <c r="I29" s="50" t="n">
        <v>1</v>
      </c>
      <c r="J29" s="50" t="n">
        <v>1</v>
      </c>
      <c r="K29" s="50" t="n"/>
      <c r="L29" s="50" t="n"/>
      <c r="M29" s="50" t="n"/>
      <c r="N29" s="50" t="n"/>
      <c r="O29" s="50" t="n"/>
      <c r="P29" s="50" t="n"/>
      <c r="Q29" s="50" t="n"/>
      <c r="R29" s="50" t="n"/>
      <c r="S29" s="51">
        <f>IF(COUNT(G29:R29)=0,"",SUM(G29:R29))</f>
        <v/>
      </c>
      <c r="T29" s="251">
        <f>IF($C29="","",IFERROR(INDEX(RateValues,MATCH(SUMPRODUCT(MAX((RateDates&lt;=$A29)*RateDates)),RateDates,0)),0))</f>
        <v/>
      </c>
      <c r="U29" s="252">
        <f>IF($C29="","",$F29*$T29)</f>
        <v/>
      </c>
      <c r="V29" s="253">
        <f>$A29-WEEKDAY($A29,2)+1</f>
        <v/>
      </c>
      <c r="W29" s="132">
        <f t="array" ref="W29">IF(AND($C29="",S29=""),"",IF(AND(N($C29)&gt;0,N(S29)=0),"nobody marked present",IF(N($D29)&gt;N($C29),"more broken than moulded",IF(AND($C29="",N(S29)&gt;0),"attendance marked but no blocks entered",IF(AND(N($C29)&gt;0,N(T29)=0),"no pay rate for this date - see Settings",IF(SUMPRODUCT((G29:R29&lt;&gt;"")*(G$5:R$5=""))&gt;0,"attendance in an empty worker slot",""))))))</f>
        <v/>
      </c>
      <c r="X29" s="133" t="n"/>
      <c r="Y29" s="125" t="n"/>
      <c r="Z29" s="126" t="n"/>
      <c r="AA29" s="126" t="n"/>
      <c r="AB29" s="126" t="n"/>
      <c r="AC29" s="126" t="n"/>
      <c r="AD29" s="126" t="n"/>
      <c r="AE29" s="126" t="n"/>
      <c r="AF29" s="126" t="n"/>
      <c r="AG29" s="126" t="n"/>
      <c r="AH29" s="126" t="n"/>
      <c r="AI29" s="126" t="n"/>
      <c r="AJ29" s="126" t="n"/>
      <c r="AK29" s="126" t="n"/>
      <c r="AL29" s="126" t="n"/>
      <c r="AM29" s="126" t="n"/>
    </row>
    <row r="30" ht="21" customFormat="1" customHeight="1" s="127">
      <c r="A30" s="250" t="n">
        <v>46288</v>
      </c>
      <c r="B30" s="63">
        <f>CHOOSE(WEEKDAY($A30,2),"Mon","Tue","Wed","Thu","Fri","Sat","Sun")</f>
        <v/>
      </c>
      <c r="C30" s="64" t="n">
        <v>2300</v>
      </c>
      <c r="D30" s="64" t="n">
        <v>25</v>
      </c>
      <c r="E30" s="65">
        <f>IF($C30="","",$C30-N($D30))</f>
        <v/>
      </c>
      <c r="F30" s="65">
        <f>IF($C30="","",$C30-MAX(0,N($D30)-BreakAllow*$C30))</f>
        <v/>
      </c>
      <c r="G30" s="50" t="n">
        <v>1</v>
      </c>
      <c r="H30" s="50" t="n">
        <v>1</v>
      </c>
      <c r="I30" s="50" t="n">
        <v>1</v>
      </c>
      <c r="J30" s="50" t="n">
        <v>1</v>
      </c>
      <c r="K30" s="50" t="n"/>
      <c r="L30" s="50" t="n"/>
      <c r="M30" s="50" t="n"/>
      <c r="N30" s="50" t="n"/>
      <c r="O30" s="50" t="n"/>
      <c r="P30" s="50" t="n"/>
      <c r="Q30" s="50" t="n"/>
      <c r="R30" s="50" t="n"/>
      <c r="S30" s="51">
        <f>IF(COUNT(G30:R30)=0,"",SUM(G30:R30))</f>
        <v/>
      </c>
      <c r="T30" s="251">
        <f>IF($C30="","",IFERROR(INDEX(RateValues,MATCH(SUMPRODUCT(MAX((RateDates&lt;=$A30)*RateDates)),RateDates,0)),0))</f>
        <v/>
      </c>
      <c r="U30" s="252">
        <f>IF($C30="","",$F30*$T30)</f>
        <v/>
      </c>
      <c r="V30" s="253">
        <f>$A30-WEEKDAY($A30,2)+1</f>
        <v/>
      </c>
      <c r="W30" s="132">
        <f t="array" ref="W30">IF(AND($C30="",S30=""),"",IF(AND(N($C30)&gt;0,N(S30)=0),"nobody marked present",IF(N($D30)&gt;N($C30),"more broken than moulded",IF(AND($C30="",N(S30)&gt;0),"attendance marked but no blocks entered",IF(AND(N($C30)&gt;0,N(T30)=0),"no pay rate for this date - see Settings",IF(SUMPRODUCT((G30:R30&lt;&gt;"")*(G$5:R$5=""))&gt;0,"attendance in an empty worker slot",""))))))</f>
        <v/>
      </c>
      <c r="X30" s="133" t="n"/>
      <c r="Y30" s="125" t="n"/>
      <c r="Z30" s="126" t="n"/>
      <c r="AA30" s="126" t="n"/>
      <c r="AB30" s="126" t="n"/>
      <c r="AC30" s="126" t="n"/>
      <c r="AD30" s="126" t="n"/>
      <c r="AE30" s="126" t="n"/>
      <c r="AF30" s="126" t="n"/>
      <c r="AG30" s="126" t="n"/>
      <c r="AH30" s="126" t="n"/>
      <c r="AI30" s="126" t="n"/>
      <c r="AJ30" s="126" t="n"/>
      <c r="AK30" s="126" t="n"/>
      <c r="AL30" s="126" t="n"/>
      <c r="AM30" s="126" t="n"/>
    </row>
    <row r="31" ht="21" customFormat="1" customHeight="1" s="127">
      <c r="A31" s="250" t="n">
        <v>46289</v>
      </c>
      <c r="B31" s="63">
        <f>CHOOSE(WEEKDAY($A31,2),"Mon","Tue","Wed","Thu","Fri","Sat","Sun")</f>
        <v/>
      </c>
      <c r="C31" s="64" t="n">
        <v>1900</v>
      </c>
      <c r="D31" s="64" t="n">
        <v>20</v>
      </c>
      <c r="E31" s="65">
        <f>IF($C31="","",$C31-N($D31))</f>
        <v/>
      </c>
      <c r="F31" s="65">
        <f>IF($C31="","",$C31-MAX(0,N($D31)-BreakAllow*$C31))</f>
        <v/>
      </c>
      <c r="G31" s="50" t="n">
        <v>1</v>
      </c>
      <c r="H31" s="50" t="n">
        <v>1</v>
      </c>
      <c r="I31" s="50" t="n">
        <v>1</v>
      </c>
      <c r="J31" s="50" t="n">
        <v>1</v>
      </c>
      <c r="K31" s="50" t="n"/>
      <c r="L31" s="50" t="n"/>
      <c r="M31" s="50" t="n"/>
      <c r="N31" s="50" t="n"/>
      <c r="O31" s="50" t="n"/>
      <c r="P31" s="50" t="n"/>
      <c r="Q31" s="50" t="n"/>
      <c r="R31" s="50" t="n"/>
      <c r="S31" s="51">
        <f>IF(COUNT(G31:R31)=0,"",SUM(G31:R31))</f>
        <v/>
      </c>
      <c r="T31" s="251">
        <f>IF($C31="","",IFERROR(INDEX(RateValues,MATCH(SUMPRODUCT(MAX((RateDates&lt;=$A31)*RateDates)),RateDates,0)),0))</f>
        <v/>
      </c>
      <c r="U31" s="252">
        <f>IF($C31="","",$F31*$T31)</f>
        <v/>
      </c>
      <c r="V31" s="253">
        <f>$A31-WEEKDAY($A31,2)+1</f>
        <v/>
      </c>
      <c r="W31" s="132">
        <f t="array" ref="W31">IF(AND($C31="",S31=""),"",IF(AND(N($C31)&gt;0,N(S31)=0),"nobody marked present",IF(N($D31)&gt;N($C31),"more broken than moulded",IF(AND($C31="",N(S31)&gt;0),"attendance marked but no blocks entered",IF(AND(N($C31)&gt;0,N(T31)=0),"no pay rate for this date - see Settings",IF(SUMPRODUCT((G31:R31&lt;&gt;"")*(G$5:R$5=""))&gt;0,"attendance in an empty worker slot",""))))))</f>
        <v/>
      </c>
      <c r="X31" s="133" t="n"/>
      <c r="Y31" s="125" t="n"/>
      <c r="Z31" s="126" t="n"/>
      <c r="AA31" s="126" t="n"/>
      <c r="AB31" s="126" t="n"/>
      <c r="AC31" s="126" t="n"/>
      <c r="AD31" s="126" t="n"/>
      <c r="AE31" s="126" t="n"/>
      <c r="AF31" s="126" t="n"/>
      <c r="AG31" s="126" t="n"/>
      <c r="AH31" s="126" t="n"/>
      <c r="AI31" s="126" t="n"/>
      <c r="AJ31" s="126" t="n"/>
      <c r="AK31" s="126" t="n"/>
      <c r="AL31" s="126" t="n"/>
      <c r="AM31" s="126" t="n"/>
    </row>
    <row r="32" ht="21" customFormat="1" customHeight="1" s="127">
      <c r="A32" s="250" t="n">
        <v>46290</v>
      </c>
      <c r="B32" s="63">
        <f>CHOOSE(WEEKDAY($A32,2),"Mon","Tue","Wed","Thu","Fri","Sat","Sun")</f>
        <v/>
      </c>
      <c r="C32" s="255" t="n">
        <v>2278</v>
      </c>
      <c r="D32" s="64" t="n">
        <v>25</v>
      </c>
      <c r="E32" s="65">
        <f>IF($C32="","",$C32-N($D32))</f>
        <v/>
      </c>
      <c r="F32" s="65">
        <f>IF($C32="","",$C32-MAX(0,N($D32)-BreakAllow*$C32))</f>
        <v/>
      </c>
      <c r="G32" s="50" t="n">
        <v>1</v>
      </c>
      <c r="H32" s="50" t="n">
        <v>1</v>
      </c>
      <c r="I32" s="50" t="n">
        <v>1</v>
      </c>
      <c r="J32" s="50" t="n">
        <v>1</v>
      </c>
      <c r="K32" s="50" t="n"/>
      <c r="L32" s="50" t="n"/>
      <c r="M32" s="50" t="n"/>
      <c r="N32" s="50" t="n"/>
      <c r="O32" s="50" t="n"/>
      <c r="P32" s="50" t="n"/>
      <c r="Q32" s="50" t="n"/>
      <c r="R32" s="50" t="n"/>
      <c r="S32" s="51">
        <f>IF(COUNT(G32:R32)=0,"",SUM(G32:R32))</f>
        <v/>
      </c>
      <c r="T32" s="251">
        <f>IF($C32="","",IFERROR(INDEX(RateValues,MATCH(SUMPRODUCT(MAX((RateDates&lt;=$A32)*RateDates)),RateDates,0)),0))</f>
        <v/>
      </c>
      <c r="U32" s="252">
        <f>IF($C32="","",$F32*$T32)</f>
        <v/>
      </c>
      <c r="V32" s="253">
        <f>$A32-WEEKDAY($A32,2)+1</f>
        <v/>
      </c>
      <c r="W32" s="132">
        <f t="array" ref="W32">IF(AND($C32="",S32=""),"",IF(AND(N($C32)&gt;0,N(S32)=0),"nobody marked present",IF(N($D32)&gt;N($C32),"more broken than moulded",IF(AND($C32="",N(S32)&gt;0),"attendance marked but no blocks entered",IF(AND(N($C32)&gt;0,N(T32)=0),"no pay rate for this date - see Settings",IF(SUMPRODUCT((G32:R32&lt;&gt;"")*(G$5:R$5=""))&gt;0,"attendance in an empty worker slot",""))))))</f>
        <v/>
      </c>
      <c r="X32" s="133" t="n"/>
      <c r="Y32" s="125" t="n"/>
      <c r="Z32" s="126" t="n"/>
      <c r="AA32" s="126" t="n"/>
      <c r="AB32" s="126" t="n"/>
      <c r="AC32" s="126" t="n"/>
      <c r="AD32" s="126" t="n"/>
      <c r="AE32" s="126" t="n"/>
      <c r="AF32" s="126" t="n"/>
      <c r="AG32" s="126" t="n"/>
      <c r="AH32" s="126" t="n"/>
      <c r="AI32" s="126" t="n"/>
      <c r="AJ32" s="126" t="n"/>
      <c r="AK32" s="126" t="n"/>
      <c r="AL32" s="126" t="n"/>
      <c r="AM32" s="126" t="n"/>
    </row>
    <row r="33" ht="21" customFormat="1" customHeight="1" s="127">
      <c r="A33" s="250" t="n">
        <v>46291</v>
      </c>
      <c r="B33" s="63">
        <f>CHOOSE(WEEKDAY($A33,2),"Mon","Tue","Wed","Thu","Fri","Sat","Sun")</f>
        <v/>
      </c>
      <c r="C33" s="255" t="n">
        <v>2000</v>
      </c>
      <c r="D33" s="64" t="n">
        <v>20</v>
      </c>
      <c r="E33" s="65">
        <f>IF($C33="","",$C33-N($D33))</f>
        <v/>
      </c>
      <c r="F33" s="65">
        <f>IF($C33="","",$C33-MAX(0,N($D33)-BreakAllow*$C33))</f>
        <v/>
      </c>
      <c r="G33" s="50" t="n">
        <v>1</v>
      </c>
      <c r="H33" s="50" t="n">
        <v>1</v>
      </c>
      <c r="I33" s="50" t="n">
        <v>1</v>
      </c>
      <c r="J33" s="50" t="n">
        <v>1</v>
      </c>
      <c r="K33" s="50" t="n"/>
      <c r="L33" s="50" t="n"/>
      <c r="M33" s="50" t="n"/>
      <c r="N33" s="50" t="n"/>
      <c r="O33" s="50" t="n"/>
      <c r="P33" s="50" t="n"/>
      <c r="Q33" s="50" t="n"/>
      <c r="R33" s="50" t="n"/>
      <c r="S33" s="51">
        <f>IF(COUNT(G33:R33)=0,"",SUM(G33:R33))</f>
        <v/>
      </c>
      <c r="T33" s="251">
        <f>IF($C33="","",IFERROR(INDEX(RateValues,MATCH(SUMPRODUCT(MAX((RateDates&lt;=$A33)*RateDates)),RateDates,0)),0))</f>
        <v/>
      </c>
      <c r="U33" s="252">
        <f>IF($C33="","",$F33*$T33)</f>
        <v/>
      </c>
      <c r="V33" s="253">
        <f>$A33-WEEKDAY($A33,2)+1</f>
        <v/>
      </c>
      <c r="W33" s="132">
        <f t="array" ref="W33">IF(AND($C33="",S33=""),"",IF(AND(N($C33)&gt;0,N(S33)=0),"nobody marked present",IF(N($D33)&gt;N($C33),"more broken than moulded",IF(AND($C33="",N(S33)&gt;0),"attendance marked but no blocks entered",IF(AND(N($C33)&gt;0,N(T33)=0),"no pay rate for this date - see Settings",IF(SUMPRODUCT((G33:R33&lt;&gt;"")*(G$5:R$5=""))&gt;0,"attendance in an empty worker slot",""))))))</f>
        <v/>
      </c>
      <c r="X33" s="133" t="n"/>
      <c r="Y33" s="125" t="n"/>
      <c r="Z33" s="126" t="n"/>
      <c r="AA33" s="126" t="n"/>
      <c r="AB33" s="126" t="n"/>
      <c r="AC33" s="126" t="n"/>
      <c r="AD33" s="126" t="n"/>
      <c r="AE33" s="126" t="n"/>
      <c r="AF33" s="126" t="n"/>
      <c r="AG33" s="126" t="n"/>
      <c r="AH33" s="126" t="n"/>
      <c r="AI33" s="126" t="n"/>
      <c r="AJ33" s="126" t="n"/>
      <c r="AK33" s="126" t="n"/>
      <c r="AL33" s="126" t="n"/>
      <c r="AM33" s="126" t="n"/>
    </row>
    <row r="34" ht="21" customFormat="1" customHeight="1" s="127">
      <c r="A34" s="254" t="n">
        <v>46292</v>
      </c>
      <c r="B34" s="70">
        <f>CHOOSE(WEEKDAY($A34,2),"Mon","Tue","Wed","Thu","Fri","Sat","Sun")</f>
        <v/>
      </c>
      <c r="C34" s="64" t="n"/>
      <c r="D34" s="64" t="n"/>
      <c r="E34" s="65">
        <f>IF($C34="","",$C34-N($D34))</f>
        <v/>
      </c>
      <c r="F34" s="65">
        <f>IF($C34="","",$C34-MAX(0,N($D34)-BreakAllow*$C34))</f>
        <v/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1">
        <f>IF(COUNT(G34:R34)=0,"",SUM(G34:R34))</f>
        <v/>
      </c>
      <c r="T34" s="251">
        <f>IF($C34="","",IFERROR(INDEX(RateValues,MATCH(SUMPRODUCT(MAX((RateDates&lt;=$A34)*RateDates)),RateDates,0)),0))</f>
        <v/>
      </c>
      <c r="U34" s="252">
        <f>IF($C34="","",$F34*$T34)</f>
        <v/>
      </c>
      <c r="V34" s="253">
        <f>$A34-WEEKDAY($A34,2)+1</f>
        <v/>
      </c>
      <c r="W34" s="132">
        <f t="array" ref="W34">IF(AND($C34="",S34=""),"",IF(AND(N($C34)&gt;0,N(S34)=0),"nobody marked present",IF(N($D34)&gt;N($C34),"more broken than moulded",IF(AND($C34="",N(S34)&gt;0),"attendance marked but no blocks entered",IF(AND(N($C34)&gt;0,N(T34)=0),"no pay rate for this date - see Settings",IF(SUMPRODUCT((G34:R34&lt;&gt;"")*(G$5:R$5=""))&gt;0,"attendance in an empty worker slot",""))))))</f>
        <v/>
      </c>
      <c r="X34" s="133" t="n"/>
      <c r="Y34" s="125" t="n"/>
      <c r="Z34" s="126" t="n"/>
      <c r="AA34" s="126" t="n"/>
      <c r="AB34" s="126" t="n"/>
      <c r="AC34" s="126" t="n"/>
      <c r="AD34" s="126" t="n"/>
      <c r="AE34" s="126" t="n"/>
      <c r="AF34" s="126" t="n"/>
      <c r="AG34" s="126" t="n"/>
      <c r="AH34" s="126" t="n"/>
      <c r="AI34" s="126" t="n"/>
      <c r="AJ34" s="126" t="n"/>
      <c r="AK34" s="126" t="n"/>
      <c r="AL34" s="126" t="n"/>
      <c r="AM34" s="126" t="n"/>
    </row>
    <row r="35" ht="21" customFormat="1" customHeight="1" s="127">
      <c r="A35" s="250" t="n">
        <v>46293</v>
      </c>
      <c r="B35" s="63">
        <f>CHOOSE(WEEKDAY($A35,2),"Mon","Tue","Wed","Thu","Fri","Sat","Sun")</f>
        <v/>
      </c>
      <c r="C35" s="64" t="n"/>
      <c r="D35" s="64" t="n"/>
      <c r="E35" s="65">
        <f>IF($C35="","",$C35-N($D35))</f>
        <v/>
      </c>
      <c r="F35" s="65">
        <f>IF($C35="","",$C35-MAX(0,N($D35)-BreakAllow*$C35))</f>
        <v/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1">
        <f>IF(COUNT(G35:R35)=0,"",SUM(G35:R35))</f>
        <v/>
      </c>
      <c r="T35" s="251">
        <f>IF($C35="","",IFERROR(INDEX(RateValues,MATCH(SUMPRODUCT(MAX((RateDates&lt;=$A35)*RateDates)),RateDates,0)),0))</f>
        <v/>
      </c>
      <c r="U35" s="252">
        <f>IF($C35="","",$F35*$T35)</f>
        <v/>
      </c>
      <c r="V35" s="253">
        <f>$A35-WEEKDAY($A35,2)+1</f>
        <v/>
      </c>
      <c r="W35" s="132">
        <f t="array" ref="W35">IF(AND($C35="",S35=""),"",IF(AND(N($C35)&gt;0,N(S35)=0),"nobody marked present",IF(N($D35)&gt;N($C35),"more broken than moulded",IF(AND($C35="",N(S35)&gt;0),"attendance marked but no blocks entered",IF(AND(N($C35)&gt;0,N(T35)=0),"no pay rate for this date - see Settings",IF(SUMPRODUCT((G35:R35&lt;&gt;"")*(G$5:R$5=""))&gt;0,"attendance in an empty worker slot",""))))))</f>
        <v/>
      </c>
      <c r="X35" s="133" t="n"/>
      <c r="Y35" s="125" t="n"/>
      <c r="Z35" s="126" t="n"/>
      <c r="AA35" s="126" t="n"/>
      <c r="AB35" s="126" t="n"/>
      <c r="AC35" s="126" t="n"/>
      <c r="AD35" s="126" t="n"/>
      <c r="AE35" s="126" t="n"/>
      <c r="AF35" s="126" t="n"/>
      <c r="AG35" s="126" t="n"/>
      <c r="AH35" s="126" t="n"/>
      <c r="AI35" s="126" t="n"/>
      <c r="AJ35" s="126" t="n"/>
      <c r="AK35" s="126" t="n"/>
      <c r="AL35" s="126" t="n"/>
      <c r="AM35" s="126" t="n"/>
    </row>
    <row r="36" ht="21" customFormat="1" customHeight="1" s="127">
      <c r="A36" s="250" t="n">
        <v>46294</v>
      </c>
      <c r="B36" s="63">
        <f>CHOOSE(WEEKDAY($A36,2),"Mon","Tue","Wed","Thu","Fri","Sat","Sun")</f>
        <v/>
      </c>
      <c r="C36" s="64" t="n"/>
      <c r="D36" s="64" t="n"/>
      <c r="E36" s="65">
        <f>IF($C36="","",$C36-N($D36))</f>
        <v/>
      </c>
      <c r="F36" s="65">
        <f>IF($C36="","",$C36-MAX(0,N($D36)-BreakAllow*$C36))</f>
        <v/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1">
        <f>IF(COUNT(G36:R36)=0,"",SUM(G36:R36))</f>
        <v/>
      </c>
      <c r="T36" s="251">
        <f>IF($C36="","",IFERROR(INDEX(RateValues,MATCH(SUMPRODUCT(MAX((RateDates&lt;=$A36)*RateDates)),RateDates,0)),0))</f>
        <v/>
      </c>
      <c r="U36" s="252">
        <f>IF($C36="","",$F36*$T36)</f>
        <v/>
      </c>
      <c r="V36" s="253">
        <f>$A36-WEEKDAY($A36,2)+1</f>
        <v/>
      </c>
      <c r="W36" s="132">
        <f t="array" ref="W36">IF(AND($C36="",S36=""),"",IF(AND(N($C36)&gt;0,N(S36)=0),"nobody marked present",IF(N($D36)&gt;N($C36),"more broken than moulded",IF(AND($C36="",N(S36)&gt;0),"attendance marked but no blocks entered",IF(AND(N($C36)&gt;0,N(T36)=0),"no pay rate for this date - see Settings",IF(SUMPRODUCT((G36:R36&lt;&gt;"")*(G$5:R$5=""))&gt;0,"attendance in an empty worker slot",""))))))</f>
        <v/>
      </c>
      <c r="X36" s="133" t="n"/>
      <c r="Y36" s="125" t="n"/>
      <c r="Z36" s="126" t="n"/>
      <c r="AA36" s="126" t="n"/>
      <c r="AB36" s="126" t="n"/>
      <c r="AC36" s="126" t="n"/>
      <c r="AD36" s="126" t="n"/>
      <c r="AE36" s="126" t="n"/>
      <c r="AF36" s="126" t="n"/>
      <c r="AG36" s="126" t="n"/>
      <c r="AH36" s="126" t="n"/>
      <c r="AI36" s="126" t="n"/>
      <c r="AJ36" s="126" t="n"/>
      <c r="AK36" s="126" t="n"/>
      <c r="AL36" s="126" t="n"/>
      <c r="AM36" s="126" t="n"/>
    </row>
    <row r="37" ht="21" customFormat="1" customHeight="1" s="127">
      <c r="A37" s="250" t="n">
        <v>46295</v>
      </c>
      <c r="B37" s="63">
        <f>CHOOSE(WEEKDAY($A37,2),"Mon","Tue","Wed","Thu","Fri","Sat","Sun")</f>
        <v/>
      </c>
      <c r="C37" s="64" t="n"/>
      <c r="D37" s="64" t="n"/>
      <c r="E37" s="65">
        <f>IF($C37="","",$C37-N($D37))</f>
        <v/>
      </c>
      <c r="F37" s="65">
        <f>IF($C37="","",$C37-MAX(0,N($D37)-BreakAllow*$C37))</f>
        <v/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1">
        <f>IF(COUNT(G37:R37)=0,"",SUM(G37:R37))</f>
        <v/>
      </c>
      <c r="T37" s="251">
        <f>IF($C37="","",IFERROR(INDEX(RateValues,MATCH(SUMPRODUCT(MAX((RateDates&lt;=$A37)*RateDates)),RateDates,0)),0))</f>
        <v/>
      </c>
      <c r="U37" s="252">
        <f>IF($C37="","",$F37*$T37)</f>
        <v/>
      </c>
      <c r="V37" s="253">
        <f>$A37-WEEKDAY($A37,2)+1</f>
        <v/>
      </c>
      <c r="W37" s="132">
        <f t="array" ref="W37">IF(AND($C37="",S37=""),"",IF(AND(N($C37)&gt;0,N(S37)=0),"nobody marked present",IF(N($D37)&gt;N($C37),"more broken than moulded",IF(AND($C37="",N(S37)&gt;0),"attendance marked but no blocks entered",IF(AND(N($C37)&gt;0,N(T37)=0),"no pay rate for this date - see Settings",IF(SUMPRODUCT((G37:R37&lt;&gt;"")*(G$5:R$5=""))&gt;0,"attendance in an empty worker slot",""))))))</f>
        <v/>
      </c>
      <c r="X37" s="133" t="n"/>
      <c r="Y37" s="125" t="n"/>
      <c r="Z37" s="126" t="n"/>
      <c r="AA37" s="126" t="n"/>
      <c r="AB37" s="126" t="n"/>
      <c r="AC37" s="126" t="n"/>
      <c r="AD37" s="126" t="n"/>
      <c r="AE37" s="126" t="n"/>
      <c r="AF37" s="126" t="n"/>
      <c r="AG37" s="126" t="n"/>
      <c r="AH37" s="126" t="n"/>
      <c r="AI37" s="126" t="n"/>
      <c r="AJ37" s="126" t="n"/>
      <c r="AK37" s="126" t="n"/>
      <c r="AL37" s="126" t="n"/>
      <c r="AM37" s="126" t="n"/>
    </row>
    <row r="38" ht="21" customFormat="1" customHeight="1" s="127">
      <c r="A38" s="250" t="n">
        <v>46296</v>
      </c>
      <c r="B38" s="63">
        <f>CHOOSE(WEEKDAY($A38,2),"Mon","Tue","Wed","Thu","Fri","Sat","Sun")</f>
        <v/>
      </c>
      <c r="C38" s="64" t="n"/>
      <c r="D38" s="64" t="n"/>
      <c r="E38" s="65">
        <f>IF($C38="","",$C38-N($D38))</f>
        <v/>
      </c>
      <c r="F38" s="65">
        <f>IF($C38="","",$C38-MAX(0,N($D38)-BreakAllow*$C38))</f>
        <v/>
      </c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1">
        <f>IF(COUNT(G38:R38)=0,"",SUM(G38:R38))</f>
        <v/>
      </c>
      <c r="T38" s="251">
        <f>IF($C38="","",IFERROR(INDEX(RateValues,MATCH(SUMPRODUCT(MAX((RateDates&lt;=$A38)*RateDates)),RateDates,0)),0))</f>
        <v/>
      </c>
      <c r="U38" s="252">
        <f>IF($C38="","",$F38*$T38)</f>
        <v/>
      </c>
      <c r="V38" s="253">
        <f>$A38-WEEKDAY($A38,2)+1</f>
        <v/>
      </c>
      <c r="W38" s="132">
        <f t="array" ref="W38">IF(AND($C38="",S38=""),"",IF(AND(N($C38)&gt;0,N(S38)=0),"nobody marked present",IF(N($D38)&gt;N($C38),"more broken than moulded",IF(AND($C38="",N(S38)&gt;0),"attendance marked but no blocks entered",IF(AND(N($C38)&gt;0,N(T38)=0),"no pay rate for this date - see Settings",IF(SUMPRODUCT((G38:R38&lt;&gt;"")*(G$5:R$5=""))&gt;0,"attendance in an empty worker slot",""))))))</f>
        <v/>
      </c>
      <c r="X38" s="133" t="n"/>
      <c r="Y38" s="125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</row>
    <row r="39" ht="21" customFormat="1" customHeight="1" s="127">
      <c r="A39" s="250" t="n">
        <v>46297</v>
      </c>
      <c r="B39" s="63">
        <f>CHOOSE(WEEKDAY($A39,2),"Mon","Tue","Wed","Thu","Fri","Sat","Sun")</f>
        <v/>
      </c>
      <c r="C39" s="64" t="n"/>
      <c r="D39" s="64" t="n"/>
      <c r="E39" s="65">
        <f>IF($C39="","",$C39-N($D39))</f>
        <v/>
      </c>
      <c r="F39" s="65">
        <f>IF($C39="","",$C39-MAX(0,N($D39)-BreakAllow*$C39))</f>
        <v/>
      </c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1">
        <f>IF(COUNT(G39:R39)=0,"",SUM(G39:R39))</f>
        <v/>
      </c>
      <c r="T39" s="251">
        <f>IF($C39="","",IFERROR(INDEX(RateValues,MATCH(SUMPRODUCT(MAX((RateDates&lt;=$A39)*RateDates)),RateDates,0)),0))</f>
        <v/>
      </c>
      <c r="U39" s="252">
        <f>IF($C39="","",$F39*$T39)</f>
        <v/>
      </c>
      <c r="V39" s="253">
        <f>$A39-WEEKDAY($A39,2)+1</f>
        <v/>
      </c>
      <c r="W39" s="132">
        <f t="array" ref="W39">IF(AND($C39="",S39=""),"",IF(AND(N($C39)&gt;0,N(S39)=0),"nobody marked present",IF(N($D39)&gt;N($C39),"more broken than moulded",IF(AND($C39="",N(S39)&gt;0),"attendance marked but no blocks entered",IF(AND(N($C39)&gt;0,N(T39)=0),"no pay rate for this date - see Settings",IF(SUMPRODUCT((G39:R39&lt;&gt;"")*(G$5:R$5=""))&gt;0,"attendance in an empty worker slot",""))))))</f>
        <v/>
      </c>
      <c r="X39" s="133" t="n"/>
      <c r="Y39" s="125" t="n"/>
      <c r="Z39" s="126" t="n"/>
      <c r="AA39" s="126" t="n"/>
      <c r="AB39" s="126" t="n"/>
      <c r="AC39" s="126" t="n"/>
      <c r="AD39" s="126" t="n"/>
      <c r="AE39" s="126" t="n"/>
      <c r="AF39" s="126" t="n"/>
      <c r="AG39" s="126" t="n"/>
      <c r="AH39" s="126" t="n"/>
      <c r="AI39" s="126" t="n"/>
      <c r="AJ39" s="126" t="n"/>
      <c r="AK39" s="126" t="n"/>
      <c r="AL39" s="126" t="n"/>
      <c r="AM39" s="126" t="n"/>
    </row>
    <row r="40" ht="21" customFormat="1" customHeight="1" s="127">
      <c r="A40" s="250" t="n">
        <v>46298</v>
      </c>
      <c r="B40" s="63">
        <f>CHOOSE(WEEKDAY($A40,2),"Mon","Tue","Wed","Thu","Fri","Sat","Sun")</f>
        <v/>
      </c>
      <c r="C40" s="64" t="n"/>
      <c r="D40" s="64" t="n"/>
      <c r="E40" s="65">
        <f>IF($C40="","",$C40-N($D40))</f>
        <v/>
      </c>
      <c r="F40" s="65">
        <f>IF($C40="","",$C40-MAX(0,N($D40)-BreakAllow*$C40))</f>
        <v/>
      </c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1">
        <f>IF(COUNT(G40:R40)=0,"",SUM(G40:R40))</f>
        <v/>
      </c>
      <c r="T40" s="251">
        <f>IF($C40="","",IFERROR(INDEX(RateValues,MATCH(SUMPRODUCT(MAX((RateDates&lt;=$A40)*RateDates)),RateDates,0)),0))</f>
        <v/>
      </c>
      <c r="U40" s="252">
        <f>IF($C40="","",$F40*$T40)</f>
        <v/>
      </c>
      <c r="V40" s="253">
        <f>$A40-WEEKDAY($A40,2)+1</f>
        <v/>
      </c>
      <c r="W40" s="132">
        <f t="array" ref="W40">IF(AND($C40="",S40=""),"",IF(AND(N($C40)&gt;0,N(S40)=0),"nobody marked present",IF(N($D40)&gt;N($C40),"more broken than moulded",IF(AND($C40="",N(S40)&gt;0),"attendance marked but no blocks entered",IF(AND(N($C40)&gt;0,N(T40)=0),"no pay rate for this date - see Settings",IF(SUMPRODUCT((G40:R40&lt;&gt;"")*(G$5:R$5=""))&gt;0,"attendance in an empty worker slot",""))))))</f>
        <v/>
      </c>
      <c r="X40" s="133" t="n"/>
      <c r="Y40" s="125" t="n"/>
      <c r="Z40" s="126" t="n"/>
      <c r="AA40" s="126" t="n"/>
      <c r="AB40" s="126" t="n"/>
      <c r="AC40" s="126" t="n"/>
      <c r="AD40" s="126" t="n"/>
      <c r="AE40" s="126" t="n"/>
      <c r="AF40" s="126" t="n"/>
      <c r="AG40" s="126" t="n"/>
      <c r="AH40" s="126" t="n"/>
      <c r="AI40" s="126" t="n"/>
      <c r="AJ40" s="126" t="n"/>
      <c r="AK40" s="126" t="n"/>
      <c r="AL40" s="126" t="n"/>
      <c r="AM40" s="126" t="n"/>
    </row>
    <row r="41" ht="21" customFormat="1" customHeight="1" s="127">
      <c r="A41" s="254" t="n">
        <v>46299</v>
      </c>
      <c r="B41" s="70">
        <f>CHOOSE(WEEKDAY($A41,2),"Mon","Tue","Wed","Thu","Fri","Sat","Sun")</f>
        <v/>
      </c>
      <c r="C41" s="64" t="n"/>
      <c r="D41" s="64" t="n"/>
      <c r="E41" s="65">
        <f>IF($C41="","",$C41-N($D41))</f>
        <v/>
      </c>
      <c r="F41" s="65">
        <f>IF($C41="","",$C41-MAX(0,N($D41)-BreakAllow*$C41))</f>
        <v/>
      </c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1">
        <f>IF(COUNT(G41:R41)=0,"",SUM(G41:R41))</f>
        <v/>
      </c>
      <c r="T41" s="251">
        <f>IF($C41="","",IFERROR(INDEX(RateValues,MATCH(SUMPRODUCT(MAX((RateDates&lt;=$A41)*RateDates)),RateDates,0)),0))</f>
        <v/>
      </c>
      <c r="U41" s="252">
        <f>IF($C41="","",$F41*$T41)</f>
        <v/>
      </c>
      <c r="V41" s="253">
        <f>$A41-WEEKDAY($A41,2)+1</f>
        <v/>
      </c>
      <c r="W41" s="132">
        <f t="array" ref="W41">IF(AND($C41="",S41=""),"",IF(AND(N($C41)&gt;0,N(S41)=0),"nobody marked present",IF(N($D41)&gt;N($C41),"more broken than moulded",IF(AND($C41="",N(S41)&gt;0),"attendance marked but no blocks entered",IF(AND(N($C41)&gt;0,N(T41)=0),"no pay rate for this date - see Settings",IF(SUMPRODUCT((G41:R41&lt;&gt;"")*(G$5:R$5=""))&gt;0,"attendance in an empty worker slot",""))))))</f>
        <v/>
      </c>
      <c r="X41" s="133" t="n"/>
      <c r="Y41" s="125" t="n"/>
      <c r="Z41" s="126" t="n"/>
      <c r="AA41" s="126" t="n"/>
      <c r="AB41" s="126" t="n"/>
      <c r="AC41" s="126" t="n"/>
      <c r="AD41" s="126" t="n"/>
      <c r="AE41" s="126" t="n"/>
      <c r="AF41" s="126" t="n"/>
      <c r="AG41" s="126" t="n"/>
      <c r="AH41" s="126" t="n"/>
      <c r="AI41" s="126" t="n"/>
      <c r="AJ41" s="126" t="n"/>
      <c r="AK41" s="126" t="n"/>
      <c r="AL41" s="126" t="n"/>
      <c r="AM41" s="126" t="n"/>
    </row>
    <row r="42" ht="21" customFormat="1" customHeight="1" s="127">
      <c r="A42" s="250" t="n">
        <v>46300</v>
      </c>
      <c r="B42" s="63">
        <f>CHOOSE(WEEKDAY($A42,2),"Mon","Tue","Wed","Thu","Fri","Sat","Sun")</f>
        <v/>
      </c>
      <c r="C42" s="64" t="n"/>
      <c r="D42" s="64" t="n"/>
      <c r="E42" s="65">
        <f>IF($C42="","",$C42-N($D42))</f>
        <v/>
      </c>
      <c r="F42" s="65">
        <f>IF($C42="","",$C42-MAX(0,N($D42)-BreakAllow*$C42))</f>
        <v/>
      </c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1">
        <f>IF(COUNT(G42:R42)=0,"",SUM(G42:R42))</f>
        <v/>
      </c>
      <c r="T42" s="251">
        <f>IF($C42="","",IFERROR(INDEX(RateValues,MATCH(SUMPRODUCT(MAX((RateDates&lt;=$A42)*RateDates)),RateDates,0)),0))</f>
        <v/>
      </c>
      <c r="U42" s="252">
        <f>IF($C42="","",$F42*$T42)</f>
        <v/>
      </c>
      <c r="V42" s="253">
        <f>$A42-WEEKDAY($A42,2)+1</f>
        <v/>
      </c>
      <c r="W42" s="132">
        <f t="array" ref="W42">IF(AND($C42="",S42=""),"",IF(AND(N($C42)&gt;0,N(S42)=0),"nobody marked present",IF(N($D42)&gt;N($C42),"more broken than moulded",IF(AND($C42="",N(S42)&gt;0),"attendance marked but no blocks entered",IF(AND(N($C42)&gt;0,N(T42)=0),"no pay rate for this date - see Settings",IF(SUMPRODUCT((G42:R42&lt;&gt;"")*(G$5:R$5=""))&gt;0,"attendance in an empty worker slot",""))))))</f>
        <v/>
      </c>
      <c r="X42" s="133" t="n"/>
      <c r="Y42" s="125" t="n"/>
      <c r="Z42" s="126" t="n"/>
      <c r="AA42" s="126" t="n"/>
      <c r="AB42" s="126" t="n"/>
      <c r="AC42" s="126" t="n"/>
      <c r="AD42" s="126" t="n"/>
      <c r="AE42" s="126" t="n"/>
      <c r="AF42" s="126" t="n"/>
      <c r="AG42" s="126" t="n"/>
      <c r="AH42" s="126" t="n"/>
      <c r="AI42" s="126" t="n"/>
      <c r="AJ42" s="126" t="n"/>
      <c r="AK42" s="126" t="n"/>
      <c r="AL42" s="126" t="n"/>
      <c r="AM42" s="126" t="n"/>
    </row>
    <row r="43" ht="21" customFormat="1" customHeight="1" s="127">
      <c r="A43" s="250" t="n">
        <v>46301</v>
      </c>
      <c r="B43" s="63">
        <f>CHOOSE(WEEKDAY($A43,2),"Mon","Tue","Wed","Thu","Fri","Sat","Sun")</f>
        <v/>
      </c>
      <c r="C43" s="64" t="n"/>
      <c r="D43" s="64" t="n"/>
      <c r="E43" s="65">
        <f>IF($C43="","",$C43-N($D43))</f>
        <v/>
      </c>
      <c r="F43" s="65">
        <f>IF($C43="","",$C43-MAX(0,N($D43)-BreakAllow*$C43))</f>
        <v/>
      </c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1">
        <f>IF(COUNT(G43:R43)=0,"",SUM(G43:R43))</f>
        <v/>
      </c>
      <c r="T43" s="251">
        <f>IF($C43="","",IFERROR(INDEX(RateValues,MATCH(SUMPRODUCT(MAX((RateDates&lt;=$A43)*RateDates)),RateDates,0)),0))</f>
        <v/>
      </c>
      <c r="U43" s="252">
        <f>IF($C43="","",$F43*$T43)</f>
        <v/>
      </c>
      <c r="V43" s="253">
        <f>$A43-WEEKDAY($A43,2)+1</f>
        <v/>
      </c>
      <c r="W43" s="132">
        <f t="array" ref="W43">IF(AND($C43="",S43=""),"",IF(AND(N($C43)&gt;0,N(S43)=0),"nobody marked present",IF(N($D43)&gt;N($C43),"more broken than moulded",IF(AND($C43="",N(S43)&gt;0),"attendance marked but no blocks entered",IF(AND(N($C43)&gt;0,N(T43)=0),"no pay rate for this date - see Settings",IF(SUMPRODUCT((G43:R43&lt;&gt;"")*(G$5:R$5=""))&gt;0,"attendance in an empty worker slot",""))))))</f>
        <v/>
      </c>
      <c r="X43" s="133" t="n"/>
      <c r="Y43" s="125" t="n"/>
      <c r="Z43" s="126" t="n"/>
      <c r="AA43" s="126" t="n"/>
      <c r="AB43" s="126" t="n"/>
      <c r="AC43" s="126" t="n"/>
      <c r="AD43" s="126" t="n"/>
      <c r="AE43" s="126" t="n"/>
      <c r="AF43" s="126" t="n"/>
      <c r="AG43" s="126" t="n"/>
      <c r="AH43" s="126" t="n"/>
      <c r="AI43" s="126" t="n"/>
      <c r="AJ43" s="126" t="n"/>
      <c r="AK43" s="126" t="n"/>
      <c r="AL43" s="126" t="n"/>
      <c r="AM43" s="126" t="n"/>
    </row>
    <row r="44" ht="21" customFormat="1" customHeight="1" s="127">
      <c r="A44" s="250" t="n">
        <v>46302</v>
      </c>
      <c r="B44" s="63">
        <f>CHOOSE(WEEKDAY($A44,2),"Mon","Tue","Wed","Thu","Fri","Sat","Sun")</f>
        <v/>
      </c>
      <c r="C44" s="64" t="n"/>
      <c r="D44" s="64" t="n"/>
      <c r="E44" s="65">
        <f>IF($C44="","",$C44-N($D44))</f>
        <v/>
      </c>
      <c r="F44" s="65">
        <f>IF($C44="","",$C44-MAX(0,N($D44)-BreakAllow*$C44))</f>
        <v/>
      </c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1">
        <f>IF(COUNT(G44:R44)=0,"",SUM(G44:R44))</f>
        <v/>
      </c>
      <c r="T44" s="251">
        <f>IF($C44="","",IFERROR(INDEX(RateValues,MATCH(SUMPRODUCT(MAX((RateDates&lt;=$A44)*RateDates)),RateDates,0)),0))</f>
        <v/>
      </c>
      <c r="U44" s="252">
        <f>IF($C44="","",$F44*$T44)</f>
        <v/>
      </c>
      <c r="V44" s="253">
        <f>$A44-WEEKDAY($A44,2)+1</f>
        <v/>
      </c>
      <c r="W44" s="132">
        <f t="array" ref="W44">IF(AND($C44="",S44=""),"",IF(AND(N($C44)&gt;0,N(S44)=0),"nobody marked present",IF(N($D44)&gt;N($C44),"more broken than moulded",IF(AND($C44="",N(S44)&gt;0),"attendance marked but no blocks entered",IF(AND(N($C44)&gt;0,N(T44)=0),"no pay rate for this date - see Settings",IF(SUMPRODUCT((G44:R44&lt;&gt;"")*(G$5:R$5=""))&gt;0,"attendance in an empty worker slot",""))))))</f>
        <v/>
      </c>
      <c r="X44" s="133" t="n"/>
      <c r="Y44" s="125" t="n"/>
      <c r="Z44" s="126" t="n"/>
      <c r="AA44" s="126" t="n"/>
      <c r="AB44" s="126" t="n"/>
      <c r="AC44" s="126" t="n"/>
      <c r="AD44" s="126" t="n"/>
      <c r="AE44" s="126" t="n"/>
      <c r="AF44" s="126" t="n"/>
      <c r="AG44" s="126" t="n"/>
      <c r="AH44" s="126" t="n"/>
      <c r="AI44" s="126" t="n"/>
      <c r="AJ44" s="126" t="n"/>
      <c r="AK44" s="126" t="n"/>
      <c r="AL44" s="126" t="n"/>
      <c r="AM44" s="126" t="n"/>
    </row>
    <row r="45" ht="21" customFormat="1" customHeight="1" s="127">
      <c r="A45" s="250" t="n">
        <v>46303</v>
      </c>
      <c r="B45" s="63">
        <f>CHOOSE(WEEKDAY($A45,2),"Mon","Tue","Wed","Thu","Fri","Sat","Sun")</f>
        <v/>
      </c>
      <c r="C45" s="64" t="n"/>
      <c r="D45" s="64" t="n"/>
      <c r="E45" s="65">
        <f>IF($C45="","",$C45-N($D45))</f>
        <v/>
      </c>
      <c r="F45" s="65">
        <f>IF($C45="","",$C45-MAX(0,N($D45)-BreakAllow*$C45))</f>
        <v/>
      </c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1">
        <f>IF(COUNT(G45:R45)=0,"",SUM(G45:R45))</f>
        <v/>
      </c>
      <c r="T45" s="251">
        <f>IF($C45="","",IFERROR(INDEX(RateValues,MATCH(SUMPRODUCT(MAX((RateDates&lt;=$A45)*RateDates)),RateDates,0)),0))</f>
        <v/>
      </c>
      <c r="U45" s="252">
        <f>IF($C45="","",$F45*$T45)</f>
        <v/>
      </c>
      <c r="V45" s="253">
        <f>$A45-WEEKDAY($A45,2)+1</f>
        <v/>
      </c>
      <c r="W45" s="132">
        <f t="array" ref="W45">IF(AND($C45="",S45=""),"",IF(AND(N($C45)&gt;0,N(S45)=0),"nobody marked present",IF(N($D45)&gt;N($C45),"more broken than moulded",IF(AND($C45="",N(S45)&gt;0),"attendance marked but no blocks entered",IF(AND(N($C45)&gt;0,N(T45)=0),"no pay rate for this date - see Settings",IF(SUMPRODUCT((G45:R45&lt;&gt;"")*(G$5:R$5=""))&gt;0,"attendance in an empty worker slot",""))))))</f>
        <v/>
      </c>
      <c r="X45" s="133" t="n"/>
      <c r="Y45" s="125" t="n"/>
      <c r="Z45" s="126" t="n"/>
      <c r="AA45" s="126" t="n"/>
      <c r="AB45" s="126" t="n"/>
      <c r="AC45" s="126" t="n"/>
      <c r="AD45" s="126" t="n"/>
      <c r="AE45" s="126" t="n"/>
      <c r="AF45" s="126" t="n"/>
      <c r="AG45" s="126" t="n"/>
      <c r="AH45" s="126" t="n"/>
      <c r="AI45" s="126" t="n"/>
      <c r="AJ45" s="126" t="n"/>
      <c r="AK45" s="126" t="n"/>
      <c r="AL45" s="126" t="n"/>
      <c r="AM45" s="126" t="n"/>
    </row>
    <row r="46" ht="21" customFormat="1" customHeight="1" s="127">
      <c r="A46" s="250" t="n">
        <v>46304</v>
      </c>
      <c r="B46" s="63">
        <f>CHOOSE(WEEKDAY($A46,2),"Mon","Tue","Wed","Thu","Fri","Sat","Sun")</f>
        <v/>
      </c>
      <c r="C46" s="64" t="n"/>
      <c r="D46" s="64" t="n"/>
      <c r="E46" s="65">
        <f>IF($C46="","",$C46-N($D46))</f>
        <v/>
      </c>
      <c r="F46" s="65">
        <f>IF($C46="","",$C46-MAX(0,N($D46)-BreakAllow*$C46))</f>
        <v/>
      </c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1">
        <f>IF(COUNT(G46:R46)=0,"",SUM(G46:R46))</f>
        <v/>
      </c>
      <c r="T46" s="251">
        <f>IF($C46="","",IFERROR(INDEX(RateValues,MATCH(SUMPRODUCT(MAX((RateDates&lt;=$A46)*RateDates)),RateDates,0)),0))</f>
        <v/>
      </c>
      <c r="U46" s="252">
        <f>IF($C46="","",$F46*$T46)</f>
        <v/>
      </c>
      <c r="V46" s="253">
        <f>$A46-WEEKDAY($A46,2)+1</f>
        <v/>
      </c>
      <c r="W46" s="132">
        <f t="array" ref="W46">IF(AND($C46="",S46=""),"",IF(AND(N($C46)&gt;0,N(S46)=0),"nobody marked present",IF(N($D46)&gt;N($C46),"more broken than moulded",IF(AND($C46="",N(S46)&gt;0),"attendance marked but no blocks entered",IF(AND(N($C46)&gt;0,N(T46)=0),"no pay rate for this date - see Settings",IF(SUMPRODUCT((G46:R46&lt;&gt;"")*(G$5:R$5=""))&gt;0,"attendance in an empty worker slot",""))))))</f>
        <v/>
      </c>
      <c r="X46" s="133" t="n"/>
      <c r="Y46" s="125" t="n"/>
      <c r="Z46" s="126" t="n"/>
      <c r="AA46" s="126" t="n"/>
      <c r="AB46" s="126" t="n"/>
      <c r="AC46" s="126" t="n"/>
      <c r="AD46" s="126" t="n"/>
      <c r="AE46" s="126" t="n"/>
      <c r="AF46" s="126" t="n"/>
      <c r="AG46" s="126" t="n"/>
      <c r="AH46" s="126" t="n"/>
      <c r="AI46" s="126" t="n"/>
      <c r="AJ46" s="126" t="n"/>
      <c r="AK46" s="126" t="n"/>
      <c r="AL46" s="126" t="n"/>
      <c r="AM46" s="126" t="n"/>
    </row>
    <row r="47" ht="21" customFormat="1" customHeight="1" s="127">
      <c r="A47" s="250" t="n">
        <v>46305</v>
      </c>
      <c r="B47" s="63">
        <f>CHOOSE(WEEKDAY($A47,2),"Mon","Tue","Wed","Thu","Fri","Sat","Sun")</f>
        <v/>
      </c>
      <c r="C47" s="64" t="n"/>
      <c r="D47" s="64" t="n"/>
      <c r="E47" s="65">
        <f>IF($C47="","",$C47-N($D47))</f>
        <v/>
      </c>
      <c r="F47" s="65">
        <f>IF($C47="","",$C47-MAX(0,N($D47)-BreakAllow*$C47))</f>
        <v/>
      </c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1">
        <f>IF(COUNT(G47:R47)=0,"",SUM(G47:R47))</f>
        <v/>
      </c>
      <c r="T47" s="251">
        <f>IF($C47="","",IFERROR(INDEX(RateValues,MATCH(SUMPRODUCT(MAX((RateDates&lt;=$A47)*RateDates)),RateDates,0)),0))</f>
        <v/>
      </c>
      <c r="U47" s="252">
        <f>IF($C47="","",$F47*$T47)</f>
        <v/>
      </c>
      <c r="V47" s="253">
        <f>$A47-WEEKDAY($A47,2)+1</f>
        <v/>
      </c>
      <c r="W47" s="132">
        <f t="array" ref="W47">IF(AND($C47="",S47=""),"",IF(AND(N($C47)&gt;0,N(S47)=0),"nobody marked present",IF(N($D47)&gt;N($C47),"more broken than moulded",IF(AND($C47="",N(S47)&gt;0),"attendance marked but no blocks entered",IF(AND(N($C47)&gt;0,N(T47)=0),"no pay rate for this date - see Settings",IF(SUMPRODUCT((G47:R47&lt;&gt;"")*(G$5:R$5=""))&gt;0,"attendance in an empty worker slot",""))))))</f>
        <v/>
      </c>
      <c r="X47" s="133" t="n"/>
      <c r="Y47" s="125" t="n"/>
      <c r="Z47" s="126" t="n"/>
      <c r="AA47" s="126" t="n"/>
      <c r="AB47" s="126" t="n"/>
      <c r="AC47" s="126" t="n"/>
      <c r="AD47" s="126" t="n"/>
      <c r="AE47" s="126" t="n"/>
      <c r="AF47" s="126" t="n"/>
      <c r="AG47" s="126" t="n"/>
      <c r="AH47" s="126" t="n"/>
      <c r="AI47" s="126" t="n"/>
      <c r="AJ47" s="126" t="n"/>
      <c r="AK47" s="126" t="n"/>
      <c r="AL47" s="126" t="n"/>
      <c r="AM47" s="126" t="n"/>
    </row>
    <row r="48" ht="21" customFormat="1" customHeight="1" s="127">
      <c r="A48" s="254" t="n">
        <v>46306</v>
      </c>
      <c r="B48" s="70">
        <f>CHOOSE(WEEKDAY($A48,2),"Mon","Tue","Wed","Thu","Fri","Sat","Sun")</f>
        <v/>
      </c>
      <c r="C48" s="64" t="n"/>
      <c r="D48" s="64" t="n"/>
      <c r="E48" s="65">
        <f>IF($C48="","",$C48-N($D48))</f>
        <v/>
      </c>
      <c r="F48" s="65">
        <f>IF($C48="","",$C48-MAX(0,N($D48)-BreakAllow*$C48))</f>
        <v/>
      </c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1">
        <f>IF(COUNT(G48:R48)=0,"",SUM(G48:R48))</f>
        <v/>
      </c>
      <c r="T48" s="251">
        <f>IF($C48="","",IFERROR(INDEX(RateValues,MATCH(SUMPRODUCT(MAX((RateDates&lt;=$A48)*RateDates)),RateDates,0)),0))</f>
        <v/>
      </c>
      <c r="U48" s="252">
        <f>IF($C48="","",$F48*$T48)</f>
        <v/>
      </c>
      <c r="V48" s="253">
        <f>$A48-WEEKDAY($A48,2)+1</f>
        <v/>
      </c>
      <c r="W48" s="132">
        <f t="array" ref="W48">IF(AND($C48="",S48=""),"",IF(AND(N($C48)&gt;0,N(S48)=0),"nobody marked present",IF(N($D48)&gt;N($C48),"more broken than moulded",IF(AND($C48="",N(S48)&gt;0),"attendance marked but no blocks entered",IF(AND(N($C48)&gt;0,N(T48)=0),"no pay rate for this date - see Settings",IF(SUMPRODUCT((G48:R48&lt;&gt;"")*(G$5:R$5=""))&gt;0,"attendance in an empty worker slot",""))))))</f>
        <v/>
      </c>
      <c r="X48" s="133" t="n"/>
      <c r="Y48" s="125" t="n"/>
      <c r="Z48" s="126" t="n"/>
      <c r="AA48" s="126" t="n"/>
      <c r="AB48" s="126" t="n"/>
      <c r="AC48" s="126" t="n"/>
      <c r="AD48" s="126" t="n"/>
      <c r="AE48" s="126" t="n"/>
      <c r="AF48" s="126" t="n"/>
      <c r="AG48" s="126" t="n"/>
      <c r="AH48" s="126" t="n"/>
      <c r="AI48" s="126" t="n"/>
      <c r="AJ48" s="126" t="n"/>
      <c r="AK48" s="126" t="n"/>
      <c r="AL48" s="126" t="n"/>
      <c r="AM48" s="126" t="n"/>
    </row>
    <row r="49" ht="21" customFormat="1" customHeight="1" s="127">
      <c r="A49" s="250" t="n">
        <v>46307</v>
      </c>
      <c r="B49" s="63">
        <f>CHOOSE(WEEKDAY($A49,2),"Mon","Tue","Wed","Thu","Fri","Sat","Sun")</f>
        <v/>
      </c>
      <c r="C49" s="64" t="n"/>
      <c r="D49" s="64" t="n"/>
      <c r="E49" s="65">
        <f>IF($C49="","",$C49-N($D49))</f>
        <v/>
      </c>
      <c r="F49" s="65">
        <f>IF($C49="","",$C49-MAX(0,N($D49)-BreakAllow*$C49))</f>
        <v/>
      </c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1">
        <f>IF(COUNT(G49:R49)=0,"",SUM(G49:R49))</f>
        <v/>
      </c>
      <c r="T49" s="251">
        <f>IF($C49="","",IFERROR(INDEX(RateValues,MATCH(SUMPRODUCT(MAX((RateDates&lt;=$A49)*RateDates)),RateDates,0)),0))</f>
        <v/>
      </c>
      <c r="U49" s="252">
        <f>IF($C49="","",$F49*$T49)</f>
        <v/>
      </c>
      <c r="V49" s="253">
        <f>$A49-WEEKDAY($A49,2)+1</f>
        <v/>
      </c>
      <c r="W49" s="132">
        <f t="array" ref="W49">IF(AND($C49="",S49=""),"",IF(AND(N($C49)&gt;0,N(S49)=0),"nobody marked present",IF(N($D49)&gt;N($C49),"more broken than moulded",IF(AND($C49="",N(S49)&gt;0),"attendance marked but no blocks entered",IF(AND(N($C49)&gt;0,N(T49)=0),"no pay rate for this date - see Settings",IF(SUMPRODUCT((G49:R49&lt;&gt;"")*(G$5:R$5=""))&gt;0,"attendance in an empty worker slot",""))))))</f>
        <v/>
      </c>
      <c r="X49" s="133" t="n"/>
      <c r="Y49" s="125" t="n"/>
      <c r="Z49" s="126" t="n"/>
      <c r="AA49" s="126" t="n"/>
      <c r="AB49" s="126" t="n"/>
      <c r="AC49" s="126" t="n"/>
      <c r="AD49" s="126" t="n"/>
      <c r="AE49" s="126" t="n"/>
      <c r="AF49" s="126" t="n"/>
      <c r="AG49" s="126" t="n"/>
      <c r="AH49" s="126" t="n"/>
      <c r="AI49" s="126" t="n"/>
      <c r="AJ49" s="126" t="n"/>
      <c r="AK49" s="126" t="n"/>
      <c r="AL49" s="126" t="n"/>
      <c r="AM49" s="126" t="n"/>
    </row>
    <row r="50" ht="21" customFormat="1" customHeight="1" s="127">
      <c r="A50" s="250" t="n">
        <v>46308</v>
      </c>
      <c r="B50" s="63">
        <f>CHOOSE(WEEKDAY($A50,2),"Mon","Tue","Wed","Thu","Fri","Sat","Sun")</f>
        <v/>
      </c>
      <c r="C50" s="64" t="n"/>
      <c r="D50" s="64" t="n"/>
      <c r="E50" s="65">
        <f>IF($C50="","",$C50-N($D50))</f>
        <v/>
      </c>
      <c r="F50" s="65">
        <f>IF($C50="","",$C50-MAX(0,N($D50)-BreakAllow*$C50))</f>
        <v/>
      </c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1">
        <f>IF(COUNT(G50:R50)=0,"",SUM(G50:R50))</f>
        <v/>
      </c>
      <c r="T50" s="251">
        <f>IF($C50="","",IFERROR(INDEX(RateValues,MATCH(SUMPRODUCT(MAX((RateDates&lt;=$A50)*RateDates)),RateDates,0)),0))</f>
        <v/>
      </c>
      <c r="U50" s="252">
        <f>IF($C50="","",$F50*$T50)</f>
        <v/>
      </c>
      <c r="V50" s="253">
        <f>$A50-WEEKDAY($A50,2)+1</f>
        <v/>
      </c>
      <c r="W50" s="132">
        <f t="array" ref="W50">IF(AND($C50="",S50=""),"",IF(AND(N($C50)&gt;0,N(S50)=0),"nobody marked present",IF(N($D50)&gt;N($C50),"more broken than moulded",IF(AND($C50="",N(S50)&gt;0),"attendance marked but no blocks entered",IF(AND(N($C50)&gt;0,N(T50)=0),"no pay rate for this date - see Settings",IF(SUMPRODUCT((G50:R50&lt;&gt;"")*(G$5:R$5=""))&gt;0,"attendance in an empty worker slot",""))))))</f>
        <v/>
      </c>
      <c r="X50" s="133" t="n"/>
      <c r="Y50" s="125" t="n"/>
      <c r="Z50" s="126" t="n"/>
      <c r="AA50" s="126" t="n"/>
      <c r="AB50" s="126" t="n"/>
      <c r="AC50" s="126" t="n"/>
      <c r="AD50" s="126" t="n"/>
      <c r="AE50" s="126" t="n"/>
      <c r="AF50" s="126" t="n"/>
      <c r="AG50" s="126" t="n"/>
      <c r="AH50" s="126" t="n"/>
      <c r="AI50" s="126" t="n"/>
      <c r="AJ50" s="126" t="n"/>
      <c r="AK50" s="126" t="n"/>
      <c r="AL50" s="126" t="n"/>
      <c r="AM50" s="126" t="n"/>
    </row>
    <row r="51" ht="21" customFormat="1" customHeight="1" s="127">
      <c r="A51" s="250" t="n">
        <v>46309</v>
      </c>
      <c r="B51" s="63">
        <f>CHOOSE(WEEKDAY($A51,2),"Mon","Tue","Wed","Thu","Fri","Sat","Sun")</f>
        <v/>
      </c>
      <c r="C51" s="64" t="n"/>
      <c r="D51" s="64" t="n"/>
      <c r="E51" s="65">
        <f>IF($C51="","",$C51-N($D51))</f>
        <v/>
      </c>
      <c r="F51" s="65">
        <f>IF($C51="","",$C51-MAX(0,N($D51)-BreakAllow*$C51))</f>
        <v/>
      </c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1">
        <f>IF(COUNT(G51:R51)=0,"",SUM(G51:R51))</f>
        <v/>
      </c>
      <c r="T51" s="251">
        <f>IF($C51="","",IFERROR(INDEX(RateValues,MATCH(SUMPRODUCT(MAX((RateDates&lt;=$A51)*RateDates)),RateDates,0)),0))</f>
        <v/>
      </c>
      <c r="U51" s="252">
        <f>IF($C51="","",$F51*$T51)</f>
        <v/>
      </c>
      <c r="V51" s="253">
        <f>$A51-WEEKDAY($A51,2)+1</f>
        <v/>
      </c>
      <c r="W51" s="132">
        <f t="array" ref="W51">IF(AND($C51="",S51=""),"",IF(AND(N($C51)&gt;0,N(S51)=0),"nobody marked present",IF(N($D51)&gt;N($C51),"more broken than moulded",IF(AND($C51="",N(S51)&gt;0),"attendance marked but no blocks entered",IF(AND(N($C51)&gt;0,N(T51)=0),"no pay rate for this date - see Settings",IF(SUMPRODUCT((G51:R51&lt;&gt;"")*(G$5:R$5=""))&gt;0,"attendance in an empty worker slot",""))))))</f>
        <v/>
      </c>
      <c r="X51" s="133" t="n"/>
      <c r="Y51" s="125" t="n"/>
      <c r="Z51" s="126" t="n"/>
      <c r="AA51" s="126" t="n"/>
      <c r="AB51" s="126" t="n"/>
      <c r="AC51" s="126" t="n"/>
      <c r="AD51" s="126" t="n"/>
      <c r="AE51" s="126" t="n"/>
      <c r="AF51" s="126" t="n"/>
      <c r="AG51" s="126" t="n"/>
      <c r="AH51" s="126" t="n"/>
      <c r="AI51" s="126" t="n"/>
      <c r="AJ51" s="126" t="n"/>
      <c r="AK51" s="126" t="n"/>
      <c r="AL51" s="126" t="n"/>
      <c r="AM51" s="126" t="n"/>
    </row>
    <row r="52" ht="21" customFormat="1" customHeight="1" s="127">
      <c r="A52" s="250" t="n">
        <v>46310</v>
      </c>
      <c r="B52" s="63">
        <f>CHOOSE(WEEKDAY($A52,2),"Mon","Tue","Wed","Thu","Fri","Sat","Sun")</f>
        <v/>
      </c>
      <c r="C52" s="64" t="n"/>
      <c r="D52" s="64" t="n"/>
      <c r="E52" s="65">
        <f>IF($C52="","",$C52-N($D52))</f>
        <v/>
      </c>
      <c r="F52" s="65">
        <f>IF($C52="","",$C52-MAX(0,N($D52)-BreakAllow*$C52))</f>
        <v/>
      </c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1">
        <f>IF(COUNT(G52:R52)=0,"",SUM(G52:R52))</f>
        <v/>
      </c>
      <c r="T52" s="251">
        <f>IF($C52="","",IFERROR(INDEX(RateValues,MATCH(SUMPRODUCT(MAX((RateDates&lt;=$A52)*RateDates)),RateDates,0)),0))</f>
        <v/>
      </c>
      <c r="U52" s="252">
        <f>IF($C52="","",$F52*$T52)</f>
        <v/>
      </c>
      <c r="V52" s="253">
        <f>$A52-WEEKDAY($A52,2)+1</f>
        <v/>
      </c>
      <c r="W52" s="132">
        <f t="array" ref="W52">IF(AND($C52="",S52=""),"",IF(AND(N($C52)&gt;0,N(S52)=0),"nobody marked present",IF(N($D52)&gt;N($C52),"more broken than moulded",IF(AND($C52="",N(S52)&gt;0),"attendance marked but no blocks entered",IF(AND(N($C52)&gt;0,N(T52)=0),"no pay rate for this date - see Settings",IF(SUMPRODUCT((G52:R52&lt;&gt;"")*(G$5:R$5=""))&gt;0,"attendance in an empty worker slot",""))))))</f>
        <v/>
      </c>
      <c r="X52" s="133" t="n"/>
      <c r="Y52" s="125" t="n"/>
      <c r="Z52" s="126" t="n"/>
      <c r="AA52" s="126" t="n"/>
      <c r="AB52" s="126" t="n"/>
      <c r="AC52" s="126" t="n"/>
      <c r="AD52" s="126" t="n"/>
      <c r="AE52" s="126" t="n"/>
      <c r="AF52" s="126" t="n"/>
      <c r="AG52" s="126" t="n"/>
      <c r="AH52" s="126" t="n"/>
      <c r="AI52" s="126" t="n"/>
      <c r="AJ52" s="126" t="n"/>
      <c r="AK52" s="126" t="n"/>
      <c r="AL52" s="126" t="n"/>
      <c r="AM52" s="126" t="n"/>
    </row>
    <row r="53" ht="21" customFormat="1" customHeight="1" s="127">
      <c r="A53" s="250" t="n">
        <v>46311</v>
      </c>
      <c r="B53" s="63">
        <f>CHOOSE(WEEKDAY($A53,2),"Mon","Tue","Wed","Thu","Fri","Sat","Sun")</f>
        <v/>
      </c>
      <c r="C53" s="64" t="n"/>
      <c r="D53" s="64" t="n"/>
      <c r="E53" s="65">
        <f>IF($C53="","",$C53-N($D53))</f>
        <v/>
      </c>
      <c r="F53" s="65">
        <f>IF($C53="","",$C53-MAX(0,N($D53)-BreakAllow*$C53))</f>
        <v/>
      </c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1">
        <f>IF(COUNT(G53:R53)=0,"",SUM(G53:R53))</f>
        <v/>
      </c>
      <c r="T53" s="251">
        <f>IF($C53="","",IFERROR(INDEX(RateValues,MATCH(SUMPRODUCT(MAX((RateDates&lt;=$A53)*RateDates)),RateDates,0)),0))</f>
        <v/>
      </c>
      <c r="U53" s="252">
        <f>IF($C53="","",$F53*$T53)</f>
        <v/>
      </c>
      <c r="V53" s="253">
        <f>$A53-WEEKDAY($A53,2)+1</f>
        <v/>
      </c>
      <c r="W53" s="132">
        <f t="array" ref="W53">IF(AND($C53="",S53=""),"",IF(AND(N($C53)&gt;0,N(S53)=0),"nobody marked present",IF(N($D53)&gt;N($C53),"more broken than moulded",IF(AND($C53="",N(S53)&gt;0),"attendance marked but no blocks entered",IF(AND(N($C53)&gt;0,N(T53)=0),"no pay rate for this date - see Settings",IF(SUMPRODUCT((G53:R53&lt;&gt;"")*(G$5:R$5=""))&gt;0,"attendance in an empty worker slot",""))))))</f>
        <v/>
      </c>
      <c r="X53" s="133" t="n"/>
      <c r="Y53" s="125" t="n"/>
      <c r="Z53" s="126" t="n"/>
      <c r="AA53" s="126" t="n"/>
      <c r="AB53" s="126" t="n"/>
      <c r="AC53" s="126" t="n"/>
      <c r="AD53" s="126" t="n"/>
      <c r="AE53" s="126" t="n"/>
      <c r="AF53" s="126" t="n"/>
      <c r="AG53" s="126" t="n"/>
      <c r="AH53" s="126" t="n"/>
      <c r="AI53" s="126" t="n"/>
      <c r="AJ53" s="126" t="n"/>
      <c r="AK53" s="126" t="n"/>
      <c r="AL53" s="126" t="n"/>
      <c r="AM53" s="126" t="n"/>
    </row>
    <row r="54" ht="21" customFormat="1" customHeight="1" s="127">
      <c r="A54" s="250" t="n">
        <v>46312</v>
      </c>
      <c r="B54" s="63">
        <f>CHOOSE(WEEKDAY($A54,2),"Mon","Tue","Wed","Thu","Fri","Sat","Sun")</f>
        <v/>
      </c>
      <c r="C54" s="64" t="n"/>
      <c r="D54" s="64" t="n"/>
      <c r="E54" s="65">
        <f>IF($C54="","",$C54-N($D54))</f>
        <v/>
      </c>
      <c r="F54" s="65">
        <f>IF($C54="","",$C54-MAX(0,N($D54)-BreakAllow*$C54))</f>
        <v/>
      </c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1">
        <f>IF(COUNT(G54:R54)=0,"",SUM(G54:R54))</f>
        <v/>
      </c>
      <c r="T54" s="251">
        <f>IF($C54="","",IFERROR(INDEX(RateValues,MATCH(SUMPRODUCT(MAX((RateDates&lt;=$A54)*RateDates)),RateDates,0)),0))</f>
        <v/>
      </c>
      <c r="U54" s="252">
        <f>IF($C54="","",$F54*$T54)</f>
        <v/>
      </c>
      <c r="V54" s="253">
        <f>$A54-WEEKDAY($A54,2)+1</f>
        <v/>
      </c>
      <c r="W54" s="132">
        <f t="array" ref="W54">IF(AND($C54="",S54=""),"",IF(AND(N($C54)&gt;0,N(S54)=0),"nobody marked present",IF(N($D54)&gt;N($C54),"more broken than moulded",IF(AND($C54="",N(S54)&gt;0),"attendance marked but no blocks entered",IF(AND(N($C54)&gt;0,N(T54)=0),"no pay rate for this date - see Settings",IF(SUMPRODUCT((G54:R54&lt;&gt;"")*(G$5:R$5=""))&gt;0,"attendance in an empty worker slot",""))))))</f>
        <v/>
      </c>
      <c r="X54" s="133" t="n"/>
      <c r="Y54" s="125" t="n"/>
      <c r="Z54" s="126" t="n"/>
      <c r="AA54" s="126" t="n"/>
      <c r="AB54" s="126" t="n"/>
      <c r="AC54" s="126" t="n"/>
      <c r="AD54" s="126" t="n"/>
      <c r="AE54" s="126" t="n"/>
      <c r="AF54" s="126" t="n"/>
      <c r="AG54" s="126" t="n"/>
      <c r="AH54" s="126" t="n"/>
      <c r="AI54" s="126" t="n"/>
      <c r="AJ54" s="126" t="n"/>
      <c r="AK54" s="126" t="n"/>
      <c r="AL54" s="126" t="n"/>
      <c r="AM54" s="126" t="n"/>
    </row>
    <row r="55" ht="21" customFormat="1" customHeight="1" s="127">
      <c r="A55" s="254" t="n">
        <v>46313</v>
      </c>
      <c r="B55" s="70">
        <f>CHOOSE(WEEKDAY($A55,2),"Mon","Tue","Wed","Thu","Fri","Sat","Sun")</f>
        <v/>
      </c>
      <c r="C55" s="64" t="n"/>
      <c r="D55" s="64" t="n"/>
      <c r="E55" s="65">
        <f>IF($C55="","",$C55-N($D55))</f>
        <v/>
      </c>
      <c r="F55" s="65">
        <f>IF($C55="","",$C55-MAX(0,N($D55)-BreakAllow*$C55))</f>
        <v/>
      </c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1">
        <f>IF(COUNT(G55:R55)=0,"",SUM(G55:R55))</f>
        <v/>
      </c>
      <c r="T55" s="251">
        <f>IF($C55="","",IFERROR(INDEX(RateValues,MATCH(SUMPRODUCT(MAX((RateDates&lt;=$A55)*RateDates)),RateDates,0)),0))</f>
        <v/>
      </c>
      <c r="U55" s="252">
        <f>IF($C55="","",$F55*$T55)</f>
        <v/>
      </c>
      <c r="V55" s="253">
        <f>$A55-WEEKDAY($A55,2)+1</f>
        <v/>
      </c>
      <c r="W55" s="132">
        <f t="array" ref="W55">IF(AND($C55="",S55=""),"",IF(AND(N($C55)&gt;0,N(S55)=0),"nobody marked present",IF(N($D55)&gt;N($C55),"more broken than moulded",IF(AND($C55="",N(S55)&gt;0),"attendance marked but no blocks entered",IF(AND(N($C55)&gt;0,N(T55)=0),"no pay rate for this date - see Settings",IF(SUMPRODUCT((G55:R55&lt;&gt;"")*(G$5:R$5=""))&gt;0,"attendance in an empty worker slot",""))))))</f>
        <v/>
      </c>
      <c r="X55" s="133" t="n"/>
      <c r="Y55" s="125" t="n"/>
      <c r="Z55" s="126" t="n"/>
      <c r="AA55" s="126" t="n"/>
      <c r="AB55" s="126" t="n"/>
      <c r="AC55" s="126" t="n"/>
      <c r="AD55" s="126" t="n"/>
      <c r="AE55" s="126" t="n"/>
      <c r="AF55" s="126" t="n"/>
      <c r="AG55" s="126" t="n"/>
      <c r="AH55" s="126" t="n"/>
      <c r="AI55" s="126" t="n"/>
      <c r="AJ55" s="126" t="n"/>
      <c r="AK55" s="126" t="n"/>
      <c r="AL55" s="126" t="n"/>
      <c r="AM55" s="126" t="n"/>
    </row>
    <row r="56" ht="21" customFormat="1" customHeight="1" s="127">
      <c r="A56" s="250" t="n">
        <v>46314</v>
      </c>
      <c r="B56" s="63">
        <f>CHOOSE(WEEKDAY($A56,2),"Mon","Tue","Wed","Thu","Fri","Sat","Sun")</f>
        <v/>
      </c>
      <c r="C56" s="64" t="n"/>
      <c r="D56" s="64" t="n"/>
      <c r="E56" s="65">
        <f>IF($C56="","",$C56-N($D56))</f>
        <v/>
      </c>
      <c r="F56" s="65">
        <f>IF($C56="","",$C56-MAX(0,N($D56)-BreakAllow*$C56))</f>
        <v/>
      </c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1">
        <f>IF(COUNT(G56:R56)=0,"",SUM(G56:R56))</f>
        <v/>
      </c>
      <c r="T56" s="251">
        <f>IF($C56="","",IFERROR(INDEX(RateValues,MATCH(SUMPRODUCT(MAX((RateDates&lt;=$A56)*RateDates)),RateDates,0)),0))</f>
        <v/>
      </c>
      <c r="U56" s="252">
        <f>IF($C56="","",$F56*$T56)</f>
        <v/>
      </c>
      <c r="V56" s="253">
        <f>$A56-WEEKDAY($A56,2)+1</f>
        <v/>
      </c>
      <c r="W56" s="132">
        <f t="array" ref="W56">IF(AND($C56="",S56=""),"",IF(AND(N($C56)&gt;0,N(S56)=0),"nobody marked present",IF(N($D56)&gt;N($C56),"more broken than moulded",IF(AND($C56="",N(S56)&gt;0),"attendance marked but no blocks entered",IF(AND(N($C56)&gt;0,N(T56)=0),"no pay rate for this date - see Settings",IF(SUMPRODUCT((G56:R56&lt;&gt;"")*(G$5:R$5=""))&gt;0,"attendance in an empty worker slot",""))))))</f>
        <v/>
      </c>
      <c r="X56" s="133" t="n"/>
      <c r="Y56" s="125" t="n"/>
      <c r="Z56" s="126" t="n"/>
      <c r="AA56" s="126" t="n"/>
      <c r="AB56" s="126" t="n"/>
      <c r="AC56" s="126" t="n"/>
      <c r="AD56" s="126" t="n"/>
      <c r="AE56" s="126" t="n"/>
      <c r="AF56" s="126" t="n"/>
      <c r="AG56" s="126" t="n"/>
      <c r="AH56" s="126" t="n"/>
      <c r="AI56" s="126" t="n"/>
      <c r="AJ56" s="126" t="n"/>
      <c r="AK56" s="126" t="n"/>
      <c r="AL56" s="126" t="n"/>
      <c r="AM56" s="126" t="n"/>
    </row>
    <row r="57" ht="21" customFormat="1" customHeight="1" s="127">
      <c r="A57" s="250" t="n">
        <v>46315</v>
      </c>
      <c r="B57" s="63">
        <f>CHOOSE(WEEKDAY($A57,2),"Mon","Tue","Wed","Thu","Fri","Sat","Sun")</f>
        <v/>
      </c>
      <c r="C57" s="64" t="n"/>
      <c r="D57" s="64" t="n"/>
      <c r="E57" s="65">
        <f>IF($C57="","",$C57-N($D57))</f>
        <v/>
      </c>
      <c r="F57" s="65">
        <f>IF($C57="","",$C57-MAX(0,N($D57)-BreakAllow*$C57))</f>
        <v/>
      </c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1">
        <f>IF(COUNT(G57:R57)=0,"",SUM(G57:R57))</f>
        <v/>
      </c>
      <c r="T57" s="251">
        <f>IF($C57="","",IFERROR(INDEX(RateValues,MATCH(SUMPRODUCT(MAX((RateDates&lt;=$A57)*RateDates)),RateDates,0)),0))</f>
        <v/>
      </c>
      <c r="U57" s="252">
        <f>IF($C57="","",$F57*$T57)</f>
        <v/>
      </c>
      <c r="V57" s="253">
        <f>$A57-WEEKDAY($A57,2)+1</f>
        <v/>
      </c>
      <c r="W57" s="132">
        <f t="array" ref="W57">IF(AND($C57="",S57=""),"",IF(AND(N($C57)&gt;0,N(S57)=0),"nobody marked present",IF(N($D57)&gt;N($C57),"more broken than moulded",IF(AND($C57="",N(S57)&gt;0),"attendance marked but no blocks entered",IF(AND(N($C57)&gt;0,N(T57)=0),"no pay rate for this date - see Settings",IF(SUMPRODUCT((G57:R57&lt;&gt;"")*(G$5:R$5=""))&gt;0,"attendance in an empty worker slot",""))))))</f>
        <v/>
      </c>
      <c r="X57" s="133" t="n"/>
      <c r="Y57" s="125" t="n"/>
      <c r="Z57" s="126" t="n"/>
      <c r="AA57" s="126" t="n"/>
      <c r="AB57" s="126" t="n"/>
      <c r="AC57" s="126" t="n"/>
      <c r="AD57" s="126" t="n"/>
      <c r="AE57" s="126" t="n"/>
      <c r="AF57" s="126" t="n"/>
      <c r="AG57" s="126" t="n"/>
      <c r="AH57" s="126" t="n"/>
      <c r="AI57" s="126" t="n"/>
      <c r="AJ57" s="126" t="n"/>
      <c r="AK57" s="126" t="n"/>
      <c r="AL57" s="126" t="n"/>
      <c r="AM57" s="126" t="n"/>
    </row>
    <row r="58" ht="21" customFormat="1" customHeight="1" s="127">
      <c r="A58" s="250" t="n">
        <v>46316</v>
      </c>
      <c r="B58" s="63">
        <f>CHOOSE(WEEKDAY($A58,2),"Mon","Tue","Wed","Thu","Fri","Sat","Sun")</f>
        <v/>
      </c>
      <c r="C58" s="64" t="n"/>
      <c r="D58" s="64" t="n"/>
      <c r="E58" s="65">
        <f>IF($C58="","",$C58-N($D58))</f>
        <v/>
      </c>
      <c r="F58" s="65">
        <f>IF($C58="","",$C58-MAX(0,N($D58)-BreakAllow*$C58))</f>
        <v/>
      </c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1">
        <f>IF(COUNT(G58:R58)=0,"",SUM(G58:R58))</f>
        <v/>
      </c>
      <c r="T58" s="251">
        <f>IF($C58="","",IFERROR(INDEX(RateValues,MATCH(SUMPRODUCT(MAX((RateDates&lt;=$A58)*RateDates)),RateDates,0)),0))</f>
        <v/>
      </c>
      <c r="U58" s="252">
        <f>IF($C58="","",$F58*$T58)</f>
        <v/>
      </c>
      <c r="V58" s="253">
        <f>$A58-WEEKDAY($A58,2)+1</f>
        <v/>
      </c>
      <c r="W58" s="132">
        <f t="array" ref="W58">IF(AND($C58="",S58=""),"",IF(AND(N($C58)&gt;0,N(S58)=0),"nobody marked present",IF(N($D58)&gt;N($C58),"more broken than moulded",IF(AND($C58="",N(S58)&gt;0),"attendance marked but no blocks entered",IF(AND(N($C58)&gt;0,N(T58)=0),"no pay rate for this date - see Settings",IF(SUMPRODUCT((G58:R58&lt;&gt;"")*(G$5:R$5=""))&gt;0,"attendance in an empty worker slot",""))))))</f>
        <v/>
      </c>
      <c r="X58" s="133" t="n"/>
      <c r="Y58" s="125" t="n"/>
      <c r="Z58" s="126" t="n"/>
      <c r="AA58" s="126" t="n"/>
      <c r="AB58" s="126" t="n"/>
      <c r="AC58" s="126" t="n"/>
      <c r="AD58" s="126" t="n"/>
      <c r="AE58" s="126" t="n"/>
      <c r="AF58" s="126" t="n"/>
      <c r="AG58" s="126" t="n"/>
      <c r="AH58" s="126" t="n"/>
      <c r="AI58" s="126" t="n"/>
      <c r="AJ58" s="126" t="n"/>
      <c r="AK58" s="126" t="n"/>
      <c r="AL58" s="126" t="n"/>
      <c r="AM58" s="126" t="n"/>
    </row>
    <row r="59" ht="21" customFormat="1" customHeight="1" s="127">
      <c r="A59" s="250" t="n">
        <v>46317</v>
      </c>
      <c r="B59" s="63">
        <f>CHOOSE(WEEKDAY($A59,2),"Mon","Tue","Wed","Thu","Fri","Sat","Sun")</f>
        <v/>
      </c>
      <c r="C59" s="64" t="n"/>
      <c r="D59" s="64" t="n"/>
      <c r="E59" s="65">
        <f>IF($C59="","",$C59-N($D59))</f>
        <v/>
      </c>
      <c r="F59" s="65">
        <f>IF($C59="","",$C59-MAX(0,N($D59)-BreakAllow*$C59))</f>
        <v/>
      </c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1">
        <f>IF(COUNT(G59:R59)=0,"",SUM(G59:R59))</f>
        <v/>
      </c>
      <c r="T59" s="251">
        <f>IF($C59="","",IFERROR(INDEX(RateValues,MATCH(SUMPRODUCT(MAX((RateDates&lt;=$A59)*RateDates)),RateDates,0)),0))</f>
        <v/>
      </c>
      <c r="U59" s="252">
        <f>IF($C59="","",$F59*$T59)</f>
        <v/>
      </c>
      <c r="V59" s="253">
        <f>$A59-WEEKDAY($A59,2)+1</f>
        <v/>
      </c>
      <c r="W59" s="132">
        <f t="array" ref="W59">IF(AND($C59="",S59=""),"",IF(AND(N($C59)&gt;0,N(S59)=0),"nobody marked present",IF(N($D59)&gt;N($C59),"more broken than moulded",IF(AND($C59="",N(S59)&gt;0),"attendance marked but no blocks entered",IF(AND(N($C59)&gt;0,N(T59)=0),"no pay rate for this date - see Settings",IF(SUMPRODUCT((G59:R59&lt;&gt;"")*(G$5:R$5=""))&gt;0,"attendance in an empty worker slot",""))))))</f>
        <v/>
      </c>
      <c r="X59" s="133" t="n"/>
      <c r="Y59" s="125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</row>
    <row r="60" ht="21" customFormat="1" customHeight="1" s="127">
      <c r="A60" s="250" t="n">
        <v>46318</v>
      </c>
      <c r="B60" s="63">
        <f>CHOOSE(WEEKDAY($A60,2),"Mon","Tue","Wed","Thu","Fri","Sat","Sun")</f>
        <v/>
      </c>
      <c r="C60" s="64" t="n"/>
      <c r="D60" s="64" t="n"/>
      <c r="E60" s="65">
        <f>IF($C60="","",$C60-N($D60))</f>
        <v/>
      </c>
      <c r="F60" s="65">
        <f>IF($C60="","",$C60-MAX(0,N($D60)-BreakAllow*$C60))</f>
        <v/>
      </c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1">
        <f>IF(COUNT(G60:R60)=0,"",SUM(G60:R60))</f>
        <v/>
      </c>
      <c r="T60" s="251">
        <f>IF($C60="","",IFERROR(INDEX(RateValues,MATCH(SUMPRODUCT(MAX((RateDates&lt;=$A60)*RateDates)),RateDates,0)),0))</f>
        <v/>
      </c>
      <c r="U60" s="252">
        <f>IF($C60="","",$F60*$T60)</f>
        <v/>
      </c>
      <c r="V60" s="253">
        <f>$A60-WEEKDAY($A60,2)+1</f>
        <v/>
      </c>
      <c r="W60" s="132">
        <f t="array" ref="W60">IF(AND($C60="",S60=""),"",IF(AND(N($C60)&gt;0,N(S60)=0),"nobody marked present",IF(N($D60)&gt;N($C60),"more broken than moulded",IF(AND($C60="",N(S60)&gt;0),"attendance marked but no blocks entered",IF(AND(N($C60)&gt;0,N(T60)=0),"no pay rate for this date - see Settings",IF(SUMPRODUCT((G60:R60&lt;&gt;"")*(G$5:R$5=""))&gt;0,"attendance in an empty worker slot",""))))))</f>
        <v/>
      </c>
      <c r="X60" s="133" t="n"/>
      <c r="Y60" s="125" t="n"/>
      <c r="Z60" s="126" t="n"/>
      <c r="AA60" s="126" t="n"/>
      <c r="AB60" s="126" t="n"/>
      <c r="AC60" s="126" t="n"/>
      <c r="AD60" s="126" t="n"/>
      <c r="AE60" s="126" t="n"/>
      <c r="AF60" s="126" t="n"/>
      <c r="AG60" s="126" t="n"/>
      <c r="AH60" s="126" t="n"/>
      <c r="AI60" s="126" t="n"/>
      <c r="AJ60" s="126" t="n"/>
      <c r="AK60" s="126" t="n"/>
      <c r="AL60" s="126" t="n"/>
      <c r="AM60" s="126" t="n"/>
    </row>
    <row r="61" ht="21" customFormat="1" customHeight="1" s="127">
      <c r="A61" s="250" t="n">
        <v>46319</v>
      </c>
      <c r="B61" s="63">
        <f>CHOOSE(WEEKDAY($A61,2),"Mon","Tue","Wed","Thu","Fri","Sat","Sun")</f>
        <v/>
      </c>
      <c r="C61" s="64" t="n"/>
      <c r="D61" s="64" t="n"/>
      <c r="E61" s="65">
        <f>IF($C61="","",$C61-N($D61))</f>
        <v/>
      </c>
      <c r="F61" s="65">
        <f>IF($C61="","",$C61-MAX(0,N($D61)-BreakAllow*$C61))</f>
        <v/>
      </c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1">
        <f>IF(COUNT(G61:R61)=0,"",SUM(G61:R61))</f>
        <v/>
      </c>
      <c r="T61" s="251">
        <f>IF($C61="","",IFERROR(INDEX(RateValues,MATCH(SUMPRODUCT(MAX((RateDates&lt;=$A61)*RateDates)),RateDates,0)),0))</f>
        <v/>
      </c>
      <c r="U61" s="252">
        <f>IF($C61="","",$F61*$T61)</f>
        <v/>
      </c>
      <c r="V61" s="253">
        <f>$A61-WEEKDAY($A61,2)+1</f>
        <v/>
      </c>
      <c r="W61" s="132">
        <f t="array" ref="W61">IF(AND($C61="",S61=""),"",IF(AND(N($C61)&gt;0,N(S61)=0),"nobody marked present",IF(N($D61)&gt;N($C61),"more broken than moulded",IF(AND($C61="",N(S61)&gt;0),"attendance marked but no blocks entered",IF(AND(N($C61)&gt;0,N(T61)=0),"no pay rate for this date - see Settings",IF(SUMPRODUCT((G61:R61&lt;&gt;"")*(G$5:R$5=""))&gt;0,"attendance in an empty worker slot",""))))))</f>
        <v/>
      </c>
      <c r="X61" s="133" t="n"/>
      <c r="Y61" s="125" t="n"/>
      <c r="Z61" s="126" t="n"/>
      <c r="AA61" s="126" t="n"/>
      <c r="AB61" s="126" t="n"/>
      <c r="AC61" s="126" t="n"/>
      <c r="AD61" s="126" t="n"/>
      <c r="AE61" s="126" t="n"/>
      <c r="AF61" s="126" t="n"/>
      <c r="AG61" s="126" t="n"/>
      <c r="AH61" s="126" t="n"/>
      <c r="AI61" s="126" t="n"/>
      <c r="AJ61" s="126" t="n"/>
      <c r="AK61" s="126" t="n"/>
      <c r="AL61" s="126" t="n"/>
      <c r="AM61" s="126" t="n"/>
    </row>
    <row r="62" ht="21" customFormat="1" customHeight="1" s="127">
      <c r="A62" s="254" t="n">
        <v>46320</v>
      </c>
      <c r="B62" s="70">
        <f>CHOOSE(WEEKDAY($A62,2),"Mon","Tue","Wed","Thu","Fri","Sat","Sun")</f>
        <v/>
      </c>
      <c r="C62" s="64" t="n"/>
      <c r="D62" s="64" t="n"/>
      <c r="E62" s="65">
        <f>IF($C62="","",$C62-N($D62))</f>
        <v/>
      </c>
      <c r="F62" s="65">
        <f>IF($C62="","",$C62-MAX(0,N($D62)-BreakAllow*$C62))</f>
        <v/>
      </c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1">
        <f>IF(COUNT(G62:R62)=0,"",SUM(G62:R62))</f>
        <v/>
      </c>
      <c r="T62" s="251">
        <f>IF($C62="","",IFERROR(INDEX(RateValues,MATCH(SUMPRODUCT(MAX((RateDates&lt;=$A62)*RateDates)),RateDates,0)),0))</f>
        <v/>
      </c>
      <c r="U62" s="252">
        <f>IF($C62="","",$F62*$T62)</f>
        <v/>
      </c>
      <c r="V62" s="253">
        <f>$A62-WEEKDAY($A62,2)+1</f>
        <v/>
      </c>
      <c r="W62" s="132">
        <f t="array" ref="W62">IF(AND($C62="",S62=""),"",IF(AND(N($C62)&gt;0,N(S62)=0),"nobody marked present",IF(N($D62)&gt;N($C62),"more broken than moulded",IF(AND($C62="",N(S62)&gt;0),"attendance marked but no blocks entered",IF(AND(N($C62)&gt;0,N(T62)=0),"no pay rate for this date - see Settings",IF(SUMPRODUCT((G62:R62&lt;&gt;"")*(G$5:R$5=""))&gt;0,"attendance in an empty worker slot",""))))))</f>
        <v/>
      </c>
      <c r="X62" s="133" t="n"/>
      <c r="Y62" s="125" t="n"/>
      <c r="Z62" s="126" t="n"/>
      <c r="AA62" s="126" t="n"/>
      <c r="AB62" s="126" t="n"/>
      <c r="AC62" s="126" t="n"/>
      <c r="AD62" s="126" t="n"/>
      <c r="AE62" s="126" t="n"/>
      <c r="AF62" s="126" t="n"/>
      <c r="AG62" s="126" t="n"/>
      <c r="AH62" s="126" t="n"/>
      <c r="AI62" s="126" t="n"/>
      <c r="AJ62" s="126" t="n"/>
      <c r="AK62" s="126" t="n"/>
      <c r="AL62" s="126" t="n"/>
      <c r="AM62" s="126" t="n"/>
    </row>
    <row r="63" ht="21" customFormat="1" customHeight="1" s="127">
      <c r="A63" s="250" t="n">
        <v>46321</v>
      </c>
      <c r="B63" s="63">
        <f>CHOOSE(WEEKDAY($A63,2),"Mon","Tue","Wed","Thu","Fri","Sat","Sun")</f>
        <v/>
      </c>
      <c r="C63" s="64" t="n"/>
      <c r="D63" s="64" t="n"/>
      <c r="E63" s="65">
        <f>IF($C63="","",$C63-N($D63))</f>
        <v/>
      </c>
      <c r="F63" s="65">
        <f>IF($C63="","",$C63-MAX(0,N($D63)-BreakAllow*$C63))</f>
        <v/>
      </c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1">
        <f>IF(COUNT(G63:R63)=0,"",SUM(G63:R63))</f>
        <v/>
      </c>
      <c r="T63" s="251">
        <f>IF($C63="","",IFERROR(INDEX(RateValues,MATCH(SUMPRODUCT(MAX((RateDates&lt;=$A63)*RateDates)),RateDates,0)),0))</f>
        <v/>
      </c>
      <c r="U63" s="252">
        <f>IF($C63="","",$F63*$T63)</f>
        <v/>
      </c>
      <c r="V63" s="253">
        <f>$A63-WEEKDAY($A63,2)+1</f>
        <v/>
      </c>
      <c r="W63" s="132">
        <f t="array" ref="W63">IF(AND($C63="",S63=""),"",IF(AND(N($C63)&gt;0,N(S63)=0),"nobody marked present",IF(N($D63)&gt;N($C63),"more broken than moulded",IF(AND($C63="",N(S63)&gt;0),"attendance marked but no blocks entered",IF(AND(N($C63)&gt;0,N(T63)=0),"no pay rate for this date - see Settings",IF(SUMPRODUCT((G63:R63&lt;&gt;"")*(G$5:R$5=""))&gt;0,"attendance in an empty worker slot",""))))))</f>
        <v/>
      </c>
      <c r="X63" s="133" t="n"/>
      <c r="Y63" s="125" t="n"/>
      <c r="Z63" s="126" t="n"/>
      <c r="AA63" s="126" t="n"/>
      <c r="AB63" s="126" t="n"/>
      <c r="AC63" s="126" t="n"/>
      <c r="AD63" s="126" t="n"/>
      <c r="AE63" s="126" t="n"/>
      <c r="AF63" s="126" t="n"/>
      <c r="AG63" s="126" t="n"/>
      <c r="AH63" s="126" t="n"/>
      <c r="AI63" s="126" t="n"/>
      <c r="AJ63" s="126" t="n"/>
      <c r="AK63" s="126" t="n"/>
      <c r="AL63" s="126" t="n"/>
      <c r="AM63" s="126" t="n"/>
    </row>
    <row r="64" ht="21" customFormat="1" customHeight="1" s="127">
      <c r="A64" s="250" t="n">
        <v>46322</v>
      </c>
      <c r="B64" s="63">
        <f>CHOOSE(WEEKDAY($A64,2),"Mon","Tue","Wed","Thu","Fri","Sat","Sun")</f>
        <v/>
      </c>
      <c r="C64" s="64" t="n"/>
      <c r="D64" s="64" t="n"/>
      <c r="E64" s="65">
        <f>IF($C64="","",$C64-N($D64))</f>
        <v/>
      </c>
      <c r="F64" s="65">
        <f>IF($C64="","",$C64-MAX(0,N($D64)-BreakAllow*$C64))</f>
        <v/>
      </c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1">
        <f>IF(COUNT(G64:R64)=0,"",SUM(G64:R64))</f>
        <v/>
      </c>
      <c r="T64" s="251">
        <f>IF($C64="","",IFERROR(INDEX(RateValues,MATCH(SUMPRODUCT(MAX((RateDates&lt;=$A64)*RateDates)),RateDates,0)),0))</f>
        <v/>
      </c>
      <c r="U64" s="252">
        <f>IF($C64="","",$F64*$T64)</f>
        <v/>
      </c>
      <c r="V64" s="253">
        <f>$A64-WEEKDAY($A64,2)+1</f>
        <v/>
      </c>
      <c r="W64" s="132">
        <f t="array" ref="W64">IF(AND($C64="",S64=""),"",IF(AND(N($C64)&gt;0,N(S64)=0),"nobody marked present",IF(N($D64)&gt;N($C64),"more broken than moulded",IF(AND($C64="",N(S64)&gt;0),"attendance marked but no blocks entered",IF(AND(N($C64)&gt;0,N(T64)=0),"no pay rate for this date - see Settings",IF(SUMPRODUCT((G64:R64&lt;&gt;"")*(G$5:R$5=""))&gt;0,"attendance in an empty worker slot",""))))))</f>
        <v/>
      </c>
      <c r="X64" s="133" t="n"/>
      <c r="Y64" s="125" t="n"/>
      <c r="Z64" s="126" t="n"/>
      <c r="AA64" s="126" t="n"/>
      <c r="AB64" s="126" t="n"/>
      <c r="AC64" s="126" t="n"/>
      <c r="AD64" s="126" t="n"/>
      <c r="AE64" s="126" t="n"/>
      <c r="AF64" s="126" t="n"/>
      <c r="AG64" s="126" t="n"/>
      <c r="AH64" s="126" t="n"/>
      <c r="AI64" s="126" t="n"/>
      <c r="AJ64" s="126" t="n"/>
      <c r="AK64" s="126" t="n"/>
      <c r="AL64" s="126" t="n"/>
      <c r="AM64" s="126" t="n"/>
    </row>
    <row r="65" ht="21" customFormat="1" customHeight="1" s="127">
      <c r="A65" s="250" t="n">
        <v>46323</v>
      </c>
      <c r="B65" s="63">
        <f>CHOOSE(WEEKDAY($A65,2),"Mon","Tue","Wed","Thu","Fri","Sat","Sun")</f>
        <v/>
      </c>
      <c r="C65" s="64" t="n"/>
      <c r="D65" s="64" t="n"/>
      <c r="E65" s="65">
        <f>IF($C65="","",$C65-N($D65))</f>
        <v/>
      </c>
      <c r="F65" s="65">
        <f>IF($C65="","",$C65-MAX(0,N($D65)-BreakAllow*$C65))</f>
        <v/>
      </c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1">
        <f>IF(COUNT(G65:R65)=0,"",SUM(G65:R65))</f>
        <v/>
      </c>
      <c r="T65" s="251">
        <f>IF($C65="","",IFERROR(INDEX(RateValues,MATCH(SUMPRODUCT(MAX((RateDates&lt;=$A65)*RateDates)),RateDates,0)),0))</f>
        <v/>
      </c>
      <c r="U65" s="252">
        <f>IF($C65="","",$F65*$T65)</f>
        <v/>
      </c>
      <c r="V65" s="253">
        <f>$A65-WEEKDAY($A65,2)+1</f>
        <v/>
      </c>
      <c r="W65" s="132">
        <f t="array" ref="W65">IF(AND($C65="",S65=""),"",IF(AND(N($C65)&gt;0,N(S65)=0),"nobody marked present",IF(N($D65)&gt;N($C65),"more broken than moulded",IF(AND($C65="",N(S65)&gt;0),"attendance marked but no blocks entered",IF(AND(N($C65)&gt;0,N(T65)=0),"no pay rate for this date - see Settings",IF(SUMPRODUCT((G65:R65&lt;&gt;"")*(G$5:R$5=""))&gt;0,"attendance in an empty worker slot",""))))))</f>
        <v/>
      </c>
      <c r="X65" s="133" t="n"/>
      <c r="Y65" s="125" t="n"/>
      <c r="Z65" s="126" t="n"/>
      <c r="AA65" s="126" t="n"/>
      <c r="AB65" s="126" t="n"/>
      <c r="AC65" s="126" t="n"/>
      <c r="AD65" s="126" t="n"/>
      <c r="AE65" s="126" t="n"/>
      <c r="AF65" s="126" t="n"/>
      <c r="AG65" s="126" t="n"/>
      <c r="AH65" s="126" t="n"/>
      <c r="AI65" s="126" t="n"/>
      <c r="AJ65" s="126" t="n"/>
      <c r="AK65" s="126" t="n"/>
      <c r="AL65" s="126" t="n"/>
      <c r="AM65" s="126" t="n"/>
    </row>
    <row r="66" ht="21" customFormat="1" customHeight="1" s="127">
      <c r="A66" s="250" t="n">
        <v>46324</v>
      </c>
      <c r="B66" s="63">
        <f>CHOOSE(WEEKDAY($A66,2),"Mon","Tue","Wed","Thu","Fri","Sat","Sun")</f>
        <v/>
      </c>
      <c r="C66" s="64" t="n"/>
      <c r="D66" s="64" t="n"/>
      <c r="E66" s="65">
        <f>IF($C66="","",$C66-N($D66))</f>
        <v/>
      </c>
      <c r="F66" s="65">
        <f>IF($C66="","",$C66-MAX(0,N($D66)-BreakAllow*$C66))</f>
        <v/>
      </c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1">
        <f>IF(COUNT(G66:R66)=0,"",SUM(G66:R66))</f>
        <v/>
      </c>
      <c r="T66" s="251">
        <f>IF($C66="","",IFERROR(INDEX(RateValues,MATCH(SUMPRODUCT(MAX((RateDates&lt;=$A66)*RateDates)),RateDates,0)),0))</f>
        <v/>
      </c>
      <c r="U66" s="252">
        <f>IF($C66="","",$F66*$T66)</f>
        <v/>
      </c>
      <c r="V66" s="253">
        <f>$A66-WEEKDAY($A66,2)+1</f>
        <v/>
      </c>
      <c r="W66" s="132">
        <f t="array" ref="W66">IF(AND($C66="",S66=""),"",IF(AND(N($C66)&gt;0,N(S66)=0),"nobody marked present",IF(N($D66)&gt;N($C66),"more broken than moulded",IF(AND($C66="",N(S66)&gt;0),"attendance marked but no blocks entered",IF(AND(N($C66)&gt;0,N(T66)=0),"no pay rate for this date - see Settings",IF(SUMPRODUCT((G66:R66&lt;&gt;"")*(G$5:R$5=""))&gt;0,"attendance in an empty worker slot",""))))))</f>
        <v/>
      </c>
      <c r="X66" s="133" t="n"/>
      <c r="Y66" s="125" t="n"/>
      <c r="Z66" s="126" t="n"/>
      <c r="AA66" s="126" t="n"/>
      <c r="AB66" s="126" t="n"/>
      <c r="AC66" s="126" t="n"/>
      <c r="AD66" s="126" t="n"/>
      <c r="AE66" s="126" t="n"/>
      <c r="AF66" s="126" t="n"/>
      <c r="AG66" s="126" t="n"/>
      <c r="AH66" s="126" t="n"/>
      <c r="AI66" s="126" t="n"/>
      <c r="AJ66" s="126" t="n"/>
      <c r="AK66" s="126" t="n"/>
      <c r="AL66" s="126" t="n"/>
      <c r="AM66" s="126" t="n"/>
    </row>
    <row r="67" ht="21" customFormat="1" customHeight="1" s="127">
      <c r="A67" s="250" t="n">
        <v>46325</v>
      </c>
      <c r="B67" s="63">
        <f>CHOOSE(WEEKDAY($A67,2),"Mon","Tue","Wed","Thu","Fri","Sat","Sun")</f>
        <v/>
      </c>
      <c r="C67" s="64" t="n"/>
      <c r="D67" s="64" t="n"/>
      <c r="E67" s="65">
        <f>IF($C67="","",$C67-N($D67))</f>
        <v/>
      </c>
      <c r="F67" s="65">
        <f>IF($C67="","",$C67-MAX(0,N($D67)-BreakAllow*$C67))</f>
        <v/>
      </c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1">
        <f>IF(COUNT(G67:R67)=0,"",SUM(G67:R67))</f>
        <v/>
      </c>
      <c r="T67" s="251">
        <f>IF($C67="","",IFERROR(INDEX(RateValues,MATCH(SUMPRODUCT(MAX((RateDates&lt;=$A67)*RateDates)),RateDates,0)),0))</f>
        <v/>
      </c>
      <c r="U67" s="252">
        <f>IF($C67="","",$F67*$T67)</f>
        <v/>
      </c>
      <c r="V67" s="253">
        <f>$A67-WEEKDAY($A67,2)+1</f>
        <v/>
      </c>
      <c r="W67" s="132">
        <f t="array" ref="W67">IF(AND($C67="",S67=""),"",IF(AND(N($C67)&gt;0,N(S67)=0),"nobody marked present",IF(N($D67)&gt;N($C67),"more broken than moulded",IF(AND($C67="",N(S67)&gt;0),"attendance marked but no blocks entered",IF(AND(N($C67)&gt;0,N(T67)=0),"no pay rate for this date - see Settings",IF(SUMPRODUCT((G67:R67&lt;&gt;"")*(G$5:R$5=""))&gt;0,"attendance in an empty worker slot",""))))))</f>
        <v/>
      </c>
      <c r="X67" s="133" t="n"/>
      <c r="Y67" s="125" t="n"/>
      <c r="Z67" s="126" t="n"/>
      <c r="AA67" s="126" t="n"/>
      <c r="AB67" s="126" t="n"/>
      <c r="AC67" s="126" t="n"/>
      <c r="AD67" s="126" t="n"/>
      <c r="AE67" s="126" t="n"/>
      <c r="AF67" s="126" t="n"/>
      <c r="AG67" s="126" t="n"/>
      <c r="AH67" s="126" t="n"/>
      <c r="AI67" s="126" t="n"/>
      <c r="AJ67" s="126" t="n"/>
      <c r="AK67" s="126" t="n"/>
      <c r="AL67" s="126" t="n"/>
      <c r="AM67" s="126" t="n"/>
    </row>
    <row r="68" ht="21" customFormat="1" customHeight="1" s="127">
      <c r="A68" s="250" t="n">
        <v>46326</v>
      </c>
      <c r="B68" s="63">
        <f>CHOOSE(WEEKDAY($A68,2),"Mon","Tue","Wed","Thu","Fri","Sat","Sun")</f>
        <v/>
      </c>
      <c r="C68" s="64" t="n"/>
      <c r="D68" s="64" t="n"/>
      <c r="E68" s="65">
        <f>IF($C68="","",$C68-N($D68))</f>
        <v/>
      </c>
      <c r="F68" s="65">
        <f>IF($C68="","",$C68-MAX(0,N($D68)-BreakAllow*$C68))</f>
        <v/>
      </c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1">
        <f>IF(COUNT(G68:R68)=0,"",SUM(G68:R68))</f>
        <v/>
      </c>
      <c r="T68" s="251">
        <f>IF($C68="","",IFERROR(INDEX(RateValues,MATCH(SUMPRODUCT(MAX((RateDates&lt;=$A68)*RateDates)),RateDates,0)),0))</f>
        <v/>
      </c>
      <c r="U68" s="252">
        <f>IF($C68="","",$F68*$T68)</f>
        <v/>
      </c>
      <c r="V68" s="253">
        <f>$A68-WEEKDAY($A68,2)+1</f>
        <v/>
      </c>
      <c r="W68" s="132">
        <f t="array" ref="W68">IF(AND($C68="",S68=""),"",IF(AND(N($C68)&gt;0,N(S68)=0),"nobody marked present",IF(N($D68)&gt;N($C68),"more broken than moulded",IF(AND($C68="",N(S68)&gt;0),"attendance marked but no blocks entered",IF(AND(N($C68)&gt;0,N(T68)=0),"no pay rate for this date - see Settings",IF(SUMPRODUCT((G68:R68&lt;&gt;"")*(G$5:R$5=""))&gt;0,"attendance in an empty worker slot",""))))))</f>
        <v/>
      </c>
      <c r="X68" s="133" t="n"/>
      <c r="Y68" s="125" t="n"/>
      <c r="Z68" s="126" t="n"/>
      <c r="AA68" s="126" t="n"/>
      <c r="AB68" s="126" t="n"/>
      <c r="AC68" s="126" t="n"/>
      <c r="AD68" s="126" t="n"/>
      <c r="AE68" s="126" t="n"/>
      <c r="AF68" s="126" t="n"/>
      <c r="AG68" s="126" t="n"/>
      <c r="AH68" s="126" t="n"/>
      <c r="AI68" s="126" t="n"/>
      <c r="AJ68" s="126" t="n"/>
      <c r="AK68" s="126" t="n"/>
      <c r="AL68" s="126" t="n"/>
      <c r="AM68" s="126" t="n"/>
    </row>
    <row r="69" ht="21" customFormat="1" customHeight="1" s="127">
      <c r="A69" s="254" t="n">
        <v>46327</v>
      </c>
      <c r="B69" s="70">
        <f>CHOOSE(WEEKDAY($A69,2),"Mon","Tue","Wed","Thu","Fri","Sat","Sun")</f>
        <v/>
      </c>
      <c r="C69" s="64" t="n"/>
      <c r="D69" s="64" t="n"/>
      <c r="E69" s="65">
        <f>IF($C69="","",$C69-N($D69))</f>
        <v/>
      </c>
      <c r="F69" s="65">
        <f>IF($C69="","",$C69-MAX(0,N($D69)-BreakAllow*$C69))</f>
        <v/>
      </c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1">
        <f>IF(COUNT(G69:R69)=0,"",SUM(G69:R69))</f>
        <v/>
      </c>
      <c r="T69" s="251">
        <f>IF($C69="","",IFERROR(INDEX(RateValues,MATCH(SUMPRODUCT(MAX((RateDates&lt;=$A69)*RateDates)),RateDates,0)),0))</f>
        <v/>
      </c>
      <c r="U69" s="252">
        <f>IF($C69="","",$F69*$T69)</f>
        <v/>
      </c>
      <c r="V69" s="253">
        <f>$A69-WEEKDAY($A69,2)+1</f>
        <v/>
      </c>
      <c r="W69" s="132">
        <f t="array" ref="W69">IF(AND($C69="",S69=""),"",IF(AND(N($C69)&gt;0,N(S69)=0),"nobody marked present",IF(N($D69)&gt;N($C69),"more broken than moulded",IF(AND($C69="",N(S69)&gt;0),"attendance marked but no blocks entered",IF(AND(N($C69)&gt;0,N(T69)=0),"no pay rate for this date - see Settings",IF(SUMPRODUCT((G69:R69&lt;&gt;"")*(G$5:R$5=""))&gt;0,"attendance in an empty worker slot",""))))))</f>
        <v/>
      </c>
      <c r="X69" s="133" t="n"/>
      <c r="Y69" s="125" t="n"/>
      <c r="Z69" s="126" t="n"/>
      <c r="AA69" s="126" t="n"/>
      <c r="AB69" s="126" t="n"/>
      <c r="AC69" s="126" t="n"/>
      <c r="AD69" s="126" t="n"/>
      <c r="AE69" s="126" t="n"/>
      <c r="AF69" s="126" t="n"/>
      <c r="AG69" s="126" t="n"/>
      <c r="AH69" s="126" t="n"/>
      <c r="AI69" s="126" t="n"/>
      <c r="AJ69" s="126" t="n"/>
      <c r="AK69" s="126" t="n"/>
      <c r="AL69" s="126" t="n"/>
      <c r="AM69" s="126" t="n"/>
    </row>
    <row r="70" ht="21" customFormat="1" customHeight="1" s="127">
      <c r="A70" s="250" t="n">
        <v>46328</v>
      </c>
      <c r="B70" s="63">
        <f>CHOOSE(WEEKDAY($A70,2),"Mon","Tue","Wed","Thu","Fri","Sat","Sun")</f>
        <v/>
      </c>
      <c r="C70" s="64" t="n"/>
      <c r="D70" s="64" t="n"/>
      <c r="E70" s="65">
        <f>IF($C70="","",$C70-N($D70))</f>
        <v/>
      </c>
      <c r="F70" s="65">
        <f>IF($C70="","",$C70-MAX(0,N($D70)-BreakAllow*$C70))</f>
        <v/>
      </c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1">
        <f>IF(COUNT(G70:R70)=0,"",SUM(G70:R70))</f>
        <v/>
      </c>
      <c r="T70" s="251">
        <f>IF($C70="","",IFERROR(INDEX(RateValues,MATCH(SUMPRODUCT(MAX((RateDates&lt;=$A70)*RateDates)),RateDates,0)),0))</f>
        <v/>
      </c>
      <c r="U70" s="252">
        <f>IF($C70="","",$F70*$T70)</f>
        <v/>
      </c>
      <c r="V70" s="253">
        <f>$A70-WEEKDAY($A70,2)+1</f>
        <v/>
      </c>
      <c r="W70" s="132">
        <f t="array" ref="W70">IF(AND($C70="",S70=""),"",IF(AND(N($C70)&gt;0,N(S70)=0),"nobody marked present",IF(N($D70)&gt;N($C70),"more broken than moulded",IF(AND($C70="",N(S70)&gt;0),"attendance marked but no blocks entered",IF(AND(N($C70)&gt;0,N(T70)=0),"no pay rate for this date - see Settings",IF(SUMPRODUCT((G70:R70&lt;&gt;"")*(G$5:R$5=""))&gt;0,"attendance in an empty worker slot",""))))))</f>
        <v/>
      </c>
      <c r="X70" s="133" t="n"/>
      <c r="Y70" s="125" t="n"/>
      <c r="Z70" s="126" t="n"/>
      <c r="AA70" s="126" t="n"/>
      <c r="AB70" s="126" t="n"/>
      <c r="AC70" s="126" t="n"/>
      <c r="AD70" s="126" t="n"/>
      <c r="AE70" s="126" t="n"/>
      <c r="AF70" s="126" t="n"/>
      <c r="AG70" s="126" t="n"/>
      <c r="AH70" s="126" t="n"/>
      <c r="AI70" s="126" t="n"/>
      <c r="AJ70" s="126" t="n"/>
      <c r="AK70" s="126" t="n"/>
      <c r="AL70" s="126" t="n"/>
      <c r="AM70" s="126" t="n"/>
    </row>
    <row r="71" ht="21" customFormat="1" customHeight="1" s="127">
      <c r="A71" s="250" t="n">
        <v>46329</v>
      </c>
      <c r="B71" s="63">
        <f>CHOOSE(WEEKDAY($A71,2),"Mon","Tue","Wed","Thu","Fri","Sat","Sun")</f>
        <v/>
      </c>
      <c r="C71" s="64" t="n"/>
      <c r="D71" s="64" t="n"/>
      <c r="E71" s="65">
        <f>IF($C71="","",$C71-N($D71))</f>
        <v/>
      </c>
      <c r="F71" s="65">
        <f>IF($C71="","",$C71-MAX(0,N($D71)-BreakAllow*$C71))</f>
        <v/>
      </c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1">
        <f>IF(COUNT(G71:R71)=0,"",SUM(G71:R71))</f>
        <v/>
      </c>
      <c r="T71" s="251">
        <f>IF($C71="","",IFERROR(INDEX(RateValues,MATCH(SUMPRODUCT(MAX((RateDates&lt;=$A71)*RateDates)),RateDates,0)),0))</f>
        <v/>
      </c>
      <c r="U71" s="252">
        <f>IF($C71="","",$F71*$T71)</f>
        <v/>
      </c>
      <c r="V71" s="253">
        <f>$A71-WEEKDAY($A71,2)+1</f>
        <v/>
      </c>
      <c r="W71" s="132">
        <f t="array" ref="W71">IF(AND($C71="",S71=""),"",IF(AND(N($C71)&gt;0,N(S71)=0),"nobody marked present",IF(N($D71)&gt;N($C71),"more broken than moulded",IF(AND($C71="",N(S71)&gt;0),"attendance marked but no blocks entered",IF(AND(N($C71)&gt;0,N(T71)=0),"no pay rate for this date - see Settings",IF(SUMPRODUCT((G71:R71&lt;&gt;"")*(G$5:R$5=""))&gt;0,"attendance in an empty worker slot",""))))))</f>
        <v/>
      </c>
      <c r="X71" s="133" t="n"/>
      <c r="Y71" s="125" t="n"/>
      <c r="Z71" s="126" t="n"/>
      <c r="AA71" s="126" t="n"/>
      <c r="AB71" s="126" t="n"/>
      <c r="AC71" s="126" t="n"/>
      <c r="AD71" s="126" t="n"/>
      <c r="AE71" s="126" t="n"/>
      <c r="AF71" s="126" t="n"/>
      <c r="AG71" s="126" t="n"/>
      <c r="AH71" s="126" t="n"/>
      <c r="AI71" s="126" t="n"/>
      <c r="AJ71" s="126" t="n"/>
      <c r="AK71" s="126" t="n"/>
      <c r="AL71" s="126" t="n"/>
      <c r="AM71" s="126" t="n"/>
    </row>
    <row r="72" ht="21" customFormat="1" customHeight="1" s="127">
      <c r="A72" s="250" t="n">
        <v>46330</v>
      </c>
      <c r="B72" s="63">
        <f>CHOOSE(WEEKDAY($A72,2),"Mon","Tue","Wed","Thu","Fri","Sat","Sun")</f>
        <v/>
      </c>
      <c r="C72" s="64" t="n"/>
      <c r="D72" s="64" t="n"/>
      <c r="E72" s="65">
        <f>IF($C72="","",$C72-N($D72))</f>
        <v/>
      </c>
      <c r="F72" s="65">
        <f>IF($C72="","",$C72-MAX(0,N($D72)-BreakAllow*$C72))</f>
        <v/>
      </c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1">
        <f>IF(COUNT(G72:R72)=0,"",SUM(G72:R72))</f>
        <v/>
      </c>
      <c r="T72" s="251">
        <f>IF($C72="","",IFERROR(INDEX(RateValues,MATCH(SUMPRODUCT(MAX((RateDates&lt;=$A72)*RateDates)),RateDates,0)),0))</f>
        <v/>
      </c>
      <c r="U72" s="252">
        <f>IF($C72="","",$F72*$T72)</f>
        <v/>
      </c>
      <c r="V72" s="253">
        <f>$A72-WEEKDAY($A72,2)+1</f>
        <v/>
      </c>
      <c r="W72" s="132">
        <f t="array" ref="W72">IF(AND($C72="",S72=""),"",IF(AND(N($C72)&gt;0,N(S72)=0),"nobody marked present",IF(N($D72)&gt;N($C72),"more broken than moulded",IF(AND($C72="",N(S72)&gt;0),"attendance marked but no blocks entered",IF(AND(N($C72)&gt;0,N(T72)=0),"no pay rate for this date - see Settings",IF(SUMPRODUCT((G72:R72&lt;&gt;"")*(G$5:R$5=""))&gt;0,"attendance in an empty worker slot",""))))))</f>
        <v/>
      </c>
      <c r="X72" s="133" t="n"/>
      <c r="Y72" s="125" t="n"/>
      <c r="Z72" s="126" t="n"/>
      <c r="AA72" s="126" t="n"/>
      <c r="AB72" s="126" t="n"/>
      <c r="AC72" s="126" t="n"/>
      <c r="AD72" s="126" t="n"/>
      <c r="AE72" s="126" t="n"/>
      <c r="AF72" s="126" t="n"/>
      <c r="AG72" s="126" t="n"/>
      <c r="AH72" s="126" t="n"/>
      <c r="AI72" s="126" t="n"/>
      <c r="AJ72" s="126" t="n"/>
      <c r="AK72" s="126" t="n"/>
      <c r="AL72" s="126" t="n"/>
      <c r="AM72" s="126" t="n"/>
    </row>
    <row r="73" ht="21" customFormat="1" customHeight="1" s="127">
      <c r="A73" s="250" t="n">
        <v>46331</v>
      </c>
      <c r="B73" s="63">
        <f>CHOOSE(WEEKDAY($A73,2),"Mon","Tue","Wed","Thu","Fri","Sat","Sun")</f>
        <v/>
      </c>
      <c r="C73" s="64" t="n"/>
      <c r="D73" s="64" t="n"/>
      <c r="E73" s="65">
        <f>IF($C73="","",$C73-N($D73))</f>
        <v/>
      </c>
      <c r="F73" s="65">
        <f>IF($C73="","",$C73-MAX(0,N($D73)-BreakAllow*$C73))</f>
        <v/>
      </c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1">
        <f>IF(COUNT(G73:R73)=0,"",SUM(G73:R73))</f>
        <v/>
      </c>
      <c r="T73" s="251">
        <f>IF($C73="","",IFERROR(INDEX(RateValues,MATCH(SUMPRODUCT(MAX((RateDates&lt;=$A73)*RateDates)),RateDates,0)),0))</f>
        <v/>
      </c>
      <c r="U73" s="252">
        <f>IF($C73="","",$F73*$T73)</f>
        <v/>
      </c>
      <c r="V73" s="253">
        <f>$A73-WEEKDAY($A73,2)+1</f>
        <v/>
      </c>
      <c r="W73" s="132">
        <f t="array" ref="W73">IF(AND($C73="",S73=""),"",IF(AND(N($C73)&gt;0,N(S73)=0),"nobody marked present",IF(N($D73)&gt;N($C73),"more broken than moulded",IF(AND($C73="",N(S73)&gt;0),"attendance marked but no blocks entered",IF(AND(N($C73)&gt;0,N(T73)=0),"no pay rate for this date - see Settings",IF(SUMPRODUCT((G73:R73&lt;&gt;"")*(G$5:R$5=""))&gt;0,"attendance in an empty worker slot",""))))))</f>
        <v/>
      </c>
      <c r="X73" s="133" t="n"/>
      <c r="Y73" s="125" t="n"/>
      <c r="Z73" s="126" t="n"/>
      <c r="AA73" s="126" t="n"/>
      <c r="AB73" s="126" t="n"/>
      <c r="AC73" s="126" t="n"/>
      <c r="AD73" s="126" t="n"/>
      <c r="AE73" s="126" t="n"/>
      <c r="AF73" s="126" t="n"/>
      <c r="AG73" s="126" t="n"/>
      <c r="AH73" s="126" t="n"/>
      <c r="AI73" s="126" t="n"/>
      <c r="AJ73" s="126" t="n"/>
      <c r="AK73" s="126" t="n"/>
      <c r="AL73" s="126" t="n"/>
      <c r="AM73" s="126" t="n"/>
    </row>
    <row r="74" ht="21" customFormat="1" customHeight="1" s="127">
      <c r="A74" s="250" t="n">
        <v>46332</v>
      </c>
      <c r="B74" s="63">
        <f>CHOOSE(WEEKDAY($A74,2),"Mon","Tue","Wed","Thu","Fri","Sat","Sun")</f>
        <v/>
      </c>
      <c r="C74" s="64" t="n"/>
      <c r="D74" s="64" t="n"/>
      <c r="E74" s="65">
        <f>IF($C74="","",$C74-N($D74))</f>
        <v/>
      </c>
      <c r="F74" s="65">
        <f>IF($C74="","",$C74-MAX(0,N($D74)-BreakAllow*$C74))</f>
        <v/>
      </c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1">
        <f>IF(COUNT(G74:R74)=0,"",SUM(G74:R74))</f>
        <v/>
      </c>
      <c r="T74" s="251">
        <f>IF($C74="","",IFERROR(INDEX(RateValues,MATCH(SUMPRODUCT(MAX((RateDates&lt;=$A74)*RateDates)),RateDates,0)),0))</f>
        <v/>
      </c>
      <c r="U74" s="252">
        <f>IF($C74="","",$F74*$T74)</f>
        <v/>
      </c>
      <c r="V74" s="253">
        <f>$A74-WEEKDAY($A74,2)+1</f>
        <v/>
      </c>
      <c r="W74" s="132">
        <f t="array" ref="W74">IF(AND($C74="",S74=""),"",IF(AND(N($C74)&gt;0,N(S74)=0),"nobody marked present",IF(N($D74)&gt;N($C74),"more broken than moulded",IF(AND($C74="",N(S74)&gt;0),"attendance marked but no blocks entered",IF(AND(N($C74)&gt;0,N(T74)=0),"no pay rate for this date - see Settings",IF(SUMPRODUCT((G74:R74&lt;&gt;"")*(G$5:R$5=""))&gt;0,"attendance in an empty worker slot",""))))))</f>
        <v/>
      </c>
      <c r="X74" s="133" t="n"/>
      <c r="Y74" s="125" t="n"/>
      <c r="Z74" s="126" t="n"/>
      <c r="AA74" s="126" t="n"/>
      <c r="AB74" s="126" t="n"/>
      <c r="AC74" s="126" t="n"/>
      <c r="AD74" s="126" t="n"/>
      <c r="AE74" s="126" t="n"/>
      <c r="AF74" s="126" t="n"/>
      <c r="AG74" s="126" t="n"/>
      <c r="AH74" s="126" t="n"/>
      <c r="AI74" s="126" t="n"/>
      <c r="AJ74" s="126" t="n"/>
      <c r="AK74" s="126" t="n"/>
      <c r="AL74" s="126" t="n"/>
      <c r="AM74" s="126" t="n"/>
    </row>
    <row r="75" ht="21" customFormat="1" customHeight="1" s="127">
      <c r="A75" s="250" t="n">
        <v>46333</v>
      </c>
      <c r="B75" s="63">
        <f>CHOOSE(WEEKDAY($A75,2),"Mon","Tue","Wed","Thu","Fri","Sat","Sun")</f>
        <v/>
      </c>
      <c r="C75" s="64" t="n"/>
      <c r="D75" s="64" t="n"/>
      <c r="E75" s="65">
        <f>IF($C75="","",$C75-N($D75))</f>
        <v/>
      </c>
      <c r="F75" s="65">
        <f>IF($C75="","",$C75-MAX(0,N($D75)-BreakAllow*$C75))</f>
        <v/>
      </c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1">
        <f>IF(COUNT(G75:R75)=0,"",SUM(G75:R75))</f>
        <v/>
      </c>
      <c r="T75" s="251">
        <f>IF($C75="","",IFERROR(INDEX(RateValues,MATCH(SUMPRODUCT(MAX((RateDates&lt;=$A75)*RateDates)),RateDates,0)),0))</f>
        <v/>
      </c>
      <c r="U75" s="252">
        <f>IF($C75="","",$F75*$T75)</f>
        <v/>
      </c>
      <c r="V75" s="253">
        <f>$A75-WEEKDAY($A75,2)+1</f>
        <v/>
      </c>
      <c r="W75" s="132">
        <f t="array" ref="W75">IF(AND($C75="",S75=""),"",IF(AND(N($C75)&gt;0,N(S75)=0),"nobody marked present",IF(N($D75)&gt;N($C75),"more broken than moulded",IF(AND($C75="",N(S75)&gt;0),"attendance marked but no blocks entered",IF(AND(N($C75)&gt;0,N(T75)=0),"no pay rate for this date - see Settings",IF(SUMPRODUCT((G75:R75&lt;&gt;"")*(G$5:R$5=""))&gt;0,"attendance in an empty worker slot",""))))))</f>
        <v/>
      </c>
      <c r="X75" s="133" t="n"/>
      <c r="Y75" s="125" t="n"/>
      <c r="Z75" s="126" t="n"/>
      <c r="AA75" s="126" t="n"/>
      <c r="AB75" s="126" t="n"/>
      <c r="AC75" s="126" t="n"/>
      <c r="AD75" s="126" t="n"/>
      <c r="AE75" s="126" t="n"/>
      <c r="AF75" s="126" t="n"/>
      <c r="AG75" s="126" t="n"/>
      <c r="AH75" s="126" t="n"/>
      <c r="AI75" s="126" t="n"/>
      <c r="AJ75" s="126" t="n"/>
      <c r="AK75" s="126" t="n"/>
      <c r="AL75" s="126" t="n"/>
      <c r="AM75" s="126" t="n"/>
    </row>
    <row r="76" ht="21" customFormat="1" customHeight="1" s="127">
      <c r="A76" s="254" t="n">
        <v>46334</v>
      </c>
      <c r="B76" s="70">
        <f>CHOOSE(WEEKDAY($A76,2),"Mon","Tue","Wed","Thu","Fri","Sat","Sun")</f>
        <v/>
      </c>
      <c r="C76" s="64" t="n"/>
      <c r="D76" s="64" t="n"/>
      <c r="E76" s="65">
        <f>IF($C76="","",$C76-N($D76))</f>
        <v/>
      </c>
      <c r="F76" s="65">
        <f>IF($C76="","",$C76-MAX(0,N($D76)-BreakAllow*$C76))</f>
        <v/>
      </c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1">
        <f>IF(COUNT(G76:R76)=0,"",SUM(G76:R76))</f>
        <v/>
      </c>
      <c r="T76" s="251">
        <f>IF($C76="","",IFERROR(INDEX(RateValues,MATCH(SUMPRODUCT(MAX((RateDates&lt;=$A76)*RateDates)),RateDates,0)),0))</f>
        <v/>
      </c>
      <c r="U76" s="252">
        <f>IF($C76="","",$F76*$T76)</f>
        <v/>
      </c>
      <c r="V76" s="253">
        <f>$A76-WEEKDAY($A76,2)+1</f>
        <v/>
      </c>
      <c r="W76" s="132">
        <f t="array" ref="W76">IF(AND($C76="",S76=""),"",IF(AND(N($C76)&gt;0,N(S76)=0),"nobody marked present",IF(N($D76)&gt;N($C76),"more broken than moulded",IF(AND($C76="",N(S76)&gt;0),"attendance marked but no blocks entered",IF(AND(N($C76)&gt;0,N(T76)=0),"no pay rate for this date - see Settings",IF(SUMPRODUCT((G76:R76&lt;&gt;"")*(G$5:R$5=""))&gt;0,"attendance in an empty worker slot",""))))))</f>
        <v/>
      </c>
      <c r="X76" s="133" t="n"/>
      <c r="Y76" s="125" t="n"/>
      <c r="Z76" s="126" t="n"/>
      <c r="AA76" s="126" t="n"/>
      <c r="AB76" s="126" t="n"/>
      <c r="AC76" s="126" t="n"/>
      <c r="AD76" s="126" t="n"/>
      <c r="AE76" s="126" t="n"/>
      <c r="AF76" s="126" t="n"/>
      <c r="AG76" s="126" t="n"/>
      <c r="AH76" s="126" t="n"/>
      <c r="AI76" s="126" t="n"/>
      <c r="AJ76" s="126" t="n"/>
      <c r="AK76" s="126" t="n"/>
      <c r="AL76" s="126" t="n"/>
      <c r="AM76" s="126" t="n"/>
    </row>
    <row r="77" ht="21" customFormat="1" customHeight="1" s="127">
      <c r="A77" s="250" t="n">
        <v>46335</v>
      </c>
      <c r="B77" s="63">
        <f>CHOOSE(WEEKDAY($A77,2),"Mon","Tue","Wed","Thu","Fri","Sat","Sun")</f>
        <v/>
      </c>
      <c r="C77" s="64" t="n"/>
      <c r="D77" s="64" t="n"/>
      <c r="E77" s="65">
        <f>IF($C77="","",$C77-N($D77))</f>
        <v/>
      </c>
      <c r="F77" s="65">
        <f>IF($C77="","",$C77-MAX(0,N($D77)-BreakAllow*$C77))</f>
        <v/>
      </c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1">
        <f>IF(COUNT(G77:R77)=0,"",SUM(G77:R77))</f>
        <v/>
      </c>
      <c r="T77" s="251">
        <f>IF($C77="","",IFERROR(INDEX(RateValues,MATCH(SUMPRODUCT(MAX((RateDates&lt;=$A77)*RateDates)),RateDates,0)),0))</f>
        <v/>
      </c>
      <c r="U77" s="252">
        <f>IF($C77="","",$F77*$T77)</f>
        <v/>
      </c>
      <c r="V77" s="253">
        <f>$A77-WEEKDAY($A77,2)+1</f>
        <v/>
      </c>
      <c r="W77" s="132">
        <f t="array" ref="W77">IF(AND($C77="",S77=""),"",IF(AND(N($C77)&gt;0,N(S77)=0),"nobody marked present",IF(N($D77)&gt;N($C77),"more broken than moulded",IF(AND($C77="",N(S77)&gt;0),"attendance marked but no blocks entered",IF(AND(N($C77)&gt;0,N(T77)=0),"no pay rate for this date - see Settings",IF(SUMPRODUCT((G77:R77&lt;&gt;"")*(G$5:R$5=""))&gt;0,"attendance in an empty worker slot",""))))))</f>
        <v/>
      </c>
      <c r="X77" s="133" t="n"/>
      <c r="Y77" s="125" t="n"/>
      <c r="Z77" s="126" t="n"/>
      <c r="AA77" s="126" t="n"/>
      <c r="AB77" s="126" t="n"/>
      <c r="AC77" s="126" t="n"/>
      <c r="AD77" s="126" t="n"/>
      <c r="AE77" s="126" t="n"/>
      <c r="AF77" s="126" t="n"/>
      <c r="AG77" s="126" t="n"/>
      <c r="AH77" s="126" t="n"/>
      <c r="AI77" s="126" t="n"/>
      <c r="AJ77" s="126" t="n"/>
      <c r="AK77" s="126" t="n"/>
      <c r="AL77" s="126" t="n"/>
      <c r="AM77" s="126" t="n"/>
    </row>
    <row r="78" ht="21" customFormat="1" customHeight="1" s="127">
      <c r="A78" s="250" t="n">
        <v>46336</v>
      </c>
      <c r="B78" s="63">
        <f>CHOOSE(WEEKDAY($A78,2),"Mon","Tue","Wed","Thu","Fri","Sat","Sun")</f>
        <v/>
      </c>
      <c r="C78" s="64" t="n"/>
      <c r="D78" s="64" t="n"/>
      <c r="E78" s="65">
        <f>IF($C78="","",$C78-N($D78))</f>
        <v/>
      </c>
      <c r="F78" s="65">
        <f>IF($C78="","",$C78-MAX(0,N($D78)-BreakAllow*$C78))</f>
        <v/>
      </c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1">
        <f>IF(COUNT(G78:R78)=0,"",SUM(G78:R78))</f>
        <v/>
      </c>
      <c r="T78" s="251">
        <f>IF($C78="","",IFERROR(INDEX(RateValues,MATCH(SUMPRODUCT(MAX((RateDates&lt;=$A78)*RateDates)),RateDates,0)),0))</f>
        <v/>
      </c>
      <c r="U78" s="252">
        <f>IF($C78="","",$F78*$T78)</f>
        <v/>
      </c>
      <c r="V78" s="253">
        <f>$A78-WEEKDAY($A78,2)+1</f>
        <v/>
      </c>
      <c r="W78" s="132">
        <f t="array" ref="W78">IF(AND($C78="",S78=""),"",IF(AND(N($C78)&gt;0,N(S78)=0),"nobody marked present",IF(N($D78)&gt;N($C78),"more broken than moulded",IF(AND($C78="",N(S78)&gt;0),"attendance marked but no blocks entered",IF(AND(N($C78)&gt;0,N(T78)=0),"no pay rate for this date - see Settings",IF(SUMPRODUCT((G78:R78&lt;&gt;"")*(G$5:R$5=""))&gt;0,"attendance in an empty worker slot",""))))))</f>
        <v/>
      </c>
      <c r="X78" s="133" t="n"/>
      <c r="Y78" s="125" t="n"/>
      <c r="Z78" s="126" t="n"/>
      <c r="AA78" s="126" t="n"/>
      <c r="AB78" s="126" t="n"/>
      <c r="AC78" s="126" t="n"/>
      <c r="AD78" s="126" t="n"/>
      <c r="AE78" s="126" t="n"/>
      <c r="AF78" s="126" t="n"/>
      <c r="AG78" s="126" t="n"/>
      <c r="AH78" s="126" t="n"/>
      <c r="AI78" s="126" t="n"/>
      <c r="AJ78" s="126" t="n"/>
      <c r="AK78" s="126" t="n"/>
      <c r="AL78" s="126" t="n"/>
      <c r="AM78" s="126" t="n"/>
    </row>
    <row r="79" ht="21" customFormat="1" customHeight="1" s="127">
      <c r="A79" s="250" t="n">
        <v>46337</v>
      </c>
      <c r="B79" s="63">
        <f>CHOOSE(WEEKDAY($A79,2),"Mon","Tue","Wed","Thu","Fri","Sat","Sun")</f>
        <v/>
      </c>
      <c r="C79" s="64" t="n"/>
      <c r="D79" s="64" t="n"/>
      <c r="E79" s="65">
        <f>IF($C79="","",$C79-N($D79))</f>
        <v/>
      </c>
      <c r="F79" s="65">
        <f>IF($C79="","",$C79-MAX(0,N($D79)-BreakAllow*$C79))</f>
        <v/>
      </c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1">
        <f>IF(COUNT(G79:R79)=0,"",SUM(G79:R79))</f>
        <v/>
      </c>
      <c r="T79" s="251">
        <f>IF($C79="","",IFERROR(INDEX(RateValues,MATCH(SUMPRODUCT(MAX((RateDates&lt;=$A79)*RateDates)),RateDates,0)),0))</f>
        <v/>
      </c>
      <c r="U79" s="252">
        <f>IF($C79="","",$F79*$T79)</f>
        <v/>
      </c>
      <c r="V79" s="253">
        <f>$A79-WEEKDAY($A79,2)+1</f>
        <v/>
      </c>
      <c r="W79" s="132">
        <f t="array" ref="W79">IF(AND($C79="",S79=""),"",IF(AND(N($C79)&gt;0,N(S79)=0),"nobody marked present",IF(N($D79)&gt;N($C79),"more broken than moulded",IF(AND($C79="",N(S79)&gt;0),"attendance marked but no blocks entered",IF(AND(N($C79)&gt;0,N(T79)=0),"no pay rate for this date - see Settings",IF(SUMPRODUCT((G79:R79&lt;&gt;"")*(G$5:R$5=""))&gt;0,"attendance in an empty worker slot",""))))))</f>
        <v/>
      </c>
      <c r="X79" s="133" t="n"/>
      <c r="Y79" s="125" t="n"/>
      <c r="Z79" s="126" t="n"/>
      <c r="AA79" s="126" t="n"/>
      <c r="AB79" s="126" t="n"/>
      <c r="AC79" s="126" t="n"/>
      <c r="AD79" s="126" t="n"/>
      <c r="AE79" s="126" t="n"/>
      <c r="AF79" s="126" t="n"/>
      <c r="AG79" s="126" t="n"/>
      <c r="AH79" s="126" t="n"/>
      <c r="AI79" s="126" t="n"/>
      <c r="AJ79" s="126" t="n"/>
      <c r="AK79" s="126" t="n"/>
      <c r="AL79" s="126" t="n"/>
      <c r="AM79" s="126" t="n"/>
    </row>
    <row r="80" ht="21" customFormat="1" customHeight="1" s="127">
      <c r="A80" s="250" t="n">
        <v>46338</v>
      </c>
      <c r="B80" s="63">
        <f>CHOOSE(WEEKDAY($A80,2),"Mon","Tue","Wed","Thu","Fri","Sat","Sun")</f>
        <v/>
      </c>
      <c r="C80" s="64" t="n"/>
      <c r="D80" s="64" t="n"/>
      <c r="E80" s="65">
        <f>IF($C80="","",$C80-N($D80))</f>
        <v/>
      </c>
      <c r="F80" s="65">
        <f>IF($C80="","",$C80-MAX(0,N($D80)-BreakAllow*$C80))</f>
        <v/>
      </c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1">
        <f>IF(COUNT(G80:R80)=0,"",SUM(G80:R80))</f>
        <v/>
      </c>
      <c r="T80" s="251">
        <f>IF($C80="","",IFERROR(INDEX(RateValues,MATCH(SUMPRODUCT(MAX((RateDates&lt;=$A80)*RateDates)),RateDates,0)),0))</f>
        <v/>
      </c>
      <c r="U80" s="252">
        <f>IF($C80="","",$F80*$T80)</f>
        <v/>
      </c>
      <c r="V80" s="253">
        <f>$A80-WEEKDAY($A80,2)+1</f>
        <v/>
      </c>
      <c r="W80" s="132">
        <f t="array" ref="W80">IF(AND($C80="",S80=""),"",IF(AND(N($C80)&gt;0,N(S80)=0),"nobody marked present",IF(N($D80)&gt;N($C80),"more broken than moulded",IF(AND($C80="",N(S80)&gt;0),"attendance marked but no blocks entered",IF(AND(N($C80)&gt;0,N(T80)=0),"no pay rate for this date - see Settings",IF(SUMPRODUCT((G80:R80&lt;&gt;"")*(G$5:R$5=""))&gt;0,"attendance in an empty worker slot",""))))))</f>
        <v/>
      </c>
      <c r="X80" s="133" t="n"/>
      <c r="Y80" s="125" t="n"/>
      <c r="Z80" s="126" t="n"/>
      <c r="AA80" s="126" t="n"/>
      <c r="AB80" s="126" t="n"/>
      <c r="AC80" s="126" t="n"/>
      <c r="AD80" s="126" t="n"/>
      <c r="AE80" s="126" t="n"/>
      <c r="AF80" s="126" t="n"/>
      <c r="AG80" s="126" t="n"/>
      <c r="AH80" s="126" t="n"/>
      <c r="AI80" s="126" t="n"/>
      <c r="AJ80" s="126" t="n"/>
      <c r="AK80" s="126" t="n"/>
      <c r="AL80" s="126" t="n"/>
      <c r="AM80" s="126" t="n"/>
    </row>
    <row r="81" ht="21" customFormat="1" customHeight="1" s="127">
      <c r="A81" s="250" t="n">
        <v>46339</v>
      </c>
      <c r="B81" s="63">
        <f>CHOOSE(WEEKDAY($A81,2),"Mon","Tue","Wed","Thu","Fri","Sat","Sun")</f>
        <v/>
      </c>
      <c r="C81" s="64" t="n"/>
      <c r="D81" s="64" t="n"/>
      <c r="E81" s="65">
        <f>IF($C81="","",$C81-N($D81))</f>
        <v/>
      </c>
      <c r="F81" s="65">
        <f>IF($C81="","",$C81-MAX(0,N($D81)-BreakAllow*$C81))</f>
        <v/>
      </c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1">
        <f>IF(COUNT(G81:R81)=0,"",SUM(G81:R81))</f>
        <v/>
      </c>
      <c r="T81" s="251">
        <f>IF($C81="","",IFERROR(INDEX(RateValues,MATCH(SUMPRODUCT(MAX((RateDates&lt;=$A81)*RateDates)),RateDates,0)),0))</f>
        <v/>
      </c>
      <c r="U81" s="252">
        <f>IF($C81="","",$F81*$T81)</f>
        <v/>
      </c>
      <c r="V81" s="253">
        <f>$A81-WEEKDAY($A81,2)+1</f>
        <v/>
      </c>
      <c r="W81" s="132">
        <f t="array" ref="W81">IF(AND($C81="",S81=""),"",IF(AND(N($C81)&gt;0,N(S81)=0),"nobody marked present",IF(N($D81)&gt;N($C81),"more broken than moulded",IF(AND($C81="",N(S81)&gt;0),"attendance marked but no blocks entered",IF(AND(N($C81)&gt;0,N(T81)=0),"no pay rate for this date - see Settings",IF(SUMPRODUCT((G81:R81&lt;&gt;"")*(G$5:R$5=""))&gt;0,"attendance in an empty worker slot",""))))))</f>
        <v/>
      </c>
      <c r="X81" s="133" t="n"/>
      <c r="Y81" s="125" t="n"/>
      <c r="Z81" s="126" t="n"/>
      <c r="AA81" s="126" t="n"/>
      <c r="AB81" s="126" t="n"/>
      <c r="AC81" s="126" t="n"/>
      <c r="AD81" s="126" t="n"/>
      <c r="AE81" s="126" t="n"/>
      <c r="AF81" s="126" t="n"/>
      <c r="AG81" s="126" t="n"/>
      <c r="AH81" s="126" t="n"/>
      <c r="AI81" s="126" t="n"/>
      <c r="AJ81" s="126" t="n"/>
      <c r="AK81" s="126" t="n"/>
      <c r="AL81" s="126" t="n"/>
      <c r="AM81" s="126" t="n"/>
    </row>
    <row r="82" ht="21" customFormat="1" customHeight="1" s="127">
      <c r="A82" s="250" t="n">
        <v>46340</v>
      </c>
      <c r="B82" s="63">
        <f>CHOOSE(WEEKDAY($A82,2),"Mon","Tue","Wed","Thu","Fri","Sat","Sun")</f>
        <v/>
      </c>
      <c r="C82" s="64" t="n"/>
      <c r="D82" s="64" t="n"/>
      <c r="E82" s="65">
        <f>IF($C82="","",$C82-N($D82))</f>
        <v/>
      </c>
      <c r="F82" s="65">
        <f>IF($C82="","",$C82-MAX(0,N($D82)-BreakAllow*$C82))</f>
        <v/>
      </c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1">
        <f>IF(COUNT(G82:R82)=0,"",SUM(G82:R82))</f>
        <v/>
      </c>
      <c r="T82" s="251">
        <f>IF($C82="","",IFERROR(INDEX(RateValues,MATCH(SUMPRODUCT(MAX((RateDates&lt;=$A82)*RateDates)),RateDates,0)),0))</f>
        <v/>
      </c>
      <c r="U82" s="252">
        <f>IF($C82="","",$F82*$T82)</f>
        <v/>
      </c>
      <c r="V82" s="253">
        <f>$A82-WEEKDAY($A82,2)+1</f>
        <v/>
      </c>
      <c r="W82" s="132">
        <f t="array" ref="W82">IF(AND($C82="",S82=""),"",IF(AND(N($C82)&gt;0,N(S82)=0),"nobody marked present",IF(N($D82)&gt;N($C82),"more broken than moulded",IF(AND($C82="",N(S82)&gt;0),"attendance marked but no blocks entered",IF(AND(N($C82)&gt;0,N(T82)=0),"no pay rate for this date - see Settings",IF(SUMPRODUCT((G82:R82&lt;&gt;"")*(G$5:R$5=""))&gt;0,"attendance in an empty worker slot",""))))))</f>
        <v/>
      </c>
      <c r="X82" s="133" t="n"/>
      <c r="Y82" s="125" t="n"/>
      <c r="Z82" s="126" t="n"/>
      <c r="AA82" s="126" t="n"/>
      <c r="AB82" s="126" t="n"/>
      <c r="AC82" s="126" t="n"/>
      <c r="AD82" s="126" t="n"/>
      <c r="AE82" s="126" t="n"/>
      <c r="AF82" s="126" t="n"/>
      <c r="AG82" s="126" t="n"/>
      <c r="AH82" s="126" t="n"/>
      <c r="AI82" s="126" t="n"/>
      <c r="AJ82" s="126" t="n"/>
      <c r="AK82" s="126" t="n"/>
      <c r="AL82" s="126" t="n"/>
      <c r="AM82" s="126" t="n"/>
    </row>
    <row r="83" ht="21" customFormat="1" customHeight="1" s="127">
      <c r="A83" s="254" t="n">
        <v>46341</v>
      </c>
      <c r="B83" s="70">
        <f>CHOOSE(WEEKDAY($A83,2),"Mon","Tue","Wed","Thu","Fri","Sat","Sun")</f>
        <v/>
      </c>
      <c r="C83" s="64" t="n"/>
      <c r="D83" s="64" t="n"/>
      <c r="E83" s="65">
        <f>IF($C83="","",$C83-N($D83))</f>
        <v/>
      </c>
      <c r="F83" s="65">
        <f>IF($C83="","",$C83-MAX(0,N($D83)-BreakAllow*$C83))</f>
        <v/>
      </c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1">
        <f>IF(COUNT(G83:R83)=0,"",SUM(G83:R83))</f>
        <v/>
      </c>
      <c r="T83" s="251">
        <f>IF($C83="","",IFERROR(INDEX(RateValues,MATCH(SUMPRODUCT(MAX((RateDates&lt;=$A83)*RateDates)),RateDates,0)),0))</f>
        <v/>
      </c>
      <c r="U83" s="252">
        <f>IF($C83="","",$F83*$T83)</f>
        <v/>
      </c>
      <c r="V83" s="253">
        <f>$A83-WEEKDAY($A83,2)+1</f>
        <v/>
      </c>
      <c r="W83" s="132">
        <f t="array" ref="W83">IF(AND($C83="",S83=""),"",IF(AND(N($C83)&gt;0,N(S83)=0),"nobody marked present",IF(N($D83)&gt;N($C83),"more broken than moulded",IF(AND($C83="",N(S83)&gt;0),"attendance marked but no blocks entered",IF(AND(N($C83)&gt;0,N(T83)=0),"no pay rate for this date - see Settings",IF(SUMPRODUCT((G83:R83&lt;&gt;"")*(G$5:R$5=""))&gt;0,"attendance in an empty worker slot",""))))))</f>
        <v/>
      </c>
      <c r="X83" s="133" t="n"/>
      <c r="Y83" s="125" t="n"/>
      <c r="Z83" s="126" t="n"/>
      <c r="AA83" s="126" t="n"/>
      <c r="AB83" s="126" t="n"/>
      <c r="AC83" s="126" t="n"/>
      <c r="AD83" s="126" t="n"/>
      <c r="AE83" s="126" t="n"/>
      <c r="AF83" s="126" t="n"/>
      <c r="AG83" s="126" t="n"/>
      <c r="AH83" s="126" t="n"/>
      <c r="AI83" s="126" t="n"/>
      <c r="AJ83" s="126" t="n"/>
      <c r="AK83" s="126" t="n"/>
      <c r="AL83" s="126" t="n"/>
      <c r="AM83" s="126" t="n"/>
    </row>
    <row r="84" ht="21" customFormat="1" customHeight="1" s="127">
      <c r="A84" s="250" t="n">
        <v>46342</v>
      </c>
      <c r="B84" s="63">
        <f>CHOOSE(WEEKDAY($A84,2),"Mon","Tue","Wed","Thu","Fri","Sat","Sun")</f>
        <v/>
      </c>
      <c r="C84" s="64" t="n"/>
      <c r="D84" s="64" t="n"/>
      <c r="E84" s="65">
        <f>IF($C84="","",$C84-N($D84))</f>
        <v/>
      </c>
      <c r="F84" s="65">
        <f>IF($C84="","",$C84-MAX(0,N($D84)-BreakAllow*$C84))</f>
        <v/>
      </c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1">
        <f>IF(COUNT(G84:R84)=0,"",SUM(G84:R84))</f>
        <v/>
      </c>
      <c r="T84" s="251">
        <f>IF($C84="","",IFERROR(INDEX(RateValues,MATCH(SUMPRODUCT(MAX((RateDates&lt;=$A84)*RateDates)),RateDates,0)),0))</f>
        <v/>
      </c>
      <c r="U84" s="252">
        <f>IF($C84="","",$F84*$T84)</f>
        <v/>
      </c>
      <c r="V84" s="253">
        <f>$A84-WEEKDAY($A84,2)+1</f>
        <v/>
      </c>
      <c r="W84" s="132">
        <f t="array" ref="W84">IF(AND($C84="",S84=""),"",IF(AND(N($C84)&gt;0,N(S84)=0),"nobody marked present",IF(N($D84)&gt;N($C84),"more broken than moulded",IF(AND($C84="",N(S84)&gt;0),"attendance marked but no blocks entered",IF(AND(N($C84)&gt;0,N(T84)=0),"no pay rate for this date - see Settings",IF(SUMPRODUCT((G84:R84&lt;&gt;"")*(G$5:R$5=""))&gt;0,"attendance in an empty worker slot",""))))))</f>
        <v/>
      </c>
      <c r="X84" s="133" t="n"/>
      <c r="Y84" s="125" t="n"/>
      <c r="Z84" s="126" t="n"/>
      <c r="AA84" s="126" t="n"/>
      <c r="AB84" s="126" t="n"/>
      <c r="AC84" s="126" t="n"/>
      <c r="AD84" s="126" t="n"/>
      <c r="AE84" s="126" t="n"/>
      <c r="AF84" s="126" t="n"/>
      <c r="AG84" s="126" t="n"/>
      <c r="AH84" s="126" t="n"/>
      <c r="AI84" s="126" t="n"/>
      <c r="AJ84" s="126" t="n"/>
      <c r="AK84" s="126" t="n"/>
      <c r="AL84" s="126" t="n"/>
      <c r="AM84" s="126" t="n"/>
    </row>
    <row r="85" ht="21" customFormat="1" customHeight="1" s="127">
      <c r="A85" s="250" t="n">
        <v>46343</v>
      </c>
      <c r="B85" s="63">
        <f>CHOOSE(WEEKDAY($A85,2),"Mon","Tue","Wed","Thu","Fri","Sat","Sun")</f>
        <v/>
      </c>
      <c r="C85" s="64" t="n"/>
      <c r="D85" s="64" t="n"/>
      <c r="E85" s="65">
        <f>IF($C85="","",$C85-N($D85))</f>
        <v/>
      </c>
      <c r="F85" s="65">
        <f>IF($C85="","",$C85-MAX(0,N($D85)-BreakAllow*$C85))</f>
        <v/>
      </c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1">
        <f>IF(COUNT(G85:R85)=0,"",SUM(G85:R85))</f>
        <v/>
      </c>
      <c r="T85" s="251">
        <f>IF($C85="","",IFERROR(INDEX(RateValues,MATCH(SUMPRODUCT(MAX((RateDates&lt;=$A85)*RateDates)),RateDates,0)),0))</f>
        <v/>
      </c>
      <c r="U85" s="252">
        <f>IF($C85="","",$F85*$T85)</f>
        <v/>
      </c>
      <c r="V85" s="253">
        <f>$A85-WEEKDAY($A85,2)+1</f>
        <v/>
      </c>
      <c r="W85" s="132">
        <f t="array" ref="W85">IF(AND($C85="",S85=""),"",IF(AND(N($C85)&gt;0,N(S85)=0),"nobody marked present",IF(N($D85)&gt;N($C85),"more broken than moulded",IF(AND($C85="",N(S85)&gt;0),"attendance marked but no blocks entered",IF(AND(N($C85)&gt;0,N(T85)=0),"no pay rate for this date - see Settings",IF(SUMPRODUCT((G85:R85&lt;&gt;"")*(G$5:R$5=""))&gt;0,"attendance in an empty worker slot",""))))))</f>
        <v/>
      </c>
      <c r="X85" s="133" t="n"/>
      <c r="Y85" s="125" t="n"/>
      <c r="Z85" s="126" t="n"/>
      <c r="AA85" s="126" t="n"/>
      <c r="AB85" s="126" t="n"/>
      <c r="AC85" s="126" t="n"/>
      <c r="AD85" s="126" t="n"/>
      <c r="AE85" s="126" t="n"/>
      <c r="AF85" s="126" t="n"/>
      <c r="AG85" s="126" t="n"/>
      <c r="AH85" s="126" t="n"/>
      <c r="AI85" s="126" t="n"/>
      <c r="AJ85" s="126" t="n"/>
      <c r="AK85" s="126" t="n"/>
      <c r="AL85" s="126" t="n"/>
      <c r="AM85" s="126" t="n"/>
    </row>
    <row r="86" ht="21" customFormat="1" customHeight="1" s="127">
      <c r="A86" s="250" t="n">
        <v>46344</v>
      </c>
      <c r="B86" s="63">
        <f>CHOOSE(WEEKDAY($A86,2),"Mon","Tue","Wed","Thu","Fri","Sat","Sun")</f>
        <v/>
      </c>
      <c r="C86" s="64" t="n"/>
      <c r="D86" s="64" t="n"/>
      <c r="E86" s="65">
        <f>IF($C86="","",$C86-N($D86))</f>
        <v/>
      </c>
      <c r="F86" s="65">
        <f>IF($C86="","",$C86-MAX(0,N($D86)-BreakAllow*$C86))</f>
        <v/>
      </c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1">
        <f>IF(COUNT(G86:R86)=0,"",SUM(G86:R86))</f>
        <v/>
      </c>
      <c r="T86" s="251">
        <f>IF($C86="","",IFERROR(INDEX(RateValues,MATCH(SUMPRODUCT(MAX((RateDates&lt;=$A86)*RateDates)),RateDates,0)),0))</f>
        <v/>
      </c>
      <c r="U86" s="252">
        <f>IF($C86="","",$F86*$T86)</f>
        <v/>
      </c>
      <c r="V86" s="253">
        <f>$A86-WEEKDAY($A86,2)+1</f>
        <v/>
      </c>
      <c r="W86" s="132">
        <f t="array" ref="W86">IF(AND($C86="",S86=""),"",IF(AND(N($C86)&gt;0,N(S86)=0),"nobody marked present",IF(N($D86)&gt;N($C86),"more broken than moulded",IF(AND($C86="",N(S86)&gt;0),"attendance marked but no blocks entered",IF(AND(N($C86)&gt;0,N(T86)=0),"no pay rate for this date - see Settings",IF(SUMPRODUCT((G86:R86&lt;&gt;"")*(G$5:R$5=""))&gt;0,"attendance in an empty worker slot",""))))))</f>
        <v/>
      </c>
      <c r="X86" s="133" t="n"/>
      <c r="Y86" s="125" t="n"/>
      <c r="Z86" s="126" t="n"/>
      <c r="AA86" s="126" t="n"/>
      <c r="AB86" s="126" t="n"/>
      <c r="AC86" s="126" t="n"/>
      <c r="AD86" s="126" t="n"/>
      <c r="AE86" s="126" t="n"/>
      <c r="AF86" s="126" t="n"/>
      <c r="AG86" s="126" t="n"/>
      <c r="AH86" s="126" t="n"/>
      <c r="AI86" s="126" t="n"/>
      <c r="AJ86" s="126" t="n"/>
      <c r="AK86" s="126" t="n"/>
      <c r="AL86" s="126" t="n"/>
      <c r="AM86" s="126" t="n"/>
    </row>
    <row r="87" ht="21" customFormat="1" customHeight="1" s="127">
      <c r="A87" s="250" t="n">
        <v>46345</v>
      </c>
      <c r="B87" s="63">
        <f>CHOOSE(WEEKDAY($A87,2),"Mon","Tue","Wed","Thu","Fri","Sat","Sun")</f>
        <v/>
      </c>
      <c r="C87" s="64" t="n"/>
      <c r="D87" s="64" t="n"/>
      <c r="E87" s="65">
        <f>IF($C87="","",$C87-N($D87))</f>
        <v/>
      </c>
      <c r="F87" s="65">
        <f>IF($C87="","",$C87-MAX(0,N($D87)-BreakAllow*$C87))</f>
        <v/>
      </c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1">
        <f>IF(COUNT(G87:R87)=0,"",SUM(G87:R87))</f>
        <v/>
      </c>
      <c r="T87" s="251">
        <f>IF($C87="","",IFERROR(INDEX(RateValues,MATCH(SUMPRODUCT(MAX((RateDates&lt;=$A87)*RateDates)),RateDates,0)),0))</f>
        <v/>
      </c>
      <c r="U87" s="252">
        <f>IF($C87="","",$F87*$T87)</f>
        <v/>
      </c>
      <c r="V87" s="253">
        <f>$A87-WEEKDAY($A87,2)+1</f>
        <v/>
      </c>
      <c r="W87" s="132">
        <f t="array" ref="W87">IF(AND($C87="",S87=""),"",IF(AND(N($C87)&gt;0,N(S87)=0),"nobody marked present",IF(N($D87)&gt;N($C87),"more broken than moulded",IF(AND($C87="",N(S87)&gt;0),"attendance marked but no blocks entered",IF(AND(N($C87)&gt;0,N(T87)=0),"no pay rate for this date - see Settings",IF(SUMPRODUCT((G87:R87&lt;&gt;"")*(G$5:R$5=""))&gt;0,"attendance in an empty worker slot",""))))))</f>
        <v/>
      </c>
      <c r="X87" s="133" t="n"/>
      <c r="Y87" s="125" t="n"/>
      <c r="Z87" s="126" t="n"/>
      <c r="AA87" s="126" t="n"/>
      <c r="AB87" s="126" t="n"/>
      <c r="AC87" s="126" t="n"/>
      <c r="AD87" s="126" t="n"/>
      <c r="AE87" s="126" t="n"/>
      <c r="AF87" s="126" t="n"/>
      <c r="AG87" s="126" t="n"/>
      <c r="AH87" s="126" t="n"/>
      <c r="AI87" s="126" t="n"/>
      <c r="AJ87" s="126" t="n"/>
      <c r="AK87" s="126" t="n"/>
      <c r="AL87" s="126" t="n"/>
      <c r="AM87" s="126" t="n"/>
    </row>
    <row r="88" ht="21" customFormat="1" customHeight="1" s="127">
      <c r="A88" s="250" t="n">
        <v>46346</v>
      </c>
      <c r="B88" s="63">
        <f>CHOOSE(WEEKDAY($A88,2),"Mon","Tue","Wed","Thu","Fri","Sat","Sun")</f>
        <v/>
      </c>
      <c r="C88" s="64" t="n"/>
      <c r="D88" s="64" t="n"/>
      <c r="E88" s="65">
        <f>IF($C88="","",$C88-N($D88))</f>
        <v/>
      </c>
      <c r="F88" s="65">
        <f>IF($C88="","",$C88-MAX(0,N($D88)-BreakAllow*$C88))</f>
        <v/>
      </c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1">
        <f>IF(COUNT(G88:R88)=0,"",SUM(G88:R88))</f>
        <v/>
      </c>
      <c r="T88" s="251">
        <f>IF($C88="","",IFERROR(INDEX(RateValues,MATCH(SUMPRODUCT(MAX((RateDates&lt;=$A88)*RateDates)),RateDates,0)),0))</f>
        <v/>
      </c>
      <c r="U88" s="252">
        <f>IF($C88="","",$F88*$T88)</f>
        <v/>
      </c>
      <c r="V88" s="253">
        <f>$A88-WEEKDAY($A88,2)+1</f>
        <v/>
      </c>
      <c r="W88" s="132">
        <f t="array" ref="W88">IF(AND($C88="",S88=""),"",IF(AND(N($C88)&gt;0,N(S88)=0),"nobody marked present",IF(N($D88)&gt;N($C88),"more broken than moulded",IF(AND($C88="",N(S88)&gt;0),"attendance marked but no blocks entered",IF(AND(N($C88)&gt;0,N(T88)=0),"no pay rate for this date - see Settings",IF(SUMPRODUCT((G88:R88&lt;&gt;"")*(G$5:R$5=""))&gt;0,"attendance in an empty worker slot",""))))))</f>
        <v/>
      </c>
      <c r="X88" s="133" t="n"/>
      <c r="Y88" s="125" t="n"/>
      <c r="Z88" s="126" t="n"/>
      <c r="AA88" s="126" t="n"/>
      <c r="AB88" s="126" t="n"/>
      <c r="AC88" s="126" t="n"/>
      <c r="AD88" s="126" t="n"/>
      <c r="AE88" s="126" t="n"/>
      <c r="AF88" s="126" t="n"/>
      <c r="AG88" s="126" t="n"/>
      <c r="AH88" s="126" t="n"/>
      <c r="AI88" s="126" t="n"/>
      <c r="AJ88" s="126" t="n"/>
      <c r="AK88" s="126" t="n"/>
      <c r="AL88" s="126" t="n"/>
      <c r="AM88" s="126" t="n"/>
    </row>
    <row r="89" ht="21" customFormat="1" customHeight="1" s="127">
      <c r="A89" s="250" t="n">
        <v>46347</v>
      </c>
      <c r="B89" s="63">
        <f>CHOOSE(WEEKDAY($A89,2),"Mon","Tue","Wed","Thu","Fri","Sat","Sun")</f>
        <v/>
      </c>
      <c r="C89" s="64" t="n"/>
      <c r="D89" s="64" t="n"/>
      <c r="E89" s="65">
        <f>IF($C89="","",$C89-N($D89))</f>
        <v/>
      </c>
      <c r="F89" s="65">
        <f>IF($C89="","",$C89-MAX(0,N($D89)-BreakAllow*$C89))</f>
        <v/>
      </c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1">
        <f>IF(COUNT(G89:R89)=0,"",SUM(G89:R89))</f>
        <v/>
      </c>
      <c r="T89" s="251">
        <f>IF($C89="","",IFERROR(INDEX(RateValues,MATCH(SUMPRODUCT(MAX((RateDates&lt;=$A89)*RateDates)),RateDates,0)),0))</f>
        <v/>
      </c>
      <c r="U89" s="252">
        <f>IF($C89="","",$F89*$T89)</f>
        <v/>
      </c>
      <c r="V89" s="253">
        <f>$A89-WEEKDAY($A89,2)+1</f>
        <v/>
      </c>
      <c r="W89" s="132">
        <f t="array" ref="W89">IF(AND($C89="",S89=""),"",IF(AND(N($C89)&gt;0,N(S89)=0),"nobody marked present",IF(N($D89)&gt;N($C89),"more broken than moulded",IF(AND($C89="",N(S89)&gt;0),"attendance marked but no blocks entered",IF(AND(N($C89)&gt;0,N(T89)=0),"no pay rate for this date - see Settings",IF(SUMPRODUCT((G89:R89&lt;&gt;"")*(G$5:R$5=""))&gt;0,"attendance in an empty worker slot",""))))))</f>
        <v/>
      </c>
      <c r="X89" s="133" t="n"/>
      <c r="Y89" s="125" t="n"/>
      <c r="Z89" s="126" t="n"/>
      <c r="AA89" s="126" t="n"/>
      <c r="AB89" s="126" t="n"/>
      <c r="AC89" s="126" t="n"/>
      <c r="AD89" s="126" t="n"/>
      <c r="AE89" s="126" t="n"/>
      <c r="AF89" s="126" t="n"/>
      <c r="AG89" s="126" t="n"/>
      <c r="AH89" s="126" t="n"/>
      <c r="AI89" s="126" t="n"/>
      <c r="AJ89" s="126" t="n"/>
      <c r="AK89" s="126" t="n"/>
      <c r="AL89" s="126" t="n"/>
      <c r="AM89" s="126" t="n"/>
    </row>
    <row r="90" ht="21" customFormat="1" customHeight="1" s="127">
      <c r="A90" s="254" t="n">
        <v>46348</v>
      </c>
      <c r="B90" s="70">
        <f>CHOOSE(WEEKDAY($A90,2),"Mon","Tue","Wed","Thu","Fri","Sat","Sun")</f>
        <v/>
      </c>
      <c r="C90" s="64" t="n"/>
      <c r="D90" s="64" t="n"/>
      <c r="E90" s="65">
        <f>IF($C90="","",$C90-N($D90))</f>
        <v/>
      </c>
      <c r="F90" s="65">
        <f>IF($C90="","",$C90-MAX(0,N($D90)-BreakAllow*$C90))</f>
        <v/>
      </c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1">
        <f>IF(COUNT(G90:R90)=0,"",SUM(G90:R90))</f>
        <v/>
      </c>
      <c r="T90" s="251">
        <f>IF($C90="","",IFERROR(INDEX(RateValues,MATCH(SUMPRODUCT(MAX((RateDates&lt;=$A90)*RateDates)),RateDates,0)),0))</f>
        <v/>
      </c>
      <c r="U90" s="252">
        <f>IF($C90="","",$F90*$T90)</f>
        <v/>
      </c>
      <c r="V90" s="253">
        <f>$A90-WEEKDAY($A90,2)+1</f>
        <v/>
      </c>
      <c r="W90" s="132">
        <f t="array" ref="W90">IF(AND($C90="",S90=""),"",IF(AND(N($C90)&gt;0,N(S90)=0),"nobody marked present",IF(N($D90)&gt;N($C90),"more broken than moulded",IF(AND($C90="",N(S90)&gt;0),"attendance marked but no blocks entered",IF(AND(N($C90)&gt;0,N(T90)=0),"no pay rate for this date - see Settings",IF(SUMPRODUCT((G90:R90&lt;&gt;"")*(G$5:R$5=""))&gt;0,"attendance in an empty worker slot",""))))))</f>
        <v/>
      </c>
      <c r="X90" s="133" t="n"/>
      <c r="Y90" s="125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  <c r="AM90" s="126" t="n"/>
    </row>
    <row r="91" ht="21" customFormat="1" customHeight="1" s="127">
      <c r="A91" s="250" t="n">
        <v>46349</v>
      </c>
      <c r="B91" s="63">
        <f>CHOOSE(WEEKDAY($A91,2),"Mon","Tue","Wed","Thu","Fri","Sat","Sun")</f>
        <v/>
      </c>
      <c r="C91" s="64" t="n"/>
      <c r="D91" s="64" t="n"/>
      <c r="E91" s="65">
        <f>IF($C91="","",$C91-N($D91))</f>
        <v/>
      </c>
      <c r="F91" s="65">
        <f>IF($C91="","",$C91-MAX(0,N($D91)-BreakAllow*$C91))</f>
        <v/>
      </c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1">
        <f>IF(COUNT(G91:R91)=0,"",SUM(G91:R91))</f>
        <v/>
      </c>
      <c r="T91" s="251">
        <f>IF($C91="","",IFERROR(INDEX(RateValues,MATCH(SUMPRODUCT(MAX((RateDates&lt;=$A91)*RateDates)),RateDates,0)),0))</f>
        <v/>
      </c>
      <c r="U91" s="252">
        <f>IF($C91="","",$F91*$T91)</f>
        <v/>
      </c>
      <c r="V91" s="253">
        <f>$A91-WEEKDAY($A91,2)+1</f>
        <v/>
      </c>
      <c r="W91" s="132">
        <f t="array" ref="W91">IF(AND($C91="",S91=""),"",IF(AND(N($C91)&gt;0,N(S91)=0),"nobody marked present",IF(N($D91)&gt;N($C91),"more broken than moulded",IF(AND($C91="",N(S91)&gt;0),"attendance marked but no blocks entered",IF(AND(N($C91)&gt;0,N(T91)=0),"no pay rate for this date - see Settings",IF(SUMPRODUCT((G91:R91&lt;&gt;"")*(G$5:R$5=""))&gt;0,"attendance in an empty worker slot",""))))))</f>
        <v/>
      </c>
      <c r="X91" s="133" t="n"/>
      <c r="Y91" s="125" t="n"/>
      <c r="Z91" s="126" t="n"/>
      <c r="AA91" s="126" t="n"/>
      <c r="AB91" s="126" t="n"/>
      <c r="AC91" s="126" t="n"/>
      <c r="AD91" s="126" t="n"/>
      <c r="AE91" s="126" t="n"/>
      <c r="AF91" s="126" t="n"/>
      <c r="AG91" s="126" t="n"/>
      <c r="AH91" s="126" t="n"/>
      <c r="AI91" s="126" t="n"/>
      <c r="AJ91" s="126" t="n"/>
      <c r="AK91" s="126" t="n"/>
      <c r="AL91" s="126" t="n"/>
      <c r="AM91" s="126" t="n"/>
    </row>
    <row r="92" ht="21" customFormat="1" customHeight="1" s="127">
      <c r="A92" s="250" t="n">
        <v>46350</v>
      </c>
      <c r="B92" s="63">
        <f>CHOOSE(WEEKDAY($A92,2),"Mon","Tue","Wed","Thu","Fri","Sat","Sun")</f>
        <v/>
      </c>
      <c r="C92" s="64" t="n"/>
      <c r="D92" s="64" t="n"/>
      <c r="E92" s="65">
        <f>IF($C92="","",$C92-N($D92))</f>
        <v/>
      </c>
      <c r="F92" s="65">
        <f>IF($C92="","",$C92-MAX(0,N($D92)-BreakAllow*$C92))</f>
        <v/>
      </c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1">
        <f>IF(COUNT(G92:R92)=0,"",SUM(G92:R92))</f>
        <v/>
      </c>
      <c r="T92" s="251">
        <f>IF($C92="","",IFERROR(INDEX(RateValues,MATCH(SUMPRODUCT(MAX((RateDates&lt;=$A92)*RateDates)),RateDates,0)),0))</f>
        <v/>
      </c>
      <c r="U92" s="252">
        <f>IF($C92="","",$F92*$T92)</f>
        <v/>
      </c>
      <c r="V92" s="253">
        <f>$A92-WEEKDAY($A92,2)+1</f>
        <v/>
      </c>
      <c r="W92" s="132">
        <f t="array" ref="W92">IF(AND($C92="",S92=""),"",IF(AND(N($C92)&gt;0,N(S92)=0),"nobody marked present",IF(N($D92)&gt;N($C92),"more broken than moulded",IF(AND($C92="",N(S92)&gt;0),"attendance marked but no blocks entered",IF(AND(N($C92)&gt;0,N(T92)=0),"no pay rate for this date - see Settings",IF(SUMPRODUCT((G92:R92&lt;&gt;"")*(G$5:R$5=""))&gt;0,"attendance in an empty worker slot",""))))))</f>
        <v/>
      </c>
      <c r="X92" s="133" t="n"/>
      <c r="Y92" s="125" t="n"/>
      <c r="Z92" s="126" t="n"/>
      <c r="AA92" s="126" t="n"/>
      <c r="AB92" s="126" t="n"/>
      <c r="AC92" s="126" t="n"/>
      <c r="AD92" s="126" t="n"/>
      <c r="AE92" s="126" t="n"/>
      <c r="AF92" s="126" t="n"/>
      <c r="AG92" s="126" t="n"/>
      <c r="AH92" s="126" t="n"/>
      <c r="AI92" s="126" t="n"/>
      <c r="AJ92" s="126" t="n"/>
      <c r="AK92" s="126" t="n"/>
      <c r="AL92" s="126" t="n"/>
      <c r="AM92" s="126" t="n"/>
    </row>
    <row r="93" ht="21" customFormat="1" customHeight="1" s="127">
      <c r="A93" s="250" t="n">
        <v>46351</v>
      </c>
      <c r="B93" s="63">
        <f>CHOOSE(WEEKDAY($A93,2),"Mon","Tue","Wed","Thu","Fri","Sat","Sun")</f>
        <v/>
      </c>
      <c r="C93" s="64" t="n"/>
      <c r="D93" s="64" t="n"/>
      <c r="E93" s="65">
        <f>IF($C93="","",$C93-N($D93))</f>
        <v/>
      </c>
      <c r="F93" s="65">
        <f>IF($C93="","",$C93-MAX(0,N($D93)-BreakAllow*$C93))</f>
        <v/>
      </c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1">
        <f>IF(COUNT(G93:R93)=0,"",SUM(G93:R93))</f>
        <v/>
      </c>
      <c r="T93" s="251">
        <f>IF($C93="","",IFERROR(INDEX(RateValues,MATCH(SUMPRODUCT(MAX((RateDates&lt;=$A93)*RateDates)),RateDates,0)),0))</f>
        <v/>
      </c>
      <c r="U93" s="252">
        <f>IF($C93="","",$F93*$T93)</f>
        <v/>
      </c>
      <c r="V93" s="253">
        <f>$A93-WEEKDAY($A93,2)+1</f>
        <v/>
      </c>
      <c r="W93" s="132">
        <f t="array" ref="W93">IF(AND($C93="",S93=""),"",IF(AND(N($C93)&gt;0,N(S93)=0),"nobody marked present",IF(N($D93)&gt;N($C93),"more broken than moulded",IF(AND($C93="",N(S93)&gt;0),"attendance marked but no blocks entered",IF(AND(N($C93)&gt;0,N(T93)=0),"no pay rate for this date - see Settings",IF(SUMPRODUCT((G93:R93&lt;&gt;"")*(G$5:R$5=""))&gt;0,"attendance in an empty worker slot",""))))))</f>
        <v/>
      </c>
      <c r="X93" s="133" t="n"/>
      <c r="Y93" s="125" t="n"/>
      <c r="Z93" s="126" t="n"/>
      <c r="AA93" s="126" t="n"/>
      <c r="AB93" s="126" t="n"/>
      <c r="AC93" s="126" t="n"/>
      <c r="AD93" s="126" t="n"/>
      <c r="AE93" s="126" t="n"/>
      <c r="AF93" s="126" t="n"/>
      <c r="AG93" s="126" t="n"/>
      <c r="AH93" s="126" t="n"/>
      <c r="AI93" s="126" t="n"/>
      <c r="AJ93" s="126" t="n"/>
      <c r="AK93" s="126" t="n"/>
      <c r="AL93" s="126" t="n"/>
      <c r="AM93" s="126" t="n"/>
    </row>
    <row r="94" ht="21" customFormat="1" customHeight="1" s="127">
      <c r="A94" s="250" t="n">
        <v>46352</v>
      </c>
      <c r="B94" s="63">
        <f>CHOOSE(WEEKDAY($A94,2),"Mon","Tue","Wed","Thu","Fri","Sat","Sun")</f>
        <v/>
      </c>
      <c r="C94" s="64" t="n"/>
      <c r="D94" s="64" t="n"/>
      <c r="E94" s="65">
        <f>IF($C94="","",$C94-N($D94))</f>
        <v/>
      </c>
      <c r="F94" s="65">
        <f>IF($C94="","",$C94-MAX(0,N($D94)-BreakAllow*$C94))</f>
        <v/>
      </c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1">
        <f>IF(COUNT(G94:R94)=0,"",SUM(G94:R94))</f>
        <v/>
      </c>
      <c r="T94" s="251">
        <f>IF($C94="","",IFERROR(INDEX(RateValues,MATCH(SUMPRODUCT(MAX((RateDates&lt;=$A94)*RateDates)),RateDates,0)),0))</f>
        <v/>
      </c>
      <c r="U94" s="252">
        <f>IF($C94="","",$F94*$T94)</f>
        <v/>
      </c>
      <c r="V94" s="253">
        <f>$A94-WEEKDAY($A94,2)+1</f>
        <v/>
      </c>
      <c r="W94" s="132">
        <f t="array" ref="W94">IF(AND($C94="",S94=""),"",IF(AND(N($C94)&gt;0,N(S94)=0),"nobody marked present",IF(N($D94)&gt;N($C94),"more broken than moulded",IF(AND($C94="",N(S94)&gt;0),"attendance marked but no blocks entered",IF(AND(N($C94)&gt;0,N(T94)=0),"no pay rate for this date - see Settings",IF(SUMPRODUCT((G94:R94&lt;&gt;"")*(G$5:R$5=""))&gt;0,"attendance in an empty worker slot",""))))))</f>
        <v/>
      </c>
      <c r="X94" s="133" t="n"/>
      <c r="Y94" s="125" t="n"/>
      <c r="Z94" s="126" t="n"/>
      <c r="AA94" s="126" t="n"/>
      <c r="AB94" s="126" t="n"/>
      <c r="AC94" s="126" t="n"/>
      <c r="AD94" s="126" t="n"/>
      <c r="AE94" s="126" t="n"/>
      <c r="AF94" s="126" t="n"/>
      <c r="AG94" s="126" t="n"/>
      <c r="AH94" s="126" t="n"/>
      <c r="AI94" s="126" t="n"/>
      <c r="AJ94" s="126" t="n"/>
      <c r="AK94" s="126" t="n"/>
      <c r="AL94" s="126" t="n"/>
      <c r="AM94" s="126" t="n"/>
    </row>
    <row r="95" ht="21" customFormat="1" customHeight="1" s="127">
      <c r="A95" s="250" t="n">
        <v>46353</v>
      </c>
      <c r="B95" s="63">
        <f>CHOOSE(WEEKDAY($A95,2),"Mon","Tue","Wed","Thu","Fri","Sat","Sun")</f>
        <v/>
      </c>
      <c r="C95" s="64" t="n"/>
      <c r="D95" s="64" t="n"/>
      <c r="E95" s="65">
        <f>IF($C95="","",$C95-N($D95))</f>
        <v/>
      </c>
      <c r="F95" s="65">
        <f>IF($C95="","",$C95-MAX(0,N($D95)-BreakAllow*$C95))</f>
        <v/>
      </c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1">
        <f>IF(COUNT(G95:R95)=0,"",SUM(G95:R95))</f>
        <v/>
      </c>
      <c r="T95" s="251">
        <f>IF($C95="","",IFERROR(INDEX(RateValues,MATCH(SUMPRODUCT(MAX((RateDates&lt;=$A95)*RateDates)),RateDates,0)),0))</f>
        <v/>
      </c>
      <c r="U95" s="252">
        <f>IF($C95="","",$F95*$T95)</f>
        <v/>
      </c>
      <c r="V95" s="253">
        <f>$A95-WEEKDAY($A95,2)+1</f>
        <v/>
      </c>
      <c r="W95" s="132">
        <f t="array" ref="W95">IF(AND($C95="",S95=""),"",IF(AND(N($C95)&gt;0,N(S95)=0),"nobody marked present",IF(N($D95)&gt;N($C95),"more broken than moulded",IF(AND($C95="",N(S95)&gt;0),"attendance marked but no blocks entered",IF(AND(N($C95)&gt;0,N(T95)=0),"no pay rate for this date - see Settings",IF(SUMPRODUCT((G95:R95&lt;&gt;"")*(G$5:R$5=""))&gt;0,"attendance in an empty worker slot",""))))))</f>
        <v/>
      </c>
      <c r="X95" s="133" t="n"/>
      <c r="Y95" s="125" t="n"/>
      <c r="Z95" s="126" t="n"/>
      <c r="AA95" s="126" t="n"/>
      <c r="AB95" s="126" t="n"/>
      <c r="AC95" s="126" t="n"/>
      <c r="AD95" s="126" t="n"/>
      <c r="AE95" s="126" t="n"/>
      <c r="AF95" s="126" t="n"/>
      <c r="AG95" s="126" t="n"/>
      <c r="AH95" s="126" t="n"/>
      <c r="AI95" s="126" t="n"/>
      <c r="AJ95" s="126" t="n"/>
      <c r="AK95" s="126" t="n"/>
      <c r="AL95" s="126" t="n"/>
      <c r="AM95" s="126" t="n"/>
    </row>
    <row r="96" ht="21" customFormat="1" customHeight="1" s="127">
      <c r="A96" s="250" t="n">
        <v>46354</v>
      </c>
      <c r="B96" s="63">
        <f>CHOOSE(WEEKDAY($A96,2),"Mon","Tue","Wed","Thu","Fri","Sat","Sun")</f>
        <v/>
      </c>
      <c r="C96" s="64" t="n"/>
      <c r="D96" s="64" t="n"/>
      <c r="E96" s="65">
        <f>IF($C96="","",$C96-N($D96))</f>
        <v/>
      </c>
      <c r="F96" s="65">
        <f>IF($C96="","",$C96-MAX(0,N($D96)-BreakAllow*$C96))</f>
        <v/>
      </c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1">
        <f>IF(COUNT(G96:R96)=0,"",SUM(G96:R96))</f>
        <v/>
      </c>
      <c r="T96" s="251">
        <f>IF($C96="","",IFERROR(INDEX(RateValues,MATCH(SUMPRODUCT(MAX((RateDates&lt;=$A96)*RateDates)),RateDates,0)),0))</f>
        <v/>
      </c>
      <c r="U96" s="252">
        <f>IF($C96="","",$F96*$T96)</f>
        <v/>
      </c>
      <c r="V96" s="253">
        <f>$A96-WEEKDAY($A96,2)+1</f>
        <v/>
      </c>
      <c r="W96" s="132">
        <f t="array" ref="W96">IF(AND($C96="",S96=""),"",IF(AND(N($C96)&gt;0,N(S96)=0),"nobody marked present",IF(N($D96)&gt;N($C96),"more broken than moulded",IF(AND($C96="",N(S96)&gt;0),"attendance marked but no blocks entered",IF(AND(N($C96)&gt;0,N(T96)=0),"no pay rate for this date - see Settings",IF(SUMPRODUCT((G96:R96&lt;&gt;"")*(G$5:R$5=""))&gt;0,"attendance in an empty worker slot",""))))))</f>
        <v/>
      </c>
      <c r="X96" s="133" t="n"/>
      <c r="Y96" s="125" t="n"/>
      <c r="Z96" s="126" t="n"/>
      <c r="AA96" s="126" t="n"/>
      <c r="AB96" s="126" t="n"/>
      <c r="AC96" s="126" t="n"/>
      <c r="AD96" s="126" t="n"/>
      <c r="AE96" s="126" t="n"/>
      <c r="AF96" s="126" t="n"/>
      <c r="AG96" s="126" t="n"/>
      <c r="AH96" s="126" t="n"/>
      <c r="AI96" s="126" t="n"/>
      <c r="AJ96" s="126" t="n"/>
      <c r="AK96" s="126" t="n"/>
      <c r="AL96" s="126" t="n"/>
      <c r="AM96" s="126" t="n"/>
    </row>
    <row r="97" ht="21" customFormat="1" customHeight="1" s="127">
      <c r="A97" s="254" t="n">
        <v>46355</v>
      </c>
      <c r="B97" s="70">
        <f>CHOOSE(WEEKDAY($A97,2),"Mon","Tue","Wed","Thu","Fri","Sat","Sun")</f>
        <v/>
      </c>
      <c r="C97" s="64" t="n"/>
      <c r="D97" s="64" t="n"/>
      <c r="E97" s="65">
        <f>IF($C97="","",$C97-N($D97))</f>
        <v/>
      </c>
      <c r="F97" s="65">
        <f>IF($C97="","",$C97-MAX(0,N($D97)-BreakAllow*$C97))</f>
        <v/>
      </c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1">
        <f>IF(COUNT(G97:R97)=0,"",SUM(G97:R97))</f>
        <v/>
      </c>
      <c r="T97" s="251">
        <f>IF($C97="","",IFERROR(INDEX(RateValues,MATCH(SUMPRODUCT(MAX((RateDates&lt;=$A97)*RateDates)),RateDates,0)),0))</f>
        <v/>
      </c>
      <c r="U97" s="252">
        <f>IF($C97="","",$F97*$T97)</f>
        <v/>
      </c>
      <c r="V97" s="253">
        <f>$A97-WEEKDAY($A97,2)+1</f>
        <v/>
      </c>
      <c r="W97" s="132">
        <f t="array" ref="W97">IF(AND($C97="",S97=""),"",IF(AND(N($C97)&gt;0,N(S97)=0),"nobody marked present",IF(N($D97)&gt;N($C97),"more broken than moulded",IF(AND($C97="",N(S97)&gt;0),"attendance marked but no blocks entered",IF(AND(N($C97)&gt;0,N(T97)=0),"no pay rate for this date - see Settings",IF(SUMPRODUCT((G97:R97&lt;&gt;"")*(G$5:R$5=""))&gt;0,"attendance in an empty worker slot",""))))))</f>
        <v/>
      </c>
      <c r="X97" s="133" t="n"/>
      <c r="Y97" s="125" t="n"/>
      <c r="Z97" s="126" t="n"/>
      <c r="AA97" s="126" t="n"/>
      <c r="AB97" s="126" t="n"/>
      <c r="AC97" s="126" t="n"/>
      <c r="AD97" s="126" t="n"/>
      <c r="AE97" s="126" t="n"/>
      <c r="AF97" s="126" t="n"/>
      <c r="AG97" s="126" t="n"/>
      <c r="AH97" s="126" t="n"/>
      <c r="AI97" s="126" t="n"/>
      <c r="AJ97" s="126" t="n"/>
      <c r="AK97" s="126" t="n"/>
      <c r="AL97" s="126" t="n"/>
      <c r="AM97" s="126" t="n"/>
    </row>
    <row r="98" ht="21" customFormat="1" customHeight="1" s="127">
      <c r="A98" s="250" t="n">
        <v>46356</v>
      </c>
      <c r="B98" s="63">
        <f>CHOOSE(WEEKDAY($A98,2),"Mon","Tue","Wed","Thu","Fri","Sat","Sun")</f>
        <v/>
      </c>
      <c r="C98" s="64" t="n"/>
      <c r="D98" s="64" t="n"/>
      <c r="E98" s="65">
        <f>IF($C98="","",$C98-N($D98))</f>
        <v/>
      </c>
      <c r="F98" s="65">
        <f>IF($C98="","",$C98-MAX(0,N($D98)-BreakAllow*$C98))</f>
        <v/>
      </c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1">
        <f>IF(COUNT(G98:R98)=0,"",SUM(G98:R98))</f>
        <v/>
      </c>
      <c r="T98" s="251">
        <f>IF($C98="","",IFERROR(INDEX(RateValues,MATCH(SUMPRODUCT(MAX((RateDates&lt;=$A98)*RateDates)),RateDates,0)),0))</f>
        <v/>
      </c>
      <c r="U98" s="252">
        <f>IF($C98="","",$F98*$T98)</f>
        <v/>
      </c>
      <c r="V98" s="253">
        <f>$A98-WEEKDAY($A98,2)+1</f>
        <v/>
      </c>
      <c r="W98" s="132">
        <f t="array" ref="W98">IF(AND($C98="",S98=""),"",IF(AND(N($C98)&gt;0,N(S98)=0),"nobody marked present",IF(N($D98)&gt;N($C98),"more broken than moulded",IF(AND($C98="",N(S98)&gt;0),"attendance marked but no blocks entered",IF(AND(N($C98)&gt;0,N(T98)=0),"no pay rate for this date - see Settings",IF(SUMPRODUCT((G98:R98&lt;&gt;"")*(G$5:R$5=""))&gt;0,"attendance in an empty worker slot",""))))))</f>
        <v/>
      </c>
      <c r="X98" s="133" t="n"/>
      <c r="Y98" s="125" t="n"/>
      <c r="Z98" s="126" t="n"/>
      <c r="AA98" s="126" t="n"/>
      <c r="AB98" s="126" t="n"/>
      <c r="AC98" s="126" t="n"/>
      <c r="AD98" s="126" t="n"/>
      <c r="AE98" s="126" t="n"/>
      <c r="AF98" s="126" t="n"/>
      <c r="AG98" s="126" t="n"/>
      <c r="AH98" s="126" t="n"/>
      <c r="AI98" s="126" t="n"/>
      <c r="AJ98" s="126" t="n"/>
      <c r="AK98" s="126" t="n"/>
      <c r="AL98" s="126" t="n"/>
      <c r="AM98" s="126" t="n"/>
    </row>
    <row r="99" ht="21" customFormat="1" customHeight="1" s="127">
      <c r="A99" s="250" t="n">
        <v>46357</v>
      </c>
      <c r="B99" s="63">
        <f>CHOOSE(WEEKDAY($A99,2),"Mon","Tue","Wed","Thu","Fri","Sat","Sun")</f>
        <v/>
      </c>
      <c r="C99" s="64" t="n"/>
      <c r="D99" s="64" t="n"/>
      <c r="E99" s="65">
        <f>IF($C99="","",$C99-N($D99))</f>
        <v/>
      </c>
      <c r="F99" s="65">
        <f>IF($C99="","",$C99-MAX(0,N($D99)-BreakAllow*$C99))</f>
        <v/>
      </c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1">
        <f>IF(COUNT(G99:R99)=0,"",SUM(G99:R99))</f>
        <v/>
      </c>
      <c r="T99" s="251">
        <f>IF($C99="","",IFERROR(INDEX(RateValues,MATCH(SUMPRODUCT(MAX((RateDates&lt;=$A99)*RateDates)),RateDates,0)),0))</f>
        <v/>
      </c>
      <c r="U99" s="252">
        <f>IF($C99="","",$F99*$T99)</f>
        <v/>
      </c>
      <c r="V99" s="253">
        <f>$A99-WEEKDAY($A99,2)+1</f>
        <v/>
      </c>
      <c r="W99" s="132">
        <f t="array" ref="W99">IF(AND($C99="",S99=""),"",IF(AND(N($C99)&gt;0,N(S99)=0),"nobody marked present",IF(N($D99)&gt;N($C99),"more broken than moulded",IF(AND($C99="",N(S99)&gt;0),"attendance marked but no blocks entered",IF(AND(N($C99)&gt;0,N(T99)=0),"no pay rate for this date - see Settings",IF(SUMPRODUCT((G99:R99&lt;&gt;"")*(G$5:R$5=""))&gt;0,"attendance in an empty worker slot",""))))))</f>
        <v/>
      </c>
      <c r="X99" s="133" t="n"/>
      <c r="Y99" s="125" t="n"/>
      <c r="Z99" s="126" t="n"/>
      <c r="AA99" s="126" t="n"/>
      <c r="AB99" s="126" t="n"/>
      <c r="AC99" s="126" t="n"/>
      <c r="AD99" s="126" t="n"/>
      <c r="AE99" s="126" t="n"/>
      <c r="AF99" s="126" t="n"/>
      <c r="AG99" s="126" t="n"/>
      <c r="AH99" s="126" t="n"/>
      <c r="AI99" s="126" t="n"/>
      <c r="AJ99" s="126" t="n"/>
      <c r="AK99" s="126" t="n"/>
      <c r="AL99" s="126" t="n"/>
      <c r="AM99" s="126" t="n"/>
    </row>
    <row r="100" ht="21" customFormat="1" customHeight="1" s="127">
      <c r="A100" s="250" t="n">
        <v>46358</v>
      </c>
      <c r="B100" s="63">
        <f>CHOOSE(WEEKDAY($A100,2),"Mon","Tue","Wed","Thu","Fri","Sat","Sun")</f>
        <v/>
      </c>
      <c r="C100" s="64" t="n"/>
      <c r="D100" s="64" t="n"/>
      <c r="E100" s="65">
        <f>IF($C100="","",$C100-N($D100))</f>
        <v/>
      </c>
      <c r="F100" s="65">
        <f>IF($C100="","",$C100-MAX(0,N($D100)-BreakAllow*$C100))</f>
        <v/>
      </c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1">
        <f>IF(COUNT(G100:R100)=0,"",SUM(G100:R100))</f>
        <v/>
      </c>
      <c r="T100" s="251">
        <f>IF($C100="","",IFERROR(INDEX(RateValues,MATCH(SUMPRODUCT(MAX((RateDates&lt;=$A100)*RateDates)),RateDates,0)),0))</f>
        <v/>
      </c>
      <c r="U100" s="252">
        <f>IF($C100="","",$F100*$T100)</f>
        <v/>
      </c>
      <c r="V100" s="253">
        <f>$A100-WEEKDAY($A100,2)+1</f>
        <v/>
      </c>
      <c r="W100" s="132">
        <f t="array" ref="W100">IF(AND($C100="",S100=""),"",IF(AND(N($C100)&gt;0,N(S100)=0),"nobody marked present",IF(N($D100)&gt;N($C100),"more broken than moulded",IF(AND($C100="",N(S100)&gt;0),"attendance marked but no blocks entered",IF(AND(N($C100)&gt;0,N(T100)=0),"no pay rate for this date - see Settings",IF(SUMPRODUCT((G100:R100&lt;&gt;"")*(G$5:R$5=""))&gt;0,"attendance in an empty worker slot",""))))))</f>
        <v/>
      </c>
      <c r="X100" s="133" t="n"/>
      <c r="Y100" s="125" t="n"/>
      <c r="Z100" s="126" t="n"/>
      <c r="AA100" s="126" t="n"/>
      <c r="AB100" s="126" t="n"/>
      <c r="AC100" s="126" t="n"/>
      <c r="AD100" s="126" t="n"/>
      <c r="AE100" s="126" t="n"/>
      <c r="AF100" s="126" t="n"/>
      <c r="AG100" s="126" t="n"/>
      <c r="AH100" s="126" t="n"/>
      <c r="AI100" s="126" t="n"/>
      <c r="AJ100" s="126" t="n"/>
      <c r="AK100" s="126" t="n"/>
      <c r="AL100" s="126" t="n"/>
      <c r="AM100" s="126" t="n"/>
    </row>
    <row r="101" ht="21" customFormat="1" customHeight="1" s="127">
      <c r="A101" s="250" t="n">
        <v>46359</v>
      </c>
      <c r="B101" s="63">
        <f>CHOOSE(WEEKDAY($A101,2),"Mon","Tue","Wed","Thu","Fri","Sat","Sun")</f>
        <v/>
      </c>
      <c r="C101" s="64" t="n"/>
      <c r="D101" s="64" t="n"/>
      <c r="E101" s="65">
        <f>IF($C101="","",$C101-N($D101))</f>
        <v/>
      </c>
      <c r="F101" s="65">
        <f>IF($C101="","",$C101-MAX(0,N($D101)-BreakAllow*$C101))</f>
        <v/>
      </c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1">
        <f>IF(COUNT(G101:R101)=0,"",SUM(G101:R101))</f>
        <v/>
      </c>
      <c r="T101" s="251">
        <f>IF($C101="","",IFERROR(INDEX(RateValues,MATCH(SUMPRODUCT(MAX((RateDates&lt;=$A101)*RateDates)),RateDates,0)),0))</f>
        <v/>
      </c>
      <c r="U101" s="252">
        <f>IF($C101="","",$F101*$T101)</f>
        <v/>
      </c>
      <c r="V101" s="253">
        <f>$A101-WEEKDAY($A101,2)+1</f>
        <v/>
      </c>
      <c r="W101" s="132">
        <f t="array" ref="W101">IF(AND($C101="",S101=""),"",IF(AND(N($C101)&gt;0,N(S101)=0),"nobody marked present",IF(N($D101)&gt;N($C101),"more broken than moulded",IF(AND($C101="",N(S101)&gt;0),"attendance marked but no blocks entered",IF(AND(N($C101)&gt;0,N(T101)=0),"no pay rate for this date - see Settings",IF(SUMPRODUCT((G101:R101&lt;&gt;"")*(G$5:R$5=""))&gt;0,"attendance in an empty worker slot",""))))))</f>
        <v/>
      </c>
      <c r="X101" s="133" t="n"/>
      <c r="Y101" s="125" t="n"/>
      <c r="Z101" s="126" t="n"/>
      <c r="AA101" s="126" t="n"/>
      <c r="AB101" s="126" t="n"/>
      <c r="AC101" s="126" t="n"/>
      <c r="AD101" s="126" t="n"/>
      <c r="AE101" s="126" t="n"/>
      <c r="AF101" s="126" t="n"/>
      <c r="AG101" s="126" t="n"/>
      <c r="AH101" s="126" t="n"/>
      <c r="AI101" s="126" t="n"/>
      <c r="AJ101" s="126" t="n"/>
      <c r="AK101" s="126" t="n"/>
      <c r="AL101" s="126" t="n"/>
      <c r="AM101" s="126" t="n"/>
    </row>
    <row r="102" ht="21" customFormat="1" customHeight="1" s="127">
      <c r="A102" s="250" t="n">
        <v>46360</v>
      </c>
      <c r="B102" s="63">
        <f>CHOOSE(WEEKDAY($A102,2),"Mon","Tue","Wed","Thu","Fri","Sat","Sun")</f>
        <v/>
      </c>
      <c r="C102" s="64" t="n"/>
      <c r="D102" s="64" t="n"/>
      <c r="E102" s="65">
        <f>IF($C102="","",$C102-N($D102))</f>
        <v/>
      </c>
      <c r="F102" s="65">
        <f>IF($C102="","",$C102-MAX(0,N($D102)-BreakAllow*$C102))</f>
        <v/>
      </c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1">
        <f>IF(COUNT(G102:R102)=0,"",SUM(G102:R102))</f>
        <v/>
      </c>
      <c r="T102" s="251">
        <f>IF($C102="","",IFERROR(INDEX(RateValues,MATCH(SUMPRODUCT(MAX((RateDates&lt;=$A102)*RateDates)),RateDates,0)),0))</f>
        <v/>
      </c>
      <c r="U102" s="252">
        <f>IF($C102="","",$F102*$T102)</f>
        <v/>
      </c>
      <c r="V102" s="253">
        <f>$A102-WEEKDAY($A102,2)+1</f>
        <v/>
      </c>
      <c r="W102" s="132">
        <f t="array" ref="W102">IF(AND($C102="",S102=""),"",IF(AND(N($C102)&gt;0,N(S102)=0),"nobody marked present",IF(N($D102)&gt;N($C102),"more broken than moulded",IF(AND($C102="",N(S102)&gt;0),"attendance marked but no blocks entered",IF(AND(N($C102)&gt;0,N(T102)=0),"no pay rate for this date - see Settings",IF(SUMPRODUCT((G102:R102&lt;&gt;"")*(G$5:R$5=""))&gt;0,"attendance in an empty worker slot",""))))))</f>
        <v/>
      </c>
      <c r="X102" s="133" t="n"/>
      <c r="Y102" s="125" t="n"/>
      <c r="Z102" s="126" t="n"/>
      <c r="AA102" s="126" t="n"/>
      <c r="AB102" s="126" t="n"/>
      <c r="AC102" s="126" t="n"/>
      <c r="AD102" s="126" t="n"/>
      <c r="AE102" s="126" t="n"/>
      <c r="AF102" s="126" t="n"/>
      <c r="AG102" s="126" t="n"/>
      <c r="AH102" s="126" t="n"/>
      <c r="AI102" s="126" t="n"/>
      <c r="AJ102" s="126" t="n"/>
      <c r="AK102" s="126" t="n"/>
      <c r="AL102" s="126" t="n"/>
      <c r="AM102" s="126" t="n"/>
    </row>
    <row r="103" ht="21" customFormat="1" customHeight="1" s="127">
      <c r="A103" s="250" t="n">
        <v>46361</v>
      </c>
      <c r="B103" s="63">
        <f>CHOOSE(WEEKDAY($A103,2),"Mon","Tue","Wed","Thu","Fri","Sat","Sun")</f>
        <v/>
      </c>
      <c r="C103" s="64" t="n"/>
      <c r="D103" s="64" t="n"/>
      <c r="E103" s="65">
        <f>IF($C103="","",$C103-N($D103))</f>
        <v/>
      </c>
      <c r="F103" s="65">
        <f>IF($C103="","",$C103-MAX(0,N($D103)-BreakAllow*$C103))</f>
        <v/>
      </c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1">
        <f>IF(COUNT(G103:R103)=0,"",SUM(G103:R103))</f>
        <v/>
      </c>
      <c r="T103" s="251">
        <f>IF($C103="","",IFERROR(INDEX(RateValues,MATCH(SUMPRODUCT(MAX((RateDates&lt;=$A103)*RateDates)),RateDates,0)),0))</f>
        <v/>
      </c>
      <c r="U103" s="252">
        <f>IF($C103="","",$F103*$T103)</f>
        <v/>
      </c>
      <c r="V103" s="253">
        <f>$A103-WEEKDAY($A103,2)+1</f>
        <v/>
      </c>
      <c r="W103" s="132">
        <f t="array" ref="W103">IF(AND($C103="",S103=""),"",IF(AND(N($C103)&gt;0,N(S103)=0),"nobody marked present",IF(N($D103)&gt;N($C103),"more broken than moulded",IF(AND($C103="",N(S103)&gt;0),"attendance marked but no blocks entered",IF(AND(N($C103)&gt;0,N(T103)=0),"no pay rate for this date - see Settings",IF(SUMPRODUCT((G103:R103&lt;&gt;"")*(G$5:R$5=""))&gt;0,"attendance in an empty worker slot",""))))))</f>
        <v/>
      </c>
      <c r="X103" s="133" t="n"/>
      <c r="Y103" s="125" t="n"/>
      <c r="Z103" s="126" t="n"/>
      <c r="AA103" s="126" t="n"/>
      <c r="AB103" s="126" t="n"/>
      <c r="AC103" s="126" t="n"/>
      <c r="AD103" s="126" t="n"/>
      <c r="AE103" s="126" t="n"/>
      <c r="AF103" s="126" t="n"/>
      <c r="AG103" s="126" t="n"/>
      <c r="AH103" s="126" t="n"/>
      <c r="AI103" s="126" t="n"/>
      <c r="AJ103" s="126" t="n"/>
      <c r="AK103" s="126" t="n"/>
      <c r="AL103" s="126" t="n"/>
      <c r="AM103" s="126" t="n"/>
    </row>
    <row r="104" ht="21" customFormat="1" customHeight="1" s="127">
      <c r="A104" s="254" t="n">
        <v>46362</v>
      </c>
      <c r="B104" s="70">
        <f>CHOOSE(WEEKDAY($A104,2),"Mon","Tue","Wed","Thu","Fri","Sat","Sun")</f>
        <v/>
      </c>
      <c r="C104" s="64" t="n"/>
      <c r="D104" s="64" t="n"/>
      <c r="E104" s="65">
        <f>IF($C104="","",$C104-N($D104))</f>
        <v/>
      </c>
      <c r="F104" s="65">
        <f>IF($C104="","",$C104-MAX(0,N($D104)-BreakAllow*$C104))</f>
        <v/>
      </c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1">
        <f>IF(COUNT(G104:R104)=0,"",SUM(G104:R104))</f>
        <v/>
      </c>
      <c r="T104" s="251">
        <f>IF($C104="","",IFERROR(INDEX(RateValues,MATCH(SUMPRODUCT(MAX((RateDates&lt;=$A104)*RateDates)),RateDates,0)),0))</f>
        <v/>
      </c>
      <c r="U104" s="252">
        <f>IF($C104="","",$F104*$T104)</f>
        <v/>
      </c>
      <c r="V104" s="253">
        <f>$A104-WEEKDAY($A104,2)+1</f>
        <v/>
      </c>
      <c r="W104" s="132">
        <f t="array" ref="W104">IF(AND($C104="",S104=""),"",IF(AND(N($C104)&gt;0,N(S104)=0),"nobody marked present",IF(N($D104)&gt;N($C104),"more broken than moulded",IF(AND($C104="",N(S104)&gt;0),"attendance marked but no blocks entered",IF(AND(N($C104)&gt;0,N(T104)=0),"no pay rate for this date - see Settings",IF(SUMPRODUCT((G104:R104&lt;&gt;"")*(G$5:R$5=""))&gt;0,"attendance in an empty worker slot",""))))))</f>
        <v/>
      </c>
      <c r="X104" s="133" t="n"/>
      <c r="Y104" s="125" t="n"/>
      <c r="Z104" s="126" t="n"/>
      <c r="AA104" s="126" t="n"/>
      <c r="AB104" s="126" t="n"/>
      <c r="AC104" s="126" t="n"/>
      <c r="AD104" s="126" t="n"/>
      <c r="AE104" s="126" t="n"/>
      <c r="AF104" s="126" t="n"/>
      <c r="AG104" s="126" t="n"/>
      <c r="AH104" s="126" t="n"/>
      <c r="AI104" s="126" t="n"/>
      <c r="AJ104" s="126" t="n"/>
      <c r="AK104" s="126" t="n"/>
      <c r="AL104" s="126" t="n"/>
      <c r="AM104" s="126" t="n"/>
    </row>
    <row r="105" ht="21" customFormat="1" customHeight="1" s="127">
      <c r="A105" s="250" t="n">
        <v>46363</v>
      </c>
      <c r="B105" s="63">
        <f>CHOOSE(WEEKDAY($A105,2),"Mon","Tue","Wed","Thu","Fri","Sat","Sun")</f>
        <v/>
      </c>
      <c r="C105" s="64" t="n"/>
      <c r="D105" s="64" t="n"/>
      <c r="E105" s="65">
        <f>IF($C105="","",$C105-N($D105))</f>
        <v/>
      </c>
      <c r="F105" s="65">
        <f>IF($C105="","",$C105-MAX(0,N($D105)-BreakAllow*$C105))</f>
        <v/>
      </c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1">
        <f>IF(COUNT(G105:R105)=0,"",SUM(G105:R105))</f>
        <v/>
      </c>
      <c r="T105" s="251">
        <f>IF($C105="","",IFERROR(INDEX(RateValues,MATCH(SUMPRODUCT(MAX((RateDates&lt;=$A105)*RateDates)),RateDates,0)),0))</f>
        <v/>
      </c>
      <c r="U105" s="252">
        <f>IF($C105="","",$F105*$T105)</f>
        <v/>
      </c>
      <c r="V105" s="253">
        <f>$A105-WEEKDAY($A105,2)+1</f>
        <v/>
      </c>
      <c r="W105" s="132">
        <f t="array" ref="W105">IF(AND($C105="",S105=""),"",IF(AND(N($C105)&gt;0,N(S105)=0),"nobody marked present",IF(N($D105)&gt;N($C105),"more broken than moulded",IF(AND($C105="",N(S105)&gt;0),"attendance marked but no blocks entered",IF(AND(N($C105)&gt;0,N(T105)=0),"no pay rate for this date - see Settings",IF(SUMPRODUCT((G105:R105&lt;&gt;"")*(G$5:R$5=""))&gt;0,"attendance in an empty worker slot",""))))))</f>
        <v/>
      </c>
      <c r="X105" s="133" t="n"/>
      <c r="Y105" s="125" t="n"/>
      <c r="Z105" s="126" t="n"/>
      <c r="AA105" s="126" t="n"/>
      <c r="AB105" s="126" t="n"/>
      <c r="AC105" s="126" t="n"/>
      <c r="AD105" s="126" t="n"/>
      <c r="AE105" s="126" t="n"/>
      <c r="AF105" s="126" t="n"/>
      <c r="AG105" s="126" t="n"/>
      <c r="AH105" s="126" t="n"/>
      <c r="AI105" s="126" t="n"/>
      <c r="AJ105" s="126" t="n"/>
      <c r="AK105" s="126" t="n"/>
      <c r="AL105" s="126" t="n"/>
      <c r="AM105" s="126" t="n"/>
    </row>
    <row r="106" ht="21" customFormat="1" customHeight="1" s="127">
      <c r="A106" s="250" t="n">
        <v>46364</v>
      </c>
      <c r="B106" s="63">
        <f>CHOOSE(WEEKDAY($A106,2),"Mon","Tue","Wed","Thu","Fri","Sat","Sun")</f>
        <v/>
      </c>
      <c r="C106" s="64" t="n"/>
      <c r="D106" s="64" t="n"/>
      <c r="E106" s="65">
        <f>IF($C106="","",$C106-N($D106))</f>
        <v/>
      </c>
      <c r="F106" s="65">
        <f>IF($C106="","",$C106-MAX(0,N($D106)-BreakAllow*$C106))</f>
        <v/>
      </c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1">
        <f>IF(COUNT(G106:R106)=0,"",SUM(G106:R106))</f>
        <v/>
      </c>
      <c r="T106" s="251">
        <f>IF($C106="","",IFERROR(INDEX(RateValues,MATCH(SUMPRODUCT(MAX((RateDates&lt;=$A106)*RateDates)),RateDates,0)),0))</f>
        <v/>
      </c>
      <c r="U106" s="252">
        <f>IF($C106="","",$F106*$T106)</f>
        <v/>
      </c>
      <c r="V106" s="253">
        <f>$A106-WEEKDAY($A106,2)+1</f>
        <v/>
      </c>
      <c r="W106" s="132">
        <f t="array" ref="W106">IF(AND($C106="",S106=""),"",IF(AND(N($C106)&gt;0,N(S106)=0),"nobody marked present",IF(N($D106)&gt;N($C106),"more broken than moulded",IF(AND($C106="",N(S106)&gt;0),"attendance marked but no blocks entered",IF(AND(N($C106)&gt;0,N(T106)=0),"no pay rate for this date - see Settings",IF(SUMPRODUCT((G106:R106&lt;&gt;"")*(G$5:R$5=""))&gt;0,"attendance in an empty worker slot",""))))))</f>
        <v/>
      </c>
      <c r="X106" s="133" t="n"/>
      <c r="Y106" s="125" t="n"/>
      <c r="Z106" s="126" t="n"/>
      <c r="AA106" s="126" t="n"/>
      <c r="AB106" s="126" t="n"/>
      <c r="AC106" s="126" t="n"/>
      <c r="AD106" s="126" t="n"/>
      <c r="AE106" s="126" t="n"/>
      <c r="AF106" s="126" t="n"/>
      <c r="AG106" s="126" t="n"/>
      <c r="AH106" s="126" t="n"/>
      <c r="AI106" s="126" t="n"/>
      <c r="AJ106" s="126" t="n"/>
      <c r="AK106" s="126" t="n"/>
      <c r="AL106" s="126" t="n"/>
      <c r="AM106" s="126" t="n"/>
    </row>
    <row r="107" ht="21" customFormat="1" customHeight="1" s="127">
      <c r="A107" s="250" t="n">
        <v>46365</v>
      </c>
      <c r="B107" s="63">
        <f>CHOOSE(WEEKDAY($A107,2),"Mon","Tue","Wed","Thu","Fri","Sat","Sun")</f>
        <v/>
      </c>
      <c r="C107" s="64" t="n"/>
      <c r="D107" s="64" t="n"/>
      <c r="E107" s="65">
        <f>IF($C107="","",$C107-N($D107))</f>
        <v/>
      </c>
      <c r="F107" s="65">
        <f>IF($C107="","",$C107-MAX(0,N($D107)-BreakAllow*$C107))</f>
        <v/>
      </c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1">
        <f>IF(COUNT(G107:R107)=0,"",SUM(G107:R107))</f>
        <v/>
      </c>
      <c r="T107" s="251">
        <f>IF($C107="","",IFERROR(INDEX(RateValues,MATCH(SUMPRODUCT(MAX((RateDates&lt;=$A107)*RateDates)),RateDates,0)),0))</f>
        <v/>
      </c>
      <c r="U107" s="252">
        <f>IF($C107="","",$F107*$T107)</f>
        <v/>
      </c>
      <c r="V107" s="253">
        <f>$A107-WEEKDAY($A107,2)+1</f>
        <v/>
      </c>
      <c r="W107" s="132">
        <f t="array" ref="W107">IF(AND($C107="",S107=""),"",IF(AND(N($C107)&gt;0,N(S107)=0),"nobody marked present",IF(N($D107)&gt;N($C107),"more broken than moulded",IF(AND($C107="",N(S107)&gt;0),"attendance marked but no blocks entered",IF(AND(N($C107)&gt;0,N(T107)=0),"no pay rate for this date - see Settings",IF(SUMPRODUCT((G107:R107&lt;&gt;"")*(G$5:R$5=""))&gt;0,"attendance in an empty worker slot",""))))))</f>
        <v/>
      </c>
      <c r="X107" s="133" t="n"/>
      <c r="Y107" s="125" t="n"/>
      <c r="Z107" s="126" t="n"/>
      <c r="AA107" s="126" t="n"/>
      <c r="AB107" s="126" t="n"/>
      <c r="AC107" s="126" t="n"/>
      <c r="AD107" s="126" t="n"/>
      <c r="AE107" s="126" t="n"/>
      <c r="AF107" s="126" t="n"/>
      <c r="AG107" s="126" t="n"/>
      <c r="AH107" s="126" t="n"/>
      <c r="AI107" s="126" t="n"/>
      <c r="AJ107" s="126" t="n"/>
      <c r="AK107" s="126" t="n"/>
      <c r="AL107" s="126" t="n"/>
      <c r="AM107" s="126" t="n"/>
    </row>
    <row r="108" ht="21" customFormat="1" customHeight="1" s="127">
      <c r="A108" s="250" t="n">
        <v>46366</v>
      </c>
      <c r="B108" s="63">
        <f>CHOOSE(WEEKDAY($A108,2),"Mon","Tue","Wed","Thu","Fri","Sat","Sun")</f>
        <v/>
      </c>
      <c r="C108" s="64" t="n"/>
      <c r="D108" s="64" t="n"/>
      <c r="E108" s="65">
        <f>IF($C108="","",$C108-N($D108))</f>
        <v/>
      </c>
      <c r="F108" s="65">
        <f>IF($C108="","",$C108-MAX(0,N($D108)-BreakAllow*$C108))</f>
        <v/>
      </c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1">
        <f>IF(COUNT(G108:R108)=0,"",SUM(G108:R108))</f>
        <v/>
      </c>
      <c r="T108" s="251">
        <f>IF($C108="","",IFERROR(INDEX(RateValues,MATCH(SUMPRODUCT(MAX((RateDates&lt;=$A108)*RateDates)),RateDates,0)),0))</f>
        <v/>
      </c>
      <c r="U108" s="252">
        <f>IF($C108="","",$F108*$T108)</f>
        <v/>
      </c>
      <c r="V108" s="253">
        <f>$A108-WEEKDAY($A108,2)+1</f>
        <v/>
      </c>
      <c r="W108" s="132">
        <f t="array" ref="W108">IF(AND($C108="",S108=""),"",IF(AND(N($C108)&gt;0,N(S108)=0),"nobody marked present",IF(N($D108)&gt;N($C108),"more broken than moulded",IF(AND($C108="",N(S108)&gt;0),"attendance marked but no blocks entered",IF(AND(N($C108)&gt;0,N(T108)=0),"no pay rate for this date - see Settings",IF(SUMPRODUCT((G108:R108&lt;&gt;"")*(G$5:R$5=""))&gt;0,"attendance in an empty worker slot",""))))))</f>
        <v/>
      </c>
      <c r="X108" s="133" t="n"/>
      <c r="Y108" s="125" t="n"/>
      <c r="Z108" s="126" t="n"/>
      <c r="AA108" s="126" t="n"/>
      <c r="AB108" s="126" t="n"/>
      <c r="AC108" s="126" t="n"/>
      <c r="AD108" s="126" t="n"/>
      <c r="AE108" s="126" t="n"/>
      <c r="AF108" s="126" t="n"/>
      <c r="AG108" s="126" t="n"/>
      <c r="AH108" s="126" t="n"/>
      <c r="AI108" s="126" t="n"/>
      <c r="AJ108" s="126" t="n"/>
      <c r="AK108" s="126" t="n"/>
      <c r="AL108" s="126" t="n"/>
      <c r="AM108" s="126" t="n"/>
    </row>
    <row r="109" ht="21" customFormat="1" customHeight="1" s="127">
      <c r="A109" s="250" t="n">
        <v>46367</v>
      </c>
      <c r="B109" s="63">
        <f>CHOOSE(WEEKDAY($A109,2),"Mon","Tue","Wed","Thu","Fri","Sat","Sun")</f>
        <v/>
      </c>
      <c r="C109" s="64" t="n"/>
      <c r="D109" s="64" t="n"/>
      <c r="E109" s="65">
        <f>IF($C109="","",$C109-N($D109))</f>
        <v/>
      </c>
      <c r="F109" s="65">
        <f>IF($C109="","",$C109-MAX(0,N($D109)-BreakAllow*$C109))</f>
        <v/>
      </c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1">
        <f>IF(COUNT(G109:R109)=0,"",SUM(G109:R109))</f>
        <v/>
      </c>
      <c r="T109" s="251">
        <f>IF($C109="","",IFERROR(INDEX(RateValues,MATCH(SUMPRODUCT(MAX((RateDates&lt;=$A109)*RateDates)),RateDates,0)),0))</f>
        <v/>
      </c>
      <c r="U109" s="252">
        <f>IF($C109="","",$F109*$T109)</f>
        <v/>
      </c>
      <c r="V109" s="253">
        <f>$A109-WEEKDAY($A109,2)+1</f>
        <v/>
      </c>
      <c r="W109" s="132">
        <f t="array" ref="W109">IF(AND($C109="",S109=""),"",IF(AND(N($C109)&gt;0,N(S109)=0),"nobody marked present",IF(N($D109)&gt;N($C109),"more broken than moulded",IF(AND($C109="",N(S109)&gt;0),"attendance marked but no blocks entered",IF(AND(N($C109)&gt;0,N(T109)=0),"no pay rate for this date - see Settings",IF(SUMPRODUCT((G109:R109&lt;&gt;"")*(G$5:R$5=""))&gt;0,"attendance in an empty worker slot",""))))))</f>
        <v/>
      </c>
      <c r="X109" s="133" t="n"/>
      <c r="Y109" s="125" t="n"/>
      <c r="Z109" s="126" t="n"/>
      <c r="AA109" s="126" t="n"/>
      <c r="AB109" s="126" t="n"/>
      <c r="AC109" s="126" t="n"/>
      <c r="AD109" s="126" t="n"/>
      <c r="AE109" s="126" t="n"/>
      <c r="AF109" s="126" t="n"/>
      <c r="AG109" s="126" t="n"/>
      <c r="AH109" s="126" t="n"/>
      <c r="AI109" s="126" t="n"/>
      <c r="AJ109" s="126" t="n"/>
      <c r="AK109" s="126" t="n"/>
      <c r="AL109" s="126" t="n"/>
      <c r="AM109" s="126" t="n"/>
    </row>
    <row r="110" ht="21" customFormat="1" customHeight="1" s="127">
      <c r="A110" s="250" t="n">
        <v>46368</v>
      </c>
      <c r="B110" s="63">
        <f>CHOOSE(WEEKDAY($A110,2),"Mon","Tue","Wed","Thu","Fri","Sat","Sun")</f>
        <v/>
      </c>
      <c r="C110" s="64" t="n"/>
      <c r="D110" s="64" t="n"/>
      <c r="E110" s="65">
        <f>IF($C110="","",$C110-N($D110))</f>
        <v/>
      </c>
      <c r="F110" s="65">
        <f>IF($C110="","",$C110-MAX(0,N($D110)-BreakAllow*$C110))</f>
        <v/>
      </c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1">
        <f>IF(COUNT(G110:R110)=0,"",SUM(G110:R110))</f>
        <v/>
      </c>
      <c r="T110" s="251">
        <f>IF($C110="","",IFERROR(INDEX(RateValues,MATCH(SUMPRODUCT(MAX((RateDates&lt;=$A110)*RateDates)),RateDates,0)),0))</f>
        <v/>
      </c>
      <c r="U110" s="252">
        <f>IF($C110="","",$F110*$T110)</f>
        <v/>
      </c>
      <c r="V110" s="253">
        <f>$A110-WEEKDAY($A110,2)+1</f>
        <v/>
      </c>
      <c r="W110" s="132">
        <f t="array" ref="W110">IF(AND($C110="",S110=""),"",IF(AND(N($C110)&gt;0,N(S110)=0),"nobody marked present",IF(N($D110)&gt;N($C110),"more broken than moulded",IF(AND($C110="",N(S110)&gt;0),"attendance marked but no blocks entered",IF(AND(N($C110)&gt;0,N(T110)=0),"no pay rate for this date - see Settings",IF(SUMPRODUCT((G110:R110&lt;&gt;"")*(G$5:R$5=""))&gt;0,"attendance in an empty worker slot",""))))))</f>
        <v/>
      </c>
      <c r="X110" s="133" t="n"/>
      <c r="Y110" s="125" t="n"/>
      <c r="Z110" s="126" t="n"/>
      <c r="AA110" s="126" t="n"/>
      <c r="AB110" s="126" t="n"/>
      <c r="AC110" s="126" t="n"/>
      <c r="AD110" s="126" t="n"/>
      <c r="AE110" s="126" t="n"/>
      <c r="AF110" s="126" t="n"/>
      <c r="AG110" s="126" t="n"/>
      <c r="AH110" s="126" t="n"/>
      <c r="AI110" s="126" t="n"/>
      <c r="AJ110" s="126" t="n"/>
      <c r="AK110" s="126" t="n"/>
      <c r="AL110" s="126" t="n"/>
      <c r="AM110" s="126" t="n"/>
    </row>
    <row r="111" ht="21" customFormat="1" customHeight="1" s="127">
      <c r="A111" s="254" t="n">
        <v>46369</v>
      </c>
      <c r="B111" s="70">
        <f>CHOOSE(WEEKDAY($A111,2),"Mon","Tue","Wed","Thu","Fri","Sat","Sun")</f>
        <v/>
      </c>
      <c r="C111" s="64" t="n"/>
      <c r="D111" s="64" t="n"/>
      <c r="E111" s="65">
        <f>IF($C111="","",$C111-N($D111))</f>
        <v/>
      </c>
      <c r="F111" s="65">
        <f>IF($C111="","",$C111-MAX(0,N($D111)-BreakAllow*$C111))</f>
        <v/>
      </c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1">
        <f>IF(COUNT(G111:R111)=0,"",SUM(G111:R111))</f>
        <v/>
      </c>
      <c r="T111" s="251">
        <f>IF($C111="","",IFERROR(INDEX(RateValues,MATCH(SUMPRODUCT(MAX((RateDates&lt;=$A111)*RateDates)),RateDates,0)),0))</f>
        <v/>
      </c>
      <c r="U111" s="252">
        <f>IF($C111="","",$F111*$T111)</f>
        <v/>
      </c>
      <c r="V111" s="253">
        <f>$A111-WEEKDAY($A111,2)+1</f>
        <v/>
      </c>
      <c r="W111" s="132">
        <f t="array" ref="W111">IF(AND($C111="",S111=""),"",IF(AND(N($C111)&gt;0,N(S111)=0),"nobody marked present",IF(N($D111)&gt;N($C111),"more broken than moulded",IF(AND($C111="",N(S111)&gt;0),"attendance marked but no blocks entered",IF(AND(N($C111)&gt;0,N(T111)=0),"no pay rate for this date - see Settings",IF(SUMPRODUCT((G111:R111&lt;&gt;"")*(G$5:R$5=""))&gt;0,"attendance in an empty worker slot",""))))))</f>
        <v/>
      </c>
      <c r="X111" s="133" t="n"/>
      <c r="Y111" s="125" t="n"/>
      <c r="Z111" s="126" t="n"/>
      <c r="AA111" s="126" t="n"/>
      <c r="AB111" s="126" t="n"/>
      <c r="AC111" s="126" t="n"/>
      <c r="AD111" s="126" t="n"/>
      <c r="AE111" s="126" t="n"/>
      <c r="AF111" s="126" t="n"/>
      <c r="AG111" s="126" t="n"/>
      <c r="AH111" s="126" t="n"/>
      <c r="AI111" s="126" t="n"/>
      <c r="AJ111" s="126" t="n"/>
      <c r="AK111" s="126" t="n"/>
      <c r="AL111" s="126" t="n"/>
      <c r="AM111" s="126" t="n"/>
    </row>
    <row r="112" ht="21" customFormat="1" customHeight="1" s="127">
      <c r="A112" s="250" t="n">
        <v>46370</v>
      </c>
      <c r="B112" s="63">
        <f>CHOOSE(WEEKDAY($A112,2),"Mon","Tue","Wed","Thu","Fri","Sat","Sun")</f>
        <v/>
      </c>
      <c r="C112" s="64" t="n"/>
      <c r="D112" s="64" t="n"/>
      <c r="E112" s="65">
        <f>IF($C112="","",$C112-N($D112))</f>
        <v/>
      </c>
      <c r="F112" s="65">
        <f>IF($C112="","",$C112-MAX(0,N($D112)-BreakAllow*$C112))</f>
        <v/>
      </c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1">
        <f>IF(COUNT(G112:R112)=0,"",SUM(G112:R112))</f>
        <v/>
      </c>
      <c r="T112" s="251">
        <f>IF($C112="","",IFERROR(INDEX(RateValues,MATCH(SUMPRODUCT(MAX((RateDates&lt;=$A112)*RateDates)),RateDates,0)),0))</f>
        <v/>
      </c>
      <c r="U112" s="252">
        <f>IF($C112="","",$F112*$T112)</f>
        <v/>
      </c>
      <c r="V112" s="253">
        <f>$A112-WEEKDAY($A112,2)+1</f>
        <v/>
      </c>
      <c r="W112" s="132">
        <f t="array" ref="W112">IF(AND($C112="",S112=""),"",IF(AND(N($C112)&gt;0,N(S112)=0),"nobody marked present",IF(N($D112)&gt;N($C112),"more broken than moulded",IF(AND($C112="",N(S112)&gt;0),"attendance marked but no blocks entered",IF(AND(N($C112)&gt;0,N(T112)=0),"no pay rate for this date - see Settings",IF(SUMPRODUCT((G112:R112&lt;&gt;"")*(G$5:R$5=""))&gt;0,"attendance in an empty worker slot",""))))))</f>
        <v/>
      </c>
      <c r="X112" s="133" t="n"/>
      <c r="Y112" s="125" t="n"/>
      <c r="Z112" s="126" t="n"/>
      <c r="AA112" s="126" t="n"/>
      <c r="AB112" s="126" t="n"/>
      <c r="AC112" s="126" t="n"/>
      <c r="AD112" s="126" t="n"/>
      <c r="AE112" s="126" t="n"/>
      <c r="AF112" s="126" t="n"/>
      <c r="AG112" s="126" t="n"/>
      <c r="AH112" s="126" t="n"/>
      <c r="AI112" s="126" t="n"/>
      <c r="AJ112" s="126" t="n"/>
      <c r="AK112" s="126" t="n"/>
      <c r="AL112" s="126" t="n"/>
      <c r="AM112" s="126" t="n"/>
    </row>
    <row r="113" ht="21" customFormat="1" customHeight="1" s="127">
      <c r="A113" s="250" t="n">
        <v>46371</v>
      </c>
      <c r="B113" s="63">
        <f>CHOOSE(WEEKDAY($A113,2),"Mon","Tue","Wed","Thu","Fri","Sat","Sun")</f>
        <v/>
      </c>
      <c r="C113" s="64" t="n"/>
      <c r="D113" s="64" t="n"/>
      <c r="E113" s="65">
        <f>IF($C113="","",$C113-N($D113))</f>
        <v/>
      </c>
      <c r="F113" s="65">
        <f>IF($C113="","",$C113-MAX(0,N($D113)-BreakAllow*$C113))</f>
        <v/>
      </c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1">
        <f>IF(COUNT(G113:R113)=0,"",SUM(G113:R113))</f>
        <v/>
      </c>
      <c r="T113" s="251">
        <f>IF($C113="","",IFERROR(INDEX(RateValues,MATCH(SUMPRODUCT(MAX((RateDates&lt;=$A113)*RateDates)),RateDates,0)),0))</f>
        <v/>
      </c>
      <c r="U113" s="252">
        <f>IF($C113="","",$F113*$T113)</f>
        <v/>
      </c>
      <c r="V113" s="253">
        <f>$A113-WEEKDAY($A113,2)+1</f>
        <v/>
      </c>
      <c r="W113" s="132">
        <f t="array" ref="W113">IF(AND($C113="",S113=""),"",IF(AND(N($C113)&gt;0,N(S113)=0),"nobody marked present",IF(N($D113)&gt;N($C113),"more broken than moulded",IF(AND($C113="",N(S113)&gt;0),"attendance marked but no blocks entered",IF(AND(N($C113)&gt;0,N(T113)=0),"no pay rate for this date - see Settings",IF(SUMPRODUCT((G113:R113&lt;&gt;"")*(G$5:R$5=""))&gt;0,"attendance in an empty worker slot",""))))))</f>
        <v/>
      </c>
      <c r="X113" s="133" t="n"/>
      <c r="Y113" s="125" t="n"/>
      <c r="Z113" s="126" t="n"/>
      <c r="AA113" s="126" t="n"/>
      <c r="AB113" s="126" t="n"/>
      <c r="AC113" s="126" t="n"/>
      <c r="AD113" s="126" t="n"/>
      <c r="AE113" s="126" t="n"/>
      <c r="AF113" s="126" t="n"/>
      <c r="AG113" s="126" t="n"/>
      <c r="AH113" s="126" t="n"/>
      <c r="AI113" s="126" t="n"/>
      <c r="AJ113" s="126" t="n"/>
      <c r="AK113" s="126" t="n"/>
      <c r="AL113" s="126" t="n"/>
      <c r="AM113" s="126" t="n"/>
    </row>
    <row r="114" ht="21" customFormat="1" customHeight="1" s="127">
      <c r="A114" s="250" t="n">
        <v>46372</v>
      </c>
      <c r="B114" s="63">
        <f>CHOOSE(WEEKDAY($A114,2),"Mon","Tue","Wed","Thu","Fri","Sat","Sun")</f>
        <v/>
      </c>
      <c r="C114" s="64" t="n"/>
      <c r="D114" s="64" t="n"/>
      <c r="E114" s="65">
        <f>IF($C114="","",$C114-N($D114))</f>
        <v/>
      </c>
      <c r="F114" s="65">
        <f>IF($C114="","",$C114-MAX(0,N($D114)-BreakAllow*$C114))</f>
        <v/>
      </c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1">
        <f>IF(COUNT(G114:R114)=0,"",SUM(G114:R114))</f>
        <v/>
      </c>
      <c r="T114" s="251">
        <f>IF($C114="","",IFERROR(INDEX(RateValues,MATCH(SUMPRODUCT(MAX((RateDates&lt;=$A114)*RateDates)),RateDates,0)),0))</f>
        <v/>
      </c>
      <c r="U114" s="252">
        <f>IF($C114="","",$F114*$T114)</f>
        <v/>
      </c>
      <c r="V114" s="253">
        <f>$A114-WEEKDAY($A114,2)+1</f>
        <v/>
      </c>
      <c r="W114" s="132">
        <f t="array" ref="W114">IF(AND($C114="",S114=""),"",IF(AND(N($C114)&gt;0,N(S114)=0),"nobody marked present",IF(N($D114)&gt;N($C114),"more broken than moulded",IF(AND($C114="",N(S114)&gt;0),"attendance marked but no blocks entered",IF(AND(N($C114)&gt;0,N(T114)=0),"no pay rate for this date - see Settings",IF(SUMPRODUCT((G114:R114&lt;&gt;"")*(G$5:R$5=""))&gt;0,"attendance in an empty worker slot",""))))))</f>
        <v/>
      </c>
      <c r="X114" s="133" t="n"/>
      <c r="Y114" s="125" t="n"/>
      <c r="Z114" s="126" t="n"/>
      <c r="AA114" s="126" t="n"/>
      <c r="AB114" s="126" t="n"/>
      <c r="AC114" s="126" t="n"/>
      <c r="AD114" s="126" t="n"/>
      <c r="AE114" s="126" t="n"/>
      <c r="AF114" s="126" t="n"/>
      <c r="AG114" s="126" t="n"/>
      <c r="AH114" s="126" t="n"/>
      <c r="AI114" s="126" t="n"/>
      <c r="AJ114" s="126" t="n"/>
      <c r="AK114" s="126" t="n"/>
      <c r="AL114" s="126" t="n"/>
      <c r="AM114" s="126" t="n"/>
    </row>
    <row r="115" ht="21" customFormat="1" customHeight="1" s="127">
      <c r="A115" s="250" t="n">
        <v>46373</v>
      </c>
      <c r="B115" s="63">
        <f>CHOOSE(WEEKDAY($A115,2),"Mon","Tue","Wed","Thu","Fri","Sat","Sun")</f>
        <v/>
      </c>
      <c r="C115" s="64" t="n"/>
      <c r="D115" s="64" t="n"/>
      <c r="E115" s="65">
        <f>IF($C115="","",$C115-N($D115))</f>
        <v/>
      </c>
      <c r="F115" s="65">
        <f>IF($C115="","",$C115-MAX(0,N($D115)-BreakAllow*$C115))</f>
        <v/>
      </c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1">
        <f>IF(COUNT(G115:R115)=0,"",SUM(G115:R115))</f>
        <v/>
      </c>
      <c r="T115" s="251">
        <f>IF($C115="","",IFERROR(INDEX(RateValues,MATCH(SUMPRODUCT(MAX((RateDates&lt;=$A115)*RateDates)),RateDates,0)),0))</f>
        <v/>
      </c>
      <c r="U115" s="252">
        <f>IF($C115="","",$F115*$T115)</f>
        <v/>
      </c>
      <c r="V115" s="253">
        <f>$A115-WEEKDAY($A115,2)+1</f>
        <v/>
      </c>
      <c r="W115" s="132">
        <f t="array" ref="W115">IF(AND($C115="",S115=""),"",IF(AND(N($C115)&gt;0,N(S115)=0),"nobody marked present",IF(N($D115)&gt;N($C115),"more broken than moulded",IF(AND($C115="",N(S115)&gt;0),"attendance marked but no blocks entered",IF(AND(N($C115)&gt;0,N(T115)=0),"no pay rate for this date - see Settings",IF(SUMPRODUCT((G115:R115&lt;&gt;"")*(G$5:R$5=""))&gt;0,"attendance in an empty worker slot",""))))))</f>
        <v/>
      </c>
      <c r="X115" s="133" t="n"/>
      <c r="Y115" s="125" t="n"/>
      <c r="Z115" s="126" t="n"/>
      <c r="AA115" s="126" t="n"/>
      <c r="AB115" s="126" t="n"/>
      <c r="AC115" s="126" t="n"/>
      <c r="AD115" s="126" t="n"/>
      <c r="AE115" s="126" t="n"/>
      <c r="AF115" s="126" t="n"/>
      <c r="AG115" s="126" t="n"/>
      <c r="AH115" s="126" t="n"/>
      <c r="AI115" s="126" t="n"/>
      <c r="AJ115" s="126" t="n"/>
      <c r="AK115" s="126" t="n"/>
      <c r="AL115" s="126" t="n"/>
      <c r="AM115" s="126" t="n"/>
    </row>
    <row r="116" ht="21" customFormat="1" customHeight="1" s="127">
      <c r="A116" s="250" t="n">
        <v>46374</v>
      </c>
      <c r="B116" s="63">
        <f>CHOOSE(WEEKDAY($A116,2),"Mon","Tue","Wed","Thu","Fri","Sat","Sun")</f>
        <v/>
      </c>
      <c r="C116" s="64" t="n"/>
      <c r="D116" s="64" t="n"/>
      <c r="E116" s="65">
        <f>IF($C116="","",$C116-N($D116))</f>
        <v/>
      </c>
      <c r="F116" s="65">
        <f>IF($C116="","",$C116-MAX(0,N($D116)-BreakAllow*$C116))</f>
        <v/>
      </c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1">
        <f>IF(COUNT(G116:R116)=0,"",SUM(G116:R116))</f>
        <v/>
      </c>
      <c r="T116" s="251">
        <f>IF($C116="","",IFERROR(INDEX(RateValues,MATCH(SUMPRODUCT(MAX((RateDates&lt;=$A116)*RateDates)),RateDates,0)),0))</f>
        <v/>
      </c>
      <c r="U116" s="252">
        <f>IF($C116="","",$F116*$T116)</f>
        <v/>
      </c>
      <c r="V116" s="253">
        <f>$A116-WEEKDAY($A116,2)+1</f>
        <v/>
      </c>
      <c r="W116" s="132">
        <f t="array" ref="W116">IF(AND($C116="",S116=""),"",IF(AND(N($C116)&gt;0,N(S116)=0),"nobody marked present",IF(N($D116)&gt;N($C116),"more broken than moulded",IF(AND($C116="",N(S116)&gt;0),"attendance marked but no blocks entered",IF(AND(N($C116)&gt;0,N(T116)=0),"no pay rate for this date - see Settings",IF(SUMPRODUCT((G116:R116&lt;&gt;"")*(G$5:R$5=""))&gt;0,"attendance in an empty worker slot",""))))))</f>
        <v/>
      </c>
      <c r="X116" s="133" t="n"/>
      <c r="Y116" s="125" t="n"/>
      <c r="Z116" s="126" t="n"/>
      <c r="AA116" s="126" t="n"/>
      <c r="AB116" s="126" t="n"/>
      <c r="AC116" s="126" t="n"/>
      <c r="AD116" s="126" t="n"/>
      <c r="AE116" s="126" t="n"/>
      <c r="AF116" s="126" t="n"/>
      <c r="AG116" s="126" t="n"/>
      <c r="AH116" s="126" t="n"/>
      <c r="AI116" s="126" t="n"/>
      <c r="AJ116" s="126" t="n"/>
      <c r="AK116" s="126" t="n"/>
      <c r="AL116" s="126" t="n"/>
      <c r="AM116" s="126" t="n"/>
    </row>
    <row r="117" ht="21" customFormat="1" customHeight="1" s="127">
      <c r="A117" s="250" t="n">
        <v>46375</v>
      </c>
      <c r="B117" s="63">
        <f>CHOOSE(WEEKDAY($A117,2),"Mon","Tue","Wed","Thu","Fri","Sat","Sun")</f>
        <v/>
      </c>
      <c r="C117" s="64" t="n"/>
      <c r="D117" s="64" t="n"/>
      <c r="E117" s="65">
        <f>IF($C117="","",$C117-N($D117))</f>
        <v/>
      </c>
      <c r="F117" s="65">
        <f>IF($C117="","",$C117-MAX(0,N($D117)-BreakAllow*$C117))</f>
        <v/>
      </c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1">
        <f>IF(COUNT(G117:R117)=0,"",SUM(G117:R117))</f>
        <v/>
      </c>
      <c r="T117" s="251">
        <f>IF($C117="","",IFERROR(INDEX(RateValues,MATCH(SUMPRODUCT(MAX((RateDates&lt;=$A117)*RateDates)),RateDates,0)),0))</f>
        <v/>
      </c>
      <c r="U117" s="252">
        <f>IF($C117="","",$F117*$T117)</f>
        <v/>
      </c>
      <c r="V117" s="253">
        <f>$A117-WEEKDAY($A117,2)+1</f>
        <v/>
      </c>
      <c r="W117" s="132">
        <f t="array" ref="W117">IF(AND($C117="",S117=""),"",IF(AND(N($C117)&gt;0,N(S117)=0),"nobody marked present",IF(N($D117)&gt;N($C117),"more broken than moulded",IF(AND($C117="",N(S117)&gt;0),"attendance marked but no blocks entered",IF(AND(N($C117)&gt;0,N(T117)=0),"no pay rate for this date - see Settings",IF(SUMPRODUCT((G117:R117&lt;&gt;"")*(G$5:R$5=""))&gt;0,"attendance in an empty worker slot",""))))))</f>
        <v/>
      </c>
      <c r="X117" s="133" t="n"/>
      <c r="Y117" s="125" t="n"/>
      <c r="Z117" s="126" t="n"/>
      <c r="AA117" s="126" t="n"/>
      <c r="AB117" s="126" t="n"/>
      <c r="AC117" s="126" t="n"/>
      <c r="AD117" s="126" t="n"/>
      <c r="AE117" s="126" t="n"/>
      <c r="AF117" s="126" t="n"/>
      <c r="AG117" s="126" t="n"/>
      <c r="AH117" s="126" t="n"/>
      <c r="AI117" s="126" t="n"/>
      <c r="AJ117" s="126" t="n"/>
      <c r="AK117" s="126" t="n"/>
      <c r="AL117" s="126" t="n"/>
      <c r="AM117" s="126" t="n"/>
    </row>
    <row r="118" ht="21" customFormat="1" customHeight="1" s="127">
      <c r="A118" s="254" t="n">
        <v>46376</v>
      </c>
      <c r="B118" s="70">
        <f>CHOOSE(WEEKDAY($A118,2),"Mon","Tue","Wed","Thu","Fri","Sat","Sun")</f>
        <v/>
      </c>
      <c r="C118" s="64" t="n"/>
      <c r="D118" s="64" t="n"/>
      <c r="E118" s="65">
        <f>IF($C118="","",$C118-N($D118))</f>
        <v/>
      </c>
      <c r="F118" s="65">
        <f>IF($C118="","",$C118-MAX(0,N($D118)-BreakAllow*$C118))</f>
        <v/>
      </c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1">
        <f>IF(COUNT(G118:R118)=0,"",SUM(G118:R118))</f>
        <v/>
      </c>
      <c r="T118" s="251">
        <f>IF($C118="","",IFERROR(INDEX(RateValues,MATCH(SUMPRODUCT(MAX((RateDates&lt;=$A118)*RateDates)),RateDates,0)),0))</f>
        <v/>
      </c>
      <c r="U118" s="252">
        <f>IF($C118="","",$F118*$T118)</f>
        <v/>
      </c>
      <c r="V118" s="253">
        <f>$A118-WEEKDAY($A118,2)+1</f>
        <v/>
      </c>
      <c r="W118" s="132">
        <f t="array" ref="W118">IF(AND($C118="",S118=""),"",IF(AND(N($C118)&gt;0,N(S118)=0),"nobody marked present",IF(N($D118)&gt;N($C118),"more broken than moulded",IF(AND($C118="",N(S118)&gt;0),"attendance marked but no blocks entered",IF(AND(N($C118)&gt;0,N(T118)=0),"no pay rate for this date - see Settings",IF(SUMPRODUCT((G118:R118&lt;&gt;"")*(G$5:R$5=""))&gt;0,"attendance in an empty worker slot",""))))))</f>
        <v/>
      </c>
      <c r="X118" s="133" t="n"/>
      <c r="Y118" s="125" t="n"/>
      <c r="Z118" s="126" t="n"/>
      <c r="AA118" s="126" t="n"/>
      <c r="AB118" s="126" t="n"/>
      <c r="AC118" s="126" t="n"/>
      <c r="AD118" s="126" t="n"/>
      <c r="AE118" s="126" t="n"/>
      <c r="AF118" s="126" t="n"/>
      <c r="AG118" s="126" t="n"/>
      <c r="AH118" s="126" t="n"/>
      <c r="AI118" s="126" t="n"/>
      <c r="AJ118" s="126" t="n"/>
      <c r="AK118" s="126" t="n"/>
      <c r="AL118" s="126" t="n"/>
      <c r="AM118" s="126" t="n"/>
    </row>
    <row r="119" ht="21" customFormat="1" customHeight="1" s="127">
      <c r="A119" s="250" t="n">
        <v>46377</v>
      </c>
      <c r="B119" s="63">
        <f>CHOOSE(WEEKDAY($A119,2),"Mon","Tue","Wed","Thu","Fri","Sat","Sun")</f>
        <v/>
      </c>
      <c r="C119" s="64" t="n"/>
      <c r="D119" s="64" t="n"/>
      <c r="E119" s="65">
        <f>IF($C119="","",$C119-N($D119))</f>
        <v/>
      </c>
      <c r="F119" s="65">
        <f>IF($C119="","",$C119-MAX(0,N($D119)-BreakAllow*$C119))</f>
        <v/>
      </c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1">
        <f>IF(COUNT(G119:R119)=0,"",SUM(G119:R119))</f>
        <v/>
      </c>
      <c r="T119" s="251">
        <f>IF($C119="","",IFERROR(INDEX(RateValues,MATCH(SUMPRODUCT(MAX((RateDates&lt;=$A119)*RateDates)),RateDates,0)),0))</f>
        <v/>
      </c>
      <c r="U119" s="252">
        <f>IF($C119="","",$F119*$T119)</f>
        <v/>
      </c>
      <c r="V119" s="253">
        <f>$A119-WEEKDAY($A119,2)+1</f>
        <v/>
      </c>
      <c r="W119" s="132">
        <f t="array" ref="W119">IF(AND($C119="",S119=""),"",IF(AND(N($C119)&gt;0,N(S119)=0),"nobody marked present",IF(N($D119)&gt;N($C119),"more broken than moulded",IF(AND($C119="",N(S119)&gt;0),"attendance marked but no blocks entered",IF(AND(N($C119)&gt;0,N(T119)=0),"no pay rate for this date - see Settings",IF(SUMPRODUCT((G119:R119&lt;&gt;"")*(G$5:R$5=""))&gt;0,"attendance in an empty worker slot",""))))))</f>
        <v/>
      </c>
      <c r="X119" s="133" t="n"/>
      <c r="Y119" s="125" t="n"/>
      <c r="Z119" s="126" t="n"/>
      <c r="AA119" s="126" t="n"/>
      <c r="AB119" s="126" t="n"/>
      <c r="AC119" s="126" t="n"/>
      <c r="AD119" s="126" t="n"/>
      <c r="AE119" s="126" t="n"/>
      <c r="AF119" s="126" t="n"/>
      <c r="AG119" s="126" t="n"/>
      <c r="AH119" s="126" t="n"/>
      <c r="AI119" s="126" t="n"/>
      <c r="AJ119" s="126" t="n"/>
      <c r="AK119" s="126" t="n"/>
      <c r="AL119" s="126" t="n"/>
      <c r="AM119" s="126" t="n"/>
    </row>
    <row r="120" ht="21" customFormat="1" customHeight="1" s="127">
      <c r="A120" s="250" t="n">
        <v>46378</v>
      </c>
      <c r="B120" s="63">
        <f>CHOOSE(WEEKDAY($A120,2),"Mon","Tue","Wed","Thu","Fri","Sat","Sun")</f>
        <v/>
      </c>
      <c r="C120" s="64" t="n"/>
      <c r="D120" s="64" t="n"/>
      <c r="E120" s="65">
        <f>IF($C120="","",$C120-N($D120))</f>
        <v/>
      </c>
      <c r="F120" s="65">
        <f>IF($C120="","",$C120-MAX(0,N($D120)-BreakAllow*$C120))</f>
        <v/>
      </c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1">
        <f>IF(COUNT(G120:R120)=0,"",SUM(G120:R120))</f>
        <v/>
      </c>
      <c r="T120" s="251">
        <f>IF($C120="","",IFERROR(INDEX(RateValues,MATCH(SUMPRODUCT(MAX((RateDates&lt;=$A120)*RateDates)),RateDates,0)),0))</f>
        <v/>
      </c>
      <c r="U120" s="252">
        <f>IF($C120="","",$F120*$T120)</f>
        <v/>
      </c>
      <c r="V120" s="253">
        <f>$A120-WEEKDAY($A120,2)+1</f>
        <v/>
      </c>
      <c r="W120" s="132">
        <f t="array" ref="W120">IF(AND($C120="",S120=""),"",IF(AND(N($C120)&gt;0,N(S120)=0),"nobody marked present",IF(N($D120)&gt;N($C120),"more broken than moulded",IF(AND($C120="",N(S120)&gt;0),"attendance marked but no blocks entered",IF(AND(N($C120)&gt;0,N(T120)=0),"no pay rate for this date - see Settings",IF(SUMPRODUCT((G120:R120&lt;&gt;"")*(G$5:R$5=""))&gt;0,"attendance in an empty worker slot",""))))))</f>
        <v/>
      </c>
      <c r="X120" s="133" t="n"/>
      <c r="Y120" s="125" t="n"/>
      <c r="Z120" s="126" t="n"/>
      <c r="AA120" s="126" t="n"/>
      <c r="AB120" s="126" t="n"/>
      <c r="AC120" s="126" t="n"/>
      <c r="AD120" s="126" t="n"/>
      <c r="AE120" s="126" t="n"/>
      <c r="AF120" s="126" t="n"/>
      <c r="AG120" s="126" t="n"/>
      <c r="AH120" s="126" t="n"/>
      <c r="AI120" s="126" t="n"/>
      <c r="AJ120" s="126" t="n"/>
      <c r="AK120" s="126" t="n"/>
      <c r="AL120" s="126" t="n"/>
      <c r="AM120" s="126" t="n"/>
    </row>
    <row r="121" ht="21" customFormat="1" customHeight="1" s="127">
      <c r="A121" s="250" t="n">
        <v>46379</v>
      </c>
      <c r="B121" s="63">
        <f>CHOOSE(WEEKDAY($A121,2),"Mon","Tue","Wed","Thu","Fri","Sat","Sun")</f>
        <v/>
      </c>
      <c r="C121" s="64" t="n"/>
      <c r="D121" s="64" t="n"/>
      <c r="E121" s="65">
        <f>IF($C121="","",$C121-N($D121))</f>
        <v/>
      </c>
      <c r="F121" s="65">
        <f>IF($C121="","",$C121-MAX(0,N($D121)-BreakAllow*$C121))</f>
        <v/>
      </c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1">
        <f>IF(COUNT(G121:R121)=0,"",SUM(G121:R121))</f>
        <v/>
      </c>
      <c r="T121" s="251">
        <f>IF($C121="","",IFERROR(INDEX(RateValues,MATCH(SUMPRODUCT(MAX((RateDates&lt;=$A121)*RateDates)),RateDates,0)),0))</f>
        <v/>
      </c>
      <c r="U121" s="252">
        <f>IF($C121="","",$F121*$T121)</f>
        <v/>
      </c>
      <c r="V121" s="253">
        <f>$A121-WEEKDAY($A121,2)+1</f>
        <v/>
      </c>
      <c r="W121" s="132">
        <f t="array" ref="W121">IF(AND($C121="",S121=""),"",IF(AND(N($C121)&gt;0,N(S121)=0),"nobody marked present",IF(N($D121)&gt;N($C121),"more broken than moulded",IF(AND($C121="",N(S121)&gt;0),"attendance marked but no blocks entered",IF(AND(N($C121)&gt;0,N(T121)=0),"no pay rate for this date - see Settings",IF(SUMPRODUCT((G121:R121&lt;&gt;"")*(G$5:R$5=""))&gt;0,"attendance in an empty worker slot",""))))))</f>
        <v/>
      </c>
      <c r="X121" s="133" t="n"/>
      <c r="Y121" s="125" t="n"/>
      <c r="Z121" s="126" t="n"/>
      <c r="AA121" s="126" t="n"/>
      <c r="AB121" s="126" t="n"/>
      <c r="AC121" s="126" t="n"/>
      <c r="AD121" s="126" t="n"/>
      <c r="AE121" s="126" t="n"/>
      <c r="AF121" s="126" t="n"/>
      <c r="AG121" s="126" t="n"/>
      <c r="AH121" s="126" t="n"/>
      <c r="AI121" s="126" t="n"/>
      <c r="AJ121" s="126" t="n"/>
      <c r="AK121" s="126" t="n"/>
      <c r="AL121" s="126" t="n"/>
      <c r="AM121" s="126" t="n"/>
    </row>
    <row r="122" ht="21" customFormat="1" customHeight="1" s="127">
      <c r="A122" s="250" t="n">
        <v>46380</v>
      </c>
      <c r="B122" s="63">
        <f>CHOOSE(WEEKDAY($A122,2),"Mon","Tue","Wed","Thu","Fri","Sat","Sun")</f>
        <v/>
      </c>
      <c r="C122" s="64" t="n"/>
      <c r="D122" s="64" t="n"/>
      <c r="E122" s="65">
        <f>IF($C122="","",$C122-N($D122))</f>
        <v/>
      </c>
      <c r="F122" s="65">
        <f>IF($C122="","",$C122-MAX(0,N($D122)-BreakAllow*$C122))</f>
        <v/>
      </c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1">
        <f>IF(COUNT(G122:R122)=0,"",SUM(G122:R122))</f>
        <v/>
      </c>
      <c r="T122" s="251">
        <f>IF($C122="","",IFERROR(INDEX(RateValues,MATCH(SUMPRODUCT(MAX((RateDates&lt;=$A122)*RateDates)),RateDates,0)),0))</f>
        <v/>
      </c>
      <c r="U122" s="252">
        <f>IF($C122="","",$F122*$T122)</f>
        <v/>
      </c>
      <c r="V122" s="253">
        <f>$A122-WEEKDAY($A122,2)+1</f>
        <v/>
      </c>
      <c r="W122" s="132">
        <f t="array" ref="W122">IF(AND($C122="",S122=""),"",IF(AND(N($C122)&gt;0,N(S122)=0),"nobody marked present",IF(N($D122)&gt;N($C122),"more broken than moulded",IF(AND($C122="",N(S122)&gt;0),"attendance marked but no blocks entered",IF(AND(N($C122)&gt;0,N(T122)=0),"no pay rate for this date - see Settings",IF(SUMPRODUCT((G122:R122&lt;&gt;"")*(G$5:R$5=""))&gt;0,"attendance in an empty worker slot",""))))))</f>
        <v/>
      </c>
      <c r="X122" s="133" t="n"/>
      <c r="Y122" s="125" t="n"/>
      <c r="Z122" s="126" t="n"/>
      <c r="AA122" s="126" t="n"/>
      <c r="AB122" s="126" t="n"/>
      <c r="AC122" s="126" t="n"/>
      <c r="AD122" s="126" t="n"/>
      <c r="AE122" s="126" t="n"/>
      <c r="AF122" s="126" t="n"/>
      <c r="AG122" s="126" t="n"/>
      <c r="AH122" s="126" t="n"/>
      <c r="AI122" s="126" t="n"/>
      <c r="AJ122" s="126" t="n"/>
      <c r="AK122" s="126" t="n"/>
      <c r="AL122" s="126" t="n"/>
      <c r="AM122" s="126" t="n"/>
    </row>
    <row r="123" ht="21" customFormat="1" customHeight="1" s="127">
      <c r="A123" s="250" t="n">
        <v>46381</v>
      </c>
      <c r="B123" s="63">
        <f>CHOOSE(WEEKDAY($A123,2),"Mon","Tue","Wed","Thu","Fri","Sat","Sun")</f>
        <v/>
      </c>
      <c r="C123" s="64" t="n"/>
      <c r="D123" s="64" t="n"/>
      <c r="E123" s="65">
        <f>IF($C123="","",$C123-N($D123))</f>
        <v/>
      </c>
      <c r="F123" s="65">
        <f>IF($C123="","",$C123-MAX(0,N($D123)-BreakAllow*$C123))</f>
        <v/>
      </c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1">
        <f>IF(COUNT(G123:R123)=0,"",SUM(G123:R123))</f>
        <v/>
      </c>
      <c r="T123" s="251">
        <f>IF($C123="","",IFERROR(INDEX(RateValues,MATCH(SUMPRODUCT(MAX((RateDates&lt;=$A123)*RateDates)),RateDates,0)),0))</f>
        <v/>
      </c>
      <c r="U123" s="252">
        <f>IF($C123="","",$F123*$T123)</f>
        <v/>
      </c>
      <c r="V123" s="253">
        <f>$A123-WEEKDAY($A123,2)+1</f>
        <v/>
      </c>
      <c r="W123" s="132">
        <f t="array" ref="W123">IF(AND($C123="",S123=""),"",IF(AND(N($C123)&gt;0,N(S123)=0),"nobody marked present",IF(N($D123)&gt;N($C123),"more broken than moulded",IF(AND($C123="",N(S123)&gt;0),"attendance marked but no blocks entered",IF(AND(N($C123)&gt;0,N(T123)=0),"no pay rate for this date - see Settings",IF(SUMPRODUCT((G123:R123&lt;&gt;"")*(G$5:R$5=""))&gt;0,"attendance in an empty worker slot",""))))))</f>
        <v/>
      </c>
      <c r="X123" s="133" t="n"/>
      <c r="Y123" s="125" t="n"/>
      <c r="Z123" s="126" t="n"/>
      <c r="AA123" s="126" t="n"/>
      <c r="AB123" s="126" t="n"/>
      <c r="AC123" s="126" t="n"/>
      <c r="AD123" s="126" t="n"/>
      <c r="AE123" s="126" t="n"/>
      <c r="AF123" s="126" t="n"/>
      <c r="AG123" s="126" t="n"/>
      <c r="AH123" s="126" t="n"/>
      <c r="AI123" s="126" t="n"/>
      <c r="AJ123" s="126" t="n"/>
      <c r="AK123" s="126" t="n"/>
      <c r="AL123" s="126" t="n"/>
      <c r="AM123" s="126" t="n"/>
    </row>
    <row r="124" ht="21" customFormat="1" customHeight="1" s="127">
      <c r="A124" s="250" t="n">
        <v>46382</v>
      </c>
      <c r="B124" s="63">
        <f>CHOOSE(WEEKDAY($A124,2),"Mon","Tue","Wed","Thu","Fri","Sat","Sun")</f>
        <v/>
      </c>
      <c r="C124" s="64" t="n"/>
      <c r="D124" s="64" t="n"/>
      <c r="E124" s="65">
        <f>IF($C124="","",$C124-N($D124))</f>
        <v/>
      </c>
      <c r="F124" s="65">
        <f>IF($C124="","",$C124-MAX(0,N($D124)-BreakAllow*$C124))</f>
        <v/>
      </c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1">
        <f>IF(COUNT(G124:R124)=0,"",SUM(G124:R124))</f>
        <v/>
      </c>
      <c r="T124" s="251">
        <f>IF($C124="","",IFERROR(INDEX(RateValues,MATCH(SUMPRODUCT(MAX((RateDates&lt;=$A124)*RateDates)),RateDates,0)),0))</f>
        <v/>
      </c>
      <c r="U124" s="252">
        <f>IF($C124="","",$F124*$T124)</f>
        <v/>
      </c>
      <c r="V124" s="253">
        <f>$A124-WEEKDAY($A124,2)+1</f>
        <v/>
      </c>
      <c r="W124" s="132">
        <f t="array" ref="W124">IF(AND($C124="",S124=""),"",IF(AND(N($C124)&gt;0,N(S124)=0),"nobody marked present",IF(N($D124)&gt;N($C124),"more broken than moulded",IF(AND($C124="",N(S124)&gt;0),"attendance marked but no blocks entered",IF(AND(N($C124)&gt;0,N(T124)=0),"no pay rate for this date - see Settings",IF(SUMPRODUCT((G124:R124&lt;&gt;"")*(G$5:R$5=""))&gt;0,"attendance in an empty worker slot",""))))))</f>
        <v/>
      </c>
      <c r="X124" s="133" t="n"/>
      <c r="Y124" s="125" t="n"/>
      <c r="Z124" s="126" t="n"/>
      <c r="AA124" s="126" t="n"/>
      <c r="AB124" s="126" t="n"/>
      <c r="AC124" s="126" t="n"/>
      <c r="AD124" s="126" t="n"/>
      <c r="AE124" s="126" t="n"/>
      <c r="AF124" s="126" t="n"/>
      <c r="AG124" s="126" t="n"/>
      <c r="AH124" s="126" t="n"/>
      <c r="AI124" s="126" t="n"/>
      <c r="AJ124" s="126" t="n"/>
      <c r="AK124" s="126" t="n"/>
      <c r="AL124" s="126" t="n"/>
      <c r="AM124" s="126" t="n"/>
    </row>
    <row r="125" ht="21" customFormat="1" customHeight="1" s="127">
      <c r="A125" s="254" t="n">
        <v>46383</v>
      </c>
      <c r="B125" s="70">
        <f>CHOOSE(WEEKDAY($A125,2),"Mon","Tue","Wed","Thu","Fri","Sat","Sun")</f>
        <v/>
      </c>
      <c r="C125" s="64" t="n"/>
      <c r="D125" s="64" t="n"/>
      <c r="E125" s="65">
        <f>IF($C125="","",$C125-N($D125))</f>
        <v/>
      </c>
      <c r="F125" s="65">
        <f>IF($C125="","",$C125-MAX(0,N($D125)-BreakAllow*$C125))</f>
        <v/>
      </c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1">
        <f>IF(COUNT(G125:R125)=0,"",SUM(G125:R125))</f>
        <v/>
      </c>
      <c r="T125" s="251">
        <f>IF($C125="","",IFERROR(INDEX(RateValues,MATCH(SUMPRODUCT(MAX((RateDates&lt;=$A125)*RateDates)),RateDates,0)),0))</f>
        <v/>
      </c>
      <c r="U125" s="252">
        <f>IF($C125="","",$F125*$T125)</f>
        <v/>
      </c>
      <c r="V125" s="253">
        <f>$A125-WEEKDAY($A125,2)+1</f>
        <v/>
      </c>
      <c r="W125" s="132">
        <f t="array" ref="W125">IF(AND($C125="",S125=""),"",IF(AND(N($C125)&gt;0,N(S125)=0),"nobody marked present",IF(N($D125)&gt;N($C125),"more broken than moulded",IF(AND($C125="",N(S125)&gt;0),"attendance marked but no blocks entered",IF(AND(N($C125)&gt;0,N(T125)=0),"no pay rate for this date - see Settings",IF(SUMPRODUCT((G125:R125&lt;&gt;"")*(G$5:R$5=""))&gt;0,"attendance in an empty worker slot",""))))))</f>
        <v/>
      </c>
      <c r="X125" s="133" t="n"/>
      <c r="Y125" s="125" t="n"/>
      <c r="Z125" s="126" t="n"/>
      <c r="AA125" s="126" t="n"/>
      <c r="AB125" s="126" t="n"/>
      <c r="AC125" s="126" t="n"/>
      <c r="AD125" s="126" t="n"/>
      <c r="AE125" s="126" t="n"/>
      <c r="AF125" s="126" t="n"/>
      <c r="AG125" s="126" t="n"/>
      <c r="AH125" s="126" t="n"/>
      <c r="AI125" s="126" t="n"/>
      <c r="AJ125" s="126" t="n"/>
      <c r="AK125" s="126" t="n"/>
      <c r="AL125" s="126" t="n"/>
      <c r="AM125" s="126" t="n"/>
    </row>
    <row r="126" ht="21" customFormat="1" customHeight="1" s="127">
      <c r="A126" s="250" t="n">
        <v>46384</v>
      </c>
      <c r="B126" s="63">
        <f>CHOOSE(WEEKDAY($A126,2),"Mon","Tue","Wed","Thu","Fri","Sat","Sun")</f>
        <v/>
      </c>
      <c r="C126" s="64" t="n"/>
      <c r="D126" s="64" t="n"/>
      <c r="E126" s="65">
        <f>IF($C126="","",$C126-N($D126))</f>
        <v/>
      </c>
      <c r="F126" s="65">
        <f>IF($C126="","",$C126-MAX(0,N($D126)-BreakAllow*$C126))</f>
        <v/>
      </c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1">
        <f>IF(COUNT(G126:R126)=0,"",SUM(G126:R126))</f>
        <v/>
      </c>
      <c r="T126" s="251">
        <f>IF($C126="","",IFERROR(INDEX(RateValues,MATCH(SUMPRODUCT(MAX((RateDates&lt;=$A126)*RateDates)),RateDates,0)),0))</f>
        <v/>
      </c>
      <c r="U126" s="252">
        <f>IF($C126="","",$F126*$T126)</f>
        <v/>
      </c>
      <c r="V126" s="253">
        <f>$A126-WEEKDAY($A126,2)+1</f>
        <v/>
      </c>
      <c r="W126" s="132">
        <f t="array" ref="W126">IF(AND($C126="",S126=""),"",IF(AND(N($C126)&gt;0,N(S126)=0),"nobody marked present",IF(N($D126)&gt;N($C126),"more broken than moulded",IF(AND($C126="",N(S126)&gt;0),"attendance marked but no blocks entered",IF(AND(N($C126)&gt;0,N(T126)=0),"no pay rate for this date - see Settings",IF(SUMPRODUCT((G126:R126&lt;&gt;"")*(G$5:R$5=""))&gt;0,"attendance in an empty worker slot",""))))))</f>
        <v/>
      </c>
      <c r="X126" s="133" t="n"/>
      <c r="Y126" s="125" t="n"/>
      <c r="Z126" s="126" t="n"/>
      <c r="AA126" s="126" t="n"/>
      <c r="AB126" s="126" t="n"/>
      <c r="AC126" s="126" t="n"/>
      <c r="AD126" s="126" t="n"/>
      <c r="AE126" s="126" t="n"/>
      <c r="AF126" s="126" t="n"/>
      <c r="AG126" s="126" t="n"/>
      <c r="AH126" s="126" t="n"/>
      <c r="AI126" s="126" t="n"/>
      <c r="AJ126" s="126" t="n"/>
      <c r="AK126" s="126" t="n"/>
      <c r="AL126" s="126" t="n"/>
      <c r="AM126" s="126" t="n"/>
    </row>
    <row r="127" ht="21" customFormat="1" customHeight="1" s="127">
      <c r="A127" s="250" t="n">
        <v>46385</v>
      </c>
      <c r="B127" s="63">
        <f>CHOOSE(WEEKDAY($A127,2),"Mon","Tue","Wed","Thu","Fri","Sat","Sun")</f>
        <v/>
      </c>
      <c r="C127" s="64" t="n"/>
      <c r="D127" s="64" t="n"/>
      <c r="E127" s="65">
        <f>IF($C127="","",$C127-N($D127))</f>
        <v/>
      </c>
      <c r="F127" s="65">
        <f>IF($C127="","",$C127-MAX(0,N($D127)-BreakAllow*$C127))</f>
        <v/>
      </c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1">
        <f>IF(COUNT(G127:R127)=0,"",SUM(G127:R127))</f>
        <v/>
      </c>
      <c r="T127" s="251">
        <f>IF($C127="","",IFERROR(INDEX(RateValues,MATCH(SUMPRODUCT(MAX((RateDates&lt;=$A127)*RateDates)),RateDates,0)),0))</f>
        <v/>
      </c>
      <c r="U127" s="252">
        <f>IF($C127="","",$F127*$T127)</f>
        <v/>
      </c>
      <c r="V127" s="253">
        <f>$A127-WEEKDAY($A127,2)+1</f>
        <v/>
      </c>
      <c r="W127" s="132">
        <f t="array" ref="W127">IF(AND($C127="",S127=""),"",IF(AND(N($C127)&gt;0,N(S127)=0),"nobody marked present",IF(N($D127)&gt;N($C127),"more broken than moulded",IF(AND($C127="",N(S127)&gt;0),"attendance marked but no blocks entered",IF(AND(N($C127)&gt;0,N(T127)=0),"no pay rate for this date - see Settings",IF(SUMPRODUCT((G127:R127&lt;&gt;"")*(G$5:R$5=""))&gt;0,"attendance in an empty worker slot",""))))))</f>
        <v/>
      </c>
      <c r="X127" s="133" t="n"/>
      <c r="Y127" s="125" t="n"/>
      <c r="Z127" s="126" t="n"/>
      <c r="AA127" s="126" t="n"/>
      <c r="AB127" s="126" t="n"/>
      <c r="AC127" s="126" t="n"/>
      <c r="AD127" s="126" t="n"/>
      <c r="AE127" s="126" t="n"/>
      <c r="AF127" s="126" t="n"/>
      <c r="AG127" s="126" t="n"/>
      <c r="AH127" s="126" t="n"/>
      <c r="AI127" s="126" t="n"/>
      <c r="AJ127" s="126" t="n"/>
      <c r="AK127" s="126" t="n"/>
      <c r="AL127" s="126" t="n"/>
      <c r="AM127" s="126" t="n"/>
    </row>
    <row r="128" ht="21" customFormat="1" customHeight="1" s="127">
      <c r="A128" s="250" t="n">
        <v>46386</v>
      </c>
      <c r="B128" s="63">
        <f>CHOOSE(WEEKDAY($A128,2),"Mon","Tue","Wed","Thu","Fri","Sat","Sun")</f>
        <v/>
      </c>
      <c r="C128" s="64" t="n"/>
      <c r="D128" s="64" t="n"/>
      <c r="E128" s="65">
        <f>IF($C128="","",$C128-N($D128))</f>
        <v/>
      </c>
      <c r="F128" s="65">
        <f>IF($C128="","",$C128-MAX(0,N($D128)-BreakAllow*$C128))</f>
        <v/>
      </c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1">
        <f>IF(COUNT(G128:R128)=0,"",SUM(G128:R128))</f>
        <v/>
      </c>
      <c r="T128" s="251">
        <f>IF($C128="","",IFERROR(INDEX(RateValues,MATCH(SUMPRODUCT(MAX((RateDates&lt;=$A128)*RateDates)),RateDates,0)),0))</f>
        <v/>
      </c>
      <c r="U128" s="252">
        <f>IF($C128="","",$F128*$T128)</f>
        <v/>
      </c>
      <c r="V128" s="253">
        <f>$A128-WEEKDAY($A128,2)+1</f>
        <v/>
      </c>
      <c r="W128" s="132">
        <f t="array" ref="W128">IF(AND($C128="",S128=""),"",IF(AND(N($C128)&gt;0,N(S128)=0),"nobody marked present",IF(N($D128)&gt;N($C128),"more broken than moulded",IF(AND($C128="",N(S128)&gt;0),"attendance marked but no blocks entered",IF(AND(N($C128)&gt;0,N(T128)=0),"no pay rate for this date - see Settings",IF(SUMPRODUCT((G128:R128&lt;&gt;"")*(G$5:R$5=""))&gt;0,"attendance in an empty worker slot",""))))))</f>
        <v/>
      </c>
      <c r="X128" s="133" t="n"/>
      <c r="Y128" s="125" t="n"/>
      <c r="Z128" s="126" t="n"/>
      <c r="AA128" s="126" t="n"/>
      <c r="AB128" s="126" t="n"/>
      <c r="AC128" s="126" t="n"/>
      <c r="AD128" s="126" t="n"/>
      <c r="AE128" s="126" t="n"/>
      <c r="AF128" s="126" t="n"/>
      <c r="AG128" s="126" t="n"/>
      <c r="AH128" s="126" t="n"/>
      <c r="AI128" s="126" t="n"/>
      <c r="AJ128" s="126" t="n"/>
      <c r="AK128" s="126" t="n"/>
      <c r="AL128" s="126" t="n"/>
      <c r="AM128" s="126" t="n"/>
    </row>
    <row r="129" ht="21" customFormat="1" customHeight="1" s="127">
      <c r="A129" s="250" t="n">
        <v>46387</v>
      </c>
      <c r="B129" s="63">
        <f>CHOOSE(WEEKDAY($A129,2),"Mon","Tue","Wed","Thu","Fri","Sat","Sun")</f>
        <v/>
      </c>
      <c r="C129" s="64" t="n"/>
      <c r="D129" s="64" t="n"/>
      <c r="E129" s="65">
        <f>IF($C129="","",$C129-N($D129))</f>
        <v/>
      </c>
      <c r="F129" s="65">
        <f>IF($C129="","",$C129-MAX(0,N($D129)-BreakAllow*$C129))</f>
        <v/>
      </c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1">
        <f>IF(COUNT(G129:R129)=0,"",SUM(G129:R129))</f>
        <v/>
      </c>
      <c r="T129" s="251">
        <f>IF($C129="","",IFERROR(INDEX(RateValues,MATCH(SUMPRODUCT(MAX((RateDates&lt;=$A129)*RateDates)),RateDates,0)),0))</f>
        <v/>
      </c>
      <c r="U129" s="252">
        <f>IF($C129="","",$F129*$T129)</f>
        <v/>
      </c>
      <c r="V129" s="253">
        <f>$A129-WEEKDAY($A129,2)+1</f>
        <v/>
      </c>
      <c r="W129" s="132">
        <f t="array" ref="W129">IF(AND($C129="",S129=""),"",IF(AND(N($C129)&gt;0,N(S129)=0),"nobody marked present",IF(N($D129)&gt;N($C129),"more broken than moulded",IF(AND($C129="",N(S129)&gt;0),"attendance marked but no blocks entered",IF(AND(N($C129)&gt;0,N(T129)=0),"no pay rate for this date - see Settings",IF(SUMPRODUCT((G129:R129&lt;&gt;"")*(G$5:R$5=""))&gt;0,"attendance in an empty worker slot",""))))))</f>
        <v/>
      </c>
      <c r="X129" s="133" t="n"/>
      <c r="Y129" s="125" t="n"/>
      <c r="Z129" s="126" t="n"/>
      <c r="AA129" s="126" t="n"/>
      <c r="AB129" s="126" t="n"/>
      <c r="AC129" s="126" t="n"/>
      <c r="AD129" s="126" t="n"/>
      <c r="AE129" s="126" t="n"/>
      <c r="AF129" s="126" t="n"/>
      <c r="AG129" s="126" t="n"/>
      <c r="AH129" s="126" t="n"/>
      <c r="AI129" s="126" t="n"/>
      <c r="AJ129" s="126" t="n"/>
      <c r="AK129" s="126" t="n"/>
      <c r="AL129" s="126" t="n"/>
      <c r="AM129" s="126" t="n"/>
    </row>
    <row r="130" ht="21" customFormat="1" customHeight="1" s="127">
      <c r="A130" s="250" t="n">
        <v>46388</v>
      </c>
      <c r="B130" s="63">
        <f>CHOOSE(WEEKDAY($A130,2),"Mon","Tue","Wed","Thu","Fri","Sat","Sun")</f>
        <v/>
      </c>
      <c r="C130" s="64" t="n"/>
      <c r="D130" s="64" t="n"/>
      <c r="E130" s="65">
        <f>IF($C130="","",$C130-N($D130))</f>
        <v/>
      </c>
      <c r="F130" s="65">
        <f>IF($C130="","",$C130-MAX(0,N($D130)-BreakAllow*$C130))</f>
        <v/>
      </c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1">
        <f>IF(COUNT(G130:R130)=0,"",SUM(G130:R130))</f>
        <v/>
      </c>
      <c r="T130" s="251">
        <f>IF($C130="","",IFERROR(INDEX(RateValues,MATCH(SUMPRODUCT(MAX((RateDates&lt;=$A130)*RateDates)),RateDates,0)),0))</f>
        <v/>
      </c>
      <c r="U130" s="252">
        <f>IF($C130="","",$F130*$T130)</f>
        <v/>
      </c>
      <c r="V130" s="253">
        <f>$A130-WEEKDAY($A130,2)+1</f>
        <v/>
      </c>
      <c r="W130" s="132">
        <f t="array" ref="W130">IF(AND($C130="",S130=""),"",IF(AND(N($C130)&gt;0,N(S130)=0),"nobody marked present",IF(N($D130)&gt;N($C130),"more broken than moulded",IF(AND($C130="",N(S130)&gt;0),"attendance marked but no blocks entered",IF(AND(N($C130)&gt;0,N(T130)=0),"no pay rate for this date - see Settings",IF(SUMPRODUCT((G130:R130&lt;&gt;"")*(G$5:R$5=""))&gt;0,"attendance in an empty worker slot",""))))))</f>
        <v/>
      </c>
      <c r="X130" s="133" t="n"/>
      <c r="Y130" s="125" t="n"/>
      <c r="Z130" s="126" t="n"/>
      <c r="AA130" s="126" t="n"/>
      <c r="AB130" s="126" t="n"/>
      <c r="AC130" s="126" t="n"/>
      <c r="AD130" s="126" t="n"/>
      <c r="AE130" s="126" t="n"/>
      <c r="AF130" s="126" t="n"/>
      <c r="AG130" s="126" t="n"/>
      <c r="AH130" s="126" t="n"/>
      <c r="AI130" s="126" t="n"/>
      <c r="AJ130" s="126" t="n"/>
      <c r="AK130" s="126" t="n"/>
      <c r="AL130" s="126" t="n"/>
      <c r="AM130" s="126" t="n"/>
    </row>
    <row r="131" ht="21" customFormat="1" customHeight="1" s="127">
      <c r="A131" s="250" t="n">
        <v>46389</v>
      </c>
      <c r="B131" s="63">
        <f>CHOOSE(WEEKDAY($A131,2),"Mon","Tue","Wed","Thu","Fri","Sat","Sun")</f>
        <v/>
      </c>
      <c r="C131" s="64" t="n"/>
      <c r="D131" s="64" t="n"/>
      <c r="E131" s="65">
        <f>IF($C131="","",$C131-N($D131))</f>
        <v/>
      </c>
      <c r="F131" s="65">
        <f>IF($C131="","",$C131-MAX(0,N($D131)-BreakAllow*$C131))</f>
        <v/>
      </c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1">
        <f>IF(COUNT(G131:R131)=0,"",SUM(G131:R131))</f>
        <v/>
      </c>
      <c r="T131" s="251">
        <f>IF($C131="","",IFERROR(INDEX(RateValues,MATCH(SUMPRODUCT(MAX((RateDates&lt;=$A131)*RateDates)),RateDates,0)),0))</f>
        <v/>
      </c>
      <c r="U131" s="252">
        <f>IF($C131="","",$F131*$T131)</f>
        <v/>
      </c>
      <c r="V131" s="253">
        <f>$A131-WEEKDAY($A131,2)+1</f>
        <v/>
      </c>
      <c r="W131" s="132">
        <f t="array" ref="W131">IF(AND($C131="",S131=""),"",IF(AND(N($C131)&gt;0,N(S131)=0),"nobody marked present",IF(N($D131)&gt;N($C131),"more broken than moulded",IF(AND($C131="",N(S131)&gt;0),"attendance marked but no blocks entered",IF(AND(N($C131)&gt;0,N(T131)=0),"no pay rate for this date - see Settings",IF(SUMPRODUCT((G131:R131&lt;&gt;"")*(G$5:R$5=""))&gt;0,"attendance in an empty worker slot",""))))))</f>
        <v/>
      </c>
      <c r="X131" s="133" t="n"/>
      <c r="Y131" s="125" t="n"/>
      <c r="Z131" s="126" t="n"/>
      <c r="AA131" s="126" t="n"/>
      <c r="AB131" s="126" t="n"/>
      <c r="AC131" s="126" t="n"/>
      <c r="AD131" s="126" t="n"/>
      <c r="AE131" s="126" t="n"/>
      <c r="AF131" s="126" t="n"/>
      <c r="AG131" s="126" t="n"/>
      <c r="AH131" s="126" t="n"/>
      <c r="AI131" s="126" t="n"/>
      <c r="AJ131" s="126" t="n"/>
      <c r="AK131" s="126" t="n"/>
      <c r="AL131" s="126" t="n"/>
      <c r="AM131" s="126" t="n"/>
    </row>
    <row r="132" ht="21" customFormat="1" customHeight="1" s="127">
      <c r="A132" s="254" t="n">
        <v>46390</v>
      </c>
      <c r="B132" s="70">
        <f>CHOOSE(WEEKDAY($A132,2),"Mon","Tue","Wed","Thu","Fri","Sat","Sun")</f>
        <v/>
      </c>
      <c r="C132" s="64" t="n"/>
      <c r="D132" s="64" t="n"/>
      <c r="E132" s="65">
        <f>IF($C132="","",$C132-N($D132))</f>
        <v/>
      </c>
      <c r="F132" s="65">
        <f>IF($C132="","",$C132-MAX(0,N($D132)-BreakAllow*$C132))</f>
        <v/>
      </c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1">
        <f>IF(COUNT(G132:R132)=0,"",SUM(G132:R132))</f>
        <v/>
      </c>
      <c r="T132" s="251">
        <f>IF($C132="","",IFERROR(INDEX(RateValues,MATCH(SUMPRODUCT(MAX((RateDates&lt;=$A132)*RateDates)),RateDates,0)),0))</f>
        <v/>
      </c>
      <c r="U132" s="252">
        <f>IF($C132="","",$F132*$T132)</f>
        <v/>
      </c>
      <c r="V132" s="253">
        <f>$A132-WEEKDAY($A132,2)+1</f>
        <v/>
      </c>
      <c r="W132" s="132">
        <f t="array" ref="W132">IF(AND($C132="",S132=""),"",IF(AND(N($C132)&gt;0,N(S132)=0),"nobody marked present",IF(N($D132)&gt;N($C132),"more broken than moulded",IF(AND($C132="",N(S132)&gt;0),"attendance marked but no blocks entered",IF(AND(N($C132)&gt;0,N(T132)=0),"no pay rate for this date - see Settings",IF(SUMPRODUCT((G132:R132&lt;&gt;"")*(G$5:R$5=""))&gt;0,"attendance in an empty worker slot",""))))))</f>
        <v/>
      </c>
      <c r="X132" s="133" t="n"/>
      <c r="Y132" s="125" t="n"/>
      <c r="Z132" s="126" t="n"/>
      <c r="AA132" s="126" t="n"/>
      <c r="AB132" s="126" t="n"/>
      <c r="AC132" s="126" t="n"/>
      <c r="AD132" s="126" t="n"/>
      <c r="AE132" s="126" t="n"/>
      <c r="AF132" s="126" t="n"/>
      <c r="AG132" s="126" t="n"/>
      <c r="AH132" s="126" t="n"/>
      <c r="AI132" s="126" t="n"/>
      <c r="AJ132" s="126" t="n"/>
      <c r="AK132" s="126" t="n"/>
      <c r="AL132" s="126" t="n"/>
      <c r="AM132" s="126" t="n"/>
    </row>
    <row r="133" ht="21" customFormat="1" customHeight="1" s="127">
      <c r="A133" s="250" t="n">
        <v>46391</v>
      </c>
      <c r="B133" s="63">
        <f>CHOOSE(WEEKDAY($A133,2),"Mon","Tue","Wed","Thu","Fri","Sat","Sun")</f>
        <v/>
      </c>
      <c r="C133" s="64" t="n"/>
      <c r="D133" s="64" t="n"/>
      <c r="E133" s="65">
        <f>IF($C133="","",$C133-N($D133))</f>
        <v/>
      </c>
      <c r="F133" s="65">
        <f>IF($C133="","",$C133-MAX(0,N($D133)-BreakAllow*$C133))</f>
        <v/>
      </c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1">
        <f>IF(COUNT(G133:R133)=0,"",SUM(G133:R133))</f>
        <v/>
      </c>
      <c r="T133" s="251">
        <f>IF($C133="","",IFERROR(INDEX(RateValues,MATCH(SUMPRODUCT(MAX((RateDates&lt;=$A133)*RateDates)),RateDates,0)),0))</f>
        <v/>
      </c>
      <c r="U133" s="252">
        <f>IF($C133="","",$F133*$T133)</f>
        <v/>
      </c>
      <c r="V133" s="253">
        <f>$A133-WEEKDAY($A133,2)+1</f>
        <v/>
      </c>
      <c r="W133" s="132">
        <f t="array" ref="W133">IF(AND($C133="",S133=""),"",IF(AND(N($C133)&gt;0,N(S133)=0),"nobody marked present",IF(N($D133)&gt;N($C133),"more broken than moulded",IF(AND($C133="",N(S133)&gt;0),"attendance marked but no blocks entered",IF(AND(N($C133)&gt;0,N(T133)=0),"no pay rate for this date - see Settings",IF(SUMPRODUCT((G133:R133&lt;&gt;"")*(G$5:R$5=""))&gt;0,"attendance in an empty worker slot",""))))))</f>
        <v/>
      </c>
      <c r="X133" s="133" t="n"/>
      <c r="Y133" s="125" t="n"/>
      <c r="Z133" s="126" t="n"/>
      <c r="AA133" s="126" t="n"/>
      <c r="AB133" s="126" t="n"/>
      <c r="AC133" s="126" t="n"/>
      <c r="AD133" s="126" t="n"/>
      <c r="AE133" s="126" t="n"/>
      <c r="AF133" s="126" t="n"/>
      <c r="AG133" s="126" t="n"/>
      <c r="AH133" s="126" t="n"/>
      <c r="AI133" s="126" t="n"/>
      <c r="AJ133" s="126" t="n"/>
      <c r="AK133" s="126" t="n"/>
      <c r="AL133" s="126" t="n"/>
      <c r="AM133" s="126" t="n"/>
    </row>
    <row r="134" ht="21" customFormat="1" customHeight="1" s="127">
      <c r="A134" s="250" t="n">
        <v>46392</v>
      </c>
      <c r="B134" s="63">
        <f>CHOOSE(WEEKDAY($A134,2),"Mon","Tue","Wed","Thu","Fri","Sat","Sun")</f>
        <v/>
      </c>
      <c r="C134" s="64" t="n"/>
      <c r="D134" s="64" t="n"/>
      <c r="E134" s="65">
        <f>IF($C134="","",$C134-N($D134))</f>
        <v/>
      </c>
      <c r="F134" s="65">
        <f>IF($C134="","",$C134-MAX(0,N($D134)-BreakAllow*$C134))</f>
        <v/>
      </c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1">
        <f>IF(COUNT(G134:R134)=0,"",SUM(G134:R134))</f>
        <v/>
      </c>
      <c r="T134" s="251">
        <f>IF($C134="","",IFERROR(INDEX(RateValues,MATCH(SUMPRODUCT(MAX((RateDates&lt;=$A134)*RateDates)),RateDates,0)),0))</f>
        <v/>
      </c>
      <c r="U134" s="252">
        <f>IF($C134="","",$F134*$T134)</f>
        <v/>
      </c>
      <c r="V134" s="253">
        <f>$A134-WEEKDAY($A134,2)+1</f>
        <v/>
      </c>
      <c r="W134" s="132">
        <f t="array" ref="W134">IF(AND($C134="",S134=""),"",IF(AND(N($C134)&gt;0,N(S134)=0),"nobody marked present",IF(N($D134)&gt;N($C134),"more broken than moulded",IF(AND($C134="",N(S134)&gt;0),"attendance marked but no blocks entered",IF(AND(N($C134)&gt;0,N(T134)=0),"no pay rate for this date - see Settings",IF(SUMPRODUCT((G134:R134&lt;&gt;"")*(G$5:R$5=""))&gt;0,"attendance in an empty worker slot",""))))))</f>
        <v/>
      </c>
      <c r="X134" s="133" t="n"/>
      <c r="Y134" s="125" t="n"/>
      <c r="Z134" s="126" t="n"/>
      <c r="AA134" s="126" t="n"/>
      <c r="AB134" s="126" t="n"/>
      <c r="AC134" s="126" t="n"/>
      <c r="AD134" s="126" t="n"/>
      <c r="AE134" s="126" t="n"/>
      <c r="AF134" s="126" t="n"/>
      <c r="AG134" s="126" t="n"/>
      <c r="AH134" s="126" t="n"/>
      <c r="AI134" s="126" t="n"/>
      <c r="AJ134" s="126" t="n"/>
      <c r="AK134" s="126" t="n"/>
      <c r="AL134" s="126" t="n"/>
      <c r="AM134" s="126" t="n"/>
    </row>
    <row r="135" ht="21" customFormat="1" customHeight="1" s="127">
      <c r="A135" s="250" t="n">
        <v>46393</v>
      </c>
      <c r="B135" s="63">
        <f>CHOOSE(WEEKDAY($A135,2),"Mon","Tue","Wed","Thu","Fri","Sat","Sun")</f>
        <v/>
      </c>
      <c r="C135" s="64" t="n"/>
      <c r="D135" s="64" t="n"/>
      <c r="E135" s="65">
        <f>IF($C135="","",$C135-N($D135))</f>
        <v/>
      </c>
      <c r="F135" s="65">
        <f>IF($C135="","",$C135-MAX(0,N($D135)-BreakAllow*$C135))</f>
        <v/>
      </c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1">
        <f>IF(COUNT(G135:R135)=0,"",SUM(G135:R135))</f>
        <v/>
      </c>
      <c r="T135" s="251">
        <f>IF($C135="","",IFERROR(INDEX(RateValues,MATCH(SUMPRODUCT(MAX((RateDates&lt;=$A135)*RateDates)),RateDates,0)),0))</f>
        <v/>
      </c>
      <c r="U135" s="252">
        <f>IF($C135="","",$F135*$T135)</f>
        <v/>
      </c>
      <c r="V135" s="253">
        <f>$A135-WEEKDAY($A135,2)+1</f>
        <v/>
      </c>
      <c r="W135" s="132">
        <f t="array" ref="W135">IF(AND($C135="",S135=""),"",IF(AND(N($C135)&gt;0,N(S135)=0),"nobody marked present",IF(N($D135)&gt;N($C135),"more broken than moulded",IF(AND($C135="",N(S135)&gt;0),"attendance marked but no blocks entered",IF(AND(N($C135)&gt;0,N(T135)=0),"no pay rate for this date - see Settings",IF(SUMPRODUCT((G135:R135&lt;&gt;"")*(G$5:R$5=""))&gt;0,"attendance in an empty worker slot",""))))))</f>
        <v/>
      </c>
      <c r="X135" s="133" t="n"/>
      <c r="Y135" s="125" t="n"/>
      <c r="Z135" s="126" t="n"/>
      <c r="AA135" s="126" t="n"/>
      <c r="AB135" s="126" t="n"/>
      <c r="AC135" s="126" t="n"/>
      <c r="AD135" s="126" t="n"/>
      <c r="AE135" s="126" t="n"/>
      <c r="AF135" s="126" t="n"/>
      <c r="AG135" s="126" t="n"/>
      <c r="AH135" s="126" t="n"/>
      <c r="AI135" s="126" t="n"/>
      <c r="AJ135" s="126" t="n"/>
      <c r="AK135" s="126" t="n"/>
      <c r="AL135" s="126" t="n"/>
      <c r="AM135" s="126" t="n"/>
    </row>
    <row r="136" ht="21" customFormat="1" customHeight="1" s="127">
      <c r="A136" s="250" t="n">
        <v>46394</v>
      </c>
      <c r="B136" s="63">
        <f>CHOOSE(WEEKDAY($A136,2),"Mon","Tue","Wed","Thu","Fri","Sat","Sun")</f>
        <v/>
      </c>
      <c r="C136" s="64" t="n"/>
      <c r="D136" s="64" t="n"/>
      <c r="E136" s="65">
        <f>IF($C136="","",$C136-N($D136))</f>
        <v/>
      </c>
      <c r="F136" s="65">
        <f>IF($C136="","",$C136-MAX(0,N($D136)-BreakAllow*$C136))</f>
        <v/>
      </c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1">
        <f>IF(COUNT(G136:R136)=0,"",SUM(G136:R136))</f>
        <v/>
      </c>
      <c r="T136" s="251">
        <f>IF($C136="","",IFERROR(INDEX(RateValues,MATCH(SUMPRODUCT(MAX((RateDates&lt;=$A136)*RateDates)),RateDates,0)),0))</f>
        <v/>
      </c>
      <c r="U136" s="252">
        <f>IF($C136="","",$F136*$T136)</f>
        <v/>
      </c>
      <c r="V136" s="253">
        <f>$A136-WEEKDAY($A136,2)+1</f>
        <v/>
      </c>
      <c r="W136" s="132">
        <f t="array" ref="W136">IF(AND($C136="",S136=""),"",IF(AND(N($C136)&gt;0,N(S136)=0),"nobody marked present",IF(N($D136)&gt;N($C136),"more broken than moulded",IF(AND($C136="",N(S136)&gt;0),"attendance marked but no blocks entered",IF(AND(N($C136)&gt;0,N(T136)=0),"no pay rate for this date - see Settings",IF(SUMPRODUCT((G136:R136&lt;&gt;"")*(G$5:R$5=""))&gt;0,"attendance in an empty worker slot",""))))))</f>
        <v/>
      </c>
      <c r="X136" s="133" t="n"/>
      <c r="Y136" s="125" t="n"/>
      <c r="Z136" s="126" t="n"/>
      <c r="AA136" s="126" t="n"/>
      <c r="AB136" s="126" t="n"/>
      <c r="AC136" s="126" t="n"/>
      <c r="AD136" s="126" t="n"/>
      <c r="AE136" s="126" t="n"/>
      <c r="AF136" s="126" t="n"/>
      <c r="AG136" s="126" t="n"/>
      <c r="AH136" s="126" t="n"/>
      <c r="AI136" s="126" t="n"/>
      <c r="AJ136" s="126" t="n"/>
      <c r="AK136" s="126" t="n"/>
      <c r="AL136" s="126" t="n"/>
      <c r="AM136" s="126" t="n"/>
    </row>
    <row r="137" ht="21" customFormat="1" customHeight="1" s="127">
      <c r="A137" s="250" t="n">
        <v>46395</v>
      </c>
      <c r="B137" s="63">
        <f>CHOOSE(WEEKDAY($A137,2),"Mon","Tue","Wed","Thu","Fri","Sat","Sun")</f>
        <v/>
      </c>
      <c r="C137" s="64" t="n"/>
      <c r="D137" s="64" t="n"/>
      <c r="E137" s="65">
        <f>IF($C137="","",$C137-N($D137))</f>
        <v/>
      </c>
      <c r="F137" s="65">
        <f>IF($C137="","",$C137-MAX(0,N($D137)-BreakAllow*$C137))</f>
        <v/>
      </c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1">
        <f>IF(COUNT(G137:R137)=0,"",SUM(G137:R137))</f>
        <v/>
      </c>
      <c r="T137" s="251">
        <f>IF($C137="","",IFERROR(INDEX(RateValues,MATCH(SUMPRODUCT(MAX((RateDates&lt;=$A137)*RateDates)),RateDates,0)),0))</f>
        <v/>
      </c>
      <c r="U137" s="252">
        <f>IF($C137="","",$F137*$T137)</f>
        <v/>
      </c>
      <c r="V137" s="253">
        <f>$A137-WEEKDAY($A137,2)+1</f>
        <v/>
      </c>
      <c r="W137" s="132">
        <f t="array" ref="W137">IF(AND($C137="",S137=""),"",IF(AND(N($C137)&gt;0,N(S137)=0),"nobody marked present",IF(N($D137)&gt;N($C137),"more broken than moulded",IF(AND($C137="",N(S137)&gt;0),"attendance marked but no blocks entered",IF(AND(N($C137)&gt;0,N(T137)=0),"no pay rate for this date - see Settings",IF(SUMPRODUCT((G137:R137&lt;&gt;"")*(G$5:R$5=""))&gt;0,"attendance in an empty worker slot",""))))))</f>
        <v/>
      </c>
      <c r="X137" s="133" t="n"/>
      <c r="Y137" s="125" t="n"/>
      <c r="Z137" s="126" t="n"/>
      <c r="AA137" s="126" t="n"/>
      <c r="AB137" s="126" t="n"/>
      <c r="AC137" s="126" t="n"/>
      <c r="AD137" s="126" t="n"/>
      <c r="AE137" s="126" t="n"/>
      <c r="AF137" s="126" t="n"/>
      <c r="AG137" s="126" t="n"/>
      <c r="AH137" s="126" t="n"/>
      <c r="AI137" s="126" t="n"/>
      <c r="AJ137" s="126" t="n"/>
      <c r="AK137" s="126" t="n"/>
      <c r="AL137" s="126" t="n"/>
      <c r="AM137" s="126" t="n"/>
    </row>
    <row r="138" ht="21" customFormat="1" customHeight="1" s="127">
      <c r="A138" s="250" t="n">
        <v>46396</v>
      </c>
      <c r="B138" s="63">
        <f>CHOOSE(WEEKDAY($A138,2),"Mon","Tue","Wed","Thu","Fri","Sat","Sun")</f>
        <v/>
      </c>
      <c r="C138" s="64" t="n"/>
      <c r="D138" s="64" t="n"/>
      <c r="E138" s="65">
        <f>IF($C138="","",$C138-N($D138))</f>
        <v/>
      </c>
      <c r="F138" s="65">
        <f>IF($C138="","",$C138-MAX(0,N($D138)-BreakAllow*$C138))</f>
        <v/>
      </c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1">
        <f>IF(COUNT(G138:R138)=0,"",SUM(G138:R138))</f>
        <v/>
      </c>
      <c r="T138" s="251">
        <f>IF($C138="","",IFERROR(INDEX(RateValues,MATCH(SUMPRODUCT(MAX((RateDates&lt;=$A138)*RateDates)),RateDates,0)),0))</f>
        <v/>
      </c>
      <c r="U138" s="252">
        <f>IF($C138="","",$F138*$T138)</f>
        <v/>
      </c>
      <c r="V138" s="253">
        <f>$A138-WEEKDAY($A138,2)+1</f>
        <v/>
      </c>
      <c r="W138" s="132">
        <f t="array" ref="W138">IF(AND($C138="",S138=""),"",IF(AND(N($C138)&gt;0,N(S138)=0),"nobody marked present",IF(N($D138)&gt;N($C138),"more broken than moulded",IF(AND($C138="",N(S138)&gt;0),"attendance marked but no blocks entered",IF(AND(N($C138)&gt;0,N(T138)=0),"no pay rate for this date - see Settings",IF(SUMPRODUCT((G138:R138&lt;&gt;"")*(G$5:R$5=""))&gt;0,"attendance in an empty worker slot",""))))))</f>
        <v/>
      </c>
      <c r="X138" s="133" t="n"/>
      <c r="Y138" s="125" t="n"/>
      <c r="Z138" s="126" t="n"/>
      <c r="AA138" s="126" t="n"/>
      <c r="AB138" s="126" t="n"/>
      <c r="AC138" s="126" t="n"/>
      <c r="AD138" s="126" t="n"/>
      <c r="AE138" s="126" t="n"/>
      <c r="AF138" s="126" t="n"/>
      <c r="AG138" s="126" t="n"/>
      <c r="AH138" s="126" t="n"/>
      <c r="AI138" s="126" t="n"/>
      <c r="AJ138" s="126" t="n"/>
      <c r="AK138" s="126" t="n"/>
      <c r="AL138" s="126" t="n"/>
      <c r="AM138" s="126" t="n"/>
    </row>
    <row r="139" ht="21" customFormat="1" customHeight="1" s="127">
      <c r="A139" s="254" t="n">
        <v>46397</v>
      </c>
      <c r="B139" s="70">
        <f>CHOOSE(WEEKDAY($A139,2),"Mon","Tue","Wed","Thu","Fri","Sat","Sun")</f>
        <v/>
      </c>
      <c r="C139" s="64" t="n"/>
      <c r="D139" s="64" t="n"/>
      <c r="E139" s="65">
        <f>IF($C139="","",$C139-N($D139))</f>
        <v/>
      </c>
      <c r="F139" s="65">
        <f>IF($C139="","",$C139-MAX(0,N($D139)-BreakAllow*$C139))</f>
        <v/>
      </c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1">
        <f>IF(COUNT(G139:R139)=0,"",SUM(G139:R139))</f>
        <v/>
      </c>
      <c r="T139" s="251">
        <f>IF($C139="","",IFERROR(INDEX(RateValues,MATCH(SUMPRODUCT(MAX((RateDates&lt;=$A139)*RateDates)),RateDates,0)),0))</f>
        <v/>
      </c>
      <c r="U139" s="252">
        <f>IF($C139="","",$F139*$T139)</f>
        <v/>
      </c>
      <c r="V139" s="253">
        <f>$A139-WEEKDAY($A139,2)+1</f>
        <v/>
      </c>
      <c r="W139" s="132">
        <f t="array" ref="W139">IF(AND($C139="",S139=""),"",IF(AND(N($C139)&gt;0,N(S139)=0),"nobody marked present",IF(N($D139)&gt;N($C139),"more broken than moulded",IF(AND($C139="",N(S139)&gt;0),"attendance marked but no blocks entered",IF(AND(N($C139)&gt;0,N(T139)=0),"no pay rate for this date - see Settings",IF(SUMPRODUCT((G139:R139&lt;&gt;"")*(G$5:R$5=""))&gt;0,"attendance in an empty worker slot",""))))))</f>
        <v/>
      </c>
      <c r="X139" s="133" t="n"/>
      <c r="Y139" s="125" t="n"/>
      <c r="Z139" s="126" t="n"/>
      <c r="AA139" s="126" t="n"/>
      <c r="AB139" s="126" t="n"/>
      <c r="AC139" s="126" t="n"/>
      <c r="AD139" s="126" t="n"/>
      <c r="AE139" s="126" t="n"/>
      <c r="AF139" s="126" t="n"/>
      <c r="AG139" s="126" t="n"/>
      <c r="AH139" s="126" t="n"/>
      <c r="AI139" s="126" t="n"/>
      <c r="AJ139" s="126" t="n"/>
      <c r="AK139" s="126" t="n"/>
      <c r="AL139" s="126" t="n"/>
      <c r="AM139" s="126" t="n"/>
    </row>
    <row r="140" ht="21" customFormat="1" customHeight="1" s="127">
      <c r="A140" s="250" t="n">
        <v>46398</v>
      </c>
      <c r="B140" s="63">
        <f>CHOOSE(WEEKDAY($A140,2),"Mon","Tue","Wed","Thu","Fri","Sat","Sun")</f>
        <v/>
      </c>
      <c r="C140" s="64" t="n"/>
      <c r="D140" s="64" t="n"/>
      <c r="E140" s="65">
        <f>IF($C140="","",$C140-N($D140))</f>
        <v/>
      </c>
      <c r="F140" s="65">
        <f>IF($C140="","",$C140-MAX(0,N($D140)-BreakAllow*$C140))</f>
        <v/>
      </c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1">
        <f>IF(COUNT(G140:R140)=0,"",SUM(G140:R140))</f>
        <v/>
      </c>
      <c r="T140" s="251">
        <f>IF($C140="","",IFERROR(INDEX(RateValues,MATCH(SUMPRODUCT(MAX((RateDates&lt;=$A140)*RateDates)),RateDates,0)),0))</f>
        <v/>
      </c>
      <c r="U140" s="252">
        <f>IF($C140="","",$F140*$T140)</f>
        <v/>
      </c>
      <c r="V140" s="253">
        <f>$A140-WEEKDAY($A140,2)+1</f>
        <v/>
      </c>
      <c r="W140" s="132">
        <f t="array" ref="W140">IF(AND($C140="",S140=""),"",IF(AND(N($C140)&gt;0,N(S140)=0),"nobody marked present",IF(N($D140)&gt;N($C140),"more broken than moulded",IF(AND($C140="",N(S140)&gt;0),"attendance marked but no blocks entered",IF(AND(N($C140)&gt;0,N(T140)=0),"no pay rate for this date - see Settings",IF(SUMPRODUCT((G140:R140&lt;&gt;"")*(G$5:R$5=""))&gt;0,"attendance in an empty worker slot",""))))))</f>
        <v/>
      </c>
      <c r="X140" s="133" t="n"/>
      <c r="Y140" s="125" t="n"/>
      <c r="Z140" s="126" t="n"/>
      <c r="AA140" s="126" t="n"/>
      <c r="AB140" s="126" t="n"/>
      <c r="AC140" s="126" t="n"/>
      <c r="AD140" s="126" t="n"/>
      <c r="AE140" s="126" t="n"/>
      <c r="AF140" s="126" t="n"/>
      <c r="AG140" s="126" t="n"/>
      <c r="AH140" s="126" t="n"/>
      <c r="AI140" s="126" t="n"/>
      <c r="AJ140" s="126" t="n"/>
      <c r="AK140" s="126" t="n"/>
      <c r="AL140" s="126" t="n"/>
      <c r="AM140" s="126" t="n"/>
    </row>
    <row r="141" ht="21" customFormat="1" customHeight="1" s="127">
      <c r="A141" s="250" t="n">
        <v>46399</v>
      </c>
      <c r="B141" s="63">
        <f>CHOOSE(WEEKDAY($A141,2),"Mon","Tue","Wed","Thu","Fri","Sat","Sun")</f>
        <v/>
      </c>
      <c r="C141" s="64" t="n"/>
      <c r="D141" s="64" t="n"/>
      <c r="E141" s="65">
        <f>IF($C141="","",$C141-N($D141))</f>
        <v/>
      </c>
      <c r="F141" s="65">
        <f>IF($C141="","",$C141-MAX(0,N($D141)-BreakAllow*$C141))</f>
        <v/>
      </c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1">
        <f>IF(COUNT(G141:R141)=0,"",SUM(G141:R141))</f>
        <v/>
      </c>
      <c r="T141" s="251">
        <f>IF($C141="","",IFERROR(INDEX(RateValues,MATCH(SUMPRODUCT(MAX((RateDates&lt;=$A141)*RateDates)),RateDates,0)),0))</f>
        <v/>
      </c>
      <c r="U141" s="252">
        <f>IF($C141="","",$F141*$T141)</f>
        <v/>
      </c>
      <c r="V141" s="253">
        <f>$A141-WEEKDAY($A141,2)+1</f>
        <v/>
      </c>
      <c r="W141" s="132">
        <f t="array" ref="W141">IF(AND($C141="",S141=""),"",IF(AND(N($C141)&gt;0,N(S141)=0),"nobody marked present",IF(N($D141)&gt;N($C141),"more broken than moulded",IF(AND($C141="",N(S141)&gt;0),"attendance marked but no blocks entered",IF(AND(N($C141)&gt;0,N(T141)=0),"no pay rate for this date - see Settings",IF(SUMPRODUCT((G141:R141&lt;&gt;"")*(G$5:R$5=""))&gt;0,"attendance in an empty worker slot",""))))))</f>
        <v/>
      </c>
      <c r="X141" s="133" t="n"/>
      <c r="Y141" s="125" t="n"/>
      <c r="Z141" s="126" t="n"/>
      <c r="AA141" s="126" t="n"/>
      <c r="AB141" s="126" t="n"/>
      <c r="AC141" s="126" t="n"/>
      <c r="AD141" s="126" t="n"/>
      <c r="AE141" s="126" t="n"/>
      <c r="AF141" s="126" t="n"/>
      <c r="AG141" s="126" t="n"/>
      <c r="AH141" s="126" t="n"/>
      <c r="AI141" s="126" t="n"/>
      <c r="AJ141" s="126" t="n"/>
      <c r="AK141" s="126" t="n"/>
      <c r="AL141" s="126" t="n"/>
      <c r="AM141" s="126" t="n"/>
    </row>
    <row r="142" ht="21" customFormat="1" customHeight="1" s="127">
      <c r="A142" s="250" t="n">
        <v>46400</v>
      </c>
      <c r="B142" s="63">
        <f>CHOOSE(WEEKDAY($A142,2),"Mon","Tue","Wed","Thu","Fri","Sat","Sun")</f>
        <v/>
      </c>
      <c r="C142" s="64" t="n"/>
      <c r="D142" s="64" t="n"/>
      <c r="E142" s="65">
        <f>IF($C142="","",$C142-N($D142))</f>
        <v/>
      </c>
      <c r="F142" s="65">
        <f>IF($C142="","",$C142-MAX(0,N($D142)-BreakAllow*$C142))</f>
        <v/>
      </c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1">
        <f>IF(COUNT(G142:R142)=0,"",SUM(G142:R142))</f>
        <v/>
      </c>
      <c r="T142" s="251">
        <f>IF($C142="","",IFERROR(INDEX(RateValues,MATCH(SUMPRODUCT(MAX((RateDates&lt;=$A142)*RateDates)),RateDates,0)),0))</f>
        <v/>
      </c>
      <c r="U142" s="252">
        <f>IF($C142="","",$F142*$T142)</f>
        <v/>
      </c>
      <c r="V142" s="253">
        <f>$A142-WEEKDAY($A142,2)+1</f>
        <v/>
      </c>
      <c r="W142" s="132">
        <f t="array" ref="W142">IF(AND($C142="",S142=""),"",IF(AND(N($C142)&gt;0,N(S142)=0),"nobody marked present",IF(N($D142)&gt;N($C142),"more broken than moulded",IF(AND($C142="",N(S142)&gt;0),"attendance marked but no blocks entered",IF(AND(N($C142)&gt;0,N(T142)=0),"no pay rate for this date - see Settings",IF(SUMPRODUCT((G142:R142&lt;&gt;"")*(G$5:R$5=""))&gt;0,"attendance in an empty worker slot",""))))))</f>
        <v/>
      </c>
      <c r="X142" s="133" t="n"/>
      <c r="Y142" s="125" t="n"/>
      <c r="Z142" s="126" t="n"/>
      <c r="AA142" s="126" t="n"/>
      <c r="AB142" s="126" t="n"/>
      <c r="AC142" s="126" t="n"/>
      <c r="AD142" s="126" t="n"/>
      <c r="AE142" s="126" t="n"/>
      <c r="AF142" s="126" t="n"/>
      <c r="AG142" s="126" t="n"/>
      <c r="AH142" s="126" t="n"/>
      <c r="AI142" s="126" t="n"/>
      <c r="AJ142" s="126" t="n"/>
      <c r="AK142" s="126" t="n"/>
      <c r="AL142" s="126" t="n"/>
      <c r="AM142" s="126" t="n"/>
    </row>
    <row r="143" ht="21" customFormat="1" customHeight="1" s="127">
      <c r="A143" s="250" t="n">
        <v>46401</v>
      </c>
      <c r="B143" s="63">
        <f>CHOOSE(WEEKDAY($A143,2),"Mon","Tue","Wed","Thu","Fri","Sat","Sun")</f>
        <v/>
      </c>
      <c r="C143" s="64" t="n"/>
      <c r="D143" s="64" t="n"/>
      <c r="E143" s="65">
        <f>IF($C143="","",$C143-N($D143))</f>
        <v/>
      </c>
      <c r="F143" s="65">
        <f>IF($C143="","",$C143-MAX(0,N($D143)-BreakAllow*$C143))</f>
        <v/>
      </c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1">
        <f>IF(COUNT(G143:R143)=0,"",SUM(G143:R143))</f>
        <v/>
      </c>
      <c r="T143" s="251">
        <f>IF($C143="","",IFERROR(INDEX(RateValues,MATCH(SUMPRODUCT(MAX((RateDates&lt;=$A143)*RateDates)),RateDates,0)),0))</f>
        <v/>
      </c>
      <c r="U143" s="252">
        <f>IF($C143="","",$F143*$T143)</f>
        <v/>
      </c>
      <c r="V143" s="253">
        <f>$A143-WEEKDAY($A143,2)+1</f>
        <v/>
      </c>
      <c r="W143" s="132">
        <f t="array" ref="W143">IF(AND($C143="",S143=""),"",IF(AND(N($C143)&gt;0,N(S143)=0),"nobody marked present",IF(N($D143)&gt;N($C143),"more broken than moulded",IF(AND($C143="",N(S143)&gt;0),"attendance marked but no blocks entered",IF(AND(N($C143)&gt;0,N(T143)=0),"no pay rate for this date - see Settings",IF(SUMPRODUCT((G143:R143&lt;&gt;"")*(G$5:R$5=""))&gt;0,"attendance in an empty worker slot",""))))))</f>
        <v/>
      </c>
      <c r="X143" s="133" t="n"/>
      <c r="Y143" s="125" t="n"/>
      <c r="Z143" s="126" t="n"/>
      <c r="AA143" s="126" t="n"/>
      <c r="AB143" s="126" t="n"/>
      <c r="AC143" s="126" t="n"/>
      <c r="AD143" s="126" t="n"/>
      <c r="AE143" s="126" t="n"/>
      <c r="AF143" s="126" t="n"/>
      <c r="AG143" s="126" t="n"/>
      <c r="AH143" s="126" t="n"/>
      <c r="AI143" s="126" t="n"/>
      <c r="AJ143" s="126" t="n"/>
      <c r="AK143" s="126" t="n"/>
      <c r="AL143" s="126" t="n"/>
      <c r="AM143" s="126" t="n"/>
    </row>
    <row r="144" ht="21" customFormat="1" customHeight="1" s="127">
      <c r="A144" s="250" t="n">
        <v>46402</v>
      </c>
      <c r="B144" s="63">
        <f>CHOOSE(WEEKDAY($A144,2),"Mon","Tue","Wed","Thu","Fri","Sat","Sun")</f>
        <v/>
      </c>
      <c r="C144" s="64" t="n"/>
      <c r="D144" s="64" t="n"/>
      <c r="E144" s="65">
        <f>IF($C144="","",$C144-N($D144))</f>
        <v/>
      </c>
      <c r="F144" s="65">
        <f>IF($C144="","",$C144-MAX(0,N($D144)-BreakAllow*$C144))</f>
        <v/>
      </c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1">
        <f>IF(COUNT(G144:R144)=0,"",SUM(G144:R144))</f>
        <v/>
      </c>
      <c r="T144" s="251">
        <f>IF($C144="","",IFERROR(INDEX(RateValues,MATCH(SUMPRODUCT(MAX((RateDates&lt;=$A144)*RateDates)),RateDates,0)),0))</f>
        <v/>
      </c>
      <c r="U144" s="252">
        <f>IF($C144="","",$F144*$T144)</f>
        <v/>
      </c>
      <c r="V144" s="253">
        <f>$A144-WEEKDAY($A144,2)+1</f>
        <v/>
      </c>
      <c r="W144" s="132">
        <f t="array" ref="W144">IF(AND($C144="",S144=""),"",IF(AND(N($C144)&gt;0,N(S144)=0),"nobody marked present",IF(N($D144)&gt;N($C144),"more broken than moulded",IF(AND($C144="",N(S144)&gt;0),"attendance marked but no blocks entered",IF(AND(N($C144)&gt;0,N(T144)=0),"no pay rate for this date - see Settings",IF(SUMPRODUCT((G144:R144&lt;&gt;"")*(G$5:R$5=""))&gt;0,"attendance in an empty worker slot",""))))))</f>
        <v/>
      </c>
      <c r="X144" s="133" t="n"/>
      <c r="Y144" s="125" t="n"/>
      <c r="Z144" s="126" t="n"/>
      <c r="AA144" s="126" t="n"/>
      <c r="AB144" s="126" t="n"/>
      <c r="AC144" s="126" t="n"/>
      <c r="AD144" s="126" t="n"/>
      <c r="AE144" s="126" t="n"/>
      <c r="AF144" s="126" t="n"/>
      <c r="AG144" s="126" t="n"/>
      <c r="AH144" s="126" t="n"/>
      <c r="AI144" s="126" t="n"/>
      <c r="AJ144" s="126" t="n"/>
      <c r="AK144" s="126" t="n"/>
      <c r="AL144" s="126" t="n"/>
      <c r="AM144" s="126" t="n"/>
    </row>
    <row r="145" ht="21" customFormat="1" customHeight="1" s="127">
      <c r="A145" s="250" t="n">
        <v>46403</v>
      </c>
      <c r="B145" s="63">
        <f>CHOOSE(WEEKDAY($A145,2),"Mon","Tue","Wed","Thu","Fri","Sat","Sun")</f>
        <v/>
      </c>
      <c r="C145" s="64" t="n"/>
      <c r="D145" s="64" t="n"/>
      <c r="E145" s="65">
        <f>IF($C145="","",$C145-N($D145))</f>
        <v/>
      </c>
      <c r="F145" s="65">
        <f>IF($C145="","",$C145-MAX(0,N($D145)-BreakAllow*$C145))</f>
        <v/>
      </c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1">
        <f>IF(COUNT(G145:R145)=0,"",SUM(G145:R145))</f>
        <v/>
      </c>
      <c r="T145" s="251">
        <f>IF($C145="","",IFERROR(INDEX(RateValues,MATCH(SUMPRODUCT(MAX((RateDates&lt;=$A145)*RateDates)),RateDates,0)),0))</f>
        <v/>
      </c>
      <c r="U145" s="252">
        <f>IF($C145="","",$F145*$T145)</f>
        <v/>
      </c>
      <c r="V145" s="253">
        <f>$A145-WEEKDAY($A145,2)+1</f>
        <v/>
      </c>
      <c r="W145" s="132">
        <f t="array" ref="W145">IF(AND($C145="",S145=""),"",IF(AND(N($C145)&gt;0,N(S145)=0),"nobody marked present",IF(N($D145)&gt;N($C145),"more broken than moulded",IF(AND($C145="",N(S145)&gt;0),"attendance marked but no blocks entered",IF(AND(N($C145)&gt;0,N(T145)=0),"no pay rate for this date - see Settings",IF(SUMPRODUCT((G145:R145&lt;&gt;"")*(G$5:R$5=""))&gt;0,"attendance in an empty worker slot",""))))))</f>
        <v/>
      </c>
      <c r="X145" s="133" t="n"/>
      <c r="Y145" s="125" t="n"/>
      <c r="Z145" s="126" t="n"/>
      <c r="AA145" s="126" t="n"/>
      <c r="AB145" s="126" t="n"/>
      <c r="AC145" s="126" t="n"/>
      <c r="AD145" s="126" t="n"/>
      <c r="AE145" s="126" t="n"/>
      <c r="AF145" s="126" t="n"/>
      <c r="AG145" s="126" t="n"/>
      <c r="AH145" s="126" t="n"/>
      <c r="AI145" s="126" t="n"/>
      <c r="AJ145" s="126" t="n"/>
      <c r="AK145" s="126" t="n"/>
      <c r="AL145" s="126" t="n"/>
      <c r="AM145" s="126" t="n"/>
    </row>
    <row r="146" ht="21" customFormat="1" customHeight="1" s="127">
      <c r="A146" s="254" t="n">
        <v>46404</v>
      </c>
      <c r="B146" s="70">
        <f>CHOOSE(WEEKDAY($A146,2),"Mon","Tue","Wed","Thu","Fri","Sat","Sun")</f>
        <v/>
      </c>
      <c r="C146" s="64" t="n"/>
      <c r="D146" s="64" t="n"/>
      <c r="E146" s="65">
        <f>IF($C146="","",$C146-N($D146))</f>
        <v/>
      </c>
      <c r="F146" s="65">
        <f>IF($C146="","",$C146-MAX(0,N($D146)-BreakAllow*$C146))</f>
        <v/>
      </c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1">
        <f>IF(COUNT(G146:R146)=0,"",SUM(G146:R146))</f>
        <v/>
      </c>
      <c r="T146" s="251">
        <f>IF($C146="","",IFERROR(INDEX(RateValues,MATCH(SUMPRODUCT(MAX((RateDates&lt;=$A146)*RateDates)),RateDates,0)),0))</f>
        <v/>
      </c>
      <c r="U146" s="252">
        <f>IF($C146="","",$F146*$T146)</f>
        <v/>
      </c>
      <c r="V146" s="253">
        <f>$A146-WEEKDAY($A146,2)+1</f>
        <v/>
      </c>
      <c r="W146" s="132">
        <f t="array" ref="W146">IF(AND($C146="",S146=""),"",IF(AND(N($C146)&gt;0,N(S146)=0),"nobody marked present",IF(N($D146)&gt;N($C146),"more broken than moulded",IF(AND($C146="",N(S146)&gt;0),"attendance marked but no blocks entered",IF(AND(N($C146)&gt;0,N(T146)=0),"no pay rate for this date - see Settings",IF(SUMPRODUCT((G146:R146&lt;&gt;"")*(G$5:R$5=""))&gt;0,"attendance in an empty worker slot",""))))))</f>
        <v/>
      </c>
      <c r="X146" s="133" t="n"/>
      <c r="Y146" s="125" t="n"/>
      <c r="Z146" s="126" t="n"/>
      <c r="AA146" s="126" t="n"/>
      <c r="AB146" s="126" t="n"/>
      <c r="AC146" s="126" t="n"/>
      <c r="AD146" s="126" t="n"/>
      <c r="AE146" s="126" t="n"/>
      <c r="AF146" s="126" t="n"/>
      <c r="AG146" s="126" t="n"/>
      <c r="AH146" s="126" t="n"/>
      <c r="AI146" s="126" t="n"/>
      <c r="AJ146" s="126" t="n"/>
      <c r="AK146" s="126" t="n"/>
      <c r="AL146" s="126" t="n"/>
      <c r="AM146" s="126" t="n"/>
    </row>
    <row r="147" ht="21" customFormat="1" customHeight="1" s="127">
      <c r="A147" s="250" t="n">
        <v>46405</v>
      </c>
      <c r="B147" s="63">
        <f>CHOOSE(WEEKDAY($A147,2),"Mon","Tue","Wed","Thu","Fri","Sat","Sun")</f>
        <v/>
      </c>
      <c r="C147" s="64" t="n"/>
      <c r="D147" s="64" t="n"/>
      <c r="E147" s="65">
        <f>IF($C147="","",$C147-N($D147))</f>
        <v/>
      </c>
      <c r="F147" s="65">
        <f>IF($C147="","",$C147-MAX(0,N($D147)-BreakAllow*$C147))</f>
        <v/>
      </c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1">
        <f>IF(COUNT(G147:R147)=0,"",SUM(G147:R147))</f>
        <v/>
      </c>
      <c r="T147" s="251">
        <f>IF($C147="","",IFERROR(INDEX(RateValues,MATCH(SUMPRODUCT(MAX((RateDates&lt;=$A147)*RateDates)),RateDates,0)),0))</f>
        <v/>
      </c>
      <c r="U147" s="252">
        <f>IF($C147="","",$F147*$T147)</f>
        <v/>
      </c>
      <c r="V147" s="253">
        <f>$A147-WEEKDAY($A147,2)+1</f>
        <v/>
      </c>
      <c r="W147" s="132">
        <f t="array" ref="W147">IF(AND($C147="",S147=""),"",IF(AND(N($C147)&gt;0,N(S147)=0),"nobody marked present",IF(N($D147)&gt;N($C147),"more broken than moulded",IF(AND($C147="",N(S147)&gt;0),"attendance marked but no blocks entered",IF(AND(N($C147)&gt;0,N(T147)=0),"no pay rate for this date - see Settings",IF(SUMPRODUCT((G147:R147&lt;&gt;"")*(G$5:R$5=""))&gt;0,"attendance in an empty worker slot",""))))))</f>
        <v/>
      </c>
      <c r="X147" s="133" t="n"/>
      <c r="Y147" s="125" t="n"/>
      <c r="Z147" s="126" t="n"/>
      <c r="AA147" s="126" t="n"/>
      <c r="AB147" s="126" t="n"/>
      <c r="AC147" s="126" t="n"/>
      <c r="AD147" s="126" t="n"/>
      <c r="AE147" s="126" t="n"/>
      <c r="AF147" s="126" t="n"/>
      <c r="AG147" s="126" t="n"/>
      <c r="AH147" s="126" t="n"/>
      <c r="AI147" s="126" t="n"/>
      <c r="AJ147" s="126" t="n"/>
      <c r="AK147" s="126" t="n"/>
      <c r="AL147" s="126" t="n"/>
      <c r="AM147" s="126" t="n"/>
    </row>
    <row r="148" ht="21" customFormat="1" customHeight="1" s="127">
      <c r="A148" s="250" t="n">
        <v>46406</v>
      </c>
      <c r="B148" s="63">
        <f>CHOOSE(WEEKDAY($A148,2),"Mon","Tue","Wed","Thu","Fri","Sat","Sun")</f>
        <v/>
      </c>
      <c r="C148" s="64" t="n"/>
      <c r="D148" s="64" t="n"/>
      <c r="E148" s="65">
        <f>IF($C148="","",$C148-N($D148))</f>
        <v/>
      </c>
      <c r="F148" s="65">
        <f>IF($C148="","",$C148-MAX(0,N($D148)-BreakAllow*$C148))</f>
        <v/>
      </c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1">
        <f>IF(COUNT(G148:R148)=0,"",SUM(G148:R148))</f>
        <v/>
      </c>
      <c r="T148" s="251">
        <f>IF($C148="","",IFERROR(INDEX(RateValues,MATCH(SUMPRODUCT(MAX((RateDates&lt;=$A148)*RateDates)),RateDates,0)),0))</f>
        <v/>
      </c>
      <c r="U148" s="252">
        <f>IF($C148="","",$F148*$T148)</f>
        <v/>
      </c>
      <c r="V148" s="253">
        <f>$A148-WEEKDAY($A148,2)+1</f>
        <v/>
      </c>
      <c r="W148" s="132">
        <f t="array" ref="W148">IF(AND($C148="",S148=""),"",IF(AND(N($C148)&gt;0,N(S148)=0),"nobody marked present",IF(N($D148)&gt;N($C148),"more broken than moulded",IF(AND($C148="",N(S148)&gt;0),"attendance marked but no blocks entered",IF(AND(N($C148)&gt;0,N(T148)=0),"no pay rate for this date - see Settings",IF(SUMPRODUCT((G148:R148&lt;&gt;"")*(G$5:R$5=""))&gt;0,"attendance in an empty worker slot",""))))))</f>
        <v/>
      </c>
      <c r="X148" s="133" t="n"/>
      <c r="Y148" s="125" t="n"/>
      <c r="Z148" s="126" t="n"/>
      <c r="AA148" s="126" t="n"/>
      <c r="AB148" s="126" t="n"/>
      <c r="AC148" s="126" t="n"/>
      <c r="AD148" s="126" t="n"/>
      <c r="AE148" s="126" t="n"/>
      <c r="AF148" s="126" t="n"/>
      <c r="AG148" s="126" t="n"/>
      <c r="AH148" s="126" t="n"/>
      <c r="AI148" s="126" t="n"/>
      <c r="AJ148" s="126" t="n"/>
      <c r="AK148" s="126" t="n"/>
      <c r="AL148" s="126" t="n"/>
      <c r="AM148" s="126" t="n"/>
    </row>
    <row r="149" ht="21" customFormat="1" customHeight="1" s="127">
      <c r="A149" s="250" t="n">
        <v>46407</v>
      </c>
      <c r="B149" s="63">
        <f>CHOOSE(WEEKDAY($A149,2),"Mon","Tue","Wed","Thu","Fri","Sat","Sun")</f>
        <v/>
      </c>
      <c r="C149" s="64" t="n"/>
      <c r="D149" s="64" t="n"/>
      <c r="E149" s="65">
        <f>IF($C149="","",$C149-N($D149))</f>
        <v/>
      </c>
      <c r="F149" s="65">
        <f>IF($C149="","",$C149-MAX(0,N($D149)-BreakAllow*$C149))</f>
        <v/>
      </c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1">
        <f>IF(COUNT(G149:R149)=0,"",SUM(G149:R149))</f>
        <v/>
      </c>
      <c r="T149" s="251">
        <f>IF($C149="","",IFERROR(INDEX(RateValues,MATCH(SUMPRODUCT(MAX((RateDates&lt;=$A149)*RateDates)),RateDates,0)),0))</f>
        <v/>
      </c>
      <c r="U149" s="252">
        <f>IF($C149="","",$F149*$T149)</f>
        <v/>
      </c>
      <c r="V149" s="253">
        <f>$A149-WEEKDAY($A149,2)+1</f>
        <v/>
      </c>
      <c r="W149" s="132">
        <f t="array" ref="W149">IF(AND($C149="",S149=""),"",IF(AND(N($C149)&gt;0,N(S149)=0),"nobody marked present",IF(N($D149)&gt;N($C149),"more broken than moulded",IF(AND($C149="",N(S149)&gt;0),"attendance marked but no blocks entered",IF(AND(N($C149)&gt;0,N(T149)=0),"no pay rate for this date - see Settings",IF(SUMPRODUCT((G149:R149&lt;&gt;"")*(G$5:R$5=""))&gt;0,"attendance in an empty worker slot",""))))))</f>
        <v/>
      </c>
      <c r="X149" s="133" t="n"/>
      <c r="Y149" s="125" t="n"/>
      <c r="Z149" s="126" t="n"/>
      <c r="AA149" s="126" t="n"/>
      <c r="AB149" s="126" t="n"/>
      <c r="AC149" s="126" t="n"/>
      <c r="AD149" s="126" t="n"/>
      <c r="AE149" s="126" t="n"/>
      <c r="AF149" s="126" t="n"/>
      <c r="AG149" s="126" t="n"/>
      <c r="AH149" s="126" t="n"/>
      <c r="AI149" s="126" t="n"/>
      <c r="AJ149" s="126" t="n"/>
      <c r="AK149" s="126" t="n"/>
      <c r="AL149" s="126" t="n"/>
      <c r="AM149" s="126" t="n"/>
    </row>
    <row r="150" ht="21" customFormat="1" customHeight="1" s="127">
      <c r="A150" s="250" t="n">
        <v>46408</v>
      </c>
      <c r="B150" s="63">
        <f>CHOOSE(WEEKDAY($A150,2),"Mon","Tue","Wed","Thu","Fri","Sat","Sun")</f>
        <v/>
      </c>
      <c r="C150" s="64" t="n"/>
      <c r="D150" s="64" t="n"/>
      <c r="E150" s="65">
        <f>IF($C150="","",$C150-N($D150))</f>
        <v/>
      </c>
      <c r="F150" s="65">
        <f>IF($C150="","",$C150-MAX(0,N($D150)-BreakAllow*$C150))</f>
        <v/>
      </c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1">
        <f>IF(COUNT(G150:R150)=0,"",SUM(G150:R150))</f>
        <v/>
      </c>
      <c r="T150" s="251">
        <f>IF($C150="","",IFERROR(INDEX(RateValues,MATCH(SUMPRODUCT(MAX((RateDates&lt;=$A150)*RateDates)),RateDates,0)),0))</f>
        <v/>
      </c>
      <c r="U150" s="252">
        <f>IF($C150="","",$F150*$T150)</f>
        <v/>
      </c>
      <c r="V150" s="253">
        <f>$A150-WEEKDAY($A150,2)+1</f>
        <v/>
      </c>
      <c r="W150" s="132">
        <f t="array" ref="W150">IF(AND($C150="",S150=""),"",IF(AND(N($C150)&gt;0,N(S150)=0),"nobody marked present",IF(N($D150)&gt;N($C150),"more broken than moulded",IF(AND($C150="",N(S150)&gt;0),"attendance marked but no blocks entered",IF(AND(N($C150)&gt;0,N(T150)=0),"no pay rate for this date - see Settings",IF(SUMPRODUCT((G150:R150&lt;&gt;"")*(G$5:R$5=""))&gt;0,"attendance in an empty worker slot",""))))))</f>
        <v/>
      </c>
      <c r="X150" s="133" t="n"/>
      <c r="Y150" s="125" t="n"/>
      <c r="Z150" s="126" t="n"/>
      <c r="AA150" s="126" t="n"/>
      <c r="AB150" s="126" t="n"/>
      <c r="AC150" s="126" t="n"/>
      <c r="AD150" s="126" t="n"/>
      <c r="AE150" s="126" t="n"/>
      <c r="AF150" s="126" t="n"/>
      <c r="AG150" s="126" t="n"/>
      <c r="AH150" s="126" t="n"/>
      <c r="AI150" s="126" t="n"/>
      <c r="AJ150" s="126" t="n"/>
      <c r="AK150" s="126" t="n"/>
      <c r="AL150" s="126" t="n"/>
      <c r="AM150" s="126" t="n"/>
    </row>
    <row r="151" ht="21" customFormat="1" customHeight="1" s="127">
      <c r="A151" s="250" t="n">
        <v>46409</v>
      </c>
      <c r="B151" s="63">
        <f>CHOOSE(WEEKDAY($A151,2),"Mon","Tue","Wed","Thu","Fri","Sat","Sun")</f>
        <v/>
      </c>
      <c r="C151" s="64" t="n"/>
      <c r="D151" s="64" t="n"/>
      <c r="E151" s="65">
        <f>IF($C151="","",$C151-N($D151))</f>
        <v/>
      </c>
      <c r="F151" s="65">
        <f>IF($C151="","",$C151-MAX(0,N($D151)-BreakAllow*$C151))</f>
        <v/>
      </c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1">
        <f>IF(COUNT(G151:R151)=0,"",SUM(G151:R151))</f>
        <v/>
      </c>
      <c r="T151" s="251">
        <f>IF($C151="","",IFERROR(INDEX(RateValues,MATCH(SUMPRODUCT(MAX((RateDates&lt;=$A151)*RateDates)),RateDates,0)),0))</f>
        <v/>
      </c>
      <c r="U151" s="252">
        <f>IF($C151="","",$F151*$T151)</f>
        <v/>
      </c>
      <c r="V151" s="253">
        <f>$A151-WEEKDAY($A151,2)+1</f>
        <v/>
      </c>
      <c r="W151" s="132">
        <f t="array" ref="W151">IF(AND($C151="",S151=""),"",IF(AND(N($C151)&gt;0,N(S151)=0),"nobody marked present",IF(N($D151)&gt;N($C151),"more broken than moulded",IF(AND($C151="",N(S151)&gt;0),"attendance marked but no blocks entered",IF(AND(N($C151)&gt;0,N(T151)=0),"no pay rate for this date - see Settings",IF(SUMPRODUCT((G151:R151&lt;&gt;"")*(G$5:R$5=""))&gt;0,"attendance in an empty worker slot",""))))))</f>
        <v/>
      </c>
      <c r="X151" s="133" t="n"/>
      <c r="Y151" s="125" t="n"/>
      <c r="Z151" s="126" t="n"/>
      <c r="AA151" s="126" t="n"/>
      <c r="AB151" s="126" t="n"/>
      <c r="AC151" s="126" t="n"/>
      <c r="AD151" s="126" t="n"/>
      <c r="AE151" s="126" t="n"/>
      <c r="AF151" s="126" t="n"/>
      <c r="AG151" s="126" t="n"/>
      <c r="AH151" s="126" t="n"/>
      <c r="AI151" s="126" t="n"/>
      <c r="AJ151" s="126" t="n"/>
      <c r="AK151" s="126" t="n"/>
      <c r="AL151" s="126" t="n"/>
      <c r="AM151" s="126" t="n"/>
    </row>
    <row r="152" ht="21" customFormat="1" customHeight="1" s="127">
      <c r="A152" s="250" t="n">
        <v>46410</v>
      </c>
      <c r="B152" s="63">
        <f>CHOOSE(WEEKDAY($A152,2),"Mon","Tue","Wed","Thu","Fri","Sat","Sun")</f>
        <v/>
      </c>
      <c r="C152" s="64" t="n"/>
      <c r="D152" s="64" t="n"/>
      <c r="E152" s="65">
        <f>IF($C152="","",$C152-N($D152))</f>
        <v/>
      </c>
      <c r="F152" s="65">
        <f>IF($C152="","",$C152-MAX(0,N($D152)-BreakAllow*$C152))</f>
        <v/>
      </c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1">
        <f>IF(COUNT(G152:R152)=0,"",SUM(G152:R152))</f>
        <v/>
      </c>
      <c r="T152" s="251">
        <f>IF($C152="","",IFERROR(INDEX(RateValues,MATCH(SUMPRODUCT(MAX((RateDates&lt;=$A152)*RateDates)),RateDates,0)),0))</f>
        <v/>
      </c>
      <c r="U152" s="252">
        <f>IF($C152="","",$F152*$T152)</f>
        <v/>
      </c>
      <c r="V152" s="253">
        <f>$A152-WEEKDAY($A152,2)+1</f>
        <v/>
      </c>
      <c r="W152" s="132">
        <f t="array" ref="W152">IF(AND($C152="",S152=""),"",IF(AND(N($C152)&gt;0,N(S152)=0),"nobody marked present",IF(N($D152)&gt;N($C152),"more broken than moulded",IF(AND($C152="",N(S152)&gt;0),"attendance marked but no blocks entered",IF(AND(N($C152)&gt;0,N(T152)=0),"no pay rate for this date - see Settings",IF(SUMPRODUCT((G152:R152&lt;&gt;"")*(G$5:R$5=""))&gt;0,"attendance in an empty worker slot",""))))))</f>
        <v/>
      </c>
      <c r="X152" s="133" t="n"/>
      <c r="Y152" s="125" t="n"/>
      <c r="Z152" s="126" t="n"/>
      <c r="AA152" s="126" t="n"/>
      <c r="AB152" s="126" t="n"/>
      <c r="AC152" s="126" t="n"/>
      <c r="AD152" s="126" t="n"/>
      <c r="AE152" s="126" t="n"/>
      <c r="AF152" s="126" t="n"/>
      <c r="AG152" s="126" t="n"/>
      <c r="AH152" s="126" t="n"/>
      <c r="AI152" s="126" t="n"/>
      <c r="AJ152" s="126" t="n"/>
      <c r="AK152" s="126" t="n"/>
      <c r="AL152" s="126" t="n"/>
      <c r="AM152" s="126" t="n"/>
    </row>
    <row r="153" ht="21" customFormat="1" customHeight="1" s="127">
      <c r="A153" s="254" t="n">
        <v>46411</v>
      </c>
      <c r="B153" s="70">
        <f>CHOOSE(WEEKDAY($A153,2),"Mon","Tue","Wed","Thu","Fri","Sat","Sun")</f>
        <v/>
      </c>
      <c r="C153" s="64" t="n"/>
      <c r="D153" s="64" t="n"/>
      <c r="E153" s="65">
        <f>IF($C153="","",$C153-N($D153))</f>
        <v/>
      </c>
      <c r="F153" s="65">
        <f>IF($C153="","",$C153-MAX(0,N($D153)-BreakAllow*$C153))</f>
        <v/>
      </c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1">
        <f>IF(COUNT(G153:R153)=0,"",SUM(G153:R153))</f>
        <v/>
      </c>
      <c r="T153" s="251">
        <f>IF($C153="","",IFERROR(INDEX(RateValues,MATCH(SUMPRODUCT(MAX((RateDates&lt;=$A153)*RateDates)),RateDates,0)),0))</f>
        <v/>
      </c>
      <c r="U153" s="252">
        <f>IF($C153="","",$F153*$T153)</f>
        <v/>
      </c>
      <c r="V153" s="253">
        <f>$A153-WEEKDAY($A153,2)+1</f>
        <v/>
      </c>
      <c r="W153" s="132">
        <f t="array" ref="W153">IF(AND($C153="",S153=""),"",IF(AND(N($C153)&gt;0,N(S153)=0),"nobody marked present",IF(N($D153)&gt;N($C153),"more broken than moulded",IF(AND($C153="",N(S153)&gt;0),"attendance marked but no blocks entered",IF(AND(N($C153)&gt;0,N(T153)=0),"no pay rate for this date - see Settings",IF(SUMPRODUCT((G153:R153&lt;&gt;"")*(G$5:R$5=""))&gt;0,"attendance in an empty worker slot",""))))))</f>
        <v/>
      </c>
      <c r="X153" s="133" t="n"/>
      <c r="Y153" s="125" t="n"/>
      <c r="Z153" s="126" t="n"/>
      <c r="AA153" s="126" t="n"/>
      <c r="AB153" s="126" t="n"/>
      <c r="AC153" s="126" t="n"/>
      <c r="AD153" s="126" t="n"/>
      <c r="AE153" s="126" t="n"/>
      <c r="AF153" s="126" t="n"/>
      <c r="AG153" s="126" t="n"/>
      <c r="AH153" s="126" t="n"/>
      <c r="AI153" s="126" t="n"/>
      <c r="AJ153" s="126" t="n"/>
      <c r="AK153" s="126" t="n"/>
      <c r="AL153" s="126" t="n"/>
      <c r="AM153" s="126" t="n"/>
    </row>
    <row r="154" ht="21" customFormat="1" customHeight="1" s="127">
      <c r="A154" s="250" t="n">
        <v>46412</v>
      </c>
      <c r="B154" s="63">
        <f>CHOOSE(WEEKDAY($A154,2),"Mon","Tue","Wed","Thu","Fri","Sat","Sun")</f>
        <v/>
      </c>
      <c r="C154" s="64" t="n"/>
      <c r="D154" s="64" t="n"/>
      <c r="E154" s="65">
        <f>IF($C154="","",$C154-N($D154))</f>
        <v/>
      </c>
      <c r="F154" s="65">
        <f>IF($C154="","",$C154-MAX(0,N($D154)-BreakAllow*$C154))</f>
        <v/>
      </c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1">
        <f>IF(COUNT(G154:R154)=0,"",SUM(G154:R154))</f>
        <v/>
      </c>
      <c r="T154" s="251">
        <f>IF($C154="","",IFERROR(INDEX(RateValues,MATCH(SUMPRODUCT(MAX((RateDates&lt;=$A154)*RateDates)),RateDates,0)),0))</f>
        <v/>
      </c>
      <c r="U154" s="252">
        <f>IF($C154="","",$F154*$T154)</f>
        <v/>
      </c>
      <c r="V154" s="253">
        <f>$A154-WEEKDAY($A154,2)+1</f>
        <v/>
      </c>
      <c r="W154" s="132">
        <f t="array" ref="W154">IF(AND($C154="",S154=""),"",IF(AND(N($C154)&gt;0,N(S154)=0),"nobody marked present",IF(N($D154)&gt;N($C154),"more broken than moulded",IF(AND($C154="",N(S154)&gt;0),"attendance marked but no blocks entered",IF(AND(N($C154)&gt;0,N(T154)=0),"no pay rate for this date - see Settings",IF(SUMPRODUCT((G154:R154&lt;&gt;"")*(G$5:R$5=""))&gt;0,"attendance in an empty worker slot",""))))))</f>
        <v/>
      </c>
      <c r="X154" s="133" t="n"/>
      <c r="Y154" s="125" t="n"/>
      <c r="Z154" s="126" t="n"/>
      <c r="AA154" s="126" t="n"/>
      <c r="AB154" s="126" t="n"/>
      <c r="AC154" s="126" t="n"/>
      <c r="AD154" s="126" t="n"/>
      <c r="AE154" s="126" t="n"/>
      <c r="AF154" s="126" t="n"/>
      <c r="AG154" s="126" t="n"/>
      <c r="AH154" s="126" t="n"/>
      <c r="AI154" s="126" t="n"/>
      <c r="AJ154" s="126" t="n"/>
      <c r="AK154" s="126" t="n"/>
      <c r="AL154" s="126" t="n"/>
      <c r="AM154" s="126" t="n"/>
    </row>
    <row r="155" ht="21" customFormat="1" customHeight="1" s="127">
      <c r="A155" s="250" t="n">
        <v>46413</v>
      </c>
      <c r="B155" s="63">
        <f>CHOOSE(WEEKDAY($A155,2),"Mon","Tue","Wed","Thu","Fri","Sat","Sun")</f>
        <v/>
      </c>
      <c r="C155" s="64" t="n"/>
      <c r="D155" s="64" t="n"/>
      <c r="E155" s="65">
        <f>IF($C155="","",$C155-N($D155))</f>
        <v/>
      </c>
      <c r="F155" s="65">
        <f>IF($C155="","",$C155-MAX(0,N($D155)-BreakAllow*$C155))</f>
        <v/>
      </c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1">
        <f>IF(COUNT(G155:R155)=0,"",SUM(G155:R155))</f>
        <v/>
      </c>
      <c r="T155" s="251">
        <f>IF($C155="","",IFERROR(INDEX(RateValues,MATCH(SUMPRODUCT(MAX((RateDates&lt;=$A155)*RateDates)),RateDates,0)),0))</f>
        <v/>
      </c>
      <c r="U155" s="252">
        <f>IF($C155="","",$F155*$T155)</f>
        <v/>
      </c>
      <c r="V155" s="253">
        <f>$A155-WEEKDAY($A155,2)+1</f>
        <v/>
      </c>
      <c r="W155" s="132">
        <f t="array" ref="W155">IF(AND($C155="",S155=""),"",IF(AND(N($C155)&gt;0,N(S155)=0),"nobody marked present",IF(N($D155)&gt;N($C155),"more broken than moulded",IF(AND($C155="",N(S155)&gt;0),"attendance marked but no blocks entered",IF(AND(N($C155)&gt;0,N(T155)=0),"no pay rate for this date - see Settings",IF(SUMPRODUCT((G155:R155&lt;&gt;"")*(G$5:R$5=""))&gt;0,"attendance in an empty worker slot",""))))))</f>
        <v/>
      </c>
      <c r="X155" s="133" t="n"/>
      <c r="Y155" s="125" t="n"/>
      <c r="Z155" s="126" t="n"/>
      <c r="AA155" s="126" t="n"/>
      <c r="AB155" s="126" t="n"/>
      <c r="AC155" s="126" t="n"/>
      <c r="AD155" s="126" t="n"/>
      <c r="AE155" s="126" t="n"/>
      <c r="AF155" s="126" t="n"/>
      <c r="AG155" s="126" t="n"/>
      <c r="AH155" s="126" t="n"/>
      <c r="AI155" s="126" t="n"/>
      <c r="AJ155" s="126" t="n"/>
      <c r="AK155" s="126" t="n"/>
      <c r="AL155" s="126" t="n"/>
      <c r="AM155" s="126" t="n"/>
    </row>
    <row r="156" ht="21" customFormat="1" customHeight="1" s="127">
      <c r="A156" s="250" t="n">
        <v>46414</v>
      </c>
      <c r="B156" s="63">
        <f>CHOOSE(WEEKDAY($A156,2),"Mon","Tue","Wed","Thu","Fri","Sat","Sun")</f>
        <v/>
      </c>
      <c r="C156" s="64" t="n"/>
      <c r="D156" s="64" t="n"/>
      <c r="E156" s="65">
        <f>IF($C156="","",$C156-N($D156))</f>
        <v/>
      </c>
      <c r="F156" s="65">
        <f>IF($C156="","",$C156-MAX(0,N($D156)-BreakAllow*$C156))</f>
        <v/>
      </c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1">
        <f>IF(COUNT(G156:R156)=0,"",SUM(G156:R156))</f>
        <v/>
      </c>
      <c r="T156" s="251">
        <f>IF($C156="","",IFERROR(INDEX(RateValues,MATCH(SUMPRODUCT(MAX((RateDates&lt;=$A156)*RateDates)),RateDates,0)),0))</f>
        <v/>
      </c>
      <c r="U156" s="252">
        <f>IF($C156="","",$F156*$T156)</f>
        <v/>
      </c>
      <c r="V156" s="253">
        <f>$A156-WEEKDAY($A156,2)+1</f>
        <v/>
      </c>
      <c r="W156" s="132">
        <f t="array" ref="W156">IF(AND($C156="",S156=""),"",IF(AND(N($C156)&gt;0,N(S156)=0),"nobody marked present",IF(N($D156)&gt;N($C156),"more broken than moulded",IF(AND($C156="",N(S156)&gt;0),"attendance marked but no blocks entered",IF(AND(N($C156)&gt;0,N(T156)=0),"no pay rate for this date - see Settings",IF(SUMPRODUCT((G156:R156&lt;&gt;"")*(G$5:R$5=""))&gt;0,"attendance in an empty worker slot",""))))))</f>
        <v/>
      </c>
      <c r="X156" s="133" t="n"/>
      <c r="Y156" s="125" t="n"/>
      <c r="Z156" s="126" t="n"/>
      <c r="AA156" s="126" t="n"/>
      <c r="AB156" s="126" t="n"/>
      <c r="AC156" s="126" t="n"/>
      <c r="AD156" s="126" t="n"/>
      <c r="AE156" s="126" t="n"/>
      <c r="AF156" s="126" t="n"/>
      <c r="AG156" s="126" t="n"/>
      <c r="AH156" s="126" t="n"/>
      <c r="AI156" s="126" t="n"/>
      <c r="AJ156" s="126" t="n"/>
      <c r="AK156" s="126" t="n"/>
      <c r="AL156" s="126" t="n"/>
      <c r="AM156" s="126" t="n"/>
    </row>
    <row r="157" ht="21" customFormat="1" customHeight="1" s="127">
      <c r="A157" s="250" t="n">
        <v>46415</v>
      </c>
      <c r="B157" s="63">
        <f>CHOOSE(WEEKDAY($A157,2),"Mon","Tue","Wed","Thu","Fri","Sat","Sun")</f>
        <v/>
      </c>
      <c r="C157" s="64" t="n"/>
      <c r="D157" s="64" t="n"/>
      <c r="E157" s="65">
        <f>IF($C157="","",$C157-N($D157))</f>
        <v/>
      </c>
      <c r="F157" s="65">
        <f>IF($C157="","",$C157-MAX(0,N($D157)-BreakAllow*$C157))</f>
        <v/>
      </c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1">
        <f>IF(COUNT(G157:R157)=0,"",SUM(G157:R157))</f>
        <v/>
      </c>
      <c r="T157" s="251">
        <f>IF($C157="","",IFERROR(INDEX(RateValues,MATCH(SUMPRODUCT(MAX((RateDates&lt;=$A157)*RateDates)),RateDates,0)),0))</f>
        <v/>
      </c>
      <c r="U157" s="252">
        <f>IF($C157="","",$F157*$T157)</f>
        <v/>
      </c>
      <c r="V157" s="253">
        <f>$A157-WEEKDAY($A157,2)+1</f>
        <v/>
      </c>
      <c r="W157" s="132">
        <f t="array" ref="W157">IF(AND($C157="",S157=""),"",IF(AND(N($C157)&gt;0,N(S157)=0),"nobody marked present",IF(N($D157)&gt;N($C157),"more broken than moulded",IF(AND($C157="",N(S157)&gt;0),"attendance marked but no blocks entered",IF(AND(N($C157)&gt;0,N(T157)=0),"no pay rate for this date - see Settings",IF(SUMPRODUCT((G157:R157&lt;&gt;"")*(G$5:R$5=""))&gt;0,"attendance in an empty worker slot",""))))))</f>
        <v/>
      </c>
      <c r="X157" s="133" t="n"/>
      <c r="Y157" s="125" t="n"/>
      <c r="Z157" s="126" t="n"/>
      <c r="AA157" s="126" t="n"/>
      <c r="AB157" s="126" t="n"/>
      <c r="AC157" s="126" t="n"/>
      <c r="AD157" s="126" t="n"/>
      <c r="AE157" s="126" t="n"/>
      <c r="AF157" s="126" t="n"/>
      <c r="AG157" s="126" t="n"/>
      <c r="AH157" s="126" t="n"/>
      <c r="AI157" s="126" t="n"/>
      <c r="AJ157" s="126" t="n"/>
      <c r="AK157" s="126" t="n"/>
      <c r="AL157" s="126" t="n"/>
      <c r="AM157" s="126" t="n"/>
    </row>
    <row r="158" ht="21" customFormat="1" customHeight="1" s="127">
      <c r="A158" s="250" t="n">
        <v>46416</v>
      </c>
      <c r="B158" s="63">
        <f>CHOOSE(WEEKDAY($A158,2),"Mon","Tue","Wed","Thu","Fri","Sat","Sun")</f>
        <v/>
      </c>
      <c r="C158" s="64" t="n"/>
      <c r="D158" s="64" t="n"/>
      <c r="E158" s="65">
        <f>IF($C158="","",$C158-N($D158))</f>
        <v/>
      </c>
      <c r="F158" s="65">
        <f>IF($C158="","",$C158-MAX(0,N($D158)-BreakAllow*$C158))</f>
        <v/>
      </c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1">
        <f>IF(COUNT(G158:R158)=0,"",SUM(G158:R158))</f>
        <v/>
      </c>
      <c r="T158" s="251">
        <f>IF($C158="","",IFERROR(INDEX(RateValues,MATCH(SUMPRODUCT(MAX((RateDates&lt;=$A158)*RateDates)),RateDates,0)),0))</f>
        <v/>
      </c>
      <c r="U158" s="252">
        <f>IF($C158="","",$F158*$T158)</f>
        <v/>
      </c>
      <c r="V158" s="253">
        <f>$A158-WEEKDAY($A158,2)+1</f>
        <v/>
      </c>
      <c r="W158" s="132">
        <f t="array" ref="W158">IF(AND($C158="",S158=""),"",IF(AND(N($C158)&gt;0,N(S158)=0),"nobody marked present",IF(N($D158)&gt;N($C158),"more broken than moulded",IF(AND($C158="",N(S158)&gt;0),"attendance marked but no blocks entered",IF(AND(N($C158)&gt;0,N(T158)=0),"no pay rate for this date - see Settings",IF(SUMPRODUCT((G158:R158&lt;&gt;"")*(G$5:R$5=""))&gt;0,"attendance in an empty worker slot",""))))))</f>
        <v/>
      </c>
      <c r="X158" s="133" t="n"/>
      <c r="Y158" s="125" t="n"/>
      <c r="Z158" s="126" t="n"/>
      <c r="AA158" s="126" t="n"/>
      <c r="AB158" s="126" t="n"/>
      <c r="AC158" s="126" t="n"/>
      <c r="AD158" s="126" t="n"/>
      <c r="AE158" s="126" t="n"/>
      <c r="AF158" s="126" t="n"/>
      <c r="AG158" s="126" t="n"/>
      <c r="AH158" s="126" t="n"/>
      <c r="AI158" s="126" t="n"/>
      <c r="AJ158" s="126" t="n"/>
      <c r="AK158" s="126" t="n"/>
      <c r="AL158" s="126" t="n"/>
      <c r="AM158" s="126" t="n"/>
    </row>
    <row r="159" ht="21" customFormat="1" customHeight="1" s="127">
      <c r="A159" s="250" t="n">
        <v>46417</v>
      </c>
      <c r="B159" s="63">
        <f>CHOOSE(WEEKDAY($A159,2),"Mon","Tue","Wed","Thu","Fri","Sat","Sun")</f>
        <v/>
      </c>
      <c r="C159" s="64" t="n"/>
      <c r="D159" s="64" t="n"/>
      <c r="E159" s="65">
        <f>IF($C159="","",$C159-N($D159))</f>
        <v/>
      </c>
      <c r="F159" s="65">
        <f>IF($C159="","",$C159-MAX(0,N($D159)-BreakAllow*$C159))</f>
        <v/>
      </c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1">
        <f>IF(COUNT(G159:R159)=0,"",SUM(G159:R159))</f>
        <v/>
      </c>
      <c r="T159" s="251">
        <f>IF($C159="","",IFERROR(INDEX(RateValues,MATCH(SUMPRODUCT(MAX((RateDates&lt;=$A159)*RateDates)),RateDates,0)),0))</f>
        <v/>
      </c>
      <c r="U159" s="252">
        <f>IF($C159="","",$F159*$T159)</f>
        <v/>
      </c>
      <c r="V159" s="253">
        <f>$A159-WEEKDAY($A159,2)+1</f>
        <v/>
      </c>
      <c r="W159" s="132">
        <f t="array" ref="W159">IF(AND($C159="",S159=""),"",IF(AND(N($C159)&gt;0,N(S159)=0),"nobody marked present",IF(N($D159)&gt;N($C159),"more broken than moulded",IF(AND($C159="",N(S159)&gt;0),"attendance marked but no blocks entered",IF(AND(N($C159)&gt;0,N(T159)=0),"no pay rate for this date - see Settings",IF(SUMPRODUCT((G159:R159&lt;&gt;"")*(G$5:R$5=""))&gt;0,"attendance in an empty worker slot",""))))))</f>
        <v/>
      </c>
      <c r="X159" s="133" t="n"/>
      <c r="Y159" s="125" t="n"/>
      <c r="Z159" s="126" t="n"/>
      <c r="AA159" s="126" t="n"/>
      <c r="AB159" s="126" t="n"/>
      <c r="AC159" s="126" t="n"/>
      <c r="AD159" s="126" t="n"/>
      <c r="AE159" s="126" t="n"/>
      <c r="AF159" s="126" t="n"/>
      <c r="AG159" s="126" t="n"/>
      <c r="AH159" s="126" t="n"/>
      <c r="AI159" s="126" t="n"/>
      <c r="AJ159" s="126" t="n"/>
      <c r="AK159" s="126" t="n"/>
      <c r="AL159" s="126" t="n"/>
      <c r="AM159" s="126" t="n"/>
    </row>
    <row r="160" ht="21" customFormat="1" customHeight="1" s="127">
      <c r="A160" s="254" t="n">
        <v>46418</v>
      </c>
      <c r="B160" s="70">
        <f>CHOOSE(WEEKDAY($A160,2),"Mon","Tue","Wed","Thu","Fri","Sat","Sun")</f>
        <v/>
      </c>
      <c r="C160" s="64" t="n"/>
      <c r="D160" s="64" t="n"/>
      <c r="E160" s="65">
        <f>IF($C160="","",$C160-N($D160))</f>
        <v/>
      </c>
      <c r="F160" s="65">
        <f>IF($C160="","",$C160-MAX(0,N($D160)-BreakAllow*$C160))</f>
        <v/>
      </c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1">
        <f>IF(COUNT(G160:R160)=0,"",SUM(G160:R160))</f>
        <v/>
      </c>
      <c r="T160" s="251">
        <f>IF($C160="","",IFERROR(INDEX(RateValues,MATCH(SUMPRODUCT(MAX((RateDates&lt;=$A160)*RateDates)),RateDates,0)),0))</f>
        <v/>
      </c>
      <c r="U160" s="252">
        <f>IF($C160="","",$F160*$T160)</f>
        <v/>
      </c>
      <c r="V160" s="253">
        <f>$A160-WEEKDAY($A160,2)+1</f>
        <v/>
      </c>
      <c r="W160" s="132">
        <f t="array" ref="W160">IF(AND($C160="",S160=""),"",IF(AND(N($C160)&gt;0,N(S160)=0),"nobody marked present",IF(N($D160)&gt;N($C160),"more broken than moulded",IF(AND($C160="",N(S160)&gt;0),"attendance marked but no blocks entered",IF(AND(N($C160)&gt;0,N(T160)=0),"no pay rate for this date - see Settings",IF(SUMPRODUCT((G160:R160&lt;&gt;"")*(G$5:R$5=""))&gt;0,"attendance in an empty worker slot",""))))))</f>
        <v/>
      </c>
      <c r="X160" s="133" t="n"/>
      <c r="Y160" s="125" t="n"/>
      <c r="Z160" s="126" t="n"/>
      <c r="AA160" s="126" t="n"/>
      <c r="AB160" s="126" t="n"/>
      <c r="AC160" s="126" t="n"/>
      <c r="AD160" s="126" t="n"/>
      <c r="AE160" s="126" t="n"/>
      <c r="AF160" s="126" t="n"/>
      <c r="AG160" s="126" t="n"/>
      <c r="AH160" s="126" t="n"/>
      <c r="AI160" s="126" t="n"/>
      <c r="AJ160" s="126" t="n"/>
      <c r="AK160" s="126" t="n"/>
      <c r="AL160" s="126" t="n"/>
      <c r="AM160" s="126" t="n"/>
    </row>
    <row r="161" ht="21" customFormat="1" customHeight="1" s="127">
      <c r="A161" s="250" t="n">
        <v>46419</v>
      </c>
      <c r="B161" s="63">
        <f>CHOOSE(WEEKDAY($A161,2),"Mon","Tue","Wed","Thu","Fri","Sat","Sun")</f>
        <v/>
      </c>
      <c r="C161" s="64" t="n"/>
      <c r="D161" s="64" t="n"/>
      <c r="E161" s="65">
        <f>IF($C161="","",$C161-N($D161))</f>
        <v/>
      </c>
      <c r="F161" s="65">
        <f>IF($C161="","",$C161-MAX(0,N($D161)-BreakAllow*$C161))</f>
        <v/>
      </c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1">
        <f>IF(COUNT(G161:R161)=0,"",SUM(G161:R161))</f>
        <v/>
      </c>
      <c r="T161" s="251">
        <f>IF($C161="","",IFERROR(INDEX(RateValues,MATCH(SUMPRODUCT(MAX((RateDates&lt;=$A161)*RateDates)),RateDates,0)),0))</f>
        <v/>
      </c>
      <c r="U161" s="252">
        <f>IF($C161="","",$F161*$T161)</f>
        <v/>
      </c>
      <c r="V161" s="253">
        <f>$A161-WEEKDAY($A161,2)+1</f>
        <v/>
      </c>
      <c r="W161" s="132">
        <f t="array" ref="W161">IF(AND($C161="",S161=""),"",IF(AND(N($C161)&gt;0,N(S161)=0),"nobody marked present",IF(N($D161)&gt;N($C161),"more broken than moulded",IF(AND($C161="",N(S161)&gt;0),"attendance marked but no blocks entered",IF(AND(N($C161)&gt;0,N(T161)=0),"no pay rate for this date - see Settings",IF(SUMPRODUCT((G161:R161&lt;&gt;"")*(G$5:R$5=""))&gt;0,"attendance in an empty worker slot",""))))))</f>
        <v/>
      </c>
      <c r="X161" s="133" t="n"/>
      <c r="Y161" s="125" t="n"/>
      <c r="Z161" s="126" t="n"/>
      <c r="AA161" s="126" t="n"/>
      <c r="AB161" s="126" t="n"/>
      <c r="AC161" s="126" t="n"/>
      <c r="AD161" s="126" t="n"/>
      <c r="AE161" s="126" t="n"/>
      <c r="AF161" s="126" t="n"/>
      <c r="AG161" s="126" t="n"/>
      <c r="AH161" s="126" t="n"/>
      <c r="AI161" s="126" t="n"/>
      <c r="AJ161" s="126" t="n"/>
      <c r="AK161" s="126" t="n"/>
      <c r="AL161" s="126" t="n"/>
      <c r="AM161" s="126" t="n"/>
    </row>
    <row r="162" ht="21" customFormat="1" customHeight="1" s="127">
      <c r="A162" s="250" t="n">
        <v>46420</v>
      </c>
      <c r="B162" s="63">
        <f>CHOOSE(WEEKDAY($A162,2),"Mon","Tue","Wed","Thu","Fri","Sat","Sun")</f>
        <v/>
      </c>
      <c r="C162" s="64" t="n"/>
      <c r="D162" s="64" t="n"/>
      <c r="E162" s="65">
        <f>IF($C162="","",$C162-N($D162))</f>
        <v/>
      </c>
      <c r="F162" s="65">
        <f>IF($C162="","",$C162-MAX(0,N($D162)-BreakAllow*$C162))</f>
        <v/>
      </c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1">
        <f>IF(COUNT(G162:R162)=0,"",SUM(G162:R162))</f>
        <v/>
      </c>
      <c r="T162" s="251">
        <f>IF($C162="","",IFERROR(INDEX(RateValues,MATCH(SUMPRODUCT(MAX((RateDates&lt;=$A162)*RateDates)),RateDates,0)),0))</f>
        <v/>
      </c>
      <c r="U162" s="252">
        <f>IF($C162="","",$F162*$T162)</f>
        <v/>
      </c>
      <c r="V162" s="253">
        <f>$A162-WEEKDAY($A162,2)+1</f>
        <v/>
      </c>
      <c r="W162" s="132">
        <f t="array" ref="W162">IF(AND($C162="",S162=""),"",IF(AND(N($C162)&gt;0,N(S162)=0),"nobody marked present",IF(N($D162)&gt;N($C162),"more broken than moulded",IF(AND($C162="",N(S162)&gt;0),"attendance marked but no blocks entered",IF(AND(N($C162)&gt;0,N(T162)=0),"no pay rate for this date - see Settings",IF(SUMPRODUCT((G162:R162&lt;&gt;"")*(G$5:R$5=""))&gt;0,"attendance in an empty worker slot",""))))))</f>
        <v/>
      </c>
      <c r="X162" s="133" t="n"/>
      <c r="Y162" s="125" t="n"/>
      <c r="Z162" s="126" t="n"/>
      <c r="AA162" s="126" t="n"/>
      <c r="AB162" s="126" t="n"/>
      <c r="AC162" s="126" t="n"/>
      <c r="AD162" s="126" t="n"/>
      <c r="AE162" s="126" t="n"/>
      <c r="AF162" s="126" t="n"/>
      <c r="AG162" s="126" t="n"/>
      <c r="AH162" s="126" t="n"/>
      <c r="AI162" s="126" t="n"/>
      <c r="AJ162" s="126" t="n"/>
      <c r="AK162" s="126" t="n"/>
      <c r="AL162" s="126" t="n"/>
      <c r="AM162" s="126" t="n"/>
    </row>
    <row r="163" ht="21" customFormat="1" customHeight="1" s="127">
      <c r="A163" s="250" t="n">
        <v>46421</v>
      </c>
      <c r="B163" s="63">
        <f>CHOOSE(WEEKDAY($A163,2),"Mon","Tue","Wed","Thu","Fri","Sat","Sun")</f>
        <v/>
      </c>
      <c r="C163" s="64" t="n"/>
      <c r="D163" s="64" t="n"/>
      <c r="E163" s="65">
        <f>IF($C163="","",$C163-N($D163))</f>
        <v/>
      </c>
      <c r="F163" s="65">
        <f>IF($C163="","",$C163-MAX(0,N($D163)-BreakAllow*$C163))</f>
        <v/>
      </c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1">
        <f>IF(COUNT(G163:R163)=0,"",SUM(G163:R163))</f>
        <v/>
      </c>
      <c r="T163" s="251">
        <f>IF($C163="","",IFERROR(INDEX(RateValues,MATCH(SUMPRODUCT(MAX((RateDates&lt;=$A163)*RateDates)),RateDates,0)),0))</f>
        <v/>
      </c>
      <c r="U163" s="252">
        <f>IF($C163="","",$F163*$T163)</f>
        <v/>
      </c>
      <c r="V163" s="253">
        <f>$A163-WEEKDAY($A163,2)+1</f>
        <v/>
      </c>
      <c r="W163" s="132">
        <f t="array" ref="W163">IF(AND($C163="",S163=""),"",IF(AND(N($C163)&gt;0,N(S163)=0),"nobody marked present",IF(N($D163)&gt;N($C163),"more broken than moulded",IF(AND($C163="",N(S163)&gt;0),"attendance marked but no blocks entered",IF(AND(N($C163)&gt;0,N(T163)=0),"no pay rate for this date - see Settings",IF(SUMPRODUCT((G163:R163&lt;&gt;"")*(G$5:R$5=""))&gt;0,"attendance in an empty worker slot",""))))))</f>
        <v/>
      </c>
      <c r="X163" s="133" t="n"/>
      <c r="Y163" s="125" t="n"/>
      <c r="Z163" s="126" t="n"/>
      <c r="AA163" s="126" t="n"/>
      <c r="AB163" s="126" t="n"/>
      <c r="AC163" s="126" t="n"/>
      <c r="AD163" s="126" t="n"/>
      <c r="AE163" s="126" t="n"/>
      <c r="AF163" s="126" t="n"/>
      <c r="AG163" s="126" t="n"/>
      <c r="AH163" s="126" t="n"/>
      <c r="AI163" s="126" t="n"/>
      <c r="AJ163" s="126" t="n"/>
      <c r="AK163" s="126" t="n"/>
      <c r="AL163" s="126" t="n"/>
      <c r="AM163" s="126" t="n"/>
    </row>
    <row r="164" ht="21" customFormat="1" customHeight="1" s="127">
      <c r="A164" s="250" t="n">
        <v>46422</v>
      </c>
      <c r="B164" s="63">
        <f>CHOOSE(WEEKDAY($A164,2),"Mon","Tue","Wed","Thu","Fri","Sat","Sun")</f>
        <v/>
      </c>
      <c r="C164" s="64" t="n"/>
      <c r="D164" s="64" t="n"/>
      <c r="E164" s="65">
        <f>IF($C164="","",$C164-N($D164))</f>
        <v/>
      </c>
      <c r="F164" s="65">
        <f>IF($C164="","",$C164-MAX(0,N($D164)-BreakAllow*$C164))</f>
        <v/>
      </c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1">
        <f>IF(COUNT(G164:R164)=0,"",SUM(G164:R164))</f>
        <v/>
      </c>
      <c r="T164" s="251">
        <f>IF($C164="","",IFERROR(INDEX(RateValues,MATCH(SUMPRODUCT(MAX((RateDates&lt;=$A164)*RateDates)),RateDates,0)),0))</f>
        <v/>
      </c>
      <c r="U164" s="252">
        <f>IF($C164="","",$F164*$T164)</f>
        <v/>
      </c>
      <c r="V164" s="253">
        <f>$A164-WEEKDAY($A164,2)+1</f>
        <v/>
      </c>
      <c r="W164" s="132">
        <f t="array" ref="W164">IF(AND($C164="",S164=""),"",IF(AND(N($C164)&gt;0,N(S164)=0),"nobody marked present",IF(N($D164)&gt;N($C164),"more broken than moulded",IF(AND($C164="",N(S164)&gt;0),"attendance marked but no blocks entered",IF(AND(N($C164)&gt;0,N(T164)=0),"no pay rate for this date - see Settings",IF(SUMPRODUCT((G164:R164&lt;&gt;"")*(G$5:R$5=""))&gt;0,"attendance in an empty worker slot",""))))))</f>
        <v/>
      </c>
      <c r="X164" s="133" t="n"/>
      <c r="Y164" s="125" t="n"/>
      <c r="Z164" s="126" t="n"/>
      <c r="AA164" s="126" t="n"/>
      <c r="AB164" s="126" t="n"/>
      <c r="AC164" s="126" t="n"/>
      <c r="AD164" s="126" t="n"/>
      <c r="AE164" s="126" t="n"/>
      <c r="AF164" s="126" t="n"/>
      <c r="AG164" s="126" t="n"/>
      <c r="AH164" s="126" t="n"/>
      <c r="AI164" s="126" t="n"/>
      <c r="AJ164" s="126" t="n"/>
      <c r="AK164" s="126" t="n"/>
      <c r="AL164" s="126" t="n"/>
      <c r="AM164" s="126" t="n"/>
    </row>
    <row r="165" ht="21" customFormat="1" customHeight="1" s="127">
      <c r="A165" s="250" t="n">
        <v>46423</v>
      </c>
      <c r="B165" s="63">
        <f>CHOOSE(WEEKDAY($A165,2),"Mon","Tue","Wed","Thu","Fri","Sat","Sun")</f>
        <v/>
      </c>
      <c r="C165" s="64" t="n"/>
      <c r="D165" s="64" t="n"/>
      <c r="E165" s="65">
        <f>IF($C165="","",$C165-N($D165))</f>
        <v/>
      </c>
      <c r="F165" s="65">
        <f>IF($C165="","",$C165-MAX(0,N($D165)-BreakAllow*$C165))</f>
        <v/>
      </c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1">
        <f>IF(COUNT(G165:R165)=0,"",SUM(G165:R165))</f>
        <v/>
      </c>
      <c r="T165" s="251">
        <f>IF($C165="","",IFERROR(INDEX(RateValues,MATCH(SUMPRODUCT(MAX((RateDates&lt;=$A165)*RateDates)),RateDates,0)),0))</f>
        <v/>
      </c>
      <c r="U165" s="252">
        <f>IF($C165="","",$F165*$T165)</f>
        <v/>
      </c>
      <c r="V165" s="253">
        <f>$A165-WEEKDAY($A165,2)+1</f>
        <v/>
      </c>
      <c r="W165" s="132">
        <f t="array" ref="W165">IF(AND($C165="",S165=""),"",IF(AND(N($C165)&gt;0,N(S165)=0),"nobody marked present",IF(N($D165)&gt;N($C165),"more broken than moulded",IF(AND($C165="",N(S165)&gt;0),"attendance marked but no blocks entered",IF(AND(N($C165)&gt;0,N(T165)=0),"no pay rate for this date - see Settings",IF(SUMPRODUCT((G165:R165&lt;&gt;"")*(G$5:R$5=""))&gt;0,"attendance in an empty worker slot",""))))))</f>
        <v/>
      </c>
      <c r="X165" s="133" t="n"/>
      <c r="Y165" s="125" t="n"/>
      <c r="Z165" s="126" t="n"/>
      <c r="AA165" s="126" t="n"/>
      <c r="AB165" s="126" t="n"/>
      <c r="AC165" s="126" t="n"/>
      <c r="AD165" s="126" t="n"/>
      <c r="AE165" s="126" t="n"/>
      <c r="AF165" s="126" t="n"/>
      <c r="AG165" s="126" t="n"/>
      <c r="AH165" s="126" t="n"/>
      <c r="AI165" s="126" t="n"/>
      <c r="AJ165" s="126" t="n"/>
      <c r="AK165" s="126" t="n"/>
      <c r="AL165" s="126" t="n"/>
      <c r="AM165" s="126" t="n"/>
    </row>
    <row r="166" ht="21" customFormat="1" customHeight="1" s="127">
      <c r="A166" s="250" t="n">
        <v>46424</v>
      </c>
      <c r="B166" s="63">
        <f>CHOOSE(WEEKDAY($A166,2),"Mon","Tue","Wed","Thu","Fri","Sat","Sun")</f>
        <v/>
      </c>
      <c r="C166" s="64" t="n"/>
      <c r="D166" s="64" t="n"/>
      <c r="E166" s="65">
        <f>IF($C166="","",$C166-N($D166))</f>
        <v/>
      </c>
      <c r="F166" s="65">
        <f>IF($C166="","",$C166-MAX(0,N($D166)-BreakAllow*$C166))</f>
        <v/>
      </c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1">
        <f>IF(COUNT(G166:R166)=0,"",SUM(G166:R166))</f>
        <v/>
      </c>
      <c r="T166" s="251">
        <f>IF($C166="","",IFERROR(INDEX(RateValues,MATCH(SUMPRODUCT(MAX((RateDates&lt;=$A166)*RateDates)),RateDates,0)),0))</f>
        <v/>
      </c>
      <c r="U166" s="252">
        <f>IF($C166="","",$F166*$T166)</f>
        <v/>
      </c>
      <c r="V166" s="253">
        <f>$A166-WEEKDAY($A166,2)+1</f>
        <v/>
      </c>
      <c r="W166" s="132">
        <f t="array" ref="W166">IF(AND($C166="",S166=""),"",IF(AND(N($C166)&gt;0,N(S166)=0),"nobody marked present",IF(N($D166)&gt;N($C166),"more broken than moulded",IF(AND($C166="",N(S166)&gt;0),"attendance marked but no blocks entered",IF(AND(N($C166)&gt;0,N(T166)=0),"no pay rate for this date - see Settings",IF(SUMPRODUCT((G166:R166&lt;&gt;"")*(G$5:R$5=""))&gt;0,"attendance in an empty worker slot",""))))))</f>
        <v/>
      </c>
      <c r="X166" s="133" t="n"/>
      <c r="Y166" s="125" t="n"/>
      <c r="Z166" s="126" t="n"/>
      <c r="AA166" s="126" t="n"/>
      <c r="AB166" s="126" t="n"/>
      <c r="AC166" s="126" t="n"/>
      <c r="AD166" s="126" t="n"/>
      <c r="AE166" s="126" t="n"/>
      <c r="AF166" s="126" t="n"/>
      <c r="AG166" s="126" t="n"/>
      <c r="AH166" s="126" t="n"/>
      <c r="AI166" s="126" t="n"/>
      <c r="AJ166" s="126" t="n"/>
      <c r="AK166" s="126" t="n"/>
      <c r="AL166" s="126" t="n"/>
      <c r="AM166" s="126" t="n"/>
    </row>
    <row r="167" ht="21" customFormat="1" customHeight="1" s="127">
      <c r="A167" s="254" t="n">
        <v>46425</v>
      </c>
      <c r="B167" s="70">
        <f>CHOOSE(WEEKDAY($A167,2),"Mon","Tue","Wed","Thu","Fri","Sat","Sun")</f>
        <v/>
      </c>
      <c r="C167" s="64" t="n"/>
      <c r="D167" s="64" t="n"/>
      <c r="E167" s="65">
        <f>IF($C167="","",$C167-N($D167))</f>
        <v/>
      </c>
      <c r="F167" s="65">
        <f>IF($C167="","",$C167-MAX(0,N($D167)-BreakAllow*$C167))</f>
        <v/>
      </c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1">
        <f>IF(COUNT(G167:R167)=0,"",SUM(G167:R167))</f>
        <v/>
      </c>
      <c r="T167" s="251">
        <f>IF($C167="","",IFERROR(INDEX(RateValues,MATCH(SUMPRODUCT(MAX((RateDates&lt;=$A167)*RateDates)),RateDates,0)),0))</f>
        <v/>
      </c>
      <c r="U167" s="252">
        <f>IF($C167="","",$F167*$T167)</f>
        <v/>
      </c>
      <c r="V167" s="253">
        <f>$A167-WEEKDAY($A167,2)+1</f>
        <v/>
      </c>
      <c r="W167" s="132">
        <f t="array" ref="W167">IF(AND($C167="",S167=""),"",IF(AND(N($C167)&gt;0,N(S167)=0),"nobody marked present",IF(N($D167)&gt;N($C167),"more broken than moulded",IF(AND($C167="",N(S167)&gt;0),"attendance marked but no blocks entered",IF(AND(N($C167)&gt;0,N(T167)=0),"no pay rate for this date - see Settings",IF(SUMPRODUCT((G167:R167&lt;&gt;"")*(G$5:R$5=""))&gt;0,"attendance in an empty worker slot",""))))))</f>
        <v/>
      </c>
      <c r="X167" s="133" t="n"/>
      <c r="Y167" s="125" t="n"/>
      <c r="Z167" s="126" t="n"/>
      <c r="AA167" s="126" t="n"/>
      <c r="AB167" s="126" t="n"/>
      <c r="AC167" s="126" t="n"/>
      <c r="AD167" s="126" t="n"/>
      <c r="AE167" s="126" t="n"/>
      <c r="AF167" s="126" t="n"/>
      <c r="AG167" s="126" t="n"/>
      <c r="AH167" s="126" t="n"/>
      <c r="AI167" s="126" t="n"/>
      <c r="AJ167" s="126" t="n"/>
      <c r="AK167" s="126" t="n"/>
      <c r="AL167" s="126" t="n"/>
      <c r="AM167" s="126" t="n"/>
    </row>
    <row r="168" ht="21" customFormat="1" customHeight="1" s="127">
      <c r="A168" s="250" t="n">
        <v>46426</v>
      </c>
      <c r="B168" s="63">
        <f>CHOOSE(WEEKDAY($A168,2),"Mon","Tue","Wed","Thu","Fri","Sat","Sun")</f>
        <v/>
      </c>
      <c r="C168" s="64" t="n"/>
      <c r="D168" s="64" t="n"/>
      <c r="E168" s="65">
        <f>IF($C168="","",$C168-N($D168))</f>
        <v/>
      </c>
      <c r="F168" s="65">
        <f>IF($C168="","",$C168-MAX(0,N($D168)-BreakAllow*$C168))</f>
        <v/>
      </c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1">
        <f>IF(COUNT(G168:R168)=0,"",SUM(G168:R168))</f>
        <v/>
      </c>
      <c r="T168" s="251">
        <f>IF($C168="","",IFERROR(INDEX(RateValues,MATCH(SUMPRODUCT(MAX((RateDates&lt;=$A168)*RateDates)),RateDates,0)),0))</f>
        <v/>
      </c>
      <c r="U168" s="252">
        <f>IF($C168="","",$F168*$T168)</f>
        <v/>
      </c>
      <c r="V168" s="253">
        <f>$A168-WEEKDAY($A168,2)+1</f>
        <v/>
      </c>
      <c r="W168" s="132">
        <f t="array" ref="W168">IF(AND($C168="",S168=""),"",IF(AND(N($C168)&gt;0,N(S168)=0),"nobody marked present",IF(N($D168)&gt;N($C168),"more broken than moulded",IF(AND($C168="",N(S168)&gt;0),"attendance marked but no blocks entered",IF(AND(N($C168)&gt;0,N(T168)=0),"no pay rate for this date - see Settings",IF(SUMPRODUCT((G168:R168&lt;&gt;"")*(G$5:R$5=""))&gt;0,"attendance in an empty worker slot",""))))))</f>
        <v/>
      </c>
      <c r="X168" s="133" t="n"/>
      <c r="Y168" s="125" t="n"/>
      <c r="Z168" s="126" t="n"/>
      <c r="AA168" s="126" t="n"/>
      <c r="AB168" s="126" t="n"/>
      <c r="AC168" s="126" t="n"/>
      <c r="AD168" s="126" t="n"/>
      <c r="AE168" s="126" t="n"/>
      <c r="AF168" s="126" t="n"/>
      <c r="AG168" s="126" t="n"/>
      <c r="AH168" s="126" t="n"/>
      <c r="AI168" s="126" t="n"/>
      <c r="AJ168" s="126" t="n"/>
      <c r="AK168" s="126" t="n"/>
      <c r="AL168" s="126" t="n"/>
      <c r="AM168" s="126" t="n"/>
    </row>
    <row r="169" ht="21" customFormat="1" customHeight="1" s="127">
      <c r="A169" s="250" t="n">
        <v>46427</v>
      </c>
      <c r="B169" s="63">
        <f>CHOOSE(WEEKDAY($A169,2),"Mon","Tue","Wed","Thu","Fri","Sat","Sun")</f>
        <v/>
      </c>
      <c r="C169" s="64" t="n"/>
      <c r="D169" s="64" t="n"/>
      <c r="E169" s="65">
        <f>IF($C169="","",$C169-N($D169))</f>
        <v/>
      </c>
      <c r="F169" s="65">
        <f>IF($C169="","",$C169-MAX(0,N($D169)-BreakAllow*$C169))</f>
        <v/>
      </c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1">
        <f>IF(COUNT(G169:R169)=0,"",SUM(G169:R169))</f>
        <v/>
      </c>
      <c r="T169" s="251">
        <f>IF($C169="","",IFERROR(INDEX(RateValues,MATCH(SUMPRODUCT(MAX((RateDates&lt;=$A169)*RateDates)),RateDates,0)),0))</f>
        <v/>
      </c>
      <c r="U169" s="252">
        <f>IF($C169="","",$F169*$T169)</f>
        <v/>
      </c>
      <c r="V169" s="253">
        <f>$A169-WEEKDAY($A169,2)+1</f>
        <v/>
      </c>
      <c r="W169" s="132">
        <f t="array" ref="W169">IF(AND($C169="",S169=""),"",IF(AND(N($C169)&gt;0,N(S169)=0),"nobody marked present",IF(N($D169)&gt;N($C169),"more broken than moulded",IF(AND($C169="",N(S169)&gt;0),"attendance marked but no blocks entered",IF(AND(N($C169)&gt;0,N(T169)=0),"no pay rate for this date - see Settings",IF(SUMPRODUCT((G169:R169&lt;&gt;"")*(G$5:R$5=""))&gt;0,"attendance in an empty worker slot",""))))))</f>
        <v/>
      </c>
      <c r="X169" s="133" t="n"/>
      <c r="Y169" s="125" t="n"/>
      <c r="Z169" s="126" t="n"/>
      <c r="AA169" s="126" t="n"/>
      <c r="AB169" s="126" t="n"/>
      <c r="AC169" s="126" t="n"/>
      <c r="AD169" s="126" t="n"/>
      <c r="AE169" s="126" t="n"/>
      <c r="AF169" s="126" t="n"/>
      <c r="AG169" s="126" t="n"/>
      <c r="AH169" s="126" t="n"/>
      <c r="AI169" s="126" t="n"/>
      <c r="AJ169" s="126" t="n"/>
      <c r="AK169" s="126" t="n"/>
      <c r="AL169" s="126" t="n"/>
      <c r="AM169" s="126" t="n"/>
    </row>
    <row r="170" ht="21" customFormat="1" customHeight="1" s="127">
      <c r="A170" s="250" t="n">
        <v>46428</v>
      </c>
      <c r="B170" s="63">
        <f>CHOOSE(WEEKDAY($A170,2),"Mon","Tue","Wed","Thu","Fri","Sat","Sun")</f>
        <v/>
      </c>
      <c r="C170" s="64" t="n"/>
      <c r="D170" s="64" t="n"/>
      <c r="E170" s="65">
        <f>IF($C170="","",$C170-N($D170))</f>
        <v/>
      </c>
      <c r="F170" s="65">
        <f>IF($C170="","",$C170-MAX(0,N($D170)-BreakAllow*$C170))</f>
        <v/>
      </c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1">
        <f>IF(COUNT(G170:R170)=0,"",SUM(G170:R170))</f>
        <v/>
      </c>
      <c r="T170" s="251">
        <f>IF($C170="","",IFERROR(INDEX(RateValues,MATCH(SUMPRODUCT(MAX((RateDates&lt;=$A170)*RateDates)),RateDates,0)),0))</f>
        <v/>
      </c>
      <c r="U170" s="252">
        <f>IF($C170="","",$F170*$T170)</f>
        <v/>
      </c>
      <c r="V170" s="253">
        <f>$A170-WEEKDAY($A170,2)+1</f>
        <v/>
      </c>
      <c r="W170" s="132">
        <f t="array" ref="W170">IF(AND($C170="",S170=""),"",IF(AND(N($C170)&gt;0,N(S170)=0),"nobody marked present",IF(N($D170)&gt;N($C170),"more broken than moulded",IF(AND($C170="",N(S170)&gt;0),"attendance marked but no blocks entered",IF(AND(N($C170)&gt;0,N(T170)=0),"no pay rate for this date - see Settings",IF(SUMPRODUCT((G170:R170&lt;&gt;"")*(G$5:R$5=""))&gt;0,"attendance in an empty worker slot",""))))))</f>
        <v/>
      </c>
      <c r="X170" s="133" t="n"/>
      <c r="Y170" s="125" t="n"/>
      <c r="Z170" s="126" t="n"/>
      <c r="AA170" s="126" t="n"/>
      <c r="AB170" s="126" t="n"/>
      <c r="AC170" s="126" t="n"/>
      <c r="AD170" s="126" t="n"/>
      <c r="AE170" s="126" t="n"/>
      <c r="AF170" s="126" t="n"/>
      <c r="AG170" s="126" t="n"/>
      <c r="AH170" s="126" t="n"/>
      <c r="AI170" s="126" t="n"/>
      <c r="AJ170" s="126" t="n"/>
      <c r="AK170" s="126" t="n"/>
      <c r="AL170" s="126" t="n"/>
      <c r="AM170" s="126" t="n"/>
    </row>
    <row r="171" ht="21" customFormat="1" customHeight="1" s="127">
      <c r="A171" s="250" t="n">
        <v>46429</v>
      </c>
      <c r="B171" s="63">
        <f>CHOOSE(WEEKDAY($A171,2),"Mon","Tue","Wed","Thu","Fri","Sat","Sun")</f>
        <v/>
      </c>
      <c r="C171" s="64" t="n"/>
      <c r="D171" s="64" t="n"/>
      <c r="E171" s="65">
        <f>IF($C171="","",$C171-N($D171))</f>
        <v/>
      </c>
      <c r="F171" s="65">
        <f>IF($C171="","",$C171-MAX(0,N($D171)-BreakAllow*$C171))</f>
        <v/>
      </c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1">
        <f>IF(COUNT(G171:R171)=0,"",SUM(G171:R171))</f>
        <v/>
      </c>
      <c r="T171" s="251">
        <f>IF($C171="","",IFERROR(INDEX(RateValues,MATCH(SUMPRODUCT(MAX((RateDates&lt;=$A171)*RateDates)),RateDates,0)),0))</f>
        <v/>
      </c>
      <c r="U171" s="252">
        <f>IF($C171="","",$F171*$T171)</f>
        <v/>
      </c>
      <c r="V171" s="253">
        <f>$A171-WEEKDAY($A171,2)+1</f>
        <v/>
      </c>
      <c r="W171" s="132">
        <f t="array" ref="W171">IF(AND($C171="",S171=""),"",IF(AND(N($C171)&gt;0,N(S171)=0),"nobody marked present",IF(N($D171)&gt;N($C171),"more broken than moulded",IF(AND($C171="",N(S171)&gt;0),"attendance marked but no blocks entered",IF(AND(N($C171)&gt;0,N(T171)=0),"no pay rate for this date - see Settings",IF(SUMPRODUCT((G171:R171&lt;&gt;"")*(G$5:R$5=""))&gt;0,"attendance in an empty worker slot",""))))))</f>
        <v/>
      </c>
      <c r="X171" s="133" t="n"/>
      <c r="Y171" s="125" t="n"/>
      <c r="Z171" s="126" t="n"/>
      <c r="AA171" s="126" t="n"/>
      <c r="AB171" s="126" t="n"/>
      <c r="AC171" s="126" t="n"/>
      <c r="AD171" s="126" t="n"/>
      <c r="AE171" s="126" t="n"/>
      <c r="AF171" s="126" t="n"/>
      <c r="AG171" s="126" t="n"/>
      <c r="AH171" s="126" t="n"/>
      <c r="AI171" s="126" t="n"/>
      <c r="AJ171" s="126" t="n"/>
      <c r="AK171" s="126" t="n"/>
      <c r="AL171" s="126" t="n"/>
      <c r="AM171" s="126" t="n"/>
    </row>
    <row r="172" ht="21" customFormat="1" customHeight="1" s="127">
      <c r="A172" s="250" t="n">
        <v>46430</v>
      </c>
      <c r="B172" s="63">
        <f>CHOOSE(WEEKDAY($A172,2),"Mon","Tue","Wed","Thu","Fri","Sat","Sun")</f>
        <v/>
      </c>
      <c r="C172" s="64" t="n"/>
      <c r="D172" s="64" t="n"/>
      <c r="E172" s="65">
        <f>IF($C172="","",$C172-N($D172))</f>
        <v/>
      </c>
      <c r="F172" s="65">
        <f>IF($C172="","",$C172-MAX(0,N($D172)-BreakAllow*$C172))</f>
        <v/>
      </c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1">
        <f>IF(COUNT(G172:R172)=0,"",SUM(G172:R172))</f>
        <v/>
      </c>
      <c r="T172" s="251">
        <f>IF($C172="","",IFERROR(INDEX(RateValues,MATCH(SUMPRODUCT(MAX((RateDates&lt;=$A172)*RateDates)),RateDates,0)),0))</f>
        <v/>
      </c>
      <c r="U172" s="252">
        <f>IF($C172="","",$F172*$T172)</f>
        <v/>
      </c>
      <c r="V172" s="253">
        <f>$A172-WEEKDAY($A172,2)+1</f>
        <v/>
      </c>
      <c r="W172" s="132">
        <f t="array" ref="W172">IF(AND($C172="",S172=""),"",IF(AND(N($C172)&gt;0,N(S172)=0),"nobody marked present",IF(N($D172)&gt;N($C172),"more broken than moulded",IF(AND($C172="",N(S172)&gt;0),"attendance marked but no blocks entered",IF(AND(N($C172)&gt;0,N(T172)=0),"no pay rate for this date - see Settings",IF(SUMPRODUCT((G172:R172&lt;&gt;"")*(G$5:R$5=""))&gt;0,"attendance in an empty worker slot",""))))))</f>
        <v/>
      </c>
      <c r="X172" s="133" t="n"/>
      <c r="Y172" s="125" t="n"/>
      <c r="Z172" s="126" t="n"/>
      <c r="AA172" s="126" t="n"/>
      <c r="AB172" s="126" t="n"/>
      <c r="AC172" s="126" t="n"/>
      <c r="AD172" s="126" t="n"/>
      <c r="AE172" s="126" t="n"/>
      <c r="AF172" s="126" t="n"/>
      <c r="AG172" s="126" t="n"/>
      <c r="AH172" s="126" t="n"/>
      <c r="AI172" s="126" t="n"/>
      <c r="AJ172" s="126" t="n"/>
      <c r="AK172" s="126" t="n"/>
      <c r="AL172" s="126" t="n"/>
      <c r="AM172" s="126" t="n"/>
    </row>
    <row r="173" ht="21" customFormat="1" customHeight="1" s="127">
      <c r="A173" s="250" t="n">
        <v>46431</v>
      </c>
      <c r="B173" s="63">
        <f>CHOOSE(WEEKDAY($A173,2),"Mon","Tue","Wed","Thu","Fri","Sat","Sun")</f>
        <v/>
      </c>
      <c r="C173" s="64" t="n"/>
      <c r="D173" s="64" t="n"/>
      <c r="E173" s="65">
        <f>IF($C173="","",$C173-N($D173))</f>
        <v/>
      </c>
      <c r="F173" s="65">
        <f>IF($C173="","",$C173-MAX(0,N($D173)-BreakAllow*$C173))</f>
        <v/>
      </c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1">
        <f>IF(COUNT(G173:R173)=0,"",SUM(G173:R173))</f>
        <v/>
      </c>
      <c r="T173" s="251">
        <f>IF($C173="","",IFERROR(INDEX(RateValues,MATCH(SUMPRODUCT(MAX((RateDates&lt;=$A173)*RateDates)),RateDates,0)),0))</f>
        <v/>
      </c>
      <c r="U173" s="252">
        <f>IF($C173="","",$F173*$T173)</f>
        <v/>
      </c>
      <c r="V173" s="253">
        <f>$A173-WEEKDAY($A173,2)+1</f>
        <v/>
      </c>
      <c r="W173" s="132">
        <f t="array" ref="W173">IF(AND($C173="",S173=""),"",IF(AND(N($C173)&gt;0,N(S173)=0),"nobody marked present",IF(N($D173)&gt;N($C173),"more broken than moulded",IF(AND($C173="",N(S173)&gt;0),"attendance marked but no blocks entered",IF(AND(N($C173)&gt;0,N(T173)=0),"no pay rate for this date - see Settings",IF(SUMPRODUCT((G173:R173&lt;&gt;"")*(G$5:R$5=""))&gt;0,"attendance in an empty worker slot",""))))))</f>
        <v/>
      </c>
      <c r="X173" s="133" t="n"/>
      <c r="Y173" s="125" t="n"/>
      <c r="Z173" s="126" t="n"/>
      <c r="AA173" s="126" t="n"/>
      <c r="AB173" s="126" t="n"/>
      <c r="AC173" s="126" t="n"/>
      <c r="AD173" s="126" t="n"/>
      <c r="AE173" s="126" t="n"/>
      <c r="AF173" s="126" t="n"/>
      <c r="AG173" s="126" t="n"/>
      <c r="AH173" s="126" t="n"/>
      <c r="AI173" s="126" t="n"/>
      <c r="AJ173" s="126" t="n"/>
      <c r="AK173" s="126" t="n"/>
      <c r="AL173" s="126" t="n"/>
      <c r="AM173" s="126" t="n"/>
    </row>
    <row r="174" ht="21" customFormat="1" customHeight="1" s="127">
      <c r="A174" s="254" t="n">
        <v>46432</v>
      </c>
      <c r="B174" s="70">
        <f>CHOOSE(WEEKDAY($A174,2),"Mon","Tue","Wed","Thu","Fri","Sat","Sun")</f>
        <v/>
      </c>
      <c r="C174" s="64" t="n"/>
      <c r="D174" s="64" t="n"/>
      <c r="E174" s="65">
        <f>IF($C174="","",$C174-N($D174))</f>
        <v/>
      </c>
      <c r="F174" s="65">
        <f>IF($C174="","",$C174-MAX(0,N($D174)-BreakAllow*$C174))</f>
        <v/>
      </c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1">
        <f>IF(COUNT(G174:R174)=0,"",SUM(G174:R174))</f>
        <v/>
      </c>
      <c r="T174" s="251">
        <f>IF($C174="","",IFERROR(INDEX(RateValues,MATCH(SUMPRODUCT(MAX((RateDates&lt;=$A174)*RateDates)),RateDates,0)),0))</f>
        <v/>
      </c>
      <c r="U174" s="252">
        <f>IF($C174="","",$F174*$T174)</f>
        <v/>
      </c>
      <c r="V174" s="253">
        <f>$A174-WEEKDAY($A174,2)+1</f>
        <v/>
      </c>
      <c r="W174" s="132">
        <f t="array" ref="W174">IF(AND($C174="",S174=""),"",IF(AND(N($C174)&gt;0,N(S174)=0),"nobody marked present",IF(N($D174)&gt;N($C174),"more broken than moulded",IF(AND($C174="",N(S174)&gt;0),"attendance marked but no blocks entered",IF(AND(N($C174)&gt;0,N(T174)=0),"no pay rate for this date - see Settings",IF(SUMPRODUCT((G174:R174&lt;&gt;"")*(G$5:R$5=""))&gt;0,"attendance in an empty worker slot",""))))))</f>
        <v/>
      </c>
      <c r="X174" s="133" t="n"/>
      <c r="Y174" s="125" t="n"/>
      <c r="Z174" s="126" t="n"/>
      <c r="AA174" s="126" t="n"/>
      <c r="AB174" s="126" t="n"/>
      <c r="AC174" s="126" t="n"/>
      <c r="AD174" s="126" t="n"/>
      <c r="AE174" s="126" t="n"/>
      <c r="AF174" s="126" t="n"/>
      <c r="AG174" s="126" t="n"/>
      <c r="AH174" s="126" t="n"/>
      <c r="AI174" s="126" t="n"/>
      <c r="AJ174" s="126" t="n"/>
      <c r="AK174" s="126" t="n"/>
      <c r="AL174" s="126" t="n"/>
      <c r="AM174" s="126" t="n"/>
    </row>
    <row r="175" ht="21" customFormat="1" customHeight="1" s="127">
      <c r="A175" s="250" t="n">
        <v>46433</v>
      </c>
      <c r="B175" s="63">
        <f>CHOOSE(WEEKDAY($A175,2),"Mon","Tue","Wed","Thu","Fri","Sat","Sun")</f>
        <v/>
      </c>
      <c r="C175" s="64" t="n"/>
      <c r="D175" s="64" t="n"/>
      <c r="E175" s="65">
        <f>IF($C175="","",$C175-N($D175))</f>
        <v/>
      </c>
      <c r="F175" s="65">
        <f>IF($C175="","",$C175-MAX(0,N($D175)-BreakAllow*$C175))</f>
        <v/>
      </c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1">
        <f>IF(COUNT(G175:R175)=0,"",SUM(G175:R175))</f>
        <v/>
      </c>
      <c r="T175" s="251">
        <f>IF($C175="","",IFERROR(INDEX(RateValues,MATCH(SUMPRODUCT(MAX((RateDates&lt;=$A175)*RateDates)),RateDates,0)),0))</f>
        <v/>
      </c>
      <c r="U175" s="252">
        <f>IF($C175="","",$F175*$T175)</f>
        <v/>
      </c>
      <c r="V175" s="253">
        <f>$A175-WEEKDAY($A175,2)+1</f>
        <v/>
      </c>
      <c r="W175" s="132">
        <f t="array" ref="W175">IF(AND($C175="",S175=""),"",IF(AND(N($C175)&gt;0,N(S175)=0),"nobody marked present",IF(N($D175)&gt;N($C175),"more broken than moulded",IF(AND($C175="",N(S175)&gt;0),"attendance marked but no blocks entered",IF(AND(N($C175)&gt;0,N(T175)=0),"no pay rate for this date - see Settings",IF(SUMPRODUCT((G175:R175&lt;&gt;"")*(G$5:R$5=""))&gt;0,"attendance in an empty worker slot",""))))))</f>
        <v/>
      </c>
      <c r="X175" s="133" t="n"/>
      <c r="Y175" s="125" t="n"/>
      <c r="Z175" s="126" t="n"/>
      <c r="AA175" s="126" t="n"/>
      <c r="AB175" s="126" t="n"/>
      <c r="AC175" s="126" t="n"/>
      <c r="AD175" s="126" t="n"/>
      <c r="AE175" s="126" t="n"/>
      <c r="AF175" s="126" t="n"/>
      <c r="AG175" s="126" t="n"/>
      <c r="AH175" s="126" t="n"/>
      <c r="AI175" s="126" t="n"/>
      <c r="AJ175" s="126" t="n"/>
      <c r="AK175" s="126" t="n"/>
      <c r="AL175" s="126" t="n"/>
      <c r="AM175" s="126" t="n"/>
    </row>
    <row r="176" ht="21" customFormat="1" customHeight="1" s="127">
      <c r="A176" s="250" t="n">
        <v>46434</v>
      </c>
      <c r="B176" s="63">
        <f>CHOOSE(WEEKDAY($A176,2),"Mon","Tue","Wed","Thu","Fri","Sat","Sun")</f>
        <v/>
      </c>
      <c r="C176" s="64" t="n"/>
      <c r="D176" s="64" t="n"/>
      <c r="E176" s="65">
        <f>IF($C176="","",$C176-N($D176))</f>
        <v/>
      </c>
      <c r="F176" s="65">
        <f>IF($C176="","",$C176-MAX(0,N($D176)-BreakAllow*$C176))</f>
        <v/>
      </c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1">
        <f>IF(COUNT(G176:R176)=0,"",SUM(G176:R176))</f>
        <v/>
      </c>
      <c r="T176" s="251">
        <f>IF($C176="","",IFERROR(INDEX(RateValues,MATCH(SUMPRODUCT(MAX((RateDates&lt;=$A176)*RateDates)),RateDates,0)),0))</f>
        <v/>
      </c>
      <c r="U176" s="252">
        <f>IF($C176="","",$F176*$T176)</f>
        <v/>
      </c>
      <c r="V176" s="253">
        <f>$A176-WEEKDAY($A176,2)+1</f>
        <v/>
      </c>
      <c r="W176" s="132">
        <f t="array" ref="W176">IF(AND($C176="",S176=""),"",IF(AND(N($C176)&gt;0,N(S176)=0),"nobody marked present",IF(N($D176)&gt;N($C176),"more broken than moulded",IF(AND($C176="",N(S176)&gt;0),"attendance marked but no blocks entered",IF(AND(N($C176)&gt;0,N(T176)=0),"no pay rate for this date - see Settings",IF(SUMPRODUCT((G176:R176&lt;&gt;"")*(G$5:R$5=""))&gt;0,"attendance in an empty worker slot",""))))))</f>
        <v/>
      </c>
      <c r="X176" s="133" t="n"/>
      <c r="Y176" s="125" t="n"/>
      <c r="Z176" s="126" t="n"/>
      <c r="AA176" s="126" t="n"/>
      <c r="AB176" s="126" t="n"/>
      <c r="AC176" s="126" t="n"/>
      <c r="AD176" s="126" t="n"/>
      <c r="AE176" s="126" t="n"/>
      <c r="AF176" s="126" t="n"/>
      <c r="AG176" s="126" t="n"/>
      <c r="AH176" s="126" t="n"/>
      <c r="AI176" s="126" t="n"/>
      <c r="AJ176" s="126" t="n"/>
      <c r="AK176" s="126" t="n"/>
      <c r="AL176" s="126" t="n"/>
      <c r="AM176" s="126" t="n"/>
    </row>
    <row r="177" ht="21" customFormat="1" customHeight="1" s="127">
      <c r="A177" s="250" t="n">
        <v>46435</v>
      </c>
      <c r="B177" s="63">
        <f>CHOOSE(WEEKDAY($A177,2),"Mon","Tue","Wed","Thu","Fri","Sat","Sun")</f>
        <v/>
      </c>
      <c r="C177" s="64" t="n"/>
      <c r="D177" s="64" t="n"/>
      <c r="E177" s="65">
        <f>IF($C177="","",$C177-N($D177))</f>
        <v/>
      </c>
      <c r="F177" s="65">
        <f>IF($C177="","",$C177-MAX(0,N($D177)-BreakAllow*$C177))</f>
        <v/>
      </c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1">
        <f>IF(COUNT(G177:R177)=0,"",SUM(G177:R177))</f>
        <v/>
      </c>
      <c r="T177" s="251">
        <f>IF($C177="","",IFERROR(INDEX(RateValues,MATCH(SUMPRODUCT(MAX((RateDates&lt;=$A177)*RateDates)),RateDates,0)),0))</f>
        <v/>
      </c>
      <c r="U177" s="252">
        <f>IF($C177="","",$F177*$T177)</f>
        <v/>
      </c>
      <c r="V177" s="253">
        <f>$A177-WEEKDAY($A177,2)+1</f>
        <v/>
      </c>
      <c r="W177" s="132">
        <f t="array" ref="W177">IF(AND($C177="",S177=""),"",IF(AND(N($C177)&gt;0,N(S177)=0),"nobody marked present",IF(N($D177)&gt;N($C177),"more broken than moulded",IF(AND($C177="",N(S177)&gt;0),"attendance marked but no blocks entered",IF(AND(N($C177)&gt;0,N(T177)=0),"no pay rate for this date - see Settings",IF(SUMPRODUCT((G177:R177&lt;&gt;"")*(G$5:R$5=""))&gt;0,"attendance in an empty worker slot",""))))))</f>
        <v/>
      </c>
      <c r="X177" s="133" t="n"/>
      <c r="Y177" s="125" t="n"/>
      <c r="Z177" s="126" t="n"/>
      <c r="AA177" s="126" t="n"/>
      <c r="AB177" s="126" t="n"/>
      <c r="AC177" s="126" t="n"/>
      <c r="AD177" s="126" t="n"/>
      <c r="AE177" s="126" t="n"/>
      <c r="AF177" s="126" t="n"/>
      <c r="AG177" s="126" t="n"/>
      <c r="AH177" s="126" t="n"/>
      <c r="AI177" s="126" t="n"/>
      <c r="AJ177" s="126" t="n"/>
      <c r="AK177" s="126" t="n"/>
      <c r="AL177" s="126" t="n"/>
      <c r="AM177" s="126" t="n"/>
    </row>
    <row r="178" ht="21" customFormat="1" customHeight="1" s="127">
      <c r="A178" s="250" t="n">
        <v>46436</v>
      </c>
      <c r="B178" s="63">
        <f>CHOOSE(WEEKDAY($A178,2),"Mon","Tue","Wed","Thu","Fri","Sat","Sun")</f>
        <v/>
      </c>
      <c r="C178" s="64" t="n"/>
      <c r="D178" s="64" t="n"/>
      <c r="E178" s="65">
        <f>IF($C178="","",$C178-N($D178))</f>
        <v/>
      </c>
      <c r="F178" s="65">
        <f>IF($C178="","",$C178-MAX(0,N($D178)-BreakAllow*$C178))</f>
        <v/>
      </c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1">
        <f>IF(COUNT(G178:R178)=0,"",SUM(G178:R178))</f>
        <v/>
      </c>
      <c r="T178" s="251">
        <f>IF($C178="","",IFERROR(INDEX(RateValues,MATCH(SUMPRODUCT(MAX((RateDates&lt;=$A178)*RateDates)),RateDates,0)),0))</f>
        <v/>
      </c>
      <c r="U178" s="252">
        <f>IF($C178="","",$F178*$T178)</f>
        <v/>
      </c>
      <c r="V178" s="253">
        <f>$A178-WEEKDAY($A178,2)+1</f>
        <v/>
      </c>
      <c r="W178" s="132">
        <f t="array" ref="W178">IF(AND($C178="",S178=""),"",IF(AND(N($C178)&gt;0,N(S178)=0),"nobody marked present",IF(N($D178)&gt;N($C178),"more broken than moulded",IF(AND($C178="",N(S178)&gt;0),"attendance marked but no blocks entered",IF(AND(N($C178)&gt;0,N(T178)=0),"no pay rate for this date - see Settings",IF(SUMPRODUCT((G178:R178&lt;&gt;"")*(G$5:R$5=""))&gt;0,"attendance in an empty worker slot",""))))))</f>
        <v/>
      </c>
      <c r="X178" s="133" t="n"/>
      <c r="Y178" s="125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  <c r="AM178" s="126" t="n"/>
    </row>
    <row r="179" ht="21" customFormat="1" customHeight="1" s="127">
      <c r="A179" s="250" t="n">
        <v>46437</v>
      </c>
      <c r="B179" s="63">
        <f>CHOOSE(WEEKDAY($A179,2),"Mon","Tue","Wed","Thu","Fri","Sat","Sun")</f>
        <v/>
      </c>
      <c r="C179" s="64" t="n"/>
      <c r="D179" s="64" t="n"/>
      <c r="E179" s="65">
        <f>IF($C179="","",$C179-N($D179))</f>
        <v/>
      </c>
      <c r="F179" s="65">
        <f>IF($C179="","",$C179-MAX(0,N($D179)-BreakAllow*$C179))</f>
        <v/>
      </c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1">
        <f>IF(COUNT(G179:R179)=0,"",SUM(G179:R179))</f>
        <v/>
      </c>
      <c r="T179" s="251">
        <f>IF($C179="","",IFERROR(INDEX(RateValues,MATCH(SUMPRODUCT(MAX((RateDates&lt;=$A179)*RateDates)),RateDates,0)),0))</f>
        <v/>
      </c>
      <c r="U179" s="252">
        <f>IF($C179="","",$F179*$T179)</f>
        <v/>
      </c>
      <c r="V179" s="253">
        <f>$A179-WEEKDAY($A179,2)+1</f>
        <v/>
      </c>
      <c r="W179" s="132">
        <f t="array" ref="W179">IF(AND($C179="",S179=""),"",IF(AND(N($C179)&gt;0,N(S179)=0),"nobody marked present",IF(N($D179)&gt;N($C179),"more broken than moulded",IF(AND($C179="",N(S179)&gt;0),"attendance marked but no blocks entered",IF(AND(N($C179)&gt;0,N(T179)=0),"no pay rate for this date - see Settings",IF(SUMPRODUCT((G179:R179&lt;&gt;"")*(G$5:R$5=""))&gt;0,"attendance in an empty worker slot",""))))))</f>
        <v/>
      </c>
      <c r="X179" s="133" t="n"/>
      <c r="Y179" s="125" t="n"/>
      <c r="Z179" s="126" t="n"/>
      <c r="AA179" s="126" t="n"/>
      <c r="AB179" s="126" t="n"/>
      <c r="AC179" s="126" t="n"/>
      <c r="AD179" s="126" t="n"/>
      <c r="AE179" s="126" t="n"/>
      <c r="AF179" s="126" t="n"/>
      <c r="AG179" s="126" t="n"/>
      <c r="AH179" s="126" t="n"/>
      <c r="AI179" s="126" t="n"/>
      <c r="AJ179" s="126" t="n"/>
      <c r="AK179" s="126" t="n"/>
      <c r="AL179" s="126" t="n"/>
      <c r="AM179" s="126" t="n"/>
    </row>
    <row r="180" ht="21" customFormat="1" customHeight="1" s="127">
      <c r="A180" s="250" t="n">
        <v>46438</v>
      </c>
      <c r="B180" s="63">
        <f>CHOOSE(WEEKDAY($A180,2),"Mon","Tue","Wed","Thu","Fri","Sat","Sun")</f>
        <v/>
      </c>
      <c r="C180" s="64" t="n"/>
      <c r="D180" s="64" t="n"/>
      <c r="E180" s="65">
        <f>IF($C180="","",$C180-N($D180))</f>
        <v/>
      </c>
      <c r="F180" s="65">
        <f>IF($C180="","",$C180-MAX(0,N($D180)-BreakAllow*$C180))</f>
        <v/>
      </c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1">
        <f>IF(COUNT(G180:R180)=0,"",SUM(G180:R180))</f>
        <v/>
      </c>
      <c r="T180" s="251">
        <f>IF($C180="","",IFERROR(INDEX(RateValues,MATCH(SUMPRODUCT(MAX((RateDates&lt;=$A180)*RateDates)),RateDates,0)),0))</f>
        <v/>
      </c>
      <c r="U180" s="252">
        <f>IF($C180="","",$F180*$T180)</f>
        <v/>
      </c>
      <c r="V180" s="253">
        <f>$A180-WEEKDAY($A180,2)+1</f>
        <v/>
      </c>
      <c r="W180" s="132">
        <f t="array" ref="W180">IF(AND($C180="",S180=""),"",IF(AND(N($C180)&gt;0,N(S180)=0),"nobody marked present",IF(N($D180)&gt;N($C180),"more broken than moulded",IF(AND($C180="",N(S180)&gt;0),"attendance marked but no blocks entered",IF(AND(N($C180)&gt;0,N(T180)=0),"no pay rate for this date - see Settings",IF(SUMPRODUCT((G180:R180&lt;&gt;"")*(G$5:R$5=""))&gt;0,"attendance in an empty worker slot",""))))))</f>
        <v/>
      </c>
      <c r="X180" s="133" t="n"/>
      <c r="Y180" s="125" t="n"/>
      <c r="Z180" s="126" t="n"/>
      <c r="AA180" s="126" t="n"/>
      <c r="AB180" s="126" t="n"/>
      <c r="AC180" s="126" t="n"/>
      <c r="AD180" s="126" t="n"/>
      <c r="AE180" s="126" t="n"/>
      <c r="AF180" s="126" t="n"/>
      <c r="AG180" s="126" t="n"/>
      <c r="AH180" s="126" t="n"/>
      <c r="AI180" s="126" t="n"/>
      <c r="AJ180" s="126" t="n"/>
      <c r="AK180" s="126" t="n"/>
      <c r="AL180" s="126" t="n"/>
      <c r="AM180" s="126" t="n"/>
    </row>
    <row r="181" ht="21" customFormat="1" customHeight="1" s="127">
      <c r="A181" s="254" t="n">
        <v>46439</v>
      </c>
      <c r="B181" s="70">
        <f>CHOOSE(WEEKDAY($A181,2),"Mon","Tue","Wed","Thu","Fri","Sat","Sun")</f>
        <v/>
      </c>
      <c r="C181" s="64" t="n"/>
      <c r="D181" s="64" t="n"/>
      <c r="E181" s="65">
        <f>IF($C181="","",$C181-N($D181))</f>
        <v/>
      </c>
      <c r="F181" s="65">
        <f>IF($C181="","",$C181-MAX(0,N($D181)-BreakAllow*$C181))</f>
        <v/>
      </c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1">
        <f>IF(COUNT(G181:R181)=0,"",SUM(G181:R181))</f>
        <v/>
      </c>
      <c r="T181" s="251">
        <f>IF($C181="","",IFERROR(INDEX(RateValues,MATCH(SUMPRODUCT(MAX((RateDates&lt;=$A181)*RateDates)),RateDates,0)),0))</f>
        <v/>
      </c>
      <c r="U181" s="252">
        <f>IF($C181="","",$F181*$T181)</f>
        <v/>
      </c>
      <c r="V181" s="253">
        <f>$A181-WEEKDAY($A181,2)+1</f>
        <v/>
      </c>
      <c r="W181" s="132">
        <f t="array" ref="W181">IF(AND($C181="",S181=""),"",IF(AND(N($C181)&gt;0,N(S181)=0),"nobody marked present",IF(N($D181)&gt;N($C181),"more broken than moulded",IF(AND($C181="",N(S181)&gt;0),"attendance marked but no blocks entered",IF(AND(N($C181)&gt;0,N(T181)=0),"no pay rate for this date - see Settings",IF(SUMPRODUCT((G181:R181&lt;&gt;"")*(G$5:R$5=""))&gt;0,"attendance in an empty worker slot",""))))))</f>
        <v/>
      </c>
      <c r="X181" s="133" t="n"/>
      <c r="Y181" s="125" t="n"/>
      <c r="Z181" s="126" t="n"/>
      <c r="AA181" s="126" t="n"/>
      <c r="AB181" s="126" t="n"/>
      <c r="AC181" s="126" t="n"/>
      <c r="AD181" s="126" t="n"/>
      <c r="AE181" s="126" t="n"/>
      <c r="AF181" s="126" t="n"/>
      <c r="AG181" s="126" t="n"/>
      <c r="AH181" s="126" t="n"/>
      <c r="AI181" s="126" t="n"/>
      <c r="AJ181" s="126" t="n"/>
      <c r="AK181" s="126" t="n"/>
      <c r="AL181" s="126" t="n"/>
      <c r="AM181" s="126" t="n"/>
    </row>
    <row r="182" ht="21" customFormat="1" customHeight="1" s="127">
      <c r="A182" s="250" t="n">
        <v>46440</v>
      </c>
      <c r="B182" s="63">
        <f>CHOOSE(WEEKDAY($A182,2),"Mon","Tue","Wed","Thu","Fri","Sat","Sun")</f>
        <v/>
      </c>
      <c r="C182" s="64" t="n"/>
      <c r="D182" s="64" t="n"/>
      <c r="E182" s="65">
        <f>IF($C182="","",$C182-N($D182))</f>
        <v/>
      </c>
      <c r="F182" s="65">
        <f>IF($C182="","",$C182-MAX(0,N($D182)-BreakAllow*$C182))</f>
        <v/>
      </c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1">
        <f>IF(COUNT(G182:R182)=0,"",SUM(G182:R182))</f>
        <v/>
      </c>
      <c r="T182" s="251">
        <f>IF($C182="","",IFERROR(INDEX(RateValues,MATCH(SUMPRODUCT(MAX((RateDates&lt;=$A182)*RateDates)),RateDates,0)),0))</f>
        <v/>
      </c>
      <c r="U182" s="252">
        <f>IF($C182="","",$F182*$T182)</f>
        <v/>
      </c>
      <c r="V182" s="253">
        <f>$A182-WEEKDAY($A182,2)+1</f>
        <v/>
      </c>
      <c r="W182" s="132">
        <f t="array" ref="W182">IF(AND($C182="",S182=""),"",IF(AND(N($C182)&gt;0,N(S182)=0),"nobody marked present",IF(N($D182)&gt;N($C182),"more broken than moulded",IF(AND($C182="",N(S182)&gt;0),"attendance marked but no blocks entered",IF(AND(N($C182)&gt;0,N(T182)=0),"no pay rate for this date - see Settings",IF(SUMPRODUCT((G182:R182&lt;&gt;"")*(G$5:R$5=""))&gt;0,"attendance in an empty worker slot",""))))))</f>
        <v/>
      </c>
      <c r="X182" s="133" t="n"/>
      <c r="Y182" s="125" t="n"/>
      <c r="Z182" s="126" t="n"/>
      <c r="AA182" s="126" t="n"/>
      <c r="AB182" s="126" t="n"/>
      <c r="AC182" s="126" t="n"/>
      <c r="AD182" s="126" t="n"/>
      <c r="AE182" s="126" t="n"/>
      <c r="AF182" s="126" t="n"/>
      <c r="AG182" s="126" t="n"/>
      <c r="AH182" s="126" t="n"/>
      <c r="AI182" s="126" t="n"/>
      <c r="AJ182" s="126" t="n"/>
      <c r="AK182" s="126" t="n"/>
      <c r="AL182" s="126" t="n"/>
      <c r="AM182" s="126" t="n"/>
    </row>
    <row r="183" ht="21" customFormat="1" customHeight="1" s="127">
      <c r="A183" s="250" t="n">
        <v>46441</v>
      </c>
      <c r="B183" s="63">
        <f>CHOOSE(WEEKDAY($A183,2),"Mon","Tue","Wed","Thu","Fri","Sat","Sun")</f>
        <v/>
      </c>
      <c r="C183" s="64" t="n"/>
      <c r="D183" s="64" t="n"/>
      <c r="E183" s="65">
        <f>IF($C183="","",$C183-N($D183))</f>
        <v/>
      </c>
      <c r="F183" s="65">
        <f>IF($C183="","",$C183-MAX(0,N($D183)-BreakAllow*$C183))</f>
        <v/>
      </c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1">
        <f>IF(COUNT(G183:R183)=0,"",SUM(G183:R183))</f>
        <v/>
      </c>
      <c r="T183" s="251">
        <f>IF($C183="","",IFERROR(INDEX(RateValues,MATCH(SUMPRODUCT(MAX((RateDates&lt;=$A183)*RateDates)),RateDates,0)),0))</f>
        <v/>
      </c>
      <c r="U183" s="252">
        <f>IF($C183="","",$F183*$T183)</f>
        <v/>
      </c>
      <c r="V183" s="253">
        <f>$A183-WEEKDAY($A183,2)+1</f>
        <v/>
      </c>
      <c r="W183" s="132">
        <f t="array" ref="W183">IF(AND($C183="",S183=""),"",IF(AND(N($C183)&gt;0,N(S183)=0),"nobody marked present",IF(N($D183)&gt;N($C183),"more broken than moulded",IF(AND($C183="",N(S183)&gt;0),"attendance marked but no blocks entered",IF(AND(N($C183)&gt;0,N(T183)=0),"no pay rate for this date - see Settings",IF(SUMPRODUCT((G183:R183&lt;&gt;"")*(G$5:R$5=""))&gt;0,"attendance in an empty worker slot",""))))))</f>
        <v/>
      </c>
      <c r="X183" s="133" t="n"/>
      <c r="Y183" s="125" t="n"/>
      <c r="Z183" s="126" t="n"/>
      <c r="AA183" s="126" t="n"/>
      <c r="AB183" s="126" t="n"/>
      <c r="AC183" s="126" t="n"/>
      <c r="AD183" s="126" t="n"/>
      <c r="AE183" s="126" t="n"/>
      <c r="AF183" s="126" t="n"/>
      <c r="AG183" s="126" t="n"/>
      <c r="AH183" s="126" t="n"/>
      <c r="AI183" s="126" t="n"/>
      <c r="AJ183" s="126" t="n"/>
      <c r="AK183" s="126" t="n"/>
      <c r="AL183" s="126" t="n"/>
      <c r="AM183" s="126" t="n"/>
    </row>
    <row r="184" ht="21" customFormat="1" customHeight="1" s="127">
      <c r="A184" s="250" t="n">
        <v>46442</v>
      </c>
      <c r="B184" s="63">
        <f>CHOOSE(WEEKDAY($A184,2),"Mon","Tue","Wed","Thu","Fri","Sat","Sun")</f>
        <v/>
      </c>
      <c r="C184" s="64" t="n"/>
      <c r="D184" s="64" t="n"/>
      <c r="E184" s="65">
        <f>IF($C184="","",$C184-N($D184))</f>
        <v/>
      </c>
      <c r="F184" s="65">
        <f>IF($C184="","",$C184-MAX(0,N($D184)-BreakAllow*$C184))</f>
        <v/>
      </c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1">
        <f>IF(COUNT(G184:R184)=0,"",SUM(G184:R184))</f>
        <v/>
      </c>
      <c r="T184" s="251">
        <f>IF($C184="","",IFERROR(INDEX(RateValues,MATCH(SUMPRODUCT(MAX((RateDates&lt;=$A184)*RateDates)),RateDates,0)),0))</f>
        <v/>
      </c>
      <c r="U184" s="252">
        <f>IF($C184="","",$F184*$T184)</f>
        <v/>
      </c>
      <c r="V184" s="253">
        <f>$A184-WEEKDAY($A184,2)+1</f>
        <v/>
      </c>
      <c r="W184" s="132">
        <f t="array" ref="W184">IF(AND($C184="",S184=""),"",IF(AND(N($C184)&gt;0,N(S184)=0),"nobody marked present",IF(N($D184)&gt;N($C184),"more broken than moulded",IF(AND($C184="",N(S184)&gt;0),"attendance marked but no blocks entered",IF(AND(N($C184)&gt;0,N(T184)=0),"no pay rate for this date - see Settings",IF(SUMPRODUCT((G184:R184&lt;&gt;"")*(G$5:R$5=""))&gt;0,"attendance in an empty worker slot",""))))))</f>
        <v/>
      </c>
      <c r="X184" s="133" t="n"/>
      <c r="Y184" s="125" t="n"/>
      <c r="Z184" s="126" t="n"/>
      <c r="AA184" s="126" t="n"/>
      <c r="AB184" s="126" t="n"/>
      <c r="AC184" s="126" t="n"/>
      <c r="AD184" s="126" t="n"/>
      <c r="AE184" s="126" t="n"/>
      <c r="AF184" s="126" t="n"/>
      <c r="AG184" s="126" t="n"/>
      <c r="AH184" s="126" t="n"/>
      <c r="AI184" s="126" t="n"/>
      <c r="AJ184" s="126" t="n"/>
      <c r="AK184" s="126" t="n"/>
      <c r="AL184" s="126" t="n"/>
      <c r="AM184" s="126" t="n"/>
    </row>
    <row r="185" ht="21" customFormat="1" customHeight="1" s="127">
      <c r="A185" s="250" t="n">
        <v>46443</v>
      </c>
      <c r="B185" s="63">
        <f>CHOOSE(WEEKDAY($A185,2),"Mon","Tue","Wed","Thu","Fri","Sat","Sun")</f>
        <v/>
      </c>
      <c r="C185" s="64" t="n"/>
      <c r="D185" s="64" t="n"/>
      <c r="E185" s="65">
        <f>IF($C185="","",$C185-N($D185))</f>
        <v/>
      </c>
      <c r="F185" s="65">
        <f>IF($C185="","",$C185-MAX(0,N($D185)-BreakAllow*$C185))</f>
        <v/>
      </c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1">
        <f>IF(COUNT(G185:R185)=0,"",SUM(G185:R185))</f>
        <v/>
      </c>
      <c r="T185" s="251">
        <f>IF($C185="","",IFERROR(INDEX(RateValues,MATCH(SUMPRODUCT(MAX((RateDates&lt;=$A185)*RateDates)),RateDates,0)),0))</f>
        <v/>
      </c>
      <c r="U185" s="252">
        <f>IF($C185="","",$F185*$T185)</f>
        <v/>
      </c>
      <c r="V185" s="253">
        <f>$A185-WEEKDAY($A185,2)+1</f>
        <v/>
      </c>
      <c r="W185" s="132">
        <f t="array" ref="W185">IF(AND($C185="",S185=""),"",IF(AND(N($C185)&gt;0,N(S185)=0),"nobody marked present",IF(N($D185)&gt;N($C185),"more broken than moulded",IF(AND($C185="",N(S185)&gt;0),"attendance marked but no blocks entered",IF(AND(N($C185)&gt;0,N(T185)=0),"no pay rate for this date - see Settings",IF(SUMPRODUCT((G185:R185&lt;&gt;"")*(G$5:R$5=""))&gt;0,"attendance in an empty worker slot",""))))))</f>
        <v/>
      </c>
      <c r="X185" s="133" t="n"/>
      <c r="Y185" s="125" t="n"/>
      <c r="Z185" s="126" t="n"/>
      <c r="AA185" s="126" t="n"/>
      <c r="AB185" s="126" t="n"/>
      <c r="AC185" s="126" t="n"/>
      <c r="AD185" s="126" t="n"/>
      <c r="AE185" s="126" t="n"/>
      <c r="AF185" s="126" t="n"/>
      <c r="AG185" s="126" t="n"/>
      <c r="AH185" s="126" t="n"/>
      <c r="AI185" s="126" t="n"/>
      <c r="AJ185" s="126" t="n"/>
      <c r="AK185" s="126" t="n"/>
      <c r="AL185" s="126" t="n"/>
      <c r="AM185" s="126" t="n"/>
    </row>
    <row r="186" ht="21" customFormat="1" customHeight="1" s="127">
      <c r="A186" s="250" t="n">
        <v>46444</v>
      </c>
      <c r="B186" s="63">
        <f>CHOOSE(WEEKDAY($A186,2),"Mon","Tue","Wed","Thu","Fri","Sat","Sun")</f>
        <v/>
      </c>
      <c r="C186" s="64" t="n"/>
      <c r="D186" s="64" t="n"/>
      <c r="E186" s="65">
        <f>IF($C186="","",$C186-N($D186))</f>
        <v/>
      </c>
      <c r="F186" s="65">
        <f>IF($C186="","",$C186-MAX(0,N($D186)-BreakAllow*$C186))</f>
        <v/>
      </c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1">
        <f>IF(COUNT(G186:R186)=0,"",SUM(G186:R186))</f>
        <v/>
      </c>
      <c r="T186" s="251">
        <f>IF($C186="","",IFERROR(INDEX(RateValues,MATCH(SUMPRODUCT(MAX((RateDates&lt;=$A186)*RateDates)),RateDates,0)),0))</f>
        <v/>
      </c>
      <c r="U186" s="252">
        <f>IF($C186="","",$F186*$T186)</f>
        <v/>
      </c>
      <c r="V186" s="253">
        <f>$A186-WEEKDAY($A186,2)+1</f>
        <v/>
      </c>
      <c r="W186" s="132">
        <f t="array" ref="W186">IF(AND($C186="",S186=""),"",IF(AND(N($C186)&gt;0,N(S186)=0),"nobody marked present",IF(N($D186)&gt;N($C186),"more broken than moulded",IF(AND($C186="",N(S186)&gt;0),"attendance marked but no blocks entered",IF(AND(N($C186)&gt;0,N(T186)=0),"no pay rate for this date - see Settings",IF(SUMPRODUCT((G186:R186&lt;&gt;"")*(G$5:R$5=""))&gt;0,"attendance in an empty worker slot",""))))))</f>
        <v/>
      </c>
      <c r="X186" s="133" t="n"/>
      <c r="Y186" s="125" t="n"/>
      <c r="Z186" s="126" t="n"/>
      <c r="AA186" s="126" t="n"/>
      <c r="AB186" s="126" t="n"/>
      <c r="AC186" s="126" t="n"/>
      <c r="AD186" s="126" t="n"/>
      <c r="AE186" s="126" t="n"/>
      <c r="AF186" s="126" t="n"/>
      <c r="AG186" s="126" t="n"/>
      <c r="AH186" s="126" t="n"/>
      <c r="AI186" s="126" t="n"/>
      <c r="AJ186" s="126" t="n"/>
      <c r="AK186" s="126" t="n"/>
      <c r="AL186" s="126" t="n"/>
      <c r="AM186" s="126" t="n"/>
    </row>
    <row r="187" ht="21" customFormat="1" customHeight="1" s="127">
      <c r="A187" s="250" t="n">
        <v>46445</v>
      </c>
      <c r="B187" s="63">
        <f>CHOOSE(WEEKDAY($A187,2),"Mon","Tue","Wed","Thu","Fri","Sat","Sun")</f>
        <v/>
      </c>
      <c r="C187" s="64" t="n"/>
      <c r="D187" s="64" t="n"/>
      <c r="E187" s="65">
        <f>IF($C187="","",$C187-N($D187))</f>
        <v/>
      </c>
      <c r="F187" s="65">
        <f>IF($C187="","",$C187-MAX(0,N($D187)-BreakAllow*$C187))</f>
        <v/>
      </c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1">
        <f>IF(COUNT(G187:R187)=0,"",SUM(G187:R187))</f>
        <v/>
      </c>
      <c r="T187" s="251">
        <f>IF($C187="","",IFERROR(INDEX(RateValues,MATCH(SUMPRODUCT(MAX((RateDates&lt;=$A187)*RateDates)),RateDates,0)),0))</f>
        <v/>
      </c>
      <c r="U187" s="252">
        <f>IF($C187="","",$F187*$T187)</f>
        <v/>
      </c>
      <c r="V187" s="253">
        <f>$A187-WEEKDAY($A187,2)+1</f>
        <v/>
      </c>
      <c r="W187" s="132">
        <f t="array" ref="W187">IF(AND($C187="",S187=""),"",IF(AND(N($C187)&gt;0,N(S187)=0),"nobody marked present",IF(N($D187)&gt;N($C187),"more broken than moulded",IF(AND($C187="",N(S187)&gt;0),"attendance marked but no blocks entered",IF(AND(N($C187)&gt;0,N(T187)=0),"no pay rate for this date - see Settings",IF(SUMPRODUCT((G187:R187&lt;&gt;"")*(G$5:R$5=""))&gt;0,"attendance in an empty worker slot",""))))))</f>
        <v/>
      </c>
      <c r="X187" s="133" t="n"/>
      <c r="Y187" s="125" t="n"/>
      <c r="Z187" s="126" t="n"/>
      <c r="AA187" s="126" t="n"/>
      <c r="AB187" s="126" t="n"/>
      <c r="AC187" s="126" t="n"/>
      <c r="AD187" s="126" t="n"/>
      <c r="AE187" s="126" t="n"/>
      <c r="AF187" s="126" t="n"/>
      <c r="AG187" s="126" t="n"/>
      <c r="AH187" s="126" t="n"/>
      <c r="AI187" s="126" t="n"/>
      <c r="AJ187" s="126" t="n"/>
      <c r="AK187" s="126" t="n"/>
      <c r="AL187" s="126" t="n"/>
      <c r="AM187" s="126" t="n"/>
    </row>
    <row r="188" ht="21" customFormat="1" customHeight="1" s="127">
      <c r="A188" s="254" t="n">
        <v>46446</v>
      </c>
      <c r="B188" s="70">
        <f>CHOOSE(WEEKDAY($A188,2),"Mon","Tue","Wed","Thu","Fri","Sat","Sun")</f>
        <v/>
      </c>
      <c r="C188" s="64" t="n"/>
      <c r="D188" s="64" t="n"/>
      <c r="E188" s="65">
        <f>IF($C188="","",$C188-N($D188))</f>
        <v/>
      </c>
      <c r="F188" s="65">
        <f>IF($C188="","",$C188-MAX(0,N($D188)-BreakAllow*$C188))</f>
        <v/>
      </c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1">
        <f>IF(COUNT(G188:R188)=0,"",SUM(G188:R188))</f>
        <v/>
      </c>
      <c r="T188" s="251">
        <f>IF($C188="","",IFERROR(INDEX(RateValues,MATCH(SUMPRODUCT(MAX((RateDates&lt;=$A188)*RateDates)),RateDates,0)),0))</f>
        <v/>
      </c>
      <c r="U188" s="252">
        <f>IF($C188="","",$F188*$T188)</f>
        <v/>
      </c>
      <c r="V188" s="253">
        <f>$A188-WEEKDAY($A188,2)+1</f>
        <v/>
      </c>
      <c r="W188" s="132">
        <f t="array" ref="W188">IF(AND($C188="",S188=""),"",IF(AND(N($C188)&gt;0,N(S188)=0),"nobody marked present",IF(N($D188)&gt;N($C188),"more broken than moulded",IF(AND($C188="",N(S188)&gt;0),"attendance marked but no blocks entered",IF(AND(N($C188)&gt;0,N(T188)=0),"no pay rate for this date - see Settings",IF(SUMPRODUCT((G188:R188&lt;&gt;"")*(G$5:R$5=""))&gt;0,"attendance in an empty worker slot",""))))))</f>
        <v/>
      </c>
      <c r="X188" s="133" t="n"/>
      <c r="Y188" s="125" t="n"/>
      <c r="Z188" s="126" t="n"/>
      <c r="AA188" s="126" t="n"/>
      <c r="AB188" s="126" t="n"/>
      <c r="AC188" s="126" t="n"/>
      <c r="AD188" s="126" t="n"/>
      <c r="AE188" s="126" t="n"/>
      <c r="AF188" s="126" t="n"/>
      <c r="AG188" s="126" t="n"/>
      <c r="AH188" s="126" t="n"/>
      <c r="AI188" s="126" t="n"/>
      <c r="AJ188" s="126" t="n"/>
      <c r="AK188" s="126" t="n"/>
      <c r="AL188" s="126" t="n"/>
      <c r="AM188" s="126" t="n"/>
    </row>
    <row r="189" ht="21" customFormat="1" customHeight="1" s="127">
      <c r="A189" s="250" t="n">
        <v>46447</v>
      </c>
      <c r="B189" s="63">
        <f>CHOOSE(WEEKDAY($A189,2),"Mon","Tue","Wed","Thu","Fri","Sat","Sun")</f>
        <v/>
      </c>
      <c r="C189" s="64" t="n"/>
      <c r="D189" s="64" t="n"/>
      <c r="E189" s="65">
        <f>IF($C189="","",$C189-N($D189))</f>
        <v/>
      </c>
      <c r="F189" s="65">
        <f>IF($C189="","",$C189-MAX(0,N($D189)-BreakAllow*$C189))</f>
        <v/>
      </c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1">
        <f>IF(COUNT(G189:R189)=0,"",SUM(G189:R189))</f>
        <v/>
      </c>
      <c r="T189" s="251">
        <f>IF($C189="","",IFERROR(INDEX(RateValues,MATCH(SUMPRODUCT(MAX((RateDates&lt;=$A189)*RateDates)),RateDates,0)),0))</f>
        <v/>
      </c>
      <c r="U189" s="252">
        <f>IF($C189="","",$F189*$T189)</f>
        <v/>
      </c>
      <c r="V189" s="253">
        <f>$A189-WEEKDAY($A189,2)+1</f>
        <v/>
      </c>
      <c r="W189" s="132">
        <f t="array" ref="W189">IF(AND($C189="",S189=""),"",IF(AND(N($C189)&gt;0,N(S189)=0),"nobody marked present",IF(N($D189)&gt;N($C189),"more broken than moulded",IF(AND($C189="",N(S189)&gt;0),"attendance marked but no blocks entered",IF(AND(N($C189)&gt;0,N(T189)=0),"no pay rate for this date - see Settings",IF(SUMPRODUCT((G189:R189&lt;&gt;"")*(G$5:R$5=""))&gt;0,"attendance in an empty worker slot",""))))))</f>
        <v/>
      </c>
      <c r="X189" s="133" t="n"/>
      <c r="Y189" s="125" t="n"/>
      <c r="Z189" s="126" t="n"/>
      <c r="AA189" s="126" t="n"/>
      <c r="AB189" s="126" t="n"/>
      <c r="AC189" s="126" t="n"/>
      <c r="AD189" s="126" t="n"/>
      <c r="AE189" s="126" t="n"/>
      <c r="AF189" s="126" t="n"/>
      <c r="AG189" s="126" t="n"/>
      <c r="AH189" s="126" t="n"/>
      <c r="AI189" s="126" t="n"/>
      <c r="AJ189" s="126" t="n"/>
      <c r="AK189" s="126" t="n"/>
      <c r="AL189" s="126" t="n"/>
      <c r="AM189" s="126" t="n"/>
    </row>
    <row r="190" ht="21" customFormat="1" customHeight="1" s="127">
      <c r="A190" s="250" t="n">
        <v>46448</v>
      </c>
      <c r="B190" s="63">
        <f>CHOOSE(WEEKDAY($A190,2),"Mon","Tue","Wed","Thu","Fri","Sat","Sun")</f>
        <v/>
      </c>
      <c r="C190" s="64" t="n"/>
      <c r="D190" s="64" t="n"/>
      <c r="E190" s="65">
        <f>IF($C190="","",$C190-N($D190))</f>
        <v/>
      </c>
      <c r="F190" s="65">
        <f>IF($C190="","",$C190-MAX(0,N($D190)-BreakAllow*$C190))</f>
        <v/>
      </c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1">
        <f>IF(COUNT(G190:R190)=0,"",SUM(G190:R190))</f>
        <v/>
      </c>
      <c r="T190" s="251">
        <f>IF($C190="","",IFERROR(INDEX(RateValues,MATCH(SUMPRODUCT(MAX((RateDates&lt;=$A190)*RateDates)),RateDates,0)),0))</f>
        <v/>
      </c>
      <c r="U190" s="252">
        <f>IF($C190="","",$F190*$T190)</f>
        <v/>
      </c>
      <c r="V190" s="253">
        <f>$A190-WEEKDAY($A190,2)+1</f>
        <v/>
      </c>
      <c r="W190" s="132">
        <f t="array" ref="W190">IF(AND($C190="",S190=""),"",IF(AND(N($C190)&gt;0,N(S190)=0),"nobody marked present",IF(N($D190)&gt;N($C190),"more broken than moulded",IF(AND($C190="",N(S190)&gt;0),"attendance marked but no blocks entered",IF(AND(N($C190)&gt;0,N(T190)=0),"no pay rate for this date - see Settings",IF(SUMPRODUCT((G190:R190&lt;&gt;"")*(G$5:R$5=""))&gt;0,"attendance in an empty worker slot",""))))))</f>
        <v/>
      </c>
      <c r="X190" s="133" t="n"/>
      <c r="Y190" s="125" t="n"/>
      <c r="Z190" s="126" t="n"/>
      <c r="AA190" s="126" t="n"/>
      <c r="AB190" s="126" t="n"/>
      <c r="AC190" s="126" t="n"/>
      <c r="AD190" s="126" t="n"/>
      <c r="AE190" s="126" t="n"/>
      <c r="AF190" s="126" t="n"/>
      <c r="AG190" s="126" t="n"/>
      <c r="AH190" s="126" t="n"/>
      <c r="AI190" s="126" t="n"/>
      <c r="AJ190" s="126" t="n"/>
      <c r="AK190" s="126" t="n"/>
      <c r="AL190" s="126" t="n"/>
      <c r="AM190" s="126" t="n"/>
    </row>
    <row r="191" ht="21" customFormat="1" customHeight="1" s="127">
      <c r="A191" s="250" t="n">
        <v>46449</v>
      </c>
      <c r="B191" s="63">
        <f>CHOOSE(WEEKDAY($A191,2),"Mon","Tue","Wed","Thu","Fri","Sat","Sun")</f>
        <v/>
      </c>
      <c r="C191" s="64" t="n"/>
      <c r="D191" s="64" t="n"/>
      <c r="E191" s="65">
        <f>IF($C191="","",$C191-N($D191))</f>
        <v/>
      </c>
      <c r="F191" s="65">
        <f>IF($C191="","",$C191-MAX(0,N($D191)-BreakAllow*$C191))</f>
        <v/>
      </c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1">
        <f>IF(COUNT(G191:R191)=0,"",SUM(G191:R191))</f>
        <v/>
      </c>
      <c r="T191" s="251">
        <f>IF($C191="","",IFERROR(INDEX(RateValues,MATCH(SUMPRODUCT(MAX((RateDates&lt;=$A191)*RateDates)),RateDates,0)),0))</f>
        <v/>
      </c>
      <c r="U191" s="252">
        <f>IF($C191="","",$F191*$T191)</f>
        <v/>
      </c>
      <c r="V191" s="253">
        <f>$A191-WEEKDAY($A191,2)+1</f>
        <v/>
      </c>
      <c r="W191" s="132">
        <f t="array" ref="W191">IF(AND($C191="",S191=""),"",IF(AND(N($C191)&gt;0,N(S191)=0),"nobody marked present",IF(N($D191)&gt;N($C191),"more broken than moulded",IF(AND($C191="",N(S191)&gt;0),"attendance marked but no blocks entered",IF(AND(N($C191)&gt;0,N(T191)=0),"no pay rate for this date - see Settings",IF(SUMPRODUCT((G191:R191&lt;&gt;"")*(G$5:R$5=""))&gt;0,"attendance in an empty worker slot",""))))))</f>
        <v/>
      </c>
      <c r="X191" s="133" t="n"/>
      <c r="Y191" s="125" t="n"/>
      <c r="Z191" s="126" t="n"/>
      <c r="AA191" s="126" t="n"/>
      <c r="AB191" s="126" t="n"/>
      <c r="AC191" s="126" t="n"/>
      <c r="AD191" s="126" t="n"/>
      <c r="AE191" s="126" t="n"/>
      <c r="AF191" s="126" t="n"/>
      <c r="AG191" s="126" t="n"/>
      <c r="AH191" s="126" t="n"/>
      <c r="AI191" s="126" t="n"/>
      <c r="AJ191" s="126" t="n"/>
      <c r="AK191" s="126" t="n"/>
      <c r="AL191" s="126" t="n"/>
      <c r="AM191" s="126" t="n"/>
    </row>
    <row r="192" ht="21" customFormat="1" customHeight="1" s="127">
      <c r="A192" s="250" t="n">
        <v>46450</v>
      </c>
      <c r="B192" s="63">
        <f>CHOOSE(WEEKDAY($A192,2),"Mon","Tue","Wed","Thu","Fri","Sat","Sun")</f>
        <v/>
      </c>
      <c r="C192" s="64" t="n"/>
      <c r="D192" s="64" t="n"/>
      <c r="E192" s="65">
        <f>IF($C192="","",$C192-N($D192))</f>
        <v/>
      </c>
      <c r="F192" s="65">
        <f>IF($C192="","",$C192-MAX(0,N($D192)-BreakAllow*$C192))</f>
        <v/>
      </c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1">
        <f>IF(COUNT(G192:R192)=0,"",SUM(G192:R192))</f>
        <v/>
      </c>
      <c r="T192" s="251">
        <f>IF($C192="","",IFERROR(INDEX(RateValues,MATCH(SUMPRODUCT(MAX((RateDates&lt;=$A192)*RateDates)),RateDates,0)),0))</f>
        <v/>
      </c>
      <c r="U192" s="252">
        <f>IF($C192="","",$F192*$T192)</f>
        <v/>
      </c>
      <c r="V192" s="253">
        <f>$A192-WEEKDAY($A192,2)+1</f>
        <v/>
      </c>
      <c r="W192" s="132">
        <f t="array" ref="W192">IF(AND($C192="",S192=""),"",IF(AND(N($C192)&gt;0,N(S192)=0),"nobody marked present",IF(N($D192)&gt;N($C192),"more broken than moulded",IF(AND($C192="",N(S192)&gt;0),"attendance marked but no blocks entered",IF(AND(N($C192)&gt;0,N(T192)=0),"no pay rate for this date - see Settings",IF(SUMPRODUCT((G192:R192&lt;&gt;"")*(G$5:R$5=""))&gt;0,"attendance in an empty worker slot",""))))))</f>
        <v/>
      </c>
      <c r="X192" s="133" t="n"/>
      <c r="Y192" s="125" t="n"/>
      <c r="Z192" s="126" t="n"/>
      <c r="AA192" s="126" t="n"/>
      <c r="AB192" s="126" t="n"/>
      <c r="AC192" s="126" t="n"/>
      <c r="AD192" s="126" t="n"/>
      <c r="AE192" s="126" t="n"/>
      <c r="AF192" s="126" t="n"/>
      <c r="AG192" s="126" t="n"/>
      <c r="AH192" s="126" t="n"/>
      <c r="AI192" s="126" t="n"/>
      <c r="AJ192" s="126" t="n"/>
      <c r="AK192" s="126" t="n"/>
      <c r="AL192" s="126" t="n"/>
      <c r="AM192" s="126" t="n"/>
    </row>
    <row r="193" ht="21" customFormat="1" customHeight="1" s="127">
      <c r="A193" s="250" t="n">
        <v>46451</v>
      </c>
      <c r="B193" s="63">
        <f>CHOOSE(WEEKDAY($A193,2),"Mon","Tue","Wed","Thu","Fri","Sat","Sun")</f>
        <v/>
      </c>
      <c r="C193" s="64" t="n"/>
      <c r="D193" s="64" t="n"/>
      <c r="E193" s="65">
        <f>IF($C193="","",$C193-N($D193))</f>
        <v/>
      </c>
      <c r="F193" s="65">
        <f>IF($C193="","",$C193-MAX(0,N($D193)-BreakAllow*$C193))</f>
        <v/>
      </c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1">
        <f>IF(COUNT(G193:R193)=0,"",SUM(G193:R193))</f>
        <v/>
      </c>
      <c r="T193" s="251">
        <f>IF($C193="","",IFERROR(INDEX(RateValues,MATCH(SUMPRODUCT(MAX((RateDates&lt;=$A193)*RateDates)),RateDates,0)),0))</f>
        <v/>
      </c>
      <c r="U193" s="252">
        <f>IF($C193="","",$F193*$T193)</f>
        <v/>
      </c>
      <c r="V193" s="253">
        <f>$A193-WEEKDAY($A193,2)+1</f>
        <v/>
      </c>
      <c r="W193" s="132">
        <f t="array" ref="W193">IF(AND($C193="",S193=""),"",IF(AND(N($C193)&gt;0,N(S193)=0),"nobody marked present",IF(N($D193)&gt;N($C193),"more broken than moulded",IF(AND($C193="",N(S193)&gt;0),"attendance marked but no blocks entered",IF(AND(N($C193)&gt;0,N(T193)=0),"no pay rate for this date - see Settings",IF(SUMPRODUCT((G193:R193&lt;&gt;"")*(G$5:R$5=""))&gt;0,"attendance in an empty worker slot",""))))))</f>
        <v/>
      </c>
      <c r="X193" s="133" t="n"/>
      <c r="Y193" s="125" t="n"/>
      <c r="Z193" s="126" t="n"/>
      <c r="AA193" s="126" t="n"/>
      <c r="AB193" s="126" t="n"/>
      <c r="AC193" s="126" t="n"/>
      <c r="AD193" s="126" t="n"/>
      <c r="AE193" s="126" t="n"/>
      <c r="AF193" s="126" t="n"/>
      <c r="AG193" s="126" t="n"/>
      <c r="AH193" s="126" t="n"/>
      <c r="AI193" s="126" t="n"/>
      <c r="AJ193" s="126" t="n"/>
      <c r="AK193" s="126" t="n"/>
      <c r="AL193" s="126" t="n"/>
      <c r="AM193" s="126" t="n"/>
    </row>
    <row r="194" ht="21" customFormat="1" customHeight="1" s="127">
      <c r="A194" s="250" t="n">
        <v>46452</v>
      </c>
      <c r="B194" s="63">
        <f>CHOOSE(WEEKDAY($A194,2),"Mon","Tue","Wed","Thu","Fri","Sat","Sun")</f>
        <v/>
      </c>
      <c r="C194" s="64" t="n"/>
      <c r="D194" s="64" t="n"/>
      <c r="E194" s="65">
        <f>IF($C194="","",$C194-N($D194))</f>
        <v/>
      </c>
      <c r="F194" s="65">
        <f>IF($C194="","",$C194-MAX(0,N($D194)-BreakAllow*$C194))</f>
        <v/>
      </c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1">
        <f>IF(COUNT(G194:R194)=0,"",SUM(G194:R194))</f>
        <v/>
      </c>
      <c r="T194" s="251">
        <f>IF($C194="","",IFERROR(INDEX(RateValues,MATCH(SUMPRODUCT(MAX((RateDates&lt;=$A194)*RateDates)),RateDates,0)),0))</f>
        <v/>
      </c>
      <c r="U194" s="252">
        <f>IF($C194="","",$F194*$T194)</f>
        <v/>
      </c>
      <c r="V194" s="253">
        <f>$A194-WEEKDAY($A194,2)+1</f>
        <v/>
      </c>
      <c r="W194" s="132">
        <f t="array" ref="W194">IF(AND($C194="",S194=""),"",IF(AND(N($C194)&gt;0,N(S194)=0),"nobody marked present",IF(N($D194)&gt;N($C194),"more broken than moulded",IF(AND($C194="",N(S194)&gt;0),"attendance marked but no blocks entered",IF(AND(N($C194)&gt;0,N(T194)=0),"no pay rate for this date - see Settings",IF(SUMPRODUCT((G194:R194&lt;&gt;"")*(G$5:R$5=""))&gt;0,"attendance in an empty worker slot",""))))))</f>
        <v/>
      </c>
      <c r="X194" s="133" t="n"/>
      <c r="Y194" s="125" t="n"/>
      <c r="Z194" s="126" t="n"/>
      <c r="AA194" s="126" t="n"/>
      <c r="AB194" s="126" t="n"/>
      <c r="AC194" s="126" t="n"/>
      <c r="AD194" s="126" t="n"/>
      <c r="AE194" s="126" t="n"/>
      <c r="AF194" s="126" t="n"/>
      <c r="AG194" s="126" t="n"/>
      <c r="AH194" s="126" t="n"/>
      <c r="AI194" s="126" t="n"/>
      <c r="AJ194" s="126" t="n"/>
      <c r="AK194" s="126" t="n"/>
      <c r="AL194" s="126" t="n"/>
      <c r="AM194" s="126" t="n"/>
    </row>
    <row r="195" ht="21" customFormat="1" customHeight="1" s="127">
      <c r="A195" s="254" t="n">
        <v>46453</v>
      </c>
      <c r="B195" s="70">
        <f>CHOOSE(WEEKDAY($A195,2),"Mon","Tue","Wed","Thu","Fri","Sat","Sun")</f>
        <v/>
      </c>
      <c r="C195" s="64" t="n"/>
      <c r="D195" s="64" t="n"/>
      <c r="E195" s="65">
        <f>IF($C195="","",$C195-N($D195))</f>
        <v/>
      </c>
      <c r="F195" s="65">
        <f>IF($C195="","",$C195-MAX(0,N($D195)-BreakAllow*$C195))</f>
        <v/>
      </c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1">
        <f>IF(COUNT(G195:R195)=0,"",SUM(G195:R195))</f>
        <v/>
      </c>
      <c r="T195" s="251">
        <f>IF($C195="","",IFERROR(INDEX(RateValues,MATCH(SUMPRODUCT(MAX((RateDates&lt;=$A195)*RateDates)),RateDates,0)),0))</f>
        <v/>
      </c>
      <c r="U195" s="252">
        <f>IF($C195="","",$F195*$T195)</f>
        <v/>
      </c>
      <c r="V195" s="253">
        <f>$A195-WEEKDAY($A195,2)+1</f>
        <v/>
      </c>
      <c r="W195" s="132">
        <f t="array" ref="W195">IF(AND($C195="",S195=""),"",IF(AND(N($C195)&gt;0,N(S195)=0),"nobody marked present",IF(N($D195)&gt;N($C195),"more broken than moulded",IF(AND($C195="",N(S195)&gt;0),"attendance marked but no blocks entered",IF(AND(N($C195)&gt;0,N(T195)=0),"no pay rate for this date - see Settings",IF(SUMPRODUCT((G195:R195&lt;&gt;"")*(G$5:R$5=""))&gt;0,"attendance in an empty worker slot",""))))))</f>
        <v/>
      </c>
      <c r="X195" s="133" t="n"/>
      <c r="Y195" s="125" t="n"/>
      <c r="Z195" s="126" t="n"/>
      <c r="AA195" s="126" t="n"/>
      <c r="AB195" s="126" t="n"/>
      <c r="AC195" s="126" t="n"/>
      <c r="AD195" s="126" t="n"/>
      <c r="AE195" s="126" t="n"/>
      <c r="AF195" s="126" t="n"/>
      <c r="AG195" s="126" t="n"/>
      <c r="AH195" s="126" t="n"/>
      <c r="AI195" s="126" t="n"/>
      <c r="AJ195" s="126" t="n"/>
      <c r="AK195" s="126" t="n"/>
      <c r="AL195" s="126" t="n"/>
      <c r="AM195" s="126" t="n"/>
    </row>
    <row r="196" ht="21" customFormat="1" customHeight="1" s="127">
      <c r="A196" s="250" t="n">
        <v>46454</v>
      </c>
      <c r="B196" s="63">
        <f>CHOOSE(WEEKDAY($A196,2),"Mon","Tue","Wed","Thu","Fri","Sat","Sun")</f>
        <v/>
      </c>
      <c r="C196" s="64" t="n"/>
      <c r="D196" s="64" t="n"/>
      <c r="E196" s="65">
        <f>IF($C196="","",$C196-N($D196))</f>
        <v/>
      </c>
      <c r="F196" s="65">
        <f>IF($C196="","",$C196-MAX(0,N($D196)-BreakAllow*$C196))</f>
        <v/>
      </c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1">
        <f>IF(COUNT(G196:R196)=0,"",SUM(G196:R196))</f>
        <v/>
      </c>
      <c r="T196" s="251">
        <f>IF($C196="","",IFERROR(INDEX(RateValues,MATCH(SUMPRODUCT(MAX((RateDates&lt;=$A196)*RateDates)),RateDates,0)),0))</f>
        <v/>
      </c>
      <c r="U196" s="252">
        <f>IF($C196="","",$F196*$T196)</f>
        <v/>
      </c>
      <c r="V196" s="253">
        <f>$A196-WEEKDAY($A196,2)+1</f>
        <v/>
      </c>
      <c r="W196" s="132">
        <f t="array" ref="W196">IF(AND($C196="",S196=""),"",IF(AND(N($C196)&gt;0,N(S196)=0),"nobody marked present",IF(N($D196)&gt;N($C196),"more broken than moulded",IF(AND($C196="",N(S196)&gt;0),"attendance marked but no blocks entered",IF(AND(N($C196)&gt;0,N(T196)=0),"no pay rate for this date - see Settings",IF(SUMPRODUCT((G196:R196&lt;&gt;"")*(G$5:R$5=""))&gt;0,"attendance in an empty worker slot",""))))))</f>
        <v/>
      </c>
      <c r="X196" s="133" t="n"/>
      <c r="Y196" s="125" t="n"/>
      <c r="Z196" s="126" t="n"/>
      <c r="AA196" s="126" t="n"/>
      <c r="AB196" s="126" t="n"/>
      <c r="AC196" s="126" t="n"/>
      <c r="AD196" s="126" t="n"/>
      <c r="AE196" s="126" t="n"/>
      <c r="AF196" s="126" t="n"/>
      <c r="AG196" s="126" t="n"/>
      <c r="AH196" s="126" t="n"/>
      <c r="AI196" s="126" t="n"/>
      <c r="AJ196" s="126" t="n"/>
      <c r="AK196" s="126" t="n"/>
      <c r="AL196" s="126" t="n"/>
      <c r="AM196" s="126" t="n"/>
    </row>
    <row r="197" ht="21" customFormat="1" customHeight="1" s="127">
      <c r="A197" s="250" t="n">
        <v>46455</v>
      </c>
      <c r="B197" s="63">
        <f>CHOOSE(WEEKDAY($A197,2),"Mon","Tue","Wed","Thu","Fri","Sat","Sun")</f>
        <v/>
      </c>
      <c r="C197" s="64" t="n"/>
      <c r="D197" s="64" t="n"/>
      <c r="E197" s="65">
        <f>IF($C197="","",$C197-N($D197))</f>
        <v/>
      </c>
      <c r="F197" s="65">
        <f>IF($C197="","",$C197-MAX(0,N($D197)-BreakAllow*$C197))</f>
        <v/>
      </c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1">
        <f>IF(COUNT(G197:R197)=0,"",SUM(G197:R197))</f>
        <v/>
      </c>
      <c r="T197" s="251">
        <f>IF($C197="","",IFERROR(INDEX(RateValues,MATCH(SUMPRODUCT(MAX((RateDates&lt;=$A197)*RateDates)),RateDates,0)),0))</f>
        <v/>
      </c>
      <c r="U197" s="252">
        <f>IF($C197="","",$F197*$T197)</f>
        <v/>
      </c>
      <c r="V197" s="253">
        <f>$A197-WEEKDAY($A197,2)+1</f>
        <v/>
      </c>
      <c r="W197" s="132">
        <f t="array" ref="W197">IF(AND($C197="",S197=""),"",IF(AND(N($C197)&gt;0,N(S197)=0),"nobody marked present",IF(N($D197)&gt;N($C197),"more broken than moulded",IF(AND($C197="",N(S197)&gt;0),"attendance marked but no blocks entered",IF(AND(N($C197)&gt;0,N(T197)=0),"no pay rate for this date - see Settings",IF(SUMPRODUCT((G197:R197&lt;&gt;"")*(G$5:R$5=""))&gt;0,"attendance in an empty worker slot",""))))))</f>
        <v/>
      </c>
      <c r="X197" s="133" t="n"/>
      <c r="Y197" s="125" t="n"/>
      <c r="Z197" s="126" t="n"/>
      <c r="AA197" s="126" t="n"/>
      <c r="AB197" s="126" t="n"/>
      <c r="AC197" s="126" t="n"/>
      <c r="AD197" s="126" t="n"/>
      <c r="AE197" s="126" t="n"/>
      <c r="AF197" s="126" t="n"/>
      <c r="AG197" s="126" t="n"/>
      <c r="AH197" s="126" t="n"/>
      <c r="AI197" s="126" t="n"/>
      <c r="AJ197" s="126" t="n"/>
      <c r="AK197" s="126" t="n"/>
      <c r="AL197" s="126" t="n"/>
      <c r="AM197" s="126" t="n"/>
    </row>
    <row r="198" ht="21" customFormat="1" customHeight="1" s="127">
      <c r="A198" s="250" t="n">
        <v>46456</v>
      </c>
      <c r="B198" s="63">
        <f>CHOOSE(WEEKDAY($A198,2),"Mon","Tue","Wed","Thu","Fri","Sat","Sun")</f>
        <v/>
      </c>
      <c r="C198" s="64" t="n"/>
      <c r="D198" s="64" t="n"/>
      <c r="E198" s="65">
        <f>IF($C198="","",$C198-N($D198))</f>
        <v/>
      </c>
      <c r="F198" s="65">
        <f>IF($C198="","",$C198-MAX(0,N($D198)-BreakAllow*$C198))</f>
        <v/>
      </c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1">
        <f>IF(COUNT(G198:R198)=0,"",SUM(G198:R198))</f>
        <v/>
      </c>
      <c r="T198" s="251">
        <f>IF($C198="","",IFERROR(INDEX(RateValues,MATCH(SUMPRODUCT(MAX((RateDates&lt;=$A198)*RateDates)),RateDates,0)),0))</f>
        <v/>
      </c>
      <c r="U198" s="252">
        <f>IF($C198="","",$F198*$T198)</f>
        <v/>
      </c>
      <c r="V198" s="253">
        <f>$A198-WEEKDAY($A198,2)+1</f>
        <v/>
      </c>
      <c r="W198" s="132">
        <f t="array" ref="W198">IF(AND($C198="",S198=""),"",IF(AND(N($C198)&gt;0,N(S198)=0),"nobody marked present",IF(N($D198)&gt;N($C198),"more broken than moulded",IF(AND($C198="",N(S198)&gt;0),"attendance marked but no blocks entered",IF(AND(N($C198)&gt;0,N(T198)=0),"no pay rate for this date - see Settings",IF(SUMPRODUCT((G198:R198&lt;&gt;"")*(G$5:R$5=""))&gt;0,"attendance in an empty worker slot",""))))))</f>
        <v/>
      </c>
      <c r="X198" s="133" t="n"/>
      <c r="Y198" s="125" t="n"/>
      <c r="Z198" s="126" t="n"/>
      <c r="AA198" s="126" t="n"/>
      <c r="AB198" s="126" t="n"/>
      <c r="AC198" s="126" t="n"/>
      <c r="AD198" s="126" t="n"/>
      <c r="AE198" s="126" t="n"/>
      <c r="AF198" s="126" t="n"/>
      <c r="AG198" s="126" t="n"/>
      <c r="AH198" s="126" t="n"/>
      <c r="AI198" s="126" t="n"/>
      <c r="AJ198" s="126" t="n"/>
      <c r="AK198" s="126" t="n"/>
      <c r="AL198" s="126" t="n"/>
      <c r="AM198" s="126" t="n"/>
    </row>
    <row r="199" ht="21" customFormat="1" customHeight="1" s="127">
      <c r="A199" s="250" t="n">
        <v>46457</v>
      </c>
      <c r="B199" s="63">
        <f>CHOOSE(WEEKDAY($A199,2),"Mon","Tue","Wed","Thu","Fri","Sat","Sun")</f>
        <v/>
      </c>
      <c r="C199" s="64" t="n"/>
      <c r="D199" s="64" t="n"/>
      <c r="E199" s="65">
        <f>IF($C199="","",$C199-N($D199))</f>
        <v/>
      </c>
      <c r="F199" s="65">
        <f>IF($C199="","",$C199-MAX(0,N($D199)-BreakAllow*$C199))</f>
        <v/>
      </c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1">
        <f>IF(COUNT(G199:R199)=0,"",SUM(G199:R199))</f>
        <v/>
      </c>
      <c r="T199" s="251">
        <f>IF($C199="","",IFERROR(INDEX(RateValues,MATCH(SUMPRODUCT(MAX((RateDates&lt;=$A199)*RateDates)),RateDates,0)),0))</f>
        <v/>
      </c>
      <c r="U199" s="252">
        <f>IF($C199="","",$F199*$T199)</f>
        <v/>
      </c>
      <c r="V199" s="253">
        <f>$A199-WEEKDAY($A199,2)+1</f>
        <v/>
      </c>
      <c r="W199" s="132">
        <f t="array" ref="W199">IF(AND($C199="",S199=""),"",IF(AND(N($C199)&gt;0,N(S199)=0),"nobody marked present",IF(N($D199)&gt;N($C199),"more broken than moulded",IF(AND($C199="",N(S199)&gt;0),"attendance marked but no blocks entered",IF(AND(N($C199)&gt;0,N(T199)=0),"no pay rate for this date - see Settings",IF(SUMPRODUCT((G199:R199&lt;&gt;"")*(G$5:R$5=""))&gt;0,"attendance in an empty worker slot",""))))))</f>
        <v/>
      </c>
      <c r="X199" s="133" t="n"/>
      <c r="Y199" s="125" t="n"/>
      <c r="Z199" s="126" t="n"/>
      <c r="AA199" s="126" t="n"/>
      <c r="AB199" s="126" t="n"/>
      <c r="AC199" s="126" t="n"/>
      <c r="AD199" s="126" t="n"/>
      <c r="AE199" s="126" t="n"/>
      <c r="AF199" s="126" t="n"/>
      <c r="AG199" s="126" t="n"/>
      <c r="AH199" s="126" t="n"/>
      <c r="AI199" s="126" t="n"/>
      <c r="AJ199" s="126" t="n"/>
      <c r="AK199" s="126" t="n"/>
      <c r="AL199" s="126" t="n"/>
      <c r="AM199" s="126" t="n"/>
    </row>
    <row r="200" ht="21" customFormat="1" customHeight="1" s="127">
      <c r="A200" s="250" t="n">
        <v>46458</v>
      </c>
      <c r="B200" s="63">
        <f>CHOOSE(WEEKDAY($A200,2),"Mon","Tue","Wed","Thu","Fri","Sat","Sun")</f>
        <v/>
      </c>
      <c r="C200" s="64" t="n"/>
      <c r="D200" s="64" t="n"/>
      <c r="E200" s="65">
        <f>IF($C200="","",$C200-N($D200))</f>
        <v/>
      </c>
      <c r="F200" s="65">
        <f>IF($C200="","",$C200-MAX(0,N($D200)-BreakAllow*$C200))</f>
        <v/>
      </c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1">
        <f>IF(COUNT(G200:R200)=0,"",SUM(G200:R200))</f>
        <v/>
      </c>
      <c r="T200" s="251">
        <f>IF($C200="","",IFERROR(INDEX(RateValues,MATCH(SUMPRODUCT(MAX((RateDates&lt;=$A200)*RateDates)),RateDates,0)),0))</f>
        <v/>
      </c>
      <c r="U200" s="252">
        <f>IF($C200="","",$F200*$T200)</f>
        <v/>
      </c>
      <c r="V200" s="253">
        <f>$A200-WEEKDAY($A200,2)+1</f>
        <v/>
      </c>
      <c r="W200" s="132">
        <f t="array" ref="W200">IF(AND($C200="",S200=""),"",IF(AND(N($C200)&gt;0,N(S200)=0),"nobody marked present",IF(N($D200)&gt;N($C200),"more broken than moulded",IF(AND($C200="",N(S200)&gt;0),"attendance marked but no blocks entered",IF(AND(N($C200)&gt;0,N(T200)=0),"no pay rate for this date - see Settings",IF(SUMPRODUCT((G200:R200&lt;&gt;"")*(G$5:R$5=""))&gt;0,"attendance in an empty worker slot",""))))))</f>
        <v/>
      </c>
      <c r="X200" s="133" t="n"/>
      <c r="Y200" s="125" t="n"/>
      <c r="Z200" s="126" t="n"/>
      <c r="AA200" s="126" t="n"/>
      <c r="AB200" s="126" t="n"/>
      <c r="AC200" s="126" t="n"/>
      <c r="AD200" s="126" t="n"/>
      <c r="AE200" s="126" t="n"/>
      <c r="AF200" s="126" t="n"/>
      <c r="AG200" s="126" t="n"/>
      <c r="AH200" s="126" t="n"/>
      <c r="AI200" s="126" t="n"/>
      <c r="AJ200" s="126" t="n"/>
      <c r="AK200" s="126" t="n"/>
      <c r="AL200" s="126" t="n"/>
      <c r="AM200" s="126" t="n"/>
    </row>
    <row r="201" ht="21" customFormat="1" customHeight="1" s="127">
      <c r="A201" s="250" t="n">
        <v>46459</v>
      </c>
      <c r="B201" s="63">
        <f>CHOOSE(WEEKDAY($A201,2),"Mon","Tue","Wed","Thu","Fri","Sat","Sun")</f>
        <v/>
      </c>
      <c r="C201" s="64" t="n"/>
      <c r="D201" s="64" t="n"/>
      <c r="E201" s="65">
        <f>IF($C201="","",$C201-N($D201))</f>
        <v/>
      </c>
      <c r="F201" s="65">
        <f>IF($C201="","",$C201-MAX(0,N($D201)-BreakAllow*$C201))</f>
        <v/>
      </c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1">
        <f>IF(COUNT(G201:R201)=0,"",SUM(G201:R201))</f>
        <v/>
      </c>
      <c r="T201" s="251">
        <f>IF($C201="","",IFERROR(INDEX(RateValues,MATCH(SUMPRODUCT(MAX((RateDates&lt;=$A201)*RateDates)),RateDates,0)),0))</f>
        <v/>
      </c>
      <c r="U201" s="252">
        <f>IF($C201="","",$F201*$T201)</f>
        <v/>
      </c>
      <c r="V201" s="253">
        <f>$A201-WEEKDAY($A201,2)+1</f>
        <v/>
      </c>
      <c r="W201" s="132">
        <f t="array" ref="W201">IF(AND($C201="",S201=""),"",IF(AND(N($C201)&gt;0,N(S201)=0),"nobody marked present",IF(N($D201)&gt;N($C201),"more broken than moulded",IF(AND($C201="",N(S201)&gt;0),"attendance marked but no blocks entered",IF(AND(N($C201)&gt;0,N(T201)=0),"no pay rate for this date - see Settings",IF(SUMPRODUCT((G201:R201&lt;&gt;"")*(G$5:R$5=""))&gt;0,"attendance in an empty worker slot",""))))))</f>
        <v/>
      </c>
      <c r="X201" s="133" t="n"/>
      <c r="Y201" s="125" t="n"/>
      <c r="Z201" s="126" t="n"/>
      <c r="AA201" s="126" t="n"/>
      <c r="AB201" s="126" t="n"/>
      <c r="AC201" s="126" t="n"/>
      <c r="AD201" s="126" t="n"/>
      <c r="AE201" s="126" t="n"/>
      <c r="AF201" s="126" t="n"/>
      <c r="AG201" s="126" t="n"/>
      <c r="AH201" s="126" t="n"/>
      <c r="AI201" s="126" t="n"/>
      <c r="AJ201" s="126" t="n"/>
      <c r="AK201" s="126" t="n"/>
      <c r="AL201" s="126" t="n"/>
      <c r="AM201" s="126" t="n"/>
    </row>
    <row r="202" ht="21" customFormat="1" customHeight="1" s="127">
      <c r="A202" s="254" t="n">
        <v>46460</v>
      </c>
      <c r="B202" s="70">
        <f>CHOOSE(WEEKDAY($A202,2),"Mon","Tue","Wed","Thu","Fri","Sat","Sun")</f>
        <v/>
      </c>
      <c r="C202" s="64" t="n"/>
      <c r="D202" s="64" t="n"/>
      <c r="E202" s="65">
        <f>IF($C202="","",$C202-N($D202))</f>
        <v/>
      </c>
      <c r="F202" s="65">
        <f>IF($C202="","",$C202-MAX(0,N($D202)-BreakAllow*$C202))</f>
        <v/>
      </c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1">
        <f>IF(COUNT(G202:R202)=0,"",SUM(G202:R202))</f>
        <v/>
      </c>
      <c r="T202" s="251">
        <f>IF($C202="","",IFERROR(INDEX(RateValues,MATCH(SUMPRODUCT(MAX((RateDates&lt;=$A202)*RateDates)),RateDates,0)),0))</f>
        <v/>
      </c>
      <c r="U202" s="252">
        <f>IF($C202="","",$F202*$T202)</f>
        <v/>
      </c>
      <c r="V202" s="253">
        <f>$A202-WEEKDAY($A202,2)+1</f>
        <v/>
      </c>
      <c r="W202" s="132">
        <f t="array" ref="W202">IF(AND($C202="",S202=""),"",IF(AND(N($C202)&gt;0,N(S202)=0),"nobody marked present",IF(N($D202)&gt;N($C202),"more broken than moulded",IF(AND($C202="",N(S202)&gt;0),"attendance marked but no blocks entered",IF(AND(N($C202)&gt;0,N(T202)=0),"no pay rate for this date - see Settings",IF(SUMPRODUCT((G202:R202&lt;&gt;"")*(G$5:R$5=""))&gt;0,"attendance in an empty worker slot",""))))))</f>
        <v/>
      </c>
      <c r="X202" s="133" t="n"/>
      <c r="Y202" s="125" t="n"/>
      <c r="Z202" s="126" t="n"/>
      <c r="AA202" s="126" t="n"/>
      <c r="AB202" s="126" t="n"/>
      <c r="AC202" s="126" t="n"/>
      <c r="AD202" s="126" t="n"/>
      <c r="AE202" s="126" t="n"/>
      <c r="AF202" s="126" t="n"/>
      <c r="AG202" s="126" t="n"/>
      <c r="AH202" s="126" t="n"/>
      <c r="AI202" s="126" t="n"/>
      <c r="AJ202" s="126" t="n"/>
      <c r="AK202" s="126" t="n"/>
      <c r="AL202" s="126" t="n"/>
      <c r="AM202" s="126" t="n"/>
    </row>
    <row r="203" ht="21" customFormat="1" customHeight="1" s="127">
      <c r="A203" s="250" t="n">
        <v>46461</v>
      </c>
      <c r="B203" s="63">
        <f>CHOOSE(WEEKDAY($A203,2),"Mon","Tue","Wed","Thu","Fri","Sat","Sun")</f>
        <v/>
      </c>
      <c r="C203" s="64" t="n"/>
      <c r="D203" s="64" t="n"/>
      <c r="E203" s="65">
        <f>IF($C203="","",$C203-N($D203))</f>
        <v/>
      </c>
      <c r="F203" s="65">
        <f>IF($C203="","",$C203-MAX(0,N($D203)-BreakAllow*$C203))</f>
        <v/>
      </c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1">
        <f>IF(COUNT(G203:R203)=0,"",SUM(G203:R203))</f>
        <v/>
      </c>
      <c r="T203" s="251">
        <f>IF($C203="","",IFERROR(INDEX(RateValues,MATCH(SUMPRODUCT(MAX((RateDates&lt;=$A203)*RateDates)),RateDates,0)),0))</f>
        <v/>
      </c>
      <c r="U203" s="252">
        <f>IF($C203="","",$F203*$T203)</f>
        <v/>
      </c>
      <c r="V203" s="253">
        <f>$A203-WEEKDAY($A203,2)+1</f>
        <v/>
      </c>
      <c r="W203" s="132">
        <f t="array" ref="W203">IF(AND($C203="",S203=""),"",IF(AND(N($C203)&gt;0,N(S203)=0),"nobody marked present",IF(N($D203)&gt;N($C203),"more broken than moulded",IF(AND($C203="",N(S203)&gt;0),"attendance marked but no blocks entered",IF(AND(N($C203)&gt;0,N(T203)=0),"no pay rate for this date - see Settings",IF(SUMPRODUCT((G203:R203&lt;&gt;"")*(G$5:R$5=""))&gt;0,"attendance in an empty worker slot",""))))))</f>
        <v/>
      </c>
      <c r="X203" s="133" t="n"/>
      <c r="Y203" s="125" t="n"/>
      <c r="Z203" s="126" t="n"/>
      <c r="AA203" s="126" t="n"/>
      <c r="AB203" s="126" t="n"/>
      <c r="AC203" s="126" t="n"/>
      <c r="AD203" s="126" t="n"/>
      <c r="AE203" s="126" t="n"/>
      <c r="AF203" s="126" t="n"/>
      <c r="AG203" s="126" t="n"/>
      <c r="AH203" s="126" t="n"/>
      <c r="AI203" s="126" t="n"/>
      <c r="AJ203" s="126" t="n"/>
      <c r="AK203" s="126" t="n"/>
      <c r="AL203" s="126" t="n"/>
      <c r="AM203" s="126" t="n"/>
    </row>
    <row r="204" ht="21" customFormat="1" customHeight="1" s="127">
      <c r="A204" s="250" t="n">
        <v>46462</v>
      </c>
      <c r="B204" s="63">
        <f>CHOOSE(WEEKDAY($A204,2),"Mon","Tue","Wed","Thu","Fri","Sat","Sun")</f>
        <v/>
      </c>
      <c r="C204" s="64" t="n"/>
      <c r="D204" s="64" t="n"/>
      <c r="E204" s="65">
        <f>IF($C204="","",$C204-N($D204))</f>
        <v/>
      </c>
      <c r="F204" s="65">
        <f>IF($C204="","",$C204-MAX(0,N($D204)-BreakAllow*$C204))</f>
        <v/>
      </c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1">
        <f>IF(COUNT(G204:R204)=0,"",SUM(G204:R204))</f>
        <v/>
      </c>
      <c r="T204" s="251">
        <f>IF($C204="","",IFERROR(INDEX(RateValues,MATCH(SUMPRODUCT(MAX((RateDates&lt;=$A204)*RateDates)),RateDates,0)),0))</f>
        <v/>
      </c>
      <c r="U204" s="252">
        <f>IF($C204="","",$F204*$T204)</f>
        <v/>
      </c>
      <c r="V204" s="253">
        <f>$A204-WEEKDAY($A204,2)+1</f>
        <v/>
      </c>
      <c r="W204" s="132">
        <f t="array" ref="W204">IF(AND($C204="",S204=""),"",IF(AND(N($C204)&gt;0,N(S204)=0),"nobody marked present",IF(N($D204)&gt;N($C204),"more broken than moulded",IF(AND($C204="",N(S204)&gt;0),"attendance marked but no blocks entered",IF(AND(N($C204)&gt;0,N(T204)=0),"no pay rate for this date - see Settings",IF(SUMPRODUCT((G204:R204&lt;&gt;"")*(G$5:R$5=""))&gt;0,"attendance in an empty worker slot",""))))))</f>
        <v/>
      </c>
      <c r="X204" s="133" t="n"/>
      <c r="Y204" s="125" t="n"/>
      <c r="Z204" s="126" t="n"/>
      <c r="AA204" s="126" t="n"/>
      <c r="AB204" s="126" t="n"/>
      <c r="AC204" s="126" t="n"/>
      <c r="AD204" s="126" t="n"/>
      <c r="AE204" s="126" t="n"/>
      <c r="AF204" s="126" t="n"/>
      <c r="AG204" s="126" t="n"/>
      <c r="AH204" s="126" t="n"/>
      <c r="AI204" s="126" t="n"/>
      <c r="AJ204" s="126" t="n"/>
      <c r="AK204" s="126" t="n"/>
      <c r="AL204" s="126" t="n"/>
      <c r="AM204" s="126" t="n"/>
    </row>
    <row r="205" ht="21" customFormat="1" customHeight="1" s="127">
      <c r="A205" s="250" t="n">
        <v>46463</v>
      </c>
      <c r="B205" s="63">
        <f>CHOOSE(WEEKDAY($A205,2),"Mon","Tue","Wed","Thu","Fri","Sat","Sun")</f>
        <v/>
      </c>
      <c r="C205" s="64" t="n"/>
      <c r="D205" s="64" t="n"/>
      <c r="E205" s="65">
        <f>IF($C205="","",$C205-N($D205))</f>
        <v/>
      </c>
      <c r="F205" s="65">
        <f>IF($C205="","",$C205-MAX(0,N($D205)-BreakAllow*$C205))</f>
        <v/>
      </c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1">
        <f>IF(COUNT(G205:R205)=0,"",SUM(G205:R205))</f>
        <v/>
      </c>
      <c r="T205" s="251">
        <f>IF($C205="","",IFERROR(INDEX(RateValues,MATCH(SUMPRODUCT(MAX((RateDates&lt;=$A205)*RateDates)),RateDates,0)),0))</f>
        <v/>
      </c>
      <c r="U205" s="252">
        <f>IF($C205="","",$F205*$T205)</f>
        <v/>
      </c>
      <c r="V205" s="253">
        <f>$A205-WEEKDAY($A205,2)+1</f>
        <v/>
      </c>
      <c r="W205" s="132">
        <f t="array" ref="W205">IF(AND($C205="",S205=""),"",IF(AND(N($C205)&gt;0,N(S205)=0),"nobody marked present",IF(N($D205)&gt;N($C205),"more broken than moulded",IF(AND($C205="",N(S205)&gt;0),"attendance marked but no blocks entered",IF(AND(N($C205)&gt;0,N(T205)=0),"no pay rate for this date - see Settings",IF(SUMPRODUCT((G205:R205&lt;&gt;"")*(G$5:R$5=""))&gt;0,"attendance in an empty worker slot",""))))))</f>
        <v/>
      </c>
      <c r="X205" s="133" t="n"/>
      <c r="Y205" s="125" t="n"/>
      <c r="Z205" s="126" t="n"/>
      <c r="AA205" s="126" t="n"/>
      <c r="AB205" s="126" t="n"/>
      <c r="AC205" s="126" t="n"/>
      <c r="AD205" s="126" t="n"/>
      <c r="AE205" s="126" t="n"/>
      <c r="AF205" s="126" t="n"/>
      <c r="AG205" s="126" t="n"/>
      <c r="AH205" s="126" t="n"/>
      <c r="AI205" s="126" t="n"/>
      <c r="AJ205" s="126" t="n"/>
      <c r="AK205" s="126" t="n"/>
      <c r="AL205" s="126" t="n"/>
      <c r="AM205" s="126" t="n"/>
    </row>
    <row r="206" ht="21" customFormat="1" customHeight="1" s="127">
      <c r="A206" s="250" t="n">
        <v>46464</v>
      </c>
      <c r="B206" s="63">
        <f>CHOOSE(WEEKDAY($A206,2),"Mon","Tue","Wed","Thu","Fri","Sat","Sun")</f>
        <v/>
      </c>
      <c r="C206" s="64" t="n"/>
      <c r="D206" s="64" t="n"/>
      <c r="E206" s="65">
        <f>IF($C206="","",$C206-N($D206))</f>
        <v/>
      </c>
      <c r="F206" s="65">
        <f>IF($C206="","",$C206-MAX(0,N($D206)-BreakAllow*$C206))</f>
        <v/>
      </c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1">
        <f>IF(COUNT(G206:R206)=0,"",SUM(G206:R206))</f>
        <v/>
      </c>
      <c r="T206" s="251">
        <f>IF($C206="","",IFERROR(INDEX(RateValues,MATCH(SUMPRODUCT(MAX((RateDates&lt;=$A206)*RateDates)),RateDates,0)),0))</f>
        <v/>
      </c>
      <c r="U206" s="252">
        <f>IF($C206="","",$F206*$T206)</f>
        <v/>
      </c>
      <c r="V206" s="253">
        <f>$A206-WEEKDAY($A206,2)+1</f>
        <v/>
      </c>
      <c r="W206" s="132">
        <f t="array" ref="W206">IF(AND($C206="",S206=""),"",IF(AND(N($C206)&gt;0,N(S206)=0),"nobody marked present",IF(N($D206)&gt;N($C206),"more broken than moulded",IF(AND($C206="",N(S206)&gt;0),"attendance marked but no blocks entered",IF(AND(N($C206)&gt;0,N(T206)=0),"no pay rate for this date - see Settings",IF(SUMPRODUCT((G206:R206&lt;&gt;"")*(G$5:R$5=""))&gt;0,"attendance in an empty worker slot",""))))))</f>
        <v/>
      </c>
      <c r="X206" s="133" t="n"/>
      <c r="Y206" s="125" t="n"/>
      <c r="Z206" s="126" t="n"/>
      <c r="AA206" s="126" t="n"/>
      <c r="AB206" s="126" t="n"/>
      <c r="AC206" s="126" t="n"/>
      <c r="AD206" s="126" t="n"/>
      <c r="AE206" s="126" t="n"/>
      <c r="AF206" s="126" t="n"/>
      <c r="AG206" s="126" t="n"/>
      <c r="AH206" s="126" t="n"/>
      <c r="AI206" s="126" t="n"/>
      <c r="AJ206" s="126" t="n"/>
      <c r="AK206" s="126" t="n"/>
      <c r="AL206" s="126" t="n"/>
      <c r="AM206" s="126" t="n"/>
    </row>
    <row r="207" ht="21" customFormat="1" customHeight="1" s="127">
      <c r="A207" s="250" t="n">
        <v>46465</v>
      </c>
      <c r="B207" s="63">
        <f>CHOOSE(WEEKDAY($A207,2),"Mon","Tue","Wed","Thu","Fri","Sat","Sun")</f>
        <v/>
      </c>
      <c r="C207" s="64" t="n"/>
      <c r="D207" s="64" t="n"/>
      <c r="E207" s="65">
        <f>IF($C207="","",$C207-N($D207))</f>
        <v/>
      </c>
      <c r="F207" s="65">
        <f>IF($C207="","",$C207-MAX(0,N($D207)-BreakAllow*$C207))</f>
        <v/>
      </c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1">
        <f>IF(COUNT(G207:R207)=0,"",SUM(G207:R207))</f>
        <v/>
      </c>
      <c r="T207" s="251">
        <f>IF($C207="","",IFERROR(INDEX(RateValues,MATCH(SUMPRODUCT(MAX((RateDates&lt;=$A207)*RateDates)),RateDates,0)),0))</f>
        <v/>
      </c>
      <c r="U207" s="252">
        <f>IF($C207="","",$F207*$T207)</f>
        <v/>
      </c>
      <c r="V207" s="253">
        <f>$A207-WEEKDAY($A207,2)+1</f>
        <v/>
      </c>
      <c r="W207" s="132">
        <f t="array" ref="W207">IF(AND($C207="",S207=""),"",IF(AND(N($C207)&gt;0,N(S207)=0),"nobody marked present",IF(N($D207)&gt;N($C207),"more broken than moulded",IF(AND($C207="",N(S207)&gt;0),"attendance marked but no blocks entered",IF(AND(N($C207)&gt;0,N(T207)=0),"no pay rate for this date - see Settings",IF(SUMPRODUCT((G207:R207&lt;&gt;"")*(G$5:R$5=""))&gt;0,"attendance in an empty worker slot",""))))))</f>
        <v/>
      </c>
      <c r="X207" s="133" t="n"/>
      <c r="Y207" s="125" t="n"/>
      <c r="Z207" s="126" t="n"/>
      <c r="AA207" s="126" t="n"/>
      <c r="AB207" s="126" t="n"/>
      <c r="AC207" s="126" t="n"/>
      <c r="AD207" s="126" t="n"/>
      <c r="AE207" s="126" t="n"/>
      <c r="AF207" s="126" t="n"/>
      <c r="AG207" s="126" t="n"/>
      <c r="AH207" s="126" t="n"/>
      <c r="AI207" s="126" t="n"/>
      <c r="AJ207" s="126" t="n"/>
      <c r="AK207" s="126" t="n"/>
      <c r="AL207" s="126" t="n"/>
      <c r="AM207" s="126" t="n"/>
    </row>
    <row r="208" ht="21" customFormat="1" customHeight="1" s="127">
      <c r="A208" s="250" t="n">
        <v>46466</v>
      </c>
      <c r="B208" s="63">
        <f>CHOOSE(WEEKDAY($A208,2),"Mon","Tue","Wed","Thu","Fri","Sat","Sun")</f>
        <v/>
      </c>
      <c r="C208" s="64" t="n"/>
      <c r="D208" s="64" t="n"/>
      <c r="E208" s="65">
        <f>IF($C208="","",$C208-N($D208))</f>
        <v/>
      </c>
      <c r="F208" s="65">
        <f>IF($C208="","",$C208-MAX(0,N($D208)-BreakAllow*$C208))</f>
        <v/>
      </c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1">
        <f>IF(COUNT(G208:R208)=0,"",SUM(G208:R208))</f>
        <v/>
      </c>
      <c r="T208" s="251">
        <f>IF($C208="","",IFERROR(INDEX(RateValues,MATCH(SUMPRODUCT(MAX((RateDates&lt;=$A208)*RateDates)),RateDates,0)),0))</f>
        <v/>
      </c>
      <c r="U208" s="252">
        <f>IF($C208="","",$F208*$T208)</f>
        <v/>
      </c>
      <c r="V208" s="253">
        <f>$A208-WEEKDAY($A208,2)+1</f>
        <v/>
      </c>
      <c r="W208" s="132">
        <f t="array" ref="W208">IF(AND($C208="",S208=""),"",IF(AND(N($C208)&gt;0,N(S208)=0),"nobody marked present",IF(N($D208)&gt;N($C208),"more broken than moulded",IF(AND($C208="",N(S208)&gt;0),"attendance marked but no blocks entered",IF(AND(N($C208)&gt;0,N(T208)=0),"no pay rate for this date - see Settings",IF(SUMPRODUCT((G208:R208&lt;&gt;"")*(G$5:R$5=""))&gt;0,"attendance in an empty worker slot",""))))))</f>
        <v/>
      </c>
      <c r="X208" s="133" t="n"/>
      <c r="Y208" s="125" t="n"/>
      <c r="Z208" s="126" t="n"/>
      <c r="AA208" s="126" t="n"/>
      <c r="AB208" s="126" t="n"/>
      <c r="AC208" s="126" t="n"/>
      <c r="AD208" s="126" t="n"/>
      <c r="AE208" s="126" t="n"/>
      <c r="AF208" s="126" t="n"/>
      <c r="AG208" s="126" t="n"/>
      <c r="AH208" s="126" t="n"/>
      <c r="AI208" s="126" t="n"/>
      <c r="AJ208" s="126" t="n"/>
      <c r="AK208" s="126" t="n"/>
      <c r="AL208" s="126" t="n"/>
      <c r="AM208" s="126" t="n"/>
    </row>
    <row r="209" ht="21" customFormat="1" customHeight="1" s="127">
      <c r="A209" s="254" t="n">
        <v>46467</v>
      </c>
      <c r="B209" s="70">
        <f>CHOOSE(WEEKDAY($A209,2),"Mon","Tue","Wed","Thu","Fri","Sat","Sun")</f>
        <v/>
      </c>
      <c r="C209" s="64" t="n"/>
      <c r="D209" s="64" t="n"/>
      <c r="E209" s="65">
        <f>IF($C209="","",$C209-N($D209))</f>
        <v/>
      </c>
      <c r="F209" s="65">
        <f>IF($C209="","",$C209-MAX(0,N($D209)-BreakAllow*$C209))</f>
        <v/>
      </c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1">
        <f>IF(COUNT(G209:R209)=0,"",SUM(G209:R209))</f>
        <v/>
      </c>
      <c r="T209" s="251">
        <f>IF($C209="","",IFERROR(INDEX(RateValues,MATCH(SUMPRODUCT(MAX((RateDates&lt;=$A209)*RateDates)),RateDates,0)),0))</f>
        <v/>
      </c>
      <c r="U209" s="252">
        <f>IF($C209="","",$F209*$T209)</f>
        <v/>
      </c>
      <c r="V209" s="253">
        <f>$A209-WEEKDAY($A209,2)+1</f>
        <v/>
      </c>
      <c r="W209" s="132">
        <f t="array" ref="W209">IF(AND($C209="",S209=""),"",IF(AND(N($C209)&gt;0,N(S209)=0),"nobody marked present",IF(N($D209)&gt;N($C209),"more broken than moulded",IF(AND($C209="",N(S209)&gt;0),"attendance marked but no blocks entered",IF(AND(N($C209)&gt;0,N(T209)=0),"no pay rate for this date - see Settings",IF(SUMPRODUCT((G209:R209&lt;&gt;"")*(G$5:R$5=""))&gt;0,"attendance in an empty worker slot",""))))))</f>
        <v/>
      </c>
      <c r="X209" s="133" t="n"/>
      <c r="Y209" s="125" t="n"/>
      <c r="Z209" s="126" t="n"/>
      <c r="AA209" s="126" t="n"/>
      <c r="AB209" s="126" t="n"/>
      <c r="AC209" s="126" t="n"/>
      <c r="AD209" s="126" t="n"/>
      <c r="AE209" s="126" t="n"/>
      <c r="AF209" s="126" t="n"/>
      <c r="AG209" s="126" t="n"/>
      <c r="AH209" s="126" t="n"/>
      <c r="AI209" s="126" t="n"/>
      <c r="AJ209" s="126" t="n"/>
      <c r="AK209" s="126" t="n"/>
      <c r="AL209" s="126" t="n"/>
      <c r="AM209" s="126" t="n"/>
    </row>
    <row r="210" ht="21" customFormat="1" customHeight="1" s="127">
      <c r="A210" s="250" t="n">
        <v>46468</v>
      </c>
      <c r="B210" s="63">
        <f>CHOOSE(WEEKDAY($A210,2),"Mon","Tue","Wed","Thu","Fri","Sat","Sun")</f>
        <v/>
      </c>
      <c r="C210" s="64" t="n"/>
      <c r="D210" s="64" t="n"/>
      <c r="E210" s="65">
        <f>IF($C210="","",$C210-N($D210))</f>
        <v/>
      </c>
      <c r="F210" s="65">
        <f>IF($C210="","",$C210-MAX(0,N($D210)-BreakAllow*$C210))</f>
        <v/>
      </c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1">
        <f>IF(COUNT(G210:R210)=0,"",SUM(G210:R210))</f>
        <v/>
      </c>
      <c r="T210" s="251">
        <f>IF($C210="","",IFERROR(INDEX(RateValues,MATCH(SUMPRODUCT(MAX((RateDates&lt;=$A210)*RateDates)),RateDates,0)),0))</f>
        <v/>
      </c>
      <c r="U210" s="252">
        <f>IF($C210="","",$F210*$T210)</f>
        <v/>
      </c>
      <c r="V210" s="253">
        <f>$A210-WEEKDAY($A210,2)+1</f>
        <v/>
      </c>
      <c r="W210" s="132">
        <f t="array" ref="W210">IF(AND($C210="",S210=""),"",IF(AND(N($C210)&gt;0,N(S210)=0),"nobody marked present",IF(N($D210)&gt;N($C210),"more broken than moulded",IF(AND($C210="",N(S210)&gt;0),"attendance marked but no blocks entered",IF(AND(N($C210)&gt;0,N(T210)=0),"no pay rate for this date - see Settings",IF(SUMPRODUCT((G210:R210&lt;&gt;"")*(G$5:R$5=""))&gt;0,"attendance in an empty worker slot",""))))))</f>
        <v/>
      </c>
      <c r="X210" s="133" t="n"/>
      <c r="Y210" s="125" t="n"/>
      <c r="Z210" s="126" t="n"/>
      <c r="AA210" s="126" t="n"/>
      <c r="AB210" s="126" t="n"/>
      <c r="AC210" s="126" t="n"/>
      <c r="AD210" s="126" t="n"/>
      <c r="AE210" s="126" t="n"/>
      <c r="AF210" s="126" t="n"/>
      <c r="AG210" s="126" t="n"/>
      <c r="AH210" s="126" t="n"/>
      <c r="AI210" s="126" t="n"/>
      <c r="AJ210" s="126" t="n"/>
      <c r="AK210" s="126" t="n"/>
      <c r="AL210" s="126" t="n"/>
      <c r="AM210" s="126" t="n"/>
    </row>
    <row r="211" ht="21" customFormat="1" customHeight="1" s="127">
      <c r="A211" s="250" t="n">
        <v>46469</v>
      </c>
      <c r="B211" s="63">
        <f>CHOOSE(WEEKDAY($A211,2),"Mon","Tue","Wed","Thu","Fri","Sat","Sun")</f>
        <v/>
      </c>
      <c r="C211" s="64" t="n"/>
      <c r="D211" s="64" t="n"/>
      <c r="E211" s="65">
        <f>IF($C211="","",$C211-N($D211))</f>
        <v/>
      </c>
      <c r="F211" s="65">
        <f>IF($C211="","",$C211-MAX(0,N($D211)-BreakAllow*$C211))</f>
        <v/>
      </c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1">
        <f>IF(COUNT(G211:R211)=0,"",SUM(G211:R211))</f>
        <v/>
      </c>
      <c r="T211" s="251">
        <f>IF($C211="","",IFERROR(INDEX(RateValues,MATCH(SUMPRODUCT(MAX((RateDates&lt;=$A211)*RateDates)),RateDates,0)),0))</f>
        <v/>
      </c>
      <c r="U211" s="252">
        <f>IF($C211="","",$F211*$T211)</f>
        <v/>
      </c>
      <c r="V211" s="253">
        <f>$A211-WEEKDAY($A211,2)+1</f>
        <v/>
      </c>
      <c r="W211" s="132">
        <f t="array" ref="W211">IF(AND($C211="",S211=""),"",IF(AND(N($C211)&gt;0,N(S211)=0),"nobody marked present",IF(N($D211)&gt;N($C211),"more broken than moulded",IF(AND($C211="",N(S211)&gt;0),"attendance marked but no blocks entered",IF(AND(N($C211)&gt;0,N(T211)=0),"no pay rate for this date - see Settings",IF(SUMPRODUCT((G211:R211&lt;&gt;"")*(G$5:R$5=""))&gt;0,"attendance in an empty worker slot",""))))))</f>
        <v/>
      </c>
      <c r="X211" s="133" t="n"/>
      <c r="Y211" s="125" t="n"/>
      <c r="Z211" s="126" t="n"/>
      <c r="AA211" s="126" t="n"/>
      <c r="AB211" s="126" t="n"/>
      <c r="AC211" s="126" t="n"/>
      <c r="AD211" s="126" t="n"/>
      <c r="AE211" s="126" t="n"/>
      <c r="AF211" s="126" t="n"/>
      <c r="AG211" s="126" t="n"/>
      <c r="AH211" s="126" t="n"/>
      <c r="AI211" s="126" t="n"/>
      <c r="AJ211" s="126" t="n"/>
      <c r="AK211" s="126" t="n"/>
      <c r="AL211" s="126" t="n"/>
      <c r="AM211" s="126" t="n"/>
    </row>
    <row r="212" ht="21" customFormat="1" customHeight="1" s="127">
      <c r="A212" s="250" t="n">
        <v>46470</v>
      </c>
      <c r="B212" s="63">
        <f>CHOOSE(WEEKDAY($A212,2),"Mon","Tue","Wed","Thu","Fri","Sat","Sun")</f>
        <v/>
      </c>
      <c r="C212" s="64" t="n"/>
      <c r="D212" s="64" t="n"/>
      <c r="E212" s="65">
        <f>IF($C212="","",$C212-N($D212))</f>
        <v/>
      </c>
      <c r="F212" s="65">
        <f>IF($C212="","",$C212-MAX(0,N($D212)-BreakAllow*$C212))</f>
        <v/>
      </c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1">
        <f>IF(COUNT(G212:R212)=0,"",SUM(G212:R212))</f>
        <v/>
      </c>
      <c r="T212" s="251">
        <f>IF($C212="","",IFERROR(INDEX(RateValues,MATCH(SUMPRODUCT(MAX((RateDates&lt;=$A212)*RateDates)),RateDates,0)),0))</f>
        <v/>
      </c>
      <c r="U212" s="252">
        <f>IF($C212="","",$F212*$T212)</f>
        <v/>
      </c>
      <c r="V212" s="253">
        <f>$A212-WEEKDAY($A212,2)+1</f>
        <v/>
      </c>
      <c r="W212" s="132">
        <f t="array" ref="W212">IF(AND($C212="",S212=""),"",IF(AND(N($C212)&gt;0,N(S212)=0),"nobody marked present",IF(N($D212)&gt;N($C212),"more broken than moulded",IF(AND($C212="",N(S212)&gt;0),"attendance marked but no blocks entered",IF(AND(N($C212)&gt;0,N(T212)=0),"no pay rate for this date - see Settings",IF(SUMPRODUCT((G212:R212&lt;&gt;"")*(G$5:R$5=""))&gt;0,"attendance in an empty worker slot",""))))))</f>
        <v/>
      </c>
      <c r="X212" s="133" t="n"/>
      <c r="Y212" s="125" t="n"/>
      <c r="Z212" s="126" t="n"/>
      <c r="AA212" s="126" t="n"/>
      <c r="AB212" s="126" t="n"/>
      <c r="AC212" s="126" t="n"/>
      <c r="AD212" s="126" t="n"/>
      <c r="AE212" s="126" t="n"/>
      <c r="AF212" s="126" t="n"/>
      <c r="AG212" s="126" t="n"/>
      <c r="AH212" s="126" t="n"/>
      <c r="AI212" s="126" t="n"/>
      <c r="AJ212" s="126" t="n"/>
      <c r="AK212" s="126" t="n"/>
      <c r="AL212" s="126" t="n"/>
      <c r="AM212" s="126" t="n"/>
    </row>
    <row r="213" ht="21" customFormat="1" customHeight="1" s="127">
      <c r="A213" s="250" t="n">
        <v>46471</v>
      </c>
      <c r="B213" s="63">
        <f>CHOOSE(WEEKDAY($A213,2),"Mon","Tue","Wed","Thu","Fri","Sat","Sun")</f>
        <v/>
      </c>
      <c r="C213" s="64" t="n"/>
      <c r="D213" s="64" t="n"/>
      <c r="E213" s="65">
        <f>IF($C213="","",$C213-N($D213))</f>
        <v/>
      </c>
      <c r="F213" s="65">
        <f>IF($C213="","",$C213-MAX(0,N($D213)-BreakAllow*$C213))</f>
        <v/>
      </c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1">
        <f>IF(COUNT(G213:R213)=0,"",SUM(G213:R213))</f>
        <v/>
      </c>
      <c r="T213" s="251">
        <f>IF($C213="","",IFERROR(INDEX(RateValues,MATCH(SUMPRODUCT(MAX((RateDates&lt;=$A213)*RateDates)),RateDates,0)),0))</f>
        <v/>
      </c>
      <c r="U213" s="252">
        <f>IF($C213="","",$F213*$T213)</f>
        <v/>
      </c>
      <c r="V213" s="253">
        <f>$A213-WEEKDAY($A213,2)+1</f>
        <v/>
      </c>
      <c r="W213" s="132">
        <f t="array" ref="W213">IF(AND($C213="",S213=""),"",IF(AND(N($C213)&gt;0,N(S213)=0),"nobody marked present",IF(N($D213)&gt;N($C213),"more broken than moulded",IF(AND($C213="",N(S213)&gt;0),"attendance marked but no blocks entered",IF(AND(N($C213)&gt;0,N(T213)=0),"no pay rate for this date - see Settings",IF(SUMPRODUCT((G213:R213&lt;&gt;"")*(G$5:R$5=""))&gt;0,"attendance in an empty worker slot",""))))))</f>
        <v/>
      </c>
      <c r="X213" s="133" t="n"/>
      <c r="Y213" s="125" t="n"/>
      <c r="Z213" s="126" t="n"/>
      <c r="AA213" s="126" t="n"/>
      <c r="AB213" s="126" t="n"/>
      <c r="AC213" s="126" t="n"/>
      <c r="AD213" s="126" t="n"/>
      <c r="AE213" s="126" t="n"/>
      <c r="AF213" s="126" t="n"/>
      <c r="AG213" s="126" t="n"/>
      <c r="AH213" s="126" t="n"/>
      <c r="AI213" s="126" t="n"/>
      <c r="AJ213" s="126" t="n"/>
      <c r="AK213" s="126" t="n"/>
      <c r="AL213" s="126" t="n"/>
      <c r="AM213" s="126" t="n"/>
    </row>
    <row r="214" ht="21" customFormat="1" customHeight="1" s="127">
      <c r="A214" s="250" t="n">
        <v>46472</v>
      </c>
      <c r="B214" s="63">
        <f>CHOOSE(WEEKDAY($A214,2),"Mon","Tue","Wed","Thu","Fri","Sat","Sun")</f>
        <v/>
      </c>
      <c r="C214" s="64" t="n"/>
      <c r="D214" s="64" t="n"/>
      <c r="E214" s="65">
        <f>IF($C214="","",$C214-N($D214))</f>
        <v/>
      </c>
      <c r="F214" s="65">
        <f>IF($C214="","",$C214-MAX(0,N($D214)-BreakAllow*$C214))</f>
        <v/>
      </c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1">
        <f>IF(COUNT(G214:R214)=0,"",SUM(G214:R214))</f>
        <v/>
      </c>
      <c r="T214" s="251">
        <f>IF($C214="","",IFERROR(INDEX(RateValues,MATCH(SUMPRODUCT(MAX((RateDates&lt;=$A214)*RateDates)),RateDates,0)),0))</f>
        <v/>
      </c>
      <c r="U214" s="252">
        <f>IF($C214="","",$F214*$T214)</f>
        <v/>
      </c>
      <c r="V214" s="253">
        <f>$A214-WEEKDAY($A214,2)+1</f>
        <v/>
      </c>
      <c r="W214" s="132">
        <f t="array" ref="W214">IF(AND($C214="",S214=""),"",IF(AND(N($C214)&gt;0,N(S214)=0),"nobody marked present",IF(N($D214)&gt;N($C214),"more broken than moulded",IF(AND($C214="",N(S214)&gt;0),"attendance marked but no blocks entered",IF(AND(N($C214)&gt;0,N(T214)=0),"no pay rate for this date - see Settings",IF(SUMPRODUCT((G214:R214&lt;&gt;"")*(G$5:R$5=""))&gt;0,"attendance in an empty worker slot",""))))))</f>
        <v/>
      </c>
      <c r="X214" s="133" t="n"/>
      <c r="Y214" s="125" t="n"/>
      <c r="Z214" s="126" t="n"/>
      <c r="AA214" s="126" t="n"/>
      <c r="AB214" s="126" t="n"/>
      <c r="AC214" s="126" t="n"/>
      <c r="AD214" s="126" t="n"/>
      <c r="AE214" s="126" t="n"/>
      <c r="AF214" s="126" t="n"/>
      <c r="AG214" s="126" t="n"/>
      <c r="AH214" s="126" t="n"/>
      <c r="AI214" s="126" t="n"/>
      <c r="AJ214" s="126" t="n"/>
      <c r="AK214" s="126" t="n"/>
      <c r="AL214" s="126" t="n"/>
      <c r="AM214" s="126" t="n"/>
    </row>
    <row r="215" ht="21" customFormat="1" customHeight="1" s="127">
      <c r="A215" s="250" t="n">
        <v>46473</v>
      </c>
      <c r="B215" s="63">
        <f>CHOOSE(WEEKDAY($A215,2),"Mon","Tue","Wed","Thu","Fri","Sat","Sun")</f>
        <v/>
      </c>
      <c r="C215" s="64" t="n"/>
      <c r="D215" s="64" t="n"/>
      <c r="E215" s="65">
        <f>IF($C215="","",$C215-N($D215))</f>
        <v/>
      </c>
      <c r="F215" s="65">
        <f>IF($C215="","",$C215-MAX(0,N($D215)-BreakAllow*$C215))</f>
        <v/>
      </c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1">
        <f>IF(COUNT(G215:R215)=0,"",SUM(G215:R215))</f>
        <v/>
      </c>
      <c r="T215" s="251">
        <f>IF($C215="","",IFERROR(INDEX(RateValues,MATCH(SUMPRODUCT(MAX((RateDates&lt;=$A215)*RateDates)),RateDates,0)),0))</f>
        <v/>
      </c>
      <c r="U215" s="252">
        <f>IF($C215="","",$F215*$T215)</f>
        <v/>
      </c>
      <c r="V215" s="253">
        <f>$A215-WEEKDAY($A215,2)+1</f>
        <v/>
      </c>
      <c r="W215" s="132">
        <f t="array" ref="W215">IF(AND($C215="",S215=""),"",IF(AND(N($C215)&gt;0,N(S215)=0),"nobody marked present",IF(N($D215)&gt;N($C215),"more broken than moulded",IF(AND($C215="",N(S215)&gt;0),"attendance marked but no blocks entered",IF(AND(N($C215)&gt;0,N(T215)=0),"no pay rate for this date - see Settings",IF(SUMPRODUCT((G215:R215&lt;&gt;"")*(G$5:R$5=""))&gt;0,"attendance in an empty worker slot",""))))))</f>
        <v/>
      </c>
      <c r="X215" s="133" t="n"/>
      <c r="Y215" s="125" t="n"/>
      <c r="Z215" s="126" t="n"/>
      <c r="AA215" s="126" t="n"/>
      <c r="AB215" s="126" t="n"/>
      <c r="AC215" s="126" t="n"/>
      <c r="AD215" s="126" t="n"/>
      <c r="AE215" s="126" t="n"/>
      <c r="AF215" s="126" t="n"/>
      <c r="AG215" s="126" t="n"/>
      <c r="AH215" s="126" t="n"/>
      <c r="AI215" s="126" t="n"/>
      <c r="AJ215" s="126" t="n"/>
      <c r="AK215" s="126" t="n"/>
      <c r="AL215" s="126" t="n"/>
      <c r="AM215" s="126" t="n"/>
    </row>
    <row r="216" ht="21" customFormat="1" customHeight="1" s="127">
      <c r="A216" s="254" t="n">
        <v>46474</v>
      </c>
      <c r="B216" s="70">
        <f>CHOOSE(WEEKDAY($A216,2),"Mon","Tue","Wed","Thu","Fri","Sat","Sun")</f>
        <v/>
      </c>
      <c r="C216" s="64" t="n"/>
      <c r="D216" s="64" t="n"/>
      <c r="E216" s="65">
        <f>IF($C216="","",$C216-N($D216))</f>
        <v/>
      </c>
      <c r="F216" s="65">
        <f>IF($C216="","",$C216-MAX(0,N($D216)-BreakAllow*$C216))</f>
        <v/>
      </c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1">
        <f>IF(COUNT(G216:R216)=0,"",SUM(G216:R216))</f>
        <v/>
      </c>
      <c r="T216" s="251">
        <f>IF($C216="","",IFERROR(INDEX(RateValues,MATCH(SUMPRODUCT(MAX((RateDates&lt;=$A216)*RateDates)),RateDates,0)),0))</f>
        <v/>
      </c>
      <c r="U216" s="252">
        <f>IF($C216="","",$F216*$T216)</f>
        <v/>
      </c>
      <c r="V216" s="253">
        <f>$A216-WEEKDAY($A216,2)+1</f>
        <v/>
      </c>
      <c r="W216" s="132">
        <f t="array" ref="W216">IF(AND($C216="",S216=""),"",IF(AND(N($C216)&gt;0,N(S216)=0),"nobody marked present",IF(N($D216)&gt;N($C216),"more broken than moulded",IF(AND($C216="",N(S216)&gt;0),"attendance marked but no blocks entered",IF(AND(N($C216)&gt;0,N(T216)=0),"no pay rate for this date - see Settings",IF(SUMPRODUCT((G216:R216&lt;&gt;"")*(G$5:R$5=""))&gt;0,"attendance in an empty worker slot",""))))))</f>
        <v/>
      </c>
      <c r="X216" s="133" t="n"/>
      <c r="Y216" s="125" t="n"/>
      <c r="Z216" s="126" t="n"/>
      <c r="AA216" s="126" t="n"/>
      <c r="AB216" s="126" t="n"/>
      <c r="AC216" s="126" t="n"/>
      <c r="AD216" s="126" t="n"/>
      <c r="AE216" s="126" t="n"/>
      <c r="AF216" s="126" t="n"/>
      <c r="AG216" s="126" t="n"/>
      <c r="AH216" s="126" t="n"/>
      <c r="AI216" s="126" t="n"/>
      <c r="AJ216" s="126" t="n"/>
      <c r="AK216" s="126" t="n"/>
      <c r="AL216" s="126" t="n"/>
      <c r="AM216" s="126" t="n"/>
    </row>
    <row r="217" ht="21" customFormat="1" customHeight="1" s="127">
      <c r="A217" s="250" t="n">
        <v>46475</v>
      </c>
      <c r="B217" s="63">
        <f>CHOOSE(WEEKDAY($A217,2),"Mon","Tue","Wed","Thu","Fri","Sat","Sun")</f>
        <v/>
      </c>
      <c r="C217" s="64" t="n"/>
      <c r="D217" s="64" t="n"/>
      <c r="E217" s="65">
        <f>IF($C217="","",$C217-N($D217))</f>
        <v/>
      </c>
      <c r="F217" s="65">
        <f>IF($C217="","",$C217-MAX(0,N($D217)-BreakAllow*$C217))</f>
        <v/>
      </c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1">
        <f>IF(COUNT(G217:R217)=0,"",SUM(G217:R217))</f>
        <v/>
      </c>
      <c r="T217" s="251">
        <f>IF($C217="","",IFERROR(INDEX(RateValues,MATCH(SUMPRODUCT(MAX((RateDates&lt;=$A217)*RateDates)),RateDates,0)),0))</f>
        <v/>
      </c>
      <c r="U217" s="252">
        <f>IF($C217="","",$F217*$T217)</f>
        <v/>
      </c>
      <c r="V217" s="253">
        <f>$A217-WEEKDAY($A217,2)+1</f>
        <v/>
      </c>
      <c r="W217" s="132">
        <f t="array" ref="W217">IF(AND($C217="",S217=""),"",IF(AND(N($C217)&gt;0,N(S217)=0),"nobody marked present",IF(N($D217)&gt;N($C217),"more broken than moulded",IF(AND($C217="",N(S217)&gt;0),"attendance marked but no blocks entered",IF(AND(N($C217)&gt;0,N(T217)=0),"no pay rate for this date - see Settings",IF(SUMPRODUCT((G217:R217&lt;&gt;"")*(G$5:R$5=""))&gt;0,"attendance in an empty worker slot",""))))))</f>
        <v/>
      </c>
      <c r="X217" s="133" t="n"/>
      <c r="Y217" s="125" t="n"/>
      <c r="Z217" s="126" t="n"/>
      <c r="AA217" s="126" t="n"/>
      <c r="AB217" s="126" t="n"/>
      <c r="AC217" s="126" t="n"/>
      <c r="AD217" s="126" t="n"/>
      <c r="AE217" s="126" t="n"/>
      <c r="AF217" s="126" t="n"/>
      <c r="AG217" s="126" t="n"/>
      <c r="AH217" s="126" t="n"/>
      <c r="AI217" s="126" t="n"/>
      <c r="AJ217" s="126" t="n"/>
      <c r="AK217" s="126" t="n"/>
      <c r="AL217" s="126" t="n"/>
      <c r="AM217" s="126" t="n"/>
    </row>
    <row r="218" ht="21" customFormat="1" customHeight="1" s="127">
      <c r="A218" s="250" t="n">
        <v>46476</v>
      </c>
      <c r="B218" s="63">
        <f>CHOOSE(WEEKDAY($A218,2),"Mon","Tue","Wed","Thu","Fri","Sat","Sun")</f>
        <v/>
      </c>
      <c r="C218" s="64" t="n"/>
      <c r="D218" s="64" t="n"/>
      <c r="E218" s="65">
        <f>IF($C218="","",$C218-N($D218))</f>
        <v/>
      </c>
      <c r="F218" s="65">
        <f>IF($C218="","",$C218-MAX(0,N($D218)-BreakAllow*$C218))</f>
        <v/>
      </c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1">
        <f>IF(COUNT(G218:R218)=0,"",SUM(G218:R218))</f>
        <v/>
      </c>
      <c r="T218" s="251">
        <f>IF($C218="","",IFERROR(INDEX(RateValues,MATCH(SUMPRODUCT(MAX((RateDates&lt;=$A218)*RateDates)),RateDates,0)),0))</f>
        <v/>
      </c>
      <c r="U218" s="252">
        <f>IF($C218="","",$F218*$T218)</f>
        <v/>
      </c>
      <c r="V218" s="253">
        <f>$A218-WEEKDAY($A218,2)+1</f>
        <v/>
      </c>
      <c r="W218" s="132">
        <f t="array" ref="W218">IF(AND($C218="",S218=""),"",IF(AND(N($C218)&gt;0,N(S218)=0),"nobody marked present",IF(N($D218)&gt;N($C218),"more broken than moulded",IF(AND($C218="",N(S218)&gt;0),"attendance marked but no blocks entered",IF(AND(N($C218)&gt;0,N(T218)=0),"no pay rate for this date - see Settings",IF(SUMPRODUCT((G218:R218&lt;&gt;"")*(G$5:R$5=""))&gt;0,"attendance in an empty worker slot",""))))))</f>
        <v/>
      </c>
      <c r="X218" s="133" t="n"/>
      <c r="Y218" s="125" t="n"/>
      <c r="Z218" s="126" t="n"/>
      <c r="AA218" s="126" t="n"/>
      <c r="AB218" s="126" t="n"/>
      <c r="AC218" s="126" t="n"/>
      <c r="AD218" s="126" t="n"/>
      <c r="AE218" s="126" t="n"/>
      <c r="AF218" s="126" t="n"/>
      <c r="AG218" s="126" t="n"/>
      <c r="AH218" s="126" t="n"/>
      <c r="AI218" s="126" t="n"/>
      <c r="AJ218" s="126" t="n"/>
      <c r="AK218" s="126" t="n"/>
      <c r="AL218" s="126" t="n"/>
      <c r="AM218" s="126" t="n"/>
    </row>
    <row r="219" ht="21" customFormat="1" customHeight="1" s="127">
      <c r="A219" s="250" t="n">
        <v>46477</v>
      </c>
      <c r="B219" s="63">
        <f>CHOOSE(WEEKDAY($A219,2),"Mon","Tue","Wed","Thu","Fri","Sat","Sun")</f>
        <v/>
      </c>
      <c r="C219" s="64" t="n"/>
      <c r="D219" s="64" t="n"/>
      <c r="E219" s="65">
        <f>IF($C219="","",$C219-N($D219))</f>
        <v/>
      </c>
      <c r="F219" s="65">
        <f>IF($C219="","",$C219-MAX(0,N($D219)-BreakAllow*$C219))</f>
        <v/>
      </c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1">
        <f>IF(COUNT(G219:R219)=0,"",SUM(G219:R219))</f>
        <v/>
      </c>
      <c r="T219" s="251">
        <f>IF($C219="","",IFERROR(INDEX(RateValues,MATCH(SUMPRODUCT(MAX((RateDates&lt;=$A219)*RateDates)),RateDates,0)),0))</f>
        <v/>
      </c>
      <c r="U219" s="252">
        <f>IF($C219="","",$F219*$T219)</f>
        <v/>
      </c>
      <c r="V219" s="253">
        <f>$A219-WEEKDAY($A219,2)+1</f>
        <v/>
      </c>
      <c r="W219" s="132">
        <f t="array" ref="W219">IF(AND($C219="",S219=""),"",IF(AND(N($C219)&gt;0,N(S219)=0),"nobody marked present",IF(N($D219)&gt;N($C219),"more broken than moulded",IF(AND($C219="",N(S219)&gt;0),"attendance marked but no blocks entered",IF(AND(N($C219)&gt;0,N(T219)=0),"no pay rate for this date - see Settings",IF(SUMPRODUCT((G219:R219&lt;&gt;"")*(G$5:R$5=""))&gt;0,"attendance in an empty worker slot",""))))))</f>
        <v/>
      </c>
      <c r="X219" s="133" t="n"/>
      <c r="Y219" s="125" t="n"/>
      <c r="Z219" s="126" t="n"/>
      <c r="AA219" s="126" t="n"/>
      <c r="AB219" s="126" t="n"/>
      <c r="AC219" s="126" t="n"/>
      <c r="AD219" s="126" t="n"/>
      <c r="AE219" s="126" t="n"/>
      <c r="AF219" s="126" t="n"/>
      <c r="AG219" s="126" t="n"/>
      <c r="AH219" s="126" t="n"/>
      <c r="AI219" s="126" t="n"/>
      <c r="AJ219" s="126" t="n"/>
      <c r="AK219" s="126" t="n"/>
      <c r="AL219" s="126" t="n"/>
      <c r="AM219" s="126" t="n"/>
    </row>
    <row r="220" ht="21" customFormat="1" customHeight="1" s="127">
      <c r="A220" s="250" t="n">
        <v>46478</v>
      </c>
      <c r="B220" s="63">
        <f>CHOOSE(WEEKDAY($A220,2),"Mon","Tue","Wed","Thu","Fri","Sat","Sun")</f>
        <v/>
      </c>
      <c r="C220" s="64" t="n"/>
      <c r="D220" s="64" t="n"/>
      <c r="E220" s="65">
        <f>IF($C220="","",$C220-N($D220))</f>
        <v/>
      </c>
      <c r="F220" s="65">
        <f>IF($C220="","",$C220-MAX(0,N($D220)-BreakAllow*$C220))</f>
        <v/>
      </c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1">
        <f>IF(COUNT(G220:R220)=0,"",SUM(G220:R220))</f>
        <v/>
      </c>
      <c r="T220" s="251">
        <f>IF($C220="","",IFERROR(INDEX(RateValues,MATCH(SUMPRODUCT(MAX((RateDates&lt;=$A220)*RateDates)),RateDates,0)),0))</f>
        <v/>
      </c>
      <c r="U220" s="252">
        <f>IF($C220="","",$F220*$T220)</f>
        <v/>
      </c>
      <c r="V220" s="253">
        <f>$A220-WEEKDAY($A220,2)+1</f>
        <v/>
      </c>
      <c r="W220" s="132">
        <f t="array" ref="W220">IF(AND($C220="",S220=""),"",IF(AND(N($C220)&gt;0,N(S220)=0),"nobody marked present",IF(N($D220)&gt;N($C220),"more broken than moulded",IF(AND($C220="",N(S220)&gt;0),"attendance marked but no blocks entered",IF(AND(N($C220)&gt;0,N(T220)=0),"no pay rate for this date - see Settings",IF(SUMPRODUCT((G220:R220&lt;&gt;"")*(G$5:R$5=""))&gt;0,"attendance in an empty worker slot",""))))))</f>
        <v/>
      </c>
      <c r="X220" s="133" t="n"/>
      <c r="Y220" s="125" t="n"/>
      <c r="Z220" s="126" t="n"/>
      <c r="AA220" s="126" t="n"/>
      <c r="AB220" s="126" t="n"/>
      <c r="AC220" s="126" t="n"/>
      <c r="AD220" s="126" t="n"/>
      <c r="AE220" s="126" t="n"/>
      <c r="AF220" s="126" t="n"/>
      <c r="AG220" s="126" t="n"/>
      <c r="AH220" s="126" t="n"/>
      <c r="AI220" s="126" t="n"/>
      <c r="AJ220" s="126" t="n"/>
      <c r="AK220" s="126" t="n"/>
      <c r="AL220" s="126" t="n"/>
      <c r="AM220" s="126" t="n"/>
    </row>
    <row r="221" ht="21" customFormat="1" customHeight="1" s="127">
      <c r="A221" s="250" t="n">
        <v>46479</v>
      </c>
      <c r="B221" s="63">
        <f>CHOOSE(WEEKDAY($A221,2),"Mon","Tue","Wed","Thu","Fri","Sat","Sun")</f>
        <v/>
      </c>
      <c r="C221" s="64" t="n"/>
      <c r="D221" s="64" t="n"/>
      <c r="E221" s="65">
        <f>IF($C221="","",$C221-N($D221))</f>
        <v/>
      </c>
      <c r="F221" s="65">
        <f>IF($C221="","",$C221-MAX(0,N($D221)-BreakAllow*$C221))</f>
        <v/>
      </c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1">
        <f>IF(COUNT(G221:R221)=0,"",SUM(G221:R221))</f>
        <v/>
      </c>
      <c r="T221" s="251">
        <f>IF($C221="","",IFERROR(INDEX(RateValues,MATCH(SUMPRODUCT(MAX((RateDates&lt;=$A221)*RateDates)),RateDates,0)),0))</f>
        <v/>
      </c>
      <c r="U221" s="252">
        <f>IF($C221="","",$F221*$T221)</f>
        <v/>
      </c>
      <c r="V221" s="253">
        <f>$A221-WEEKDAY($A221,2)+1</f>
        <v/>
      </c>
      <c r="W221" s="132">
        <f t="array" ref="W221">IF(AND($C221="",S221=""),"",IF(AND(N($C221)&gt;0,N(S221)=0),"nobody marked present",IF(N($D221)&gt;N($C221),"more broken than moulded",IF(AND($C221="",N(S221)&gt;0),"attendance marked but no blocks entered",IF(AND(N($C221)&gt;0,N(T221)=0),"no pay rate for this date - see Settings",IF(SUMPRODUCT((G221:R221&lt;&gt;"")*(G$5:R$5=""))&gt;0,"attendance in an empty worker slot",""))))))</f>
        <v/>
      </c>
      <c r="X221" s="133" t="n"/>
      <c r="Y221" s="125" t="n"/>
      <c r="Z221" s="126" t="n"/>
      <c r="AA221" s="126" t="n"/>
      <c r="AB221" s="126" t="n"/>
      <c r="AC221" s="126" t="n"/>
      <c r="AD221" s="126" t="n"/>
      <c r="AE221" s="126" t="n"/>
      <c r="AF221" s="126" t="n"/>
      <c r="AG221" s="126" t="n"/>
      <c r="AH221" s="126" t="n"/>
      <c r="AI221" s="126" t="n"/>
      <c r="AJ221" s="126" t="n"/>
      <c r="AK221" s="126" t="n"/>
      <c r="AL221" s="126" t="n"/>
      <c r="AM221" s="126" t="n"/>
    </row>
    <row r="222" ht="21" customFormat="1" customHeight="1" s="127">
      <c r="A222" s="250" t="n">
        <v>46480</v>
      </c>
      <c r="B222" s="63">
        <f>CHOOSE(WEEKDAY($A222,2),"Mon","Tue","Wed","Thu","Fri","Sat","Sun")</f>
        <v/>
      </c>
      <c r="C222" s="64" t="n"/>
      <c r="D222" s="64" t="n"/>
      <c r="E222" s="65">
        <f>IF($C222="","",$C222-N($D222))</f>
        <v/>
      </c>
      <c r="F222" s="65">
        <f>IF($C222="","",$C222-MAX(0,N($D222)-BreakAllow*$C222))</f>
        <v/>
      </c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1">
        <f>IF(COUNT(G222:R222)=0,"",SUM(G222:R222))</f>
        <v/>
      </c>
      <c r="T222" s="251">
        <f>IF($C222="","",IFERROR(INDEX(RateValues,MATCH(SUMPRODUCT(MAX((RateDates&lt;=$A222)*RateDates)),RateDates,0)),0))</f>
        <v/>
      </c>
      <c r="U222" s="252">
        <f>IF($C222="","",$F222*$T222)</f>
        <v/>
      </c>
      <c r="V222" s="253">
        <f>$A222-WEEKDAY($A222,2)+1</f>
        <v/>
      </c>
      <c r="W222" s="132">
        <f t="array" ref="W222">IF(AND($C222="",S222=""),"",IF(AND(N($C222)&gt;0,N(S222)=0),"nobody marked present",IF(N($D222)&gt;N($C222),"more broken than moulded",IF(AND($C222="",N(S222)&gt;0),"attendance marked but no blocks entered",IF(AND(N($C222)&gt;0,N(T222)=0),"no pay rate for this date - see Settings",IF(SUMPRODUCT((G222:R222&lt;&gt;"")*(G$5:R$5=""))&gt;0,"attendance in an empty worker slot",""))))))</f>
        <v/>
      </c>
      <c r="X222" s="133" t="n"/>
      <c r="Y222" s="125" t="n"/>
      <c r="Z222" s="126" t="n"/>
      <c r="AA222" s="126" t="n"/>
      <c r="AB222" s="126" t="n"/>
      <c r="AC222" s="126" t="n"/>
      <c r="AD222" s="126" t="n"/>
      <c r="AE222" s="126" t="n"/>
      <c r="AF222" s="126" t="n"/>
      <c r="AG222" s="126" t="n"/>
      <c r="AH222" s="126" t="n"/>
      <c r="AI222" s="126" t="n"/>
      <c r="AJ222" s="126" t="n"/>
      <c r="AK222" s="126" t="n"/>
      <c r="AL222" s="126" t="n"/>
      <c r="AM222" s="126" t="n"/>
    </row>
    <row r="223" ht="21" customFormat="1" customHeight="1" s="127">
      <c r="A223" s="254" t="n">
        <v>46481</v>
      </c>
      <c r="B223" s="70">
        <f>CHOOSE(WEEKDAY($A223,2),"Mon","Tue","Wed","Thu","Fri","Sat","Sun")</f>
        <v/>
      </c>
      <c r="C223" s="64" t="n"/>
      <c r="D223" s="64" t="n"/>
      <c r="E223" s="65">
        <f>IF($C223="","",$C223-N($D223))</f>
        <v/>
      </c>
      <c r="F223" s="65">
        <f>IF($C223="","",$C223-MAX(0,N($D223)-BreakAllow*$C223))</f>
        <v/>
      </c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1">
        <f>IF(COUNT(G223:R223)=0,"",SUM(G223:R223))</f>
        <v/>
      </c>
      <c r="T223" s="251">
        <f>IF($C223="","",IFERROR(INDEX(RateValues,MATCH(SUMPRODUCT(MAX((RateDates&lt;=$A223)*RateDates)),RateDates,0)),0))</f>
        <v/>
      </c>
      <c r="U223" s="252">
        <f>IF($C223="","",$F223*$T223)</f>
        <v/>
      </c>
      <c r="V223" s="253">
        <f>$A223-WEEKDAY($A223,2)+1</f>
        <v/>
      </c>
      <c r="W223" s="132">
        <f t="array" ref="W223">IF(AND($C223="",S223=""),"",IF(AND(N($C223)&gt;0,N(S223)=0),"nobody marked present",IF(N($D223)&gt;N($C223),"more broken than moulded",IF(AND($C223="",N(S223)&gt;0),"attendance marked but no blocks entered",IF(AND(N($C223)&gt;0,N(T223)=0),"no pay rate for this date - see Settings",IF(SUMPRODUCT((G223:R223&lt;&gt;"")*(G$5:R$5=""))&gt;0,"attendance in an empty worker slot",""))))))</f>
        <v/>
      </c>
      <c r="X223" s="133" t="n"/>
      <c r="Y223" s="125" t="n"/>
      <c r="Z223" s="126" t="n"/>
      <c r="AA223" s="126" t="n"/>
      <c r="AB223" s="126" t="n"/>
      <c r="AC223" s="126" t="n"/>
      <c r="AD223" s="126" t="n"/>
      <c r="AE223" s="126" t="n"/>
      <c r="AF223" s="126" t="n"/>
      <c r="AG223" s="126" t="n"/>
      <c r="AH223" s="126" t="n"/>
      <c r="AI223" s="126" t="n"/>
      <c r="AJ223" s="126" t="n"/>
      <c r="AK223" s="126" t="n"/>
      <c r="AL223" s="126" t="n"/>
      <c r="AM223" s="126" t="n"/>
    </row>
    <row r="224" ht="21" customFormat="1" customHeight="1" s="127">
      <c r="A224" s="250" t="n">
        <v>46482</v>
      </c>
      <c r="B224" s="63">
        <f>CHOOSE(WEEKDAY($A224,2),"Mon","Tue","Wed","Thu","Fri","Sat","Sun")</f>
        <v/>
      </c>
      <c r="C224" s="64" t="n"/>
      <c r="D224" s="64" t="n"/>
      <c r="E224" s="65">
        <f>IF($C224="","",$C224-N($D224))</f>
        <v/>
      </c>
      <c r="F224" s="65">
        <f>IF($C224="","",$C224-MAX(0,N($D224)-BreakAllow*$C224))</f>
        <v/>
      </c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1">
        <f>IF(COUNT(G224:R224)=0,"",SUM(G224:R224))</f>
        <v/>
      </c>
      <c r="T224" s="251">
        <f>IF($C224="","",IFERROR(INDEX(RateValues,MATCH(SUMPRODUCT(MAX((RateDates&lt;=$A224)*RateDates)),RateDates,0)),0))</f>
        <v/>
      </c>
      <c r="U224" s="252">
        <f>IF($C224="","",$F224*$T224)</f>
        <v/>
      </c>
      <c r="V224" s="253">
        <f>$A224-WEEKDAY($A224,2)+1</f>
        <v/>
      </c>
      <c r="W224" s="132">
        <f t="array" ref="W224">IF(AND($C224="",S224=""),"",IF(AND(N($C224)&gt;0,N(S224)=0),"nobody marked present",IF(N($D224)&gt;N($C224),"more broken than moulded",IF(AND($C224="",N(S224)&gt;0),"attendance marked but no blocks entered",IF(AND(N($C224)&gt;0,N(T224)=0),"no pay rate for this date - see Settings",IF(SUMPRODUCT((G224:R224&lt;&gt;"")*(G$5:R$5=""))&gt;0,"attendance in an empty worker slot",""))))))</f>
        <v/>
      </c>
      <c r="X224" s="133" t="n"/>
      <c r="Y224" s="125" t="n"/>
      <c r="Z224" s="126" t="n"/>
      <c r="AA224" s="126" t="n"/>
      <c r="AB224" s="126" t="n"/>
      <c r="AC224" s="126" t="n"/>
      <c r="AD224" s="126" t="n"/>
      <c r="AE224" s="126" t="n"/>
      <c r="AF224" s="126" t="n"/>
      <c r="AG224" s="126" t="n"/>
      <c r="AH224" s="126" t="n"/>
      <c r="AI224" s="126" t="n"/>
      <c r="AJ224" s="126" t="n"/>
      <c r="AK224" s="126" t="n"/>
      <c r="AL224" s="126" t="n"/>
      <c r="AM224" s="126" t="n"/>
    </row>
    <row r="225" ht="21" customFormat="1" customHeight="1" s="127">
      <c r="A225" s="250" t="n">
        <v>46483</v>
      </c>
      <c r="B225" s="63">
        <f>CHOOSE(WEEKDAY($A225,2),"Mon","Tue","Wed","Thu","Fri","Sat","Sun")</f>
        <v/>
      </c>
      <c r="C225" s="64" t="n"/>
      <c r="D225" s="64" t="n"/>
      <c r="E225" s="65">
        <f>IF($C225="","",$C225-N($D225))</f>
        <v/>
      </c>
      <c r="F225" s="65">
        <f>IF($C225="","",$C225-MAX(0,N($D225)-BreakAllow*$C225))</f>
        <v/>
      </c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1">
        <f>IF(COUNT(G225:R225)=0,"",SUM(G225:R225))</f>
        <v/>
      </c>
      <c r="T225" s="251">
        <f>IF($C225="","",IFERROR(INDEX(RateValues,MATCH(SUMPRODUCT(MAX((RateDates&lt;=$A225)*RateDates)),RateDates,0)),0))</f>
        <v/>
      </c>
      <c r="U225" s="252">
        <f>IF($C225="","",$F225*$T225)</f>
        <v/>
      </c>
      <c r="V225" s="253">
        <f>$A225-WEEKDAY($A225,2)+1</f>
        <v/>
      </c>
      <c r="W225" s="132">
        <f t="array" ref="W225">IF(AND($C225="",S225=""),"",IF(AND(N($C225)&gt;0,N(S225)=0),"nobody marked present",IF(N($D225)&gt;N($C225),"more broken than moulded",IF(AND($C225="",N(S225)&gt;0),"attendance marked but no blocks entered",IF(AND(N($C225)&gt;0,N(T225)=0),"no pay rate for this date - see Settings",IF(SUMPRODUCT((G225:R225&lt;&gt;"")*(G$5:R$5=""))&gt;0,"attendance in an empty worker slot",""))))))</f>
        <v/>
      </c>
      <c r="X225" s="133" t="n"/>
      <c r="Y225" s="125" t="n"/>
      <c r="Z225" s="126" t="n"/>
      <c r="AA225" s="126" t="n"/>
      <c r="AB225" s="126" t="n"/>
      <c r="AC225" s="126" t="n"/>
      <c r="AD225" s="126" t="n"/>
      <c r="AE225" s="126" t="n"/>
      <c r="AF225" s="126" t="n"/>
      <c r="AG225" s="126" t="n"/>
      <c r="AH225" s="126" t="n"/>
      <c r="AI225" s="126" t="n"/>
      <c r="AJ225" s="126" t="n"/>
      <c r="AK225" s="126" t="n"/>
      <c r="AL225" s="126" t="n"/>
      <c r="AM225" s="126" t="n"/>
    </row>
    <row r="226" ht="21" customFormat="1" customHeight="1" s="127">
      <c r="A226" s="250" t="n">
        <v>46484</v>
      </c>
      <c r="B226" s="63">
        <f>CHOOSE(WEEKDAY($A226,2),"Mon","Tue","Wed","Thu","Fri","Sat","Sun")</f>
        <v/>
      </c>
      <c r="C226" s="64" t="n"/>
      <c r="D226" s="64" t="n"/>
      <c r="E226" s="65">
        <f>IF($C226="","",$C226-N($D226))</f>
        <v/>
      </c>
      <c r="F226" s="65">
        <f>IF($C226="","",$C226-MAX(0,N($D226)-BreakAllow*$C226))</f>
        <v/>
      </c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1">
        <f>IF(COUNT(G226:R226)=0,"",SUM(G226:R226))</f>
        <v/>
      </c>
      <c r="T226" s="251">
        <f>IF($C226="","",IFERROR(INDEX(RateValues,MATCH(SUMPRODUCT(MAX((RateDates&lt;=$A226)*RateDates)),RateDates,0)),0))</f>
        <v/>
      </c>
      <c r="U226" s="252">
        <f>IF($C226="","",$F226*$T226)</f>
        <v/>
      </c>
      <c r="V226" s="253">
        <f>$A226-WEEKDAY($A226,2)+1</f>
        <v/>
      </c>
      <c r="W226" s="132">
        <f t="array" ref="W226">IF(AND($C226="",S226=""),"",IF(AND(N($C226)&gt;0,N(S226)=0),"nobody marked present",IF(N($D226)&gt;N($C226),"more broken than moulded",IF(AND($C226="",N(S226)&gt;0),"attendance marked but no blocks entered",IF(AND(N($C226)&gt;0,N(T226)=0),"no pay rate for this date - see Settings",IF(SUMPRODUCT((G226:R226&lt;&gt;"")*(G$5:R$5=""))&gt;0,"attendance in an empty worker slot",""))))))</f>
        <v/>
      </c>
      <c r="X226" s="133" t="n"/>
      <c r="Y226" s="125" t="n"/>
      <c r="Z226" s="126" t="n"/>
      <c r="AA226" s="126" t="n"/>
      <c r="AB226" s="126" t="n"/>
      <c r="AC226" s="126" t="n"/>
      <c r="AD226" s="126" t="n"/>
      <c r="AE226" s="126" t="n"/>
      <c r="AF226" s="126" t="n"/>
      <c r="AG226" s="126" t="n"/>
      <c r="AH226" s="126" t="n"/>
      <c r="AI226" s="126" t="n"/>
      <c r="AJ226" s="126" t="n"/>
      <c r="AK226" s="126" t="n"/>
      <c r="AL226" s="126" t="n"/>
      <c r="AM226" s="126" t="n"/>
    </row>
    <row r="227" ht="21" customFormat="1" customHeight="1" s="127">
      <c r="A227" s="250" t="n">
        <v>46485</v>
      </c>
      <c r="B227" s="63">
        <f>CHOOSE(WEEKDAY($A227,2),"Mon","Tue","Wed","Thu","Fri","Sat","Sun")</f>
        <v/>
      </c>
      <c r="C227" s="64" t="n"/>
      <c r="D227" s="64" t="n"/>
      <c r="E227" s="65">
        <f>IF($C227="","",$C227-N($D227))</f>
        <v/>
      </c>
      <c r="F227" s="65">
        <f>IF($C227="","",$C227-MAX(0,N($D227)-BreakAllow*$C227))</f>
        <v/>
      </c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1">
        <f>IF(COUNT(G227:R227)=0,"",SUM(G227:R227))</f>
        <v/>
      </c>
      <c r="T227" s="251">
        <f>IF($C227="","",IFERROR(INDEX(RateValues,MATCH(SUMPRODUCT(MAX((RateDates&lt;=$A227)*RateDates)),RateDates,0)),0))</f>
        <v/>
      </c>
      <c r="U227" s="252">
        <f>IF($C227="","",$F227*$T227)</f>
        <v/>
      </c>
      <c r="V227" s="253">
        <f>$A227-WEEKDAY($A227,2)+1</f>
        <v/>
      </c>
      <c r="W227" s="132">
        <f t="array" ref="W227">IF(AND($C227="",S227=""),"",IF(AND(N($C227)&gt;0,N(S227)=0),"nobody marked present",IF(N($D227)&gt;N($C227),"more broken than moulded",IF(AND($C227="",N(S227)&gt;0),"attendance marked but no blocks entered",IF(AND(N($C227)&gt;0,N(T227)=0),"no pay rate for this date - see Settings",IF(SUMPRODUCT((G227:R227&lt;&gt;"")*(G$5:R$5=""))&gt;0,"attendance in an empty worker slot",""))))))</f>
        <v/>
      </c>
      <c r="X227" s="133" t="n"/>
      <c r="Y227" s="125" t="n"/>
      <c r="Z227" s="126" t="n"/>
      <c r="AA227" s="126" t="n"/>
      <c r="AB227" s="126" t="n"/>
      <c r="AC227" s="126" t="n"/>
      <c r="AD227" s="126" t="n"/>
      <c r="AE227" s="126" t="n"/>
      <c r="AF227" s="126" t="n"/>
      <c r="AG227" s="126" t="n"/>
      <c r="AH227" s="126" t="n"/>
      <c r="AI227" s="126" t="n"/>
      <c r="AJ227" s="126" t="n"/>
      <c r="AK227" s="126" t="n"/>
      <c r="AL227" s="126" t="n"/>
      <c r="AM227" s="126" t="n"/>
    </row>
    <row r="228" ht="21" customFormat="1" customHeight="1" s="127">
      <c r="A228" s="250" t="n">
        <v>46486</v>
      </c>
      <c r="B228" s="63">
        <f>CHOOSE(WEEKDAY($A228,2),"Mon","Tue","Wed","Thu","Fri","Sat","Sun")</f>
        <v/>
      </c>
      <c r="C228" s="64" t="n"/>
      <c r="D228" s="64" t="n"/>
      <c r="E228" s="65">
        <f>IF($C228="","",$C228-N($D228))</f>
        <v/>
      </c>
      <c r="F228" s="65">
        <f>IF($C228="","",$C228-MAX(0,N($D228)-BreakAllow*$C228))</f>
        <v/>
      </c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1">
        <f>IF(COUNT(G228:R228)=0,"",SUM(G228:R228))</f>
        <v/>
      </c>
      <c r="T228" s="251">
        <f>IF($C228="","",IFERROR(INDEX(RateValues,MATCH(SUMPRODUCT(MAX((RateDates&lt;=$A228)*RateDates)),RateDates,0)),0))</f>
        <v/>
      </c>
      <c r="U228" s="252">
        <f>IF($C228="","",$F228*$T228)</f>
        <v/>
      </c>
      <c r="V228" s="253">
        <f>$A228-WEEKDAY($A228,2)+1</f>
        <v/>
      </c>
      <c r="W228" s="132">
        <f t="array" ref="W228">IF(AND($C228="",S228=""),"",IF(AND(N($C228)&gt;0,N(S228)=0),"nobody marked present",IF(N($D228)&gt;N($C228),"more broken than moulded",IF(AND($C228="",N(S228)&gt;0),"attendance marked but no blocks entered",IF(AND(N($C228)&gt;0,N(T228)=0),"no pay rate for this date - see Settings",IF(SUMPRODUCT((G228:R228&lt;&gt;"")*(G$5:R$5=""))&gt;0,"attendance in an empty worker slot",""))))))</f>
        <v/>
      </c>
      <c r="X228" s="133" t="n"/>
      <c r="Y228" s="125" t="n"/>
      <c r="Z228" s="126" t="n"/>
      <c r="AA228" s="126" t="n"/>
      <c r="AB228" s="126" t="n"/>
      <c r="AC228" s="126" t="n"/>
      <c r="AD228" s="126" t="n"/>
      <c r="AE228" s="126" t="n"/>
      <c r="AF228" s="126" t="n"/>
      <c r="AG228" s="126" t="n"/>
      <c r="AH228" s="126" t="n"/>
      <c r="AI228" s="126" t="n"/>
      <c r="AJ228" s="126" t="n"/>
      <c r="AK228" s="126" t="n"/>
      <c r="AL228" s="126" t="n"/>
      <c r="AM228" s="126" t="n"/>
    </row>
    <row r="229" ht="21" customFormat="1" customHeight="1" s="127">
      <c r="A229" s="250" t="n">
        <v>46487</v>
      </c>
      <c r="B229" s="63">
        <f>CHOOSE(WEEKDAY($A229,2),"Mon","Tue","Wed","Thu","Fri","Sat","Sun")</f>
        <v/>
      </c>
      <c r="C229" s="64" t="n"/>
      <c r="D229" s="64" t="n"/>
      <c r="E229" s="65">
        <f>IF($C229="","",$C229-N($D229))</f>
        <v/>
      </c>
      <c r="F229" s="65">
        <f>IF($C229="","",$C229-MAX(0,N($D229)-BreakAllow*$C229))</f>
        <v/>
      </c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1">
        <f>IF(COUNT(G229:R229)=0,"",SUM(G229:R229))</f>
        <v/>
      </c>
      <c r="T229" s="251">
        <f>IF($C229="","",IFERROR(INDEX(RateValues,MATCH(SUMPRODUCT(MAX((RateDates&lt;=$A229)*RateDates)),RateDates,0)),0))</f>
        <v/>
      </c>
      <c r="U229" s="252">
        <f>IF($C229="","",$F229*$T229)</f>
        <v/>
      </c>
      <c r="V229" s="253">
        <f>$A229-WEEKDAY($A229,2)+1</f>
        <v/>
      </c>
      <c r="W229" s="132">
        <f t="array" ref="W229">IF(AND($C229="",S229=""),"",IF(AND(N($C229)&gt;0,N(S229)=0),"nobody marked present",IF(N($D229)&gt;N($C229),"more broken than moulded",IF(AND($C229="",N(S229)&gt;0),"attendance marked but no blocks entered",IF(AND(N($C229)&gt;0,N(T229)=0),"no pay rate for this date - see Settings",IF(SUMPRODUCT((G229:R229&lt;&gt;"")*(G$5:R$5=""))&gt;0,"attendance in an empty worker slot",""))))))</f>
        <v/>
      </c>
      <c r="X229" s="133" t="n"/>
      <c r="Y229" s="125" t="n"/>
      <c r="Z229" s="126" t="n"/>
      <c r="AA229" s="126" t="n"/>
      <c r="AB229" s="126" t="n"/>
      <c r="AC229" s="126" t="n"/>
      <c r="AD229" s="126" t="n"/>
      <c r="AE229" s="126" t="n"/>
      <c r="AF229" s="126" t="n"/>
      <c r="AG229" s="126" t="n"/>
      <c r="AH229" s="126" t="n"/>
      <c r="AI229" s="126" t="n"/>
      <c r="AJ229" s="126" t="n"/>
      <c r="AK229" s="126" t="n"/>
      <c r="AL229" s="126" t="n"/>
      <c r="AM229" s="126" t="n"/>
    </row>
    <row r="230" ht="21" customFormat="1" customHeight="1" s="127">
      <c r="A230" s="254" t="n">
        <v>46488</v>
      </c>
      <c r="B230" s="70">
        <f>CHOOSE(WEEKDAY($A230,2),"Mon","Tue","Wed","Thu","Fri","Sat","Sun")</f>
        <v/>
      </c>
      <c r="C230" s="64" t="n"/>
      <c r="D230" s="64" t="n"/>
      <c r="E230" s="65">
        <f>IF($C230="","",$C230-N($D230))</f>
        <v/>
      </c>
      <c r="F230" s="65">
        <f>IF($C230="","",$C230-MAX(0,N($D230)-BreakAllow*$C230))</f>
        <v/>
      </c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1">
        <f>IF(COUNT(G230:R230)=0,"",SUM(G230:R230))</f>
        <v/>
      </c>
      <c r="T230" s="251">
        <f>IF($C230="","",IFERROR(INDEX(RateValues,MATCH(SUMPRODUCT(MAX((RateDates&lt;=$A230)*RateDates)),RateDates,0)),0))</f>
        <v/>
      </c>
      <c r="U230" s="252">
        <f>IF($C230="","",$F230*$T230)</f>
        <v/>
      </c>
      <c r="V230" s="253">
        <f>$A230-WEEKDAY($A230,2)+1</f>
        <v/>
      </c>
      <c r="W230" s="132">
        <f t="array" ref="W230">IF(AND($C230="",S230=""),"",IF(AND(N($C230)&gt;0,N(S230)=0),"nobody marked present",IF(N($D230)&gt;N($C230),"more broken than moulded",IF(AND($C230="",N(S230)&gt;0),"attendance marked but no blocks entered",IF(AND(N($C230)&gt;0,N(T230)=0),"no pay rate for this date - see Settings",IF(SUMPRODUCT((G230:R230&lt;&gt;"")*(G$5:R$5=""))&gt;0,"attendance in an empty worker slot",""))))))</f>
        <v/>
      </c>
      <c r="X230" s="133" t="n"/>
      <c r="Y230" s="125" t="n"/>
      <c r="Z230" s="126" t="n"/>
      <c r="AA230" s="126" t="n"/>
      <c r="AB230" s="126" t="n"/>
      <c r="AC230" s="126" t="n"/>
      <c r="AD230" s="126" t="n"/>
      <c r="AE230" s="126" t="n"/>
      <c r="AF230" s="126" t="n"/>
      <c r="AG230" s="126" t="n"/>
      <c r="AH230" s="126" t="n"/>
      <c r="AI230" s="126" t="n"/>
      <c r="AJ230" s="126" t="n"/>
      <c r="AK230" s="126" t="n"/>
      <c r="AL230" s="126" t="n"/>
      <c r="AM230" s="126" t="n"/>
    </row>
    <row r="231" ht="21" customFormat="1" customHeight="1" s="127">
      <c r="A231" s="250" t="n">
        <v>46489</v>
      </c>
      <c r="B231" s="63">
        <f>CHOOSE(WEEKDAY($A231,2),"Mon","Tue","Wed","Thu","Fri","Sat","Sun")</f>
        <v/>
      </c>
      <c r="C231" s="64" t="n"/>
      <c r="D231" s="64" t="n"/>
      <c r="E231" s="65">
        <f>IF($C231="","",$C231-N($D231))</f>
        <v/>
      </c>
      <c r="F231" s="65">
        <f>IF($C231="","",$C231-MAX(0,N($D231)-BreakAllow*$C231))</f>
        <v/>
      </c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1">
        <f>IF(COUNT(G231:R231)=0,"",SUM(G231:R231))</f>
        <v/>
      </c>
      <c r="T231" s="251">
        <f>IF($C231="","",IFERROR(INDEX(RateValues,MATCH(SUMPRODUCT(MAX((RateDates&lt;=$A231)*RateDates)),RateDates,0)),0))</f>
        <v/>
      </c>
      <c r="U231" s="252">
        <f>IF($C231="","",$F231*$T231)</f>
        <v/>
      </c>
      <c r="V231" s="253">
        <f>$A231-WEEKDAY($A231,2)+1</f>
        <v/>
      </c>
      <c r="W231" s="132">
        <f t="array" ref="W231">IF(AND($C231="",S231=""),"",IF(AND(N($C231)&gt;0,N(S231)=0),"nobody marked present",IF(N($D231)&gt;N($C231),"more broken than moulded",IF(AND($C231="",N(S231)&gt;0),"attendance marked but no blocks entered",IF(AND(N($C231)&gt;0,N(T231)=0),"no pay rate for this date - see Settings",IF(SUMPRODUCT((G231:R231&lt;&gt;"")*(G$5:R$5=""))&gt;0,"attendance in an empty worker slot",""))))))</f>
        <v/>
      </c>
      <c r="X231" s="133" t="n"/>
      <c r="Y231" s="125" t="n"/>
      <c r="Z231" s="126" t="n"/>
      <c r="AA231" s="126" t="n"/>
      <c r="AB231" s="126" t="n"/>
      <c r="AC231" s="126" t="n"/>
      <c r="AD231" s="126" t="n"/>
      <c r="AE231" s="126" t="n"/>
      <c r="AF231" s="126" t="n"/>
      <c r="AG231" s="126" t="n"/>
      <c r="AH231" s="126" t="n"/>
      <c r="AI231" s="126" t="n"/>
      <c r="AJ231" s="126" t="n"/>
      <c r="AK231" s="126" t="n"/>
      <c r="AL231" s="126" t="n"/>
      <c r="AM231" s="126" t="n"/>
    </row>
    <row r="232" ht="21" customFormat="1" customHeight="1" s="127">
      <c r="A232" s="250" t="n">
        <v>46490</v>
      </c>
      <c r="B232" s="63">
        <f>CHOOSE(WEEKDAY($A232,2),"Mon","Tue","Wed","Thu","Fri","Sat","Sun")</f>
        <v/>
      </c>
      <c r="C232" s="64" t="n"/>
      <c r="D232" s="64" t="n"/>
      <c r="E232" s="65">
        <f>IF($C232="","",$C232-N($D232))</f>
        <v/>
      </c>
      <c r="F232" s="65">
        <f>IF($C232="","",$C232-MAX(0,N($D232)-BreakAllow*$C232))</f>
        <v/>
      </c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1">
        <f>IF(COUNT(G232:R232)=0,"",SUM(G232:R232))</f>
        <v/>
      </c>
      <c r="T232" s="251">
        <f>IF($C232="","",IFERROR(INDEX(RateValues,MATCH(SUMPRODUCT(MAX((RateDates&lt;=$A232)*RateDates)),RateDates,0)),0))</f>
        <v/>
      </c>
      <c r="U232" s="252">
        <f>IF($C232="","",$F232*$T232)</f>
        <v/>
      </c>
      <c r="V232" s="253">
        <f>$A232-WEEKDAY($A232,2)+1</f>
        <v/>
      </c>
      <c r="W232" s="132">
        <f t="array" ref="W232">IF(AND($C232="",S232=""),"",IF(AND(N($C232)&gt;0,N(S232)=0),"nobody marked present",IF(N($D232)&gt;N($C232),"more broken than moulded",IF(AND($C232="",N(S232)&gt;0),"attendance marked but no blocks entered",IF(AND(N($C232)&gt;0,N(T232)=0),"no pay rate for this date - see Settings",IF(SUMPRODUCT((G232:R232&lt;&gt;"")*(G$5:R$5=""))&gt;0,"attendance in an empty worker slot",""))))))</f>
        <v/>
      </c>
      <c r="X232" s="133" t="n"/>
      <c r="Y232" s="125" t="n"/>
      <c r="Z232" s="126" t="n"/>
      <c r="AA232" s="126" t="n"/>
      <c r="AB232" s="126" t="n"/>
      <c r="AC232" s="126" t="n"/>
      <c r="AD232" s="126" t="n"/>
      <c r="AE232" s="126" t="n"/>
      <c r="AF232" s="126" t="n"/>
      <c r="AG232" s="126" t="n"/>
      <c r="AH232" s="126" t="n"/>
      <c r="AI232" s="126" t="n"/>
      <c r="AJ232" s="126" t="n"/>
      <c r="AK232" s="126" t="n"/>
      <c r="AL232" s="126" t="n"/>
      <c r="AM232" s="126" t="n"/>
    </row>
    <row r="233" ht="21" customFormat="1" customHeight="1" s="127">
      <c r="A233" s="250" t="n">
        <v>46491</v>
      </c>
      <c r="B233" s="63">
        <f>CHOOSE(WEEKDAY($A233,2),"Mon","Tue","Wed","Thu","Fri","Sat","Sun")</f>
        <v/>
      </c>
      <c r="C233" s="64" t="n"/>
      <c r="D233" s="64" t="n"/>
      <c r="E233" s="65">
        <f>IF($C233="","",$C233-N($D233))</f>
        <v/>
      </c>
      <c r="F233" s="65">
        <f>IF($C233="","",$C233-MAX(0,N($D233)-BreakAllow*$C233))</f>
        <v/>
      </c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1">
        <f>IF(COUNT(G233:R233)=0,"",SUM(G233:R233))</f>
        <v/>
      </c>
      <c r="T233" s="251">
        <f>IF($C233="","",IFERROR(INDEX(RateValues,MATCH(SUMPRODUCT(MAX((RateDates&lt;=$A233)*RateDates)),RateDates,0)),0))</f>
        <v/>
      </c>
      <c r="U233" s="252">
        <f>IF($C233="","",$F233*$T233)</f>
        <v/>
      </c>
      <c r="V233" s="253">
        <f>$A233-WEEKDAY($A233,2)+1</f>
        <v/>
      </c>
      <c r="W233" s="132">
        <f t="array" ref="W233">IF(AND($C233="",S233=""),"",IF(AND(N($C233)&gt;0,N(S233)=0),"nobody marked present",IF(N($D233)&gt;N($C233),"more broken than moulded",IF(AND($C233="",N(S233)&gt;0),"attendance marked but no blocks entered",IF(AND(N($C233)&gt;0,N(T233)=0),"no pay rate for this date - see Settings",IF(SUMPRODUCT((G233:R233&lt;&gt;"")*(G$5:R$5=""))&gt;0,"attendance in an empty worker slot",""))))))</f>
        <v/>
      </c>
      <c r="X233" s="133" t="n"/>
      <c r="Y233" s="125" t="n"/>
      <c r="Z233" s="126" t="n"/>
      <c r="AA233" s="126" t="n"/>
      <c r="AB233" s="126" t="n"/>
      <c r="AC233" s="126" t="n"/>
      <c r="AD233" s="126" t="n"/>
      <c r="AE233" s="126" t="n"/>
      <c r="AF233" s="126" t="n"/>
      <c r="AG233" s="126" t="n"/>
      <c r="AH233" s="126" t="n"/>
      <c r="AI233" s="126" t="n"/>
      <c r="AJ233" s="126" t="n"/>
      <c r="AK233" s="126" t="n"/>
      <c r="AL233" s="126" t="n"/>
      <c r="AM233" s="126" t="n"/>
    </row>
    <row r="234" ht="21" customFormat="1" customHeight="1" s="127">
      <c r="A234" s="250" t="n">
        <v>46492</v>
      </c>
      <c r="B234" s="63">
        <f>CHOOSE(WEEKDAY($A234,2),"Mon","Tue","Wed","Thu","Fri","Sat","Sun")</f>
        <v/>
      </c>
      <c r="C234" s="64" t="n"/>
      <c r="D234" s="64" t="n"/>
      <c r="E234" s="65">
        <f>IF($C234="","",$C234-N($D234))</f>
        <v/>
      </c>
      <c r="F234" s="65">
        <f>IF($C234="","",$C234-MAX(0,N($D234)-BreakAllow*$C234))</f>
        <v/>
      </c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1">
        <f>IF(COUNT(G234:R234)=0,"",SUM(G234:R234))</f>
        <v/>
      </c>
      <c r="T234" s="251">
        <f>IF($C234="","",IFERROR(INDEX(RateValues,MATCH(SUMPRODUCT(MAX((RateDates&lt;=$A234)*RateDates)),RateDates,0)),0))</f>
        <v/>
      </c>
      <c r="U234" s="252">
        <f>IF($C234="","",$F234*$T234)</f>
        <v/>
      </c>
      <c r="V234" s="253">
        <f>$A234-WEEKDAY($A234,2)+1</f>
        <v/>
      </c>
      <c r="W234" s="132">
        <f t="array" ref="W234">IF(AND($C234="",S234=""),"",IF(AND(N($C234)&gt;0,N(S234)=0),"nobody marked present",IF(N($D234)&gt;N($C234),"more broken than moulded",IF(AND($C234="",N(S234)&gt;0),"attendance marked but no blocks entered",IF(AND(N($C234)&gt;0,N(T234)=0),"no pay rate for this date - see Settings",IF(SUMPRODUCT((G234:R234&lt;&gt;"")*(G$5:R$5=""))&gt;0,"attendance in an empty worker slot",""))))))</f>
        <v/>
      </c>
      <c r="X234" s="133" t="n"/>
      <c r="Y234" s="125" t="n"/>
      <c r="Z234" s="126" t="n"/>
      <c r="AA234" s="126" t="n"/>
      <c r="AB234" s="126" t="n"/>
      <c r="AC234" s="126" t="n"/>
      <c r="AD234" s="126" t="n"/>
      <c r="AE234" s="126" t="n"/>
      <c r="AF234" s="126" t="n"/>
      <c r="AG234" s="126" t="n"/>
      <c r="AH234" s="126" t="n"/>
      <c r="AI234" s="126" t="n"/>
      <c r="AJ234" s="126" t="n"/>
      <c r="AK234" s="126" t="n"/>
      <c r="AL234" s="126" t="n"/>
      <c r="AM234" s="126" t="n"/>
    </row>
    <row r="235" ht="21" customFormat="1" customHeight="1" s="127">
      <c r="A235" s="250" t="n">
        <v>46493</v>
      </c>
      <c r="B235" s="63">
        <f>CHOOSE(WEEKDAY($A235,2),"Mon","Tue","Wed","Thu","Fri","Sat","Sun")</f>
        <v/>
      </c>
      <c r="C235" s="64" t="n"/>
      <c r="D235" s="64" t="n"/>
      <c r="E235" s="65">
        <f>IF($C235="","",$C235-N($D235))</f>
        <v/>
      </c>
      <c r="F235" s="65">
        <f>IF($C235="","",$C235-MAX(0,N($D235)-BreakAllow*$C235))</f>
        <v/>
      </c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1">
        <f>IF(COUNT(G235:R235)=0,"",SUM(G235:R235))</f>
        <v/>
      </c>
      <c r="T235" s="251">
        <f>IF($C235="","",IFERROR(INDEX(RateValues,MATCH(SUMPRODUCT(MAX((RateDates&lt;=$A235)*RateDates)),RateDates,0)),0))</f>
        <v/>
      </c>
      <c r="U235" s="252">
        <f>IF($C235="","",$F235*$T235)</f>
        <v/>
      </c>
      <c r="V235" s="253">
        <f>$A235-WEEKDAY($A235,2)+1</f>
        <v/>
      </c>
      <c r="W235" s="132">
        <f t="array" ref="W235">IF(AND($C235="",S235=""),"",IF(AND(N($C235)&gt;0,N(S235)=0),"nobody marked present",IF(N($D235)&gt;N($C235),"more broken than moulded",IF(AND($C235="",N(S235)&gt;0),"attendance marked but no blocks entered",IF(AND(N($C235)&gt;0,N(T235)=0),"no pay rate for this date - see Settings",IF(SUMPRODUCT((G235:R235&lt;&gt;"")*(G$5:R$5=""))&gt;0,"attendance in an empty worker slot",""))))))</f>
        <v/>
      </c>
      <c r="X235" s="133" t="n"/>
      <c r="Y235" s="125" t="n"/>
      <c r="Z235" s="126" t="n"/>
      <c r="AA235" s="126" t="n"/>
      <c r="AB235" s="126" t="n"/>
      <c r="AC235" s="126" t="n"/>
      <c r="AD235" s="126" t="n"/>
      <c r="AE235" s="126" t="n"/>
      <c r="AF235" s="126" t="n"/>
      <c r="AG235" s="126" t="n"/>
      <c r="AH235" s="126" t="n"/>
      <c r="AI235" s="126" t="n"/>
      <c r="AJ235" s="126" t="n"/>
      <c r="AK235" s="126" t="n"/>
      <c r="AL235" s="126" t="n"/>
      <c r="AM235" s="126" t="n"/>
    </row>
    <row r="236" ht="21" customFormat="1" customHeight="1" s="127">
      <c r="A236" s="250" t="n">
        <v>46494</v>
      </c>
      <c r="B236" s="63">
        <f>CHOOSE(WEEKDAY($A236,2),"Mon","Tue","Wed","Thu","Fri","Sat","Sun")</f>
        <v/>
      </c>
      <c r="C236" s="64" t="n"/>
      <c r="D236" s="64" t="n"/>
      <c r="E236" s="65">
        <f>IF($C236="","",$C236-N($D236))</f>
        <v/>
      </c>
      <c r="F236" s="65">
        <f>IF($C236="","",$C236-MAX(0,N($D236)-BreakAllow*$C236))</f>
        <v/>
      </c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1">
        <f>IF(COUNT(G236:R236)=0,"",SUM(G236:R236))</f>
        <v/>
      </c>
      <c r="T236" s="251">
        <f>IF($C236="","",IFERROR(INDEX(RateValues,MATCH(SUMPRODUCT(MAX((RateDates&lt;=$A236)*RateDates)),RateDates,0)),0))</f>
        <v/>
      </c>
      <c r="U236" s="252">
        <f>IF($C236="","",$F236*$T236)</f>
        <v/>
      </c>
      <c r="V236" s="253">
        <f>$A236-WEEKDAY($A236,2)+1</f>
        <v/>
      </c>
      <c r="W236" s="132">
        <f t="array" ref="W236">IF(AND($C236="",S236=""),"",IF(AND(N($C236)&gt;0,N(S236)=0),"nobody marked present",IF(N($D236)&gt;N($C236),"more broken than moulded",IF(AND($C236="",N(S236)&gt;0),"attendance marked but no blocks entered",IF(AND(N($C236)&gt;0,N(T236)=0),"no pay rate for this date - see Settings",IF(SUMPRODUCT((G236:R236&lt;&gt;"")*(G$5:R$5=""))&gt;0,"attendance in an empty worker slot",""))))))</f>
        <v/>
      </c>
      <c r="X236" s="133" t="n"/>
      <c r="Y236" s="125" t="n"/>
      <c r="Z236" s="126" t="n"/>
      <c r="AA236" s="126" t="n"/>
      <c r="AB236" s="126" t="n"/>
      <c r="AC236" s="126" t="n"/>
      <c r="AD236" s="126" t="n"/>
      <c r="AE236" s="126" t="n"/>
      <c r="AF236" s="126" t="n"/>
      <c r="AG236" s="126" t="n"/>
      <c r="AH236" s="126" t="n"/>
      <c r="AI236" s="126" t="n"/>
      <c r="AJ236" s="126" t="n"/>
      <c r="AK236" s="126" t="n"/>
      <c r="AL236" s="126" t="n"/>
      <c r="AM236" s="126" t="n"/>
    </row>
    <row r="237" ht="21" customFormat="1" customHeight="1" s="127">
      <c r="A237" s="254" t="n">
        <v>46495</v>
      </c>
      <c r="B237" s="70">
        <f>CHOOSE(WEEKDAY($A237,2),"Mon","Tue","Wed","Thu","Fri","Sat","Sun")</f>
        <v/>
      </c>
      <c r="C237" s="64" t="n"/>
      <c r="D237" s="64" t="n"/>
      <c r="E237" s="65">
        <f>IF($C237="","",$C237-N($D237))</f>
        <v/>
      </c>
      <c r="F237" s="65">
        <f>IF($C237="","",$C237-MAX(0,N($D237)-BreakAllow*$C237))</f>
        <v/>
      </c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1">
        <f>IF(COUNT(G237:R237)=0,"",SUM(G237:R237))</f>
        <v/>
      </c>
      <c r="T237" s="251">
        <f>IF($C237="","",IFERROR(INDEX(RateValues,MATCH(SUMPRODUCT(MAX((RateDates&lt;=$A237)*RateDates)),RateDates,0)),0))</f>
        <v/>
      </c>
      <c r="U237" s="252">
        <f>IF($C237="","",$F237*$T237)</f>
        <v/>
      </c>
      <c r="V237" s="253">
        <f>$A237-WEEKDAY($A237,2)+1</f>
        <v/>
      </c>
      <c r="W237" s="132">
        <f t="array" ref="W237">IF(AND($C237="",S237=""),"",IF(AND(N($C237)&gt;0,N(S237)=0),"nobody marked present",IF(N($D237)&gt;N($C237),"more broken than moulded",IF(AND($C237="",N(S237)&gt;0),"attendance marked but no blocks entered",IF(AND(N($C237)&gt;0,N(T237)=0),"no pay rate for this date - see Settings",IF(SUMPRODUCT((G237:R237&lt;&gt;"")*(G$5:R$5=""))&gt;0,"attendance in an empty worker slot",""))))))</f>
        <v/>
      </c>
      <c r="X237" s="133" t="n"/>
      <c r="Y237" s="125" t="n"/>
      <c r="Z237" s="126" t="n"/>
      <c r="AA237" s="126" t="n"/>
      <c r="AB237" s="126" t="n"/>
      <c r="AC237" s="126" t="n"/>
      <c r="AD237" s="126" t="n"/>
      <c r="AE237" s="126" t="n"/>
      <c r="AF237" s="126" t="n"/>
      <c r="AG237" s="126" t="n"/>
      <c r="AH237" s="126" t="n"/>
      <c r="AI237" s="126" t="n"/>
      <c r="AJ237" s="126" t="n"/>
      <c r="AK237" s="126" t="n"/>
      <c r="AL237" s="126" t="n"/>
      <c r="AM237" s="126" t="n"/>
    </row>
    <row r="238" ht="21" customFormat="1" customHeight="1" s="127">
      <c r="A238" s="250" t="n">
        <v>46496</v>
      </c>
      <c r="B238" s="63">
        <f>CHOOSE(WEEKDAY($A238,2),"Mon","Tue","Wed","Thu","Fri","Sat","Sun")</f>
        <v/>
      </c>
      <c r="C238" s="64" t="n"/>
      <c r="D238" s="64" t="n"/>
      <c r="E238" s="65">
        <f>IF($C238="","",$C238-N($D238))</f>
        <v/>
      </c>
      <c r="F238" s="65">
        <f>IF($C238="","",$C238-MAX(0,N($D238)-BreakAllow*$C238))</f>
        <v/>
      </c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1">
        <f>IF(COUNT(G238:R238)=0,"",SUM(G238:R238))</f>
        <v/>
      </c>
      <c r="T238" s="251">
        <f>IF($C238="","",IFERROR(INDEX(RateValues,MATCH(SUMPRODUCT(MAX((RateDates&lt;=$A238)*RateDates)),RateDates,0)),0))</f>
        <v/>
      </c>
      <c r="U238" s="252">
        <f>IF($C238="","",$F238*$T238)</f>
        <v/>
      </c>
      <c r="V238" s="253">
        <f>$A238-WEEKDAY($A238,2)+1</f>
        <v/>
      </c>
      <c r="W238" s="132">
        <f t="array" ref="W238">IF(AND($C238="",S238=""),"",IF(AND(N($C238)&gt;0,N(S238)=0),"nobody marked present",IF(N($D238)&gt;N($C238),"more broken than moulded",IF(AND($C238="",N(S238)&gt;0),"attendance marked but no blocks entered",IF(AND(N($C238)&gt;0,N(T238)=0),"no pay rate for this date - see Settings",IF(SUMPRODUCT((G238:R238&lt;&gt;"")*(G$5:R$5=""))&gt;0,"attendance in an empty worker slot",""))))))</f>
        <v/>
      </c>
      <c r="X238" s="133" t="n"/>
      <c r="Y238" s="125" t="n"/>
      <c r="Z238" s="126" t="n"/>
      <c r="AA238" s="126" t="n"/>
      <c r="AB238" s="126" t="n"/>
      <c r="AC238" s="126" t="n"/>
      <c r="AD238" s="126" t="n"/>
      <c r="AE238" s="126" t="n"/>
      <c r="AF238" s="126" t="n"/>
      <c r="AG238" s="126" t="n"/>
      <c r="AH238" s="126" t="n"/>
      <c r="AI238" s="126" t="n"/>
      <c r="AJ238" s="126" t="n"/>
      <c r="AK238" s="126" t="n"/>
      <c r="AL238" s="126" t="n"/>
      <c r="AM238" s="126" t="n"/>
    </row>
    <row r="239" ht="21" customFormat="1" customHeight="1" s="127">
      <c r="A239" s="250" t="n">
        <v>46497</v>
      </c>
      <c r="B239" s="63">
        <f>CHOOSE(WEEKDAY($A239,2),"Mon","Tue","Wed","Thu","Fri","Sat","Sun")</f>
        <v/>
      </c>
      <c r="C239" s="64" t="n"/>
      <c r="D239" s="64" t="n"/>
      <c r="E239" s="65">
        <f>IF($C239="","",$C239-N($D239))</f>
        <v/>
      </c>
      <c r="F239" s="65">
        <f>IF($C239="","",$C239-MAX(0,N($D239)-BreakAllow*$C239))</f>
        <v/>
      </c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1">
        <f>IF(COUNT(G239:R239)=0,"",SUM(G239:R239))</f>
        <v/>
      </c>
      <c r="T239" s="251">
        <f>IF($C239="","",IFERROR(INDEX(RateValues,MATCH(SUMPRODUCT(MAX((RateDates&lt;=$A239)*RateDates)),RateDates,0)),0))</f>
        <v/>
      </c>
      <c r="U239" s="252">
        <f>IF($C239="","",$F239*$T239)</f>
        <v/>
      </c>
      <c r="V239" s="253">
        <f>$A239-WEEKDAY($A239,2)+1</f>
        <v/>
      </c>
      <c r="W239" s="132">
        <f t="array" ref="W239">IF(AND($C239="",S239=""),"",IF(AND(N($C239)&gt;0,N(S239)=0),"nobody marked present",IF(N($D239)&gt;N($C239),"more broken than moulded",IF(AND($C239="",N(S239)&gt;0),"attendance marked but no blocks entered",IF(AND(N($C239)&gt;0,N(T239)=0),"no pay rate for this date - see Settings",IF(SUMPRODUCT((G239:R239&lt;&gt;"")*(G$5:R$5=""))&gt;0,"attendance in an empty worker slot",""))))))</f>
        <v/>
      </c>
      <c r="X239" s="133" t="n"/>
      <c r="Y239" s="125" t="n"/>
      <c r="Z239" s="126" t="n"/>
      <c r="AA239" s="126" t="n"/>
      <c r="AB239" s="126" t="n"/>
      <c r="AC239" s="126" t="n"/>
      <c r="AD239" s="126" t="n"/>
      <c r="AE239" s="126" t="n"/>
      <c r="AF239" s="126" t="n"/>
      <c r="AG239" s="126" t="n"/>
      <c r="AH239" s="126" t="n"/>
      <c r="AI239" s="126" t="n"/>
      <c r="AJ239" s="126" t="n"/>
      <c r="AK239" s="126" t="n"/>
      <c r="AL239" s="126" t="n"/>
      <c r="AM239" s="126" t="n"/>
    </row>
    <row r="240" ht="21" customFormat="1" customHeight="1" s="127">
      <c r="A240" s="250" t="n">
        <v>46498</v>
      </c>
      <c r="B240" s="63">
        <f>CHOOSE(WEEKDAY($A240,2),"Mon","Tue","Wed","Thu","Fri","Sat","Sun")</f>
        <v/>
      </c>
      <c r="C240" s="64" t="n"/>
      <c r="D240" s="64" t="n"/>
      <c r="E240" s="65">
        <f>IF($C240="","",$C240-N($D240))</f>
        <v/>
      </c>
      <c r="F240" s="65">
        <f>IF($C240="","",$C240-MAX(0,N($D240)-BreakAllow*$C240))</f>
        <v/>
      </c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1">
        <f>IF(COUNT(G240:R240)=0,"",SUM(G240:R240))</f>
        <v/>
      </c>
      <c r="T240" s="251">
        <f>IF($C240="","",IFERROR(INDEX(RateValues,MATCH(SUMPRODUCT(MAX((RateDates&lt;=$A240)*RateDates)),RateDates,0)),0))</f>
        <v/>
      </c>
      <c r="U240" s="252">
        <f>IF($C240="","",$F240*$T240)</f>
        <v/>
      </c>
      <c r="V240" s="253">
        <f>$A240-WEEKDAY($A240,2)+1</f>
        <v/>
      </c>
      <c r="W240" s="132">
        <f t="array" ref="W240">IF(AND($C240="",S240=""),"",IF(AND(N($C240)&gt;0,N(S240)=0),"nobody marked present",IF(N($D240)&gt;N($C240),"more broken than moulded",IF(AND($C240="",N(S240)&gt;0),"attendance marked but no blocks entered",IF(AND(N($C240)&gt;0,N(T240)=0),"no pay rate for this date - see Settings",IF(SUMPRODUCT((G240:R240&lt;&gt;"")*(G$5:R$5=""))&gt;0,"attendance in an empty worker slot",""))))))</f>
        <v/>
      </c>
      <c r="X240" s="133" t="n"/>
      <c r="Y240" s="125" t="n"/>
      <c r="Z240" s="126" t="n"/>
      <c r="AA240" s="126" t="n"/>
      <c r="AB240" s="126" t="n"/>
      <c r="AC240" s="126" t="n"/>
      <c r="AD240" s="126" t="n"/>
      <c r="AE240" s="126" t="n"/>
      <c r="AF240" s="126" t="n"/>
      <c r="AG240" s="126" t="n"/>
      <c r="AH240" s="126" t="n"/>
      <c r="AI240" s="126" t="n"/>
      <c r="AJ240" s="126" t="n"/>
      <c r="AK240" s="126" t="n"/>
      <c r="AL240" s="126" t="n"/>
      <c r="AM240" s="126" t="n"/>
    </row>
    <row r="241" ht="21" customFormat="1" customHeight="1" s="127">
      <c r="A241" s="250" t="n">
        <v>46499</v>
      </c>
      <c r="B241" s="63">
        <f>CHOOSE(WEEKDAY($A241,2),"Mon","Tue","Wed","Thu","Fri","Sat","Sun")</f>
        <v/>
      </c>
      <c r="C241" s="64" t="n"/>
      <c r="D241" s="64" t="n"/>
      <c r="E241" s="65">
        <f>IF($C241="","",$C241-N($D241))</f>
        <v/>
      </c>
      <c r="F241" s="65">
        <f>IF($C241="","",$C241-MAX(0,N($D241)-BreakAllow*$C241))</f>
        <v/>
      </c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1">
        <f>IF(COUNT(G241:R241)=0,"",SUM(G241:R241))</f>
        <v/>
      </c>
      <c r="T241" s="251">
        <f>IF($C241="","",IFERROR(INDEX(RateValues,MATCH(SUMPRODUCT(MAX((RateDates&lt;=$A241)*RateDates)),RateDates,0)),0))</f>
        <v/>
      </c>
      <c r="U241" s="252">
        <f>IF($C241="","",$F241*$T241)</f>
        <v/>
      </c>
      <c r="V241" s="253">
        <f>$A241-WEEKDAY($A241,2)+1</f>
        <v/>
      </c>
      <c r="W241" s="132">
        <f t="array" ref="W241">IF(AND($C241="",S241=""),"",IF(AND(N($C241)&gt;0,N(S241)=0),"nobody marked present",IF(N($D241)&gt;N($C241),"more broken than moulded",IF(AND($C241="",N(S241)&gt;0),"attendance marked but no blocks entered",IF(AND(N($C241)&gt;0,N(T241)=0),"no pay rate for this date - see Settings",IF(SUMPRODUCT((G241:R241&lt;&gt;"")*(G$5:R$5=""))&gt;0,"attendance in an empty worker slot",""))))))</f>
        <v/>
      </c>
      <c r="X241" s="133" t="n"/>
      <c r="Y241" s="125" t="n"/>
      <c r="Z241" s="126" t="n"/>
      <c r="AA241" s="126" t="n"/>
      <c r="AB241" s="126" t="n"/>
      <c r="AC241" s="126" t="n"/>
      <c r="AD241" s="126" t="n"/>
      <c r="AE241" s="126" t="n"/>
      <c r="AF241" s="126" t="n"/>
      <c r="AG241" s="126" t="n"/>
      <c r="AH241" s="126" t="n"/>
      <c r="AI241" s="126" t="n"/>
      <c r="AJ241" s="126" t="n"/>
      <c r="AK241" s="126" t="n"/>
      <c r="AL241" s="126" t="n"/>
      <c r="AM241" s="126" t="n"/>
    </row>
    <row r="242" ht="21" customFormat="1" customHeight="1" s="127">
      <c r="A242" s="250" t="n">
        <v>46500</v>
      </c>
      <c r="B242" s="63">
        <f>CHOOSE(WEEKDAY($A242,2),"Mon","Tue","Wed","Thu","Fri","Sat","Sun")</f>
        <v/>
      </c>
      <c r="C242" s="64" t="n"/>
      <c r="D242" s="64" t="n"/>
      <c r="E242" s="65">
        <f>IF($C242="","",$C242-N($D242))</f>
        <v/>
      </c>
      <c r="F242" s="65">
        <f>IF($C242="","",$C242-MAX(0,N($D242)-BreakAllow*$C242))</f>
        <v/>
      </c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1">
        <f>IF(COUNT(G242:R242)=0,"",SUM(G242:R242))</f>
        <v/>
      </c>
      <c r="T242" s="251">
        <f>IF($C242="","",IFERROR(INDEX(RateValues,MATCH(SUMPRODUCT(MAX((RateDates&lt;=$A242)*RateDates)),RateDates,0)),0))</f>
        <v/>
      </c>
      <c r="U242" s="252">
        <f>IF($C242="","",$F242*$T242)</f>
        <v/>
      </c>
      <c r="V242" s="253">
        <f>$A242-WEEKDAY($A242,2)+1</f>
        <v/>
      </c>
      <c r="W242" s="132">
        <f t="array" ref="W242">IF(AND($C242="",S242=""),"",IF(AND(N($C242)&gt;0,N(S242)=0),"nobody marked present",IF(N($D242)&gt;N($C242),"more broken than moulded",IF(AND($C242="",N(S242)&gt;0),"attendance marked but no blocks entered",IF(AND(N($C242)&gt;0,N(T242)=0),"no pay rate for this date - see Settings",IF(SUMPRODUCT((G242:R242&lt;&gt;"")*(G$5:R$5=""))&gt;0,"attendance in an empty worker slot",""))))))</f>
        <v/>
      </c>
      <c r="X242" s="133" t="n"/>
      <c r="Y242" s="125" t="n"/>
      <c r="Z242" s="126" t="n"/>
      <c r="AA242" s="126" t="n"/>
      <c r="AB242" s="126" t="n"/>
      <c r="AC242" s="126" t="n"/>
      <c r="AD242" s="126" t="n"/>
      <c r="AE242" s="126" t="n"/>
      <c r="AF242" s="126" t="n"/>
      <c r="AG242" s="126" t="n"/>
      <c r="AH242" s="126" t="n"/>
      <c r="AI242" s="126" t="n"/>
      <c r="AJ242" s="126" t="n"/>
      <c r="AK242" s="126" t="n"/>
      <c r="AL242" s="126" t="n"/>
      <c r="AM242" s="126" t="n"/>
    </row>
    <row r="243" ht="21" customFormat="1" customHeight="1" s="127">
      <c r="A243" s="250" t="n">
        <v>46501</v>
      </c>
      <c r="B243" s="63">
        <f>CHOOSE(WEEKDAY($A243,2),"Mon","Tue","Wed","Thu","Fri","Sat","Sun")</f>
        <v/>
      </c>
      <c r="C243" s="64" t="n"/>
      <c r="D243" s="64" t="n"/>
      <c r="E243" s="65">
        <f>IF($C243="","",$C243-N($D243))</f>
        <v/>
      </c>
      <c r="F243" s="65">
        <f>IF($C243="","",$C243-MAX(0,N($D243)-BreakAllow*$C243))</f>
        <v/>
      </c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1">
        <f>IF(COUNT(G243:R243)=0,"",SUM(G243:R243))</f>
        <v/>
      </c>
      <c r="T243" s="251">
        <f>IF($C243="","",IFERROR(INDEX(RateValues,MATCH(SUMPRODUCT(MAX((RateDates&lt;=$A243)*RateDates)),RateDates,0)),0))</f>
        <v/>
      </c>
      <c r="U243" s="252">
        <f>IF($C243="","",$F243*$T243)</f>
        <v/>
      </c>
      <c r="V243" s="253">
        <f>$A243-WEEKDAY($A243,2)+1</f>
        <v/>
      </c>
      <c r="W243" s="132">
        <f t="array" ref="W243">IF(AND($C243="",S243=""),"",IF(AND(N($C243)&gt;0,N(S243)=0),"nobody marked present",IF(N($D243)&gt;N($C243),"more broken than moulded",IF(AND($C243="",N(S243)&gt;0),"attendance marked but no blocks entered",IF(AND(N($C243)&gt;0,N(T243)=0),"no pay rate for this date - see Settings",IF(SUMPRODUCT((G243:R243&lt;&gt;"")*(G$5:R$5=""))&gt;0,"attendance in an empty worker slot",""))))))</f>
        <v/>
      </c>
      <c r="X243" s="133" t="n"/>
      <c r="Y243" s="125" t="n"/>
      <c r="Z243" s="126" t="n"/>
      <c r="AA243" s="126" t="n"/>
      <c r="AB243" s="126" t="n"/>
      <c r="AC243" s="126" t="n"/>
      <c r="AD243" s="126" t="n"/>
      <c r="AE243" s="126" t="n"/>
      <c r="AF243" s="126" t="n"/>
      <c r="AG243" s="126" t="n"/>
      <c r="AH243" s="126" t="n"/>
      <c r="AI243" s="126" t="n"/>
      <c r="AJ243" s="126" t="n"/>
      <c r="AK243" s="126" t="n"/>
      <c r="AL243" s="126" t="n"/>
      <c r="AM243" s="126" t="n"/>
    </row>
    <row r="244" ht="21" customFormat="1" customHeight="1" s="127">
      <c r="A244" s="254" t="n">
        <v>46502</v>
      </c>
      <c r="B244" s="70">
        <f>CHOOSE(WEEKDAY($A244,2),"Mon","Tue","Wed","Thu","Fri","Sat","Sun")</f>
        <v/>
      </c>
      <c r="C244" s="64" t="n"/>
      <c r="D244" s="64" t="n"/>
      <c r="E244" s="65">
        <f>IF($C244="","",$C244-N($D244))</f>
        <v/>
      </c>
      <c r="F244" s="65">
        <f>IF($C244="","",$C244-MAX(0,N($D244)-BreakAllow*$C244))</f>
        <v/>
      </c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1">
        <f>IF(COUNT(G244:R244)=0,"",SUM(G244:R244))</f>
        <v/>
      </c>
      <c r="T244" s="251">
        <f>IF($C244="","",IFERROR(INDEX(RateValues,MATCH(SUMPRODUCT(MAX((RateDates&lt;=$A244)*RateDates)),RateDates,0)),0))</f>
        <v/>
      </c>
      <c r="U244" s="252">
        <f>IF($C244="","",$F244*$T244)</f>
        <v/>
      </c>
      <c r="V244" s="253">
        <f>$A244-WEEKDAY($A244,2)+1</f>
        <v/>
      </c>
      <c r="W244" s="132">
        <f t="array" ref="W244">IF(AND($C244="",S244=""),"",IF(AND(N($C244)&gt;0,N(S244)=0),"nobody marked present",IF(N($D244)&gt;N($C244),"more broken than moulded",IF(AND($C244="",N(S244)&gt;0),"attendance marked but no blocks entered",IF(AND(N($C244)&gt;0,N(T244)=0),"no pay rate for this date - see Settings",IF(SUMPRODUCT((G244:R244&lt;&gt;"")*(G$5:R$5=""))&gt;0,"attendance in an empty worker slot",""))))))</f>
        <v/>
      </c>
      <c r="X244" s="133" t="n"/>
      <c r="Y244" s="125" t="n"/>
      <c r="Z244" s="126" t="n"/>
      <c r="AA244" s="126" t="n"/>
      <c r="AB244" s="126" t="n"/>
      <c r="AC244" s="126" t="n"/>
      <c r="AD244" s="126" t="n"/>
      <c r="AE244" s="126" t="n"/>
      <c r="AF244" s="126" t="n"/>
      <c r="AG244" s="126" t="n"/>
      <c r="AH244" s="126" t="n"/>
      <c r="AI244" s="126" t="n"/>
      <c r="AJ244" s="126" t="n"/>
      <c r="AK244" s="126" t="n"/>
      <c r="AL244" s="126" t="n"/>
      <c r="AM244" s="126" t="n"/>
    </row>
    <row r="245" ht="21" customFormat="1" customHeight="1" s="127">
      <c r="A245" s="250" t="n">
        <v>46503</v>
      </c>
      <c r="B245" s="63">
        <f>CHOOSE(WEEKDAY($A245,2),"Mon","Tue","Wed","Thu","Fri","Sat","Sun")</f>
        <v/>
      </c>
      <c r="C245" s="64" t="n"/>
      <c r="D245" s="64" t="n"/>
      <c r="E245" s="65">
        <f>IF($C245="","",$C245-N($D245))</f>
        <v/>
      </c>
      <c r="F245" s="65">
        <f>IF($C245="","",$C245-MAX(0,N($D245)-BreakAllow*$C245))</f>
        <v/>
      </c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1">
        <f>IF(COUNT(G245:R245)=0,"",SUM(G245:R245))</f>
        <v/>
      </c>
      <c r="T245" s="251">
        <f>IF($C245="","",IFERROR(INDEX(RateValues,MATCH(SUMPRODUCT(MAX((RateDates&lt;=$A245)*RateDates)),RateDates,0)),0))</f>
        <v/>
      </c>
      <c r="U245" s="252">
        <f>IF($C245="","",$F245*$T245)</f>
        <v/>
      </c>
      <c r="V245" s="253">
        <f>$A245-WEEKDAY($A245,2)+1</f>
        <v/>
      </c>
      <c r="W245" s="132">
        <f t="array" ref="W245">IF(AND($C245="",S245=""),"",IF(AND(N($C245)&gt;0,N(S245)=0),"nobody marked present",IF(N($D245)&gt;N($C245),"more broken than moulded",IF(AND($C245="",N(S245)&gt;0),"attendance marked but no blocks entered",IF(AND(N($C245)&gt;0,N(T245)=0),"no pay rate for this date - see Settings",IF(SUMPRODUCT((G245:R245&lt;&gt;"")*(G$5:R$5=""))&gt;0,"attendance in an empty worker slot",""))))))</f>
        <v/>
      </c>
      <c r="X245" s="133" t="n"/>
      <c r="Y245" s="125" t="n"/>
      <c r="Z245" s="126" t="n"/>
      <c r="AA245" s="126" t="n"/>
      <c r="AB245" s="126" t="n"/>
      <c r="AC245" s="126" t="n"/>
      <c r="AD245" s="126" t="n"/>
      <c r="AE245" s="126" t="n"/>
      <c r="AF245" s="126" t="n"/>
      <c r="AG245" s="126" t="n"/>
      <c r="AH245" s="126" t="n"/>
      <c r="AI245" s="126" t="n"/>
      <c r="AJ245" s="126" t="n"/>
      <c r="AK245" s="126" t="n"/>
      <c r="AL245" s="126" t="n"/>
      <c r="AM245" s="126" t="n"/>
    </row>
    <row r="246" ht="21" customFormat="1" customHeight="1" s="127">
      <c r="A246" s="250" t="n">
        <v>46504</v>
      </c>
      <c r="B246" s="63">
        <f>CHOOSE(WEEKDAY($A246,2),"Mon","Tue","Wed","Thu","Fri","Sat","Sun")</f>
        <v/>
      </c>
      <c r="C246" s="64" t="n"/>
      <c r="D246" s="64" t="n"/>
      <c r="E246" s="65">
        <f>IF($C246="","",$C246-N($D246))</f>
        <v/>
      </c>
      <c r="F246" s="65">
        <f>IF($C246="","",$C246-MAX(0,N($D246)-BreakAllow*$C246))</f>
        <v/>
      </c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1">
        <f>IF(COUNT(G246:R246)=0,"",SUM(G246:R246))</f>
        <v/>
      </c>
      <c r="T246" s="251">
        <f>IF($C246="","",IFERROR(INDEX(RateValues,MATCH(SUMPRODUCT(MAX((RateDates&lt;=$A246)*RateDates)),RateDates,0)),0))</f>
        <v/>
      </c>
      <c r="U246" s="252">
        <f>IF($C246="","",$F246*$T246)</f>
        <v/>
      </c>
      <c r="V246" s="253">
        <f>$A246-WEEKDAY($A246,2)+1</f>
        <v/>
      </c>
      <c r="W246" s="132">
        <f t="array" ref="W246">IF(AND($C246="",S246=""),"",IF(AND(N($C246)&gt;0,N(S246)=0),"nobody marked present",IF(N($D246)&gt;N($C246),"more broken than moulded",IF(AND($C246="",N(S246)&gt;0),"attendance marked but no blocks entered",IF(AND(N($C246)&gt;0,N(T246)=0),"no pay rate for this date - see Settings",IF(SUMPRODUCT((G246:R246&lt;&gt;"")*(G$5:R$5=""))&gt;0,"attendance in an empty worker slot",""))))))</f>
        <v/>
      </c>
      <c r="X246" s="133" t="n"/>
      <c r="Y246" s="125" t="n"/>
      <c r="Z246" s="126" t="n"/>
      <c r="AA246" s="126" t="n"/>
      <c r="AB246" s="126" t="n"/>
      <c r="AC246" s="126" t="n"/>
      <c r="AD246" s="126" t="n"/>
      <c r="AE246" s="126" t="n"/>
      <c r="AF246" s="126" t="n"/>
      <c r="AG246" s="126" t="n"/>
      <c r="AH246" s="126" t="n"/>
      <c r="AI246" s="126" t="n"/>
      <c r="AJ246" s="126" t="n"/>
      <c r="AK246" s="126" t="n"/>
      <c r="AL246" s="126" t="n"/>
      <c r="AM246" s="126" t="n"/>
    </row>
    <row r="247" ht="21" customFormat="1" customHeight="1" s="127">
      <c r="A247" s="250" t="n">
        <v>46505</v>
      </c>
      <c r="B247" s="63">
        <f>CHOOSE(WEEKDAY($A247,2),"Mon","Tue","Wed","Thu","Fri","Sat","Sun")</f>
        <v/>
      </c>
      <c r="C247" s="64" t="n"/>
      <c r="D247" s="64" t="n"/>
      <c r="E247" s="65">
        <f>IF($C247="","",$C247-N($D247))</f>
        <v/>
      </c>
      <c r="F247" s="65">
        <f>IF($C247="","",$C247-MAX(0,N($D247)-BreakAllow*$C247))</f>
        <v/>
      </c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1">
        <f>IF(COUNT(G247:R247)=0,"",SUM(G247:R247))</f>
        <v/>
      </c>
      <c r="T247" s="251">
        <f>IF($C247="","",IFERROR(INDEX(RateValues,MATCH(SUMPRODUCT(MAX((RateDates&lt;=$A247)*RateDates)),RateDates,0)),0))</f>
        <v/>
      </c>
      <c r="U247" s="252">
        <f>IF($C247="","",$F247*$T247)</f>
        <v/>
      </c>
      <c r="V247" s="253">
        <f>$A247-WEEKDAY($A247,2)+1</f>
        <v/>
      </c>
      <c r="W247" s="132">
        <f t="array" ref="W247">IF(AND($C247="",S247=""),"",IF(AND(N($C247)&gt;0,N(S247)=0),"nobody marked present",IF(N($D247)&gt;N($C247),"more broken than moulded",IF(AND($C247="",N(S247)&gt;0),"attendance marked but no blocks entered",IF(AND(N($C247)&gt;0,N(T247)=0),"no pay rate for this date - see Settings",IF(SUMPRODUCT((G247:R247&lt;&gt;"")*(G$5:R$5=""))&gt;0,"attendance in an empty worker slot",""))))))</f>
        <v/>
      </c>
      <c r="X247" s="133" t="n"/>
      <c r="Y247" s="125" t="n"/>
      <c r="Z247" s="126" t="n"/>
      <c r="AA247" s="126" t="n"/>
      <c r="AB247" s="126" t="n"/>
      <c r="AC247" s="126" t="n"/>
      <c r="AD247" s="126" t="n"/>
      <c r="AE247" s="126" t="n"/>
      <c r="AF247" s="126" t="n"/>
      <c r="AG247" s="126" t="n"/>
      <c r="AH247" s="126" t="n"/>
      <c r="AI247" s="126" t="n"/>
      <c r="AJ247" s="126" t="n"/>
      <c r="AK247" s="126" t="n"/>
      <c r="AL247" s="126" t="n"/>
      <c r="AM247" s="126" t="n"/>
    </row>
    <row r="248" ht="21" customFormat="1" customHeight="1" s="127">
      <c r="A248" s="250" t="n">
        <v>46506</v>
      </c>
      <c r="B248" s="63">
        <f>CHOOSE(WEEKDAY($A248,2),"Mon","Tue","Wed","Thu","Fri","Sat","Sun")</f>
        <v/>
      </c>
      <c r="C248" s="64" t="n"/>
      <c r="D248" s="64" t="n"/>
      <c r="E248" s="65">
        <f>IF($C248="","",$C248-N($D248))</f>
        <v/>
      </c>
      <c r="F248" s="65">
        <f>IF($C248="","",$C248-MAX(0,N($D248)-BreakAllow*$C248))</f>
        <v/>
      </c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1">
        <f>IF(COUNT(G248:R248)=0,"",SUM(G248:R248))</f>
        <v/>
      </c>
      <c r="T248" s="251">
        <f>IF($C248="","",IFERROR(INDEX(RateValues,MATCH(SUMPRODUCT(MAX((RateDates&lt;=$A248)*RateDates)),RateDates,0)),0))</f>
        <v/>
      </c>
      <c r="U248" s="252">
        <f>IF($C248="","",$F248*$T248)</f>
        <v/>
      </c>
      <c r="V248" s="253">
        <f>$A248-WEEKDAY($A248,2)+1</f>
        <v/>
      </c>
      <c r="W248" s="132">
        <f t="array" ref="W248">IF(AND($C248="",S248=""),"",IF(AND(N($C248)&gt;0,N(S248)=0),"nobody marked present",IF(N($D248)&gt;N($C248),"more broken than moulded",IF(AND($C248="",N(S248)&gt;0),"attendance marked but no blocks entered",IF(AND(N($C248)&gt;0,N(T248)=0),"no pay rate for this date - see Settings",IF(SUMPRODUCT((G248:R248&lt;&gt;"")*(G$5:R$5=""))&gt;0,"attendance in an empty worker slot",""))))))</f>
        <v/>
      </c>
      <c r="X248" s="133" t="n"/>
      <c r="Y248" s="125" t="n"/>
      <c r="Z248" s="126" t="n"/>
      <c r="AA248" s="126" t="n"/>
      <c r="AB248" s="126" t="n"/>
      <c r="AC248" s="126" t="n"/>
      <c r="AD248" s="126" t="n"/>
      <c r="AE248" s="126" t="n"/>
      <c r="AF248" s="126" t="n"/>
      <c r="AG248" s="126" t="n"/>
      <c r="AH248" s="126" t="n"/>
      <c r="AI248" s="126" t="n"/>
      <c r="AJ248" s="126" t="n"/>
      <c r="AK248" s="126" t="n"/>
      <c r="AL248" s="126" t="n"/>
      <c r="AM248" s="126" t="n"/>
    </row>
    <row r="249" ht="21" customFormat="1" customHeight="1" s="127">
      <c r="A249" s="250" t="n">
        <v>46507</v>
      </c>
      <c r="B249" s="63">
        <f>CHOOSE(WEEKDAY($A249,2),"Mon","Tue","Wed","Thu","Fri","Sat","Sun")</f>
        <v/>
      </c>
      <c r="C249" s="64" t="n"/>
      <c r="D249" s="64" t="n"/>
      <c r="E249" s="65">
        <f>IF($C249="","",$C249-N($D249))</f>
        <v/>
      </c>
      <c r="F249" s="65">
        <f>IF($C249="","",$C249-MAX(0,N($D249)-BreakAllow*$C249))</f>
        <v/>
      </c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1">
        <f>IF(COUNT(G249:R249)=0,"",SUM(G249:R249))</f>
        <v/>
      </c>
      <c r="T249" s="251">
        <f>IF($C249="","",IFERROR(INDEX(RateValues,MATCH(SUMPRODUCT(MAX((RateDates&lt;=$A249)*RateDates)),RateDates,0)),0))</f>
        <v/>
      </c>
      <c r="U249" s="252">
        <f>IF($C249="","",$F249*$T249)</f>
        <v/>
      </c>
      <c r="V249" s="253">
        <f>$A249-WEEKDAY($A249,2)+1</f>
        <v/>
      </c>
      <c r="W249" s="132">
        <f t="array" ref="W249">IF(AND($C249="",S249=""),"",IF(AND(N($C249)&gt;0,N(S249)=0),"nobody marked present",IF(N($D249)&gt;N($C249),"more broken than moulded",IF(AND($C249="",N(S249)&gt;0),"attendance marked but no blocks entered",IF(AND(N($C249)&gt;0,N(T249)=0),"no pay rate for this date - see Settings",IF(SUMPRODUCT((G249:R249&lt;&gt;"")*(G$5:R$5=""))&gt;0,"attendance in an empty worker slot",""))))))</f>
        <v/>
      </c>
      <c r="X249" s="133" t="n"/>
      <c r="Y249" s="125" t="n"/>
      <c r="Z249" s="126" t="n"/>
      <c r="AA249" s="126" t="n"/>
      <c r="AB249" s="126" t="n"/>
      <c r="AC249" s="126" t="n"/>
      <c r="AD249" s="126" t="n"/>
      <c r="AE249" s="126" t="n"/>
      <c r="AF249" s="126" t="n"/>
      <c r="AG249" s="126" t="n"/>
      <c r="AH249" s="126" t="n"/>
      <c r="AI249" s="126" t="n"/>
      <c r="AJ249" s="126" t="n"/>
      <c r="AK249" s="126" t="n"/>
      <c r="AL249" s="126" t="n"/>
      <c r="AM249" s="126" t="n"/>
    </row>
    <row r="250" ht="21" customFormat="1" customHeight="1" s="127">
      <c r="A250" s="250" t="n">
        <v>46508</v>
      </c>
      <c r="B250" s="63">
        <f>CHOOSE(WEEKDAY($A250,2),"Mon","Tue","Wed","Thu","Fri","Sat","Sun")</f>
        <v/>
      </c>
      <c r="C250" s="64" t="n"/>
      <c r="D250" s="64" t="n"/>
      <c r="E250" s="65">
        <f>IF($C250="","",$C250-N($D250))</f>
        <v/>
      </c>
      <c r="F250" s="65">
        <f>IF($C250="","",$C250-MAX(0,N($D250)-BreakAllow*$C250))</f>
        <v/>
      </c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1">
        <f>IF(COUNT(G250:R250)=0,"",SUM(G250:R250))</f>
        <v/>
      </c>
      <c r="T250" s="251">
        <f>IF($C250="","",IFERROR(INDEX(RateValues,MATCH(SUMPRODUCT(MAX((RateDates&lt;=$A250)*RateDates)),RateDates,0)),0))</f>
        <v/>
      </c>
      <c r="U250" s="252">
        <f>IF($C250="","",$F250*$T250)</f>
        <v/>
      </c>
      <c r="V250" s="253">
        <f>$A250-WEEKDAY($A250,2)+1</f>
        <v/>
      </c>
      <c r="W250" s="132">
        <f t="array" ref="W250">IF(AND($C250="",S250=""),"",IF(AND(N($C250)&gt;0,N(S250)=0),"nobody marked present",IF(N($D250)&gt;N($C250),"more broken than moulded",IF(AND($C250="",N(S250)&gt;0),"attendance marked but no blocks entered",IF(AND(N($C250)&gt;0,N(T250)=0),"no pay rate for this date - see Settings",IF(SUMPRODUCT((G250:R250&lt;&gt;"")*(G$5:R$5=""))&gt;0,"attendance in an empty worker slot",""))))))</f>
        <v/>
      </c>
      <c r="X250" s="133" t="n"/>
      <c r="Y250" s="125" t="n"/>
      <c r="Z250" s="126" t="n"/>
      <c r="AA250" s="126" t="n"/>
      <c r="AB250" s="126" t="n"/>
      <c r="AC250" s="126" t="n"/>
      <c r="AD250" s="126" t="n"/>
      <c r="AE250" s="126" t="n"/>
      <c r="AF250" s="126" t="n"/>
      <c r="AG250" s="126" t="n"/>
      <c r="AH250" s="126" t="n"/>
      <c r="AI250" s="126" t="n"/>
      <c r="AJ250" s="126" t="n"/>
      <c r="AK250" s="126" t="n"/>
      <c r="AL250" s="126" t="n"/>
      <c r="AM250" s="126" t="n"/>
    </row>
    <row r="251" ht="21" customFormat="1" customHeight="1" s="127">
      <c r="A251" s="254" t="n">
        <v>46509</v>
      </c>
      <c r="B251" s="70">
        <f>CHOOSE(WEEKDAY($A251,2),"Mon","Tue","Wed","Thu","Fri","Sat","Sun")</f>
        <v/>
      </c>
      <c r="C251" s="64" t="n"/>
      <c r="D251" s="64" t="n"/>
      <c r="E251" s="65">
        <f>IF($C251="","",$C251-N($D251))</f>
        <v/>
      </c>
      <c r="F251" s="65">
        <f>IF($C251="","",$C251-MAX(0,N($D251)-BreakAllow*$C251))</f>
        <v/>
      </c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1">
        <f>IF(COUNT(G251:R251)=0,"",SUM(G251:R251))</f>
        <v/>
      </c>
      <c r="T251" s="251">
        <f>IF($C251="","",IFERROR(INDEX(RateValues,MATCH(SUMPRODUCT(MAX((RateDates&lt;=$A251)*RateDates)),RateDates,0)),0))</f>
        <v/>
      </c>
      <c r="U251" s="252">
        <f>IF($C251="","",$F251*$T251)</f>
        <v/>
      </c>
      <c r="V251" s="253">
        <f>$A251-WEEKDAY($A251,2)+1</f>
        <v/>
      </c>
      <c r="W251" s="132">
        <f t="array" ref="W251">IF(AND($C251="",S251=""),"",IF(AND(N($C251)&gt;0,N(S251)=0),"nobody marked present",IF(N($D251)&gt;N($C251),"more broken than moulded",IF(AND($C251="",N(S251)&gt;0),"attendance marked but no blocks entered",IF(AND(N($C251)&gt;0,N(T251)=0),"no pay rate for this date - see Settings",IF(SUMPRODUCT((G251:R251&lt;&gt;"")*(G$5:R$5=""))&gt;0,"attendance in an empty worker slot",""))))))</f>
        <v/>
      </c>
      <c r="X251" s="133" t="n"/>
      <c r="Y251" s="125" t="n"/>
      <c r="Z251" s="126" t="n"/>
      <c r="AA251" s="126" t="n"/>
      <c r="AB251" s="126" t="n"/>
      <c r="AC251" s="126" t="n"/>
      <c r="AD251" s="126" t="n"/>
      <c r="AE251" s="126" t="n"/>
      <c r="AF251" s="126" t="n"/>
      <c r="AG251" s="126" t="n"/>
      <c r="AH251" s="126" t="n"/>
      <c r="AI251" s="126" t="n"/>
      <c r="AJ251" s="126" t="n"/>
      <c r="AK251" s="126" t="n"/>
      <c r="AL251" s="126" t="n"/>
      <c r="AM251" s="126" t="n"/>
    </row>
    <row r="252" ht="21" customFormat="1" customHeight="1" s="127">
      <c r="A252" s="250" t="n">
        <v>46510</v>
      </c>
      <c r="B252" s="63">
        <f>CHOOSE(WEEKDAY($A252,2),"Mon","Tue","Wed","Thu","Fri","Sat","Sun")</f>
        <v/>
      </c>
      <c r="C252" s="64" t="n"/>
      <c r="D252" s="64" t="n"/>
      <c r="E252" s="65">
        <f>IF($C252="","",$C252-N($D252))</f>
        <v/>
      </c>
      <c r="F252" s="65">
        <f>IF($C252="","",$C252-MAX(0,N($D252)-BreakAllow*$C252))</f>
        <v/>
      </c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1">
        <f>IF(COUNT(G252:R252)=0,"",SUM(G252:R252))</f>
        <v/>
      </c>
      <c r="T252" s="251">
        <f>IF($C252="","",IFERROR(INDEX(RateValues,MATCH(SUMPRODUCT(MAX((RateDates&lt;=$A252)*RateDates)),RateDates,0)),0))</f>
        <v/>
      </c>
      <c r="U252" s="252">
        <f>IF($C252="","",$F252*$T252)</f>
        <v/>
      </c>
      <c r="V252" s="253">
        <f>$A252-WEEKDAY($A252,2)+1</f>
        <v/>
      </c>
      <c r="W252" s="132">
        <f t="array" ref="W252">IF(AND($C252="",S252=""),"",IF(AND(N($C252)&gt;0,N(S252)=0),"nobody marked present",IF(N($D252)&gt;N($C252),"more broken than moulded",IF(AND($C252="",N(S252)&gt;0),"attendance marked but no blocks entered",IF(AND(N($C252)&gt;0,N(T252)=0),"no pay rate for this date - see Settings",IF(SUMPRODUCT((G252:R252&lt;&gt;"")*(G$5:R$5=""))&gt;0,"attendance in an empty worker slot",""))))))</f>
        <v/>
      </c>
      <c r="X252" s="133" t="n"/>
      <c r="Y252" s="125" t="n"/>
      <c r="Z252" s="126" t="n"/>
      <c r="AA252" s="126" t="n"/>
      <c r="AB252" s="126" t="n"/>
      <c r="AC252" s="126" t="n"/>
      <c r="AD252" s="126" t="n"/>
      <c r="AE252" s="126" t="n"/>
      <c r="AF252" s="126" t="n"/>
      <c r="AG252" s="126" t="n"/>
      <c r="AH252" s="126" t="n"/>
      <c r="AI252" s="126" t="n"/>
      <c r="AJ252" s="126" t="n"/>
      <c r="AK252" s="126" t="n"/>
      <c r="AL252" s="126" t="n"/>
      <c r="AM252" s="126" t="n"/>
    </row>
    <row r="253" ht="21" customFormat="1" customHeight="1" s="127">
      <c r="A253" s="250" t="n">
        <v>46511</v>
      </c>
      <c r="B253" s="63">
        <f>CHOOSE(WEEKDAY($A253,2),"Mon","Tue","Wed","Thu","Fri","Sat","Sun")</f>
        <v/>
      </c>
      <c r="C253" s="64" t="n"/>
      <c r="D253" s="64" t="n"/>
      <c r="E253" s="65">
        <f>IF($C253="","",$C253-N($D253))</f>
        <v/>
      </c>
      <c r="F253" s="65">
        <f>IF($C253="","",$C253-MAX(0,N($D253)-BreakAllow*$C253))</f>
        <v/>
      </c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1">
        <f>IF(COUNT(G253:R253)=0,"",SUM(G253:R253))</f>
        <v/>
      </c>
      <c r="T253" s="251">
        <f>IF($C253="","",IFERROR(INDEX(RateValues,MATCH(SUMPRODUCT(MAX((RateDates&lt;=$A253)*RateDates)),RateDates,0)),0))</f>
        <v/>
      </c>
      <c r="U253" s="252">
        <f>IF($C253="","",$F253*$T253)</f>
        <v/>
      </c>
      <c r="V253" s="253">
        <f>$A253-WEEKDAY($A253,2)+1</f>
        <v/>
      </c>
      <c r="W253" s="132">
        <f t="array" ref="W253">IF(AND($C253="",S253=""),"",IF(AND(N($C253)&gt;0,N(S253)=0),"nobody marked present",IF(N($D253)&gt;N($C253),"more broken than moulded",IF(AND($C253="",N(S253)&gt;0),"attendance marked but no blocks entered",IF(AND(N($C253)&gt;0,N(T253)=0),"no pay rate for this date - see Settings",IF(SUMPRODUCT((G253:R253&lt;&gt;"")*(G$5:R$5=""))&gt;0,"attendance in an empty worker slot",""))))))</f>
        <v/>
      </c>
      <c r="X253" s="133" t="n"/>
      <c r="Y253" s="125" t="n"/>
      <c r="Z253" s="126" t="n"/>
      <c r="AA253" s="126" t="n"/>
      <c r="AB253" s="126" t="n"/>
      <c r="AC253" s="126" t="n"/>
      <c r="AD253" s="126" t="n"/>
      <c r="AE253" s="126" t="n"/>
      <c r="AF253" s="126" t="n"/>
      <c r="AG253" s="126" t="n"/>
      <c r="AH253" s="126" t="n"/>
      <c r="AI253" s="126" t="n"/>
      <c r="AJ253" s="126" t="n"/>
      <c r="AK253" s="126" t="n"/>
      <c r="AL253" s="126" t="n"/>
      <c r="AM253" s="126" t="n"/>
    </row>
    <row r="254" ht="21" customFormat="1" customHeight="1" s="127">
      <c r="A254" s="250" t="n">
        <v>46512</v>
      </c>
      <c r="B254" s="63">
        <f>CHOOSE(WEEKDAY($A254,2),"Mon","Tue","Wed","Thu","Fri","Sat","Sun")</f>
        <v/>
      </c>
      <c r="C254" s="64" t="n"/>
      <c r="D254" s="64" t="n"/>
      <c r="E254" s="65">
        <f>IF($C254="","",$C254-N($D254))</f>
        <v/>
      </c>
      <c r="F254" s="65">
        <f>IF($C254="","",$C254-MAX(0,N($D254)-BreakAllow*$C254))</f>
        <v/>
      </c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1">
        <f>IF(COUNT(G254:R254)=0,"",SUM(G254:R254))</f>
        <v/>
      </c>
      <c r="T254" s="251">
        <f>IF($C254="","",IFERROR(INDEX(RateValues,MATCH(SUMPRODUCT(MAX((RateDates&lt;=$A254)*RateDates)),RateDates,0)),0))</f>
        <v/>
      </c>
      <c r="U254" s="252">
        <f>IF($C254="","",$F254*$T254)</f>
        <v/>
      </c>
      <c r="V254" s="253">
        <f>$A254-WEEKDAY($A254,2)+1</f>
        <v/>
      </c>
      <c r="W254" s="132">
        <f t="array" ref="W254">IF(AND($C254="",S254=""),"",IF(AND(N($C254)&gt;0,N(S254)=0),"nobody marked present",IF(N($D254)&gt;N($C254),"more broken than moulded",IF(AND($C254="",N(S254)&gt;0),"attendance marked but no blocks entered",IF(AND(N($C254)&gt;0,N(T254)=0),"no pay rate for this date - see Settings",IF(SUMPRODUCT((G254:R254&lt;&gt;"")*(G$5:R$5=""))&gt;0,"attendance in an empty worker slot",""))))))</f>
        <v/>
      </c>
      <c r="X254" s="133" t="n"/>
      <c r="Y254" s="125" t="n"/>
      <c r="Z254" s="126" t="n"/>
      <c r="AA254" s="126" t="n"/>
      <c r="AB254" s="126" t="n"/>
      <c r="AC254" s="126" t="n"/>
      <c r="AD254" s="126" t="n"/>
      <c r="AE254" s="126" t="n"/>
      <c r="AF254" s="126" t="n"/>
      <c r="AG254" s="126" t="n"/>
      <c r="AH254" s="126" t="n"/>
      <c r="AI254" s="126" t="n"/>
      <c r="AJ254" s="126" t="n"/>
      <c r="AK254" s="126" t="n"/>
      <c r="AL254" s="126" t="n"/>
      <c r="AM254" s="126" t="n"/>
    </row>
    <row r="255" ht="21" customFormat="1" customHeight="1" s="127">
      <c r="A255" s="250" t="n">
        <v>46513</v>
      </c>
      <c r="B255" s="63">
        <f>CHOOSE(WEEKDAY($A255,2),"Mon","Tue","Wed","Thu","Fri","Sat","Sun")</f>
        <v/>
      </c>
      <c r="C255" s="64" t="n"/>
      <c r="D255" s="64" t="n"/>
      <c r="E255" s="65">
        <f>IF($C255="","",$C255-N($D255))</f>
        <v/>
      </c>
      <c r="F255" s="65">
        <f>IF($C255="","",$C255-MAX(0,N($D255)-BreakAllow*$C255))</f>
        <v/>
      </c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1">
        <f>IF(COUNT(G255:R255)=0,"",SUM(G255:R255))</f>
        <v/>
      </c>
      <c r="T255" s="251">
        <f>IF($C255="","",IFERROR(INDEX(RateValues,MATCH(SUMPRODUCT(MAX((RateDates&lt;=$A255)*RateDates)),RateDates,0)),0))</f>
        <v/>
      </c>
      <c r="U255" s="252">
        <f>IF($C255="","",$F255*$T255)</f>
        <v/>
      </c>
      <c r="V255" s="253">
        <f>$A255-WEEKDAY($A255,2)+1</f>
        <v/>
      </c>
      <c r="W255" s="132">
        <f t="array" ref="W255">IF(AND($C255="",S255=""),"",IF(AND(N($C255)&gt;0,N(S255)=0),"nobody marked present",IF(N($D255)&gt;N($C255),"more broken than moulded",IF(AND($C255="",N(S255)&gt;0),"attendance marked but no blocks entered",IF(AND(N($C255)&gt;0,N(T255)=0),"no pay rate for this date - see Settings",IF(SUMPRODUCT((G255:R255&lt;&gt;"")*(G$5:R$5=""))&gt;0,"attendance in an empty worker slot",""))))))</f>
        <v/>
      </c>
      <c r="X255" s="133" t="n"/>
      <c r="Y255" s="125" t="n"/>
      <c r="Z255" s="126" t="n"/>
      <c r="AA255" s="126" t="n"/>
      <c r="AB255" s="126" t="n"/>
      <c r="AC255" s="126" t="n"/>
      <c r="AD255" s="126" t="n"/>
      <c r="AE255" s="126" t="n"/>
      <c r="AF255" s="126" t="n"/>
      <c r="AG255" s="126" t="n"/>
      <c r="AH255" s="126" t="n"/>
      <c r="AI255" s="126" t="n"/>
      <c r="AJ255" s="126" t="n"/>
      <c r="AK255" s="126" t="n"/>
      <c r="AL255" s="126" t="n"/>
      <c r="AM255" s="126" t="n"/>
    </row>
    <row r="256" ht="21" customFormat="1" customHeight="1" s="127">
      <c r="A256" s="250" t="n">
        <v>46514</v>
      </c>
      <c r="B256" s="63">
        <f>CHOOSE(WEEKDAY($A256,2),"Mon","Tue","Wed","Thu","Fri","Sat","Sun")</f>
        <v/>
      </c>
      <c r="C256" s="64" t="n"/>
      <c r="D256" s="64" t="n"/>
      <c r="E256" s="65">
        <f>IF($C256="","",$C256-N($D256))</f>
        <v/>
      </c>
      <c r="F256" s="65">
        <f>IF($C256="","",$C256-MAX(0,N($D256)-BreakAllow*$C256))</f>
        <v/>
      </c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1">
        <f>IF(COUNT(G256:R256)=0,"",SUM(G256:R256))</f>
        <v/>
      </c>
      <c r="T256" s="251">
        <f>IF($C256="","",IFERROR(INDEX(RateValues,MATCH(SUMPRODUCT(MAX((RateDates&lt;=$A256)*RateDates)),RateDates,0)),0))</f>
        <v/>
      </c>
      <c r="U256" s="252">
        <f>IF($C256="","",$F256*$T256)</f>
        <v/>
      </c>
      <c r="V256" s="253">
        <f>$A256-WEEKDAY($A256,2)+1</f>
        <v/>
      </c>
      <c r="W256" s="132">
        <f t="array" ref="W256">IF(AND($C256="",S256=""),"",IF(AND(N($C256)&gt;0,N(S256)=0),"nobody marked present",IF(N($D256)&gt;N($C256),"more broken than moulded",IF(AND($C256="",N(S256)&gt;0),"attendance marked but no blocks entered",IF(AND(N($C256)&gt;0,N(T256)=0),"no pay rate for this date - see Settings",IF(SUMPRODUCT((G256:R256&lt;&gt;"")*(G$5:R$5=""))&gt;0,"attendance in an empty worker slot",""))))))</f>
        <v/>
      </c>
      <c r="X256" s="133" t="n"/>
      <c r="Y256" s="125" t="n"/>
      <c r="Z256" s="126" t="n"/>
      <c r="AA256" s="126" t="n"/>
      <c r="AB256" s="126" t="n"/>
      <c r="AC256" s="126" t="n"/>
      <c r="AD256" s="126" t="n"/>
      <c r="AE256" s="126" t="n"/>
      <c r="AF256" s="126" t="n"/>
      <c r="AG256" s="126" t="n"/>
      <c r="AH256" s="126" t="n"/>
      <c r="AI256" s="126" t="n"/>
      <c r="AJ256" s="126" t="n"/>
      <c r="AK256" s="126" t="n"/>
      <c r="AL256" s="126" t="n"/>
      <c r="AM256" s="126" t="n"/>
    </row>
    <row r="257" ht="21" customFormat="1" customHeight="1" s="127">
      <c r="A257" s="250" t="n">
        <v>46515</v>
      </c>
      <c r="B257" s="63">
        <f>CHOOSE(WEEKDAY($A257,2),"Mon","Tue","Wed","Thu","Fri","Sat","Sun")</f>
        <v/>
      </c>
      <c r="C257" s="64" t="n"/>
      <c r="D257" s="64" t="n"/>
      <c r="E257" s="65">
        <f>IF($C257="","",$C257-N($D257))</f>
        <v/>
      </c>
      <c r="F257" s="65">
        <f>IF($C257="","",$C257-MAX(0,N($D257)-BreakAllow*$C257))</f>
        <v/>
      </c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1">
        <f>IF(COUNT(G257:R257)=0,"",SUM(G257:R257))</f>
        <v/>
      </c>
      <c r="T257" s="251">
        <f>IF($C257="","",IFERROR(INDEX(RateValues,MATCH(SUMPRODUCT(MAX((RateDates&lt;=$A257)*RateDates)),RateDates,0)),0))</f>
        <v/>
      </c>
      <c r="U257" s="252">
        <f>IF($C257="","",$F257*$T257)</f>
        <v/>
      </c>
      <c r="V257" s="253">
        <f>$A257-WEEKDAY($A257,2)+1</f>
        <v/>
      </c>
      <c r="W257" s="132">
        <f t="array" ref="W257">IF(AND($C257="",S257=""),"",IF(AND(N($C257)&gt;0,N(S257)=0),"nobody marked present",IF(N($D257)&gt;N($C257),"more broken than moulded",IF(AND($C257="",N(S257)&gt;0),"attendance marked but no blocks entered",IF(AND(N($C257)&gt;0,N(T257)=0),"no pay rate for this date - see Settings",IF(SUMPRODUCT((G257:R257&lt;&gt;"")*(G$5:R$5=""))&gt;0,"attendance in an empty worker slot",""))))))</f>
        <v/>
      </c>
      <c r="X257" s="133" t="n"/>
      <c r="Y257" s="125" t="n"/>
      <c r="Z257" s="126" t="n"/>
      <c r="AA257" s="126" t="n"/>
      <c r="AB257" s="126" t="n"/>
      <c r="AC257" s="126" t="n"/>
      <c r="AD257" s="126" t="n"/>
      <c r="AE257" s="126" t="n"/>
      <c r="AF257" s="126" t="n"/>
      <c r="AG257" s="126" t="n"/>
      <c r="AH257" s="126" t="n"/>
      <c r="AI257" s="126" t="n"/>
      <c r="AJ257" s="126" t="n"/>
      <c r="AK257" s="126" t="n"/>
      <c r="AL257" s="126" t="n"/>
      <c r="AM257" s="126" t="n"/>
    </row>
    <row r="258" ht="21" customFormat="1" customHeight="1" s="127">
      <c r="A258" s="254" t="n">
        <v>46516</v>
      </c>
      <c r="B258" s="70">
        <f>CHOOSE(WEEKDAY($A258,2),"Mon","Tue","Wed","Thu","Fri","Sat","Sun")</f>
        <v/>
      </c>
      <c r="C258" s="64" t="n"/>
      <c r="D258" s="64" t="n"/>
      <c r="E258" s="65">
        <f>IF($C258="","",$C258-N($D258))</f>
        <v/>
      </c>
      <c r="F258" s="65">
        <f>IF($C258="","",$C258-MAX(0,N($D258)-BreakAllow*$C258))</f>
        <v/>
      </c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1">
        <f>IF(COUNT(G258:R258)=0,"",SUM(G258:R258))</f>
        <v/>
      </c>
      <c r="T258" s="251">
        <f>IF($C258="","",IFERROR(INDEX(RateValues,MATCH(SUMPRODUCT(MAX((RateDates&lt;=$A258)*RateDates)),RateDates,0)),0))</f>
        <v/>
      </c>
      <c r="U258" s="252">
        <f>IF($C258="","",$F258*$T258)</f>
        <v/>
      </c>
      <c r="V258" s="253">
        <f>$A258-WEEKDAY($A258,2)+1</f>
        <v/>
      </c>
      <c r="W258" s="132">
        <f t="array" ref="W258">IF(AND($C258="",S258=""),"",IF(AND(N($C258)&gt;0,N(S258)=0),"nobody marked present",IF(N($D258)&gt;N($C258),"more broken than moulded",IF(AND($C258="",N(S258)&gt;0),"attendance marked but no blocks entered",IF(AND(N($C258)&gt;0,N(T258)=0),"no pay rate for this date - see Settings",IF(SUMPRODUCT((G258:R258&lt;&gt;"")*(G$5:R$5=""))&gt;0,"attendance in an empty worker slot",""))))))</f>
        <v/>
      </c>
      <c r="X258" s="133" t="n"/>
      <c r="Y258" s="125" t="n"/>
      <c r="Z258" s="126" t="n"/>
      <c r="AA258" s="126" t="n"/>
      <c r="AB258" s="126" t="n"/>
      <c r="AC258" s="126" t="n"/>
      <c r="AD258" s="126" t="n"/>
      <c r="AE258" s="126" t="n"/>
      <c r="AF258" s="126" t="n"/>
      <c r="AG258" s="126" t="n"/>
      <c r="AH258" s="126" t="n"/>
      <c r="AI258" s="126" t="n"/>
      <c r="AJ258" s="126" t="n"/>
      <c r="AK258" s="126" t="n"/>
      <c r="AL258" s="126" t="n"/>
      <c r="AM258" s="126" t="n"/>
    </row>
    <row r="259" ht="21" customFormat="1" customHeight="1" s="127">
      <c r="A259" s="250" t="n">
        <v>46517</v>
      </c>
      <c r="B259" s="63">
        <f>CHOOSE(WEEKDAY($A259,2),"Mon","Tue","Wed","Thu","Fri","Sat","Sun")</f>
        <v/>
      </c>
      <c r="C259" s="64" t="n"/>
      <c r="D259" s="64" t="n"/>
      <c r="E259" s="65">
        <f>IF($C259="","",$C259-N($D259))</f>
        <v/>
      </c>
      <c r="F259" s="65">
        <f>IF($C259="","",$C259-MAX(0,N($D259)-BreakAllow*$C259))</f>
        <v/>
      </c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1">
        <f>IF(COUNT(G259:R259)=0,"",SUM(G259:R259))</f>
        <v/>
      </c>
      <c r="T259" s="251">
        <f>IF($C259="","",IFERROR(INDEX(RateValues,MATCH(SUMPRODUCT(MAX((RateDates&lt;=$A259)*RateDates)),RateDates,0)),0))</f>
        <v/>
      </c>
      <c r="U259" s="252">
        <f>IF($C259="","",$F259*$T259)</f>
        <v/>
      </c>
      <c r="V259" s="253">
        <f>$A259-WEEKDAY($A259,2)+1</f>
        <v/>
      </c>
      <c r="W259" s="132">
        <f t="array" ref="W259">IF(AND($C259="",S259=""),"",IF(AND(N($C259)&gt;0,N(S259)=0),"nobody marked present",IF(N($D259)&gt;N($C259),"more broken than moulded",IF(AND($C259="",N(S259)&gt;0),"attendance marked but no blocks entered",IF(AND(N($C259)&gt;0,N(T259)=0),"no pay rate for this date - see Settings",IF(SUMPRODUCT((G259:R259&lt;&gt;"")*(G$5:R$5=""))&gt;0,"attendance in an empty worker slot",""))))))</f>
        <v/>
      </c>
      <c r="X259" s="133" t="n"/>
      <c r="Y259" s="125" t="n"/>
      <c r="Z259" s="126" t="n"/>
      <c r="AA259" s="126" t="n"/>
      <c r="AB259" s="126" t="n"/>
      <c r="AC259" s="126" t="n"/>
      <c r="AD259" s="126" t="n"/>
      <c r="AE259" s="126" t="n"/>
      <c r="AF259" s="126" t="n"/>
      <c r="AG259" s="126" t="n"/>
      <c r="AH259" s="126" t="n"/>
      <c r="AI259" s="126" t="n"/>
      <c r="AJ259" s="126" t="n"/>
      <c r="AK259" s="126" t="n"/>
      <c r="AL259" s="126" t="n"/>
      <c r="AM259" s="126" t="n"/>
    </row>
    <row r="260" ht="21" customFormat="1" customHeight="1" s="127">
      <c r="A260" s="250" t="n">
        <v>46518</v>
      </c>
      <c r="B260" s="63">
        <f>CHOOSE(WEEKDAY($A260,2),"Mon","Tue","Wed","Thu","Fri","Sat","Sun")</f>
        <v/>
      </c>
      <c r="C260" s="64" t="n"/>
      <c r="D260" s="64" t="n"/>
      <c r="E260" s="65">
        <f>IF($C260="","",$C260-N($D260))</f>
        <v/>
      </c>
      <c r="F260" s="65">
        <f>IF($C260="","",$C260-MAX(0,N($D260)-BreakAllow*$C260))</f>
        <v/>
      </c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1">
        <f>IF(COUNT(G260:R260)=0,"",SUM(G260:R260))</f>
        <v/>
      </c>
      <c r="T260" s="251">
        <f>IF($C260="","",IFERROR(INDEX(RateValues,MATCH(SUMPRODUCT(MAX((RateDates&lt;=$A260)*RateDates)),RateDates,0)),0))</f>
        <v/>
      </c>
      <c r="U260" s="252">
        <f>IF($C260="","",$F260*$T260)</f>
        <v/>
      </c>
      <c r="V260" s="253">
        <f>$A260-WEEKDAY($A260,2)+1</f>
        <v/>
      </c>
      <c r="W260" s="132">
        <f t="array" ref="W260">IF(AND($C260="",S260=""),"",IF(AND(N($C260)&gt;0,N(S260)=0),"nobody marked present",IF(N($D260)&gt;N($C260),"more broken than moulded",IF(AND($C260="",N(S260)&gt;0),"attendance marked but no blocks entered",IF(AND(N($C260)&gt;0,N(T260)=0),"no pay rate for this date - see Settings",IF(SUMPRODUCT((G260:R260&lt;&gt;"")*(G$5:R$5=""))&gt;0,"attendance in an empty worker slot",""))))))</f>
        <v/>
      </c>
      <c r="X260" s="133" t="n"/>
      <c r="Y260" s="125" t="n"/>
      <c r="Z260" s="126" t="n"/>
      <c r="AA260" s="126" t="n"/>
      <c r="AB260" s="126" t="n"/>
      <c r="AC260" s="126" t="n"/>
      <c r="AD260" s="126" t="n"/>
      <c r="AE260" s="126" t="n"/>
      <c r="AF260" s="126" t="n"/>
      <c r="AG260" s="126" t="n"/>
      <c r="AH260" s="126" t="n"/>
      <c r="AI260" s="126" t="n"/>
      <c r="AJ260" s="126" t="n"/>
      <c r="AK260" s="126" t="n"/>
      <c r="AL260" s="126" t="n"/>
      <c r="AM260" s="126" t="n"/>
    </row>
    <row r="261" ht="21" customFormat="1" customHeight="1" s="127">
      <c r="A261" s="250" t="n">
        <v>46519</v>
      </c>
      <c r="B261" s="63">
        <f>CHOOSE(WEEKDAY($A261,2),"Mon","Tue","Wed","Thu","Fri","Sat","Sun")</f>
        <v/>
      </c>
      <c r="C261" s="64" t="n"/>
      <c r="D261" s="64" t="n"/>
      <c r="E261" s="65">
        <f>IF($C261="","",$C261-N($D261))</f>
        <v/>
      </c>
      <c r="F261" s="65">
        <f>IF($C261="","",$C261-MAX(0,N($D261)-BreakAllow*$C261))</f>
        <v/>
      </c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1">
        <f>IF(COUNT(G261:R261)=0,"",SUM(G261:R261))</f>
        <v/>
      </c>
      <c r="T261" s="251">
        <f>IF($C261="","",IFERROR(INDEX(RateValues,MATCH(SUMPRODUCT(MAX((RateDates&lt;=$A261)*RateDates)),RateDates,0)),0))</f>
        <v/>
      </c>
      <c r="U261" s="252">
        <f>IF($C261="","",$F261*$T261)</f>
        <v/>
      </c>
      <c r="V261" s="253">
        <f>$A261-WEEKDAY($A261,2)+1</f>
        <v/>
      </c>
      <c r="W261" s="132">
        <f t="array" ref="W261">IF(AND($C261="",S261=""),"",IF(AND(N($C261)&gt;0,N(S261)=0),"nobody marked present",IF(N($D261)&gt;N($C261),"more broken than moulded",IF(AND($C261="",N(S261)&gt;0),"attendance marked but no blocks entered",IF(AND(N($C261)&gt;0,N(T261)=0),"no pay rate for this date - see Settings",IF(SUMPRODUCT((G261:R261&lt;&gt;"")*(G$5:R$5=""))&gt;0,"attendance in an empty worker slot",""))))))</f>
        <v/>
      </c>
      <c r="X261" s="133" t="n"/>
      <c r="Y261" s="125" t="n"/>
      <c r="Z261" s="126" t="n"/>
      <c r="AA261" s="126" t="n"/>
      <c r="AB261" s="126" t="n"/>
      <c r="AC261" s="126" t="n"/>
      <c r="AD261" s="126" t="n"/>
      <c r="AE261" s="126" t="n"/>
      <c r="AF261" s="126" t="n"/>
      <c r="AG261" s="126" t="n"/>
      <c r="AH261" s="126" t="n"/>
      <c r="AI261" s="126" t="n"/>
      <c r="AJ261" s="126" t="n"/>
      <c r="AK261" s="126" t="n"/>
      <c r="AL261" s="126" t="n"/>
      <c r="AM261" s="126" t="n"/>
    </row>
    <row r="262" ht="21" customFormat="1" customHeight="1" s="127">
      <c r="A262" s="250" t="n">
        <v>46520</v>
      </c>
      <c r="B262" s="63">
        <f>CHOOSE(WEEKDAY($A262,2),"Mon","Tue","Wed","Thu","Fri","Sat","Sun")</f>
        <v/>
      </c>
      <c r="C262" s="64" t="n"/>
      <c r="D262" s="64" t="n"/>
      <c r="E262" s="65">
        <f>IF($C262="","",$C262-N($D262))</f>
        <v/>
      </c>
      <c r="F262" s="65">
        <f>IF($C262="","",$C262-MAX(0,N($D262)-BreakAllow*$C262))</f>
        <v/>
      </c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1">
        <f>IF(COUNT(G262:R262)=0,"",SUM(G262:R262))</f>
        <v/>
      </c>
      <c r="T262" s="251">
        <f>IF($C262="","",IFERROR(INDEX(RateValues,MATCH(SUMPRODUCT(MAX((RateDates&lt;=$A262)*RateDates)),RateDates,0)),0))</f>
        <v/>
      </c>
      <c r="U262" s="252">
        <f>IF($C262="","",$F262*$T262)</f>
        <v/>
      </c>
      <c r="V262" s="253">
        <f>$A262-WEEKDAY($A262,2)+1</f>
        <v/>
      </c>
      <c r="W262" s="132">
        <f t="array" ref="W262">IF(AND($C262="",S262=""),"",IF(AND(N($C262)&gt;0,N(S262)=0),"nobody marked present",IF(N($D262)&gt;N($C262),"more broken than moulded",IF(AND($C262="",N(S262)&gt;0),"attendance marked but no blocks entered",IF(AND(N($C262)&gt;0,N(T262)=0),"no pay rate for this date - see Settings",IF(SUMPRODUCT((G262:R262&lt;&gt;"")*(G$5:R$5=""))&gt;0,"attendance in an empty worker slot",""))))))</f>
        <v/>
      </c>
      <c r="X262" s="133" t="n"/>
      <c r="Y262" s="125" t="n"/>
      <c r="Z262" s="126" t="n"/>
      <c r="AA262" s="126" t="n"/>
      <c r="AB262" s="126" t="n"/>
      <c r="AC262" s="126" t="n"/>
      <c r="AD262" s="126" t="n"/>
      <c r="AE262" s="126" t="n"/>
      <c r="AF262" s="126" t="n"/>
      <c r="AG262" s="126" t="n"/>
      <c r="AH262" s="126" t="n"/>
      <c r="AI262" s="126" t="n"/>
      <c r="AJ262" s="126" t="n"/>
      <c r="AK262" s="126" t="n"/>
      <c r="AL262" s="126" t="n"/>
      <c r="AM262" s="126" t="n"/>
    </row>
    <row r="263" ht="21" customFormat="1" customHeight="1" s="127">
      <c r="A263" s="250" t="n">
        <v>46521</v>
      </c>
      <c r="B263" s="63">
        <f>CHOOSE(WEEKDAY($A263,2),"Mon","Tue","Wed","Thu","Fri","Sat","Sun")</f>
        <v/>
      </c>
      <c r="C263" s="64" t="n"/>
      <c r="D263" s="64" t="n"/>
      <c r="E263" s="65">
        <f>IF($C263="","",$C263-N($D263))</f>
        <v/>
      </c>
      <c r="F263" s="65">
        <f>IF($C263="","",$C263-MAX(0,N($D263)-BreakAllow*$C263))</f>
        <v/>
      </c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1">
        <f>IF(COUNT(G263:R263)=0,"",SUM(G263:R263))</f>
        <v/>
      </c>
      <c r="T263" s="251">
        <f>IF($C263="","",IFERROR(INDEX(RateValues,MATCH(SUMPRODUCT(MAX((RateDates&lt;=$A263)*RateDates)),RateDates,0)),0))</f>
        <v/>
      </c>
      <c r="U263" s="252">
        <f>IF($C263="","",$F263*$T263)</f>
        <v/>
      </c>
      <c r="V263" s="253">
        <f>$A263-WEEKDAY($A263,2)+1</f>
        <v/>
      </c>
      <c r="W263" s="132">
        <f t="array" ref="W263">IF(AND($C263="",S263=""),"",IF(AND(N($C263)&gt;0,N(S263)=0),"nobody marked present",IF(N($D263)&gt;N($C263),"more broken than moulded",IF(AND($C263="",N(S263)&gt;0),"attendance marked but no blocks entered",IF(AND(N($C263)&gt;0,N(T263)=0),"no pay rate for this date - see Settings",IF(SUMPRODUCT((G263:R263&lt;&gt;"")*(G$5:R$5=""))&gt;0,"attendance in an empty worker slot",""))))))</f>
        <v/>
      </c>
      <c r="X263" s="133" t="n"/>
      <c r="Y263" s="125" t="n"/>
      <c r="Z263" s="126" t="n"/>
      <c r="AA263" s="126" t="n"/>
      <c r="AB263" s="126" t="n"/>
      <c r="AC263" s="126" t="n"/>
      <c r="AD263" s="126" t="n"/>
      <c r="AE263" s="126" t="n"/>
      <c r="AF263" s="126" t="n"/>
      <c r="AG263" s="126" t="n"/>
      <c r="AH263" s="126" t="n"/>
      <c r="AI263" s="126" t="n"/>
      <c r="AJ263" s="126" t="n"/>
      <c r="AK263" s="126" t="n"/>
      <c r="AL263" s="126" t="n"/>
      <c r="AM263" s="126" t="n"/>
    </row>
    <row r="264" ht="21" customFormat="1" customHeight="1" s="127">
      <c r="A264" s="250" t="n">
        <v>46522</v>
      </c>
      <c r="B264" s="63">
        <f>CHOOSE(WEEKDAY($A264,2),"Mon","Tue","Wed","Thu","Fri","Sat","Sun")</f>
        <v/>
      </c>
      <c r="C264" s="64" t="n"/>
      <c r="D264" s="64" t="n"/>
      <c r="E264" s="65">
        <f>IF($C264="","",$C264-N($D264))</f>
        <v/>
      </c>
      <c r="F264" s="65">
        <f>IF($C264="","",$C264-MAX(0,N($D264)-BreakAllow*$C264))</f>
        <v/>
      </c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1">
        <f>IF(COUNT(G264:R264)=0,"",SUM(G264:R264))</f>
        <v/>
      </c>
      <c r="T264" s="251">
        <f>IF($C264="","",IFERROR(INDEX(RateValues,MATCH(SUMPRODUCT(MAX((RateDates&lt;=$A264)*RateDates)),RateDates,0)),0))</f>
        <v/>
      </c>
      <c r="U264" s="252">
        <f>IF($C264="","",$F264*$T264)</f>
        <v/>
      </c>
      <c r="V264" s="253">
        <f>$A264-WEEKDAY($A264,2)+1</f>
        <v/>
      </c>
      <c r="W264" s="132">
        <f t="array" ref="W264">IF(AND($C264="",S264=""),"",IF(AND(N($C264)&gt;0,N(S264)=0),"nobody marked present",IF(N($D264)&gt;N($C264),"more broken than moulded",IF(AND($C264="",N(S264)&gt;0),"attendance marked but no blocks entered",IF(AND(N($C264)&gt;0,N(T264)=0),"no pay rate for this date - see Settings",IF(SUMPRODUCT((G264:R264&lt;&gt;"")*(G$5:R$5=""))&gt;0,"attendance in an empty worker slot",""))))))</f>
        <v/>
      </c>
      <c r="X264" s="133" t="n"/>
      <c r="Y264" s="125" t="n"/>
      <c r="Z264" s="126" t="n"/>
      <c r="AA264" s="126" t="n"/>
      <c r="AB264" s="126" t="n"/>
      <c r="AC264" s="126" t="n"/>
      <c r="AD264" s="126" t="n"/>
      <c r="AE264" s="126" t="n"/>
      <c r="AF264" s="126" t="n"/>
      <c r="AG264" s="126" t="n"/>
      <c r="AH264" s="126" t="n"/>
      <c r="AI264" s="126" t="n"/>
      <c r="AJ264" s="126" t="n"/>
      <c r="AK264" s="126" t="n"/>
      <c r="AL264" s="126" t="n"/>
      <c r="AM264" s="126" t="n"/>
    </row>
    <row r="265" ht="21" customFormat="1" customHeight="1" s="127">
      <c r="A265" s="254" t="n">
        <v>46523</v>
      </c>
      <c r="B265" s="70">
        <f>CHOOSE(WEEKDAY($A265,2),"Mon","Tue","Wed","Thu","Fri","Sat","Sun")</f>
        <v/>
      </c>
      <c r="C265" s="64" t="n"/>
      <c r="D265" s="64" t="n"/>
      <c r="E265" s="65">
        <f>IF($C265="","",$C265-N($D265))</f>
        <v/>
      </c>
      <c r="F265" s="65">
        <f>IF($C265="","",$C265-MAX(0,N($D265)-BreakAllow*$C265))</f>
        <v/>
      </c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1">
        <f>IF(COUNT(G265:R265)=0,"",SUM(G265:R265))</f>
        <v/>
      </c>
      <c r="T265" s="251">
        <f>IF($C265="","",IFERROR(INDEX(RateValues,MATCH(SUMPRODUCT(MAX((RateDates&lt;=$A265)*RateDates)),RateDates,0)),0))</f>
        <v/>
      </c>
      <c r="U265" s="252">
        <f>IF($C265="","",$F265*$T265)</f>
        <v/>
      </c>
      <c r="V265" s="253">
        <f>$A265-WEEKDAY($A265,2)+1</f>
        <v/>
      </c>
      <c r="W265" s="132">
        <f t="array" ref="W265">IF(AND($C265="",S265=""),"",IF(AND(N($C265)&gt;0,N(S265)=0),"nobody marked present",IF(N($D265)&gt;N($C265),"more broken than moulded",IF(AND($C265="",N(S265)&gt;0),"attendance marked but no blocks entered",IF(AND(N($C265)&gt;0,N(T265)=0),"no pay rate for this date - see Settings",IF(SUMPRODUCT((G265:R265&lt;&gt;"")*(G$5:R$5=""))&gt;0,"attendance in an empty worker slot",""))))))</f>
        <v/>
      </c>
      <c r="X265" s="133" t="n"/>
      <c r="Y265" s="125" t="n"/>
      <c r="Z265" s="126" t="n"/>
      <c r="AA265" s="126" t="n"/>
      <c r="AB265" s="126" t="n"/>
      <c r="AC265" s="126" t="n"/>
      <c r="AD265" s="126" t="n"/>
      <c r="AE265" s="126" t="n"/>
      <c r="AF265" s="126" t="n"/>
      <c r="AG265" s="126" t="n"/>
      <c r="AH265" s="126" t="n"/>
      <c r="AI265" s="126" t="n"/>
      <c r="AJ265" s="126" t="n"/>
      <c r="AK265" s="126" t="n"/>
      <c r="AL265" s="126" t="n"/>
      <c r="AM265" s="126" t="n"/>
    </row>
    <row r="266" ht="21" customFormat="1" customHeight="1" s="127">
      <c r="A266" s="250" t="n">
        <v>46524</v>
      </c>
      <c r="B266" s="63">
        <f>CHOOSE(WEEKDAY($A266,2),"Mon","Tue","Wed","Thu","Fri","Sat","Sun")</f>
        <v/>
      </c>
      <c r="C266" s="64" t="n"/>
      <c r="D266" s="64" t="n"/>
      <c r="E266" s="65">
        <f>IF($C266="","",$C266-N($D266))</f>
        <v/>
      </c>
      <c r="F266" s="65">
        <f>IF($C266="","",$C266-MAX(0,N($D266)-BreakAllow*$C266))</f>
        <v/>
      </c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1">
        <f>IF(COUNT(G266:R266)=0,"",SUM(G266:R266))</f>
        <v/>
      </c>
      <c r="T266" s="251">
        <f>IF($C266="","",IFERROR(INDEX(RateValues,MATCH(SUMPRODUCT(MAX((RateDates&lt;=$A266)*RateDates)),RateDates,0)),0))</f>
        <v/>
      </c>
      <c r="U266" s="252">
        <f>IF($C266="","",$F266*$T266)</f>
        <v/>
      </c>
      <c r="V266" s="253">
        <f>$A266-WEEKDAY($A266,2)+1</f>
        <v/>
      </c>
      <c r="W266" s="132">
        <f t="array" ref="W266">IF(AND($C266="",S266=""),"",IF(AND(N($C266)&gt;0,N(S266)=0),"nobody marked present",IF(N($D266)&gt;N($C266),"more broken than moulded",IF(AND($C266="",N(S266)&gt;0),"attendance marked but no blocks entered",IF(AND(N($C266)&gt;0,N(T266)=0),"no pay rate for this date - see Settings",IF(SUMPRODUCT((G266:R266&lt;&gt;"")*(G$5:R$5=""))&gt;0,"attendance in an empty worker slot",""))))))</f>
        <v/>
      </c>
      <c r="X266" s="133" t="n"/>
      <c r="Y266" s="125" t="n"/>
      <c r="Z266" s="126" t="n"/>
      <c r="AA266" s="126" t="n"/>
      <c r="AB266" s="126" t="n"/>
      <c r="AC266" s="126" t="n"/>
      <c r="AD266" s="126" t="n"/>
      <c r="AE266" s="126" t="n"/>
      <c r="AF266" s="126" t="n"/>
      <c r="AG266" s="126" t="n"/>
      <c r="AH266" s="126" t="n"/>
      <c r="AI266" s="126" t="n"/>
      <c r="AJ266" s="126" t="n"/>
      <c r="AK266" s="126" t="n"/>
      <c r="AL266" s="126" t="n"/>
      <c r="AM266" s="126" t="n"/>
    </row>
    <row r="267" ht="21" customFormat="1" customHeight="1" s="127">
      <c r="A267" s="250" t="n">
        <v>46525</v>
      </c>
      <c r="B267" s="63">
        <f>CHOOSE(WEEKDAY($A267,2),"Mon","Tue","Wed","Thu","Fri","Sat","Sun")</f>
        <v/>
      </c>
      <c r="C267" s="64" t="n"/>
      <c r="D267" s="64" t="n"/>
      <c r="E267" s="65">
        <f>IF($C267="","",$C267-N($D267))</f>
        <v/>
      </c>
      <c r="F267" s="65">
        <f>IF($C267="","",$C267-MAX(0,N($D267)-BreakAllow*$C267))</f>
        <v/>
      </c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1">
        <f>IF(COUNT(G267:R267)=0,"",SUM(G267:R267))</f>
        <v/>
      </c>
      <c r="T267" s="251">
        <f>IF($C267="","",IFERROR(INDEX(RateValues,MATCH(SUMPRODUCT(MAX((RateDates&lt;=$A267)*RateDates)),RateDates,0)),0))</f>
        <v/>
      </c>
      <c r="U267" s="252">
        <f>IF($C267="","",$F267*$T267)</f>
        <v/>
      </c>
      <c r="V267" s="253">
        <f>$A267-WEEKDAY($A267,2)+1</f>
        <v/>
      </c>
      <c r="W267" s="132">
        <f t="array" ref="W267">IF(AND($C267="",S267=""),"",IF(AND(N($C267)&gt;0,N(S267)=0),"nobody marked present",IF(N($D267)&gt;N($C267),"more broken than moulded",IF(AND($C267="",N(S267)&gt;0),"attendance marked but no blocks entered",IF(AND(N($C267)&gt;0,N(T267)=0),"no pay rate for this date - see Settings",IF(SUMPRODUCT((G267:R267&lt;&gt;"")*(G$5:R$5=""))&gt;0,"attendance in an empty worker slot",""))))))</f>
        <v/>
      </c>
      <c r="X267" s="133" t="n"/>
      <c r="Y267" s="125" t="n"/>
      <c r="Z267" s="126" t="n"/>
      <c r="AA267" s="126" t="n"/>
      <c r="AB267" s="126" t="n"/>
      <c r="AC267" s="126" t="n"/>
      <c r="AD267" s="126" t="n"/>
      <c r="AE267" s="126" t="n"/>
      <c r="AF267" s="126" t="n"/>
      <c r="AG267" s="126" t="n"/>
      <c r="AH267" s="126" t="n"/>
      <c r="AI267" s="126" t="n"/>
      <c r="AJ267" s="126" t="n"/>
      <c r="AK267" s="126" t="n"/>
      <c r="AL267" s="126" t="n"/>
      <c r="AM267" s="126" t="n"/>
    </row>
    <row r="268" ht="21" customFormat="1" customHeight="1" s="127">
      <c r="A268" s="250" t="n">
        <v>46526</v>
      </c>
      <c r="B268" s="63">
        <f>CHOOSE(WEEKDAY($A268,2),"Mon","Tue","Wed","Thu","Fri","Sat","Sun")</f>
        <v/>
      </c>
      <c r="C268" s="64" t="n"/>
      <c r="D268" s="64" t="n"/>
      <c r="E268" s="65">
        <f>IF($C268="","",$C268-N($D268))</f>
        <v/>
      </c>
      <c r="F268" s="65">
        <f>IF($C268="","",$C268-MAX(0,N($D268)-BreakAllow*$C268))</f>
        <v/>
      </c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1">
        <f>IF(COUNT(G268:R268)=0,"",SUM(G268:R268))</f>
        <v/>
      </c>
      <c r="T268" s="251">
        <f>IF($C268="","",IFERROR(INDEX(RateValues,MATCH(SUMPRODUCT(MAX((RateDates&lt;=$A268)*RateDates)),RateDates,0)),0))</f>
        <v/>
      </c>
      <c r="U268" s="252">
        <f>IF($C268="","",$F268*$T268)</f>
        <v/>
      </c>
      <c r="V268" s="253">
        <f>$A268-WEEKDAY($A268,2)+1</f>
        <v/>
      </c>
      <c r="W268" s="132">
        <f t="array" ref="W268">IF(AND($C268="",S268=""),"",IF(AND(N($C268)&gt;0,N(S268)=0),"nobody marked present",IF(N($D268)&gt;N($C268),"more broken than moulded",IF(AND($C268="",N(S268)&gt;0),"attendance marked but no blocks entered",IF(AND(N($C268)&gt;0,N(T268)=0),"no pay rate for this date - see Settings",IF(SUMPRODUCT((G268:R268&lt;&gt;"")*(G$5:R$5=""))&gt;0,"attendance in an empty worker slot",""))))))</f>
        <v/>
      </c>
      <c r="X268" s="133" t="n"/>
      <c r="Y268" s="125" t="n"/>
      <c r="Z268" s="126" t="n"/>
      <c r="AA268" s="126" t="n"/>
      <c r="AB268" s="126" t="n"/>
      <c r="AC268" s="126" t="n"/>
      <c r="AD268" s="126" t="n"/>
      <c r="AE268" s="126" t="n"/>
      <c r="AF268" s="126" t="n"/>
      <c r="AG268" s="126" t="n"/>
      <c r="AH268" s="126" t="n"/>
      <c r="AI268" s="126" t="n"/>
      <c r="AJ268" s="126" t="n"/>
      <c r="AK268" s="126" t="n"/>
      <c r="AL268" s="126" t="n"/>
      <c r="AM268" s="126" t="n"/>
    </row>
    <row r="269" ht="21" customFormat="1" customHeight="1" s="127">
      <c r="A269" s="250" t="n">
        <v>46527</v>
      </c>
      <c r="B269" s="63">
        <f>CHOOSE(WEEKDAY($A269,2),"Mon","Tue","Wed","Thu","Fri","Sat","Sun")</f>
        <v/>
      </c>
      <c r="C269" s="64" t="n"/>
      <c r="D269" s="64" t="n"/>
      <c r="E269" s="65">
        <f>IF($C269="","",$C269-N($D269))</f>
        <v/>
      </c>
      <c r="F269" s="65">
        <f>IF($C269="","",$C269-MAX(0,N($D269)-BreakAllow*$C269))</f>
        <v/>
      </c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1">
        <f>IF(COUNT(G269:R269)=0,"",SUM(G269:R269))</f>
        <v/>
      </c>
      <c r="T269" s="251">
        <f>IF($C269="","",IFERROR(INDEX(RateValues,MATCH(SUMPRODUCT(MAX((RateDates&lt;=$A269)*RateDates)),RateDates,0)),0))</f>
        <v/>
      </c>
      <c r="U269" s="252">
        <f>IF($C269="","",$F269*$T269)</f>
        <v/>
      </c>
      <c r="V269" s="253">
        <f>$A269-WEEKDAY($A269,2)+1</f>
        <v/>
      </c>
      <c r="W269" s="132">
        <f t="array" ref="W269">IF(AND($C269="",S269=""),"",IF(AND(N($C269)&gt;0,N(S269)=0),"nobody marked present",IF(N($D269)&gt;N($C269),"more broken than moulded",IF(AND($C269="",N(S269)&gt;0),"attendance marked but no blocks entered",IF(AND(N($C269)&gt;0,N(T269)=0),"no pay rate for this date - see Settings",IF(SUMPRODUCT((G269:R269&lt;&gt;"")*(G$5:R$5=""))&gt;0,"attendance in an empty worker slot",""))))))</f>
        <v/>
      </c>
      <c r="X269" s="133" t="n"/>
      <c r="Y269" s="125" t="n"/>
      <c r="Z269" s="126" t="n"/>
      <c r="AA269" s="126" t="n"/>
      <c r="AB269" s="126" t="n"/>
      <c r="AC269" s="126" t="n"/>
      <c r="AD269" s="126" t="n"/>
      <c r="AE269" s="126" t="n"/>
      <c r="AF269" s="126" t="n"/>
      <c r="AG269" s="126" t="n"/>
      <c r="AH269" s="126" t="n"/>
      <c r="AI269" s="126" t="n"/>
      <c r="AJ269" s="126" t="n"/>
      <c r="AK269" s="126" t="n"/>
      <c r="AL269" s="126" t="n"/>
      <c r="AM269" s="126" t="n"/>
    </row>
    <row r="270" ht="21" customFormat="1" customHeight="1" s="127">
      <c r="A270" s="250" t="n">
        <v>46528</v>
      </c>
      <c r="B270" s="63">
        <f>CHOOSE(WEEKDAY($A270,2),"Mon","Tue","Wed","Thu","Fri","Sat","Sun")</f>
        <v/>
      </c>
      <c r="C270" s="64" t="n"/>
      <c r="D270" s="64" t="n"/>
      <c r="E270" s="65">
        <f>IF($C270="","",$C270-N($D270))</f>
        <v/>
      </c>
      <c r="F270" s="65">
        <f>IF($C270="","",$C270-MAX(0,N($D270)-BreakAllow*$C270))</f>
        <v/>
      </c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1">
        <f>IF(COUNT(G270:R270)=0,"",SUM(G270:R270))</f>
        <v/>
      </c>
      <c r="T270" s="251">
        <f>IF($C270="","",IFERROR(INDEX(RateValues,MATCH(SUMPRODUCT(MAX((RateDates&lt;=$A270)*RateDates)),RateDates,0)),0))</f>
        <v/>
      </c>
      <c r="U270" s="252">
        <f>IF($C270="","",$F270*$T270)</f>
        <v/>
      </c>
      <c r="V270" s="253">
        <f>$A270-WEEKDAY($A270,2)+1</f>
        <v/>
      </c>
      <c r="W270" s="132">
        <f t="array" ref="W270">IF(AND($C270="",S270=""),"",IF(AND(N($C270)&gt;0,N(S270)=0),"nobody marked present",IF(N($D270)&gt;N($C270),"more broken than moulded",IF(AND($C270="",N(S270)&gt;0),"attendance marked but no blocks entered",IF(AND(N($C270)&gt;0,N(T270)=0),"no pay rate for this date - see Settings",IF(SUMPRODUCT((G270:R270&lt;&gt;"")*(G$5:R$5=""))&gt;0,"attendance in an empty worker slot",""))))))</f>
        <v/>
      </c>
      <c r="X270" s="133" t="n"/>
      <c r="Y270" s="125" t="n"/>
      <c r="Z270" s="126" t="n"/>
      <c r="AA270" s="126" t="n"/>
      <c r="AB270" s="126" t="n"/>
      <c r="AC270" s="126" t="n"/>
      <c r="AD270" s="126" t="n"/>
      <c r="AE270" s="126" t="n"/>
      <c r="AF270" s="126" t="n"/>
      <c r="AG270" s="126" t="n"/>
      <c r="AH270" s="126" t="n"/>
      <c r="AI270" s="126" t="n"/>
      <c r="AJ270" s="126" t="n"/>
      <c r="AK270" s="126" t="n"/>
      <c r="AL270" s="126" t="n"/>
      <c r="AM270" s="126" t="n"/>
    </row>
    <row r="271" ht="21" customFormat="1" customHeight="1" s="127">
      <c r="A271" s="250" t="n">
        <v>46529</v>
      </c>
      <c r="B271" s="63">
        <f>CHOOSE(WEEKDAY($A271,2),"Mon","Tue","Wed","Thu","Fri","Sat","Sun")</f>
        <v/>
      </c>
      <c r="C271" s="64" t="n"/>
      <c r="D271" s="64" t="n"/>
      <c r="E271" s="65">
        <f>IF($C271="","",$C271-N($D271))</f>
        <v/>
      </c>
      <c r="F271" s="65">
        <f>IF($C271="","",$C271-MAX(0,N($D271)-BreakAllow*$C271))</f>
        <v/>
      </c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1">
        <f>IF(COUNT(G271:R271)=0,"",SUM(G271:R271))</f>
        <v/>
      </c>
      <c r="T271" s="251">
        <f>IF($C271="","",IFERROR(INDEX(RateValues,MATCH(SUMPRODUCT(MAX((RateDates&lt;=$A271)*RateDates)),RateDates,0)),0))</f>
        <v/>
      </c>
      <c r="U271" s="252">
        <f>IF($C271="","",$F271*$T271)</f>
        <v/>
      </c>
      <c r="V271" s="253">
        <f>$A271-WEEKDAY($A271,2)+1</f>
        <v/>
      </c>
      <c r="W271" s="132">
        <f t="array" ref="W271">IF(AND($C271="",S271=""),"",IF(AND(N($C271)&gt;0,N(S271)=0),"nobody marked present",IF(N($D271)&gt;N($C271),"more broken than moulded",IF(AND($C271="",N(S271)&gt;0),"attendance marked but no blocks entered",IF(AND(N($C271)&gt;0,N(T271)=0),"no pay rate for this date - see Settings",IF(SUMPRODUCT((G271:R271&lt;&gt;"")*(G$5:R$5=""))&gt;0,"attendance in an empty worker slot",""))))))</f>
        <v/>
      </c>
      <c r="X271" s="133" t="n"/>
      <c r="Y271" s="125" t="n"/>
      <c r="Z271" s="126" t="n"/>
      <c r="AA271" s="126" t="n"/>
      <c r="AB271" s="126" t="n"/>
      <c r="AC271" s="126" t="n"/>
      <c r="AD271" s="126" t="n"/>
      <c r="AE271" s="126" t="n"/>
      <c r="AF271" s="126" t="n"/>
      <c r="AG271" s="126" t="n"/>
      <c r="AH271" s="126" t="n"/>
      <c r="AI271" s="126" t="n"/>
      <c r="AJ271" s="126" t="n"/>
      <c r="AK271" s="126" t="n"/>
      <c r="AL271" s="126" t="n"/>
      <c r="AM271" s="126" t="n"/>
    </row>
    <row r="272" ht="21" customFormat="1" customHeight="1" s="127">
      <c r="A272" s="254" t="n">
        <v>46530</v>
      </c>
      <c r="B272" s="70">
        <f>CHOOSE(WEEKDAY($A272,2),"Mon","Tue","Wed","Thu","Fri","Sat","Sun")</f>
        <v/>
      </c>
      <c r="C272" s="64" t="n"/>
      <c r="D272" s="64" t="n"/>
      <c r="E272" s="65">
        <f>IF($C272="","",$C272-N($D272))</f>
        <v/>
      </c>
      <c r="F272" s="65">
        <f>IF($C272="","",$C272-MAX(0,N($D272)-BreakAllow*$C272))</f>
        <v/>
      </c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1">
        <f>IF(COUNT(G272:R272)=0,"",SUM(G272:R272))</f>
        <v/>
      </c>
      <c r="T272" s="251">
        <f>IF($C272="","",IFERROR(INDEX(RateValues,MATCH(SUMPRODUCT(MAX((RateDates&lt;=$A272)*RateDates)),RateDates,0)),0))</f>
        <v/>
      </c>
      <c r="U272" s="252">
        <f>IF($C272="","",$F272*$T272)</f>
        <v/>
      </c>
      <c r="V272" s="253">
        <f>$A272-WEEKDAY($A272,2)+1</f>
        <v/>
      </c>
      <c r="W272" s="132">
        <f t="array" ref="W272">IF(AND($C272="",S272=""),"",IF(AND(N($C272)&gt;0,N(S272)=0),"nobody marked present",IF(N($D272)&gt;N($C272),"more broken than moulded",IF(AND($C272="",N(S272)&gt;0),"attendance marked but no blocks entered",IF(AND(N($C272)&gt;0,N(T272)=0),"no pay rate for this date - see Settings",IF(SUMPRODUCT((G272:R272&lt;&gt;"")*(G$5:R$5=""))&gt;0,"attendance in an empty worker slot",""))))))</f>
        <v/>
      </c>
      <c r="X272" s="133" t="n"/>
      <c r="Y272" s="125" t="n"/>
      <c r="Z272" s="126" t="n"/>
      <c r="AA272" s="126" t="n"/>
      <c r="AB272" s="126" t="n"/>
      <c r="AC272" s="126" t="n"/>
      <c r="AD272" s="126" t="n"/>
      <c r="AE272" s="126" t="n"/>
      <c r="AF272" s="126" t="n"/>
      <c r="AG272" s="126" t="n"/>
      <c r="AH272" s="126" t="n"/>
      <c r="AI272" s="126" t="n"/>
      <c r="AJ272" s="126" t="n"/>
      <c r="AK272" s="126" t="n"/>
      <c r="AL272" s="126" t="n"/>
      <c r="AM272" s="126" t="n"/>
    </row>
    <row r="273" ht="21" customFormat="1" customHeight="1" s="127">
      <c r="A273" s="250" t="n">
        <v>46531</v>
      </c>
      <c r="B273" s="63">
        <f>CHOOSE(WEEKDAY($A273,2),"Mon","Tue","Wed","Thu","Fri","Sat","Sun")</f>
        <v/>
      </c>
      <c r="C273" s="64" t="n"/>
      <c r="D273" s="64" t="n"/>
      <c r="E273" s="65">
        <f>IF($C273="","",$C273-N($D273))</f>
        <v/>
      </c>
      <c r="F273" s="65">
        <f>IF($C273="","",$C273-MAX(0,N($D273)-BreakAllow*$C273))</f>
        <v/>
      </c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1">
        <f>IF(COUNT(G273:R273)=0,"",SUM(G273:R273))</f>
        <v/>
      </c>
      <c r="T273" s="251">
        <f>IF($C273="","",IFERROR(INDEX(RateValues,MATCH(SUMPRODUCT(MAX((RateDates&lt;=$A273)*RateDates)),RateDates,0)),0))</f>
        <v/>
      </c>
      <c r="U273" s="252">
        <f>IF($C273="","",$F273*$T273)</f>
        <v/>
      </c>
      <c r="V273" s="253">
        <f>$A273-WEEKDAY($A273,2)+1</f>
        <v/>
      </c>
      <c r="W273" s="132">
        <f t="array" ref="W273">IF(AND($C273="",S273=""),"",IF(AND(N($C273)&gt;0,N(S273)=0),"nobody marked present",IF(N($D273)&gt;N($C273),"more broken than moulded",IF(AND($C273="",N(S273)&gt;0),"attendance marked but no blocks entered",IF(AND(N($C273)&gt;0,N(T273)=0),"no pay rate for this date - see Settings",IF(SUMPRODUCT((G273:R273&lt;&gt;"")*(G$5:R$5=""))&gt;0,"attendance in an empty worker slot",""))))))</f>
        <v/>
      </c>
      <c r="X273" s="133" t="n"/>
      <c r="Y273" s="125" t="n"/>
      <c r="Z273" s="126" t="n"/>
      <c r="AA273" s="126" t="n"/>
      <c r="AB273" s="126" t="n"/>
      <c r="AC273" s="126" t="n"/>
      <c r="AD273" s="126" t="n"/>
      <c r="AE273" s="126" t="n"/>
      <c r="AF273" s="126" t="n"/>
      <c r="AG273" s="126" t="n"/>
      <c r="AH273" s="126" t="n"/>
      <c r="AI273" s="126" t="n"/>
      <c r="AJ273" s="126" t="n"/>
      <c r="AK273" s="126" t="n"/>
      <c r="AL273" s="126" t="n"/>
      <c r="AM273" s="126" t="n"/>
    </row>
    <row r="274" ht="21" customFormat="1" customHeight="1" s="127">
      <c r="A274" s="250" t="n">
        <v>46532</v>
      </c>
      <c r="B274" s="63">
        <f>CHOOSE(WEEKDAY($A274,2),"Mon","Tue","Wed","Thu","Fri","Sat","Sun")</f>
        <v/>
      </c>
      <c r="C274" s="64" t="n"/>
      <c r="D274" s="64" t="n"/>
      <c r="E274" s="65">
        <f>IF($C274="","",$C274-N($D274))</f>
        <v/>
      </c>
      <c r="F274" s="65">
        <f>IF($C274="","",$C274-MAX(0,N($D274)-BreakAllow*$C274))</f>
        <v/>
      </c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1">
        <f>IF(COUNT(G274:R274)=0,"",SUM(G274:R274))</f>
        <v/>
      </c>
      <c r="T274" s="251">
        <f>IF($C274="","",IFERROR(INDEX(RateValues,MATCH(SUMPRODUCT(MAX((RateDates&lt;=$A274)*RateDates)),RateDates,0)),0))</f>
        <v/>
      </c>
      <c r="U274" s="252">
        <f>IF($C274="","",$F274*$T274)</f>
        <v/>
      </c>
      <c r="V274" s="253">
        <f>$A274-WEEKDAY($A274,2)+1</f>
        <v/>
      </c>
      <c r="W274" s="132">
        <f t="array" ref="W274">IF(AND($C274="",S274=""),"",IF(AND(N($C274)&gt;0,N(S274)=0),"nobody marked present",IF(N($D274)&gt;N($C274),"more broken than moulded",IF(AND($C274="",N(S274)&gt;0),"attendance marked but no blocks entered",IF(AND(N($C274)&gt;0,N(T274)=0),"no pay rate for this date - see Settings",IF(SUMPRODUCT((G274:R274&lt;&gt;"")*(G$5:R$5=""))&gt;0,"attendance in an empty worker slot",""))))))</f>
        <v/>
      </c>
      <c r="X274" s="133" t="n"/>
      <c r="Y274" s="125" t="n"/>
      <c r="Z274" s="126" t="n"/>
      <c r="AA274" s="126" t="n"/>
      <c r="AB274" s="126" t="n"/>
      <c r="AC274" s="126" t="n"/>
      <c r="AD274" s="126" t="n"/>
      <c r="AE274" s="126" t="n"/>
      <c r="AF274" s="126" t="n"/>
      <c r="AG274" s="126" t="n"/>
      <c r="AH274" s="126" t="n"/>
      <c r="AI274" s="126" t="n"/>
      <c r="AJ274" s="126" t="n"/>
      <c r="AK274" s="126" t="n"/>
      <c r="AL274" s="126" t="n"/>
      <c r="AM274" s="126" t="n"/>
    </row>
    <row r="275" ht="21" customFormat="1" customHeight="1" s="127">
      <c r="A275" s="250" t="n">
        <v>46533</v>
      </c>
      <c r="B275" s="63">
        <f>CHOOSE(WEEKDAY($A275,2),"Mon","Tue","Wed","Thu","Fri","Sat","Sun")</f>
        <v/>
      </c>
      <c r="C275" s="64" t="n"/>
      <c r="D275" s="64" t="n"/>
      <c r="E275" s="65">
        <f>IF($C275="","",$C275-N($D275))</f>
        <v/>
      </c>
      <c r="F275" s="65">
        <f>IF($C275="","",$C275-MAX(0,N($D275)-BreakAllow*$C275))</f>
        <v/>
      </c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1">
        <f>IF(COUNT(G275:R275)=0,"",SUM(G275:R275))</f>
        <v/>
      </c>
      <c r="T275" s="251">
        <f>IF($C275="","",IFERROR(INDEX(RateValues,MATCH(SUMPRODUCT(MAX((RateDates&lt;=$A275)*RateDates)),RateDates,0)),0))</f>
        <v/>
      </c>
      <c r="U275" s="252">
        <f>IF($C275="","",$F275*$T275)</f>
        <v/>
      </c>
      <c r="V275" s="253">
        <f>$A275-WEEKDAY($A275,2)+1</f>
        <v/>
      </c>
      <c r="W275" s="132">
        <f t="array" ref="W275">IF(AND($C275="",S275=""),"",IF(AND(N($C275)&gt;0,N(S275)=0),"nobody marked present",IF(N($D275)&gt;N($C275),"more broken than moulded",IF(AND($C275="",N(S275)&gt;0),"attendance marked but no blocks entered",IF(AND(N($C275)&gt;0,N(T275)=0),"no pay rate for this date - see Settings",IF(SUMPRODUCT((G275:R275&lt;&gt;"")*(G$5:R$5=""))&gt;0,"attendance in an empty worker slot",""))))))</f>
        <v/>
      </c>
      <c r="X275" s="133" t="n"/>
      <c r="Y275" s="125" t="n"/>
      <c r="Z275" s="126" t="n"/>
      <c r="AA275" s="126" t="n"/>
      <c r="AB275" s="126" t="n"/>
      <c r="AC275" s="126" t="n"/>
      <c r="AD275" s="126" t="n"/>
      <c r="AE275" s="126" t="n"/>
      <c r="AF275" s="126" t="n"/>
      <c r="AG275" s="126" t="n"/>
      <c r="AH275" s="126" t="n"/>
      <c r="AI275" s="126" t="n"/>
      <c r="AJ275" s="126" t="n"/>
      <c r="AK275" s="126" t="n"/>
      <c r="AL275" s="126" t="n"/>
      <c r="AM275" s="126" t="n"/>
    </row>
    <row r="276" ht="21" customFormat="1" customHeight="1" s="127">
      <c r="A276" s="250" t="n">
        <v>46534</v>
      </c>
      <c r="B276" s="63">
        <f>CHOOSE(WEEKDAY($A276,2),"Mon","Tue","Wed","Thu","Fri","Sat","Sun")</f>
        <v/>
      </c>
      <c r="C276" s="64" t="n"/>
      <c r="D276" s="64" t="n"/>
      <c r="E276" s="65">
        <f>IF($C276="","",$C276-N($D276))</f>
        <v/>
      </c>
      <c r="F276" s="65">
        <f>IF($C276="","",$C276-MAX(0,N($D276)-BreakAllow*$C276))</f>
        <v/>
      </c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1">
        <f>IF(COUNT(G276:R276)=0,"",SUM(G276:R276))</f>
        <v/>
      </c>
      <c r="T276" s="251">
        <f>IF($C276="","",IFERROR(INDEX(RateValues,MATCH(SUMPRODUCT(MAX((RateDates&lt;=$A276)*RateDates)),RateDates,0)),0))</f>
        <v/>
      </c>
      <c r="U276" s="252">
        <f>IF($C276="","",$F276*$T276)</f>
        <v/>
      </c>
      <c r="V276" s="253">
        <f>$A276-WEEKDAY($A276,2)+1</f>
        <v/>
      </c>
      <c r="W276" s="132">
        <f t="array" ref="W276">IF(AND($C276="",S276=""),"",IF(AND(N($C276)&gt;0,N(S276)=0),"nobody marked present",IF(N($D276)&gt;N($C276),"more broken than moulded",IF(AND($C276="",N(S276)&gt;0),"attendance marked but no blocks entered",IF(AND(N($C276)&gt;0,N(T276)=0),"no pay rate for this date - see Settings",IF(SUMPRODUCT((G276:R276&lt;&gt;"")*(G$5:R$5=""))&gt;0,"attendance in an empty worker slot",""))))))</f>
        <v/>
      </c>
      <c r="X276" s="133" t="n"/>
      <c r="Y276" s="125" t="n"/>
      <c r="Z276" s="126" t="n"/>
      <c r="AA276" s="126" t="n"/>
      <c r="AB276" s="126" t="n"/>
      <c r="AC276" s="126" t="n"/>
      <c r="AD276" s="126" t="n"/>
      <c r="AE276" s="126" t="n"/>
      <c r="AF276" s="126" t="n"/>
      <c r="AG276" s="126" t="n"/>
      <c r="AH276" s="126" t="n"/>
      <c r="AI276" s="126" t="n"/>
      <c r="AJ276" s="126" t="n"/>
      <c r="AK276" s="126" t="n"/>
      <c r="AL276" s="126" t="n"/>
      <c r="AM276" s="126" t="n"/>
    </row>
    <row r="277" ht="21" customFormat="1" customHeight="1" s="127">
      <c r="A277" s="250" t="n">
        <v>46535</v>
      </c>
      <c r="B277" s="63">
        <f>CHOOSE(WEEKDAY($A277,2),"Mon","Tue","Wed","Thu","Fri","Sat","Sun")</f>
        <v/>
      </c>
      <c r="C277" s="64" t="n"/>
      <c r="D277" s="64" t="n"/>
      <c r="E277" s="65">
        <f>IF($C277="","",$C277-N($D277))</f>
        <v/>
      </c>
      <c r="F277" s="65">
        <f>IF($C277="","",$C277-MAX(0,N($D277)-BreakAllow*$C277))</f>
        <v/>
      </c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1">
        <f>IF(COUNT(G277:R277)=0,"",SUM(G277:R277))</f>
        <v/>
      </c>
      <c r="T277" s="251">
        <f>IF($C277="","",IFERROR(INDEX(RateValues,MATCH(SUMPRODUCT(MAX((RateDates&lt;=$A277)*RateDates)),RateDates,0)),0))</f>
        <v/>
      </c>
      <c r="U277" s="252">
        <f>IF($C277="","",$F277*$T277)</f>
        <v/>
      </c>
      <c r="V277" s="253">
        <f>$A277-WEEKDAY($A277,2)+1</f>
        <v/>
      </c>
      <c r="W277" s="132">
        <f t="array" ref="W277">IF(AND($C277="",S277=""),"",IF(AND(N($C277)&gt;0,N(S277)=0),"nobody marked present",IF(N($D277)&gt;N($C277),"more broken than moulded",IF(AND($C277="",N(S277)&gt;0),"attendance marked but no blocks entered",IF(AND(N($C277)&gt;0,N(T277)=0),"no pay rate for this date - see Settings",IF(SUMPRODUCT((G277:R277&lt;&gt;"")*(G$5:R$5=""))&gt;0,"attendance in an empty worker slot",""))))))</f>
        <v/>
      </c>
      <c r="X277" s="133" t="n"/>
      <c r="Y277" s="125" t="n"/>
      <c r="Z277" s="126" t="n"/>
      <c r="AA277" s="126" t="n"/>
      <c r="AB277" s="126" t="n"/>
      <c r="AC277" s="126" t="n"/>
      <c r="AD277" s="126" t="n"/>
      <c r="AE277" s="126" t="n"/>
      <c r="AF277" s="126" t="n"/>
      <c r="AG277" s="126" t="n"/>
      <c r="AH277" s="126" t="n"/>
      <c r="AI277" s="126" t="n"/>
      <c r="AJ277" s="126" t="n"/>
      <c r="AK277" s="126" t="n"/>
      <c r="AL277" s="126" t="n"/>
      <c r="AM277" s="126" t="n"/>
    </row>
    <row r="278" ht="21" customFormat="1" customHeight="1" s="127">
      <c r="A278" s="250" t="n">
        <v>46536</v>
      </c>
      <c r="B278" s="63">
        <f>CHOOSE(WEEKDAY($A278,2),"Mon","Tue","Wed","Thu","Fri","Sat","Sun")</f>
        <v/>
      </c>
      <c r="C278" s="64" t="n"/>
      <c r="D278" s="64" t="n"/>
      <c r="E278" s="65">
        <f>IF($C278="","",$C278-N($D278))</f>
        <v/>
      </c>
      <c r="F278" s="65">
        <f>IF($C278="","",$C278-MAX(0,N($D278)-BreakAllow*$C278))</f>
        <v/>
      </c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1">
        <f>IF(COUNT(G278:R278)=0,"",SUM(G278:R278))</f>
        <v/>
      </c>
      <c r="T278" s="251">
        <f>IF($C278="","",IFERROR(INDEX(RateValues,MATCH(SUMPRODUCT(MAX((RateDates&lt;=$A278)*RateDates)),RateDates,0)),0))</f>
        <v/>
      </c>
      <c r="U278" s="252">
        <f>IF($C278="","",$F278*$T278)</f>
        <v/>
      </c>
      <c r="V278" s="253">
        <f>$A278-WEEKDAY($A278,2)+1</f>
        <v/>
      </c>
      <c r="W278" s="132">
        <f t="array" ref="W278">IF(AND($C278="",S278=""),"",IF(AND(N($C278)&gt;0,N(S278)=0),"nobody marked present",IF(N($D278)&gt;N($C278),"more broken than moulded",IF(AND($C278="",N(S278)&gt;0),"attendance marked but no blocks entered",IF(AND(N($C278)&gt;0,N(T278)=0),"no pay rate for this date - see Settings",IF(SUMPRODUCT((G278:R278&lt;&gt;"")*(G$5:R$5=""))&gt;0,"attendance in an empty worker slot",""))))))</f>
        <v/>
      </c>
      <c r="X278" s="133" t="n"/>
      <c r="Y278" s="125" t="n"/>
      <c r="Z278" s="126" t="n"/>
      <c r="AA278" s="126" t="n"/>
      <c r="AB278" s="126" t="n"/>
      <c r="AC278" s="126" t="n"/>
      <c r="AD278" s="126" t="n"/>
      <c r="AE278" s="126" t="n"/>
      <c r="AF278" s="126" t="n"/>
      <c r="AG278" s="126" t="n"/>
      <c r="AH278" s="126" t="n"/>
      <c r="AI278" s="126" t="n"/>
      <c r="AJ278" s="126" t="n"/>
      <c r="AK278" s="126" t="n"/>
      <c r="AL278" s="126" t="n"/>
      <c r="AM278" s="126" t="n"/>
    </row>
    <row r="279" ht="21" customFormat="1" customHeight="1" s="127">
      <c r="A279" s="254" t="n">
        <v>46537</v>
      </c>
      <c r="B279" s="70">
        <f>CHOOSE(WEEKDAY($A279,2),"Mon","Tue","Wed","Thu","Fri","Sat","Sun")</f>
        <v/>
      </c>
      <c r="C279" s="64" t="n"/>
      <c r="D279" s="64" t="n"/>
      <c r="E279" s="65">
        <f>IF($C279="","",$C279-N($D279))</f>
        <v/>
      </c>
      <c r="F279" s="65">
        <f>IF($C279="","",$C279-MAX(0,N($D279)-BreakAllow*$C279))</f>
        <v/>
      </c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1">
        <f>IF(COUNT(G279:R279)=0,"",SUM(G279:R279))</f>
        <v/>
      </c>
      <c r="T279" s="251">
        <f>IF($C279="","",IFERROR(INDEX(RateValues,MATCH(SUMPRODUCT(MAX((RateDates&lt;=$A279)*RateDates)),RateDates,0)),0))</f>
        <v/>
      </c>
      <c r="U279" s="252">
        <f>IF($C279="","",$F279*$T279)</f>
        <v/>
      </c>
      <c r="V279" s="253">
        <f>$A279-WEEKDAY($A279,2)+1</f>
        <v/>
      </c>
      <c r="W279" s="132">
        <f t="array" ref="W279">IF(AND($C279="",S279=""),"",IF(AND(N($C279)&gt;0,N(S279)=0),"nobody marked present",IF(N($D279)&gt;N($C279),"more broken than moulded",IF(AND($C279="",N(S279)&gt;0),"attendance marked but no blocks entered",IF(AND(N($C279)&gt;0,N(T279)=0),"no pay rate for this date - see Settings",IF(SUMPRODUCT((G279:R279&lt;&gt;"")*(G$5:R$5=""))&gt;0,"attendance in an empty worker slot",""))))))</f>
        <v/>
      </c>
      <c r="X279" s="133" t="n"/>
      <c r="Y279" s="125" t="n"/>
      <c r="Z279" s="126" t="n"/>
      <c r="AA279" s="126" t="n"/>
      <c r="AB279" s="126" t="n"/>
      <c r="AC279" s="126" t="n"/>
      <c r="AD279" s="126" t="n"/>
      <c r="AE279" s="126" t="n"/>
      <c r="AF279" s="126" t="n"/>
      <c r="AG279" s="126" t="n"/>
      <c r="AH279" s="126" t="n"/>
      <c r="AI279" s="126" t="n"/>
      <c r="AJ279" s="126" t="n"/>
      <c r="AK279" s="126" t="n"/>
      <c r="AL279" s="126" t="n"/>
      <c r="AM279" s="126" t="n"/>
    </row>
    <row r="280" ht="21" customFormat="1" customHeight="1" s="127">
      <c r="A280" s="250" t="n">
        <v>46538</v>
      </c>
      <c r="B280" s="63">
        <f>CHOOSE(WEEKDAY($A280,2),"Mon","Tue","Wed","Thu","Fri","Sat","Sun")</f>
        <v/>
      </c>
      <c r="C280" s="64" t="n"/>
      <c r="D280" s="64" t="n"/>
      <c r="E280" s="65">
        <f>IF($C280="","",$C280-N($D280))</f>
        <v/>
      </c>
      <c r="F280" s="65">
        <f>IF($C280="","",$C280-MAX(0,N($D280)-BreakAllow*$C280))</f>
        <v/>
      </c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1">
        <f>IF(COUNT(G280:R280)=0,"",SUM(G280:R280))</f>
        <v/>
      </c>
      <c r="T280" s="251">
        <f>IF($C280="","",IFERROR(INDEX(RateValues,MATCH(SUMPRODUCT(MAX((RateDates&lt;=$A280)*RateDates)),RateDates,0)),0))</f>
        <v/>
      </c>
      <c r="U280" s="252">
        <f>IF($C280="","",$F280*$T280)</f>
        <v/>
      </c>
      <c r="V280" s="253">
        <f>$A280-WEEKDAY($A280,2)+1</f>
        <v/>
      </c>
      <c r="W280" s="132">
        <f t="array" ref="W280">IF(AND($C280="",S280=""),"",IF(AND(N($C280)&gt;0,N(S280)=0),"nobody marked present",IF(N($D280)&gt;N($C280),"more broken than moulded",IF(AND($C280="",N(S280)&gt;0),"attendance marked but no blocks entered",IF(AND(N($C280)&gt;0,N(T280)=0),"no pay rate for this date - see Settings",IF(SUMPRODUCT((G280:R280&lt;&gt;"")*(G$5:R$5=""))&gt;0,"attendance in an empty worker slot",""))))))</f>
        <v/>
      </c>
      <c r="X280" s="133" t="n"/>
      <c r="Y280" s="125" t="n"/>
      <c r="Z280" s="126" t="n"/>
      <c r="AA280" s="126" t="n"/>
      <c r="AB280" s="126" t="n"/>
      <c r="AC280" s="126" t="n"/>
      <c r="AD280" s="126" t="n"/>
      <c r="AE280" s="126" t="n"/>
      <c r="AF280" s="126" t="n"/>
      <c r="AG280" s="126" t="n"/>
      <c r="AH280" s="126" t="n"/>
      <c r="AI280" s="126" t="n"/>
      <c r="AJ280" s="126" t="n"/>
      <c r="AK280" s="126" t="n"/>
      <c r="AL280" s="126" t="n"/>
      <c r="AM280" s="126" t="n"/>
    </row>
    <row r="281" ht="21" customFormat="1" customHeight="1" s="127">
      <c r="A281" s="250" t="n">
        <v>46539</v>
      </c>
      <c r="B281" s="63">
        <f>CHOOSE(WEEKDAY($A281,2),"Mon","Tue","Wed","Thu","Fri","Sat","Sun")</f>
        <v/>
      </c>
      <c r="C281" s="64" t="n"/>
      <c r="D281" s="64" t="n"/>
      <c r="E281" s="65">
        <f>IF($C281="","",$C281-N($D281))</f>
        <v/>
      </c>
      <c r="F281" s="65">
        <f>IF($C281="","",$C281-MAX(0,N($D281)-BreakAllow*$C281))</f>
        <v/>
      </c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1">
        <f>IF(COUNT(G281:R281)=0,"",SUM(G281:R281))</f>
        <v/>
      </c>
      <c r="T281" s="251">
        <f>IF($C281="","",IFERROR(INDEX(RateValues,MATCH(SUMPRODUCT(MAX((RateDates&lt;=$A281)*RateDates)),RateDates,0)),0))</f>
        <v/>
      </c>
      <c r="U281" s="252">
        <f>IF($C281="","",$F281*$T281)</f>
        <v/>
      </c>
      <c r="V281" s="253">
        <f>$A281-WEEKDAY($A281,2)+1</f>
        <v/>
      </c>
      <c r="W281" s="132">
        <f t="array" ref="W281">IF(AND($C281="",S281=""),"",IF(AND(N($C281)&gt;0,N(S281)=0),"nobody marked present",IF(N($D281)&gt;N($C281),"more broken than moulded",IF(AND($C281="",N(S281)&gt;0),"attendance marked but no blocks entered",IF(AND(N($C281)&gt;0,N(T281)=0),"no pay rate for this date - see Settings",IF(SUMPRODUCT((G281:R281&lt;&gt;"")*(G$5:R$5=""))&gt;0,"attendance in an empty worker slot",""))))))</f>
        <v/>
      </c>
      <c r="X281" s="133" t="n"/>
      <c r="Y281" s="125" t="n"/>
      <c r="Z281" s="126" t="n"/>
      <c r="AA281" s="126" t="n"/>
      <c r="AB281" s="126" t="n"/>
      <c r="AC281" s="126" t="n"/>
      <c r="AD281" s="126" t="n"/>
      <c r="AE281" s="126" t="n"/>
      <c r="AF281" s="126" t="n"/>
      <c r="AG281" s="126" t="n"/>
      <c r="AH281" s="126" t="n"/>
      <c r="AI281" s="126" t="n"/>
      <c r="AJ281" s="126" t="n"/>
      <c r="AK281" s="126" t="n"/>
      <c r="AL281" s="126" t="n"/>
      <c r="AM281" s="126" t="n"/>
    </row>
    <row r="282" ht="21" customFormat="1" customHeight="1" s="127">
      <c r="A282" s="250" t="n">
        <v>46540</v>
      </c>
      <c r="B282" s="63">
        <f>CHOOSE(WEEKDAY($A282,2),"Mon","Tue","Wed","Thu","Fri","Sat","Sun")</f>
        <v/>
      </c>
      <c r="C282" s="64" t="n"/>
      <c r="D282" s="64" t="n"/>
      <c r="E282" s="65">
        <f>IF($C282="","",$C282-N($D282))</f>
        <v/>
      </c>
      <c r="F282" s="65">
        <f>IF($C282="","",$C282-MAX(0,N($D282)-BreakAllow*$C282))</f>
        <v/>
      </c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1">
        <f>IF(COUNT(G282:R282)=0,"",SUM(G282:R282))</f>
        <v/>
      </c>
      <c r="T282" s="251">
        <f>IF($C282="","",IFERROR(INDEX(RateValues,MATCH(SUMPRODUCT(MAX((RateDates&lt;=$A282)*RateDates)),RateDates,0)),0))</f>
        <v/>
      </c>
      <c r="U282" s="252">
        <f>IF($C282="","",$F282*$T282)</f>
        <v/>
      </c>
      <c r="V282" s="253">
        <f>$A282-WEEKDAY($A282,2)+1</f>
        <v/>
      </c>
      <c r="W282" s="132">
        <f t="array" ref="W282">IF(AND($C282="",S282=""),"",IF(AND(N($C282)&gt;0,N(S282)=0),"nobody marked present",IF(N($D282)&gt;N($C282),"more broken than moulded",IF(AND($C282="",N(S282)&gt;0),"attendance marked but no blocks entered",IF(AND(N($C282)&gt;0,N(T282)=0),"no pay rate for this date - see Settings",IF(SUMPRODUCT((G282:R282&lt;&gt;"")*(G$5:R$5=""))&gt;0,"attendance in an empty worker slot",""))))))</f>
        <v/>
      </c>
      <c r="X282" s="133" t="n"/>
      <c r="Y282" s="125" t="n"/>
      <c r="Z282" s="126" t="n"/>
      <c r="AA282" s="126" t="n"/>
      <c r="AB282" s="126" t="n"/>
      <c r="AC282" s="126" t="n"/>
      <c r="AD282" s="126" t="n"/>
      <c r="AE282" s="126" t="n"/>
      <c r="AF282" s="126" t="n"/>
      <c r="AG282" s="126" t="n"/>
      <c r="AH282" s="126" t="n"/>
      <c r="AI282" s="126" t="n"/>
      <c r="AJ282" s="126" t="n"/>
      <c r="AK282" s="126" t="n"/>
      <c r="AL282" s="126" t="n"/>
      <c r="AM282" s="126" t="n"/>
    </row>
    <row r="283" ht="21" customFormat="1" customHeight="1" s="127">
      <c r="A283" s="250" t="n">
        <v>46541</v>
      </c>
      <c r="B283" s="63">
        <f>CHOOSE(WEEKDAY($A283,2),"Mon","Tue","Wed","Thu","Fri","Sat","Sun")</f>
        <v/>
      </c>
      <c r="C283" s="64" t="n"/>
      <c r="D283" s="64" t="n"/>
      <c r="E283" s="65">
        <f>IF($C283="","",$C283-N($D283))</f>
        <v/>
      </c>
      <c r="F283" s="65">
        <f>IF($C283="","",$C283-MAX(0,N($D283)-BreakAllow*$C283))</f>
        <v/>
      </c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1">
        <f>IF(COUNT(G283:R283)=0,"",SUM(G283:R283))</f>
        <v/>
      </c>
      <c r="T283" s="251">
        <f>IF($C283="","",IFERROR(INDEX(RateValues,MATCH(SUMPRODUCT(MAX((RateDates&lt;=$A283)*RateDates)),RateDates,0)),0))</f>
        <v/>
      </c>
      <c r="U283" s="252">
        <f>IF($C283="","",$F283*$T283)</f>
        <v/>
      </c>
      <c r="V283" s="253">
        <f>$A283-WEEKDAY($A283,2)+1</f>
        <v/>
      </c>
      <c r="W283" s="132">
        <f t="array" ref="W283">IF(AND($C283="",S283=""),"",IF(AND(N($C283)&gt;0,N(S283)=0),"nobody marked present",IF(N($D283)&gt;N($C283),"more broken than moulded",IF(AND($C283="",N(S283)&gt;0),"attendance marked but no blocks entered",IF(AND(N($C283)&gt;0,N(T283)=0),"no pay rate for this date - see Settings",IF(SUMPRODUCT((G283:R283&lt;&gt;"")*(G$5:R$5=""))&gt;0,"attendance in an empty worker slot",""))))))</f>
        <v/>
      </c>
      <c r="X283" s="133" t="n"/>
      <c r="Y283" s="125" t="n"/>
      <c r="Z283" s="126" t="n"/>
      <c r="AA283" s="126" t="n"/>
      <c r="AB283" s="126" t="n"/>
      <c r="AC283" s="126" t="n"/>
      <c r="AD283" s="126" t="n"/>
      <c r="AE283" s="126" t="n"/>
      <c r="AF283" s="126" t="n"/>
      <c r="AG283" s="126" t="n"/>
      <c r="AH283" s="126" t="n"/>
      <c r="AI283" s="126" t="n"/>
      <c r="AJ283" s="126" t="n"/>
      <c r="AK283" s="126" t="n"/>
      <c r="AL283" s="126" t="n"/>
      <c r="AM283" s="126" t="n"/>
    </row>
    <row r="284" ht="21" customFormat="1" customHeight="1" s="127">
      <c r="A284" s="250" t="n">
        <v>46542</v>
      </c>
      <c r="B284" s="63">
        <f>CHOOSE(WEEKDAY($A284,2),"Mon","Tue","Wed","Thu","Fri","Sat","Sun")</f>
        <v/>
      </c>
      <c r="C284" s="64" t="n"/>
      <c r="D284" s="64" t="n"/>
      <c r="E284" s="65">
        <f>IF($C284="","",$C284-N($D284))</f>
        <v/>
      </c>
      <c r="F284" s="65">
        <f>IF($C284="","",$C284-MAX(0,N($D284)-BreakAllow*$C284))</f>
        <v/>
      </c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1">
        <f>IF(COUNT(G284:R284)=0,"",SUM(G284:R284))</f>
        <v/>
      </c>
      <c r="T284" s="251">
        <f>IF($C284="","",IFERROR(INDEX(RateValues,MATCH(SUMPRODUCT(MAX((RateDates&lt;=$A284)*RateDates)),RateDates,0)),0))</f>
        <v/>
      </c>
      <c r="U284" s="252">
        <f>IF($C284="","",$F284*$T284)</f>
        <v/>
      </c>
      <c r="V284" s="253">
        <f>$A284-WEEKDAY($A284,2)+1</f>
        <v/>
      </c>
      <c r="W284" s="132">
        <f t="array" ref="W284">IF(AND($C284="",S284=""),"",IF(AND(N($C284)&gt;0,N(S284)=0),"nobody marked present",IF(N($D284)&gt;N($C284),"more broken than moulded",IF(AND($C284="",N(S284)&gt;0),"attendance marked but no blocks entered",IF(AND(N($C284)&gt;0,N(T284)=0),"no pay rate for this date - see Settings",IF(SUMPRODUCT((G284:R284&lt;&gt;"")*(G$5:R$5=""))&gt;0,"attendance in an empty worker slot",""))))))</f>
        <v/>
      </c>
      <c r="X284" s="133" t="n"/>
      <c r="Y284" s="125" t="n"/>
      <c r="Z284" s="126" t="n"/>
      <c r="AA284" s="126" t="n"/>
      <c r="AB284" s="126" t="n"/>
      <c r="AC284" s="126" t="n"/>
      <c r="AD284" s="126" t="n"/>
      <c r="AE284" s="126" t="n"/>
      <c r="AF284" s="126" t="n"/>
      <c r="AG284" s="126" t="n"/>
      <c r="AH284" s="126" t="n"/>
      <c r="AI284" s="126" t="n"/>
      <c r="AJ284" s="126" t="n"/>
      <c r="AK284" s="126" t="n"/>
      <c r="AL284" s="126" t="n"/>
      <c r="AM284" s="126" t="n"/>
    </row>
    <row r="285" ht="21" customFormat="1" customHeight="1" s="127">
      <c r="A285" s="250" t="n">
        <v>46543</v>
      </c>
      <c r="B285" s="63">
        <f>CHOOSE(WEEKDAY($A285,2),"Mon","Tue","Wed","Thu","Fri","Sat","Sun")</f>
        <v/>
      </c>
      <c r="C285" s="64" t="n"/>
      <c r="D285" s="64" t="n"/>
      <c r="E285" s="65">
        <f>IF($C285="","",$C285-N($D285))</f>
        <v/>
      </c>
      <c r="F285" s="65">
        <f>IF($C285="","",$C285-MAX(0,N($D285)-BreakAllow*$C285))</f>
        <v/>
      </c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1">
        <f>IF(COUNT(G285:R285)=0,"",SUM(G285:R285))</f>
        <v/>
      </c>
      <c r="T285" s="251">
        <f>IF($C285="","",IFERROR(INDEX(RateValues,MATCH(SUMPRODUCT(MAX((RateDates&lt;=$A285)*RateDates)),RateDates,0)),0))</f>
        <v/>
      </c>
      <c r="U285" s="252">
        <f>IF($C285="","",$F285*$T285)</f>
        <v/>
      </c>
      <c r="V285" s="253">
        <f>$A285-WEEKDAY($A285,2)+1</f>
        <v/>
      </c>
      <c r="W285" s="132">
        <f t="array" ref="W285">IF(AND($C285="",S285=""),"",IF(AND(N($C285)&gt;0,N(S285)=0),"nobody marked present",IF(N($D285)&gt;N($C285),"more broken than moulded",IF(AND($C285="",N(S285)&gt;0),"attendance marked but no blocks entered",IF(AND(N($C285)&gt;0,N(T285)=0),"no pay rate for this date - see Settings",IF(SUMPRODUCT((G285:R285&lt;&gt;"")*(G$5:R$5=""))&gt;0,"attendance in an empty worker slot",""))))))</f>
        <v/>
      </c>
      <c r="X285" s="133" t="n"/>
      <c r="Y285" s="125" t="n"/>
      <c r="Z285" s="126" t="n"/>
      <c r="AA285" s="126" t="n"/>
      <c r="AB285" s="126" t="n"/>
      <c r="AC285" s="126" t="n"/>
      <c r="AD285" s="126" t="n"/>
      <c r="AE285" s="126" t="n"/>
      <c r="AF285" s="126" t="n"/>
      <c r="AG285" s="126" t="n"/>
      <c r="AH285" s="126" t="n"/>
      <c r="AI285" s="126" t="n"/>
      <c r="AJ285" s="126" t="n"/>
      <c r="AK285" s="126" t="n"/>
      <c r="AL285" s="126" t="n"/>
      <c r="AM285" s="126" t="n"/>
    </row>
    <row r="286" ht="21" customFormat="1" customHeight="1" s="127">
      <c r="A286" s="254" t="n">
        <v>46544</v>
      </c>
      <c r="B286" s="70">
        <f>CHOOSE(WEEKDAY($A286,2),"Mon","Tue","Wed","Thu","Fri","Sat","Sun")</f>
        <v/>
      </c>
      <c r="C286" s="64" t="n"/>
      <c r="D286" s="64" t="n"/>
      <c r="E286" s="65">
        <f>IF($C286="","",$C286-N($D286))</f>
        <v/>
      </c>
      <c r="F286" s="65">
        <f>IF($C286="","",$C286-MAX(0,N($D286)-BreakAllow*$C286))</f>
        <v/>
      </c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1">
        <f>IF(COUNT(G286:R286)=0,"",SUM(G286:R286))</f>
        <v/>
      </c>
      <c r="T286" s="251">
        <f>IF($C286="","",IFERROR(INDEX(RateValues,MATCH(SUMPRODUCT(MAX((RateDates&lt;=$A286)*RateDates)),RateDates,0)),0))</f>
        <v/>
      </c>
      <c r="U286" s="252">
        <f>IF($C286="","",$F286*$T286)</f>
        <v/>
      </c>
      <c r="V286" s="253">
        <f>$A286-WEEKDAY($A286,2)+1</f>
        <v/>
      </c>
      <c r="W286" s="132">
        <f t="array" ref="W286">IF(AND($C286="",S286=""),"",IF(AND(N($C286)&gt;0,N(S286)=0),"nobody marked present",IF(N($D286)&gt;N($C286),"more broken than moulded",IF(AND($C286="",N(S286)&gt;0),"attendance marked but no blocks entered",IF(AND(N($C286)&gt;0,N(T286)=0),"no pay rate for this date - see Settings",IF(SUMPRODUCT((G286:R286&lt;&gt;"")*(G$5:R$5=""))&gt;0,"attendance in an empty worker slot",""))))))</f>
        <v/>
      </c>
      <c r="X286" s="133" t="n"/>
      <c r="Y286" s="125" t="n"/>
      <c r="Z286" s="126" t="n"/>
      <c r="AA286" s="126" t="n"/>
      <c r="AB286" s="126" t="n"/>
      <c r="AC286" s="126" t="n"/>
      <c r="AD286" s="126" t="n"/>
      <c r="AE286" s="126" t="n"/>
      <c r="AF286" s="126" t="n"/>
      <c r="AG286" s="126" t="n"/>
      <c r="AH286" s="126" t="n"/>
      <c r="AI286" s="126" t="n"/>
      <c r="AJ286" s="126" t="n"/>
      <c r="AK286" s="126" t="n"/>
      <c r="AL286" s="126" t="n"/>
      <c r="AM286" s="126" t="n"/>
    </row>
    <row r="287" ht="21" customFormat="1" customHeight="1" s="127">
      <c r="A287" s="250" t="n">
        <v>46545</v>
      </c>
      <c r="B287" s="63">
        <f>CHOOSE(WEEKDAY($A287,2),"Mon","Tue","Wed","Thu","Fri","Sat","Sun")</f>
        <v/>
      </c>
      <c r="C287" s="64" t="n"/>
      <c r="D287" s="64" t="n"/>
      <c r="E287" s="65">
        <f>IF($C287="","",$C287-N($D287))</f>
        <v/>
      </c>
      <c r="F287" s="65">
        <f>IF($C287="","",$C287-MAX(0,N($D287)-BreakAllow*$C287))</f>
        <v/>
      </c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1">
        <f>IF(COUNT(G287:R287)=0,"",SUM(G287:R287))</f>
        <v/>
      </c>
      <c r="T287" s="251">
        <f>IF($C287="","",IFERROR(INDEX(RateValues,MATCH(SUMPRODUCT(MAX((RateDates&lt;=$A287)*RateDates)),RateDates,0)),0))</f>
        <v/>
      </c>
      <c r="U287" s="252">
        <f>IF($C287="","",$F287*$T287)</f>
        <v/>
      </c>
      <c r="V287" s="253">
        <f>$A287-WEEKDAY($A287,2)+1</f>
        <v/>
      </c>
      <c r="W287" s="132">
        <f t="array" ref="W287">IF(AND($C287="",S287=""),"",IF(AND(N($C287)&gt;0,N(S287)=0),"nobody marked present",IF(N($D287)&gt;N($C287),"more broken than moulded",IF(AND($C287="",N(S287)&gt;0),"attendance marked but no blocks entered",IF(AND(N($C287)&gt;0,N(T287)=0),"no pay rate for this date - see Settings",IF(SUMPRODUCT((G287:R287&lt;&gt;"")*(G$5:R$5=""))&gt;0,"attendance in an empty worker slot",""))))))</f>
        <v/>
      </c>
      <c r="X287" s="133" t="n"/>
      <c r="Y287" s="125" t="n"/>
      <c r="Z287" s="126" t="n"/>
      <c r="AA287" s="126" t="n"/>
      <c r="AB287" s="126" t="n"/>
      <c r="AC287" s="126" t="n"/>
      <c r="AD287" s="126" t="n"/>
      <c r="AE287" s="126" t="n"/>
      <c r="AF287" s="126" t="n"/>
      <c r="AG287" s="126" t="n"/>
      <c r="AH287" s="126" t="n"/>
      <c r="AI287" s="126" t="n"/>
      <c r="AJ287" s="126" t="n"/>
      <c r="AK287" s="126" t="n"/>
      <c r="AL287" s="126" t="n"/>
      <c r="AM287" s="126" t="n"/>
    </row>
    <row r="288" ht="21" customFormat="1" customHeight="1" s="127">
      <c r="A288" s="250" t="n">
        <v>46546</v>
      </c>
      <c r="B288" s="63">
        <f>CHOOSE(WEEKDAY($A288,2),"Mon","Tue","Wed","Thu","Fri","Sat","Sun")</f>
        <v/>
      </c>
      <c r="C288" s="64" t="n"/>
      <c r="D288" s="64" t="n"/>
      <c r="E288" s="65">
        <f>IF($C288="","",$C288-N($D288))</f>
        <v/>
      </c>
      <c r="F288" s="65">
        <f>IF($C288="","",$C288-MAX(0,N($D288)-BreakAllow*$C288))</f>
        <v/>
      </c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1">
        <f>IF(COUNT(G288:R288)=0,"",SUM(G288:R288))</f>
        <v/>
      </c>
      <c r="T288" s="251">
        <f>IF($C288="","",IFERROR(INDEX(RateValues,MATCH(SUMPRODUCT(MAX((RateDates&lt;=$A288)*RateDates)),RateDates,0)),0))</f>
        <v/>
      </c>
      <c r="U288" s="252">
        <f>IF($C288="","",$F288*$T288)</f>
        <v/>
      </c>
      <c r="V288" s="253">
        <f>$A288-WEEKDAY($A288,2)+1</f>
        <v/>
      </c>
      <c r="W288" s="132">
        <f t="array" ref="W288">IF(AND($C288="",S288=""),"",IF(AND(N($C288)&gt;0,N(S288)=0),"nobody marked present",IF(N($D288)&gt;N($C288),"more broken than moulded",IF(AND($C288="",N(S288)&gt;0),"attendance marked but no blocks entered",IF(AND(N($C288)&gt;0,N(T288)=0),"no pay rate for this date - see Settings",IF(SUMPRODUCT((G288:R288&lt;&gt;"")*(G$5:R$5=""))&gt;0,"attendance in an empty worker slot",""))))))</f>
        <v/>
      </c>
      <c r="X288" s="133" t="n"/>
      <c r="Y288" s="125" t="n"/>
      <c r="Z288" s="126" t="n"/>
      <c r="AA288" s="126" t="n"/>
      <c r="AB288" s="126" t="n"/>
      <c r="AC288" s="126" t="n"/>
      <c r="AD288" s="126" t="n"/>
      <c r="AE288" s="126" t="n"/>
      <c r="AF288" s="126" t="n"/>
      <c r="AG288" s="126" t="n"/>
      <c r="AH288" s="126" t="n"/>
      <c r="AI288" s="126" t="n"/>
      <c r="AJ288" s="126" t="n"/>
      <c r="AK288" s="126" t="n"/>
      <c r="AL288" s="126" t="n"/>
      <c r="AM288" s="126" t="n"/>
    </row>
    <row r="289" ht="21" customFormat="1" customHeight="1" s="127">
      <c r="A289" s="250" t="n">
        <v>46547</v>
      </c>
      <c r="B289" s="63">
        <f>CHOOSE(WEEKDAY($A289,2),"Mon","Tue","Wed","Thu","Fri","Sat","Sun")</f>
        <v/>
      </c>
      <c r="C289" s="64" t="n"/>
      <c r="D289" s="64" t="n"/>
      <c r="E289" s="65">
        <f>IF($C289="","",$C289-N($D289))</f>
        <v/>
      </c>
      <c r="F289" s="65">
        <f>IF($C289="","",$C289-MAX(0,N($D289)-BreakAllow*$C289))</f>
        <v/>
      </c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1">
        <f>IF(COUNT(G289:R289)=0,"",SUM(G289:R289))</f>
        <v/>
      </c>
      <c r="T289" s="251">
        <f>IF($C289="","",IFERROR(INDEX(RateValues,MATCH(SUMPRODUCT(MAX((RateDates&lt;=$A289)*RateDates)),RateDates,0)),0))</f>
        <v/>
      </c>
      <c r="U289" s="252">
        <f>IF($C289="","",$F289*$T289)</f>
        <v/>
      </c>
      <c r="V289" s="253">
        <f>$A289-WEEKDAY($A289,2)+1</f>
        <v/>
      </c>
      <c r="W289" s="132">
        <f t="array" ref="W289">IF(AND($C289="",S289=""),"",IF(AND(N($C289)&gt;0,N(S289)=0),"nobody marked present",IF(N($D289)&gt;N($C289),"more broken than moulded",IF(AND($C289="",N(S289)&gt;0),"attendance marked but no blocks entered",IF(AND(N($C289)&gt;0,N(T289)=0),"no pay rate for this date - see Settings",IF(SUMPRODUCT((G289:R289&lt;&gt;"")*(G$5:R$5=""))&gt;0,"attendance in an empty worker slot",""))))))</f>
        <v/>
      </c>
      <c r="X289" s="133" t="n"/>
      <c r="Y289" s="125" t="n"/>
      <c r="Z289" s="126" t="n"/>
      <c r="AA289" s="126" t="n"/>
      <c r="AB289" s="126" t="n"/>
      <c r="AC289" s="126" t="n"/>
      <c r="AD289" s="126" t="n"/>
      <c r="AE289" s="126" t="n"/>
      <c r="AF289" s="126" t="n"/>
      <c r="AG289" s="126" t="n"/>
      <c r="AH289" s="126" t="n"/>
      <c r="AI289" s="126" t="n"/>
      <c r="AJ289" s="126" t="n"/>
      <c r="AK289" s="126" t="n"/>
      <c r="AL289" s="126" t="n"/>
      <c r="AM289" s="126" t="n"/>
    </row>
    <row r="290" ht="21" customFormat="1" customHeight="1" s="127">
      <c r="A290" s="250" t="n">
        <v>46548</v>
      </c>
      <c r="B290" s="63">
        <f>CHOOSE(WEEKDAY($A290,2),"Mon","Tue","Wed","Thu","Fri","Sat","Sun")</f>
        <v/>
      </c>
      <c r="C290" s="64" t="n"/>
      <c r="D290" s="64" t="n"/>
      <c r="E290" s="65">
        <f>IF($C290="","",$C290-N($D290))</f>
        <v/>
      </c>
      <c r="F290" s="65">
        <f>IF($C290="","",$C290-MAX(0,N($D290)-BreakAllow*$C290))</f>
        <v/>
      </c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1">
        <f>IF(COUNT(G290:R290)=0,"",SUM(G290:R290))</f>
        <v/>
      </c>
      <c r="T290" s="251">
        <f>IF($C290="","",IFERROR(INDEX(RateValues,MATCH(SUMPRODUCT(MAX((RateDates&lt;=$A290)*RateDates)),RateDates,0)),0))</f>
        <v/>
      </c>
      <c r="U290" s="252">
        <f>IF($C290="","",$F290*$T290)</f>
        <v/>
      </c>
      <c r="V290" s="253">
        <f>$A290-WEEKDAY($A290,2)+1</f>
        <v/>
      </c>
      <c r="W290" s="132">
        <f t="array" ref="W290">IF(AND($C290="",S290=""),"",IF(AND(N($C290)&gt;0,N(S290)=0),"nobody marked present",IF(N($D290)&gt;N($C290),"more broken than moulded",IF(AND($C290="",N(S290)&gt;0),"attendance marked but no blocks entered",IF(AND(N($C290)&gt;0,N(T290)=0),"no pay rate for this date - see Settings",IF(SUMPRODUCT((G290:R290&lt;&gt;"")*(G$5:R$5=""))&gt;0,"attendance in an empty worker slot",""))))))</f>
        <v/>
      </c>
      <c r="X290" s="133" t="n"/>
      <c r="Y290" s="125" t="n"/>
      <c r="Z290" s="126" t="n"/>
      <c r="AA290" s="126" t="n"/>
      <c r="AB290" s="126" t="n"/>
      <c r="AC290" s="126" t="n"/>
      <c r="AD290" s="126" t="n"/>
      <c r="AE290" s="126" t="n"/>
      <c r="AF290" s="126" t="n"/>
      <c r="AG290" s="126" t="n"/>
      <c r="AH290" s="126" t="n"/>
      <c r="AI290" s="126" t="n"/>
      <c r="AJ290" s="126" t="n"/>
      <c r="AK290" s="126" t="n"/>
      <c r="AL290" s="126" t="n"/>
      <c r="AM290" s="126" t="n"/>
    </row>
    <row r="291" ht="21" customFormat="1" customHeight="1" s="127">
      <c r="A291" s="250" t="n">
        <v>46549</v>
      </c>
      <c r="B291" s="63">
        <f>CHOOSE(WEEKDAY($A291,2),"Mon","Tue","Wed","Thu","Fri","Sat","Sun")</f>
        <v/>
      </c>
      <c r="C291" s="64" t="n"/>
      <c r="D291" s="64" t="n"/>
      <c r="E291" s="65">
        <f>IF($C291="","",$C291-N($D291))</f>
        <v/>
      </c>
      <c r="F291" s="65">
        <f>IF($C291="","",$C291-MAX(0,N($D291)-BreakAllow*$C291))</f>
        <v/>
      </c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1">
        <f>IF(COUNT(G291:R291)=0,"",SUM(G291:R291))</f>
        <v/>
      </c>
      <c r="T291" s="251">
        <f>IF($C291="","",IFERROR(INDEX(RateValues,MATCH(SUMPRODUCT(MAX((RateDates&lt;=$A291)*RateDates)),RateDates,0)),0))</f>
        <v/>
      </c>
      <c r="U291" s="252">
        <f>IF($C291="","",$F291*$T291)</f>
        <v/>
      </c>
      <c r="V291" s="253">
        <f>$A291-WEEKDAY($A291,2)+1</f>
        <v/>
      </c>
      <c r="W291" s="132">
        <f t="array" ref="W291">IF(AND($C291="",S291=""),"",IF(AND(N($C291)&gt;0,N(S291)=0),"nobody marked present",IF(N($D291)&gt;N($C291),"more broken than moulded",IF(AND($C291="",N(S291)&gt;0),"attendance marked but no blocks entered",IF(AND(N($C291)&gt;0,N(T291)=0),"no pay rate for this date - see Settings",IF(SUMPRODUCT((G291:R291&lt;&gt;"")*(G$5:R$5=""))&gt;0,"attendance in an empty worker slot",""))))))</f>
        <v/>
      </c>
      <c r="X291" s="133" t="n"/>
      <c r="Y291" s="125" t="n"/>
      <c r="Z291" s="126" t="n"/>
      <c r="AA291" s="126" t="n"/>
      <c r="AB291" s="126" t="n"/>
      <c r="AC291" s="126" t="n"/>
      <c r="AD291" s="126" t="n"/>
      <c r="AE291" s="126" t="n"/>
      <c r="AF291" s="126" t="n"/>
      <c r="AG291" s="126" t="n"/>
      <c r="AH291" s="126" t="n"/>
      <c r="AI291" s="126" t="n"/>
      <c r="AJ291" s="126" t="n"/>
      <c r="AK291" s="126" t="n"/>
      <c r="AL291" s="126" t="n"/>
      <c r="AM291" s="126" t="n"/>
    </row>
    <row r="292" ht="21" customFormat="1" customHeight="1" s="127">
      <c r="A292" s="250" t="n">
        <v>46550</v>
      </c>
      <c r="B292" s="63">
        <f>CHOOSE(WEEKDAY($A292,2),"Mon","Tue","Wed","Thu","Fri","Sat","Sun")</f>
        <v/>
      </c>
      <c r="C292" s="64" t="n"/>
      <c r="D292" s="64" t="n"/>
      <c r="E292" s="65">
        <f>IF($C292="","",$C292-N($D292))</f>
        <v/>
      </c>
      <c r="F292" s="65">
        <f>IF($C292="","",$C292-MAX(0,N($D292)-BreakAllow*$C292))</f>
        <v/>
      </c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1">
        <f>IF(COUNT(G292:R292)=0,"",SUM(G292:R292))</f>
        <v/>
      </c>
      <c r="T292" s="251">
        <f>IF($C292="","",IFERROR(INDEX(RateValues,MATCH(SUMPRODUCT(MAX((RateDates&lt;=$A292)*RateDates)),RateDates,0)),0))</f>
        <v/>
      </c>
      <c r="U292" s="252">
        <f>IF($C292="","",$F292*$T292)</f>
        <v/>
      </c>
      <c r="V292" s="253">
        <f>$A292-WEEKDAY($A292,2)+1</f>
        <v/>
      </c>
      <c r="W292" s="132">
        <f t="array" ref="W292">IF(AND($C292="",S292=""),"",IF(AND(N($C292)&gt;0,N(S292)=0),"nobody marked present",IF(N($D292)&gt;N($C292),"more broken than moulded",IF(AND($C292="",N(S292)&gt;0),"attendance marked but no blocks entered",IF(AND(N($C292)&gt;0,N(T292)=0),"no pay rate for this date - see Settings",IF(SUMPRODUCT((G292:R292&lt;&gt;"")*(G$5:R$5=""))&gt;0,"attendance in an empty worker slot",""))))))</f>
        <v/>
      </c>
      <c r="X292" s="133" t="n"/>
      <c r="Y292" s="125" t="n"/>
      <c r="Z292" s="126" t="n"/>
      <c r="AA292" s="126" t="n"/>
      <c r="AB292" s="126" t="n"/>
      <c r="AC292" s="126" t="n"/>
      <c r="AD292" s="126" t="n"/>
      <c r="AE292" s="126" t="n"/>
      <c r="AF292" s="126" t="n"/>
      <c r="AG292" s="126" t="n"/>
      <c r="AH292" s="126" t="n"/>
      <c r="AI292" s="126" t="n"/>
      <c r="AJ292" s="126" t="n"/>
      <c r="AK292" s="126" t="n"/>
      <c r="AL292" s="126" t="n"/>
      <c r="AM292" s="126" t="n"/>
    </row>
    <row r="293" ht="21" customFormat="1" customHeight="1" s="127">
      <c r="A293" s="254" t="n">
        <v>46551</v>
      </c>
      <c r="B293" s="70">
        <f>CHOOSE(WEEKDAY($A293,2),"Mon","Tue","Wed","Thu","Fri","Sat","Sun")</f>
        <v/>
      </c>
      <c r="C293" s="64" t="n"/>
      <c r="D293" s="64" t="n"/>
      <c r="E293" s="65">
        <f>IF($C293="","",$C293-N($D293))</f>
        <v/>
      </c>
      <c r="F293" s="65">
        <f>IF($C293="","",$C293-MAX(0,N($D293)-BreakAllow*$C293))</f>
        <v/>
      </c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1">
        <f>IF(COUNT(G293:R293)=0,"",SUM(G293:R293))</f>
        <v/>
      </c>
      <c r="T293" s="251">
        <f>IF($C293="","",IFERROR(INDEX(RateValues,MATCH(SUMPRODUCT(MAX((RateDates&lt;=$A293)*RateDates)),RateDates,0)),0))</f>
        <v/>
      </c>
      <c r="U293" s="252">
        <f>IF($C293="","",$F293*$T293)</f>
        <v/>
      </c>
      <c r="V293" s="253">
        <f>$A293-WEEKDAY($A293,2)+1</f>
        <v/>
      </c>
      <c r="W293" s="132">
        <f t="array" ref="W293">IF(AND($C293="",S293=""),"",IF(AND(N($C293)&gt;0,N(S293)=0),"nobody marked present",IF(N($D293)&gt;N($C293),"more broken than moulded",IF(AND($C293="",N(S293)&gt;0),"attendance marked but no blocks entered",IF(AND(N($C293)&gt;0,N(T293)=0),"no pay rate for this date - see Settings",IF(SUMPRODUCT((G293:R293&lt;&gt;"")*(G$5:R$5=""))&gt;0,"attendance in an empty worker slot",""))))))</f>
        <v/>
      </c>
      <c r="X293" s="133" t="n"/>
      <c r="Y293" s="125" t="n"/>
      <c r="Z293" s="126" t="n"/>
      <c r="AA293" s="126" t="n"/>
      <c r="AB293" s="126" t="n"/>
      <c r="AC293" s="126" t="n"/>
      <c r="AD293" s="126" t="n"/>
      <c r="AE293" s="126" t="n"/>
      <c r="AF293" s="126" t="n"/>
      <c r="AG293" s="126" t="n"/>
      <c r="AH293" s="126" t="n"/>
      <c r="AI293" s="126" t="n"/>
      <c r="AJ293" s="126" t="n"/>
      <c r="AK293" s="126" t="n"/>
      <c r="AL293" s="126" t="n"/>
      <c r="AM293" s="126" t="n"/>
    </row>
    <row r="294" ht="21" customFormat="1" customHeight="1" s="127">
      <c r="A294" s="250" t="n">
        <v>46552</v>
      </c>
      <c r="B294" s="63">
        <f>CHOOSE(WEEKDAY($A294,2),"Mon","Tue","Wed","Thu","Fri","Sat","Sun")</f>
        <v/>
      </c>
      <c r="C294" s="64" t="n"/>
      <c r="D294" s="64" t="n"/>
      <c r="E294" s="65">
        <f>IF($C294="","",$C294-N($D294))</f>
        <v/>
      </c>
      <c r="F294" s="65">
        <f>IF($C294="","",$C294-MAX(0,N($D294)-BreakAllow*$C294))</f>
        <v/>
      </c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1">
        <f>IF(COUNT(G294:R294)=0,"",SUM(G294:R294))</f>
        <v/>
      </c>
      <c r="T294" s="251">
        <f>IF($C294="","",IFERROR(INDEX(RateValues,MATCH(SUMPRODUCT(MAX((RateDates&lt;=$A294)*RateDates)),RateDates,0)),0))</f>
        <v/>
      </c>
      <c r="U294" s="252">
        <f>IF($C294="","",$F294*$T294)</f>
        <v/>
      </c>
      <c r="V294" s="253">
        <f>$A294-WEEKDAY($A294,2)+1</f>
        <v/>
      </c>
      <c r="W294" s="132">
        <f t="array" ref="W294">IF(AND($C294="",S294=""),"",IF(AND(N($C294)&gt;0,N(S294)=0),"nobody marked present",IF(N($D294)&gt;N($C294),"more broken than moulded",IF(AND($C294="",N(S294)&gt;0),"attendance marked but no blocks entered",IF(AND(N($C294)&gt;0,N(T294)=0),"no pay rate for this date - see Settings",IF(SUMPRODUCT((G294:R294&lt;&gt;"")*(G$5:R$5=""))&gt;0,"attendance in an empty worker slot",""))))))</f>
        <v/>
      </c>
      <c r="X294" s="133" t="n"/>
      <c r="Y294" s="125" t="n"/>
      <c r="Z294" s="126" t="n"/>
      <c r="AA294" s="126" t="n"/>
      <c r="AB294" s="126" t="n"/>
      <c r="AC294" s="126" t="n"/>
      <c r="AD294" s="126" t="n"/>
      <c r="AE294" s="126" t="n"/>
      <c r="AF294" s="126" t="n"/>
      <c r="AG294" s="126" t="n"/>
      <c r="AH294" s="126" t="n"/>
      <c r="AI294" s="126" t="n"/>
      <c r="AJ294" s="126" t="n"/>
      <c r="AK294" s="126" t="n"/>
      <c r="AL294" s="126" t="n"/>
      <c r="AM294" s="126" t="n"/>
    </row>
    <row r="295" ht="21" customFormat="1" customHeight="1" s="127">
      <c r="A295" s="250" t="n">
        <v>46553</v>
      </c>
      <c r="B295" s="63">
        <f>CHOOSE(WEEKDAY($A295,2),"Mon","Tue","Wed","Thu","Fri","Sat","Sun")</f>
        <v/>
      </c>
      <c r="C295" s="64" t="n"/>
      <c r="D295" s="64" t="n"/>
      <c r="E295" s="65">
        <f>IF($C295="","",$C295-N($D295))</f>
        <v/>
      </c>
      <c r="F295" s="65">
        <f>IF($C295="","",$C295-MAX(0,N($D295)-BreakAllow*$C295))</f>
        <v/>
      </c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1">
        <f>IF(COUNT(G295:R295)=0,"",SUM(G295:R295))</f>
        <v/>
      </c>
      <c r="T295" s="251">
        <f>IF($C295="","",IFERROR(INDEX(RateValues,MATCH(SUMPRODUCT(MAX((RateDates&lt;=$A295)*RateDates)),RateDates,0)),0))</f>
        <v/>
      </c>
      <c r="U295" s="252">
        <f>IF($C295="","",$F295*$T295)</f>
        <v/>
      </c>
      <c r="V295" s="253">
        <f>$A295-WEEKDAY($A295,2)+1</f>
        <v/>
      </c>
      <c r="W295" s="132">
        <f t="array" ref="W295">IF(AND($C295="",S295=""),"",IF(AND(N($C295)&gt;0,N(S295)=0),"nobody marked present",IF(N($D295)&gt;N($C295),"more broken than moulded",IF(AND($C295="",N(S295)&gt;0),"attendance marked but no blocks entered",IF(AND(N($C295)&gt;0,N(T295)=0),"no pay rate for this date - see Settings",IF(SUMPRODUCT((G295:R295&lt;&gt;"")*(G$5:R$5=""))&gt;0,"attendance in an empty worker slot",""))))))</f>
        <v/>
      </c>
      <c r="X295" s="133" t="n"/>
      <c r="Y295" s="125" t="n"/>
      <c r="Z295" s="126" t="n"/>
      <c r="AA295" s="126" t="n"/>
      <c r="AB295" s="126" t="n"/>
      <c r="AC295" s="126" t="n"/>
      <c r="AD295" s="126" t="n"/>
      <c r="AE295" s="126" t="n"/>
      <c r="AF295" s="126" t="n"/>
      <c r="AG295" s="126" t="n"/>
      <c r="AH295" s="126" t="n"/>
      <c r="AI295" s="126" t="n"/>
      <c r="AJ295" s="126" t="n"/>
      <c r="AK295" s="126" t="n"/>
      <c r="AL295" s="126" t="n"/>
      <c r="AM295" s="126" t="n"/>
    </row>
    <row r="296" ht="21" customFormat="1" customHeight="1" s="127">
      <c r="A296" s="250" t="n">
        <v>46554</v>
      </c>
      <c r="B296" s="63">
        <f>CHOOSE(WEEKDAY($A296,2),"Mon","Tue","Wed","Thu","Fri","Sat","Sun")</f>
        <v/>
      </c>
      <c r="C296" s="64" t="n"/>
      <c r="D296" s="64" t="n"/>
      <c r="E296" s="65">
        <f>IF($C296="","",$C296-N($D296))</f>
        <v/>
      </c>
      <c r="F296" s="65">
        <f>IF($C296="","",$C296-MAX(0,N($D296)-BreakAllow*$C296))</f>
        <v/>
      </c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1">
        <f>IF(COUNT(G296:R296)=0,"",SUM(G296:R296))</f>
        <v/>
      </c>
      <c r="T296" s="251">
        <f>IF($C296="","",IFERROR(INDEX(RateValues,MATCH(SUMPRODUCT(MAX((RateDates&lt;=$A296)*RateDates)),RateDates,0)),0))</f>
        <v/>
      </c>
      <c r="U296" s="252">
        <f>IF($C296="","",$F296*$T296)</f>
        <v/>
      </c>
      <c r="V296" s="253">
        <f>$A296-WEEKDAY($A296,2)+1</f>
        <v/>
      </c>
      <c r="W296" s="132">
        <f t="array" ref="W296">IF(AND($C296="",S296=""),"",IF(AND(N($C296)&gt;0,N(S296)=0),"nobody marked present",IF(N($D296)&gt;N($C296),"more broken than moulded",IF(AND($C296="",N(S296)&gt;0),"attendance marked but no blocks entered",IF(AND(N($C296)&gt;0,N(T296)=0),"no pay rate for this date - see Settings",IF(SUMPRODUCT((G296:R296&lt;&gt;"")*(G$5:R$5=""))&gt;0,"attendance in an empty worker slot",""))))))</f>
        <v/>
      </c>
      <c r="X296" s="133" t="n"/>
      <c r="Y296" s="125" t="n"/>
      <c r="Z296" s="126" t="n"/>
      <c r="AA296" s="126" t="n"/>
      <c r="AB296" s="126" t="n"/>
      <c r="AC296" s="126" t="n"/>
      <c r="AD296" s="126" t="n"/>
      <c r="AE296" s="126" t="n"/>
      <c r="AF296" s="126" t="n"/>
      <c r="AG296" s="126" t="n"/>
      <c r="AH296" s="126" t="n"/>
      <c r="AI296" s="126" t="n"/>
      <c r="AJ296" s="126" t="n"/>
      <c r="AK296" s="126" t="n"/>
      <c r="AL296" s="126" t="n"/>
      <c r="AM296" s="126" t="n"/>
    </row>
    <row r="297" ht="21" customFormat="1" customHeight="1" s="127">
      <c r="A297" s="250" t="n">
        <v>46555</v>
      </c>
      <c r="B297" s="63">
        <f>CHOOSE(WEEKDAY($A297,2),"Mon","Tue","Wed","Thu","Fri","Sat","Sun")</f>
        <v/>
      </c>
      <c r="C297" s="64" t="n"/>
      <c r="D297" s="64" t="n"/>
      <c r="E297" s="65">
        <f>IF($C297="","",$C297-N($D297))</f>
        <v/>
      </c>
      <c r="F297" s="65">
        <f>IF($C297="","",$C297-MAX(0,N($D297)-BreakAllow*$C297))</f>
        <v/>
      </c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1">
        <f>IF(COUNT(G297:R297)=0,"",SUM(G297:R297))</f>
        <v/>
      </c>
      <c r="T297" s="251">
        <f>IF($C297="","",IFERROR(INDEX(RateValues,MATCH(SUMPRODUCT(MAX((RateDates&lt;=$A297)*RateDates)),RateDates,0)),0))</f>
        <v/>
      </c>
      <c r="U297" s="252">
        <f>IF($C297="","",$F297*$T297)</f>
        <v/>
      </c>
      <c r="V297" s="253">
        <f>$A297-WEEKDAY($A297,2)+1</f>
        <v/>
      </c>
      <c r="W297" s="132">
        <f t="array" ref="W297">IF(AND($C297="",S297=""),"",IF(AND(N($C297)&gt;0,N(S297)=0),"nobody marked present",IF(N($D297)&gt;N($C297),"more broken than moulded",IF(AND($C297="",N(S297)&gt;0),"attendance marked but no blocks entered",IF(AND(N($C297)&gt;0,N(T297)=0),"no pay rate for this date - see Settings",IF(SUMPRODUCT((G297:R297&lt;&gt;"")*(G$5:R$5=""))&gt;0,"attendance in an empty worker slot",""))))))</f>
        <v/>
      </c>
      <c r="X297" s="133" t="n"/>
      <c r="Y297" s="125" t="n"/>
      <c r="Z297" s="126" t="n"/>
      <c r="AA297" s="126" t="n"/>
      <c r="AB297" s="126" t="n"/>
      <c r="AC297" s="126" t="n"/>
      <c r="AD297" s="126" t="n"/>
      <c r="AE297" s="126" t="n"/>
      <c r="AF297" s="126" t="n"/>
      <c r="AG297" s="126" t="n"/>
      <c r="AH297" s="126" t="n"/>
      <c r="AI297" s="126" t="n"/>
      <c r="AJ297" s="126" t="n"/>
      <c r="AK297" s="126" t="n"/>
      <c r="AL297" s="126" t="n"/>
      <c r="AM297" s="126" t="n"/>
    </row>
    <row r="298" ht="21" customFormat="1" customHeight="1" s="127">
      <c r="A298" s="250" t="n">
        <v>46556</v>
      </c>
      <c r="B298" s="63">
        <f>CHOOSE(WEEKDAY($A298,2),"Mon","Tue","Wed","Thu","Fri","Sat","Sun")</f>
        <v/>
      </c>
      <c r="C298" s="64" t="n"/>
      <c r="D298" s="64" t="n"/>
      <c r="E298" s="65">
        <f>IF($C298="","",$C298-N($D298))</f>
        <v/>
      </c>
      <c r="F298" s="65">
        <f>IF($C298="","",$C298-MAX(0,N($D298)-BreakAllow*$C298))</f>
        <v/>
      </c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1">
        <f>IF(COUNT(G298:R298)=0,"",SUM(G298:R298))</f>
        <v/>
      </c>
      <c r="T298" s="251">
        <f>IF($C298="","",IFERROR(INDEX(RateValues,MATCH(SUMPRODUCT(MAX((RateDates&lt;=$A298)*RateDates)),RateDates,0)),0))</f>
        <v/>
      </c>
      <c r="U298" s="252">
        <f>IF($C298="","",$F298*$T298)</f>
        <v/>
      </c>
      <c r="V298" s="253">
        <f>$A298-WEEKDAY($A298,2)+1</f>
        <v/>
      </c>
      <c r="W298" s="132">
        <f t="array" ref="W298">IF(AND($C298="",S298=""),"",IF(AND(N($C298)&gt;0,N(S298)=0),"nobody marked present",IF(N($D298)&gt;N($C298),"more broken than moulded",IF(AND($C298="",N(S298)&gt;0),"attendance marked but no blocks entered",IF(AND(N($C298)&gt;0,N(T298)=0),"no pay rate for this date - see Settings",IF(SUMPRODUCT((G298:R298&lt;&gt;"")*(G$5:R$5=""))&gt;0,"attendance in an empty worker slot",""))))))</f>
        <v/>
      </c>
      <c r="X298" s="133" t="n"/>
      <c r="Y298" s="125" t="n"/>
      <c r="Z298" s="126" t="n"/>
      <c r="AA298" s="126" t="n"/>
      <c r="AB298" s="126" t="n"/>
      <c r="AC298" s="126" t="n"/>
      <c r="AD298" s="126" t="n"/>
      <c r="AE298" s="126" t="n"/>
      <c r="AF298" s="126" t="n"/>
      <c r="AG298" s="126" t="n"/>
      <c r="AH298" s="126" t="n"/>
      <c r="AI298" s="126" t="n"/>
      <c r="AJ298" s="126" t="n"/>
      <c r="AK298" s="126" t="n"/>
      <c r="AL298" s="126" t="n"/>
      <c r="AM298" s="126" t="n"/>
    </row>
    <row r="299" ht="21" customFormat="1" customHeight="1" s="127">
      <c r="A299" s="250" t="n">
        <v>46557</v>
      </c>
      <c r="B299" s="63">
        <f>CHOOSE(WEEKDAY($A299,2),"Mon","Tue","Wed","Thu","Fri","Sat","Sun")</f>
        <v/>
      </c>
      <c r="C299" s="64" t="n"/>
      <c r="D299" s="64" t="n"/>
      <c r="E299" s="65">
        <f>IF($C299="","",$C299-N($D299))</f>
        <v/>
      </c>
      <c r="F299" s="65">
        <f>IF($C299="","",$C299-MAX(0,N($D299)-BreakAllow*$C299))</f>
        <v/>
      </c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1">
        <f>IF(COUNT(G299:R299)=0,"",SUM(G299:R299))</f>
        <v/>
      </c>
      <c r="T299" s="251">
        <f>IF($C299="","",IFERROR(INDEX(RateValues,MATCH(SUMPRODUCT(MAX((RateDates&lt;=$A299)*RateDates)),RateDates,0)),0))</f>
        <v/>
      </c>
      <c r="U299" s="252">
        <f>IF($C299="","",$F299*$T299)</f>
        <v/>
      </c>
      <c r="V299" s="253">
        <f>$A299-WEEKDAY($A299,2)+1</f>
        <v/>
      </c>
      <c r="W299" s="132">
        <f t="array" ref="W299">IF(AND($C299="",S299=""),"",IF(AND(N($C299)&gt;0,N(S299)=0),"nobody marked present",IF(N($D299)&gt;N($C299),"more broken than moulded",IF(AND($C299="",N(S299)&gt;0),"attendance marked but no blocks entered",IF(AND(N($C299)&gt;0,N(T299)=0),"no pay rate for this date - see Settings",IF(SUMPRODUCT((G299:R299&lt;&gt;"")*(G$5:R$5=""))&gt;0,"attendance in an empty worker slot",""))))))</f>
        <v/>
      </c>
      <c r="X299" s="133" t="n"/>
      <c r="Y299" s="125" t="n"/>
      <c r="Z299" s="126" t="n"/>
      <c r="AA299" s="126" t="n"/>
      <c r="AB299" s="126" t="n"/>
      <c r="AC299" s="126" t="n"/>
      <c r="AD299" s="126" t="n"/>
      <c r="AE299" s="126" t="n"/>
      <c r="AF299" s="126" t="n"/>
      <c r="AG299" s="126" t="n"/>
      <c r="AH299" s="126" t="n"/>
      <c r="AI299" s="126" t="n"/>
      <c r="AJ299" s="126" t="n"/>
      <c r="AK299" s="126" t="n"/>
      <c r="AL299" s="126" t="n"/>
      <c r="AM299" s="126" t="n"/>
    </row>
    <row r="300" ht="21" customFormat="1" customHeight="1" s="127">
      <c r="A300" s="254" t="n">
        <v>46558</v>
      </c>
      <c r="B300" s="70">
        <f>CHOOSE(WEEKDAY($A300,2),"Mon","Tue","Wed","Thu","Fri","Sat","Sun")</f>
        <v/>
      </c>
      <c r="C300" s="64" t="n"/>
      <c r="D300" s="64" t="n"/>
      <c r="E300" s="65">
        <f>IF($C300="","",$C300-N($D300))</f>
        <v/>
      </c>
      <c r="F300" s="65">
        <f>IF($C300="","",$C300-MAX(0,N($D300)-BreakAllow*$C300))</f>
        <v/>
      </c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1">
        <f>IF(COUNT(G300:R300)=0,"",SUM(G300:R300))</f>
        <v/>
      </c>
      <c r="T300" s="251">
        <f>IF($C300="","",IFERROR(INDEX(RateValues,MATCH(SUMPRODUCT(MAX((RateDates&lt;=$A300)*RateDates)),RateDates,0)),0))</f>
        <v/>
      </c>
      <c r="U300" s="252">
        <f>IF($C300="","",$F300*$T300)</f>
        <v/>
      </c>
      <c r="V300" s="253">
        <f>$A300-WEEKDAY($A300,2)+1</f>
        <v/>
      </c>
      <c r="W300" s="132">
        <f t="array" ref="W300">IF(AND($C300="",S300=""),"",IF(AND(N($C300)&gt;0,N(S300)=0),"nobody marked present",IF(N($D300)&gt;N($C300),"more broken than moulded",IF(AND($C300="",N(S300)&gt;0),"attendance marked but no blocks entered",IF(AND(N($C300)&gt;0,N(T300)=0),"no pay rate for this date - see Settings",IF(SUMPRODUCT((G300:R300&lt;&gt;"")*(G$5:R$5=""))&gt;0,"attendance in an empty worker slot",""))))))</f>
        <v/>
      </c>
      <c r="X300" s="133" t="n"/>
      <c r="Y300" s="125" t="n"/>
      <c r="Z300" s="126" t="n"/>
      <c r="AA300" s="126" t="n"/>
      <c r="AB300" s="126" t="n"/>
      <c r="AC300" s="126" t="n"/>
      <c r="AD300" s="126" t="n"/>
      <c r="AE300" s="126" t="n"/>
      <c r="AF300" s="126" t="n"/>
      <c r="AG300" s="126" t="n"/>
      <c r="AH300" s="126" t="n"/>
      <c r="AI300" s="126" t="n"/>
      <c r="AJ300" s="126" t="n"/>
      <c r="AK300" s="126" t="n"/>
      <c r="AL300" s="126" t="n"/>
      <c r="AM300" s="126" t="n"/>
    </row>
    <row r="301" ht="21" customFormat="1" customHeight="1" s="127">
      <c r="A301" s="250" t="n">
        <v>46559</v>
      </c>
      <c r="B301" s="63">
        <f>CHOOSE(WEEKDAY($A301,2),"Mon","Tue","Wed","Thu","Fri","Sat","Sun")</f>
        <v/>
      </c>
      <c r="C301" s="64" t="n"/>
      <c r="D301" s="64" t="n"/>
      <c r="E301" s="65">
        <f>IF($C301="","",$C301-N($D301))</f>
        <v/>
      </c>
      <c r="F301" s="65">
        <f>IF($C301="","",$C301-MAX(0,N($D301)-BreakAllow*$C301))</f>
        <v/>
      </c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1">
        <f>IF(COUNT(G301:R301)=0,"",SUM(G301:R301))</f>
        <v/>
      </c>
      <c r="T301" s="251">
        <f>IF($C301="","",IFERROR(INDEX(RateValues,MATCH(SUMPRODUCT(MAX((RateDates&lt;=$A301)*RateDates)),RateDates,0)),0))</f>
        <v/>
      </c>
      <c r="U301" s="252">
        <f>IF($C301="","",$F301*$T301)</f>
        <v/>
      </c>
      <c r="V301" s="253">
        <f>$A301-WEEKDAY($A301,2)+1</f>
        <v/>
      </c>
      <c r="W301" s="132">
        <f t="array" ref="W301">IF(AND($C301="",S301=""),"",IF(AND(N($C301)&gt;0,N(S301)=0),"nobody marked present",IF(N($D301)&gt;N($C301),"more broken than moulded",IF(AND($C301="",N(S301)&gt;0),"attendance marked but no blocks entered",IF(AND(N($C301)&gt;0,N(T301)=0),"no pay rate for this date - see Settings",IF(SUMPRODUCT((G301:R301&lt;&gt;"")*(G$5:R$5=""))&gt;0,"attendance in an empty worker slot",""))))))</f>
        <v/>
      </c>
      <c r="X301" s="133" t="n"/>
      <c r="Y301" s="125" t="n"/>
      <c r="Z301" s="126" t="n"/>
      <c r="AA301" s="126" t="n"/>
      <c r="AB301" s="126" t="n"/>
      <c r="AC301" s="126" t="n"/>
      <c r="AD301" s="126" t="n"/>
      <c r="AE301" s="126" t="n"/>
      <c r="AF301" s="126" t="n"/>
      <c r="AG301" s="126" t="n"/>
      <c r="AH301" s="126" t="n"/>
      <c r="AI301" s="126" t="n"/>
      <c r="AJ301" s="126" t="n"/>
      <c r="AK301" s="126" t="n"/>
      <c r="AL301" s="126" t="n"/>
      <c r="AM301" s="126" t="n"/>
    </row>
    <row r="302" ht="21" customFormat="1" customHeight="1" s="127">
      <c r="A302" s="250" t="n">
        <v>46560</v>
      </c>
      <c r="B302" s="63">
        <f>CHOOSE(WEEKDAY($A302,2),"Mon","Tue","Wed","Thu","Fri","Sat","Sun")</f>
        <v/>
      </c>
      <c r="C302" s="64" t="n"/>
      <c r="D302" s="64" t="n"/>
      <c r="E302" s="65">
        <f>IF($C302="","",$C302-N($D302))</f>
        <v/>
      </c>
      <c r="F302" s="65">
        <f>IF($C302="","",$C302-MAX(0,N($D302)-BreakAllow*$C302))</f>
        <v/>
      </c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1">
        <f>IF(COUNT(G302:R302)=0,"",SUM(G302:R302))</f>
        <v/>
      </c>
      <c r="T302" s="251">
        <f>IF($C302="","",IFERROR(INDEX(RateValues,MATCH(SUMPRODUCT(MAX((RateDates&lt;=$A302)*RateDates)),RateDates,0)),0))</f>
        <v/>
      </c>
      <c r="U302" s="252">
        <f>IF($C302="","",$F302*$T302)</f>
        <v/>
      </c>
      <c r="V302" s="253">
        <f>$A302-WEEKDAY($A302,2)+1</f>
        <v/>
      </c>
      <c r="W302" s="132">
        <f t="array" ref="W302">IF(AND($C302="",S302=""),"",IF(AND(N($C302)&gt;0,N(S302)=0),"nobody marked present",IF(N($D302)&gt;N($C302),"more broken than moulded",IF(AND($C302="",N(S302)&gt;0),"attendance marked but no blocks entered",IF(AND(N($C302)&gt;0,N(T302)=0),"no pay rate for this date - see Settings",IF(SUMPRODUCT((G302:R302&lt;&gt;"")*(G$5:R$5=""))&gt;0,"attendance in an empty worker slot",""))))))</f>
        <v/>
      </c>
      <c r="X302" s="133" t="n"/>
      <c r="Y302" s="125" t="n"/>
      <c r="Z302" s="126" t="n"/>
      <c r="AA302" s="126" t="n"/>
      <c r="AB302" s="126" t="n"/>
      <c r="AC302" s="126" t="n"/>
      <c r="AD302" s="126" t="n"/>
      <c r="AE302" s="126" t="n"/>
      <c r="AF302" s="126" t="n"/>
      <c r="AG302" s="126" t="n"/>
      <c r="AH302" s="126" t="n"/>
      <c r="AI302" s="126" t="n"/>
      <c r="AJ302" s="126" t="n"/>
      <c r="AK302" s="126" t="n"/>
      <c r="AL302" s="126" t="n"/>
      <c r="AM302" s="126" t="n"/>
    </row>
    <row r="303" ht="21" customFormat="1" customHeight="1" s="127">
      <c r="A303" s="250" t="n">
        <v>46561</v>
      </c>
      <c r="B303" s="63">
        <f>CHOOSE(WEEKDAY($A303,2),"Mon","Tue","Wed","Thu","Fri","Sat","Sun")</f>
        <v/>
      </c>
      <c r="C303" s="64" t="n"/>
      <c r="D303" s="64" t="n"/>
      <c r="E303" s="65">
        <f>IF($C303="","",$C303-N($D303))</f>
        <v/>
      </c>
      <c r="F303" s="65">
        <f>IF($C303="","",$C303-MAX(0,N($D303)-BreakAllow*$C303))</f>
        <v/>
      </c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1">
        <f>IF(COUNT(G303:R303)=0,"",SUM(G303:R303))</f>
        <v/>
      </c>
      <c r="T303" s="251">
        <f>IF($C303="","",IFERROR(INDEX(RateValues,MATCH(SUMPRODUCT(MAX((RateDates&lt;=$A303)*RateDates)),RateDates,0)),0))</f>
        <v/>
      </c>
      <c r="U303" s="252">
        <f>IF($C303="","",$F303*$T303)</f>
        <v/>
      </c>
      <c r="V303" s="253">
        <f>$A303-WEEKDAY($A303,2)+1</f>
        <v/>
      </c>
      <c r="W303" s="132">
        <f t="array" ref="W303">IF(AND($C303="",S303=""),"",IF(AND(N($C303)&gt;0,N(S303)=0),"nobody marked present",IF(N($D303)&gt;N($C303),"more broken than moulded",IF(AND($C303="",N(S303)&gt;0),"attendance marked but no blocks entered",IF(AND(N($C303)&gt;0,N(T303)=0),"no pay rate for this date - see Settings",IF(SUMPRODUCT((G303:R303&lt;&gt;"")*(G$5:R$5=""))&gt;0,"attendance in an empty worker slot",""))))))</f>
        <v/>
      </c>
      <c r="X303" s="133" t="n"/>
      <c r="Y303" s="125" t="n"/>
      <c r="Z303" s="126" t="n"/>
      <c r="AA303" s="126" t="n"/>
      <c r="AB303" s="126" t="n"/>
      <c r="AC303" s="126" t="n"/>
      <c r="AD303" s="126" t="n"/>
      <c r="AE303" s="126" t="n"/>
      <c r="AF303" s="126" t="n"/>
      <c r="AG303" s="126" t="n"/>
      <c r="AH303" s="126" t="n"/>
      <c r="AI303" s="126" t="n"/>
      <c r="AJ303" s="126" t="n"/>
      <c r="AK303" s="126" t="n"/>
      <c r="AL303" s="126" t="n"/>
      <c r="AM303" s="126" t="n"/>
    </row>
    <row r="304" ht="21" customFormat="1" customHeight="1" s="127">
      <c r="A304" s="250" t="n">
        <v>46562</v>
      </c>
      <c r="B304" s="63">
        <f>CHOOSE(WEEKDAY($A304,2),"Mon","Tue","Wed","Thu","Fri","Sat","Sun")</f>
        <v/>
      </c>
      <c r="C304" s="64" t="n"/>
      <c r="D304" s="64" t="n"/>
      <c r="E304" s="65">
        <f>IF($C304="","",$C304-N($D304))</f>
        <v/>
      </c>
      <c r="F304" s="65">
        <f>IF($C304="","",$C304-MAX(0,N($D304)-BreakAllow*$C304))</f>
        <v/>
      </c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1">
        <f>IF(COUNT(G304:R304)=0,"",SUM(G304:R304))</f>
        <v/>
      </c>
      <c r="T304" s="251">
        <f>IF($C304="","",IFERROR(INDEX(RateValues,MATCH(SUMPRODUCT(MAX((RateDates&lt;=$A304)*RateDates)),RateDates,0)),0))</f>
        <v/>
      </c>
      <c r="U304" s="252">
        <f>IF($C304="","",$F304*$T304)</f>
        <v/>
      </c>
      <c r="V304" s="253">
        <f>$A304-WEEKDAY($A304,2)+1</f>
        <v/>
      </c>
      <c r="W304" s="132">
        <f t="array" ref="W304">IF(AND($C304="",S304=""),"",IF(AND(N($C304)&gt;0,N(S304)=0),"nobody marked present",IF(N($D304)&gt;N($C304),"more broken than moulded",IF(AND($C304="",N(S304)&gt;0),"attendance marked but no blocks entered",IF(AND(N($C304)&gt;0,N(T304)=0),"no pay rate for this date - see Settings",IF(SUMPRODUCT((G304:R304&lt;&gt;"")*(G$5:R$5=""))&gt;0,"attendance in an empty worker slot",""))))))</f>
        <v/>
      </c>
      <c r="X304" s="133" t="n"/>
      <c r="Y304" s="125" t="n"/>
      <c r="Z304" s="126" t="n"/>
      <c r="AA304" s="126" t="n"/>
      <c r="AB304" s="126" t="n"/>
      <c r="AC304" s="126" t="n"/>
      <c r="AD304" s="126" t="n"/>
      <c r="AE304" s="126" t="n"/>
      <c r="AF304" s="126" t="n"/>
      <c r="AG304" s="126" t="n"/>
      <c r="AH304" s="126" t="n"/>
      <c r="AI304" s="126" t="n"/>
      <c r="AJ304" s="126" t="n"/>
      <c r="AK304" s="126" t="n"/>
      <c r="AL304" s="126" t="n"/>
      <c r="AM304" s="126" t="n"/>
    </row>
    <row r="305" ht="21" customFormat="1" customHeight="1" s="127">
      <c r="A305" s="250" t="n">
        <v>46563</v>
      </c>
      <c r="B305" s="63">
        <f>CHOOSE(WEEKDAY($A305,2),"Mon","Tue","Wed","Thu","Fri","Sat","Sun")</f>
        <v/>
      </c>
      <c r="C305" s="64" t="n"/>
      <c r="D305" s="64" t="n"/>
      <c r="E305" s="65">
        <f>IF($C305="","",$C305-N($D305))</f>
        <v/>
      </c>
      <c r="F305" s="65">
        <f>IF($C305="","",$C305-MAX(0,N($D305)-BreakAllow*$C305))</f>
        <v/>
      </c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1">
        <f>IF(COUNT(G305:R305)=0,"",SUM(G305:R305))</f>
        <v/>
      </c>
      <c r="T305" s="251">
        <f>IF($C305="","",IFERROR(INDEX(RateValues,MATCH(SUMPRODUCT(MAX((RateDates&lt;=$A305)*RateDates)),RateDates,0)),0))</f>
        <v/>
      </c>
      <c r="U305" s="252">
        <f>IF($C305="","",$F305*$T305)</f>
        <v/>
      </c>
      <c r="V305" s="253">
        <f>$A305-WEEKDAY($A305,2)+1</f>
        <v/>
      </c>
      <c r="W305" s="132">
        <f t="array" ref="W305">IF(AND($C305="",S305=""),"",IF(AND(N($C305)&gt;0,N(S305)=0),"nobody marked present",IF(N($D305)&gt;N($C305),"more broken than moulded",IF(AND($C305="",N(S305)&gt;0),"attendance marked but no blocks entered",IF(AND(N($C305)&gt;0,N(T305)=0),"no pay rate for this date - see Settings",IF(SUMPRODUCT((G305:R305&lt;&gt;"")*(G$5:R$5=""))&gt;0,"attendance in an empty worker slot",""))))))</f>
        <v/>
      </c>
      <c r="X305" s="133" t="n"/>
      <c r="Y305" s="125" t="n"/>
      <c r="Z305" s="126" t="n"/>
      <c r="AA305" s="126" t="n"/>
      <c r="AB305" s="126" t="n"/>
      <c r="AC305" s="126" t="n"/>
      <c r="AD305" s="126" t="n"/>
      <c r="AE305" s="126" t="n"/>
      <c r="AF305" s="126" t="n"/>
      <c r="AG305" s="126" t="n"/>
      <c r="AH305" s="126" t="n"/>
      <c r="AI305" s="126" t="n"/>
      <c r="AJ305" s="126" t="n"/>
      <c r="AK305" s="126" t="n"/>
      <c r="AL305" s="126" t="n"/>
      <c r="AM305" s="126" t="n"/>
    </row>
    <row r="306" ht="21" customFormat="1" customHeight="1" s="127">
      <c r="A306" s="250" t="n">
        <v>46564</v>
      </c>
      <c r="B306" s="63">
        <f>CHOOSE(WEEKDAY($A306,2),"Mon","Tue","Wed","Thu","Fri","Sat","Sun")</f>
        <v/>
      </c>
      <c r="C306" s="64" t="n"/>
      <c r="D306" s="64" t="n"/>
      <c r="E306" s="65">
        <f>IF($C306="","",$C306-N($D306))</f>
        <v/>
      </c>
      <c r="F306" s="65">
        <f>IF($C306="","",$C306-MAX(0,N($D306)-BreakAllow*$C306))</f>
        <v/>
      </c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1">
        <f>IF(COUNT(G306:R306)=0,"",SUM(G306:R306))</f>
        <v/>
      </c>
      <c r="T306" s="251">
        <f>IF($C306="","",IFERROR(INDEX(RateValues,MATCH(SUMPRODUCT(MAX((RateDates&lt;=$A306)*RateDates)),RateDates,0)),0))</f>
        <v/>
      </c>
      <c r="U306" s="252">
        <f>IF($C306="","",$F306*$T306)</f>
        <v/>
      </c>
      <c r="V306" s="253">
        <f>$A306-WEEKDAY($A306,2)+1</f>
        <v/>
      </c>
      <c r="W306" s="132">
        <f t="array" ref="W306">IF(AND($C306="",S306=""),"",IF(AND(N($C306)&gt;0,N(S306)=0),"nobody marked present",IF(N($D306)&gt;N($C306),"more broken than moulded",IF(AND($C306="",N(S306)&gt;0),"attendance marked but no blocks entered",IF(AND(N($C306)&gt;0,N(T306)=0),"no pay rate for this date - see Settings",IF(SUMPRODUCT((G306:R306&lt;&gt;"")*(G$5:R$5=""))&gt;0,"attendance in an empty worker slot",""))))))</f>
        <v/>
      </c>
      <c r="X306" s="133" t="n"/>
      <c r="Y306" s="125" t="n"/>
      <c r="Z306" s="126" t="n"/>
      <c r="AA306" s="126" t="n"/>
      <c r="AB306" s="126" t="n"/>
      <c r="AC306" s="126" t="n"/>
      <c r="AD306" s="126" t="n"/>
      <c r="AE306" s="126" t="n"/>
      <c r="AF306" s="126" t="n"/>
      <c r="AG306" s="126" t="n"/>
      <c r="AH306" s="126" t="n"/>
      <c r="AI306" s="126" t="n"/>
      <c r="AJ306" s="126" t="n"/>
      <c r="AK306" s="126" t="n"/>
      <c r="AL306" s="126" t="n"/>
      <c r="AM306" s="126" t="n"/>
    </row>
    <row r="307" ht="21" customFormat="1" customHeight="1" s="127">
      <c r="A307" s="254" t="n">
        <v>46565</v>
      </c>
      <c r="B307" s="70">
        <f>CHOOSE(WEEKDAY($A307,2),"Mon","Tue","Wed","Thu","Fri","Sat","Sun")</f>
        <v/>
      </c>
      <c r="C307" s="64" t="n"/>
      <c r="D307" s="64" t="n"/>
      <c r="E307" s="65">
        <f>IF($C307="","",$C307-N($D307))</f>
        <v/>
      </c>
      <c r="F307" s="65">
        <f>IF($C307="","",$C307-MAX(0,N($D307)-BreakAllow*$C307))</f>
        <v/>
      </c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1">
        <f>IF(COUNT(G307:R307)=0,"",SUM(G307:R307))</f>
        <v/>
      </c>
      <c r="T307" s="251">
        <f>IF($C307="","",IFERROR(INDEX(RateValues,MATCH(SUMPRODUCT(MAX((RateDates&lt;=$A307)*RateDates)),RateDates,0)),0))</f>
        <v/>
      </c>
      <c r="U307" s="252">
        <f>IF($C307="","",$F307*$T307)</f>
        <v/>
      </c>
      <c r="V307" s="253">
        <f>$A307-WEEKDAY($A307,2)+1</f>
        <v/>
      </c>
      <c r="W307" s="132">
        <f t="array" ref="W307">IF(AND($C307="",S307=""),"",IF(AND(N($C307)&gt;0,N(S307)=0),"nobody marked present",IF(N($D307)&gt;N($C307),"more broken than moulded",IF(AND($C307="",N(S307)&gt;0),"attendance marked but no blocks entered",IF(AND(N($C307)&gt;0,N(T307)=0),"no pay rate for this date - see Settings",IF(SUMPRODUCT((G307:R307&lt;&gt;"")*(G$5:R$5=""))&gt;0,"attendance in an empty worker slot",""))))))</f>
        <v/>
      </c>
      <c r="X307" s="133" t="n"/>
      <c r="Y307" s="125" t="n"/>
      <c r="Z307" s="126" t="n"/>
      <c r="AA307" s="126" t="n"/>
      <c r="AB307" s="126" t="n"/>
      <c r="AC307" s="126" t="n"/>
      <c r="AD307" s="126" t="n"/>
      <c r="AE307" s="126" t="n"/>
      <c r="AF307" s="126" t="n"/>
      <c r="AG307" s="126" t="n"/>
      <c r="AH307" s="126" t="n"/>
      <c r="AI307" s="126" t="n"/>
      <c r="AJ307" s="126" t="n"/>
      <c r="AK307" s="126" t="n"/>
      <c r="AL307" s="126" t="n"/>
      <c r="AM307" s="126" t="n"/>
    </row>
    <row r="308" ht="21" customFormat="1" customHeight="1" s="127">
      <c r="A308" s="250" t="n">
        <v>46566</v>
      </c>
      <c r="B308" s="63">
        <f>CHOOSE(WEEKDAY($A308,2),"Mon","Tue","Wed","Thu","Fri","Sat","Sun")</f>
        <v/>
      </c>
      <c r="C308" s="64" t="n"/>
      <c r="D308" s="64" t="n"/>
      <c r="E308" s="65">
        <f>IF($C308="","",$C308-N($D308))</f>
        <v/>
      </c>
      <c r="F308" s="65">
        <f>IF($C308="","",$C308-MAX(0,N($D308)-BreakAllow*$C308))</f>
        <v/>
      </c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1">
        <f>IF(COUNT(G308:R308)=0,"",SUM(G308:R308))</f>
        <v/>
      </c>
      <c r="T308" s="251">
        <f>IF($C308="","",IFERROR(INDEX(RateValues,MATCH(SUMPRODUCT(MAX((RateDates&lt;=$A308)*RateDates)),RateDates,0)),0))</f>
        <v/>
      </c>
      <c r="U308" s="252">
        <f>IF($C308="","",$F308*$T308)</f>
        <v/>
      </c>
      <c r="V308" s="253">
        <f>$A308-WEEKDAY($A308,2)+1</f>
        <v/>
      </c>
      <c r="W308" s="132">
        <f t="array" ref="W308">IF(AND($C308="",S308=""),"",IF(AND(N($C308)&gt;0,N(S308)=0),"nobody marked present",IF(N($D308)&gt;N($C308),"more broken than moulded",IF(AND($C308="",N(S308)&gt;0),"attendance marked but no blocks entered",IF(AND(N($C308)&gt;0,N(T308)=0),"no pay rate for this date - see Settings",IF(SUMPRODUCT((G308:R308&lt;&gt;"")*(G$5:R$5=""))&gt;0,"attendance in an empty worker slot",""))))))</f>
        <v/>
      </c>
      <c r="X308" s="133" t="n"/>
      <c r="Y308" s="125" t="n"/>
      <c r="Z308" s="126" t="n"/>
      <c r="AA308" s="126" t="n"/>
      <c r="AB308" s="126" t="n"/>
      <c r="AC308" s="126" t="n"/>
      <c r="AD308" s="126" t="n"/>
      <c r="AE308" s="126" t="n"/>
      <c r="AF308" s="126" t="n"/>
      <c r="AG308" s="126" t="n"/>
      <c r="AH308" s="126" t="n"/>
      <c r="AI308" s="126" t="n"/>
      <c r="AJ308" s="126" t="n"/>
      <c r="AK308" s="126" t="n"/>
      <c r="AL308" s="126" t="n"/>
      <c r="AM308" s="126" t="n"/>
    </row>
    <row r="309" ht="21" customFormat="1" customHeight="1" s="127">
      <c r="A309" s="250" t="n">
        <v>46567</v>
      </c>
      <c r="B309" s="63">
        <f>CHOOSE(WEEKDAY($A309,2),"Mon","Tue","Wed","Thu","Fri","Sat","Sun")</f>
        <v/>
      </c>
      <c r="C309" s="64" t="n"/>
      <c r="D309" s="64" t="n"/>
      <c r="E309" s="65">
        <f>IF($C309="","",$C309-N($D309))</f>
        <v/>
      </c>
      <c r="F309" s="65">
        <f>IF($C309="","",$C309-MAX(0,N($D309)-BreakAllow*$C309))</f>
        <v/>
      </c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1">
        <f>IF(COUNT(G309:R309)=0,"",SUM(G309:R309))</f>
        <v/>
      </c>
      <c r="T309" s="251">
        <f>IF($C309="","",IFERROR(INDEX(RateValues,MATCH(SUMPRODUCT(MAX((RateDates&lt;=$A309)*RateDates)),RateDates,0)),0))</f>
        <v/>
      </c>
      <c r="U309" s="252">
        <f>IF($C309="","",$F309*$T309)</f>
        <v/>
      </c>
      <c r="V309" s="253">
        <f>$A309-WEEKDAY($A309,2)+1</f>
        <v/>
      </c>
      <c r="W309" s="132">
        <f t="array" ref="W309">IF(AND($C309="",S309=""),"",IF(AND(N($C309)&gt;0,N(S309)=0),"nobody marked present",IF(N($D309)&gt;N($C309),"more broken than moulded",IF(AND($C309="",N(S309)&gt;0),"attendance marked but no blocks entered",IF(AND(N($C309)&gt;0,N(T309)=0),"no pay rate for this date - see Settings",IF(SUMPRODUCT((G309:R309&lt;&gt;"")*(G$5:R$5=""))&gt;0,"attendance in an empty worker slot",""))))))</f>
        <v/>
      </c>
      <c r="X309" s="133" t="n"/>
      <c r="Y309" s="125" t="n"/>
      <c r="Z309" s="126" t="n"/>
      <c r="AA309" s="126" t="n"/>
      <c r="AB309" s="126" t="n"/>
      <c r="AC309" s="126" t="n"/>
      <c r="AD309" s="126" t="n"/>
      <c r="AE309" s="126" t="n"/>
      <c r="AF309" s="126" t="n"/>
      <c r="AG309" s="126" t="n"/>
      <c r="AH309" s="126" t="n"/>
      <c r="AI309" s="126" t="n"/>
      <c r="AJ309" s="126" t="n"/>
      <c r="AK309" s="126" t="n"/>
      <c r="AL309" s="126" t="n"/>
      <c r="AM309" s="126" t="n"/>
    </row>
    <row r="310" ht="21" customFormat="1" customHeight="1" s="127">
      <c r="A310" s="250" t="n">
        <v>46568</v>
      </c>
      <c r="B310" s="63">
        <f>CHOOSE(WEEKDAY($A310,2),"Mon","Tue","Wed","Thu","Fri","Sat","Sun")</f>
        <v/>
      </c>
      <c r="C310" s="64" t="n"/>
      <c r="D310" s="64" t="n"/>
      <c r="E310" s="65">
        <f>IF($C310="","",$C310-N($D310))</f>
        <v/>
      </c>
      <c r="F310" s="65">
        <f>IF($C310="","",$C310-MAX(0,N($D310)-BreakAllow*$C310))</f>
        <v/>
      </c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1">
        <f>IF(COUNT(G310:R310)=0,"",SUM(G310:R310))</f>
        <v/>
      </c>
      <c r="T310" s="251">
        <f>IF($C310="","",IFERROR(INDEX(RateValues,MATCH(SUMPRODUCT(MAX((RateDates&lt;=$A310)*RateDates)),RateDates,0)),0))</f>
        <v/>
      </c>
      <c r="U310" s="252">
        <f>IF($C310="","",$F310*$T310)</f>
        <v/>
      </c>
      <c r="V310" s="253">
        <f>$A310-WEEKDAY($A310,2)+1</f>
        <v/>
      </c>
      <c r="W310" s="132">
        <f t="array" ref="W310">IF(AND($C310="",S310=""),"",IF(AND(N($C310)&gt;0,N(S310)=0),"nobody marked present",IF(N($D310)&gt;N($C310),"more broken than moulded",IF(AND($C310="",N(S310)&gt;0),"attendance marked but no blocks entered",IF(AND(N($C310)&gt;0,N(T310)=0),"no pay rate for this date - see Settings",IF(SUMPRODUCT((G310:R310&lt;&gt;"")*(G$5:R$5=""))&gt;0,"attendance in an empty worker slot",""))))))</f>
        <v/>
      </c>
      <c r="X310" s="133" t="n"/>
      <c r="Y310" s="125" t="n"/>
      <c r="Z310" s="126" t="n"/>
      <c r="AA310" s="126" t="n"/>
      <c r="AB310" s="126" t="n"/>
      <c r="AC310" s="126" t="n"/>
      <c r="AD310" s="126" t="n"/>
      <c r="AE310" s="126" t="n"/>
      <c r="AF310" s="126" t="n"/>
      <c r="AG310" s="126" t="n"/>
      <c r="AH310" s="126" t="n"/>
      <c r="AI310" s="126" t="n"/>
      <c r="AJ310" s="126" t="n"/>
      <c r="AK310" s="126" t="n"/>
      <c r="AL310" s="126" t="n"/>
      <c r="AM310" s="126" t="n"/>
    </row>
    <row r="311" ht="21" customFormat="1" customHeight="1" s="127">
      <c r="A311" s="250" t="n">
        <v>46569</v>
      </c>
      <c r="B311" s="63">
        <f>CHOOSE(WEEKDAY($A311,2),"Mon","Tue","Wed","Thu","Fri","Sat","Sun")</f>
        <v/>
      </c>
      <c r="C311" s="64" t="n"/>
      <c r="D311" s="64" t="n"/>
      <c r="E311" s="65">
        <f>IF($C311="","",$C311-N($D311))</f>
        <v/>
      </c>
      <c r="F311" s="65">
        <f>IF($C311="","",$C311-MAX(0,N($D311)-BreakAllow*$C311))</f>
        <v/>
      </c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1">
        <f>IF(COUNT(G311:R311)=0,"",SUM(G311:R311))</f>
        <v/>
      </c>
      <c r="T311" s="251">
        <f>IF($C311="","",IFERROR(INDEX(RateValues,MATCH(SUMPRODUCT(MAX((RateDates&lt;=$A311)*RateDates)),RateDates,0)),0))</f>
        <v/>
      </c>
      <c r="U311" s="252">
        <f>IF($C311="","",$F311*$T311)</f>
        <v/>
      </c>
      <c r="V311" s="253">
        <f>$A311-WEEKDAY($A311,2)+1</f>
        <v/>
      </c>
      <c r="W311" s="132">
        <f t="array" ref="W311">IF(AND($C311="",S311=""),"",IF(AND(N($C311)&gt;0,N(S311)=0),"nobody marked present",IF(N($D311)&gt;N($C311),"more broken than moulded",IF(AND($C311="",N(S311)&gt;0),"attendance marked but no blocks entered",IF(AND(N($C311)&gt;0,N(T311)=0),"no pay rate for this date - see Settings",IF(SUMPRODUCT((G311:R311&lt;&gt;"")*(G$5:R$5=""))&gt;0,"attendance in an empty worker slot",""))))))</f>
        <v/>
      </c>
      <c r="X311" s="133" t="n"/>
      <c r="Y311" s="125" t="n"/>
      <c r="Z311" s="126" t="n"/>
      <c r="AA311" s="126" t="n"/>
      <c r="AB311" s="126" t="n"/>
      <c r="AC311" s="126" t="n"/>
      <c r="AD311" s="126" t="n"/>
      <c r="AE311" s="126" t="n"/>
      <c r="AF311" s="126" t="n"/>
      <c r="AG311" s="126" t="n"/>
      <c r="AH311" s="126" t="n"/>
      <c r="AI311" s="126" t="n"/>
      <c r="AJ311" s="126" t="n"/>
      <c r="AK311" s="126" t="n"/>
      <c r="AL311" s="126" t="n"/>
      <c r="AM311" s="126" t="n"/>
    </row>
    <row r="312" ht="21" customFormat="1" customHeight="1" s="127">
      <c r="A312" s="250" t="n">
        <v>46570</v>
      </c>
      <c r="B312" s="63">
        <f>CHOOSE(WEEKDAY($A312,2),"Mon","Tue","Wed","Thu","Fri","Sat","Sun")</f>
        <v/>
      </c>
      <c r="C312" s="64" t="n"/>
      <c r="D312" s="64" t="n"/>
      <c r="E312" s="65">
        <f>IF($C312="","",$C312-N($D312))</f>
        <v/>
      </c>
      <c r="F312" s="65">
        <f>IF($C312="","",$C312-MAX(0,N($D312)-BreakAllow*$C312))</f>
        <v/>
      </c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1">
        <f>IF(COUNT(G312:R312)=0,"",SUM(G312:R312))</f>
        <v/>
      </c>
      <c r="T312" s="251">
        <f>IF($C312="","",IFERROR(INDEX(RateValues,MATCH(SUMPRODUCT(MAX((RateDates&lt;=$A312)*RateDates)),RateDates,0)),0))</f>
        <v/>
      </c>
      <c r="U312" s="252">
        <f>IF($C312="","",$F312*$T312)</f>
        <v/>
      </c>
      <c r="V312" s="253">
        <f>$A312-WEEKDAY($A312,2)+1</f>
        <v/>
      </c>
      <c r="W312" s="132">
        <f t="array" ref="W312">IF(AND($C312="",S312=""),"",IF(AND(N($C312)&gt;0,N(S312)=0),"nobody marked present",IF(N($D312)&gt;N($C312),"more broken than moulded",IF(AND($C312="",N(S312)&gt;0),"attendance marked but no blocks entered",IF(AND(N($C312)&gt;0,N(T312)=0),"no pay rate for this date - see Settings",IF(SUMPRODUCT((G312:R312&lt;&gt;"")*(G$5:R$5=""))&gt;0,"attendance in an empty worker slot",""))))))</f>
        <v/>
      </c>
      <c r="X312" s="133" t="n"/>
      <c r="Y312" s="125" t="n"/>
      <c r="Z312" s="126" t="n"/>
      <c r="AA312" s="126" t="n"/>
      <c r="AB312" s="126" t="n"/>
      <c r="AC312" s="126" t="n"/>
      <c r="AD312" s="126" t="n"/>
      <c r="AE312" s="126" t="n"/>
      <c r="AF312" s="126" t="n"/>
      <c r="AG312" s="126" t="n"/>
      <c r="AH312" s="126" t="n"/>
      <c r="AI312" s="126" t="n"/>
      <c r="AJ312" s="126" t="n"/>
      <c r="AK312" s="126" t="n"/>
      <c r="AL312" s="126" t="n"/>
      <c r="AM312" s="126" t="n"/>
    </row>
    <row r="313" ht="21" customFormat="1" customHeight="1" s="127">
      <c r="A313" s="250" t="n">
        <v>46571</v>
      </c>
      <c r="B313" s="63">
        <f>CHOOSE(WEEKDAY($A313,2),"Mon","Tue","Wed","Thu","Fri","Sat","Sun")</f>
        <v/>
      </c>
      <c r="C313" s="64" t="n"/>
      <c r="D313" s="64" t="n"/>
      <c r="E313" s="65">
        <f>IF($C313="","",$C313-N($D313))</f>
        <v/>
      </c>
      <c r="F313" s="65">
        <f>IF($C313="","",$C313-MAX(0,N($D313)-BreakAllow*$C313))</f>
        <v/>
      </c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1">
        <f>IF(COUNT(G313:R313)=0,"",SUM(G313:R313))</f>
        <v/>
      </c>
      <c r="T313" s="251">
        <f>IF($C313="","",IFERROR(INDEX(RateValues,MATCH(SUMPRODUCT(MAX((RateDates&lt;=$A313)*RateDates)),RateDates,0)),0))</f>
        <v/>
      </c>
      <c r="U313" s="252">
        <f>IF($C313="","",$F313*$T313)</f>
        <v/>
      </c>
      <c r="V313" s="253">
        <f>$A313-WEEKDAY($A313,2)+1</f>
        <v/>
      </c>
      <c r="W313" s="132">
        <f t="array" ref="W313">IF(AND($C313="",S313=""),"",IF(AND(N($C313)&gt;0,N(S313)=0),"nobody marked present",IF(N($D313)&gt;N($C313),"more broken than moulded",IF(AND($C313="",N(S313)&gt;0),"attendance marked but no blocks entered",IF(AND(N($C313)&gt;0,N(T313)=0),"no pay rate for this date - see Settings",IF(SUMPRODUCT((G313:R313&lt;&gt;"")*(G$5:R$5=""))&gt;0,"attendance in an empty worker slot",""))))))</f>
        <v/>
      </c>
      <c r="X313" s="133" t="n"/>
      <c r="Y313" s="125" t="n"/>
      <c r="Z313" s="126" t="n"/>
      <c r="AA313" s="126" t="n"/>
      <c r="AB313" s="126" t="n"/>
      <c r="AC313" s="126" t="n"/>
      <c r="AD313" s="126" t="n"/>
      <c r="AE313" s="126" t="n"/>
      <c r="AF313" s="126" t="n"/>
      <c r="AG313" s="126" t="n"/>
      <c r="AH313" s="126" t="n"/>
      <c r="AI313" s="126" t="n"/>
      <c r="AJ313" s="126" t="n"/>
      <c r="AK313" s="126" t="n"/>
      <c r="AL313" s="126" t="n"/>
      <c r="AM313" s="126" t="n"/>
    </row>
    <row r="314" ht="21" customFormat="1" customHeight="1" s="127">
      <c r="A314" s="254" t="n">
        <v>46572</v>
      </c>
      <c r="B314" s="70">
        <f>CHOOSE(WEEKDAY($A314,2),"Mon","Tue","Wed","Thu","Fri","Sat","Sun")</f>
        <v/>
      </c>
      <c r="C314" s="64" t="n"/>
      <c r="D314" s="64" t="n"/>
      <c r="E314" s="65">
        <f>IF($C314="","",$C314-N($D314))</f>
        <v/>
      </c>
      <c r="F314" s="65">
        <f>IF($C314="","",$C314-MAX(0,N($D314)-BreakAllow*$C314))</f>
        <v/>
      </c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1">
        <f>IF(COUNT(G314:R314)=0,"",SUM(G314:R314))</f>
        <v/>
      </c>
      <c r="T314" s="251">
        <f>IF($C314="","",IFERROR(INDEX(RateValues,MATCH(SUMPRODUCT(MAX((RateDates&lt;=$A314)*RateDates)),RateDates,0)),0))</f>
        <v/>
      </c>
      <c r="U314" s="252">
        <f>IF($C314="","",$F314*$T314)</f>
        <v/>
      </c>
      <c r="V314" s="253">
        <f>$A314-WEEKDAY($A314,2)+1</f>
        <v/>
      </c>
      <c r="W314" s="132">
        <f t="array" ref="W314">IF(AND($C314="",S314=""),"",IF(AND(N($C314)&gt;0,N(S314)=0),"nobody marked present",IF(N($D314)&gt;N($C314),"more broken than moulded",IF(AND($C314="",N(S314)&gt;0),"attendance marked but no blocks entered",IF(AND(N($C314)&gt;0,N(T314)=0),"no pay rate for this date - see Settings",IF(SUMPRODUCT((G314:R314&lt;&gt;"")*(G$5:R$5=""))&gt;0,"attendance in an empty worker slot",""))))))</f>
        <v/>
      </c>
      <c r="X314" s="133" t="n"/>
      <c r="Y314" s="125" t="n"/>
      <c r="Z314" s="126" t="n"/>
      <c r="AA314" s="126" t="n"/>
      <c r="AB314" s="126" t="n"/>
      <c r="AC314" s="126" t="n"/>
      <c r="AD314" s="126" t="n"/>
      <c r="AE314" s="126" t="n"/>
      <c r="AF314" s="126" t="n"/>
      <c r="AG314" s="126" t="n"/>
      <c r="AH314" s="126" t="n"/>
      <c r="AI314" s="126" t="n"/>
      <c r="AJ314" s="126" t="n"/>
      <c r="AK314" s="126" t="n"/>
      <c r="AL314" s="126" t="n"/>
      <c r="AM314" s="126" t="n"/>
    </row>
    <row r="315" ht="21" customFormat="1" customHeight="1" s="127">
      <c r="A315" s="250" t="n">
        <v>46573</v>
      </c>
      <c r="B315" s="63">
        <f>CHOOSE(WEEKDAY($A315,2),"Mon","Tue","Wed","Thu","Fri","Sat","Sun")</f>
        <v/>
      </c>
      <c r="C315" s="64" t="n"/>
      <c r="D315" s="64" t="n"/>
      <c r="E315" s="65">
        <f>IF($C315="","",$C315-N($D315))</f>
        <v/>
      </c>
      <c r="F315" s="65">
        <f>IF($C315="","",$C315-MAX(0,N($D315)-BreakAllow*$C315))</f>
        <v/>
      </c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1">
        <f>IF(COUNT(G315:R315)=0,"",SUM(G315:R315))</f>
        <v/>
      </c>
      <c r="T315" s="251">
        <f>IF($C315="","",IFERROR(INDEX(RateValues,MATCH(SUMPRODUCT(MAX((RateDates&lt;=$A315)*RateDates)),RateDates,0)),0))</f>
        <v/>
      </c>
      <c r="U315" s="252">
        <f>IF($C315="","",$F315*$T315)</f>
        <v/>
      </c>
      <c r="V315" s="253">
        <f>$A315-WEEKDAY($A315,2)+1</f>
        <v/>
      </c>
      <c r="W315" s="132">
        <f t="array" ref="W315">IF(AND($C315="",S315=""),"",IF(AND(N($C315)&gt;0,N(S315)=0),"nobody marked present",IF(N($D315)&gt;N($C315),"more broken than moulded",IF(AND($C315="",N(S315)&gt;0),"attendance marked but no blocks entered",IF(AND(N($C315)&gt;0,N(T315)=0),"no pay rate for this date - see Settings",IF(SUMPRODUCT((G315:R315&lt;&gt;"")*(G$5:R$5=""))&gt;0,"attendance in an empty worker slot",""))))))</f>
        <v/>
      </c>
      <c r="X315" s="133" t="n"/>
      <c r="Y315" s="125" t="n"/>
      <c r="Z315" s="126" t="n"/>
      <c r="AA315" s="126" t="n"/>
      <c r="AB315" s="126" t="n"/>
      <c r="AC315" s="126" t="n"/>
      <c r="AD315" s="126" t="n"/>
      <c r="AE315" s="126" t="n"/>
      <c r="AF315" s="126" t="n"/>
      <c r="AG315" s="126" t="n"/>
      <c r="AH315" s="126" t="n"/>
      <c r="AI315" s="126" t="n"/>
      <c r="AJ315" s="126" t="n"/>
      <c r="AK315" s="126" t="n"/>
      <c r="AL315" s="126" t="n"/>
      <c r="AM315" s="126" t="n"/>
    </row>
    <row r="316" ht="21" customFormat="1" customHeight="1" s="127">
      <c r="A316" s="250" t="n">
        <v>46574</v>
      </c>
      <c r="B316" s="63">
        <f>CHOOSE(WEEKDAY($A316,2),"Mon","Tue","Wed","Thu","Fri","Sat","Sun")</f>
        <v/>
      </c>
      <c r="C316" s="64" t="n"/>
      <c r="D316" s="64" t="n"/>
      <c r="E316" s="65">
        <f>IF($C316="","",$C316-N($D316))</f>
        <v/>
      </c>
      <c r="F316" s="65">
        <f>IF($C316="","",$C316-MAX(0,N($D316)-BreakAllow*$C316))</f>
        <v/>
      </c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1">
        <f>IF(COUNT(G316:R316)=0,"",SUM(G316:R316))</f>
        <v/>
      </c>
      <c r="T316" s="251">
        <f>IF($C316="","",IFERROR(INDEX(RateValues,MATCH(SUMPRODUCT(MAX((RateDates&lt;=$A316)*RateDates)),RateDates,0)),0))</f>
        <v/>
      </c>
      <c r="U316" s="252">
        <f>IF($C316="","",$F316*$T316)</f>
        <v/>
      </c>
      <c r="V316" s="253">
        <f>$A316-WEEKDAY($A316,2)+1</f>
        <v/>
      </c>
      <c r="W316" s="132">
        <f t="array" ref="W316">IF(AND($C316="",S316=""),"",IF(AND(N($C316)&gt;0,N(S316)=0),"nobody marked present",IF(N($D316)&gt;N($C316),"more broken than moulded",IF(AND($C316="",N(S316)&gt;0),"attendance marked but no blocks entered",IF(AND(N($C316)&gt;0,N(T316)=0),"no pay rate for this date - see Settings",IF(SUMPRODUCT((G316:R316&lt;&gt;"")*(G$5:R$5=""))&gt;0,"attendance in an empty worker slot",""))))))</f>
        <v/>
      </c>
      <c r="X316" s="133" t="n"/>
      <c r="Y316" s="125" t="n"/>
      <c r="Z316" s="126" t="n"/>
      <c r="AA316" s="126" t="n"/>
      <c r="AB316" s="126" t="n"/>
      <c r="AC316" s="126" t="n"/>
      <c r="AD316" s="126" t="n"/>
      <c r="AE316" s="126" t="n"/>
      <c r="AF316" s="126" t="n"/>
      <c r="AG316" s="126" t="n"/>
      <c r="AH316" s="126" t="n"/>
      <c r="AI316" s="126" t="n"/>
      <c r="AJ316" s="126" t="n"/>
      <c r="AK316" s="126" t="n"/>
      <c r="AL316" s="126" t="n"/>
      <c r="AM316" s="126" t="n"/>
    </row>
    <row r="317" ht="21" customFormat="1" customHeight="1" s="127">
      <c r="A317" s="250" t="n">
        <v>46575</v>
      </c>
      <c r="B317" s="63">
        <f>CHOOSE(WEEKDAY($A317,2),"Mon","Tue","Wed","Thu","Fri","Sat","Sun")</f>
        <v/>
      </c>
      <c r="C317" s="64" t="n"/>
      <c r="D317" s="64" t="n"/>
      <c r="E317" s="65">
        <f>IF($C317="","",$C317-N($D317))</f>
        <v/>
      </c>
      <c r="F317" s="65">
        <f>IF($C317="","",$C317-MAX(0,N($D317)-BreakAllow*$C317))</f>
        <v/>
      </c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1">
        <f>IF(COUNT(G317:R317)=0,"",SUM(G317:R317))</f>
        <v/>
      </c>
      <c r="T317" s="251">
        <f>IF($C317="","",IFERROR(INDEX(RateValues,MATCH(SUMPRODUCT(MAX((RateDates&lt;=$A317)*RateDates)),RateDates,0)),0))</f>
        <v/>
      </c>
      <c r="U317" s="252">
        <f>IF($C317="","",$F317*$T317)</f>
        <v/>
      </c>
      <c r="V317" s="253">
        <f>$A317-WEEKDAY($A317,2)+1</f>
        <v/>
      </c>
      <c r="W317" s="132">
        <f t="array" ref="W317">IF(AND($C317="",S317=""),"",IF(AND(N($C317)&gt;0,N(S317)=0),"nobody marked present",IF(N($D317)&gt;N($C317),"more broken than moulded",IF(AND($C317="",N(S317)&gt;0),"attendance marked but no blocks entered",IF(AND(N($C317)&gt;0,N(T317)=0),"no pay rate for this date - see Settings",IF(SUMPRODUCT((G317:R317&lt;&gt;"")*(G$5:R$5=""))&gt;0,"attendance in an empty worker slot",""))))))</f>
        <v/>
      </c>
      <c r="X317" s="133" t="n"/>
      <c r="Y317" s="125" t="n"/>
      <c r="Z317" s="126" t="n"/>
      <c r="AA317" s="126" t="n"/>
      <c r="AB317" s="126" t="n"/>
      <c r="AC317" s="126" t="n"/>
      <c r="AD317" s="126" t="n"/>
      <c r="AE317" s="126" t="n"/>
      <c r="AF317" s="126" t="n"/>
      <c r="AG317" s="126" t="n"/>
      <c r="AH317" s="126" t="n"/>
      <c r="AI317" s="126" t="n"/>
      <c r="AJ317" s="126" t="n"/>
      <c r="AK317" s="126" t="n"/>
      <c r="AL317" s="126" t="n"/>
      <c r="AM317" s="126" t="n"/>
    </row>
    <row r="318" ht="21" customFormat="1" customHeight="1" s="127">
      <c r="A318" s="250" t="n">
        <v>46576</v>
      </c>
      <c r="B318" s="63">
        <f>CHOOSE(WEEKDAY($A318,2),"Mon","Tue","Wed","Thu","Fri","Sat","Sun")</f>
        <v/>
      </c>
      <c r="C318" s="64" t="n"/>
      <c r="D318" s="64" t="n"/>
      <c r="E318" s="65">
        <f>IF($C318="","",$C318-N($D318))</f>
        <v/>
      </c>
      <c r="F318" s="65">
        <f>IF($C318="","",$C318-MAX(0,N($D318)-BreakAllow*$C318))</f>
        <v/>
      </c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1">
        <f>IF(COUNT(G318:R318)=0,"",SUM(G318:R318))</f>
        <v/>
      </c>
      <c r="T318" s="251">
        <f>IF($C318="","",IFERROR(INDEX(RateValues,MATCH(SUMPRODUCT(MAX((RateDates&lt;=$A318)*RateDates)),RateDates,0)),0))</f>
        <v/>
      </c>
      <c r="U318" s="252">
        <f>IF($C318="","",$F318*$T318)</f>
        <v/>
      </c>
      <c r="V318" s="253">
        <f>$A318-WEEKDAY($A318,2)+1</f>
        <v/>
      </c>
      <c r="W318" s="132">
        <f t="array" ref="W318">IF(AND($C318="",S318=""),"",IF(AND(N($C318)&gt;0,N(S318)=0),"nobody marked present",IF(N($D318)&gt;N($C318),"more broken than moulded",IF(AND($C318="",N(S318)&gt;0),"attendance marked but no blocks entered",IF(AND(N($C318)&gt;0,N(T318)=0),"no pay rate for this date - see Settings",IF(SUMPRODUCT((G318:R318&lt;&gt;"")*(G$5:R$5=""))&gt;0,"attendance in an empty worker slot",""))))))</f>
        <v/>
      </c>
      <c r="X318" s="133" t="n"/>
      <c r="Y318" s="125" t="n"/>
      <c r="Z318" s="126" t="n"/>
      <c r="AA318" s="126" t="n"/>
      <c r="AB318" s="126" t="n"/>
      <c r="AC318" s="126" t="n"/>
      <c r="AD318" s="126" t="n"/>
      <c r="AE318" s="126" t="n"/>
      <c r="AF318" s="126" t="n"/>
      <c r="AG318" s="126" t="n"/>
      <c r="AH318" s="126" t="n"/>
      <c r="AI318" s="126" t="n"/>
      <c r="AJ318" s="126" t="n"/>
      <c r="AK318" s="126" t="n"/>
      <c r="AL318" s="126" t="n"/>
      <c r="AM318" s="126" t="n"/>
    </row>
    <row r="319" ht="21" customFormat="1" customHeight="1" s="127">
      <c r="A319" s="250" t="n">
        <v>46577</v>
      </c>
      <c r="B319" s="63">
        <f>CHOOSE(WEEKDAY($A319,2),"Mon","Tue","Wed","Thu","Fri","Sat","Sun")</f>
        <v/>
      </c>
      <c r="C319" s="64" t="n"/>
      <c r="D319" s="64" t="n"/>
      <c r="E319" s="65">
        <f>IF($C319="","",$C319-N($D319))</f>
        <v/>
      </c>
      <c r="F319" s="65">
        <f>IF($C319="","",$C319-MAX(0,N($D319)-BreakAllow*$C319))</f>
        <v/>
      </c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1">
        <f>IF(COUNT(G319:R319)=0,"",SUM(G319:R319))</f>
        <v/>
      </c>
      <c r="T319" s="251">
        <f>IF($C319="","",IFERROR(INDEX(RateValues,MATCH(SUMPRODUCT(MAX((RateDates&lt;=$A319)*RateDates)),RateDates,0)),0))</f>
        <v/>
      </c>
      <c r="U319" s="252">
        <f>IF($C319="","",$F319*$T319)</f>
        <v/>
      </c>
      <c r="V319" s="253">
        <f>$A319-WEEKDAY($A319,2)+1</f>
        <v/>
      </c>
      <c r="W319" s="132">
        <f t="array" ref="W319">IF(AND($C319="",S319=""),"",IF(AND(N($C319)&gt;0,N(S319)=0),"nobody marked present",IF(N($D319)&gt;N($C319),"more broken than moulded",IF(AND($C319="",N(S319)&gt;0),"attendance marked but no blocks entered",IF(AND(N($C319)&gt;0,N(T319)=0),"no pay rate for this date - see Settings",IF(SUMPRODUCT((G319:R319&lt;&gt;"")*(G$5:R$5=""))&gt;0,"attendance in an empty worker slot",""))))))</f>
        <v/>
      </c>
      <c r="X319" s="133" t="n"/>
      <c r="Y319" s="125" t="n"/>
      <c r="Z319" s="126" t="n"/>
      <c r="AA319" s="126" t="n"/>
      <c r="AB319" s="126" t="n"/>
      <c r="AC319" s="126" t="n"/>
      <c r="AD319" s="126" t="n"/>
      <c r="AE319" s="126" t="n"/>
      <c r="AF319" s="126" t="n"/>
      <c r="AG319" s="126" t="n"/>
      <c r="AH319" s="126" t="n"/>
      <c r="AI319" s="126" t="n"/>
      <c r="AJ319" s="126" t="n"/>
      <c r="AK319" s="126" t="n"/>
      <c r="AL319" s="126" t="n"/>
      <c r="AM319" s="126" t="n"/>
    </row>
    <row r="320" ht="21" customFormat="1" customHeight="1" s="127">
      <c r="A320" s="250" t="n">
        <v>46578</v>
      </c>
      <c r="B320" s="63">
        <f>CHOOSE(WEEKDAY($A320,2),"Mon","Tue","Wed","Thu","Fri","Sat","Sun")</f>
        <v/>
      </c>
      <c r="C320" s="64" t="n"/>
      <c r="D320" s="64" t="n"/>
      <c r="E320" s="65">
        <f>IF($C320="","",$C320-N($D320))</f>
        <v/>
      </c>
      <c r="F320" s="65">
        <f>IF($C320="","",$C320-MAX(0,N($D320)-BreakAllow*$C320))</f>
        <v/>
      </c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1">
        <f>IF(COUNT(G320:R320)=0,"",SUM(G320:R320))</f>
        <v/>
      </c>
      <c r="T320" s="251">
        <f>IF($C320="","",IFERROR(INDEX(RateValues,MATCH(SUMPRODUCT(MAX((RateDates&lt;=$A320)*RateDates)),RateDates,0)),0))</f>
        <v/>
      </c>
      <c r="U320" s="252">
        <f>IF($C320="","",$F320*$T320)</f>
        <v/>
      </c>
      <c r="V320" s="253">
        <f>$A320-WEEKDAY($A320,2)+1</f>
        <v/>
      </c>
      <c r="W320" s="132">
        <f t="array" ref="W320">IF(AND($C320="",S320=""),"",IF(AND(N($C320)&gt;0,N(S320)=0),"nobody marked present",IF(N($D320)&gt;N($C320),"more broken than moulded",IF(AND($C320="",N(S320)&gt;0),"attendance marked but no blocks entered",IF(AND(N($C320)&gt;0,N(T320)=0),"no pay rate for this date - see Settings",IF(SUMPRODUCT((G320:R320&lt;&gt;"")*(G$5:R$5=""))&gt;0,"attendance in an empty worker slot",""))))))</f>
        <v/>
      </c>
      <c r="X320" s="133" t="n"/>
      <c r="Y320" s="125" t="n"/>
      <c r="Z320" s="126" t="n"/>
      <c r="AA320" s="126" t="n"/>
      <c r="AB320" s="126" t="n"/>
      <c r="AC320" s="126" t="n"/>
      <c r="AD320" s="126" t="n"/>
      <c r="AE320" s="126" t="n"/>
      <c r="AF320" s="126" t="n"/>
      <c r="AG320" s="126" t="n"/>
      <c r="AH320" s="126" t="n"/>
      <c r="AI320" s="126" t="n"/>
      <c r="AJ320" s="126" t="n"/>
      <c r="AK320" s="126" t="n"/>
      <c r="AL320" s="126" t="n"/>
      <c r="AM320" s="126" t="n"/>
    </row>
    <row r="321" ht="21" customFormat="1" customHeight="1" s="127">
      <c r="A321" s="254" t="n">
        <v>46579</v>
      </c>
      <c r="B321" s="70">
        <f>CHOOSE(WEEKDAY($A321,2),"Mon","Tue","Wed","Thu","Fri","Sat","Sun")</f>
        <v/>
      </c>
      <c r="C321" s="64" t="n"/>
      <c r="D321" s="64" t="n"/>
      <c r="E321" s="65">
        <f>IF($C321="","",$C321-N($D321))</f>
        <v/>
      </c>
      <c r="F321" s="65">
        <f>IF($C321="","",$C321-MAX(0,N($D321)-BreakAllow*$C321))</f>
        <v/>
      </c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1">
        <f>IF(COUNT(G321:R321)=0,"",SUM(G321:R321))</f>
        <v/>
      </c>
      <c r="T321" s="251">
        <f>IF($C321="","",IFERROR(INDEX(RateValues,MATCH(SUMPRODUCT(MAX((RateDates&lt;=$A321)*RateDates)),RateDates,0)),0))</f>
        <v/>
      </c>
      <c r="U321" s="252">
        <f>IF($C321="","",$F321*$T321)</f>
        <v/>
      </c>
      <c r="V321" s="253">
        <f>$A321-WEEKDAY($A321,2)+1</f>
        <v/>
      </c>
      <c r="W321" s="132">
        <f t="array" ref="W321">IF(AND($C321="",S321=""),"",IF(AND(N($C321)&gt;0,N(S321)=0),"nobody marked present",IF(N($D321)&gt;N($C321),"more broken than moulded",IF(AND($C321="",N(S321)&gt;0),"attendance marked but no blocks entered",IF(AND(N($C321)&gt;0,N(T321)=0),"no pay rate for this date - see Settings",IF(SUMPRODUCT((G321:R321&lt;&gt;"")*(G$5:R$5=""))&gt;0,"attendance in an empty worker slot",""))))))</f>
        <v/>
      </c>
      <c r="X321" s="133" t="n"/>
      <c r="Y321" s="125" t="n"/>
      <c r="Z321" s="126" t="n"/>
      <c r="AA321" s="126" t="n"/>
      <c r="AB321" s="126" t="n"/>
      <c r="AC321" s="126" t="n"/>
      <c r="AD321" s="126" t="n"/>
      <c r="AE321" s="126" t="n"/>
      <c r="AF321" s="126" t="n"/>
      <c r="AG321" s="126" t="n"/>
      <c r="AH321" s="126" t="n"/>
      <c r="AI321" s="126" t="n"/>
      <c r="AJ321" s="126" t="n"/>
      <c r="AK321" s="126" t="n"/>
      <c r="AL321" s="126" t="n"/>
      <c r="AM321" s="126" t="n"/>
    </row>
    <row r="322" ht="21" customFormat="1" customHeight="1" s="127">
      <c r="A322" s="250" t="n">
        <v>46580</v>
      </c>
      <c r="B322" s="63">
        <f>CHOOSE(WEEKDAY($A322,2),"Mon","Tue","Wed","Thu","Fri","Sat","Sun")</f>
        <v/>
      </c>
      <c r="C322" s="64" t="n"/>
      <c r="D322" s="64" t="n"/>
      <c r="E322" s="65">
        <f>IF($C322="","",$C322-N($D322))</f>
        <v/>
      </c>
      <c r="F322" s="65">
        <f>IF($C322="","",$C322-MAX(0,N($D322)-BreakAllow*$C322))</f>
        <v/>
      </c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1">
        <f>IF(COUNT(G322:R322)=0,"",SUM(G322:R322))</f>
        <v/>
      </c>
      <c r="T322" s="251">
        <f>IF($C322="","",IFERROR(INDEX(RateValues,MATCH(SUMPRODUCT(MAX((RateDates&lt;=$A322)*RateDates)),RateDates,0)),0))</f>
        <v/>
      </c>
      <c r="U322" s="252">
        <f>IF($C322="","",$F322*$T322)</f>
        <v/>
      </c>
      <c r="V322" s="253">
        <f>$A322-WEEKDAY($A322,2)+1</f>
        <v/>
      </c>
      <c r="W322" s="132">
        <f t="array" ref="W322">IF(AND($C322="",S322=""),"",IF(AND(N($C322)&gt;0,N(S322)=0),"nobody marked present",IF(N($D322)&gt;N($C322),"more broken than moulded",IF(AND($C322="",N(S322)&gt;0),"attendance marked but no blocks entered",IF(AND(N($C322)&gt;0,N(T322)=0),"no pay rate for this date - see Settings",IF(SUMPRODUCT((G322:R322&lt;&gt;"")*(G$5:R$5=""))&gt;0,"attendance in an empty worker slot",""))))))</f>
        <v/>
      </c>
      <c r="X322" s="133" t="n"/>
      <c r="Y322" s="125" t="n"/>
      <c r="Z322" s="126" t="n"/>
      <c r="AA322" s="126" t="n"/>
      <c r="AB322" s="126" t="n"/>
      <c r="AC322" s="126" t="n"/>
      <c r="AD322" s="126" t="n"/>
      <c r="AE322" s="126" t="n"/>
      <c r="AF322" s="126" t="n"/>
      <c r="AG322" s="126" t="n"/>
      <c r="AH322" s="126" t="n"/>
      <c r="AI322" s="126" t="n"/>
      <c r="AJ322" s="126" t="n"/>
      <c r="AK322" s="126" t="n"/>
      <c r="AL322" s="126" t="n"/>
      <c r="AM322" s="126" t="n"/>
    </row>
    <row r="323" ht="21" customFormat="1" customHeight="1" s="127">
      <c r="A323" s="250" t="n">
        <v>46581</v>
      </c>
      <c r="B323" s="63">
        <f>CHOOSE(WEEKDAY($A323,2),"Mon","Tue","Wed","Thu","Fri","Sat","Sun")</f>
        <v/>
      </c>
      <c r="C323" s="64" t="n"/>
      <c r="D323" s="64" t="n"/>
      <c r="E323" s="65">
        <f>IF($C323="","",$C323-N($D323))</f>
        <v/>
      </c>
      <c r="F323" s="65">
        <f>IF($C323="","",$C323-MAX(0,N($D323)-BreakAllow*$C323))</f>
        <v/>
      </c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1">
        <f>IF(COUNT(G323:R323)=0,"",SUM(G323:R323))</f>
        <v/>
      </c>
      <c r="T323" s="251">
        <f>IF($C323="","",IFERROR(INDEX(RateValues,MATCH(SUMPRODUCT(MAX((RateDates&lt;=$A323)*RateDates)),RateDates,0)),0))</f>
        <v/>
      </c>
      <c r="U323" s="252">
        <f>IF($C323="","",$F323*$T323)</f>
        <v/>
      </c>
      <c r="V323" s="253">
        <f>$A323-WEEKDAY($A323,2)+1</f>
        <v/>
      </c>
      <c r="W323" s="132">
        <f t="array" ref="W323">IF(AND($C323="",S323=""),"",IF(AND(N($C323)&gt;0,N(S323)=0),"nobody marked present",IF(N($D323)&gt;N($C323),"more broken than moulded",IF(AND($C323="",N(S323)&gt;0),"attendance marked but no blocks entered",IF(AND(N($C323)&gt;0,N(T323)=0),"no pay rate for this date - see Settings",IF(SUMPRODUCT((G323:R323&lt;&gt;"")*(G$5:R$5=""))&gt;0,"attendance in an empty worker slot",""))))))</f>
        <v/>
      </c>
      <c r="X323" s="133" t="n"/>
      <c r="Y323" s="125" t="n"/>
      <c r="Z323" s="126" t="n"/>
      <c r="AA323" s="126" t="n"/>
      <c r="AB323" s="126" t="n"/>
      <c r="AC323" s="126" t="n"/>
      <c r="AD323" s="126" t="n"/>
      <c r="AE323" s="126" t="n"/>
      <c r="AF323" s="126" t="n"/>
      <c r="AG323" s="126" t="n"/>
      <c r="AH323" s="126" t="n"/>
      <c r="AI323" s="126" t="n"/>
      <c r="AJ323" s="126" t="n"/>
      <c r="AK323" s="126" t="n"/>
      <c r="AL323" s="126" t="n"/>
      <c r="AM323" s="126" t="n"/>
    </row>
    <row r="324" ht="21" customFormat="1" customHeight="1" s="127">
      <c r="A324" s="250" t="n">
        <v>46582</v>
      </c>
      <c r="B324" s="63">
        <f>CHOOSE(WEEKDAY($A324,2),"Mon","Tue","Wed","Thu","Fri","Sat","Sun")</f>
        <v/>
      </c>
      <c r="C324" s="64" t="n"/>
      <c r="D324" s="64" t="n"/>
      <c r="E324" s="65">
        <f>IF($C324="","",$C324-N($D324))</f>
        <v/>
      </c>
      <c r="F324" s="65">
        <f>IF($C324="","",$C324-MAX(0,N($D324)-BreakAllow*$C324))</f>
        <v/>
      </c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1">
        <f>IF(COUNT(G324:R324)=0,"",SUM(G324:R324))</f>
        <v/>
      </c>
      <c r="T324" s="251">
        <f>IF($C324="","",IFERROR(INDEX(RateValues,MATCH(SUMPRODUCT(MAX((RateDates&lt;=$A324)*RateDates)),RateDates,0)),0))</f>
        <v/>
      </c>
      <c r="U324" s="252">
        <f>IF($C324="","",$F324*$T324)</f>
        <v/>
      </c>
      <c r="V324" s="253">
        <f>$A324-WEEKDAY($A324,2)+1</f>
        <v/>
      </c>
      <c r="W324" s="132">
        <f t="array" ref="W324">IF(AND($C324="",S324=""),"",IF(AND(N($C324)&gt;0,N(S324)=0),"nobody marked present",IF(N($D324)&gt;N($C324),"more broken than moulded",IF(AND($C324="",N(S324)&gt;0),"attendance marked but no blocks entered",IF(AND(N($C324)&gt;0,N(T324)=0),"no pay rate for this date - see Settings",IF(SUMPRODUCT((G324:R324&lt;&gt;"")*(G$5:R$5=""))&gt;0,"attendance in an empty worker slot",""))))))</f>
        <v/>
      </c>
      <c r="X324" s="133" t="n"/>
      <c r="Y324" s="125" t="n"/>
      <c r="Z324" s="126" t="n"/>
      <c r="AA324" s="126" t="n"/>
      <c r="AB324" s="126" t="n"/>
      <c r="AC324" s="126" t="n"/>
      <c r="AD324" s="126" t="n"/>
      <c r="AE324" s="126" t="n"/>
      <c r="AF324" s="126" t="n"/>
      <c r="AG324" s="126" t="n"/>
      <c r="AH324" s="126" t="n"/>
      <c r="AI324" s="126" t="n"/>
      <c r="AJ324" s="126" t="n"/>
      <c r="AK324" s="126" t="n"/>
      <c r="AL324" s="126" t="n"/>
      <c r="AM324" s="126" t="n"/>
    </row>
    <row r="325" ht="21" customFormat="1" customHeight="1" s="127">
      <c r="A325" s="250" t="n">
        <v>46583</v>
      </c>
      <c r="B325" s="63">
        <f>CHOOSE(WEEKDAY($A325,2),"Mon","Tue","Wed","Thu","Fri","Sat","Sun")</f>
        <v/>
      </c>
      <c r="C325" s="64" t="n"/>
      <c r="D325" s="64" t="n"/>
      <c r="E325" s="65">
        <f>IF($C325="","",$C325-N($D325))</f>
        <v/>
      </c>
      <c r="F325" s="65">
        <f>IF($C325="","",$C325-MAX(0,N($D325)-BreakAllow*$C325))</f>
        <v/>
      </c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1">
        <f>IF(COUNT(G325:R325)=0,"",SUM(G325:R325))</f>
        <v/>
      </c>
      <c r="T325" s="251">
        <f>IF($C325="","",IFERROR(INDEX(RateValues,MATCH(SUMPRODUCT(MAX((RateDates&lt;=$A325)*RateDates)),RateDates,0)),0))</f>
        <v/>
      </c>
      <c r="U325" s="252">
        <f>IF($C325="","",$F325*$T325)</f>
        <v/>
      </c>
      <c r="V325" s="253">
        <f>$A325-WEEKDAY($A325,2)+1</f>
        <v/>
      </c>
      <c r="W325" s="132">
        <f t="array" ref="W325">IF(AND($C325="",S325=""),"",IF(AND(N($C325)&gt;0,N(S325)=0),"nobody marked present",IF(N($D325)&gt;N($C325),"more broken than moulded",IF(AND($C325="",N(S325)&gt;0),"attendance marked but no blocks entered",IF(AND(N($C325)&gt;0,N(T325)=0),"no pay rate for this date - see Settings",IF(SUMPRODUCT((G325:R325&lt;&gt;"")*(G$5:R$5=""))&gt;0,"attendance in an empty worker slot",""))))))</f>
        <v/>
      </c>
      <c r="X325" s="133" t="n"/>
      <c r="Y325" s="125" t="n"/>
      <c r="Z325" s="126" t="n"/>
      <c r="AA325" s="126" t="n"/>
      <c r="AB325" s="126" t="n"/>
      <c r="AC325" s="126" t="n"/>
      <c r="AD325" s="126" t="n"/>
      <c r="AE325" s="126" t="n"/>
      <c r="AF325" s="126" t="n"/>
      <c r="AG325" s="126" t="n"/>
      <c r="AH325" s="126" t="n"/>
      <c r="AI325" s="126" t="n"/>
      <c r="AJ325" s="126" t="n"/>
      <c r="AK325" s="126" t="n"/>
      <c r="AL325" s="126" t="n"/>
      <c r="AM325" s="126" t="n"/>
    </row>
    <row r="326" ht="21" customFormat="1" customHeight="1" s="127">
      <c r="A326" s="250" t="n">
        <v>46584</v>
      </c>
      <c r="B326" s="63">
        <f>CHOOSE(WEEKDAY($A326,2),"Mon","Tue","Wed","Thu","Fri","Sat","Sun")</f>
        <v/>
      </c>
      <c r="C326" s="64" t="n"/>
      <c r="D326" s="64" t="n"/>
      <c r="E326" s="65">
        <f>IF($C326="","",$C326-N($D326))</f>
        <v/>
      </c>
      <c r="F326" s="65">
        <f>IF($C326="","",$C326-MAX(0,N($D326)-BreakAllow*$C326))</f>
        <v/>
      </c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1">
        <f>IF(COUNT(G326:R326)=0,"",SUM(G326:R326))</f>
        <v/>
      </c>
      <c r="T326" s="251">
        <f>IF($C326="","",IFERROR(INDEX(RateValues,MATCH(SUMPRODUCT(MAX((RateDates&lt;=$A326)*RateDates)),RateDates,0)),0))</f>
        <v/>
      </c>
      <c r="U326" s="252">
        <f>IF($C326="","",$F326*$T326)</f>
        <v/>
      </c>
      <c r="V326" s="253">
        <f>$A326-WEEKDAY($A326,2)+1</f>
        <v/>
      </c>
      <c r="W326" s="132">
        <f t="array" ref="W326">IF(AND($C326="",S326=""),"",IF(AND(N($C326)&gt;0,N(S326)=0),"nobody marked present",IF(N($D326)&gt;N($C326),"more broken than moulded",IF(AND($C326="",N(S326)&gt;0),"attendance marked but no blocks entered",IF(AND(N($C326)&gt;0,N(T326)=0),"no pay rate for this date - see Settings",IF(SUMPRODUCT((G326:R326&lt;&gt;"")*(G$5:R$5=""))&gt;0,"attendance in an empty worker slot",""))))))</f>
        <v/>
      </c>
      <c r="X326" s="133" t="n"/>
      <c r="Y326" s="125" t="n"/>
      <c r="Z326" s="126" t="n"/>
      <c r="AA326" s="126" t="n"/>
      <c r="AB326" s="126" t="n"/>
      <c r="AC326" s="126" t="n"/>
      <c r="AD326" s="126" t="n"/>
      <c r="AE326" s="126" t="n"/>
      <c r="AF326" s="126" t="n"/>
      <c r="AG326" s="126" t="n"/>
      <c r="AH326" s="126" t="n"/>
      <c r="AI326" s="126" t="n"/>
      <c r="AJ326" s="126" t="n"/>
      <c r="AK326" s="126" t="n"/>
      <c r="AL326" s="126" t="n"/>
      <c r="AM326" s="126" t="n"/>
    </row>
    <row r="327" ht="21" customFormat="1" customHeight="1" s="127">
      <c r="A327" s="250" t="n">
        <v>46585</v>
      </c>
      <c r="B327" s="63">
        <f>CHOOSE(WEEKDAY($A327,2),"Mon","Tue","Wed","Thu","Fri","Sat","Sun")</f>
        <v/>
      </c>
      <c r="C327" s="64" t="n"/>
      <c r="D327" s="64" t="n"/>
      <c r="E327" s="65">
        <f>IF($C327="","",$C327-N($D327))</f>
        <v/>
      </c>
      <c r="F327" s="65">
        <f>IF($C327="","",$C327-MAX(0,N($D327)-BreakAllow*$C327))</f>
        <v/>
      </c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1">
        <f>IF(COUNT(G327:R327)=0,"",SUM(G327:R327))</f>
        <v/>
      </c>
      <c r="T327" s="251">
        <f>IF($C327="","",IFERROR(INDEX(RateValues,MATCH(SUMPRODUCT(MAX((RateDates&lt;=$A327)*RateDates)),RateDates,0)),0))</f>
        <v/>
      </c>
      <c r="U327" s="252">
        <f>IF($C327="","",$F327*$T327)</f>
        <v/>
      </c>
      <c r="V327" s="253">
        <f>$A327-WEEKDAY($A327,2)+1</f>
        <v/>
      </c>
      <c r="W327" s="132">
        <f t="array" ref="W327">IF(AND($C327="",S327=""),"",IF(AND(N($C327)&gt;0,N(S327)=0),"nobody marked present",IF(N($D327)&gt;N($C327),"more broken than moulded",IF(AND($C327="",N(S327)&gt;0),"attendance marked but no blocks entered",IF(AND(N($C327)&gt;0,N(T327)=0),"no pay rate for this date - see Settings",IF(SUMPRODUCT((G327:R327&lt;&gt;"")*(G$5:R$5=""))&gt;0,"attendance in an empty worker slot",""))))))</f>
        <v/>
      </c>
      <c r="X327" s="133" t="n"/>
      <c r="Y327" s="125" t="n"/>
      <c r="Z327" s="126" t="n"/>
      <c r="AA327" s="126" t="n"/>
      <c r="AB327" s="126" t="n"/>
      <c r="AC327" s="126" t="n"/>
      <c r="AD327" s="126" t="n"/>
      <c r="AE327" s="126" t="n"/>
      <c r="AF327" s="126" t="n"/>
      <c r="AG327" s="126" t="n"/>
      <c r="AH327" s="126" t="n"/>
      <c r="AI327" s="126" t="n"/>
      <c r="AJ327" s="126" t="n"/>
      <c r="AK327" s="126" t="n"/>
      <c r="AL327" s="126" t="n"/>
      <c r="AM327" s="126" t="n"/>
    </row>
    <row r="328" ht="21" customFormat="1" customHeight="1" s="127">
      <c r="A328" s="254" t="n">
        <v>46586</v>
      </c>
      <c r="B328" s="70">
        <f>CHOOSE(WEEKDAY($A328,2),"Mon","Tue","Wed","Thu","Fri","Sat","Sun")</f>
        <v/>
      </c>
      <c r="C328" s="64" t="n"/>
      <c r="D328" s="64" t="n"/>
      <c r="E328" s="65">
        <f>IF($C328="","",$C328-N($D328))</f>
        <v/>
      </c>
      <c r="F328" s="65">
        <f>IF($C328="","",$C328-MAX(0,N($D328)-BreakAllow*$C328))</f>
        <v/>
      </c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1">
        <f>IF(COUNT(G328:R328)=0,"",SUM(G328:R328))</f>
        <v/>
      </c>
      <c r="T328" s="251">
        <f>IF($C328="","",IFERROR(INDEX(RateValues,MATCH(SUMPRODUCT(MAX((RateDates&lt;=$A328)*RateDates)),RateDates,0)),0))</f>
        <v/>
      </c>
      <c r="U328" s="252">
        <f>IF($C328="","",$F328*$T328)</f>
        <v/>
      </c>
      <c r="V328" s="253">
        <f>$A328-WEEKDAY($A328,2)+1</f>
        <v/>
      </c>
      <c r="W328" s="132">
        <f t="array" ref="W328">IF(AND($C328="",S328=""),"",IF(AND(N($C328)&gt;0,N(S328)=0),"nobody marked present",IF(N($D328)&gt;N($C328),"more broken than moulded",IF(AND($C328="",N(S328)&gt;0),"attendance marked but no blocks entered",IF(AND(N($C328)&gt;0,N(T328)=0),"no pay rate for this date - see Settings",IF(SUMPRODUCT((G328:R328&lt;&gt;"")*(G$5:R$5=""))&gt;0,"attendance in an empty worker slot",""))))))</f>
        <v/>
      </c>
      <c r="X328" s="133" t="n"/>
      <c r="Y328" s="125" t="n"/>
      <c r="Z328" s="126" t="n"/>
      <c r="AA328" s="126" t="n"/>
      <c r="AB328" s="126" t="n"/>
      <c r="AC328" s="126" t="n"/>
      <c r="AD328" s="126" t="n"/>
      <c r="AE328" s="126" t="n"/>
      <c r="AF328" s="126" t="n"/>
      <c r="AG328" s="126" t="n"/>
      <c r="AH328" s="126" t="n"/>
      <c r="AI328" s="126" t="n"/>
      <c r="AJ328" s="126" t="n"/>
      <c r="AK328" s="126" t="n"/>
      <c r="AL328" s="126" t="n"/>
      <c r="AM328" s="126" t="n"/>
    </row>
    <row r="329" ht="21" customFormat="1" customHeight="1" s="127">
      <c r="A329" s="250" t="n">
        <v>46587</v>
      </c>
      <c r="B329" s="63">
        <f>CHOOSE(WEEKDAY($A329,2),"Mon","Tue","Wed","Thu","Fri","Sat","Sun")</f>
        <v/>
      </c>
      <c r="C329" s="64" t="n"/>
      <c r="D329" s="64" t="n"/>
      <c r="E329" s="65">
        <f>IF($C329="","",$C329-N($D329))</f>
        <v/>
      </c>
      <c r="F329" s="65">
        <f>IF($C329="","",$C329-MAX(0,N($D329)-BreakAllow*$C329))</f>
        <v/>
      </c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1">
        <f>IF(COUNT(G329:R329)=0,"",SUM(G329:R329))</f>
        <v/>
      </c>
      <c r="T329" s="251">
        <f>IF($C329="","",IFERROR(INDEX(RateValues,MATCH(SUMPRODUCT(MAX((RateDates&lt;=$A329)*RateDates)),RateDates,0)),0))</f>
        <v/>
      </c>
      <c r="U329" s="252">
        <f>IF($C329="","",$F329*$T329)</f>
        <v/>
      </c>
      <c r="V329" s="253">
        <f>$A329-WEEKDAY($A329,2)+1</f>
        <v/>
      </c>
      <c r="W329" s="132">
        <f t="array" ref="W329">IF(AND($C329="",S329=""),"",IF(AND(N($C329)&gt;0,N(S329)=0),"nobody marked present",IF(N($D329)&gt;N($C329),"more broken than moulded",IF(AND($C329="",N(S329)&gt;0),"attendance marked but no blocks entered",IF(AND(N($C329)&gt;0,N(T329)=0),"no pay rate for this date - see Settings",IF(SUMPRODUCT((G329:R329&lt;&gt;"")*(G$5:R$5=""))&gt;0,"attendance in an empty worker slot",""))))))</f>
        <v/>
      </c>
      <c r="X329" s="133" t="n"/>
      <c r="Y329" s="125" t="n"/>
      <c r="Z329" s="126" t="n"/>
      <c r="AA329" s="126" t="n"/>
      <c r="AB329" s="126" t="n"/>
      <c r="AC329" s="126" t="n"/>
      <c r="AD329" s="126" t="n"/>
      <c r="AE329" s="126" t="n"/>
      <c r="AF329" s="126" t="n"/>
      <c r="AG329" s="126" t="n"/>
      <c r="AH329" s="126" t="n"/>
      <c r="AI329" s="126" t="n"/>
      <c r="AJ329" s="126" t="n"/>
      <c r="AK329" s="126" t="n"/>
      <c r="AL329" s="126" t="n"/>
      <c r="AM329" s="126" t="n"/>
    </row>
    <row r="330" ht="21" customFormat="1" customHeight="1" s="127">
      <c r="A330" s="250" t="n">
        <v>46588</v>
      </c>
      <c r="B330" s="63">
        <f>CHOOSE(WEEKDAY($A330,2),"Mon","Tue","Wed","Thu","Fri","Sat","Sun")</f>
        <v/>
      </c>
      <c r="C330" s="64" t="n"/>
      <c r="D330" s="64" t="n"/>
      <c r="E330" s="65">
        <f>IF($C330="","",$C330-N($D330))</f>
        <v/>
      </c>
      <c r="F330" s="65">
        <f>IF($C330="","",$C330-MAX(0,N($D330)-BreakAllow*$C330))</f>
        <v/>
      </c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1">
        <f>IF(COUNT(G330:R330)=0,"",SUM(G330:R330))</f>
        <v/>
      </c>
      <c r="T330" s="251">
        <f>IF($C330="","",IFERROR(INDEX(RateValues,MATCH(SUMPRODUCT(MAX((RateDates&lt;=$A330)*RateDates)),RateDates,0)),0))</f>
        <v/>
      </c>
      <c r="U330" s="252">
        <f>IF($C330="","",$F330*$T330)</f>
        <v/>
      </c>
      <c r="V330" s="253">
        <f>$A330-WEEKDAY($A330,2)+1</f>
        <v/>
      </c>
      <c r="W330" s="132">
        <f t="array" ref="W330">IF(AND($C330="",S330=""),"",IF(AND(N($C330)&gt;0,N(S330)=0),"nobody marked present",IF(N($D330)&gt;N($C330),"more broken than moulded",IF(AND($C330="",N(S330)&gt;0),"attendance marked but no blocks entered",IF(AND(N($C330)&gt;0,N(T330)=0),"no pay rate for this date - see Settings",IF(SUMPRODUCT((G330:R330&lt;&gt;"")*(G$5:R$5=""))&gt;0,"attendance in an empty worker slot",""))))))</f>
        <v/>
      </c>
      <c r="X330" s="133" t="n"/>
      <c r="Y330" s="125" t="n"/>
      <c r="Z330" s="126" t="n"/>
      <c r="AA330" s="126" t="n"/>
      <c r="AB330" s="126" t="n"/>
      <c r="AC330" s="126" t="n"/>
      <c r="AD330" s="126" t="n"/>
      <c r="AE330" s="126" t="n"/>
      <c r="AF330" s="126" t="n"/>
      <c r="AG330" s="126" t="n"/>
      <c r="AH330" s="126" t="n"/>
      <c r="AI330" s="126" t="n"/>
      <c r="AJ330" s="126" t="n"/>
      <c r="AK330" s="126" t="n"/>
      <c r="AL330" s="126" t="n"/>
      <c r="AM330" s="126" t="n"/>
    </row>
    <row r="331" ht="21" customFormat="1" customHeight="1" s="127">
      <c r="A331" s="250" t="n">
        <v>46589</v>
      </c>
      <c r="B331" s="63">
        <f>CHOOSE(WEEKDAY($A331,2),"Mon","Tue","Wed","Thu","Fri","Sat","Sun")</f>
        <v/>
      </c>
      <c r="C331" s="64" t="n"/>
      <c r="D331" s="64" t="n"/>
      <c r="E331" s="65">
        <f>IF($C331="","",$C331-N($D331))</f>
        <v/>
      </c>
      <c r="F331" s="65">
        <f>IF($C331="","",$C331-MAX(0,N($D331)-BreakAllow*$C331))</f>
        <v/>
      </c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1">
        <f>IF(COUNT(G331:R331)=0,"",SUM(G331:R331))</f>
        <v/>
      </c>
      <c r="T331" s="251">
        <f>IF($C331="","",IFERROR(INDEX(RateValues,MATCH(SUMPRODUCT(MAX((RateDates&lt;=$A331)*RateDates)),RateDates,0)),0))</f>
        <v/>
      </c>
      <c r="U331" s="252">
        <f>IF($C331="","",$F331*$T331)</f>
        <v/>
      </c>
      <c r="V331" s="253">
        <f>$A331-WEEKDAY($A331,2)+1</f>
        <v/>
      </c>
      <c r="W331" s="132">
        <f t="array" ref="W331">IF(AND($C331="",S331=""),"",IF(AND(N($C331)&gt;0,N(S331)=0),"nobody marked present",IF(N($D331)&gt;N($C331),"more broken than moulded",IF(AND($C331="",N(S331)&gt;0),"attendance marked but no blocks entered",IF(AND(N($C331)&gt;0,N(T331)=0),"no pay rate for this date - see Settings",IF(SUMPRODUCT((G331:R331&lt;&gt;"")*(G$5:R$5=""))&gt;0,"attendance in an empty worker slot",""))))))</f>
        <v/>
      </c>
      <c r="X331" s="133" t="n"/>
      <c r="Y331" s="125" t="n"/>
      <c r="Z331" s="126" t="n"/>
      <c r="AA331" s="126" t="n"/>
      <c r="AB331" s="126" t="n"/>
      <c r="AC331" s="126" t="n"/>
      <c r="AD331" s="126" t="n"/>
      <c r="AE331" s="126" t="n"/>
      <c r="AF331" s="126" t="n"/>
      <c r="AG331" s="126" t="n"/>
      <c r="AH331" s="126" t="n"/>
      <c r="AI331" s="126" t="n"/>
      <c r="AJ331" s="126" t="n"/>
      <c r="AK331" s="126" t="n"/>
      <c r="AL331" s="126" t="n"/>
      <c r="AM331" s="126" t="n"/>
    </row>
    <row r="332" ht="21" customFormat="1" customHeight="1" s="127">
      <c r="A332" s="250" t="n">
        <v>46590</v>
      </c>
      <c r="B332" s="63">
        <f>CHOOSE(WEEKDAY($A332,2),"Mon","Tue","Wed","Thu","Fri","Sat","Sun")</f>
        <v/>
      </c>
      <c r="C332" s="64" t="n"/>
      <c r="D332" s="64" t="n"/>
      <c r="E332" s="65">
        <f>IF($C332="","",$C332-N($D332))</f>
        <v/>
      </c>
      <c r="F332" s="65">
        <f>IF($C332="","",$C332-MAX(0,N($D332)-BreakAllow*$C332))</f>
        <v/>
      </c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1">
        <f>IF(COUNT(G332:R332)=0,"",SUM(G332:R332))</f>
        <v/>
      </c>
      <c r="T332" s="251">
        <f>IF($C332="","",IFERROR(INDEX(RateValues,MATCH(SUMPRODUCT(MAX((RateDates&lt;=$A332)*RateDates)),RateDates,0)),0))</f>
        <v/>
      </c>
      <c r="U332" s="252">
        <f>IF($C332="","",$F332*$T332)</f>
        <v/>
      </c>
      <c r="V332" s="253">
        <f>$A332-WEEKDAY($A332,2)+1</f>
        <v/>
      </c>
      <c r="W332" s="132">
        <f t="array" ref="W332">IF(AND($C332="",S332=""),"",IF(AND(N($C332)&gt;0,N(S332)=0),"nobody marked present",IF(N($D332)&gt;N($C332),"more broken than moulded",IF(AND($C332="",N(S332)&gt;0),"attendance marked but no blocks entered",IF(AND(N($C332)&gt;0,N(T332)=0),"no pay rate for this date - see Settings",IF(SUMPRODUCT((G332:R332&lt;&gt;"")*(G$5:R$5=""))&gt;0,"attendance in an empty worker slot",""))))))</f>
        <v/>
      </c>
      <c r="X332" s="133" t="n"/>
      <c r="Y332" s="125" t="n"/>
      <c r="Z332" s="126" t="n"/>
      <c r="AA332" s="126" t="n"/>
      <c r="AB332" s="126" t="n"/>
      <c r="AC332" s="126" t="n"/>
      <c r="AD332" s="126" t="n"/>
      <c r="AE332" s="126" t="n"/>
      <c r="AF332" s="126" t="n"/>
      <c r="AG332" s="126" t="n"/>
      <c r="AH332" s="126" t="n"/>
      <c r="AI332" s="126" t="n"/>
      <c r="AJ332" s="126" t="n"/>
      <c r="AK332" s="126" t="n"/>
      <c r="AL332" s="126" t="n"/>
      <c r="AM332" s="126" t="n"/>
    </row>
    <row r="333" ht="21" customFormat="1" customHeight="1" s="127">
      <c r="A333" s="250" t="n">
        <v>46591</v>
      </c>
      <c r="B333" s="63">
        <f>CHOOSE(WEEKDAY($A333,2),"Mon","Tue","Wed","Thu","Fri","Sat","Sun")</f>
        <v/>
      </c>
      <c r="C333" s="64" t="n"/>
      <c r="D333" s="64" t="n"/>
      <c r="E333" s="65">
        <f>IF($C333="","",$C333-N($D333))</f>
        <v/>
      </c>
      <c r="F333" s="65">
        <f>IF($C333="","",$C333-MAX(0,N($D333)-BreakAllow*$C333))</f>
        <v/>
      </c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1">
        <f>IF(COUNT(G333:R333)=0,"",SUM(G333:R333))</f>
        <v/>
      </c>
      <c r="T333" s="251">
        <f>IF($C333="","",IFERROR(INDEX(RateValues,MATCH(SUMPRODUCT(MAX((RateDates&lt;=$A333)*RateDates)),RateDates,0)),0))</f>
        <v/>
      </c>
      <c r="U333" s="252">
        <f>IF($C333="","",$F333*$T333)</f>
        <v/>
      </c>
      <c r="V333" s="253">
        <f>$A333-WEEKDAY($A333,2)+1</f>
        <v/>
      </c>
      <c r="W333" s="132">
        <f t="array" ref="W333">IF(AND($C333="",S333=""),"",IF(AND(N($C333)&gt;0,N(S333)=0),"nobody marked present",IF(N($D333)&gt;N($C333),"more broken than moulded",IF(AND($C333="",N(S333)&gt;0),"attendance marked but no blocks entered",IF(AND(N($C333)&gt;0,N(T333)=0),"no pay rate for this date - see Settings",IF(SUMPRODUCT((G333:R333&lt;&gt;"")*(G$5:R$5=""))&gt;0,"attendance in an empty worker slot",""))))))</f>
        <v/>
      </c>
      <c r="X333" s="133" t="n"/>
      <c r="Y333" s="125" t="n"/>
      <c r="Z333" s="126" t="n"/>
      <c r="AA333" s="126" t="n"/>
      <c r="AB333" s="126" t="n"/>
      <c r="AC333" s="126" t="n"/>
      <c r="AD333" s="126" t="n"/>
      <c r="AE333" s="126" t="n"/>
      <c r="AF333" s="126" t="n"/>
      <c r="AG333" s="126" t="n"/>
      <c r="AH333" s="126" t="n"/>
      <c r="AI333" s="126" t="n"/>
      <c r="AJ333" s="126" t="n"/>
      <c r="AK333" s="126" t="n"/>
      <c r="AL333" s="126" t="n"/>
      <c r="AM333" s="126" t="n"/>
    </row>
    <row r="334" ht="21" customFormat="1" customHeight="1" s="127">
      <c r="A334" s="250" t="n">
        <v>46592</v>
      </c>
      <c r="B334" s="63">
        <f>CHOOSE(WEEKDAY($A334,2),"Mon","Tue","Wed","Thu","Fri","Sat","Sun")</f>
        <v/>
      </c>
      <c r="C334" s="64" t="n"/>
      <c r="D334" s="64" t="n"/>
      <c r="E334" s="65">
        <f>IF($C334="","",$C334-N($D334))</f>
        <v/>
      </c>
      <c r="F334" s="65">
        <f>IF($C334="","",$C334-MAX(0,N($D334)-BreakAllow*$C334))</f>
        <v/>
      </c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1">
        <f>IF(COUNT(G334:R334)=0,"",SUM(G334:R334))</f>
        <v/>
      </c>
      <c r="T334" s="251">
        <f>IF($C334="","",IFERROR(INDEX(RateValues,MATCH(SUMPRODUCT(MAX((RateDates&lt;=$A334)*RateDates)),RateDates,0)),0))</f>
        <v/>
      </c>
      <c r="U334" s="252">
        <f>IF($C334="","",$F334*$T334)</f>
        <v/>
      </c>
      <c r="V334" s="253">
        <f>$A334-WEEKDAY($A334,2)+1</f>
        <v/>
      </c>
      <c r="W334" s="132">
        <f t="array" ref="W334">IF(AND($C334="",S334=""),"",IF(AND(N($C334)&gt;0,N(S334)=0),"nobody marked present",IF(N($D334)&gt;N($C334),"more broken than moulded",IF(AND($C334="",N(S334)&gt;0),"attendance marked but no blocks entered",IF(AND(N($C334)&gt;0,N(T334)=0),"no pay rate for this date - see Settings",IF(SUMPRODUCT((G334:R334&lt;&gt;"")*(G$5:R$5=""))&gt;0,"attendance in an empty worker slot",""))))))</f>
        <v/>
      </c>
      <c r="X334" s="133" t="n"/>
      <c r="Y334" s="125" t="n"/>
      <c r="Z334" s="126" t="n"/>
      <c r="AA334" s="126" t="n"/>
      <c r="AB334" s="126" t="n"/>
      <c r="AC334" s="126" t="n"/>
      <c r="AD334" s="126" t="n"/>
      <c r="AE334" s="126" t="n"/>
      <c r="AF334" s="126" t="n"/>
      <c r="AG334" s="126" t="n"/>
      <c r="AH334" s="126" t="n"/>
      <c r="AI334" s="126" t="n"/>
      <c r="AJ334" s="126" t="n"/>
      <c r="AK334" s="126" t="n"/>
      <c r="AL334" s="126" t="n"/>
      <c r="AM334" s="126" t="n"/>
    </row>
    <row r="335" ht="21" customFormat="1" customHeight="1" s="127">
      <c r="A335" s="254" t="n">
        <v>46593</v>
      </c>
      <c r="B335" s="70">
        <f>CHOOSE(WEEKDAY($A335,2),"Mon","Tue","Wed","Thu","Fri","Sat","Sun")</f>
        <v/>
      </c>
      <c r="C335" s="64" t="n"/>
      <c r="D335" s="64" t="n"/>
      <c r="E335" s="65">
        <f>IF($C335="","",$C335-N($D335))</f>
        <v/>
      </c>
      <c r="F335" s="65">
        <f>IF($C335="","",$C335-MAX(0,N($D335)-BreakAllow*$C335))</f>
        <v/>
      </c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1">
        <f>IF(COUNT(G335:R335)=0,"",SUM(G335:R335))</f>
        <v/>
      </c>
      <c r="T335" s="251">
        <f>IF($C335="","",IFERROR(INDEX(RateValues,MATCH(SUMPRODUCT(MAX((RateDates&lt;=$A335)*RateDates)),RateDates,0)),0))</f>
        <v/>
      </c>
      <c r="U335" s="252">
        <f>IF($C335="","",$F335*$T335)</f>
        <v/>
      </c>
      <c r="V335" s="253">
        <f>$A335-WEEKDAY($A335,2)+1</f>
        <v/>
      </c>
      <c r="W335" s="132">
        <f t="array" ref="W335">IF(AND($C335="",S335=""),"",IF(AND(N($C335)&gt;0,N(S335)=0),"nobody marked present",IF(N($D335)&gt;N($C335),"more broken than moulded",IF(AND($C335="",N(S335)&gt;0),"attendance marked but no blocks entered",IF(AND(N($C335)&gt;0,N(T335)=0),"no pay rate for this date - see Settings",IF(SUMPRODUCT((G335:R335&lt;&gt;"")*(G$5:R$5=""))&gt;0,"attendance in an empty worker slot",""))))))</f>
        <v/>
      </c>
      <c r="X335" s="133" t="n"/>
      <c r="Y335" s="125" t="n"/>
      <c r="Z335" s="126" t="n"/>
      <c r="AA335" s="126" t="n"/>
      <c r="AB335" s="126" t="n"/>
      <c r="AC335" s="126" t="n"/>
      <c r="AD335" s="126" t="n"/>
      <c r="AE335" s="126" t="n"/>
      <c r="AF335" s="126" t="n"/>
      <c r="AG335" s="126" t="n"/>
      <c r="AH335" s="126" t="n"/>
      <c r="AI335" s="126" t="n"/>
      <c r="AJ335" s="126" t="n"/>
      <c r="AK335" s="126" t="n"/>
      <c r="AL335" s="126" t="n"/>
      <c r="AM335" s="126" t="n"/>
    </row>
    <row r="336" ht="21" customFormat="1" customHeight="1" s="127">
      <c r="A336" s="250" t="n">
        <v>46594</v>
      </c>
      <c r="B336" s="63">
        <f>CHOOSE(WEEKDAY($A336,2),"Mon","Tue","Wed","Thu","Fri","Sat","Sun")</f>
        <v/>
      </c>
      <c r="C336" s="64" t="n"/>
      <c r="D336" s="64" t="n"/>
      <c r="E336" s="65">
        <f>IF($C336="","",$C336-N($D336))</f>
        <v/>
      </c>
      <c r="F336" s="65">
        <f>IF($C336="","",$C336-MAX(0,N($D336)-BreakAllow*$C336))</f>
        <v/>
      </c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1">
        <f>IF(COUNT(G336:R336)=0,"",SUM(G336:R336))</f>
        <v/>
      </c>
      <c r="T336" s="251">
        <f>IF($C336="","",IFERROR(INDEX(RateValues,MATCH(SUMPRODUCT(MAX((RateDates&lt;=$A336)*RateDates)),RateDates,0)),0))</f>
        <v/>
      </c>
      <c r="U336" s="252">
        <f>IF($C336="","",$F336*$T336)</f>
        <v/>
      </c>
      <c r="V336" s="253">
        <f>$A336-WEEKDAY($A336,2)+1</f>
        <v/>
      </c>
      <c r="W336" s="132">
        <f t="array" ref="W336">IF(AND($C336="",S336=""),"",IF(AND(N($C336)&gt;0,N(S336)=0),"nobody marked present",IF(N($D336)&gt;N($C336),"more broken than moulded",IF(AND($C336="",N(S336)&gt;0),"attendance marked but no blocks entered",IF(AND(N($C336)&gt;0,N(T336)=0),"no pay rate for this date - see Settings",IF(SUMPRODUCT((G336:R336&lt;&gt;"")*(G$5:R$5=""))&gt;0,"attendance in an empty worker slot",""))))))</f>
        <v/>
      </c>
      <c r="X336" s="133" t="n"/>
      <c r="Y336" s="125" t="n"/>
      <c r="Z336" s="126" t="n"/>
      <c r="AA336" s="126" t="n"/>
      <c r="AB336" s="126" t="n"/>
      <c r="AC336" s="126" t="n"/>
      <c r="AD336" s="126" t="n"/>
      <c r="AE336" s="126" t="n"/>
      <c r="AF336" s="126" t="n"/>
      <c r="AG336" s="126" t="n"/>
      <c r="AH336" s="126" t="n"/>
      <c r="AI336" s="126" t="n"/>
      <c r="AJ336" s="126" t="n"/>
      <c r="AK336" s="126" t="n"/>
      <c r="AL336" s="126" t="n"/>
      <c r="AM336" s="126" t="n"/>
    </row>
    <row r="337" ht="21" customFormat="1" customHeight="1" s="127">
      <c r="A337" s="250" t="n">
        <v>46595</v>
      </c>
      <c r="B337" s="63">
        <f>CHOOSE(WEEKDAY($A337,2),"Mon","Tue","Wed","Thu","Fri","Sat","Sun")</f>
        <v/>
      </c>
      <c r="C337" s="64" t="n"/>
      <c r="D337" s="64" t="n"/>
      <c r="E337" s="65">
        <f>IF($C337="","",$C337-N($D337))</f>
        <v/>
      </c>
      <c r="F337" s="65">
        <f>IF($C337="","",$C337-MAX(0,N($D337)-BreakAllow*$C337))</f>
        <v/>
      </c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1">
        <f>IF(COUNT(G337:R337)=0,"",SUM(G337:R337))</f>
        <v/>
      </c>
      <c r="T337" s="251">
        <f>IF($C337="","",IFERROR(INDEX(RateValues,MATCH(SUMPRODUCT(MAX((RateDates&lt;=$A337)*RateDates)),RateDates,0)),0))</f>
        <v/>
      </c>
      <c r="U337" s="252">
        <f>IF($C337="","",$F337*$T337)</f>
        <v/>
      </c>
      <c r="V337" s="253">
        <f>$A337-WEEKDAY($A337,2)+1</f>
        <v/>
      </c>
      <c r="W337" s="132">
        <f t="array" ref="W337">IF(AND($C337="",S337=""),"",IF(AND(N($C337)&gt;0,N(S337)=0),"nobody marked present",IF(N($D337)&gt;N($C337),"more broken than moulded",IF(AND($C337="",N(S337)&gt;0),"attendance marked but no blocks entered",IF(AND(N($C337)&gt;0,N(T337)=0),"no pay rate for this date - see Settings",IF(SUMPRODUCT((G337:R337&lt;&gt;"")*(G$5:R$5=""))&gt;0,"attendance in an empty worker slot",""))))))</f>
        <v/>
      </c>
      <c r="X337" s="133" t="n"/>
      <c r="Y337" s="125" t="n"/>
      <c r="Z337" s="126" t="n"/>
      <c r="AA337" s="126" t="n"/>
      <c r="AB337" s="126" t="n"/>
      <c r="AC337" s="126" t="n"/>
      <c r="AD337" s="126" t="n"/>
      <c r="AE337" s="126" t="n"/>
      <c r="AF337" s="126" t="n"/>
      <c r="AG337" s="126" t="n"/>
      <c r="AH337" s="126" t="n"/>
      <c r="AI337" s="126" t="n"/>
      <c r="AJ337" s="126" t="n"/>
      <c r="AK337" s="126" t="n"/>
      <c r="AL337" s="126" t="n"/>
      <c r="AM337" s="126" t="n"/>
    </row>
    <row r="338" ht="21" customFormat="1" customHeight="1" s="127">
      <c r="A338" s="250" t="n">
        <v>46596</v>
      </c>
      <c r="B338" s="63">
        <f>CHOOSE(WEEKDAY($A338,2),"Mon","Tue","Wed","Thu","Fri","Sat","Sun")</f>
        <v/>
      </c>
      <c r="C338" s="64" t="n"/>
      <c r="D338" s="64" t="n"/>
      <c r="E338" s="65">
        <f>IF($C338="","",$C338-N($D338))</f>
        <v/>
      </c>
      <c r="F338" s="65">
        <f>IF($C338="","",$C338-MAX(0,N($D338)-BreakAllow*$C338))</f>
        <v/>
      </c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1">
        <f>IF(COUNT(G338:R338)=0,"",SUM(G338:R338))</f>
        <v/>
      </c>
      <c r="T338" s="251">
        <f>IF($C338="","",IFERROR(INDEX(RateValues,MATCH(SUMPRODUCT(MAX((RateDates&lt;=$A338)*RateDates)),RateDates,0)),0))</f>
        <v/>
      </c>
      <c r="U338" s="252">
        <f>IF($C338="","",$F338*$T338)</f>
        <v/>
      </c>
      <c r="V338" s="253">
        <f>$A338-WEEKDAY($A338,2)+1</f>
        <v/>
      </c>
      <c r="W338" s="132">
        <f t="array" ref="W338">IF(AND($C338="",S338=""),"",IF(AND(N($C338)&gt;0,N(S338)=0),"nobody marked present",IF(N($D338)&gt;N($C338),"more broken than moulded",IF(AND($C338="",N(S338)&gt;0),"attendance marked but no blocks entered",IF(AND(N($C338)&gt;0,N(T338)=0),"no pay rate for this date - see Settings",IF(SUMPRODUCT((G338:R338&lt;&gt;"")*(G$5:R$5=""))&gt;0,"attendance in an empty worker slot",""))))))</f>
        <v/>
      </c>
      <c r="X338" s="133" t="n"/>
      <c r="Y338" s="125" t="n"/>
      <c r="Z338" s="126" t="n"/>
      <c r="AA338" s="126" t="n"/>
      <c r="AB338" s="126" t="n"/>
      <c r="AC338" s="126" t="n"/>
      <c r="AD338" s="126" t="n"/>
      <c r="AE338" s="126" t="n"/>
      <c r="AF338" s="126" t="n"/>
      <c r="AG338" s="126" t="n"/>
      <c r="AH338" s="126" t="n"/>
      <c r="AI338" s="126" t="n"/>
      <c r="AJ338" s="126" t="n"/>
      <c r="AK338" s="126" t="n"/>
      <c r="AL338" s="126" t="n"/>
      <c r="AM338" s="126" t="n"/>
    </row>
    <row r="339" ht="21" customFormat="1" customHeight="1" s="127">
      <c r="A339" s="250" t="n">
        <v>46597</v>
      </c>
      <c r="B339" s="63">
        <f>CHOOSE(WEEKDAY($A339,2),"Mon","Tue","Wed","Thu","Fri","Sat","Sun")</f>
        <v/>
      </c>
      <c r="C339" s="64" t="n"/>
      <c r="D339" s="64" t="n"/>
      <c r="E339" s="65">
        <f>IF($C339="","",$C339-N($D339))</f>
        <v/>
      </c>
      <c r="F339" s="65">
        <f>IF($C339="","",$C339-MAX(0,N($D339)-BreakAllow*$C339))</f>
        <v/>
      </c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1">
        <f>IF(COUNT(G339:R339)=0,"",SUM(G339:R339))</f>
        <v/>
      </c>
      <c r="T339" s="251">
        <f>IF($C339="","",IFERROR(INDEX(RateValues,MATCH(SUMPRODUCT(MAX((RateDates&lt;=$A339)*RateDates)),RateDates,0)),0))</f>
        <v/>
      </c>
      <c r="U339" s="252">
        <f>IF($C339="","",$F339*$T339)</f>
        <v/>
      </c>
      <c r="V339" s="253">
        <f>$A339-WEEKDAY($A339,2)+1</f>
        <v/>
      </c>
      <c r="W339" s="132">
        <f t="array" ref="W339">IF(AND($C339="",S339=""),"",IF(AND(N($C339)&gt;0,N(S339)=0),"nobody marked present",IF(N($D339)&gt;N($C339),"more broken than moulded",IF(AND($C339="",N(S339)&gt;0),"attendance marked but no blocks entered",IF(AND(N($C339)&gt;0,N(T339)=0),"no pay rate for this date - see Settings",IF(SUMPRODUCT((G339:R339&lt;&gt;"")*(G$5:R$5=""))&gt;0,"attendance in an empty worker slot",""))))))</f>
        <v/>
      </c>
      <c r="X339" s="133" t="n"/>
      <c r="Y339" s="125" t="n"/>
      <c r="Z339" s="126" t="n"/>
      <c r="AA339" s="126" t="n"/>
      <c r="AB339" s="126" t="n"/>
      <c r="AC339" s="126" t="n"/>
      <c r="AD339" s="126" t="n"/>
      <c r="AE339" s="126" t="n"/>
      <c r="AF339" s="126" t="n"/>
      <c r="AG339" s="126" t="n"/>
      <c r="AH339" s="126" t="n"/>
      <c r="AI339" s="126" t="n"/>
      <c r="AJ339" s="126" t="n"/>
      <c r="AK339" s="126" t="n"/>
      <c r="AL339" s="126" t="n"/>
      <c r="AM339" s="126" t="n"/>
    </row>
    <row r="340" ht="21" customFormat="1" customHeight="1" s="127">
      <c r="A340" s="250" t="n">
        <v>46598</v>
      </c>
      <c r="B340" s="63">
        <f>CHOOSE(WEEKDAY($A340,2),"Mon","Tue","Wed","Thu","Fri","Sat","Sun")</f>
        <v/>
      </c>
      <c r="C340" s="64" t="n"/>
      <c r="D340" s="64" t="n"/>
      <c r="E340" s="65">
        <f>IF($C340="","",$C340-N($D340))</f>
        <v/>
      </c>
      <c r="F340" s="65">
        <f>IF($C340="","",$C340-MAX(0,N($D340)-BreakAllow*$C340))</f>
        <v/>
      </c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1">
        <f>IF(COUNT(G340:R340)=0,"",SUM(G340:R340))</f>
        <v/>
      </c>
      <c r="T340" s="251">
        <f>IF($C340="","",IFERROR(INDEX(RateValues,MATCH(SUMPRODUCT(MAX((RateDates&lt;=$A340)*RateDates)),RateDates,0)),0))</f>
        <v/>
      </c>
      <c r="U340" s="252">
        <f>IF($C340="","",$F340*$T340)</f>
        <v/>
      </c>
      <c r="V340" s="253">
        <f>$A340-WEEKDAY($A340,2)+1</f>
        <v/>
      </c>
      <c r="W340" s="132">
        <f t="array" ref="W340">IF(AND($C340="",S340=""),"",IF(AND(N($C340)&gt;0,N(S340)=0),"nobody marked present",IF(N($D340)&gt;N($C340),"more broken than moulded",IF(AND($C340="",N(S340)&gt;0),"attendance marked but no blocks entered",IF(AND(N($C340)&gt;0,N(T340)=0),"no pay rate for this date - see Settings",IF(SUMPRODUCT((G340:R340&lt;&gt;"")*(G$5:R$5=""))&gt;0,"attendance in an empty worker slot",""))))))</f>
        <v/>
      </c>
      <c r="X340" s="133" t="n"/>
      <c r="Y340" s="125" t="n"/>
      <c r="Z340" s="126" t="n"/>
      <c r="AA340" s="126" t="n"/>
      <c r="AB340" s="126" t="n"/>
      <c r="AC340" s="126" t="n"/>
      <c r="AD340" s="126" t="n"/>
      <c r="AE340" s="126" t="n"/>
      <c r="AF340" s="126" t="n"/>
      <c r="AG340" s="126" t="n"/>
      <c r="AH340" s="126" t="n"/>
      <c r="AI340" s="126" t="n"/>
      <c r="AJ340" s="126" t="n"/>
      <c r="AK340" s="126" t="n"/>
      <c r="AL340" s="126" t="n"/>
      <c r="AM340" s="126" t="n"/>
    </row>
    <row r="341" ht="21" customFormat="1" customHeight="1" s="127">
      <c r="A341" s="250" t="n">
        <v>46599</v>
      </c>
      <c r="B341" s="63">
        <f>CHOOSE(WEEKDAY($A341,2),"Mon","Tue","Wed","Thu","Fri","Sat","Sun")</f>
        <v/>
      </c>
      <c r="C341" s="64" t="n"/>
      <c r="D341" s="64" t="n"/>
      <c r="E341" s="65">
        <f>IF($C341="","",$C341-N($D341))</f>
        <v/>
      </c>
      <c r="F341" s="65">
        <f>IF($C341="","",$C341-MAX(0,N($D341)-BreakAllow*$C341))</f>
        <v/>
      </c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1">
        <f>IF(COUNT(G341:R341)=0,"",SUM(G341:R341))</f>
        <v/>
      </c>
      <c r="T341" s="251">
        <f>IF($C341="","",IFERROR(INDEX(RateValues,MATCH(SUMPRODUCT(MAX((RateDates&lt;=$A341)*RateDates)),RateDates,0)),0))</f>
        <v/>
      </c>
      <c r="U341" s="252">
        <f>IF($C341="","",$F341*$T341)</f>
        <v/>
      </c>
      <c r="V341" s="253">
        <f>$A341-WEEKDAY($A341,2)+1</f>
        <v/>
      </c>
      <c r="W341" s="132">
        <f t="array" ref="W341">IF(AND($C341="",S341=""),"",IF(AND(N($C341)&gt;0,N(S341)=0),"nobody marked present",IF(N($D341)&gt;N($C341),"more broken than moulded",IF(AND($C341="",N(S341)&gt;0),"attendance marked but no blocks entered",IF(AND(N($C341)&gt;0,N(T341)=0),"no pay rate for this date - see Settings",IF(SUMPRODUCT((G341:R341&lt;&gt;"")*(G$5:R$5=""))&gt;0,"attendance in an empty worker slot",""))))))</f>
        <v/>
      </c>
      <c r="X341" s="133" t="n"/>
      <c r="Y341" s="125" t="n"/>
      <c r="Z341" s="126" t="n"/>
      <c r="AA341" s="126" t="n"/>
      <c r="AB341" s="126" t="n"/>
      <c r="AC341" s="126" t="n"/>
      <c r="AD341" s="126" t="n"/>
      <c r="AE341" s="126" t="n"/>
      <c r="AF341" s="126" t="n"/>
      <c r="AG341" s="126" t="n"/>
      <c r="AH341" s="126" t="n"/>
      <c r="AI341" s="126" t="n"/>
      <c r="AJ341" s="126" t="n"/>
      <c r="AK341" s="126" t="n"/>
      <c r="AL341" s="126" t="n"/>
      <c r="AM341" s="126" t="n"/>
    </row>
    <row r="342" ht="21" customFormat="1" customHeight="1" s="127">
      <c r="A342" s="254" t="n">
        <v>46600</v>
      </c>
      <c r="B342" s="70">
        <f>CHOOSE(WEEKDAY($A342,2),"Mon","Tue","Wed","Thu","Fri","Sat","Sun")</f>
        <v/>
      </c>
      <c r="C342" s="64" t="n"/>
      <c r="D342" s="64" t="n"/>
      <c r="E342" s="65">
        <f>IF($C342="","",$C342-N($D342))</f>
        <v/>
      </c>
      <c r="F342" s="65">
        <f>IF($C342="","",$C342-MAX(0,N($D342)-BreakAllow*$C342))</f>
        <v/>
      </c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1">
        <f>IF(COUNT(G342:R342)=0,"",SUM(G342:R342))</f>
        <v/>
      </c>
      <c r="T342" s="251">
        <f>IF($C342="","",IFERROR(INDEX(RateValues,MATCH(SUMPRODUCT(MAX((RateDates&lt;=$A342)*RateDates)),RateDates,0)),0))</f>
        <v/>
      </c>
      <c r="U342" s="252">
        <f>IF($C342="","",$F342*$T342)</f>
        <v/>
      </c>
      <c r="V342" s="253">
        <f>$A342-WEEKDAY($A342,2)+1</f>
        <v/>
      </c>
      <c r="W342" s="132">
        <f t="array" ref="W342">IF(AND($C342="",S342=""),"",IF(AND(N($C342)&gt;0,N(S342)=0),"nobody marked present",IF(N($D342)&gt;N($C342),"more broken than moulded",IF(AND($C342="",N(S342)&gt;0),"attendance marked but no blocks entered",IF(AND(N($C342)&gt;0,N(T342)=0),"no pay rate for this date - see Settings",IF(SUMPRODUCT((G342:R342&lt;&gt;"")*(G$5:R$5=""))&gt;0,"attendance in an empty worker slot",""))))))</f>
        <v/>
      </c>
      <c r="X342" s="133" t="n"/>
      <c r="Y342" s="125" t="n"/>
      <c r="Z342" s="126" t="n"/>
      <c r="AA342" s="126" t="n"/>
      <c r="AB342" s="126" t="n"/>
      <c r="AC342" s="126" t="n"/>
      <c r="AD342" s="126" t="n"/>
      <c r="AE342" s="126" t="n"/>
      <c r="AF342" s="126" t="n"/>
      <c r="AG342" s="126" t="n"/>
      <c r="AH342" s="126" t="n"/>
      <c r="AI342" s="126" t="n"/>
      <c r="AJ342" s="126" t="n"/>
      <c r="AK342" s="126" t="n"/>
      <c r="AL342" s="126" t="n"/>
      <c r="AM342" s="126" t="n"/>
    </row>
    <row r="343" ht="21" customFormat="1" customHeight="1" s="127">
      <c r="A343" s="250" t="n">
        <v>46601</v>
      </c>
      <c r="B343" s="63">
        <f>CHOOSE(WEEKDAY($A343,2),"Mon","Tue","Wed","Thu","Fri","Sat","Sun")</f>
        <v/>
      </c>
      <c r="C343" s="64" t="n"/>
      <c r="D343" s="64" t="n"/>
      <c r="E343" s="65">
        <f>IF($C343="","",$C343-N($D343))</f>
        <v/>
      </c>
      <c r="F343" s="65">
        <f>IF($C343="","",$C343-MAX(0,N($D343)-BreakAllow*$C343))</f>
        <v/>
      </c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1">
        <f>IF(COUNT(G343:R343)=0,"",SUM(G343:R343))</f>
        <v/>
      </c>
      <c r="T343" s="251">
        <f>IF($C343="","",IFERROR(INDEX(RateValues,MATCH(SUMPRODUCT(MAX((RateDates&lt;=$A343)*RateDates)),RateDates,0)),0))</f>
        <v/>
      </c>
      <c r="U343" s="252">
        <f>IF($C343="","",$F343*$T343)</f>
        <v/>
      </c>
      <c r="V343" s="253">
        <f>$A343-WEEKDAY($A343,2)+1</f>
        <v/>
      </c>
      <c r="W343" s="132">
        <f t="array" ref="W343">IF(AND($C343="",S343=""),"",IF(AND(N($C343)&gt;0,N(S343)=0),"nobody marked present",IF(N($D343)&gt;N($C343),"more broken than moulded",IF(AND($C343="",N(S343)&gt;0),"attendance marked but no blocks entered",IF(AND(N($C343)&gt;0,N(T343)=0),"no pay rate for this date - see Settings",IF(SUMPRODUCT((G343:R343&lt;&gt;"")*(G$5:R$5=""))&gt;0,"attendance in an empty worker slot",""))))))</f>
        <v/>
      </c>
      <c r="X343" s="133" t="n"/>
      <c r="Y343" s="125" t="n"/>
      <c r="Z343" s="126" t="n"/>
      <c r="AA343" s="126" t="n"/>
      <c r="AB343" s="126" t="n"/>
      <c r="AC343" s="126" t="n"/>
      <c r="AD343" s="126" t="n"/>
      <c r="AE343" s="126" t="n"/>
      <c r="AF343" s="126" t="n"/>
      <c r="AG343" s="126" t="n"/>
      <c r="AH343" s="126" t="n"/>
      <c r="AI343" s="126" t="n"/>
      <c r="AJ343" s="126" t="n"/>
      <c r="AK343" s="126" t="n"/>
      <c r="AL343" s="126" t="n"/>
      <c r="AM343" s="126" t="n"/>
    </row>
    <row r="344" ht="21" customFormat="1" customHeight="1" s="127">
      <c r="A344" s="250" t="n">
        <v>46602</v>
      </c>
      <c r="B344" s="63">
        <f>CHOOSE(WEEKDAY($A344,2),"Mon","Tue","Wed","Thu","Fri","Sat","Sun")</f>
        <v/>
      </c>
      <c r="C344" s="64" t="n"/>
      <c r="D344" s="64" t="n"/>
      <c r="E344" s="65">
        <f>IF($C344="","",$C344-N($D344))</f>
        <v/>
      </c>
      <c r="F344" s="65">
        <f>IF($C344="","",$C344-MAX(0,N($D344)-BreakAllow*$C344))</f>
        <v/>
      </c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1">
        <f>IF(COUNT(G344:R344)=0,"",SUM(G344:R344))</f>
        <v/>
      </c>
      <c r="T344" s="251">
        <f>IF($C344="","",IFERROR(INDEX(RateValues,MATCH(SUMPRODUCT(MAX((RateDates&lt;=$A344)*RateDates)),RateDates,0)),0))</f>
        <v/>
      </c>
      <c r="U344" s="252">
        <f>IF($C344="","",$F344*$T344)</f>
        <v/>
      </c>
      <c r="V344" s="253">
        <f>$A344-WEEKDAY($A344,2)+1</f>
        <v/>
      </c>
      <c r="W344" s="132">
        <f t="array" ref="W344">IF(AND($C344="",S344=""),"",IF(AND(N($C344)&gt;0,N(S344)=0),"nobody marked present",IF(N($D344)&gt;N($C344),"more broken than moulded",IF(AND($C344="",N(S344)&gt;0),"attendance marked but no blocks entered",IF(AND(N($C344)&gt;0,N(T344)=0),"no pay rate for this date - see Settings",IF(SUMPRODUCT((G344:R344&lt;&gt;"")*(G$5:R$5=""))&gt;0,"attendance in an empty worker slot",""))))))</f>
        <v/>
      </c>
      <c r="X344" s="133" t="n"/>
      <c r="Y344" s="125" t="n"/>
      <c r="Z344" s="126" t="n"/>
      <c r="AA344" s="126" t="n"/>
      <c r="AB344" s="126" t="n"/>
      <c r="AC344" s="126" t="n"/>
      <c r="AD344" s="126" t="n"/>
      <c r="AE344" s="126" t="n"/>
      <c r="AF344" s="126" t="n"/>
      <c r="AG344" s="126" t="n"/>
      <c r="AH344" s="126" t="n"/>
      <c r="AI344" s="126" t="n"/>
      <c r="AJ344" s="126" t="n"/>
      <c r="AK344" s="126" t="n"/>
      <c r="AL344" s="126" t="n"/>
      <c r="AM344" s="126" t="n"/>
    </row>
    <row r="345" ht="21" customFormat="1" customHeight="1" s="127">
      <c r="A345" s="250" t="n">
        <v>46603</v>
      </c>
      <c r="B345" s="63">
        <f>CHOOSE(WEEKDAY($A345,2),"Mon","Tue","Wed","Thu","Fri","Sat","Sun")</f>
        <v/>
      </c>
      <c r="C345" s="64" t="n"/>
      <c r="D345" s="64" t="n"/>
      <c r="E345" s="65">
        <f>IF($C345="","",$C345-N($D345))</f>
        <v/>
      </c>
      <c r="F345" s="65">
        <f>IF($C345="","",$C345-MAX(0,N($D345)-BreakAllow*$C345))</f>
        <v/>
      </c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1">
        <f>IF(COUNT(G345:R345)=0,"",SUM(G345:R345))</f>
        <v/>
      </c>
      <c r="T345" s="251">
        <f>IF($C345="","",IFERROR(INDEX(RateValues,MATCH(SUMPRODUCT(MAX((RateDates&lt;=$A345)*RateDates)),RateDates,0)),0))</f>
        <v/>
      </c>
      <c r="U345" s="252">
        <f>IF($C345="","",$F345*$T345)</f>
        <v/>
      </c>
      <c r="V345" s="253">
        <f>$A345-WEEKDAY($A345,2)+1</f>
        <v/>
      </c>
      <c r="W345" s="132">
        <f t="array" ref="W345">IF(AND($C345="",S345=""),"",IF(AND(N($C345)&gt;0,N(S345)=0),"nobody marked present",IF(N($D345)&gt;N($C345),"more broken than moulded",IF(AND($C345="",N(S345)&gt;0),"attendance marked but no blocks entered",IF(AND(N($C345)&gt;0,N(T345)=0),"no pay rate for this date - see Settings",IF(SUMPRODUCT((G345:R345&lt;&gt;"")*(G$5:R$5=""))&gt;0,"attendance in an empty worker slot",""))))))</f>
        <v/>
      </c>
      <c r="X345" s="133" t="n"/>
      <c r="Y345" s="125" t="n"/>
      <c r="Z345" s="126" t="n"/>
      <c r="AA345" s="126" t="n"/>
      <c r="AB345" s="126" t="n"/>
      <c r="AC345" s="126" t="n"/>
      <c r="AD345" s="126" t="n"/>
      <c r="AE345" s="126" t="n"/>
      <c r="AF345" s="126" t="n"/>
      <c r="AG345" s="126" t="n"/>
      <c r="AH345" s="126" t="n"/>
      <c r="AI345" s="126" t="n"/>
      <c r="AJ345" s="126" t="n"/>
      <c r="AK345" s="126" t="n"/>
      <c r="AL345" s="126" t="n"/>
      <c r="AM345" s="126" t="n"/>
    </row>
    <row r="346" ht="21" customFormat="1" customHeight="1" s="127">
      <c r="A346" s="250" t="n">
        <v>46604</v>
      </c>
      <c r="B346" s="63">
        <f>CHOOSE(WEEKDAY($A346,2),"Mon","Tue","Wed","Thu","Fri","Sat","Sun")</f>
        <v/>
      </c>
      <c r="C346" s="64" t="n"/>
      <c r="D346" s="64" t="n"/>
      <c r="E346" s="65">
        <f>IF($C346="","",$C346-N($D346))</f>
        <v/>
      </c>
      <c r="F346" s="65">
        <f>IF($C346="","",$C346-MAX(0,N($D346)-BreakAllow*$C346))</f>
        <v/>
      </c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1">
        <f>IF(COUNT(G346:R346)=0,"",SUM(G346:R346))</f>
        <v/>
      </c>
      <c r="T346" s="251">
        <f>IF($C346="","",IFERROR(INDEX(RateValues,MATCH(SUMPRODUCT(MAX((RateDates&lt;=$A346)*RateDates)),RateDates,0)),0))</f>
        <v/>
      </c>
      <c r="U346" s="252">
        <f>IF($C346="","",$F346*$T346)</f>
        <v/>
      </c>
      <c r="V346" s="253">
        <f>$A346-WEEKDAY($A346,2)+1</f>
        <v/>
      </c>
      <c r="W346" s="132">
        <f t="array" ref="W346">IF(AND($C346="",S346=""),"",IF(AND(N($C346)&gt;0,N(S346)=0),"nobody marked present",IF(N($D346)&gt;N($C346),"more broken than moulded",IF(AND($C346="",N(S346)&gt;0),"attendance marked but no blocks entered",IF(AND(N($C346)&gt;0,N(T346)=0),"no pay rate for this date - see Settings",IF(SUMPRODUCT((G346:R346&lt;&gt;"")*(G$5:R$5=""))&gt;0,"attendance in an empty worker slot",""))))))</f>
        <v/>
      </c>
      <c r="X346" s="133" t="n"/>
      <c r="Y346" s="125" t="n"/>
      <c r="Z346" s="126" t="n"/>
      <c r="AA346" s="126" t="n"/>
      <c r="AB346" s="126" t="n"/>
      <c r="AC346" s="126" t="n"/>
      <c r="AD346" s="126" t="n"/>
      <c r="AE346" s="126" t="n"/>
      <c r="AF346" s="126" t="n"/>
      <c r="AG346" s="126" t="n"/>
      <c r="AH346" s="126" t="n"/>
      <c r="AI346" s="126" t="n"/>
      <c r="AJ346" s="126" t="n"/>
      <c r="AK346" s="126" t="n"/>
      <c r="AL346" s="126" t="n"/>
      <c r="AM346" s="126" t="n"/>
    </row>
    <row r="347" ht="21" customFormat="1" customHeight="1" s="127">
      <c r="A347" s="250" t="n">
        <v>46605</v>
      </c>
      <c r="B347" s="63">
        <f>CHOOSE(WEEKDAY($A347,2),"Mon","Tue","Wed","Thu","Fri","Sat","Sun")</f>
        <v/>
      </c>
      <c r="C347" s="64" t="n"/>
      <c r="D347" s="64" t="n"/>
      <c r="E347" s="65">
        <f>IF($C347="","",$C347-N($D347))</f>
        <v/>
      </c>
      <c r="F347" s="65">
        <f>IF($C347="","",$C347-MAX(0,N($D347)-BreakAllow*$C347))</f>
        <v/>
      </c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1">
        <f>IF(COUNT(G347:R347)=0,"",SUM(G347:R347))</f>
        <v/>
      </c>
      <c r="T347" s="251">
        <f>IF($C347="","",IFERROR(INDEX(RateValues,MATCH(SUMPRODUCT(MAX((RateDates&lt;=$A347)*RateDates)),RateDates,0)),0))</f>
        <v/>
      </c>
      <c r="U347" s="252">
        <f>IF($C347="","",$F347*$T347)</f>
        <v/>
      </c>
      <c r="V347" s="253">
        <f>$A347-WEEKDAY($A347,2)+1</f>
        <v/>
      </c>
      <c r="W347" s="132">
        <f t="array" ref="W347">IF(AND($C347="",S347=""),"",IF(AND(N($C347)&gt;0,N(S347)=0),"nobody marked present",IF(N($D347)&gt;N($C347),"more broken than moulded",IF(AND($C347="",N(S347)&gt;0),"attendance marked but no blocks entered",IF(AND(N($C347)&gt;0,N(T347)=0),"no pay rate for this date - see Settings",IF(SUMPRODUCT((G347:R347&lt;&gt;"")*(G$5:R$5=""))&gt;0,"attendance in an empty worker slot",""))))))</f>
        <v/>
      </c>
      <c r="X347" s="133" t="n"/>
      <c r="Y347" s="125" t="n"/>
      <c r="Z347" s="126" t="n"/>
      <c r="AA347" s="126" t="n"/>
      <c r="AB347" s="126" t="n"/>
      <c r="AC347" s="126" t="n"/>
      <c r="AD347" s="126" t="n"/>
      <c r="AE347" s="126" t="n"/>
      <c r="AF347" s="126" t="n"/>
      <c r="AG347" s="126" t="n"/>
      <c r="AH347" s="126" t="n"/>
      <c r="AI347" s="126" t="n"/>
      <c r="AJ347" s="126" t="n"/>
      <c r="AK347" s="126" t="n"/>
      <c r="AL347" s="126" t="n"/>
      <c r="AM347" s="126" t="n"/>
    </row>
    <row r="348" ht="21" customFormat="1" customHeight="1" s="127">
      <c r="A348" s="250" t="n">
        <v>46606</v>
      </c>
      <c r="B348" s="63">
        <f>CHOOSE(WEEKDAY($A348,2),"Mon","Tue","Wed","Thu","Fri","Sat","Sun")</f>
        <v/>
      </c>
      <c r="C348" s="64" t="n"/>
      <c r="D348" s="64" t="n"/>
      <c r="E348" s="65">
        <f>IF($C348="","",$C348-N($D348))</f>
        <v/>
      </c>
      <c r="F348" s="65">
        <f>IF($C348="","",$C348-MAX(0,N($D348)-BreakAllow*$C348))</f>
        <v/>
      </c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1">
        <f>IF(COUNT(G348:R348)=0,"",SUM(G348:R348))</f>
        <v/>
      </c>
      <c r="T348" s="251">
        <f>IF($C348="","",IFERROR(INDEX(RateValues,MATCH(SUMPRODUCT(MAX((RateDates&lt;=$A348)*RateDates)),RateDates,0)),0))</f>
        <v/>
      </c>
      <c r="U348" s="252">
        <f>IF($C348="","",$F348*$T348)</f>
        <v/>
      </c>
      <c r="V348" s="253">
        <f>$A348-WEEKDAY($A348,2)+1</f>
        <v/>
      </c>
      <c r="W348" s="132">
        <f t="array" ref="W348">IF(AND($C348="",S348=""),"",IF(AND(N($C348)&gt;0,N(S348)=0),"nobody marked present",IF(N($D348)&gt;N($C348),"more broken than moulded",IF(AND($C348="",N(S348)&gt;0),"attendance marked but no blocks entered",IF(AND(N($C348)&gt;0,N(T348)=0),"no pay rate for this date - see Settings",IF(SUMPRODUCT((G348:R348&lt;&gt;"")*(G$5:R$5=""))&gt;0,"attendance in an empty worker slot",""))))))</f>
        <v/>
      </c>
      <c r="X348" s="133" t="n"/>
      <c r="Y348" s="125" t="n"/>
      <c r="Z348" s="126" t="n"/>
      <c r="AA348" s="126" t="n"/>
      <c r="AB348" s="126" t="n"/>
      <c r="AC348" s="126" t="n"/>
      <c r="AD348" s="126" t="n"/>
      <c r="AE348" s="126" t="n"/>
      <c r="AF348" s="126" t="n"/>
      <c r="AG348" s="126" t="n"/>
      <c r="AH348" s="126" t="n"/>
      <c r="AI348" s="126" t="n"/>
      <c r="AJ348" s="126" t="n"/>
      <c r="AK348" s="126" t="n"/>
      <c r="AL348" s="126" t="n"/>
      <c r="AM348" s="126" t="n"/>
    </row>
    <row r="349" ht="21" customFormat="1" customHeight="1" s="127">
      <c r="A349" s="254" t="n">
        <v>46607</v>
      </c>
      <c r="B349" s="70">
        <f>CHOOSE(WEEKDAY($A349,2),"Mon","Tue","Wed","Thu","Fri","Sat","Sun")</f>
        <v/>
      </c>
      <c r="C349" s="64" t="n"/>
      <c r="D349" s="64" t="n"/>
      <c r="E349" s="65">
        <f>IF($C349="","",$C349-N($D349))</f>
        <v/>
      </c>
      <c r="F349" s="65">
        <f>IF($C349="","",$C349-MAX(0,N($D349)-BreakAllow*$C349))</f>
        <v/>
      </c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1">
        <f>IF(COUNT(G349:R349)=0,"",SUM(G349:R349))</f>
        <v/>
      </c>
      <c r="T349" s="251">
        <f>IF($C349="","",IFERROR(INDEX(RateValues,MATCH(SUMPRODUCT(MAX((RateDates&lt;=$A349)*RateDates)),RateDates,0)),0))</f>
        <v/>
      </c>
      <c r="U349" s="252">
        <f>IF($C349="","",$F349*$T349)</f>
        <v/>
      </c>
      <c r="V349" s="253">
        <f>$A349-WEEKDAY($A349,2)+1</f>
        <v/>
      </c>
      <c r="W349" s="132">
        <f t="array" ref="W349">IF(AND($C349="",S349=""),"",IF(AND(N($C349)&gt;0,N(S349)=0),"nobody marked present",IF(N($D349)&gt;N($C349),"more broken than moulded",IF(AND($C349="",N(S349)&gt;0),"attendance marked but no blocks entered",IF(AND(N($C349)&gt;0,N(T349)=0),"no pay rate for this date - see Settings",IF(SUMPRODUCT((G349:R349&lt;&gt;"")*(G$5:R$5=""))&gt;0,"attendance in an empty worker slot",""))))))</f>
        <v/>
      </c>
      <c r="X349" s="133" t="n"/>
      <c r="Y349" s="125" t="n"/>
      <c r="Z349" s="126" t="n"/>
      <c r="AA349" s="126" t="n"/>
      <c r="AB349" s="126" t="n"/>
      <c r="AC349" s="126" t="n"/>
      <c r="AD349" s="126" t="n"/>
      <c r="AE349" s="126" t="n"/>
      <c r="AF349" s="126" t="n"/>
      <c r="AG349" s="126" t="n"/>
      <c r="AH349" s="126" t="n"/>
      <c r="AI349" s="126" t="n"/>
      <c r="AJ349" s="126" t="n"/>
      <c r="AK349" s="126" t="n"/>
      <c r="AL349" s="126" t="n"/>
      <c r="AM349" s="126" t="n"/>
    </row>
    <row r="350" ht="21" customFormat="1" customHeight="1" s="127">
      <c r="A350" s="250" t="n">
        <v>46608</v>
      </c>
      <c r="B350" s="63">
        <f>CHOOSE(WEEKDAY($A350,2),"Mon","Tue","Wed","Thu","Fri","Sat","Sun")</f>
        <v/>
      </c>
      <c r="C350" s="64" t="n"/>
      <c r="D350" s="64" t="n"/>
      <c r="E350" s="65">
        <f>IF($C350="","",$C350-N($D350))</f>
        <v/>
      </c>
      <c r="F350" s="65">
        <f>IF($C350="","",$C350-MAX(0,N($D350)-BreakAllow*$C350))</f>
        <v/>
      </c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1">
        <f>IF(COUNT(G350:R350)=0,"",SUM(G350:R350))</f>
        <v/>
      </c>
      <c r="T350" s="251">
        <f>IF($C350="","",IFERROR(INDEX(RateValues,MATCH(SUMPRODUCT(MAX((RateDates&lt;=$A350)*RateDates)),RateDates,0)),0))</f>
        <v/>
      </c>
      <c r="U350" s="252">
        <f>IF($C350="","",$F350*$T350)</f>
        <v/>
      </c>
      <c r="V350" s="253">
        <f>$A350-WEEKDAY($A350,2)+1</f>
        <v/>
      </c>
      <c r="W350" s="132">
        <f t="array" ref="W350">IF(AND($C350="",S350=""),"",IF(AND(N($C350)&gt;0,N(S350)=0),"nobody marked present",IF(N($D350)&gt;N($C350),"more broken than moulded",IF(AND($C350="",N(S350)&gt;0),"attendance marked but no blocks entered",IF(AND(N($C350)&gt;0,N(T350)=0),"no pay rate for this date - see Settings",IF(SUMPRODUCT((G350:R350&lt;&gt;"")*(G$5:R$5=""))&gt;0,"attendance in an empty worker slot",""))))))</f>
        <v/>
      </c>
      <c r="X350" s="133" t="n"/>
      <c r="Y350" s="125" t="n"/>
      <c r="Z350" s="126" t="n"/>
      <c r="AA350" s="126" t="n"/>
      <c r="AB350" s="126" t="n"/>
      <c r="AC350" s="126" t="n"/>
      <c r="AD350" s="126" t="n"/>
      <c r="AE350" s="126" t="n"/>
      <c r="AF350" s="126" t="n"/>
      <c r="AG350" s="126" t="n"/>
      <c r="AH350" s="126" t="n"/>
      <c r="AI350" s="126" t="n"/>
      <c r="AJ350" s="126" t="n"/>
      <c r="AK350" s="126" t="n"/>
      <c r="AL350" s="126" t="n"/>
      <c r="AM350" s="126" t="n"/>
    </row>
    <row r="351" ht="21" customFormat="1" customHeight="1" s="127">
      <c r="A351" s="250" t="n">
        <v>46609</v>
      </c>
      <c r="B351" s="63">
        <f>CHOOSE(WEEKDAY($A351,2),"Mon","Tue","Wed","Thu","Fri","Sat","Sun")</f>
        <v/>
      </c>
      <c r="C351" s="64" t="n"/>
      <c r="D351" s="64" t="n"/>
      <c r="E351" s="65">
        <f>IF($C351="","",$C351-N($D351))</f>
        <v/>
      </c>
      <c r="F351" s="65">
        <f>IF($C351="","",$C351-MAX(0,N($D351)-BreakAllow*$C351))</f>
        <v/>
      </c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1">
        <f>IF(COUNT(G351:R351)=0,"",SUM(G351:R351))</f>
        <v/>
      </c>
      <c r="T351" s="251">
        <f>IF($C351="","",IFERROR(INDEX(RateValues,MATCH(SUMPRODUCT(MAX((RateDates&lt;=$A351)*RateDates)),RateDates,0)),0))</f>
        <v/>
      </c>
      <c r="U351" s="252">
        <f>IF($C351="","",$F351*$T351)</f>
        <v/>
      </c>
      <c r="V351" s="253">
        <f>$A351-WEEKDAY($A351,2)+1</f>
        <v/>
      </c>
      <c r="W351" s="132">
        <f t="array" ref="W351">IF(AND($C351="",S351=""),"",IF(AND(N($C351)&gt;0,N(S351)=0),"nobody marked present",IF(N($D351)&gt;N($C351),"more broken than moulded",IF(AND($C351="",N(S351)&gt;0),"attendance marked but no blocks entered",IF(AND(N($C351)&gt;0,N(T351)=0),"no pay rate for this date - see Settings",IF(SUMPRODUCT((G351:R351&lt;&gt;"")*(G$5:R$5=""))&gt;0,"attendance in an empty worker slot",""))))))</f>
        <v/>
      </c>
      <c r="X351" s="133" t="n"/>
      <c r="Y351" s="125" t="n"/>
      <c r="Z351" s="126" t="n"/>
      <c r="AA351" s="126" t="n"/>
      <c r="AB351" s="126" t="n"/>
      <c r="AC351" s="126" t="n"/>
      <c r="AD351" s="126" t="n"/>
      <c r="AE351" s="126" t="n"/>
      <c r="AF351" s="126" t="n"/>
      <c r="AG351" s="126" t="n"/>
      <c r="AH351" s="126" t="n"/>
      <c r="AI351" s="126" t="n"/>
      <c r="AJ351" s="126" t="n"/>
      <c r="AK351" s="126" t="n"/>
      <c r="AL351" s="126" t="n"/>
      <c r="AM351" s="126" t="n"/>
    </row>
    <row r="352" ht="21" customFormat="1" customHeight="1" s="127">
      <c r="A352" s="250" t="n">
        <v>46610</v>
      </c>
      <c r="B352" s="63">
        <f>CHOOSE(WEEKDAY($A352,2),"Mon","Tue","Wed","Thu","Fri","Sat","Sun")</f>
        <v/>
      </c>
      <c r="C352" s="64" t="n"/>
      <c r="D352" s="64" t="n"/>
      <c r="E352" s="65">
        <f>IF($C352="","",$C352-N($D352))</f>
        <v/>
      </c>
      <c r="F352" s="65">
        <f>IF($C352="","",$C352-MAX(0,N($D352)-BreakAllow*$C352))</f>
        <v/>
      </c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1">
        <f>IF(COUNT(G352:R352)=0,"",SUM(G352:R352))</f>
        <v/>
      </c>
      <c r="T352" s="251">
        <f>IF($C352="","",IFERROR(INDEX(RateValues,MATCH(SUMPRODUCT(MAX((RateDates&lt;=$A352)*RateDates)),RateDates,0)),0))</f>
        <v/>
      </c>
      <c r="U352" s="252">
        <f>IF($C352="","",$F352*$T352)</f>
        <v/>
      </c>
      <c r="V352" s="253">
        <f>$A352-WEEKDAY($A352,2)+1</f>
        <v/>
      </c>
      <c r="W352" s="132">
        <f t="array" ref="W352">IF(AND($C352="",S352=""),"",IF(AND(N($C352)&gt;0,N(S352)=0),"nobody marked present",IF(N($D352)&gt;N($C352),"more broken than moulded",IF(AND($C352="",N(S352)&gt;0),"attendance marked but no blocks entered",IF(AND(N($C352)&gt;0,N(T352)=0),"no pay rate for this date - see Settings",IF(SUMPRODUCT((G352:R352&lt;&gt;"")*(G$5:R$5=""))&gt;0,"attendance in an empty worker slot",""))))))</f>
        <v/>
      </c>
      <c r="X352" s="133" t="n"/>
      <c r="Y352" s="125" t="n"/>
      <c r="Z352" s="126" t="n"/>
      <c r="AA352" s="126" t="n"/>
      <c r="AB352" s="126" t="n"/>
      <c r="AC352" s="126" t="n"/>
      <c r="AD352" s="126" t="n"/>
      <c r="AE352" s="126" t="n"/>
      <c r="AF352" s="126" t="n"/>
      <c r="AG352" s="126" t="n"/>
      <c r="AH352" s="126" t="n"/>
      <c r="AI352" s="126" t="n"/>
      <c r="AJ352" s="126" t="n"/>
      <c r="AK352" s="126" t="n"/>
      <c r="AL352" s="126" t="n"/>
      <c r="AM352" s="126" t="n"/>
    </row>
    <row r="353" ht="21" customFormat="1" customHeight="1" s="127">
      <c r="A353" s="250" t="n">
        <v>46611</v>
      </c>
      <c r="B353" s="63">
        <f>CHOOSE(WEEKDAY($A353,2),"Mon","Tue","Wed","Thu","Fri","Sat","Sun")</f>
        <v/>
      </c>
      <c r="C353" s="64" t="n"/>
      <c r="D353" s="64" t="n"/>
      <c r="E353" s="65">
        <f>IF($C353="","",$C353-N($D353))</f>
        <v/>
      </c>
      <c r="F353" s="65">
        <f>IF($C353="","",$C353-MAX(0,N($D353)-BreakAllow*$C353))</f>
        <v/>
      </c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1">
        <f>IF(COUNT(G353:R353)=0,"",SUM(G353:R353))</f>
        <v/>
      </c>
      <c r="T353" s="251">
        <f>IF($C353="","",IFERROR(INDEX(RateValues,MATCH(SUMPRODUCT(MAX((RateDates&lt;=$A353)*RateDates)),RateDates,0)),0))</f>
        <v/>
      </c>
      <c r="U353" s="252">
        <f>IF($C353="","",$F353*$T353)</f>
        <v/>
      </c>
      <c r="V353" s="253">
        <f>$A353-WEEKDAY($A353,2)+1</f>
        <v/>
      </c>
      <c r="W353" s="132">
        <f t="array" ref="W353">IF(AND($C353="",S353=""),"",IF(AND(N($C353)&gt;0,N(S353)=0),"nobody marked present",IF(N($D353)&gt;N($C353),"more broken than moulded",IF(AND($C353="",N(S353)&gt;0),"attendance marked but no blocks entered",IF(AND(N($C353)&gt;0,N(T353)=0),"no pay rate for this date - see Settings",IF(SUMPRODUCT((G353:R353&lt;&gt;"")*(G$5:R$5=""))&gt;0,"attendance in an empty worker slot",""))))))</f>
        <v/>
      </c>
      <c r="X353" s="133" t="n"/>
      <c r="Y353" s="125" t="n"/>
      <c r="Z353" s="126" t="n"/>
      <c r="AA353" s="126" t="n"/>
      <c r="AB353" s="126" t="n"/>
      <c r="AC353" s="126" t="n"/>
      <c r="AD353" s="126" t="n"/>
      <c r="AE353" s="126" t="n"/>
      <c r="AF353" s="126" t="n"/>
      <c r="AG353" s="126" t="n"/>
      <c r="AH353" s="126" t="n"/>
      <c r="AI353" s="126" t="n"/>
      <c r="AJ353" s="126" t="n"/>
      <c r="AK353" s="126" t="n"/>
      <c r="AL353" s="126" t="n"/>
      <c r="AM353" s="126" t="n"/>
    </row>
    <row r="354" ht="21" customFormat="1" customHeight="1" s="127">
      <c r="A354" s="250" t="n">
        <v>46612</v>
      </c>
      <c r="B354" s="63">
        <f>CHOOSE(WEEKDAY($A354,2),"Mon","Tue","Wed","Thu","Fri","Sat","Sun")</f>
        <v/>
      </c>
      <c r="C354" s="64" t="n"/>
      <c r="D354" s="64" t="n"/>
      <c r="E354" s="65">
        <f>IF($C354="","",$C354-N($D354))</f>
        <v/>
      </c>
      <c r="F354" s="65">
        <f>IF($C354="","",$C354-MAX(0,N($D354)-BreakAllow*$C354))</f>
        <v/>
      </c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1">
        <f>IF(COUNT(G354:R354)=0,"",SUM(G354:R354))</f>
        <v/>
      </c>
      <c r="T354" s="251">
        <f>IF($C354="","",IFERROR(INDEX(RateValues,MATCH(SUMPRODUCT(MAX((RateDates&lt;=$A354)*RateDates)),RateDates,0)),0))</f>
        <v/>
      </c>
      <c r="U354" s="252">
        <f>IF($C354="","",$F354*$T354)</f>
        <v/>
      </c>
      <c r="V354" s="253">
        <f>$A354-WEEKDAY($A354,2)+1</f>
        <v/>
      </c>
      <c r="W354" s="132">
        <f t="array" ref="W354">IF(AND($C354="",S354=""),"",IF(AND(N($C354)&gt;0,N(S354)=0),"nobody marked present",IF(N($D354)&gt;N($C354),"more broken than moulded",IF(AND($C354="",N(S354)&gt;0),"attendance marked but no blocks entered",IF(AND(N($C354)&gt;0,N(T354)=0),"no pay rate for this date - see Settings",IF(SUMPRODUCT((G354:R354&lt;&gt;"")*(G$5:R$5=""))&gt;0,"attendance in an empty worker slot",""))))))</f>
        <v/>
      </c>
      <c r="X354" s="133" t="n"/>
      <c r="Y354" s="125" t="n"/>
      <c r="Z354" s="126" t="n"/>
      <c r="AA354" s="126" t="n"/>
      <c r="AB354" s="126" t="n"/>
      <c r="AC354" s="126" t="n"/>
      <c r="AD354" s="126" t="n"/>
      <c r="AE354" s="126" t="n"/>
      <c r="AF354" s="126" t="n"/>
      <c r="AG354" s="126" t="n"/>
      <c r="AH354" s="126" t="n"/>
      <c r="AI354" s="126" t="n"/>
      <c r="AJ354" s="126" t="n"/>
      <c r="AK354" s="126" t="n"/>
      <c r="AL354" s="126" t="n"/>
      <c r="AM354" s="126" t="n"/>
    </row>
    <row r="355" ht="21" customFormat="1" customHeight="1" s="127">
      <c r="A355" s="250" t="n">
        <v>46613</v>
      </c>
      <c r="B355" s="63">
        <f>CHOOSE(WEEKDAY($A355,2),"Mon","Tue","Wed","Thu","Fri","Sat","Sun")</f>
        <v/>
      </c>
      <c r="C355" s="64" t="n"/>
      <c r="D355" s="64" t="n"/>
      <c r="E355" s="65">
        <f>IF($C355="","",$C355-N($D355))</f>
        <v/>
      </c>
      <c r="F355" s="65">
        <f>IF($C355="","",$C355-MAX(0,N($D355)-BreakAllow*$C355))</f>
        <v/>
      </c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1">
        <f>IF(COUNT(G355:R355)=0,"",SUM(G355:R355))</f>
        <v/>
      </c>
      <c r="T355" s="251">
        <f>IF($C355="","",IFERROR(INDEX(RateValues,MATCH(SUMPRODUCT(MAX((RateDates&lt;=$A355)*RateDates)),RateDates,0)),0))</f>
        <v/>
      </c>
      <c r="U355" s="252">
        <f>IF($C355="","",$F355*$T355)</f>
        <v/>
      </c>
      <c r="V355" s="253">
        <f>$A355-WEEKDAY($A355,2)+1</f>
        <v/>
      </c>
      <c r="W355" s="132">
        <f t="array" ref="W355">IF(AND($C355="",S355=""),"",IF(AND(N($C355)&gt;0,N(S355)=0),"nobody marked present",IF(N($D355)&gt;N($C355),"more broken than moulded",IF(AND($C355="",N(S355)&gt;0),"attendance marked but no blocks entered",IF(AND(N($C355)&gt;0,N(T355)=0),"no pay rate for this date - see Settings",IF(SUMPRODUCT((G355:R355&lt;&gt;"")*(G$5:R$5=""))&gt;0,"attendance in an empty worker slot",""))))))</f>
        <v/>
      </c>
      <c r="X355" s="133" t="n"/>
      <c r="Y355" s="125" t="n"/>
      <c r="Z355" s="126" t="n"/>
      <c r="AA355" s="126" t="n"/>
      <c r="AB355" s="126" t="n"/>
      <c r="AC355" s="126" t="n"/>
      <c r="AD355" s="126" t="n"/>
      <c r="AE355" s="126" t="n"/>
      <c r="AF355" s="126" t="n"/>
      <c r="AG355" s="126" t="n"/>
      <c r="AH355" s="126" t="n"/>
      <c r="AI355" s="126" t="n"/>
      <c r="AJ355" s="126" t="n"/>
      <c r="AK355" s="126" t="n"/>
      <c r="AL355" s="126" t="n"/>
      <c r="AM355" s="126" t="n"/>
    </row>
    <row r="356" ht="21" customFormat="1" customHeight="1" s="127">
      <c r="A356" s="254" t="n">
        <v>46614</v>
      </c>
      <c r="B356" s="70">
        <f>CHOOSE(WEEKDAY($A356,2),"Mon","Tue","Wed","Thu","Fri","Sat","Sun")</f>
        <v/>
      </c>
      <c r="C356" s="64" t="n"/>
      <c r="D356" s="64" t="n"/>
      <c r="E356" s="65">
        <f>IF($C356="","",$C356-N($D356))</f>
        <v/>
      </c>
      <c r="F356" s="65">
        <f>IF($C356="","",$C356-MAX(0,N($D356)-BreakAllow*$C356))</f>
        <v/>
      </c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1">
        <f>IF(COUNT(G356:R356)=0,"",SUM(G356:R356))</f>
        <v/>
      </c>
      <c r="T356" s="251">
        <f>IF($C356="","",IFERROR(INDEX(RateValues,MATCH(SUMPRODUCT(MAX((RateDates&lt;=$A356)*RateDates)),RateDates,0)),0))</f>
        <v/>
      </c>
      <c r="U356" s="252">
        <f>IF($C356="","",$F356*$T356)</f>
        <v/>
      </c>
      <c r="V356" s="253">
        <f>$A356-WEEKDAY($A356,2)+1</f>
        <v/>
      </c>
      <c r="W356" s="132">
        <f t="array" ref="W356">IF(AND($C356="",S356=""),"",IF(AND(N($C356)&gt;0,N(S356)=0),"nobody marked present",IF(N($D356)&gt;N($C356),"more broken than moulded",IF(AND($C356="",N(S356)&gt;0),"attendance marked but no blocks entered",IF(AND(N($C356)&gt;0,N(T356)=0),"no pay rate for this date - see Settings",IF(SUMPRODUCT((G356:R356&lt;&gt;"")*(G$5:R$5=""))&gt;0,"attendance in an empty worker slot",""))))))</f>
        <v/>
      </c>
      <c r="X356" s="133" t="n"/>
      <c r="Y356" s="125" t="n"/>
      <c r="Z356" s="126" t="n"/>
      <c r="AA356" s="126" t="n"/>
      <c r="AB356" s="126" t="n"/>
      <c r="AC356" s="126" t="n"/>
      <c r="AD356" s="126" t="n"/>
      <c r="AE356" s="126" t="n"/>
      <c r="AF356" s="126" t="n"/>
      <c r="AG356" s="126" t="n"/>
      <c r="AH356" s="126" t="n"/>
      <c r="AI356" s="126" t="n"/>
      <c r="AJ356" s="126" t="n"/>
      <c r="AK356" s="126" t="n"/>
      <c r="AL356" s="126" t="n"/>
      <c r="AM356" s="126" t="n"/>
    </row>
    <row r="357" ht="21" customFormat="1" customHeight="1" s="127">
      <c r="A357" s="250" t="n">
        <v>46615</v>
      </c>
      <c r="B357" s="63">
        <f>CHOOSE(WEEKDAY($A357,2),"Mon","Tue","Wed","Thu","Fri","Sat","Sun")</f>
        <v/>
      </c>
      <c r="C357" s="64" t="n"/>
      <c r="D357" s="64" t="n"/>
      <c r="E357" s="65">
        <f>IF($C357="","",$C357-N($D357))</f>
        <v/>
      </c>
      <c r="F357" s="65">
        <f>IF($C357="","",$C357-MAX(0,N($D357)-BreakAllow*$C357))</f>
        <v/>
      </c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1">
        <f>IF(COUNT(G357:R357)=0,"",SUM(G357:R357))</f>
        <v/>
      </c>
      <c r="T357" s="251">
        <f>IF($C357="","",IFERROR(INDEX(RateValues,MATCH(SUMPRODUCT(MAX((RateDates&lt;=$A357)*RateDates)),RateDates,0)),0))</f>
        <v/>
      </c>
      <c r="U357" s="252">
        <f>IF($C357="","",$F357*$T357)</f>
        <v/>
      </c>
      <c r="V357" s="253">
        <f>$A357-WEEKDAY($A357,2)+1</f>
        <v/>
      </c>
      <c r="W357" s="132">
        <f t="array" ref="W357">IF(AND($C357="",S357=""),"",IF(AND(N($C357)&gt;0,N(S357)=0),"nobody marked present",IF(N($D357)&gt;N($C357),"more broken than moulded",IF(AND($C357="",N(S357)&gt;0),"attendance marked but no blocks entered",IF(AND(N($C357)&gt;0,N(T357)=0),"no pay rate for this date - see Settings",IF(SUMPRODUCT((G357:R357&lt;&gt;"")*(G$5:R$5=""))&gt;0,"attendance in an empty worker slot",""))))))</f>
        <v/>
      </c>
      <c r="X357" s="133" t="n"/>
      <c r="Y357" s="125" t="n"/>
      <c r="Z357" s="126" t="n"/>
      <c r="AA357" s="126" t="n"/>
      <c r="AB357" s="126" t="n"/>
      <c r="AC357" s="126" t="n"/>
      <c r="AD357" s="126" t="n"/>
      <c r="AE357" s="126" t="n"/>
      <c r="AF357" s="126" t="n"/>
      <c r="AG357" s="126" t="n"/>
      <c r="AH357" s="126" t="n"/>
      <c r="AI357" s="126" t="n"/>
      <c r="AJ357" s="126" t="n"/>
      <c r="AK357" s="126" t="n"/>
      <c r="AL357" s="126" t="n"/>
      <c r="AM357" s="126" t="n"/>
    </row>
    <row r="358" ht="21" customFormat="1" customHeight="1" s="127">
      <c r="A358" s="250" t="n">
        <v>46616</v>
      </c>
      <c r="B358" s="63">
        <f>CHOOSE(WEEKDAY($A358,2),"Mon","Tue","Wed","Thu","Fri","Sat","Sun")</f>
        <v/>
      </c>
      <c r="C358" s="64" t="n"/>
      <c r="D358" s="64" t="n"/>
      <c r="E358" s="65">
        <f>IF($C358="","",$C358-N($D358))</f>
        <v/>
      </c>
      <c r="F358" s="65">
        <f>IF($C358="","",$C358-MAX(0,N($D358)-BreakAllow*$C358))</f>
        <v/>
      </c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1">
        <f>IF(COUNT(G358:R358)=0,"",SUM(G358:R358))</f>
        <v/>
      </c>
      <c r="T358" s="251">
        <f>IF($C358="","",IFERROR(INDEX(RateValues,MATCH(SUMPRODUCT(MAX((RateDates&lt;=$A358)*RateDates)),RateDates,0)),0))</f>
        <v/>
      </c>
      <c r="U358" s="252">
        <f>IF($C358="","",$F358*$T358)</f>
        <v/>
      </c>
      <c r="V358" s="253">
        <f>$A358-WEEKDAY($A358,2)+1</f>
        <v/>
      </c>
      <c r="W358" s="132">
        <f t="array" ref="W358">IF(AND($C358="",S358=""),"",IF(AND(N($C358)&gt;0,N(S358)=0),"nobody marked present",IF(N($D358)&gt;N($C358),"more broken than moulded",IF(AND($C358="",N(S358)&gt;0),"attendance marked but no blocks entered",IF(AND(N($C358)&gt;0,N(T358)=0),"no pay rate for this date - see Settings",IF(SUMPRODUCT((G358:R358&lt;&gt;"")*(G$5:R$5=""))&gt;0,"attendance in an empty worker slot",""))))))</f>
        <v/>
      </c>
      <c r="X358" s="133" t="n"/>
      <c r="Y358" s="125" t="n"/>
      <c r="Z358" s="126" t="n"/>
      <c r="AA358" s="126" t="n"/>
      <c r="AB358" s="126" t="n"/>
      <c r="AC358" s="126" t="n"/>
      <c r="AD358" s="126" t="n"/>
      <c r="AE358" s="126" t="n"/>
      <c r="AF358" s="126" t="n"/>
      <c r="AG358" s="126" t="n"/>
      <c r="AH358" s="126" t="n"/>
      <c r="AI358" s="126" t="n"/>
      <c r="AJ358" s="126" t="n"/>
      <c r="AK358" s="126" t="n"/>
      <c r="AL358" s="126" t="n"/>
      <c r="AM358" s="126" t="n"/>
    </row>
    <row r="359" ht="21" customFormat="1" customHeight="1" s="127">
      <c r="A359" s="250" t="n">
        <v>46617</v>
      </c>
      <c r="B359" s="63">
        <f>CHOOSE(WEEKDAY($A359,2),"Mon","Tue","Wed","Thu","Fri","Sat","Sun")</f>
        <v/>
      </c>
      <c r="C359" s="64" t="n"/>
      <c r="D359" s="64" t="n"/>
      <c r="E359" s="65">
        <f>IF($C359="","",$C359-N($D359))</f>
        <v/>
      </c>
      <c r="F359" s="65">
        <f>IF($C359="","",$C359-MAX(0,N($D359)-BreakAllow*$C359))</f>
        <v/>
      </c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1">
        <f>IF(COUNT(G359:R359)=0,"",SUM(G359:R359))</f>
        <v/>
      </c>
      <c r="T359" s="251">
        <f>IF($C359="","",IFERROR(INDEX(RateValues,MATCH(SUMPRODUCT(MAX((RateDates&lt;=$A359)*RateDates)),RateDates,0)),0))</f>
        <v/>
      </c>
      <c r="U359" s="252">
        <f>IF($C359="","",$F359*$T359)</f>
        <v/>
      </c>
      <c r="V359" s="253">
        <f>$A359-WEEKDAY($A359,2)+1</f>
        <v/>
      </c>
      <c r="W359" s="132">
        <f t="array" ref="W359">IF(AND($C359="",S359=""),"",IF(AND(N($C359)&gt;0,N(S359)=0),"nobody marked present",IF(N($D359)&gt;N($C359),"more broken than moulded",IF(AND($C359="",N(S359)&gt;0),"attendance marked but no blocks entered",IF(AND(N($C359)&gt;0,N(T359)=0),"no pay rate for this date - see Settings",IF(SUMPRODUCT((G359:R359&lt;&gt;"")*(G$5:R$5=""))&gt;0,"attendance in an empty worker slot",""))))))</f>
        <v/>
      </c>
      <c r="X359" s="133" t="n"/>
      <c r="Y359" s="125" t="n"/>
      <c r="Z359" s="126" t="n"/>
      <c r="AA359" s="126" t="n"/>
      <c r="AB359" s="126" t="n"/>
      <c r="AC359" s="126" t="n"/>
      <c r="AD359" s="126" t="n"/>
      <c r="AE359" s="126" t="n"/>
      <c r="AF359" s="126" t="n"/>
      <c r="AG359" s="126" t="n"/>
      <c r="AH359" s="126" t="n"/>
      <c r="AI359" s="126" t="n"/>
      <c r="AJ359" s="126" t="n"/>
      <c r="AK359" s="126" t="n"/>
      <c r="AL359" s="126" t="n"/>
      <c r="AM359" s="126" t="n"/>
    </row>
    <row r="360" ht="21" customFormat="1" customHeight="1" s="127">
      <c r="A360" s="250" t="n">
        <v>46618</v>
      </c>
      <c r="B360" s="63">
        <f>CHOOSE(WEEKDAY($A360,2),"Mon","Tue","Wed","Thu","Fri","Sat","Sun")</f>
        <v/>
      </c>
      <c r="C360" s="64" t="n"/>
      <c r="D360" s="64" t="n"/>
      <c r="E360" s="65">
        <f>IF($C360="","",$C360-N($D360))</f>
        <v/>
      </c>
      <c r="F360" s="65">
        <f>IF($C360="","",$C360-MAX(0,N($D360)-BreakAllow*$C360))</f>
        <v/>
      </c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1">
        <f>IF(COUNT(G360:R360)=0,"",SUM(G360:R360))</f>
        <v/>
      </c>
      <c r="T360" s="251">
        <f>IF($C360="","",IFERROR(INDEX(RateValues,MATCH(SUMPRODUCT(MAX((RateDates&lt;=$A360)*RateDates)),RateDates,0)),0))</f>
        <v/>
      </c>
      <c r="U360" s="252">
        <f>IF($C360="","",$F360*$T360)</f>
        <v/>
      </c>
      <c r="V360" s="253">
        <f>$A360-WEEKDAY($A360,2)+1</f>
        <v/>
      </c>
      <c r="W360" s="132">
        <f t="array" ref="W360">IF(AND($C360="",S360=""),"",IF(AND(N($C360)&gt;0,N(S360)=0),"nobody marked present",IF(N($D360)&gt;N($C360),"more broken than moulded",IF(AND($C360="",N(S360)&gt;0),"attendance marked but no blocks entered",IF(AND(N($C360)&gt;0,N(T360)=0),"no pay rate for this date - see Settings",IF(SUMPRODUCT((G360:R360&lt;&gt;"")*(G$5:R$5=""))&gt;0,"attendance in an empty worker slot",""))))))</f>
        <v/>
      </c>
      <c r="X360" s="133" t="n"/>
      <c r="Y360" s="125" t="n"/>
      <c r="Z360" s="126" t="n"/>
      <c r="AA360" s="126" t="n"/>
      <c r="AB360" s="126" t="n"/>
      <c r="AC360" s="126" t="n"/>
      <c r="AD360" s="126" t="n"/>
      <c r="AE360" s="126" t="n"/>
      <c r="AF360" s="126" t="n"/>
      <c r="AG360" s="126" t="n"/>
      <c r="AH360" s="126" t="n"/>
      <c r="AI360" s="126" t="n"/>
      <c r="AJ360" s="126" t="n"/>
      <c r="AK360" s="126" t="n"/>
      <c r="AL360" s="126" t="n"/>
      <c r="AM360" s="126" t="n"/>
    </row>
    <row r="361" ht="21" customFormat="1" customHeight="1" s="127">
      <c r="A361" s="250" t="n">
        <v>46619</v>
      </c>
      <c r="B361" s="63">
        <f>CHOOSE(WEEKDAY($A361,2),"Mon","Tue","Wed","Thu","Fri","Sat","Sun")</f>
        <v/>
      </c>
      <c r="C361" s="64" t="n"/>
      <c r="D361" s="64" t="n"/>
      <c r="E361" s="65">
        <f>IF($C361="","",$C361-N($D361))</f>
        <v/>
      </c>
      <c r="F361" s="65">
        <f>IF($C361="","",$C361-MAX(0,N($D361)-BreakAllow*$C361))</f>
        <v/>
      </c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1">
        <f>IF(COUNT(G361:R361)=0,"",SUM(G361:R361))</f>
        <v/>
      </c>
      <c r="T361" s="251">
        <f>IF($C361="","",IFERROR(INDEX(RateValues,MATCH(SUMPRODUCT(MAX((RateDates&lt;=$A361)*RateDates)),RateDates,0)),0))</f>
        <v/>
      </c>
      <c r="U361" s="252">
        <f>IF($C361="","",$F361*$T361)</f>
        <v/>
      </c>
      <c r="V361" s="253">
        <f>$A361-WEEKDAY($A361,2)+1</f>
        <v/>
      </c>
      <c r="W361" s="132">
        <f t="array" ref="W361">IF(AND($C361="",S361=""),"",IF(AND(N($C361)&gt;0,N(S361)=0),"nobody marked present",IF(N($D361)&gt;N($C361),"more broken than moulded",IF(AND($C361="",N(S361)&gt;0),"attendance marked but no blocks entered",IF(AND(N($C361)&gt;0,N(T361)=0),"no pay rate for this date - see Settings",IF(SUMPRODUCT((G361:R361&lt;&gt;"")*(G$5:R$5=""))&gt;0,"attendance in an empty worker slot",""))))))</f>
        <v/>
      </c>
      <c r="X361" s="133" t="n"/>
      <c r="Y361" s="125" t="n"/>
      <c r="Z361" s="126" t="n"/>
      <c r="AA361" s="126" t="n"/>
      <c r="AB361" s="126" t="n"/>
      <c r="AC361" s="126" t="n"/>
      <c r="AD361" s="126" t="n"/>
      <c r="AE361" s="126" t="n"/>
      <c r="AF361" s="126" t="n"/>
      <c r="AG361" s="126" t="n"/>
      <c r="AH361" s="126" t="n"/>
      <c r="AI361" s="126" t="n"/>
      <c r="AJ361" s="126" t="n"/>
      <c r="AK361" s="126" t="n"/>
      <c r="AL361" s="126" t="n"/>
      <c r="AM361" s="126" t="n"/>
    </row>
    <row r="362" ht="21" customFormat="1" customHeight="1" s="127">
      <c r="A362" s="250" t="n">
        <v>46620</v>
      </c>
      <c r="B362" s="63">
        <f>CHOOSE(WEEKDAY($A362,2),"Mon","Tue","Wed","Thu","Fri","Sat","Sun")</f>
        <v/>
      </c>
      <c r="C362" s="64" t="n"/>
      <c r="D362" s="64" t="n"/>
      <c r="E362" s="65">
        <f>IF($C362="","",$C362-N($D362))</f>
        <v/>
      </c>
      <c r="F362" s="65">
        <f>IF($C362="","",$C362-MAX(0,N($D362)-BreakAllow*$C362))</f>
        <v/>
      </c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1">
        <f>IF(COUNT(G362:R362)=0,"",SUM(G362:R362))</f>
        <v/>
      </c>
      <c r="T362" s="251">
        <f>IF($C362="","",IFERROR(INDEX(RateValues,MATCH(SUMPRODUCT(MAX((RateDates&lt;=$A362)*RateDates)),RateDates,0)),0))</f>
        <v/>
      </c>
      <c r="U362" s="252">
        <f>IF($C362="","",$F362*$T362)</f>
        <v/>
      </c>
      <c r="V362" s="253">
        <f>$A362-WEEKDAY($A362,2)+1</f>
        <v/>
      </c>
      <c r="W362" s="132">
        <f t="array" ref="W362">IF(AND($C362="",S362=""),"",IF(AND(N($C362)&gt;0,N(S362)=0),"nobody marked present",IF(N($D362)&gt;N($C362),"more broken than moulded",IF(AND($C362="",N(S362)&gt;0),"attendance marked but no blocks entered",IF(AND(N($C362)&gt;0,N(T362)=0),"no pay rate for this date - see Settings",IF(SUMPRODUCT((G362:R362&lt;&gt;"")*(G$5:R$5=""))&gt;0,"attendance in an empty worker slot",""))))))</f>
        <v/>
      </c>
      <c r="X362" s="133" t="n"/>
      <c r="Y362" s="125" t="n"/>
      <c r="Z362" s="126" t="n"/>
      <c r="AA362" s="126" t="n"/>
      <c r="AB362" s="126" t="n"/>
      <c r="AC362" s="126" t="n"/>
      <c r="AD362" s="126" t="n"/>
      <c r="AE362" s="126" t="n"/>
      <c r="AF362" s="126" t="n"/>
      <c r="AG362" s="126" t="n"/>
      <c r="AH362" s="126" t="n"/>
      <c r="AI362" s="126" t="n"/>
      <c r="AJ362" s="126" t="n"/>
      <c r="AK362" s="126" t="n"/>
      <c r="AL362" s="126" t="n"/>
      <c r="AM362" s="126" t="n"/>
    </row>
    <row r="363" ht="21" customFormat="1" customHeight="1" s="127">
      <c r="A363" s="254" t="n">
        <v>46621</v>
      </c>
      <c r="B363" s="70">
        <f>CHOOSE(WEEKDAY($A363,2),"Mon","Tue","Wed","Thu","Fri","Sat","Sun")</f>
        <v/>
      </c>
      <c r="C363" s="64" t="n"/>
      <c r="D363" s="64" t="n"/>
      <c r="E363" s="65">
        <f>IF($C363="","",$C363-N($D363))</f>
        <v/>
      </c>
      <c r="F363" s="65">
        <f>IF($C363="","",$C363-MAX(0,N($D363)-BreakAllow*$C363))</f>
        <v/>
      </c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1">
        <f>IF(COUNT(G363:R363)=0,"",SUM(G363:R363))</f>
        <v/>
      </c>
      <c r="T363" s="251">
        <f>IF($C363="","",IFERROR(INDEX(RateValues,MATCH(SUMPRODUCT(MAX((RateDates&lt;=$A363)*RateDates)),RateDates,0)),0))</f>
        <v/>
      </c>
      <c r="U363" s="252">
        <f>IF($C363="","",$F363*$T363)</f>
        <v/>
      </c>
      <c r="V363" s="253">
        <f>$A363-WEEKDAY($A363,2)+1</f>
        <v/>
      </c>
      <c r="W363" s="132">
        <f t="array" ref="W363">IF(AND($C363="",S363=""),"",IF(AND(N($C363)&gt;0,N(S363)=0),"nobody marked present",IF(N($D363)&gt;N($C363),"more broken than moulded",IF(AND($C363="",N(S363)&gt;0),"attendance marked but no blocks entered",IF(AND(N($C363)&gt;0,N(T363)=0),"no pay rate for this date - see Settings",IF(SUMPRODUCT((G363:R363&lt;&gt;"")*(G$5:R$5=""))&gt;0,"attendance in an empty worker slot",""))))))</f>
        <v/>
      </c>
      <c r="X363" s="133" t="n"/>
      <c r="Y363" s="125" t="n"/>
      <c r="Z363" s="126" t="n"/>
      <c r="AA363" s="126" t="n"/>
      <c r="AB363" s="126" t="n"/>
      <c r="AC363" s="126" t="n"/>
      <c r="AD363" s="126" t="n"/>
      <c r="AE363" s="126" t="n"/>
      <c r="AF363" s="126" t="n"/>
      <c r="AG363" s="126" t="n"/>
      <c r="AH363" s="126" t="n"/>
      <c r="AI363" s="126" t="n"/>
      <c r="AJ363" s="126" t="n"/>
      <c r="AK363" s="126" t="n"/>
      <c r="AL363" s="126" t="n"/>
      <c r="AM363" s="126" t="n"/>
    </row>
    <row r="364" ht="21" customFormat="1" customHeight="1" s="127">
      <c r="A364" s="250" t="n">
        <v>46622</v>
      </c>
      <c r="B364" s="63">
        <f>CHOOSE(WEEKDAY($A364,2),"Mon","Tue","Wed","Thu","Fri","Sat","Sun")</f>
        <v/>
      </c>
      <c r="C364" s="64" t="n"/>
      <c r="D364" s="64" t="n"/>
      <c r="E364" s="65">
        <f>IF($C364="","",$C364-N($D364))</f>
        <v/>
      </c>
      <c r="F364" s="65">
        <f>IF($C364="","",$C364-MAX(0,N($D364)-BreakAllow*$C364))</f>
        <v/>
      </c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1">
        <f>IF(COUNT(G364:R364)=0,"",SUM(G364:R364))</f>
        <v/>
      </c>
      <c r="T364" s="251">
        <f>IF($C364="","",IFERROR(INDEX(RateValues,MATCH(SUMPRODUCT(MAX((RateDates&lt;=$A364)*RateDates)),RateDates,0)),0))</f>
        <v/>
      </c>
      <c r="U364" s="252">
        <f>IF($C364="","",$F364*$T364)</f>
        <v/>
      </c>
      <c r="V364" s="253">
        <f>$A364-WEEKDAY($A364,2)+1</f>
        <v/>
      </c>
      <c r="W364" s="132">
        <f t="array" ref="W364">IF(AND($C364="",S364=""),"",IF(AND(N($C364)&gt;0,N(S364)=0),"nobody marked present",IF(N($D364)&gt;N($C364),"more broken than moulded",IF(AND($C364="",N(S364)&gt;0),"attendance marked but no blocks entered",IF(AND(N($C364)&gt;0,N(T364)=0),"no pay rate for this date - see Settings",IF(SUMPRODUCT((G364:R364&lt;&gt;"")*(G$5:R$5=""))&gt;0,"attendance in an empty worker slot",""))))))</f>
        <v/>
      </c>
      <c r="X364" s="133" t="n"/>
      <c r="Y364" s="125" t="n"/>
      <c r="Z364" s="126" t="n"/>
      <c r="AA364" s="126" t="n"/>
      <c r="AB364" s="126" t="n"/>
      <c r="AC364" s="126" t="n"/>
      <c r="AD364" s="126" t="n"/>
      <c r="AE364" s="126" t="n"/>
      <c r="AF364" s="126" t="n"/>
      <c r="AG364" s="126" t="n"/>
      <c r="AH364" s="126" t="n"/>
      <c r="AI364" s="126" t="n"/>
      <c r="AJ364" s="126" t="n"/>
      <c r="AK364" s="126" t="n"/>
      <c r="AL364" s="126" t="n"/>
      <c r="AM364" s="126" t="n"/>
    </row>
    <row r="365" ht="21" customFormat="1" customHeight="1" s="127">
      <c r="A365" s="250" t="n">
        <v>46623</v>
      </c>
      <c r="B365" s="63">
        <f>CHOOSE(WEEKDAY($A365,2),"Mon","Tue","Wed","Thu","Fri","Sat","Sun")</f>
        <v/>
      </c>
      <c r="C365" s="64" t="n"/>
      <c r="D365" s="64" t="n"/>
      <c r="E365" s="65">
        <f>IF($C365="","",$C365-N($D365))</f>
        <v/>
      </c>
      <c r="F365" s="65">
        <f>IF($C365="","",$C365-MAX(0,N($D365)-BreakAllow*$C365))</f>
        <v/>
      </c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1">
        <f>IF(COUNT(G365:R365)=0,"",SUM(G365:R365))</f>
        <v/>
      </c>
      <c r="T365" s="251">
        <f>IF($C365="","",IFERROR(INDEX(RateValues,MATCH(SUMPRODUCT(MAX((RateDates&lt;=$A365)*RateDates)),RateDates,0)),0))</f>
        <v/>
      </c>
      <c r="U365" s="252">
        <f>IF($C365="","",$F365*$T365)</f>
        <v/>
      </c>
      <c r="V365" s="253">
        <f>$A365-WEEKDAY($A365,2)+1</f>
        <v/>
      </c>
      <c r="W365" s="132">
        <f t="array" ref="W365">IF(AND($C365="",S365=""),"",IF(AND(N($C365)&gt;0,N(S365)=0),"nobody marked present",IF(N($D365)&gt;N($C365),"more broken than moulded",IF(AND($C365="",N(S365)&gt;0),"attendance marked but no blocks entered",IF(AND(N($C365)&gt;0,N(T365)=0),"no pay rate for this date - see Settings",IF(SUMPRODUCT((G365:R365&lt;&gt;"")*(G$5:R$5=""))&gt;0,"attendance in an empty worker slot",""))))))</f>
        <v/>
      </c>
      <c r="X365" s="133" t="n"/>
      <c r="Y365" s="125" t="n"/>
      <c r="Z365" s="126" t="n"/>
      <c r="AA365" s="126" t="n"/>
      <c r="AB365" s="126" t="n"/>
      <c r="AC365" s="126" t="n"/>
      <c r="AD365" s="126" t="n"/>
      <c r="AE365" s="126" t="n"/>
      <c r="AF365" s="126" t="n"/>
      <c r="AG365" s="126" t="n"/>
      <c r="AH365" s="126" t="n"/>
      <c r="AI365" s="126" t="n"/>
      <c r="AJ365" s="126" t="n"/>
      <c r="AK365" s="126" t="n"/>
      <c r="AL365" s="126" t="n"/>
      <c r="AM365" s="126" t="n"/>
    </row>
    <row r="366" ht="21" customFormat="1" customHeight="1" s="127">
      <c r="A366" s="250" t="n">
        <v>46624</v>
      </c>
      <c r="B366" s="63">
        <f>CHOOSE(WEEKDAY($A366,2),"Mon","Tue","Wed","Thu","Fri","Sat","Sun")</f>
        <v/>
      </c>
      <c r="C366" s="64" t="n"/>
      <c r="D366" s="64" t="n"/>
      <c r="E366" s="65">
        <f>IF($C366="","",$C366-N($D366))</f>
        <v/>
      </c>
      <c r="F366" s="65">
        <f>IF($C366="","",$C366-MAX(0,N($D366)-BreakAllow*$C366))</f>
        <v/>
      </c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1">
        <f>IF(COUNT(G366:R366)=0,"",SUM(G366:R366))</f>
        <v/>
      </c>
      <c r="T366" s="251">
        <f>IF($C366="","",IFERROR(INDEX(RateValues,MATCH(SUMPRODUCT(MAX((RateDates&lt;=$A366)*RateDates)),RateDates,0)),0))</f>
        <v/>
      </c>
      <c r="U366" s="252">
        <f>IF($C366="","",$F366*$T366)</f>
        <v/>
      </c>
      <c r="V366" s="253">
        <f>$A366-WEEKDAY($A366,2)+1</f>
        <v/>
      </c>
      <c r="W366" s="132">
        <f t="array" ref="W366">IF(AND($C366="",S366=""),"",IF(AND(N($C366)&gt;0,N(S366)=0),"nobody marked present",IF(N($D366)&gt;N($C366),"more broken than moulded",IF(AND($C366="",N(S366)&gt;0),"attendance marked but no blocks entered",IF(AND(N($C366)&gt;0,N(T366)=0),"no pay rate for this date - see Settings",IF(SUMPRODUCT((G366:R366&lt;&gt;"")*(G$5:R$5=""))&gt;0,"attendance in an empty worker slot",""))))))</f>
        <v/>
      </c>
      <c r="X366" s="133" t="n"/>
      <c r="Y366" s="125" t="n"/>
      <c r="Z366" s="126" t="n"/>
      <c r="AA366" s="126" t="n"/>
      <c r="AB366" s="126" t="n"/>
      <c r="AC366" s="126" t="n"/>
      <c r="AD366" s="126" t="n"/>
      <c r="AE366" s="126" t="n"/>
      <c r="AF366" s="126" t="n"/>
      <c r="AG366" s="126" t="n"/>
      <c r="AH366" s="126" t="n"/>
      <c r="AI366" s="126" t="n"/>
      <c r="AJ366" s="126" t="n"/>
      <c r="AK366" s="126" t="n"/>
      <c r="AL366" s="126" t="n"/>
      <c r="AM366" s="126" t="n"/>
    </row>
    <row r="367" ht="21" customFormat="1" customHeight="1" s="127">
      <c r="A367" s="250" t="n">
        <v>46625</v>
      </c>
      <c r="B367" s="63">
        <f>CHOOSE(WEEKDAY($A367,2),"Mon","Tue","Wed","Thu","Fri","Sat","Sun")</f>
        <v/>
      </c>
      <c r="C367" s="64" t="n"/>
      <c r="D367" s="64" t="n"/>
      <c r="E367" s="65">
        <f>IF($C367="","",$C367-N($D367))</f>
        <v/>
      </c>
      <c r="F367" s="65">
        <f>IF($C367="","",$C367-MAX(0,N($D367)-BreakAllow*$C367))</f>
        <v/>
      </c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1">
        <f>IF(COUNT(G367:R367)=0,"",SUM(G367:R367))</f>
        <v/>
      </c>
      <c r="T367" s="251">
        <f>IF($C367="","",IFERROR(INDEX(RateValues,MATCH(SUMPRODUCT(MAX((RateDates&lt;=$A367)*RateDates)),RateDates,0)),0))</f>
        <v/>
      </c>
      <c r="U367" s="252">
        <f>IF($C367="","",$F367*$T367)</f>
        <v/>
      </c>
      <c r="V367" s="253">
        <f>$A367-WEEKDAY($A367,2)+1</f>
        <v/>
      </c>
      <c r="W367" s="132">
        <f t="array" ref="W367">IF(AND($C367="",S367=""),"",IF(AND(N($C367)&gt;0,N(S367)=0),"nobody marked present",IF(N($D367)&gt;N($C367),"more broken than moulded",IF(AND($C367="",N(S367)&gt;0),"attendance marked but no blocks entered",IF(AND(N($C367)&gt;0,N(T367)=0),"no pay rate for this date - see Settings",IF(SUMPRODUCT((G367:R367&lt;&gt;"")*(G$5:R$5=""))&gt;0,"attendance in an empty worker slot",""))))))</f>
        <v/>
      </c>
      <c r="X367" s="133" t="n"/>
      <c r="Y367" s="125" t="n"/>
      <c r="Z367" s="126" t="n"/>
      <c r="AA367" s="126" t="n"/>
      <c r="AB367" s="126" t="n"/>
      <c r="AC367" s="126" t="n"/>
      <c r="AD367" s="126" t="n"/>
      <c r="AE367" s="126" t="n"/>
      <c r="AF367" s="126" t="n"/>
      <c r="AG367" s="126" t="n"/>
      <c r="AH367" s="126" t="n"/>
      <c r="AI367" s="126" t="n"/>
      <c r="AJ367" s="126" t="n"/>
      <c r="AK367" s="126" t="n"/>
      <c r="AL367" s="126" t="n"/>
      <c r="AM367" s="126" t="n"/>
    </row>
    <row r="368" ht="21" customFormat="1" customHeight="1" s="127">
      <c r="A368" s="250" t="n">
        <v>46626</v>
      </c>
      <c r="B368" s="63">
        <f>CHOOSE(WEEKDAY($A368,2),"Mon","Tue","Wed","Thu","Fri","Sat","Sun")</f>
        <v/>
      </c>
      <c r="C368" s="64" t="n"/>
      <c r="D368" s="64" t="n"/>
      <c r="E368" s="65">
        <f>IF($C368="","",$C368-N($D368))</f>
        <v/>
      </c>
      <c r="F368" s="65">
        <f>IF($C368="","",$C368-MAX(0,N($D368)-BreakAllow*$C368))</f>
        <v/>
      </c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1">
        <f>IF(COUNT(G368:R368)=0,"",SUM(G368:R368))</f>
        <v/>
      </c>
      <c r="T368" s="251">
        <f>IF($C368="","",IFERROR(INDEX(RateValues,MATCH(SUMPRODUCT(MAX((RateDates&lt;=$A368)*RateDates)),RateDates,0)),0))</f>
        <v/>
      </c>
      <c r="U368" s="252">
        <f>IF($C368="","",$F368*$T368)</f>
        <v/>
      </c>
      <c r="V368" s="253">
        <f>$A368-WEEKDAY($A368,2)+1</f>
        <v/>
      </c>
      <c r="W368" s="132">
        <f t="array" ref="W368">IF(AND($C368="",S368=""),"",IF(AND(N($C368)&gt;0,N(S368)=0),"nobody marked present",IF(N($D368)&gt;N($C368),"more broken than moulded",IF(AND($C368="",N(S368)&gt;0),"attendance marked but no blocks entered",IF(AND(N($C368)&gt;0,N(T368)=0),"no pay rate for this date - see Settings",IF(SUMPRODUCT((G368:R368&lt;&gt;"")*(G$5:R$5=""))&gt;0,"attendance in an empty worker slot",""))))))</f>
        <v/>
      </c>
      <c r="X368" s="133" t="n"/>
      <c r="Y368" s="125" t="n"/>
      <c r="Z368" s="126" t="n"/>
      <c r="AA368" s="126" t="n"/>
      <c r="AB368" s="126" t="n"/>
      <c r="AC368" s="126" t="n"/>
      <c r="AD368" s="126" t="n"/>
      <c r="AE368" s="126" t="n"/>
      <c r="AF368" s="126" t="n"/>
      <c r="AG368" s="126" t="n"/>
      <c r="AH368" s="126" t="n"/>
      <c r="AI368" s="126" t="n"/>
      <c r="AJ368" s="126" t="n"/>
      <c r="AK368" s="126" t="n"/>
      <c r="AL368" s="126" t="n"/>
      <c r="AM368" s="126" t="n"/>
    </row>
    <row r="369" ht="21" customFormat="1" customHeight="1" s="127">
      <c r="A369" s="250" t="n">
        <v>46627</v>
      </c>
      <c r="B369" s="63">
        <f>CHOOSE(WEEKDAY($A369,2),"Mon","Tue","Wed","Thu","Fri","Sat","Sun")</f>
        <v/>
      </c>
      <c r="C369" s="64" t="n"/>
      <c r="D369" s="64" t="n"/>
      <c r="E369" s="65">
        <f>IF($C369="","",$C369-N($D369))</f>
        <v/>
      </c>
      <c r="F369" s="65">
        <f>IF($C369="","",$C369-MAX(0,N($D369)-BreakAllow*$C369))</f>
        <v/>
      </c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1">
        <f>IF(COUNT(G369:R369)=0,"",SUM(G369:R369))</f>
        <v/>
      </c>
      <c r="T369" s="251">
        <f>IF($C369="","",IFERROR(INDEX(RateValues,MATCH(SUMPRODUCT(MAX((RateDates&lt;=$A369)*RateDates)),RateDates,0)),0))</f>
        <v/>
      </c>
      <c r="U369" s="252">
        <f>IF($C369="","",$F369*$T369)</f>
        <v/>
      </c>
      <c r="V369" s="253">
        <f>$A369-WEEKDAY($A369,2)+1</f>
        <v/>
      </c>
      <c r="W369" s="132">
        <f t="array" ref="W369">IF(AND($C369="",S369=""),"",IF(AND(N($C369)&gt;0,N(S369)=0),"nobody marked present",IF(N($D369)&gt;N($C369),"more broken than moulded",IF(AND($C369="",N(S369)&gt;0),"attendance marked but no blocks entered",IF(AND(N($C369)&gt;0,N(T369)=0),"no pay rate for this date - see Settings",IF(SUMPRODUCT((G369:R369&lt;&gt;"")*(G$5:R$5=""))&gt;0,"attendance in an empty worker slot",""))))))</f>
        <v/>
      </c>
      <c r="X369" s="133" t="n"/>
      <c r="Y369" s="125" t="n"/>
      <c r="Z369" s="126" t="n"/>
      <c r="AA369" s="126" t="n"/>
      <c r="AB369" s="126" t="n"/>
      <c r="AC369" s="126" t="n"/>
      <c r="AD369" s="126" t="n"/>
      <c r="AE369" s="126" t="n"/>
      <c r="AF369" s="126" t="n"/>
      <c r="AG369" s="126" t="n"/>
      <c r="AH369" s="126" t="n"/>
      <c r="AI369" s="126" t="n"/>
      <c r="AJ369" s="126" t="n"/>
      <c r="AK369" s="126" t="n"/>
      <c r="AL369" s="126" t="n"/>
      <c r="AM369" s="126" t="n"/>
    </row>
    <row r="370" ht="21" customFormat="1" customHeight="1" s="127">
      <c r="A370" s="254" t="n">
        <v>46628</v>
      </c>
      <c r="B370" s="70">
        <f>CHOOSE(WEEKDAY($A370,2),"Mon","Tue","Wed","Thu","Fri","Sat","Sun")</f>
        <v/>
      </c>
      <c r="C370" s="64" t="n"/>
      <c r="D370" s="64" t="n"/>
      <c r="E370" s="65">
        <f>IF($C370="","",$C370-N($D370))</f>
        <v/>
      </c>
      <c r="F370" s="65">
        <f>IF($C370="","",$C370-MAX(0,N($D370)-BreakAllow*$C370))</f>
        <v/>
      </c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1">
        <f>IF(COUNT(G370:R370)=0,"",SUM(G370:R370))</f>
        <v/>
      </c>
      <c r="T370" s="251">
        <f>IF($C370="","",IFERROR(INDEX(RateValues,MATCH(SUMPRODUCT(MAX((RateDates&lt;=$A370)*RateDates)),RateDates,0)),0))</f>
        <v/>
      </c>
      <c r="U370" s="252">
        <f>IF($C370="","",$F370*$T370)</f>
        <v/>
      </c>
      <c r="V370" s="253">
        <f>$A370-WEEKDAY($A370,2)+1</f>
        <v/>
      </c>
      <c r="W370" s="132">
        <f t="array" ref="W370">IF(AND($C370="",S370=""),"",IF(AND(N($C370)&gt;0,N(S370)=0),"nobody marked present",IF(N($D370)&gt;N($C370),"more broken than moulded",IF(AND($C370="",N(S370)&gt;0),"attendance marked but no blocks entered",IF(AND(N($C370)&gt;0,N(T370)=0),"no pay rate for this date - see Settings",IF(SUMPRODUCT((G370:R370&lt;&gt;"")*(G$5:R$5=""))&gt;0,"attendance in an empty worker slot",""))))))</f>
        <v/>
      </c>
      <c r="X370" s="133" t="n"/>
      <c r="Y370" s="125" t="n"/>
      <c r="Z370" s="126" t="n"/>
      <c r="AA370" s="126" t="n"/>
      <c r="AB370" s="126" t="n"/>
      <c r="AC370" s="126" t="n"/>
      <c r="AD370" s="126" t="n"/>
      <c r="AE370" s="126" t="n"/>
      <c r="AF370" s="126" t="n"/>
      <c r="AG370" s="126" t="n"/>
      <c r="AH370" s="126" t="n"/>
      <c r="AI370" s="126" t="n"/>
      <c r="AJ370" s="126" t="n"/>
      <c r="AK370" s="126" t="n"/>
      <c r="AL370" s="126" t="n"/>
      <c r="AM370" s="126" t="n"/>
    </row>
    <row r="371" ht="21" customFormat="1" customHeight="1" s="127">
      <c r="A371" s="250" t="n">
        <v>46629</v>
      </c>
      <c r="B371" s="63">
        <f>CHOOSE(WEEKDAY($A371,2),"Mon","Tue","Wed","Thu","Fri","Sat","Sun")</f>
        <v/>
      </c>
      <c r="C371" s="64" t="n"/>
      <c r="D371" s="64" t="n"/>
      <c r="E371" s="65">
        <f>IF($C371="","",$C371-N($D371))</f>
        <v/>
      </c>
      <c r="F371" s="65">
        <f>IF($C371="","",$C371-MAX(0,N($D371)-BreakAllow*$C371))</f>
        <v/>
      </c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1">
        <f>IF(COUNT(G371:R371)=0,"",SUM(G371:R371))</f>
        <v/>
      </c>
      <c r="T371" s="251">
        <f>IF($C371="","",IFERROR(INDEX(RateValues,MATCH(SUMPRODUCT(MAX((RateDates&lt;=$A371)*RateDates)),RateDates,0)),0))</f>
        <v/>
      </c>
      <c r="U371" s="252">
        <f>IF($C371="","",$F371*$T371)</f>
        <v/>
      </c>
      <c r="V371" s="253">
        <f>$A371-WEEKDAY($A371,2)+1</f>
        <v/>
      </c>
      <c r="W371" s="132">
        <f t="array" ref="W371">IF(AND($C371="",S371=""),"",IF(AND(N($C371)&gt;0,N(S371)=0),"nobody marked present",IF(N($D371)&gt;N($C371),"more broken than moulded",IF(AND($C371="",N(S371)&gt;0),"attendance marked but no blocks entered",IF(AND(N($C371)&gt;0,N(T371)=0),"no pay rate for this date - see Settings",IF(SUMPRODUCT((G371:R371&lt;&gt;"")*(G$5:R$5=""))&gt;0,"attendance in an empty worker slot",""))))))</f>
        <v/>
      </c>
      <c r="X371" s="133" t="n"/>
      <c r="Y371" s="125" t="n"/>
      <c r="Z371" s="126" t="n"/>
      <c r="AA371" s="126" t="n"/>
      <c r="AB371" s="126" t="n"/>
      <c r="AC371" s="126" t="n"/>
      <c r="AD371" s="126" t="n"/>
      <c r="AE371" s="126" t="n"/>
      <c r="AF371" s="126" t="n"/>
      <c r="AG371" s="126" t="n"/>
      <c r="AH371" s="126" t="n"/>
      <c r="AI371" s="126" t="n"/>
      <c r="AJ371" s="126" t="n"/>
      <c r="AK371" s="126" t="n"/>
      <c r="AL371" s="126" t="n"/>
      <c r="AM371" s="126" t="n"/>
    </row>
    <row r="372" ht="21" customFormat="1" customHeight="1" s="127">
      <c r="A372" s="250" t="n">
        <v>46630</v>
      </c>
      <c r="B372" s="63">
        <f>CHOOSE(WEEKDAY($A372,2),"Mon","Tue","Wed","Thu","Fri","Sat","Sun")</f>
        <v/>
      </c>
      <c r="C372" s="64" t="n"/>
      <c r="D372" s="64" t="n"/>
      <c r="E372" s="65">
        <f>IF($C372="","",$C372-N($D372))</f>
        <v/>
      </c>
      <c r="F372" s="65">
        <f>IF($C372="","",$C372-MAX(0,N($D372)-BreakAllow*$C372))</f>
        <v/>
      </c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1">
        <f>IF(COUNT(G372:R372)=0,"",SUM(G372:R372))</f>
        <v/>
      </c>
      <c r="T372" s="251">
        <f>IF($C372="","",IFERROR(INDEX(RateValues,MATCH(SUMPRODUCT(MAX((RateDates&lt;=$A372)*RateDates)),RateDates,0)),0))</f>
        <v/>
      </c>
      <c r="U372" s="252">
        <f>IF($C372="","",$F372*$T372)</f>
        <v/>
      </c>
      <c r="V372" s="253">
        <f>$A372-WEEKDAY($A372,2)+1</f>
        <v/>
      </c>
      <c r="W372" s="132">
        <f t="array" ref="W372">IF(AND($C372="",S372=""),"",IF(AND(N($C372)&gt;0,N(S372)=0),"nobody marked present",IF(N($D372)&gt;N($C372),"more broken than moulded",IF(AND($C372="",N(S372)&gt;0),"attendance marked but no blocks entered",IF(AND(N($C372)&gt;0,N(T372)=0),"no pay rate for this date - see Settings",IF(SUMPRODUCT((G372:R372&lt;&gt;"")*(G$5:R$5=""))&gt;0,"attendance in an empty worker slot",""))))))</f>
        <v/>
      </c>
      <c r="X372" s="133" t="n"/>
      <c r="Y372" s="125" t="n"/>
      <c r="Z372" s="126" t="n"/>
      <c r="AA372" s="126" t="n"/>
      <c r="AB372" s="126" t="n"/>
      <c r="AC372" s="126" t="n"/>
      <c r="AD372" s="126" t="n"/>
      <c r="AE372" s="126" t="n"/>
      <c r="AF372" s="126" t="n"/>
      <c r="AG372" s="126" t="n"/>
      <c r="AH372" s="126" t="n"/>
      <c r="AI372" s="126" t="n"/>
      <c r="AJ372" s="126" t="n"/>
      <c r="AK372" s="126" t="n"/>
      <c r="AL372" s="126" t="n"/>
      <c r="AM372" s="126" t="n"/>
    </row>
    <row r="373" ht="21" customFormat="1" customHeight="1" s="127">
      <c r="A373" s="250" t="n">
        <v>46631</v>
      </c>
      <c r="B373" s="63">
        <f>CHOOSE(WEEKDAY($A373,2),"Mon","Tue","Wed","Thu","Fri","Sat","Sun")</f>
        <v/>
      </c>
      <c r="C373" s="64" t="n"/>
      <c r="D373" s="64" t="n"/>
      <c r="E373" s="65">
        <f>IF($C373="","",$C373-N($D373))</f>
        <v/>
      </c>
      <c r="F373" s="65">
        <f>IF($C373="","",$C373-MAX(0,N($D373)-BreakAllow*$C373))</f>
        <v/>
      </c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1">
        <f>IF(COUNT(G373:R373)=0,"",SUM(G373:R373))</f>
        <v/>
      </c>
      <c r="T373" s="251">
        <f>IF($C373="","",IFERROR(INDEX(RateValues,MATCH(SUMPRODUCT(MAX((RateDates&lt;=$A373)*RateDates)),RateDates,0)),0))</f>
        <v/>
      </c>
      <c r="U373" s="252">
        <f>IF($C373="","",$F373*$T373)</f>
        <v/>
      </c>
      <c r="V373" s="253">
        <f>$A373-WEEKDAY($A373,2)+1</f>
        <v/>
      </c>
      <c r="W373" s="132">
        <f t="array" ref="W373">IF(AND($C373="",S373=""),"",IF(AND(N($C373)&gt;0,N(S373)=0),"nobody marked present",IF(N($D373)&gt;N($C373),"more broken than moulded",IF(AND($C373="",N(S373)&gt;0),"attendance marked but no blocks entered",IF(AND(N($C373)&gt;0,N(T373)=0),"no pay rate for this date - see Settings",IF(SUMPRODUCT((G373:R373&lt;&gt;"")*(G$5:R$5=""))&gt;0,"attendance in an empty worker slot",""))))))</f>
        <v/>
      </c>
      <c r="X373" s="133" t="n"/>
      <c r="Y373" s="125" t="n"/>
      <c r="Z373" s="126" t="n"/>
      <c r="AA373" s="126" t="n"/>
      <c r="AB373" s="126" t="n"/>
      <c r="AC373" s="126" t="n"/>
      <c r="AD373" s="126" t="n"/>
      <c r="AE373" s="126" t="n"/>
      <c r="AF373" s="126" t="n"/>
      <c r="AG373" s="126" t="n"/>
      <c r="AH373" s="126" t="n"/>
      <c r="AI373" s="126" t="n"/>
      <c r="AJ373" s="126" t="n"/>
      <c r="AK373" s="126" t="n"/>
      <c r="AL373" s="126" t="n"/>
      <c r="AM373" s="126" t="n"/>
    </row>
    <row r="374" ht="21" customFormat="1" customHeight="1" s="127">
      <c r="A374" s="250" t="n">
        <v>46632</v>
      </c>
      <c r="B374" s="63">
        <f>CHOOSE(WEEKDAY($A374,2),"Mon","Tue","Wed","Thu","Fri","Sat","Sun")</f>
        <v/>
      </c>
      <c r="C374" s="64" t="n"/>
      <c r="D374" s="64" t="n"/>
      <c r="E374" s="65">
        <f>IF($C374="","",$C374-N($D374))</f>
        <v/>
      </c>
      <c r="F374" s="65">
        <f>IF($C374="","",$C374-MAX(0,N($D374)-BreakAllow*$C374))</f>
        <v/>
      </c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1">
        <f>IF(COUNT(G374:R374)=0,"",SUM(G374:R374))</f>
        <v/>
      </c>
      <c r="T374" s="251">
        <f>IF($C374="","",IFERROR(INDEX(RateValues,MATCH(SUMPRODUCT(MAX((RateDates&lt;=$A374)*RateDates)),RateDates,0)),0))</f>
        <v/>
      </c>
      <c r="U374" s="252">
        <f>IF($C374="","",$F374*$T374)</f>
        <v/>
      </c>
      <c r="V374" s="253">
        <f>$A374-WEEKDAY($A374,2)+1</f>
        <v/>
      </c>
      <c r="W374" s="132">
        <f t="array" ref="W374">IF(AND($C374="",S374=""),"",IF(AND(N($C374)&gt;0,N(S374)=0),"nobody marked present",IF(N($D374)&gt;N($C374),"more broken than moulded",IF(AND($C374="",N(S374)&gt;0),"attendance marked but no blocks entered",IF(AND(N($C374)&gt;0,N(T374)=0),"no pay rate for this date - see Settings",IF(SUMPRODUCT((G374:R374&lt;&gt;"")*(G$5:R$5=""))&gt;0,"attendance in an empty worker slot",""))))))</f>
        <v/>
      </c>
      <c r="X374" s="133" t="n"/>
      <c r="Y374" s="125" t="n"/>
      <c r="Z374" s="126" t="n"/>
      <c r="AA374" s="126" t="n"/>
      <c r="AB374" s="126" t="n"/>
      <c r="AC374" s="126" t="n"/>
      <c r="AD374" s="126" t="n"/>
      <c r="AE374" s="126" t="n"/>
      <c r="AF374" s="126" t="n"/>
      <c r="AG374" s="126" t="n"/>
      <c r="AH374" s="126" t="n"/>
      <c r="AI374" s="126" t="n"/>
      <c r="AJ374" s="126" t="n"/>
      <c r="AK374" s="126" t="n"/>
      <c r="AL374" s="126" t="n"/>
      <c r="AM374" s="126" t="n"/>
    </row>
    <row r="375" ht="21" customFormat="1" customHeight="1" s="127">
      <c r="A375" s="250" t="n">
        <v>46633</v>
      </c>
      <c r="B375" s="63">
        <f>CHOOSE(WEEKDAY($A375,2),"Mon","Tue","Wed","Thu","Fri","Sat","Sun")</f>
        <v/>
      </c>
      <c r="C375" s="64" t="n"/>
      <c r="D375" s="64" t="n"/>
      <c r="E375" s="65">
        <f>IF($C375="","",$C375-N($D375))</f>
        <v/>
      </c>
      <c r="F375" s="65">
        <f>IF($C375="","",$C375-MAX(0,N($D375)-BreakAllow*$C375))</f>
        <v/>
      </c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1">
        <f>IF(COUNT(G375:R375)=0,"",SUM(G375:R375))</f>
        <v/>
      </c>
      <c r="T375" s="251">
        <f>IF($C375="","",IFERROR(INDEX(RateValues,MATCH(SUMPRODUCT(MAX((RateDates&lt;=$A375)*RateDates)),RateDates,0)),0))</f>
        <v/>
      </c>
      <c r="U375" s="252">
        <f>IF($C375="","",$F375*$T375)</f>
        <v/>
      </c>
      <c r="V375" s="253">
        <f>$A375-WEEKDAY($A375,2)+1</f>
        <v/>
      </c>
      <c r="W375" s="132">
        <f t="array" ref="W375">IF(AND($C375="",S375=""),"",IF(AND(N($C375)&gt;0,N(S375)=0),"nobody marked present",IF(N($D375)&gt;N($C375),"more broken than moulded",IF(AND($C375="",N(S375)&gt;0),"attendance marked but no blocks entered",IF(AND(N($C375)&gt;0,N(T375)=0),"no pay rate for this date - see Settings",IF(SUMPRODUCT((G375:R375&lt;&gt;"")*(G$5:R$5=""))&gt;0,"attendance in an empty worker slot",""))))))</f>
        <v/>
      </c>
      <c r="X375" s="133" t="n"/>
      <c r="Y375" s="125" t="n"/>
      <c r="Z375" s="126" t="n"/>
      <c r="AA375" s="126" t="n"/>
      <c r="AB375" s="126" t="n"/>
      <c r="AC375" s="126" t="n"/>
      <c r="AD375" s="126" t="n"/>
      <c r="AE375" s="126" t="n"/>
      <c r="AF375" s="126" t="n"/>
      <c r="AG375" s="126" t="n"/>
      <c r="AH375" s="126" t="n"/>
      <c r="AI375" s="126" t="n"/>
      <c r="AJ375" s="126" t="n"/>
      <c r="AK375" s="126" t="n"/>
      <c r="AL375" s="126" t="n"/>
      <c r="AM375" s="126" t="n"/>
    </row>
    <row r="376" ht="21" customFormat="1" customHeight="1" s="127">
      <c r="A376" s="250" t="n">
        <v>46634</v>
      </c>
      <c r="B376" s="63">
        <f>CHOOSE(WEEKDAY($A376,2),"Mon","Tue","Wed","Thu","Fri","Sat","Sun")</f>
        <v/>
      </c>
      <c r="C376" s="64" t="n"/>
      <c r="D376" s="64" t="n"/>
      <c r="E376" s="65">
        <f>IF($C376="","",$C376-N($D376))</f>
        <v/>
      </c>
      <c r="F376" s="65">
        <f>IF($C376="","",$C376-MAX(0,N($D376)-BreakAllow*$C376))</f>
        <v/>
      </c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1">
        <f>IF(COUNT(G376:R376)=0,"",SUM(G376:R376))</f>
        <v/>
      </c>
      <c r="T376" s="251">
        <f>IF($C376="","",IFERROR(INDEX(RateValues,MATCH(SUMPRODUCT(MAX((RateDates&lt;=$A376)*RateDates)),RateDates,0)),0))</f>
        <v/>
      </c>
      <c r="U376" s="252">
        <f>IF($C376="","",$F376*$T376)</f>
        <v/>
      </c>
      <c r="V376" s="253">
        <f>$A376-WEEKDAY($A376,2)+1</f>
        <v/>
      </c>
      <c r="W376" s="132">
        <f t="array" ref="W376">IF(AND($C376="",S376=""),"",IF(AND(N($C376)&gt;0,N(S376)=0),"nobody marked present",IF(N($D376)&gt;N($C376),"more broken than moulded",IF(AND($C376="",N(S376)&gt;0),"attendance marked but no blocks entered",IF(AND(N($C376)&gt;0,N(T376)=0),"no pay rate for this date - see Settings",IF(SUMPRODUCT((G376:R376&lt;&gt;"")*(G$5:R$5=""))&gt;0,"attendance in an empty worker slot",""))))))</f>
        <v/>
      </c>
      <c r="X376" s="133" t="n"/>
      <c r="Y376" s="125" t="n"/>
      <c r="Z376" s="126" t="n"/>
      <c r="AA376" s="126" t="n"/>
      <c r="AB376" s="126" t="n"/>
      <c r="AC376" s="126" t="n"/>
      <c r="AD376" s="126" t="n"/>
      <c r="AE376" s="126" t="n"/>
      <c r="AF376" s="126" t="n"/>
      <c r="AG376" s="126" t="n"/>
      <c r="AH376" s="126" t="n"/>
      <c r="AI376" s="126" t="n"/>
      <c r="AJ376" s="126" t="n"/>
      <c r="AK376" s="126" t="n"/>
      <c r="AL376" s="126" t="n"/>
      <c r="AM376" s="126" t="n"/>
    </row>
    <row r="377" ht="21" customFormat="1" customHeight="1" s="127">
      <c r="A377" s="256" t="n">
        <v>46635</v>
      </c>
      <c r="B377" s="71">
        <f>CHOOSE(WEEKDAY($A377,2),"Mon","Tue","Wed","Thu","Fri","Sat","Sun")</f>
        <v/>
      </c>
      <c r="C377" s="72" t="n"/>
      <c r="D377" s="72" t="n"/>
      <c r="E377" s="73">
        <f>IF($C377="","",$C377-N($D377))</f>
        <v/>
      </c>
      <c r="F377" s="73">
        <f>IF($C377="","",$C377-MAX(0,N($D377)-BreakAllow*$C377))</f>
        <v/>
      </c>
      <c r="G377" s="44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  <c r="R377" s="44" t="n"/>
      <c r="S377" s="46">
        <f>IF(COUNT(G377:R377)=0,"",SUM(G377:R377))</f>
        <v/>
      </c>
      <c r="T377" s="257">
        <f>IF($C377="","",IFERROR(INDEX(RateValues,MATCH(SUMPRODUCT(MAX((RateDates&lt;=$A377)*RateDates)),RateDates,0)),0))</f>
        <v/>
      </c>
      <c r="U377" s="258">
        <f>IF($C377="","",$F377*$T377)</f>
        <v/>
      </c>
      <c r="V377" s="259">
        <f>$A377-WEEKDAY($A377,2)+1</f>
        <v/>
      </c>
      <c r="W377" s="135">
        <f t="array" ref="W377">IF(AND($C377="",S377=""),"",IF(AND(N($C377)&gt;0,N(S377)=0),"nobody marked present",IF(N($D377)&gt;N($C377),"more broken than moulded",IF(AND($C377="",N(S377)&gt;0),"attendance marked but no blocks entered",IF(AND(N($C377)&gt;0,N(T377)=0),"no pay rate for this date - see Settings",IF(SUMPRODUCT((G377:R377&lt;&gt;"")*(G$5:R$5=""))&gt;0,"attendance in an empty worker slot",""))))))</f>
        <v/>
      </c>
      <c r="X377" s="136" t="n"/>
      <c r="Y377" s="137" t="n"/>
      <c r="Z377" s="126" t="n"/>
      <c r="AA377" s="126" t="n"/>
      <c r="AB377" s="126" t="n"/>
      <c r="AC377" s="126" t="n"/>
      <c r="AD377" s="126" t="n"/>
      <c r="AE377" s="126" t="n"/>
      <c r="AF377" s="126" t="n"/>
      <c r="AG377" s="126" t="n"/>
      <c r="AH377" s="126" t="n"/>
      <c r="AI377" s="126" t="n"/>
      <c r="AJ377" s="126" t="n"/>
      <c r="AK377" s="126" t="n"/>
      <c r="AL377" s="126" t="n"/>
      <c r="AM377" s="126" t="n"/>
    </row>
  </sheetData>
  <mergeCells count="10">
    <mergeCell ref="I1:J1"/>
    <mergeCell ref="A1:C1"/>
    <mergeCell ref="D1:E1"/>
    <mergeCell ref="AD1:AE1"/>
    <mergeCell ref="G1:H1"/>
    <mergeCell ref="AF1:AG1"/>
    <mergeCell ref="AH1:AI1"/>
    <mergeCell ref="AA1:AB1"/>
    <mergeCell ref="Y1:Z1"/>
    <mergeCell ref="K1:W1"/>
  </mergeCells>
  <conditionalFormatting sqref="A7:X377">
    <cfRule type="expression" priority="3" dxfId="6">
      <formula>$A7=TODAY()</formula>
    </cfRule>
  </conditionalFormatting>
  <conditionalFormatting sqref="W7:W377">
    <cfRule type="expression" priority="2" dxfId="1">
      <formula>LEN(W7)&gt;0</formula>
    </cfRule>
  </conditionalFormatting>
  <dataValidations count="2">
    <dataValidation sqref="C7:D377" showDropDown="0" showInputMessage="0" showErrorMessage="1" allowBlank="1" error="Type a whole number of blocks." type="whole">
      <formula1>0</formula1>
      <formula2>100000</formula2>
    </dataValidation>
    <dataValidation sqref="G7:R377" showDropDown="0" showInputMessage="0" showErrorMessage="1" allowBlank="1" error="Use 1 for a full day, 0.5 for a half day, or leave empty." type="decimal">
      <formula1>0</formula1>
      <formula2>1</formula2>
    </dataValidation>
  </dataValidations>
  <hyperlinks>
    <hyperlink ref="D1" location="'Home'!A1" tooltip="Go to Home" display="Home"/>
    <hyperlink ref="G1" location="'Cash Ledger'!A1" tooltip="Go to Cash Ledger" display="Cash Ledger"/>
    <hyperlink ref="I1" location="'Weekly Pay'!A1" tooltip="Go to Weekly Pay" display="Weekly Pay"/>
    <hyperlink ref="K1" location="'Payslip'!A1" tooltip="Go to Payslip" display="Payslip"/>
    <hyperlink ref="X1" location="'Workers'!A1" tooltip="Go to Workers" display="Workers"/>
    <hyperlink ref="Y1" location="'Settings'!A1" tooltip="Go to Settings" display="Settings"/>
    <hyperlink ref="AA1" location="'Guide'!A1" tooltip="Go to Guide" display="Guide"/>
    <hyperlink ref="AD1" location="'Worker History'!A1" tooltip="Go to Worker History" display="History"/>
    <hyperlink ref="AF1" location="'Weeks'!A1" tooltip="Go to Weeks" display="Weeks"/>
    <hyperlink ref="AH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4F46E5"/>
    <outlinePr summaryBelow="1" summaryRight="1"/>
    <pageSetUpPr/>
  </sheetPr>
  <dimension ref="A1:AN1006"/>
  <sheetViews>
    <sheetView showGridLines="0" zoomScaleNormal="100" workbookViewId="0">
      <pane ySplit="6" topLeftCell="A7" activePane="bottomLeft" state="frozen"/>
      <selection pane="bottomLeft" activeCell="D1" sqref="D1"/>
    </sheetView>
  </sheetViews>
  <sheetFormatPr baseColWidth="8" defaultColWidth="8.5703125" defaultRowHeight="15"/>
  <cols>
    <col width="5" customWidth="1" min="1" max="1"/>
    <col width="11" customWidth="1" min="2" max="2"/>
    <col width="20" customWidth="1" min="3" max="3"/>
    <col width="12" customWidth="1" min="4" max="4"/>
    <col width="14" customWidth="1" min="5" max="5"/>
    <col width="26" customWidth="1" min="6" max="6"/>
    <col width="12" customWidth="1" min="7" max="7"/>
    <col width="8" customWidth="1" min="8" max="8"/>
    <col hidden="1" outlineLevel="1" width="6" customWidth="1" min="9" max="9"/>
    <col hidden="1" outlineLevel="1" width="11" customWidth="1" min="10" max="10"/>
    <col hidden="1" outlineLevel="1" width="4" customWidth="1" min="11" max="11"/>
    <col collapsed="1" width="16" customWidth="1" min="12" max="12"/>
    <col width="44" customWidth="1" min="13" max="13"/>
  </cols>
  <sheetData>
    <row r="1" ht="30" customFormat="1" customHeight="1" s="1" thickBot="1">
      <c r="A1" s="185" t="inlineStr">
        <is>
          <t>◆ Donabay</t>
        </is>
      </c>
      <c r="D1" s="176" t="inlineStr">
        <is>
          <t>Home</t>
        </is>
      </c>
      <c r="E1" s="220" t="inlineStr">
        <is>
          <t>Daily Log</t>
        </is>
      </c>
      <c r="G1" s="205" t="inlineStr">
        <is>
          <t>Cash Ledger</t>
        </is>
      </c>
      <c r="I1" s="220" t="inlineStr">
        <is>
          <t>Weekly Pay</t>
        </is>
      </c>
      <c r="N1" s="220" t="inlineStr">
        <is>
          <t>Payslip</t>
        </is>
      </c>
      <c r="P1" s="220" t="inlineStr">
        <is>
          <t>Workers</t>
        </is>
      </c>
      <c r="R1" s="220" t="inlineStr">
        <is>
          <t>Settings</t>
        </is>
      </c>
      <c r="T1" s="220" t="inlineStr">
        <is>
          <t>Guide</t>
        </is>
      </c>
      <c r="V1" s="31" t="inlineStr">
        <is>
          <t>·</t>
        </is>
      </c>
      <c r="W1" s="222" t="inlineStr">
        <is>
          <t>History</t>
        </is>
      </c>
      <c r="Y1" s="222" t="inlineStr">
        <is>
          <t>Weeks</t>
        </is>
      </c>
      <c r="AA1" s="222" t="inlineStr">
        <is>
          <t>Checks</t>
        </is>
      </c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Cash Ledger</t>
        </is>
      </c>
      <c r="B2" s="218" t="n"/>
      <c r="C2" s="218" t="n"/>
      <c r="D2" s="218" t="n"/>
      <c r="E2" s="218" t="n"/>
      <c r="F2" s="218" t="n"/>
      <c r="G2" s="34" t="n"/>
      <c r="H2" s="34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Every som you hand a worker goes here - one row each time. Never delete a row: fix a mistake with a Correction.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122" t="inlineStr">
        <is>
          <t>Totals</t>
        </is>
      </c>
      <c r="D4" s="5" t="inlineStr">
        <is>
          <t>Advances</t>
        </is>
      </c>
      <c r="E4" s="260">
        <f>SUMIFS($E$7:$E$1006,$D$7:$D$1006,"Advance")</f>
        <v/>
      </c>
      <c r="F4" s="5" t="inlineStr">
        <is>
          <t>Weekly pay</t>
        </is>
      </c>
      <c r="G4" s="260">
        <f>SUMIFS($E$7:$E$1006,$D$7:$D$1006,"Weekly pay")</f>
        <v/>
      </c>
      <c r="H4" s="78" t="n"/>
      <c r="I4" s="245" t="n"/>
      <c r="J4" s="3" t="n"/>
      <c r="K4" s="3" t="n"/>
      <c r="L4" s="5" t="inlineStr">
        <is>
          <t>Corrections</t>
        </is>
      </c>
      <c r="M4" s="260">
        <f>SUMIFS($E$7:$E$1006,$D$7:$D$1006,"Correction")</f>
        <v/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6.5" customHeight="1">
      <c r="A5" s="57" t="inlineStr">
        <is>
          <t>Tips: Ctrl+; types today's date · click B7 then Ctrl+↓ to jump to the last entry</t>
        </is>
      </c>
      <c r="B5" s="217" t="n"/>
      <c r="C5" s="217" t="n"/>
      <c r="D5" s="217" t="n"/>
      <c r="E5" s="217" t="n"/>
      <c r="F5" s="217" t="n"/>
      <c r="G5" s="217" t="n"/>
      <c r="H5" s="217" t="n"/>
      <c r="I5" s="217" t="n"/>
      <c r="J5" s="217" t="n"/>
      <c r="K5" s="217" t="n"/>
      <c r="L5" s="217" t="n"/>
      <c r="M5" s="217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32.1" customFormat="1" customHeight="1" s="127">
      <c r="A6" s="58" t="inlineStr">
        <is>
          <t>#</t>
        </is>
      </c>
      <c r="B6" s="58" t="inlineStr">
        <is>
          <t>Date</t>
        </is>
      </c>
      <c r="C6" s="58" t="inlineStr">
        <is>
          <t>Worker</t>
        </is>
      </c>
      <c r="D6" s="58" t="inlineStr">
        <is>
          <t>Type</t>
        </is>
      </c>
      <c r="E6" s="58" t="inlineStr">
        <is>
          <t>Amount (so'm)</t>
        </is>
      </c>
      <c r="F6" s="58" t="inlineStr">
        <is>
          <t>Reason</t>
        </is>
      </c>
      <c r="G6" s="58" t="inlineStr">
        <is>
          <t>Given by</t>
        </is>
      </c>
      <c r="H6" s="58" t="inlineStr">
        <is>
          <t>Signed?</t>
        </is>
      </c>
      <c r="I6" s="58" t="inlineStr">
        <is>
          <t>ID</t>
        </is>
      </c>
      <c r="J6" s="58" t="inlineStr">
        <is>
          <t>Week of</t>
        </is>
      </c>
      <c r="K6" s="58" t="inlineStr">
        <is>
          <t>key</t>
        </is>
      </c>
      <c r="L6" s="58" t="inlineStr">
        <is>
          <t>Worker balance after</t>
        </is>
      </c>
      <c r="M6" s="58" t="inlineStr">
        <is>
          <t>Check</t>
        </is>
      </c>
      <c r="N6" s="125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</row>
    <row r="7" ht="21" customFormat="1" customHeight="1" s="127">
      <c r="A7" s="45">
        <f>IF($B7="","",ROW()-6)</f>
        <v/>
      </c>
      <c r="B7" s="261" t="n">
        <v>46269</v>
      </c>
      <c r="C7" s="130" t="inlineStr">
        <is>
          <t>Oybek</t>
        </is>
      </c>
      <c r="D7" s="43" t="inlineStr">
        <is>
          <t>Advance</t>
        </is>
      </c>
      <c r="E7" s="262" t="n">
        <v>500000</v>
      </c>
      <c r="F7" s="130" t="inlineStr">
        <is>
          <t>Avans (old sheet, 4-9 Sep)</t>
        </is>
      </c>
      <c r="G7" s="130" t="n"/>
      <c r="H7" s="43" t="n"/>
      <c r="I7" s="45">
        <f>IF($C7="","",IFERROR(INDEX(WorkerIDs,MATCH($C7,WorkerNames,0)),"?"))</f>
        <v/>
      </c>
      <c r="J7" s="249">
        <f>IF($B7="","",$B7-WEEKDAY($B7,2)+1)</f>
        <v/>
      </c>
      <c r="K7" s="139">
        <f>IF(OR($I7="",$I7="?",$D7&lt;&gt;"Advance",$B7=""),"",$I7&amp;"|"&amp;$J7&amp;"|"&amp;COUNTIFS($I$7:$I7,$I7,$J$7:$J7,$J7,$D$7:$D7,"Advance"))</f>
        <v/>
      </c>
      <c r="L7" s="263">
        <f>IF(OR($I7="",$I7="?",$B7=""),"",SUMPRODUCT((Weeks!$A$7:$A$59&lt;=$J7)*(Weeks!$X$5:$AI$5=$I7)*Weeks!$X$7:$AI$59)-SUMIFS($E$7:$E$1006,$I$7:$I$1006,$I7,$B$7:$B$1006,"&lt;="&amp;$B7))</f>
        <v/>
      </c>
      <c r="M7" s="129">
        <f>IF($B7&amp;$C7&amp;$D7&amp;$E7="","",IF($B7="","missing date",IF($C7="","missing worker",IF($I7="?","unknown worker - was the name changed on Workers?",IF($D7="","missing type",IF(N($E7)=0,"missing amount",IF(AND($E7&lt;0,$D7&lt;&gt;"Correction"),"negative amount - use a Correction to undo",IF(OR($B7&lt;Weeks!$A$7,$B7&gt;Weeks!$B$59),"date outside this workbook's year",IF(AND($D7="Advance",N($L7)&lt;0),"Warning: more than earned so far - worker now owes "&amp;TEXT(ROUND(-$L7,0),"#,##0"),"")))))))))</f>
        <v/>
      </c>
      <c r="N7" s="125" t="n"/>
      <c r="O7" s="126" t="n"/>
      <c r="P7" s="126" t="n"/>
      <c r="Q7" s="126" t="n"/>
      <c r="R7" s="126" t="n"/>
      <c r="S7" s="126" t="n"/>
      <c r="T7" s="126" t="n"/>
      <c r="U7" s="126" t="n"/>
      <c r="V7" s="126" t="n"/>
      <c r="W7" s="126" t="n"/>
      <c r="X7" s="126" t="n"/>
      <c r="Y7" s="126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  <c r="AN7" s="126" t="n"/>
    </row>
    <row r="8" ht="21" customFormat="1" customHeight="1" s="127">
      <c r="A8" s="51">
        <f>IF($B8="","",ROW()-6)</f>
        <v/>
      </c>
      <c r="B8" s="264" t="n">
        <v>46269</v>
      </c>
      <c r="C8" s="133" t="inlineStr">
        <is>
          <t>Davlatbek</t>
        </is>
      </c>
      <c r="D8" s="50" t="inlineStr">
        <is>
          <t>Advance</t>
        </is>
      </c>
      <c r="E8" s="265" t="n">
        <v>200000</v>
      </c>
      <c r="F8" s="133" t="inlineStr">
        <is>
          <t>Avans (old sheet, 4-9 Sep)</t>
        </is>
      </c>
      <c r="G8" s="133" t="n"/>
      <c r="H8" s="50" t="n"/>
      <c r="I8" s="51">
        <f>IF($C8="","",IFERROR(INDEX(WorkerIDs,MATCH($C8,WorkerNames,0)),"?"))</f>
        <v/>
      </c>
      <c r="J8" s="253">
        <f>IF($B8="","",$B8-WEEKDAY($B8,2)+1)</f>
        <v/>
      </c>
      <c r="K8" s="142">
        <f>IF(OR($I8="",$I8="?",$D8&lt;&gt;"Advance",$B8=""),"",$I8&amp;"|"&amp;$J8&amp;"|"&amp;COUNTIFS($I$7:$I8,$I8,$J$7:$J8,$J8,$D$7:$D8,"Advance"))</f>
        <v/>
      </c>
      <c r="L8" s="266">
        <f>IF(OR($I8="",$I8="?",$B8=""),"",SUMPRODUCT((Weeks!$A$7:$A$59&lt;=$J8)*(Weeks!$X$5:$AI$5=$I8)*Weeks!$X$7:$AI$59)-SUMIFS($E$7:$E$1006,$I$7:$I$1006,$I8,$B$7:$B$1006,"&lt;="&amp;$B8))</f>
        <v/>
      </c>
      <c r="M8" s="132">
        <f>IF($B8&amp;$C8&amp;$D8&amp;$E8="","",IF($B8="","missing date",IF($C8="","missing worker",IF($I8="?","unknown worker - was the name changed on Workers?",IF($D8="","missing type",IF(N($E8)=0,"missing amount",IF(AND($E8&lt;0,$D8&lt;&gt;"Correction"),"negative amount - use a Correction to undo",IF(OR($B8&lt;Weeks!$A$7,$B8&gt;Weeks!$B$59),"date outside this workbook's year",IF(AND($D8="Advance",N($L8)&lt;0),"Warning: more than earned so far - worker now owes "&amp;TEXT(ROUND(-$L8,0),"#,##0"),"")))))))))</f>
        <v/>
      </c>
      <c r="N8" s="125" t="n"/>
      <c r="O8" s="126" t="n"/>
      <c r="P8" s="126" t="n"/>
      <c r="Q8" s="126" t="n"/>
      <c r="R8" s="126" t="n"/>
      <c r="S8" s="126" t="n"/>
      <c r="T8" s="126" t="n"/>
      <c r="U8" s="126" t="n"/>
      <c r="V8" s="126" t="n"/>
      <c r="W8" s="126" t="n"/>
      <c r="X8" s="126" t="n"/>
      <c r="Y8" s="126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  <c r="AN8" s="126" t="n"/>
    </row>
    <row r="9" ht="21" customFormat="1" customHeight="1" s="127">
      <c r="A9" s="51">
        <f>IF($B9="","",ROW()-6)</f>
        <v/>
      </c>
      <c r="B9" s="264" t="n">
        <v>46269</v>
      </c>
      <c r="C9" s="133" t="inlineStr">
        <is>
          <t>Xusanboy</t>
        </is>
      </c>
      <c r="D9" s="50" t="inlineStr">
        <is>
          <t>Advance</t>
        </is>
      </c>
      <c r="E9" s="265" t="n">
        <v>200000</v>
      </c>
      <c r="F9" s="133" t="inlineStr">
        <is>
          <t>Avans (old sheet, 4-9 Sep)</t>
        </is>
      </c>
      <c r="G9" s="133" t="n"/>
      <c r="H9" s="50" t="n"/>
      <c r="I9" s="51">
        <f>IF($C9="","",IFERROR(INDEX(WorkerIDs,MATCH($C9,WorkerNames,0)),"?"))</f>
        <v/>
      </c>
      <c r="J9" s="253">
        <f>IF($B9="","",$B9-WEEKDAY($B9,2)+1)</f>
        <v/>
      </c>
      <c r="K9" s="142">
        <f>IF(OR($I9="",$I9="?",$D9&lt;&gt;"Advance",$B9=""),"",$I9&amp;"|"&amp;$J9&amp;"|"&amp;COUNTIFS($I$7:$I9,$I9,$J$7:$J9,$J9,$D$7:$D9,"Advance"))</f>
        <v/>
      </c>
      <c r="L9" s="266">
        <f>IF(OR($I9="",$I9="?",$B9=""),"",SUMPRODUCT((Weeks!$A$7:$A$59&lt;=$J9)*(Weeks!$X$5:$AI$5=$I9)*Weeks!$X$7:$AI$59)-SUMIFS($E$7:$E$1006,$I$7:$I$1006,$I9,$B$7:$B$1006,"&lt;="&amp;$B9))</f>
        <v/>
      </c>
      <c r="M9" s="132">
        <f>IF($B9&amp;$C9&amp;$D9&amp;$E9="","",IF($B9="","missing date",IF($C9="","missing worker",IF($I9="?","unknown worker - was the name changed on Workers?",IF($D9="","missing type",IF(N($E9)=0,"missing amount",IF(AND($E9&lt;0,$D9&lt;&gt;"Correction"),"negative amount - use a Correction to undo",IF(OR($B9&lt;Weeks!$A$7,$B9&gt;Weeks!$B$59),"date outside this workbook's year",IF(AND($D9="Advance",N($L9)&lt;0),"Warning: more than earned so far - worker now owes "&amp;TEXT(ROUND(-$L9,0),"#,##0"),"")))))))))</f>
        <v/>
      </c>
      <c r="N9" s="125" t="n"/>
      <c r="O9" s="126" t="n"/>
      <c r="P9" s="126" t="n"/>
      <c r="Q9" s="126" t="n"/>
      <c r="R9" s="126" t="n"/>
      <c r="S9" s="126" t="n"/>
      <c r="T9" s="126" t="n"/>
      <c r="U9" s="126" t="n"/>
      <c r="V9" s="126" t="n"/>
      <c r="W9" s="126" t="n"/>
      <c r="X9" s="126" t="n"/>
      <c r="Y9" s="126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  <c r="AN9" s="126" t="n"/>
    </row>
    <row r="10" ht="21" customFormat="1" customHeight="1" s="127">
      <c r="A10" s="51">
        <f>IF($B10="","",ROW()-6)</f>
        <v/>
      </c>
      <c r="B10" s="264" t="n">
        <v>46269</v>
      </c>
      <c r="C10" s="133" t="inlineStr">
        <is>
          <t>Nomonjon</t>
        </is>
      </c>
      <c r="D10" s="50" t="inlineStr">
        <is>
          <t>Advance</t>
        </is>
      </c>
      <c r="E10" s="265" t="n">
        <v>500000</v>
      </c>
      <c r="F10" s="133" t="inlineStr">
        <is>
          <t>Avans (old sheet, 4-9 Sep)</t>
        </is>
      </c>
      <c r="G10" s="133" t="n"/>
      <c r="H10" s="50" t="n"/>
      <c r="I10" s="51">
        <f>IF($C10="","",IFERROR(INDEX(WorkerIDs,MATCH($C10,WorkerNames,0)),"?"))</f>
        <v/>
      </c>
      <c r="J10" s="253">
        <f>IF($B10="","",$B10-WEEKDAY($B10,2)+1)</f>
        <v/>
      </c>
      <c r="K10" s="142">
        <f>IF(OR($I10="",$I10="?",$D10&lt;&gt;"Advance",$B10=""),"",$I10&amp;"|"&amp;$J10&amp;"|"&amp;COUNTIFS($I$7:$I10,$I10,$J$7:$J10,$J10,$D$7:$D10,"Advance"))</f>
        <v/>
      </c>
      <c r="L10" s="266">
        <f>IF(OR($I10="",$I10="?",$B10=""),"",SUMPRODUCT((Weeks!$A$7:$A$59&lt;=$J10)*(Weeks!$X$5:$AI$5=$I10)*Weeks!$X$7:$AI$59)-SUMIFS($E$7:$E$1006,$I$7:$I$1006,$I10,$B$7:$B$1006,"&lt;="&amp;$B10))</f>
        <v/>
      </c>
      <c r="M10" s="132">
        <f>IF($B10&amp;$C10&amp;$D10&amp;$E10="","",IF($B10="","missing date",IF($C10="","missing worker",IF($I10="?","unknown worker - was the name changed on Workers?",IF($D10="","missing type",IF(N($E10)=0,"missing amount",IF(AND($E10&lt;0,$D10&lt;&gt;"Correction"),"negative amount - use a Correction to undo",IF(OR($B10&lt;Weeks!$A$7,$B10&gt;Weeks!$B$59),"date outside this workbook's year",IF(AND($D10="Advance",N($L10)&lt;0),"Warning: more than earned so far - worker now owes "&amp;TEXT(ROUND(-$L10,0),"#,##0"),"")))))))))</f>
        <v/>
      </c>
      <c r="N10" s="125" t="n"/>
      <c r="O10" s="126" t="n"/>
      <c r="P10" s="126" t="n"/>
      <c r="Q10" s="126" t="n"/>
      <c r="R10" s="126" t="n"/>
      <c r="S10" s="126" t="n"/>
      <c r="T10" s="126" t="n"/>
      <c r="U10" s="126" t="n"/>
      <c r="V10" s="126" t="n"/>
      <c r="W10" s="126" t="n"/>
      <c r="X10" s="126" t="n"/>
      <c r="Y10" s="126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  <c r="AN10" s="126" t="n"/>
    </row>
    <row r="11" ht="21" customFormat="1" customHeight="1" s="127">
      <c r="A11" s="51">
        <f>IF($B11="","",ROW()-6)</f>
        <v/>
      </c>
      <c r="B11" s="264" t="n">
        <v>46274</v>
      </c>
      <c r="C11" s="133" t="inlineStr">
        <is>
          <t>Oybek</t>
        </is>
      </c>
      <c r="D11" s="50" t="inlineStr">
        <is>
          <t>Weekly pay</t>
        </is>
      </c>
      <c r="E11" s="265" t="n">
        <v>1247000</v>
      </c>
      <c r="F11" s="133" t="inlineStr">
        <is>
          <t>Berdim (old sheet, 4-9 Sep)</t>
        </is>
      </c>
      <c r="G11" s="133" t="n"/>
      <c r="H11" s="50" t="n"/>
      <c r="I11" s="51">
        <f>IF($C11="","",IFERROR(INDEX(WorkerIDs,MATCH($C11,WorkerNames,0)),"?"))</f>
        <v/>
      </c>
      <c r="J11" s="253">
        <f>IF($B11="","",$B11-WEEKDAY($B11,2)+1)</f>
        <v/>
      </c>
      <c r="K11" s="142">
        <f>IF(OR($I11="",$I11="?",$D11&lt;&gt;"Advance",$B11=""),"",$I11&amp;"|"&amp;$J11&amp;"|"&amp;COUNTIFS($I$7:$I11,$I11,$J$7:$J11,$J11,$D$7:$D11,"Advance"))</f>
        <v/>
      </c>
      <c r="L11" s="266">
        <f>IF(OR($I11="",$I11="?",$B11=""),"",SUMPRODUCT((Weeks!$A$7:$A$59&lt;=$J11)*(Weeks!$X$5:$AI$5=$I11)*Weeks!$X$7:$AI$59)-SUMIFS($E$7:$E$1006,$I$7:$I$1006,$I11,$B$7:$B$1006,"&lt;="&amp;$B11))</f>
        <v/>
      </c>
      <c r="M11" s="132">
        <f>IF($B11&amp;$C11&amp;$D11&amp;$E11="","",IF($B11="","missing date",IF($C11="","missing worker",IF($I11="?","unknown worker - was the name changed on Workers?",IF($D11="","missing type",IF(N($E11)=0,"missing amount",IF(AND($E11&lt;0,$D11&lt;&gt;"Correction"),"negative amount - use a Correction to undo",IF(OR($B11&lt;Weeks!$A$7,$B11&gt;Weeks!$B$59),"date outside this workbook's year",IF(AND($D11="Advance",N($L11)&lt;0),"Warning: more than earned so far - worker now owes "&amp;TEXT(ROUND(-$L11,0),"#,##0"),"")))))))))</f>
        <v/>
      </c>
      <c r="N11" s="125" t="n"/>
      <c r="O11" s="126" t="n"/>
      <c r="P11" s="126" t="n"/>
      <c r="Q11" s="126" t="n"/>
      <c r="R11" s="126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</row>
    <row r="12" ht="21" customFormat="1" customHeight="1" s="127">
      <c r="A12" s="51">
        <f>IF($B12="","",ROW()-6)</f>
        <v/>
      </c>
      <c r="B12" s="264" t="n">
        <v>46274</v>
      </c>
      <c r="C12" s="133" t="inlineStr">
        <is>
          <t>Davlatbek</t>
        </is>
      </c>
      <c r="D12" s="50" t="inlineStr">
        <is>
          <t>Weekly pay</t>
        </is>
      </c>
      <c r="E12" s="267" t="n">
        <v>1247000</v>
      </c>
      <c r="F12" s="133" t="inlineStr">
        <is>
          <t>Berdim (old sheet, 4-9 Sep)</t>
        </is>
      </c>
      <c r="G12" s="133" t="n"/>
      <c r="H12" s="50" t="n"/>
      <c r="I12" s="51">
        <f>IF($C12="","",IFERROR(INDEX(WorkerIDs,MATCH($C12,WorkerNames,0)),"?"))</f>
        <v/>
      </c>
      <c r="J12" s="253">
        <f>IF($B12="","",$B12-WEEKDAY($B12,2)+1)</f>
        <v/>
      </c>
      <c r="K12" s="142">
        <f>IF(OR($I12="",$I12="?",$D12&lt;&gt;"Advance",$B12=""),"",$I12&amp;"|"&amp;$J12&amp;"|"&amp;COUNTIFS($I$7:$I12,$I12,$J$7:$J12,$J12,$D$7:$D12,"Advance"))</f>
        <v/>
      </c>
      <c r="L12" s="266">
        <f>IF(OR($I12="",$I12="?",$B12=""),"",SUMPRODUCT((Weeks!$A$7:$A$59&lt;=$J12)*(Weeks!$X$5:$AI$5=$I12)*Weeks!$X$7:$AI$59)-SUMIFS($E$7:$E$1006,$I$7:$I$1006,$I12,$B$7:$B$1006,"&lt;="&amp;$B12))</f>
        <v/>
      </c>
      <c r="M12" s="132">
        <f>IF($B12&amp;$C12&amp;$D12&amp;$E12="","",IF($B12="","missing date",IF($C12="","missing worker",IF($I12="?","unknown worker - was the name changed on Workers?",IF($D12="","missing type",IF(N($E12)=0,"missing amount",IF(AND($E12&lt;0,$D12&lt;&gt;"Correction"),"negative amount - use a Correction to undo",IF(OR($B12&lt;Weeks!$A$7,$B12&gt;Weeks!$B$59),"date outside this workbook's year",IF(AND($D12="Advance",N($L12)&lt;0),"Warning: more than earned so far - worker now owes "&amp;TEXT(ROUND(-$L12,0),"#,##0"),"")))))))))</f>
        <v/>
      </c>
      <c r="N12" s="125" t="n"/>
      <c r="O12" s="126" t="n"/>
      <c r="P12" s="126" t="n"/>
      <c r="Q12" s="126" t="n"/>
      <c r="R12" s="126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</row>
    <row r="13" ht="21" customFormat="1" customHeight="1" s="127">
      <c r="A13" s="51">
        <f>IF($B13="","",ROW()-6)</f>
        <v/>
      </c>
      <c r="B13" s="264" t="n">
        <v>46274</v>
      </c>
      <c r="C13" s="133" t="inlineStr">
        <is>
          <t>Xusanboy</t>
        </is>
      </c>
      <c r="D13" s="50" t="inlineStr">
        <is>
          <t>Weekly pay</t>
        </is>
      </c>
      <c r="E13" s="267" t="n">
        <v>1247000</v>
      </c>
      <c r="F13" s="133" t="inlineStr">
        <is>
          <t>Berdim (old sheet, 4-9 Sep)</t>
        </is>
      </c>
      <c r="G13" s="133" t="n"/>
      <c r="H13" s="50" t="n"/>
      <c r="I13" s="51">
        <f>IF($C13="","",IFERROR(INDEX(WorkerIDs,MATCH($C13,WorkerNames,0)),"?"))</f>
        <v/>
      </c>
      <c r="J13" s="253">
        <f>IF($B13="","",$B13-WEEKDAY($B13,2)+1)</f>
        <v/>
      </c>
      <c r="K13" s="142">
        <f>IF(OR($I13="",$I13="?",$D13&lt;&gt;"Advance",$B13=""),"",$I13&amp;"|"&amp;$J13&amp;"|"&amp;COUNTIFS($I$7:$I13,$I13,$J$7:$J13,$J13,$D$7:$D13,"Advance"))</f>
        <v/>
      </c>
      <c r="L13" s="266">
        <f>IF(OR($I13="",$I13="?",$B13=""),"",SUMPRODUCT((Weeks!$A$7:$A$59&lt;=$J13)*(Weeks!$X$5:$AI$5=$I13)*Weeks!$X$7:$AI$59)-SUMIFS($E$7:$E$1006,$I$7:$I$1006,$I13,$B$7:$B$1006,"&lt;="&amp;$B13))</f>
        <v/>
      </c>
      <c r="M13" s="132">
        <f>IF($B13&amp;$C13&amp;$D13&amp;$E13="","",IF($B13="","missing date",IF($C13="","missing worker",IF($I13="?","unknown worker - was the name changed on Workers?",IF($D13="","missing type",IF(N($E13)=0,"missing amount",IF(AND($E13&lt;0,$D13&lt;&gt;"Correction"),"negative amount - use a Correction to undo",IF(OR($B13&lt;Weeks!$A$7,$B13&gt;Weeks!$B$59),"date outside this workbook's year",IF(AND($D13="Advance",N($L13)&lt;0),"Warning: more than earned so far - worker now owes "&amp;TEXT(ROUND(-$L13,0),"#,##0"),"")))))))))</f>
        <v/>
      </c>
      <c r="N13" s="125" t="n"/>
      <c r="O13" s="126" t="n"/>
      <c r="P13" s="126" t="n"/>
      <c r="Q13" s="126" t="n"/>
      <c r="R13" s="126" t="n"/>
      <c r="S13" s="126" t="n"/>
      <c r="T13" s="126" t="n"/>
      <c r="U13" s="126" t="n"/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</row>
    <row r="14" ht="21" customFormat="1" customHeight="1" s="127">
      <c r="A14" s="51">
        <f>IF($B14="","",ROW()-6)</f>
        <v/>
      </c>
      <c r="B14" s="264" t="n">
        <v>46274</v>
      </c>
      <c r="C14" s="133" t="inlineStr">
        <is>
          <t>Nomonjon</t>
        </is>
      </c>
      <c r="D14" s="50" t="inlineStr">
        <is>
          <t>Weekly pay</t>
        </is>
      </c>
      <c r="E14" s="265" t="n">
        <v>1247000</v>
      </c>
      <c r="F14" s="133" t="inlineStr">
        <is>
          <t>Berdim (old sheet, 4-9 Sep)</t>
        </is>
      </c>
      <c r="G14" s="133" t="n"/>
      <c r="H14" s="50" t="n"/>
      <c r="I14" s="51">
        <f>IF($C14="","",IFERROR(INDEX(WorkerIDs,MATCH($C14,WorkerNames,0)),"?"))</f>
        <v/>
      </c>
      <c r="J14" s="253">
        <f>IF($B14="","",$B14-WEEKDAY($B14,2)+1)</f>
        <v/>
      </c>
      <c r="K14" s="142">
        <f>IF(OR($I14="",$I14="?",$D14&lt;&gt;"Advance",$B14=""),"",$I14&amp;"|"&amp;$J14&amp;"|"&amp;COUNTIFS($I$7:$I14,$I14,$J$7:$J14,$J14,$D$7:$D14,"Advance"))</f>
        <v/>
      </c>
      <c r="L14" s="266">
        <f>IF(OR($I14="",$I14="?",$B14=""),"",SUMPRODUCT((Weeks!$A$7:$A$59&lt;=$J14)*(Weeks!$X$5:$AI$5=$I14)*Weeks!$X$7:$AI$59)-SUMIFS($E$7:$E$1006,$I$7:$I$1006,$I14,$B$7:$B$1006,"&lt;="&amp;$B14))</f>
        <v/>
      </c>
      <c r="M14" s="132">
        <f>IF($B14&amp;$C14&amp;$D14&amp;$E14="","",IF($B14="","missing date",IF($C14="","missing worker",IF($I14="?","unknown worker - was the name changed on Workers?",IF($D14="","missing type",IF(N($E14)=0,"missing amount",IF(AND($E14&lt;0,$D14&lt;&gt;"Correction"),"negative amount - use a Correction to undo",IF(OR($B14&lt;Weeks!$A$7,$B14&gt;Weeks!$B$59),"date outside this workbook's year",IF(AND($D14="Advance",N($L14)&lt;0),"Warning: more than earned so far - worker now owes "&amp;TEXT(ROUND(-$L14,0),"#,##0"),"")))))))))</f>
        <v/>
      </c>
      <c r="N14" s="125" t="n"/>
      <c r="O14" s="126" t="n"/>
      <c r="P14" s="126" t="n"/>
      <c r="Q14" s="126" t="n"/>
      <c r="R14" s="126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</row>
    <row r="15" ht="21" customFormat="1" customHeight="1" s="127">
      <c r="A15" s="51">
        <f>IF($B15="","",ROW()-6)</f>
        <v/>
      </c>
      <c r="B15" s="264" t="n">
        <v>46283</v>
      </c>
      <c r="C15" s="133" t="inlineStr">
        <is>
          <t>Xusanboy</t>
        </is>
      </c>
      <c r="D15" s="50" t="inlineStr">
        <is>
          <t>Advance</t>
        </is>
      </c>
      <c r="E15" s="265" t="n">
        <v>500000</v>
      </c>
      <c r="F15" s="133" t="inlineStr">
        <is>
          <t>Avans (old sheet, 14-18 Sep)</t>
        </is>
      </c>
      <c r="G15" s="133" t="n"/>
      <c r="H15" s="50" t="n"/>
      <c r="I15" s="51">
        <f>IF($C15="","",IFERROR(INDEX(WorkerIDs,MATCH($C15,WorkerNames,0)),"?"))</f>
        <v/>
      </c>
      <c r="J15" s="253">
        <f>IF($B15="","",$B15-WEEKDAY($B15,2)+1)</f>
        <v/>
      </c>
      <c r="K15" s="142">
        <f>IF(OR($I15="",$I15="?",$D15&lt;&gt;"Advance",$B15=""),"",$I15&amp;"|"&amp;$J15&amp;"|"&amp;COUNTIFS($I$7:$I15,$I15,$J$7:$J15,$J15,$D$7:$D15,"Advance"))</f>
        <v/>
      </c>
      <c r="L15" s="266">
        <f>IF(OR($I15="",$I15="?",$B15=""),"",SUMPRODUCT((Weeks!$A$7:$A$59&lt;=$J15)*(Weeks!$X$5:$AI$5=$I15)*Weeks!$X$7:$AI$59)-SUMIFS($E$7:$E$1006,$I$7:$I$1006,$I15,$B$7:$B$1006,"&lt;="&amp;$B15))</f>
        <v/>
      </c>
      <c r="M15" s="132">
        <f>IF($B15&amp;$C15&amp;$D15&amp;$E15="","",IF($B15="","missing date",IF($C15="","missing worker",IF($I15="?","unknown worker - was the name changed on Workers?",IF($D15="","missing type",IF(N($E15)=0,"missing amount",IF(AND($E15&lt;0,$D15&lt;&gt;"Correction"),"negative amount - use a Correction to undo",IF(OR($B15&lt;Weeks!$A$7,$B15&gt;Weeks!$B$59),"date outside this workbook's year",IF(AND($D15="Advance",N($L15)&lt;0),"Warning: more than earned so far - worker now owes "&amp;TEXT(ROUND(-$L15,0),"#,##0"),"")))))))))</f>
        <v/>
      </c>
      <c r="N15" s="125" t="n"/>
      <c r="O15" s="126" t="n"/>
      <c r="P15" s="126" t="n"/>
      <c r="Q15" s="126" t="n"/>
      <c r="R15" s="126" t="n"/>
      <c r="S15" s="126" t="n"/>
      <c r="T15" s="126" t="n"/>
      <c r="U15" s="126" t="n"/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</row>
    <row r="16" ht="21" customFormat="1" customHeight="1" s="127">
      <c r="A16" s="51">
        <f>IF($B16="","",ROW()-6)</f>
        <v/>
      </c>
      <c r="B16" s="268" t="n">
        <v>46283</v>
      </c>
      <c r="C16" s="133" t="inlineStr">
        <is>
          <t>Oybek</t>
        </is>
      </c>
      <c r="D16" s="50" t="inlineStr">
        <is>
          <t>Weekly pay</t>
        </is>
      </c>
      <c r="E16" s="265" t="n">
        <v>1000000</v>
      </c>
      <c r="F16" s="133" t="inlineStr">
        <is>
          <t>Berdim (old sheet, 14-18 Sep)</t>
        </is>
      </c>
      <c r="G16" s="133" t="n"/>
      <c r="H16" s="50" t="n"/>
      <c r="I16" s="51">
        <f>IF($C16="","",IFERROR(INDEX(WorkerIDs,MATCH($C16,WorkerNames,0)),"?"))</f>
        <v/>
      </c>
      <c r="J16" s="253">
        <f>IF($B16="","",$B16-WEEKDAY($B16,2)+1)</f>
        <v/>
      </c>
      <c r="K16" s="142">
        <f>IF(OR($I16="",$I16="?",$D16&lt;&gt;"Advance",$B16=""),"",$I16&amp;"|"&amp;$J16&amp;"|"&amp;COUNTIFS($I$7:$I16,$I16,$J$7:$J16,$J16,$D$7:$D16,"Advance"))</f>
        <v/>
      </c>
      <c r="L16" s="266">
        <f>IF(OR($I16="",$I16="?",$B16=""),"",SUMPRODUCT((Weeks!$A$7:$A$59&lt;=$J16)*(Weeks!$X$5:$AI$5=$I16)*Weeks!$X$7:$AI$59)-SUMIFS($E$7:$E$1006,$I$7:$I$1006,$I16,$B$7:$B$1006,"&lt;="&amp;$B16))</f>
        <v/>
      </c>
      <c r="M16" s="132">
        <f>IF($B16&amp;$C16&amp;$D16&amp;$E16="","",IF($B16="","missing date",IF($C16="","missing worker",IF($I16="?","unknown worker - was the name changed on Workers?",IF($D16="","missing type",IF(N($E16)=0,"missing amount",IF(AND($E16&lt;0,$D16&lt;&gt;"Correction"),"negative amount - use a Correction to undo",IF(OR($B16&lt;Weeks!$A$7,$B16&gt;Weeks!$B$59),"date outside this workbook's year",IF(AND($D16="Advance",N($L16)&lt;0),"Warning: more than earned so far - worker now owes "&amp;TEXT(ROUND(-$L16,0),"#,##0"),"")))))))))</f>
        <v/>
      </c>
      <c r="N16" s="125" t="n"/>
      <c r="O16" s="126" t="n"/>
      <c r="P16" s="126" t="n"/>
      <c r="Q16" s="126" t="n"/>
      <c r="R16" s="126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</row>
    <row r="17" ht="21" customFormat="1" customHeight="1" s="127">
      <c r="A17" s="51">
        <f>IF($B17="","",ROW()-6)</f>
        <v/>
      </c>
      <c r="B17" s="268" t="n">
        <v>46283</v>
      </c>
      <c r="C17" s="133" t="inlineStr">
        <is>
          <t>Davlatbek</t>
        </is>
      </c>
      <c r="D17" s="50" t="inlineStr">
        <is>
          <t>Weekly pay</t>
        </is>
      </c>
      <c r="E17" s="267" t="n">
        <v>848000</v>
      </c>
      <c r="F17" s="133" t="inlineStr">
        <is>
          <t>Berdim (old sheet, 14-18 Sep)</t>
        </is>
      </c>
      <c r="G17" s="133" t="n"/>
      <c r="H17" s="50" t="n"/>
      <c r="I17" s="51">
        <f>IF($C17="","",IFERROR(INDEX(WorkerIDs,MATCH($C17,WorkerNames,0)),"?"))</f>
        <v/>
      </c>
      <c r="J17" s="253">
        <f>IF($B17="","",$B17-WEEKDAY($B17,2)+1)</f>
        <v/>
      </c>
      <c r="K17" s="142">
        <f>IF(OR($I17="",$I17="?",$D17&lt;&gt;"Advance",$B17=""),"",$I17&amp;"|"&amp;$J17&amp;"|"&amp;COUNTIFS($I$7:$I17,$I17,$J$7:$J17,$J17,$D$7:$D17,"Advance"))</f>
        <v/>
      </c>
      <c r="L17" s="266">
        <f>IF(OR($I17="",$I17="?",$B17=""),"",SUMPRODUCT((Weeks!$A$7:$A$59&lt;=$J17)*(Weeks!$X$5:$AI$5=$I17)*Weeks!$X$7:$AI$59)-SUMIFS($E$7:$E$1006,$I$7:$I$1006,$I17,$B$7:$B$1006,"&lt;="&amp;$B17))</f>
        <v/>
      </c>
      <c r="M17" s="132">
        <f>IF($B17&amp;$C17&amp;$D17&amp;$E17="","",IF($B17="","missing date",IF($C17="","missing worker",IF($I17="?","unknown worker - was the name changed on Workers?",IF($D17="","missing type",IF(N($E17)=0,"missing amount",IF(AND($E17&lt;0,$D17&lt;&gt;"Correction"),"negative amount - use a Correction to undo",IF(OR($B17&lt;Weeks!$A$7,$B17&gt;Weeks!$B$59),"date outside this workbook's year",IF(AND($D17="Advance",N($L17)&lt;0),"Warning: more than earned so far - worker now owes "&amp;TEXT(ROUND(-$L17,0),"#,##0"),"")))))))))</f>
        <v/>
      </c>
      <c r="N17" s="125" t="n"/>
      <c r="O17" s="126" t="n"/>
      <c r="P17" s="126" t="n"/>
      <c r="Q17" s="126" t="n"/>
      <c r="R17" s="126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</row>
    <row r="18" ht="21" customFormat="1" customHeight="1" s="127">
      <c r="A18" s="51">
        <f>IF($B18="","",ROW()-6)</f>
        <v/>
      </c>
      <c r="B18" s="268" t="n">
        <v>46283</v>
      </c>
      <c r="C18" s="133" t="inlineStr">
        <is>
          <t>Xusanboy</t>
        </is>
      </c>
      <c r="D18" s="50" t="inlineStr">
        <is>
          <t>Weekly pay</t>
        </is>
      </c>
      <c r="E18" s="265" t="n">
        <v>648000</v>
      </c>
      <c r="F18" s="133" t="inlineStr">
        <is>
          <t>Berdim (old sheet, 14-18 Sep)</t>
        </is>
      </c>
      <c r="G18" s="133" t="n"/>
      <c r="H18" s="50" t="n"/>
      <c r="I18" s="51">
        <f>IF($C18="","",IFERROR(INDEX(WorkerIDs,MATCH($C18,WorkerNames,0)),"?"))</f>
        <v/>
      </c>
      <c r="J18" s="253">
        <f>IF($B18="","",$B18-WEEKDAY($B18,2)+1)</f>
        <v/>
      </c>
      <c r="K18" s="142">
        <f>IF(OR($I18="",$I18="?",$D18&lt;&gt;"Advance",$B18=""),"",$I18&amp;"|"&amp;$J18&amp;"|"&amp;COUNTIFS($I$7:$I18,$I18,$J$7:$J18,$J18,$D$7:$D18,"Advance"))</f>
        <v/>
      </c>
      <c r="L18" s="266">
        <f>IF(OR($I18="",$I18="?",$B18=""),"",SUMPRODUCT((Weeks!$A$7:$A$59&lt;=$J18)*(Weeks!$X$5:$AI$5=$I18)*Weeks!$X$7:$AI$59)-SUMIFS($E$7:$E$1006,$I$7:$I$1006,$I18,$B$7:$B$1006,"&lt;="&amp;$B18))</f>
        <v/>
      </c>
      <c r="M18" s="132">
        <f>IF($B18&amp;$C18&amp;$D18&amp;$E18="","",IF($B18="","missing date",IF($C18="","missing worker",IF($I18="?","unknown worker - was the name changed on Workers?",IF($D18="","missing type",IF(N($E18)=0,"missing amount",IF(AND($E18&lt;0,$D18&lt;&gt;"Correction"),"negative amount - use a Correction to undo",IF(OR($B18&lt;Weeks!$A$7,$B18&gt;Weeks!$B$59),"date outside this workbook's year",IF(AND($D18="Advance",N($L18)&lt;0),"Warning: more than earned so far - worker now owes "&amp;TEXT(ROUND(-$L18,0),"#,##0"),"")))))))))</f>
        <v/>
      </c>
      <c r="N18" s="125" t="n"/>
      <c r="O18" s="126" t="n"/>
      <c r="P18" s="126" t="n"/>
      <c r="Q18" s="126" t="n"/>
      <c r="R18" s="126" t="n"/>
      <c r="S18" s="126" t="n"/>
      <c r="T18" s="126" t="n"/>
      <c r="U18" s="126" t="n"/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</row>
    <row r="19" ht="21" customFormat="1" customHeight="1" s="127">
      <c r="A19" s="51">
        <f>IF($B19="","",ROW()-6)</f>
        <v/>
      </c>
      <c r="B19" s="268" t="n">
        <v>46283</v>
      </c>
      <c r="C19" s="133" t="inlineStr">
        <is>
          <t>Nomonjon</t>
        </is>
      </c>
      <c r="D19" s="50" t="inlineStr">
        <is>
          <t>Weekly pay</t>
        </is>
      </c>
      <c r="E19" s="267" t="n">
        <v>1000000</v>
      </c>
      <c r="F19" s="133" t="inlineStr">
        <is>
          <t>Berdim (old sheet, 14-18 Sep)</t>
        </is>
      </c>
      <c r="G19" s="133" t="n"/>
      <c r="H19" s="50" t="n"/>
      <c r="I19" s="51">
        <f>IF($C19="","",IFERROR(INDEX(WorkerIDs,MATCH($C19,WorkerNames,0)),"?"))</f>
        <v/>
      </c>
      <c r="J19" s="253">
        <f>IF($B19="","",$B19-WEEKDAY($B19,2)+1)</f>
        <v/>
      </c>
      <c r="K19" s="142">
        <f>IF(OR($I19="",$I19="?",$D19&lt;&gt;"Advance",$B19=""),"",$I19&amp;"|"&amp;$J19&amp;"|"&amp;COUNTIFS($I$7:$I19,$I19,$J$7:$J19,$J19,$D$7:$D19,"Advance"))</f>
        <v/>
      </c>
      <c r="L19" s="266">
        <f>IF(OR($I19="",$I19="?",$B19=""),"",SUMPRODUCT((Weeks!$A$7:$A$59&lt;=$J19)*(Weeks!$X$5:$AI$5=$I19)*Weeks!$X$7:$AI$59)-SUMIFS($E$7:$E$1006,$I$7:$I$1006,$I19,$B$7:$B$1006,"&lt;="&amp;$B19))</f>
        <v/>
      </c>
      <c r="M19" s="132">
        <f>IF($B19&amp;$C19&amp;$D19&amp;$E19="","",IF($B19="","missing date",IF($C19="","missing worker",IF($I19="?","unknown worker - was the name changed on Workers?",IF($D19="","missing type",IF(N($E19)=0,"missing amount",IF(AND($E19&lt;0,$D19&lt;&gt;"Correction"),"negative amount - use a Correction to undo",IF(OR($B19&lt;Weeks!$A$7,$B19&gt;Weeks!$B$59),"date outside this workbook's year",IF(AND($D19="Advance",N($L19)&lt;0),"Warning: more than earned so far - worker now owes "&amp;TEXT(ROUND(-$L19,0),"#,##0"),"")))))))))</f>
        <v/>
      </c>
      <c r="N19" s="125" t="n"/>
      <c r="O19" s="126" t="n"/>
      <c r="P19" s="126" t="n"/>
      <c r="Q19" s="126" t="n"/>
      <c r="R19" s="126" t="n"/>
      <c r="S19" s="126" t="n"/>
      <c r="T19" s="126" t="n"/>
      <c r="U19" s="126" t="n"/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</row>
    <row r="20" ht="21" customFormat="1" customHeight="1" s="127">
      <c r="A20" s="51">
        <f>IF($B20="","",ROW()-6)</f>
        <v/>
      </c>
      <c r="B20" s="268" t="n">
        <v>46286</v>
      </c>
      <c r="C20" s="133" t="inlineStr">
        <is>
          <t>Davlatbek</t>
        </is>
      </c>
      <c r="D20" s="50" t="inlineStr">
        <is>
          <t>Advance</t>
        </is>
      </c>
      <c r="E20" s="265" t="n">
        <v>150000</v>
      </c>
      <c r="F20" s="133" t="inlineStr">
        <is>
          <t>Karta</t>
        </is>
      </c>
      <c r="G20" s="133" t="n"/>
      <c r="H20" s="50" t="n"/>
      <c r="I20" s="51">
        <f>IF($C20="","",IFERROR(INDEX(WorkerIDs,MATCH($C20,WorkerNames,0)),"?"))</f>
        <v/>
      </c>
      <c r="J20" s="253">
        <f>IF($B20="","",$B20-WEEKDAY($B20,2)+1)</f>
        <v/>
      </c>
      <c r="K20" s="142">
        <f>IF(OR($I20="",$I20="?",$D20&lt;&gt;"Advance",$B20=""),"",$I20&amp;"|"&amp;$J20&amp;"|"&amp;COUNTIFS($I$7:$I20,$I20,$J$7:$J20,$J20,$D$7:$D20,"Advance"))</f>
        <v/>
      </c>
      <c r="L20" s="266">
        <f>IF(OR($I20="",$I20="?",$B20=""),"",SUMPRODUCT((Weeks!$A$7:$A$59&lt;=$J20)*(Weeks!$X$5:$AI$5=$I20)*Weeks!$X$7:$AI$59)-SUMIFS($E$7:$E$1006,$I$7:$I$1006,$I20,$B$7:$B$1006,"&lt;="&amp;$B20))</f>
        <v/>
      </c>
      <c r="M20" s="132">
        <f>IF($B20&amp;$C20&amp;$D20&amp;$E20="","",IF($B20="","missing date",IF($C20="","missing worker",IF($I20="?","unknown worker - was the name changed on Workers?",IF($D20="","missing type",IF(N($E20)=0,"missing amount",IF(AND($E20&lt;0,$D20&lt;&gt;"Correction"),"negative amount - use a Correction to undo",IF(OR($B20&lt;Weeks!$A$7,$B20&gt;Weeks!$B$59),"date outside this workbook's year",IF(AND($D20="Advance",N($L20)&lt;0),"Warning: more than earned so far - worker now owes "&amp;TEXT(ROUND(-$L20,0),"#,##0"),"")))))))))</f>
        <v/>
      </c>
      <c r="N20" s="125" t="n"/>
      <c r="O20" s="126" t="n"/>
      <c r="P20" s="126" t="n"/>
      <c r="Q20" s="126" t="n"/>
      <c r="R20" s="126" t="n"/>
      <c r="S20" s="126" t="n"/>
      <c r="T20" s="126" t="n"/>
      <c r="U20" s="126" t="n"/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</row>
    <row r="21" ht="21" customFormat="1" customHeight="1" s="127">
      <c r="A21" s="51">
        <f>IF($B21="","",ROW()-6)</f>
        <v/>
      </c>
      <c r="B21" s="268" t="n">
        <v>46287</v>
      </c>
      <c r="C21" s="133" t="inlineStr">
        <is>
          <t>Xusanboy</t>
        </is>
      </c>
      <c r="D21" s="50" t="inlineStr">
        <is>
          <t>Advance</t>
        </is>
      </c>
      <c r="E21" s="265" t="n">
        <v>500000</v>
      </c>
      <c r="F21" s="133" t="inlineStr">
        <is>
          <t>Karta+Naqd</t>
        </is>
      </c>
      <c r="G21" s="133" t="n"/>
      <c r="H21" s="50" t="n"/>
      <c r="I21" s="51">
        <f>IF($C21="","",IFERROR(INDEX(WorkerIDs,MATCH($C21,WorkerNames,0)),"?"))</f>
        <v/>
      </c>
      <c r="J21" s="253">
        <f>IF($B21="","",$B21-WEEKDAY($B21,2)+1)</f>
        <v/>
      </c>
      <c r="K21" s="142">
        <f>IF(OR($I21="",$I21="?",$D21&lt;&gt;"Advance",$B21=""),"",$I21&amp;"|"&amp;$J21&amp;"|"&amp;COUNTIFS($I$7:$I21,$I21,$J$7:$J21,$J21,$D$7:$D21,"Advance"))</f>
        <v/>
      </c>
      <c r="L21" s="266">
        <f>IF(OR($I21="",$I21="?",$B21=""),"",SUMPRODUCT((Weeks!$A$7:$A$59&lt;=$J21)*(Weeks!$X$5:$AI$5=$I21)*Weeks!$X$7:$AI$59)-SUMIFS($E$7:$E$1006,$I$7:$I$1006,$I21,$B$7:$B$1006,"&lt;="&amp;$B21))</f>
        <v/>
      </c>
      <c r="M21" s="132">
        <f>IF($B21&amp;$C21&amp;$D21&amp;$E21="","",IF($B21="","missing date",IF($C21="","missing worker",IF($I21="?","unknown worker - was the name changed on Workers?",IF($D21="","missing type",IF(N($E21)=0,"missing amount",IF(AND($E21&lt;0,$D21&lt;&gt;"Correction"),"negative amount - use a Correction to undo",IF(OR($B21&lt;Weeks!$A$7,$B21&gt;Weeks!$B$59),"date outside this workbook's year",IF(AND($D21="Advance",N($L21)&lt;0),"Warning: more than earned so far - worker now owes "&amp;TEXT(ROUND(-$L21,0),"#,##0"),"")))))))))</f>
        <v/>
      </c>
      <c r="N21" s="125" t="n"/>
      <c r="O21" s="126" t="n"/>
      <c r="P21" s="126" t="n"/>
      <c r="Q21" s="126" t="n"/>
      <c r="R21" s="126" t="n"/>
      <c r="S21" s="126" t="n"/>
      <c r="T21" s="126" t="n"/>
      <c r="U21" s="126" t="n"/>
      <c r="V21" s="126" t="n"/>
      <c r="W21" s="126" t="n"/>
      <c r="X21" s="126" t="n"/>
      <c r="Y21" s="126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  <c r="AN21" s="126" t="n"/>
    </row>
    <row r="22" ht="21" customFormat="1" customHeight="1" s="127">
      <c r="A22" s="51">
        <f>IF($B22="","",ROW()-6)</f>
        <v/>
      </c>
      <c r="B22" s="268" t="n"/>
      <c r="C22" s="133" t="n"/>
      <c r="D22" s="50" t="n"/>
      <c r="E22" s="265" t="n"/>
      <c r="F22" s="133" t="n"/>
      <c r="G22" s="133" t="n"/>
      <c r="H22" s="50" t="n"/>
      <c r="I22" s="51">
        <f>IF($C22="","",IFERROR(INDEX(WorkerIDs,MATCH($C22,WorkerNames,0)),"?"))</f>
        <v/>
      </c>
      <c r="J22" s="253">
        <f>IF($B22="","",$B22-WEEKDAY($B22,2)+1)</f>
        <v/>
      </c>
      <c r="K22" s="142">
        <f>IF(OR($I22="",$I22="?",$D22&lt;&gt;"Advance",$B22=""),"",$I22&amp;"|"&amp;$J22&amp;"|"&amp;COUNTIFS($I$7:$I22,$I22,$J$7:$J22,$J22,$D$7:$D22,"Advance"))</f>
        <v/>
      </c>
      <c r="L22" s="266">
        <f>IF(OR($I22="",$I22="?",$B22=""),"",SUMPRODUCT((Weeks!$A$7:$A$59&lt;=$J22)*(Weeks!$X$5:$AI$5=$I22)*Weeks!$X$7:$AI$59)-SUMIFS($E$7:$E$1006,$I$7:$I$1006,$I22,$B$7:$B$1006,"&lt;="&amp;$B22))</f>
        <v/>
      </c>
      <c r="M22" s="132">
        <f>IF($B22&amp;$C22&amp;$D22&amp;$E22="","",IF($B22="","missing date",IF($C22="","missing worker",IF($I22="?","unknown worker - was the name changed on Workers?",IF($D22="","missing type",IF(N($E22)=0,"missing amount",IF(AND($E22&lt;0,$D22&lt;&gt;"Correction"),"negative amount - use a Correction to undo",IF(OR($B22&lt;Weeks!$A$7,$B22&gt;Weeks!$B$59),"date outside this workbook's year",IF(AND($D22="Advance",N($L22)&lt;0),"Warning: more than earned so far - worker now owes "&amp;TEXT(ROUND(-$L22,0),"#,##0"),"")))))))))</f>
        <v/>
      </c>
      <c r="N22" s="125" t="n"/>
      <c r="O22" s="126" t="n"/>
      <c r="P22" s="126" t="n"/>
      <c r="Q22" s="126" t="n"/>
      <c r="R22" s="126" t="n"/>
      <c r="S22" s="126" t="n"/>
      <c r="T22" s="126" t="n"/>
      <c r="U22" s="126" t="n"/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</row>
    <row r="23" ht="21" customFormat="1" customHeight="1" s="127">
      <c r="A23" s="51">
        <f>IF($B23="","",ROW()-6)</f>
        <v/>
      </c>
      <c r="B23" s="268" t="n"/>
      <c r="C23" s="133" t="n"/>
      <c r="D23" s="50" t="n"/>
      <c r="E23" s="265" t="n"/>
      <c r="F23" s="133" t="n"/>
      <c r="G23" s="133" t="n"/>
      <c r="H23" s="50" t="n"/>
      <c r="I23" s="51">
        <f>IF($C23="","",IFERROR(INDEX(WorkerIDs,MATCH($C23,WorkerNames,0)),"?"))</f>
        <v/>
      </c>
      <c r="J23" s="253">
        <f>IF($B23="","",$B23-WEEKDAY($B23,2)+1)</f>
        <v/>
      </c>
      <c r="K23" s="142">
        <f>IF(OR($I23="",$I23="?",$D23&lt;&gt;"Advance",$B23=""),"",$I23&amp;"|"&amp;$J23&amp;"|"&amp;COUNTIFS($I$7:$I23,$I23,$J$7:$J23,$J23,$D$7:$D23,"Advance"))</f>
        <v/>
      </c>
      <c r="L23" s="266">
        <f>IF(OR($I23="",$I23="?",$B23=""),"",SUMPRODUCT((Weeks!$A$7:$A$59&lt;=$J23)*(Weeks!$X$5:$AI$5=$I23)*Weeks!$X$7:$AI$59)-SUMIFS($E$7:$E$1006,$I$7:$I$1006,$I23,$B$7:$B$1006,"&lt;="&amp;$B23))</f>
        <v/>
      </c>
      <c r="M23" s="132">
        <f>IF($B23&amp;$C23&amp;$D23&amp;$E23="","",IF($B23="","missing date",IF($C23="","missing worker",IF($I23="?","unknown worker - was the name changed on Workers?",IF($D23="","missing type",IF(N($E23)=0,"missing amount",IF(AND($E23&lt;0,$D23&lt;&gt;"Correction"),"negative amount - use a Correction to undo",IF(OR($B23&lt;Weeks!$A$7,$B23&gt;Weeks!$B$59),"date outside this workbook's year",IF(AND($D23="Advance",N($L23)&lt;0),"Warning: more than earned so far - worker now owes "&amp;TEXT(ROUND(-$L23,0),"#,##0"),"")))))))))</f>
        <v/>
      </c>
      <c r="N23" s="125" t="n"/>
      <c r="O23" s="126" t="n"/>
      <c r="P23" s="126" t="n"/>
      <c r="Q23" s="126" t="n"/>
      <c r="R23" s="126" t="n"/>
      <c r="S23" s="126" t="n"/>
      <c r="T23" s="126" t="n"/>
      <c r="U23" s="126" t="n"/>
      <c r="V23" s="126" t="n"/>
      <c r="W23" s="126" t="n"/>
      <c r="X23" s="126" t="n"/>
      <c r="Y23" s="126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  <c r="AN23" s="126" t="n"/>
    </row>
    <row r="24" ht="21" customFormat="1" customHeight="1" s="127">
      <c r="A24" s="51">
        <f>IF($B24="","",ROW()-6)</f>
        <v/>
      </c>
      <c r="B24" s="268" t="n"/>
      <c r="C24" s="133" t="n"/>
      <c r="D24" s="50" t="n"/>
      <c r="E24" s="265" t="n"/>
      <c r="F24" s="133" t="n"/>
      <c r="G24" s="133" t="n"/>
      <c r="H24" s="50" t="n"/>
      <c r="I24" s="51">
        <f>IF($C24="","",IFERROR(INDEX(WorkerIDs,MATCH($C24,WorkerNames,0)),"?"))</f>
        <v/>
      </c>
      <c r="J24" s="253">
        <f>IF($B24="","",$B24-WEEKDAY($B24,2)+1)</f>
        <v/>
      </c>
      <c r="K24" s="142">
        <f>IF(OR($I24="",$I24="?",$D24&lt;&gt;"Advance",$B24=""),"",$I24&amp;"|"&amp;$J24&amp;"|"&amp;COUNTIFS($I$7:$I24,$I24,$J$7:$J24,$J24,$D$7:$D24,"Advance"))</f>
        <v/>
      </c>
      <c r="L24" s="266">
        <f>IF(OR($I24="",$I24="?",$B24=""),"",SUMPRODUCT((Weeks!$A$7:$A$59&lt;=$J24)*(Weeks!$X$5:$AI$5=$I24)*Weeks!$X$7:$AI$59)-SUMIFS($E$7:$E$1006,$I$7:$I$1006,$I24,$B$7:$B$1006,"&lt;="&amp;$B24))</f>
        <v/>
      </c>
      <c r="M24" s="132">
        <f>IF($B24&amp;$C24&amp;$D24&amp;$E24="","",IF($B24="","missing date",IF($C24="","missing worker",IF($I24="?","unknown worker - was the name changed on Workers?",IF($D24="","missing type",IF(N($E24)=0,"missing amount",IF(AND($E24&lt;0,$D24&lt;&gt;"Correction"),"negative amount - use a Correction to undo",IF(OR($B24&lt;Weeks!$A$7,$B24&gt;Weeks!$B$59),"date outside this workbook's year",IF(AND($D24="Advance",N($L24)&lt;0),"Warning: more than earned so far - worker now owes "&amp;TEXT(ROUND(-$L24,0),"#,##0"),"")))))))))</f>
        <v/>
      </c>
      <c r="N24" s="125" t="n"/>
      <c r="O24" s="126" t="n"/>
      <c r="P24" s="126" t="n"/>
      <c r="Q24" s="126" t="n"/>
      <c r="R24" s="126" t="n"/>
      <c r="S24" s="126" t="n"/>
      <c r="T24" s="126" t="n"/>
      <c r="U24" s="126" t="n"/>
      <c r="V24" s="126" t="n"/>
      <c r="W24" s="126" t="n"/>
      <c r="X24" s="126" t="n"/>
      <c r="Y24" s="126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  <c r="AN24" s="126" t="n"/>
    </row>
    <row r="25" ht="21" customFormat="1" customHeight="1" s="127">
      <c r="A25" s="51">
        <f>IF($B25="","",ROW()-6)</f>
        <v/>
      </c>
      <c r="B25" s="268" t="n"/>
      <c r="C25" s="133" t="n"/>
      <c r="D25" s="50" t="n"/>
      <c r="E25" s="265" t="n"/>
      <c r="F25" s="133" t="n"/>
      <c r="G25" s="133" t="n"/>
      <c r="H25" s="50" t="n"/>
      <c r="I25" s="51">
        <f>IF($C25="","",IFERROR(INDEX(WorkerIDs,MATCH($C25,WorkerNames,0)),"?"))</f>
        <v/>
      </c>
      <c r="J25" s="253">
        <f>IF($B25="","",$B25-WEEKDAY($B25,2)+1)</f>
        <v/>
      </c>
      <c r="K25" s="142">
        <f>IF(OR($I25="",$I25="?",$D25&lt;&gt;"Advance",$B25=""),"",$I25&amp;"|"&amp;$J25&amp;"|"&amp;COUNTIFS($I$7:$I25,$I25,$J$7:$J25,$J25,$D$7:$D25,"Advance"))</f>
        <v/>
      </c>
      <c r="L25" s="266">
        <f>IF(OR($I25="",$I25="?",$B25=""),"",SUMPRODUCT((Weeks!$A$7:$A$59&lt;=$J25)*(Weeks!$X$5:$AI$5=$I25)*Weeks!$X$7:$AI$59)-SUMIFS($E$7:$E$1006,$I$7:$I$1006,$I25,$B$7:$B$1006,"&lt;="&amp;$B25))</f>
        <v/>
      </c>
      <c r="M25" s="132">
        <f>IF($B25&amp;$C25&amp;$D25&amp;$E25="","",IF($B25="","missing date",IF($C25="","missing worker",IF($I25="?","unknown worker - was the name changed on Workers?",IF($D25="","missing type",IF(N($E25)=0,"missing amount",IF(AND($E25&lt;0,$D25&lt;&gt;"Correction"),"negative amount - use a Correction to undo",IF(OR($B25&lt;Weeks!$A$7,$B25&gt;Weeks!$B$59),"date outside this workbook's year",IF(AND($D25="Advance",N($L25)&lt;0),"Warning: more than earned so far - worker now owes "&amp;TEXT(ROUND(-$L25,0),"#,##0"),"")))))))))</f>
        <v/>
      </c>
      <c r="N25" s="125" t="n"/>
      <c r="O25" s="126" t="n"/>
      <c r="P25" s="126" t="n"/>
      <c r="Q25" s="126" t="n"/>
      <c r="R25" s="126" t="n"/>
      <c r="S25" s="126" t="n"/>
      <c r="T25" s="126" t="n"/>
      <c r="U25" s="126" t="n"/>
      <c r="V25" s="126" t="n"/>
      <c r="W25" s="126" t="n"/>
      <c r="X25" s="126" t="n"/>
      <c r="Y25" s="126" t="n"/>
      <c r="Z25" s="126" t="n"/>
      <c r="AA25" s="126" t="n"/>
      <c r="AB25" s="126" t="n"/>
      <c r="AC25" s="126" t="n"/>
      <c r="AD25" s="126" t="n"/>
      <c r="AE25" s="126" t="n"/>
      <c r="AF25" s="126" t="n"/>
      <c r="AG25" s="126" t="n"/>
      <c r="AH25" s="126" t="n"/>
      <c r="AI25" s="126" t="n"/>
      <c r="AJ25" s="126" t="n"/>
      <c r="AK25" s="126" t="n"/>
      <c r="AL25" s="126" t="n"/>
      <c r="AM25" s="126" t="n"/>
      <c r="AN25" s="126" t="n"/>
    </row>
    <row r="26" ht="21" customFormat="1" customHeight="1" s="127">
      <c r="A26" s="51">
        <f>IF($B26="","",ROW()-6)</f>
        <v/>
      </c>
      <c r="B26" s="268" t="n"/>
      <c r="C26" s="133" t="n"/>
      <c r="D26" s="50" t="n"/>
      <c r="E26" s="265" t="n"/>
      <c r="F26" s="133" t="n"/>
      <c r="G26" s="133" t="n"/>
      <c r="H26" s="50" t="n"/>
      <c r="I26" s="51">
        <f>IF($C26="","",IFERROR(INDEX(WorkerIDs,MATCH($C26,WorkerNames,0)),"?"))</f>
        <v/>
      </c>
      <c r="J26" s="253">
        <f>IF($B26="","",$B26-WEEKDAY($B26,2)+1)</f>
        <v/>
      </c>
      <c r="K26" s="142">
        <f>IF(OR($I26="",$I26="?",$D26&lt;&gt;"Advance",$B26=""),"",$I26&amp;"|"&amp;$J26&amp;"|"&amp;COUNTIFS($I$7:$I26,$I26,$J$7:$J26,$J26,$D$7:$D26,"Advance"))</f>
        <v/>
      </c>
      <c r="L26" s="266">
        <f>IF(OR($I26="",$I26="?",$B26=""),"",SUMPRODUCT((Weeks!$A$7:$A$59&lt;=$J26)*(Weeks!$X$5:$AI$5=$I26)*Weeks!$X$7:$AI$59)-SUMIFS($E$7:$E$1006,$I$7:$I$1006,$I26,$B$7:$B$1006,"&lt;="&amp;$B26))</f>
        <v/>
      </c>
      <c r="M26" s="132">
        <f>IF($B26&amp;$C26&amp;$D26&amp;$E26="","",IF($B26="","missing date",IF($C26="","missing worker",IF($I26="?","unknown worker - was the name changed on Workers?",IF($D26="","missing type",IF(N($E26)=0,"missing amount",IF(AND($E26&lt;0,$D26&lt;&gt;"Correction"),"negative amount - use a Correction to undo",IF(OR($B26&lt;Weeks!$A$7,$B26&gt;Weeks!$B$59),"date outside this workbook's year",IF(AND($D26="Advance",N($L26)&lt;0),"Warning: more than earned so far - worker now owes "&amp;TEXT(ROUND(-$L26,0),"#,##0"),"")))))))))</f>
        <v/>
      </c>
      <c r="N26" s="125" t="n"/>
      <c r="O26" s="126" t="n"/>
      <c r="P26" s="126" t="n"/>
      <c r="Q26" s="126" t="n"/>
      <c r="R26" s="126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</row>
    <row r="27" ht="21" customFormat="1" customHeight="1" s="127">
      <c r="A27" s="51">
        <f>IF($B27="","",ROW()-6)</f>
        <v/>
      </c>
      <c r="B27" s="268" t="n"/>
      <c r="C27" s="133" t="n"/>
      <c r="D27" s="50" t="n"/>
      <c r="E27" s="265" t="n"/>
      <c r="F27" s="133" t="n"/>
      <c r="G27" s="133" t="n"/>
      <c r="H27" s="50" t="n"/>
      <c r="I27" s="51">
        <f>IF($C27="","",IFERROR(INDEX(WorkerIDs,MATCH($C27,WorkerNames,0)),"?"))</f>
        <v/>
      </c>
      <c r="J27" s="253">
        <f>IF($B27="","",$B27-WEEKDAY($B27,2)+1)</f>
        <v/>
      </c>
      <c r="K27" s="142">
        <f>IF(OR($I27="",$I27="?",$D27&lt;&gt;"Advance",$B27=""),"",$I27&amp;"|"&amp;$J27&amp;"|"&amp;COUNTIFS($I$7:$I27,$I27,$J$7:$J27,$J27,$D$7:$D27,"Advance"))</f>
        <v/>
      </c>
      <c r="L27" s="266">
        <f>IF(OR($I27="",$I27="?",$B27=""),"",SUMPRODUCT((Weeks!$A$7:$A$59&lt;=$J27)*(Weeks!$X$5:$AI$5=$I27)*Weeks!$X$7:$AI$59)-SUMIFS($E$7:$E$1006,$I$7:$I$1006,$I27,$B$7:$B$1006,"&lt;="&amp;$B27))</f>
        <v/>
      </c>
      <c r="M27" s="132">
        <f>IF($B27&amp;$C27&amp;$D27&amp;$E27="","",IF($B27="","missing date",IF($C27="","missing worker",IF($I27="?","unknown worker - was the name changed on Workers?",IF($D27="","missing type",IF(N($E27)=0,"missing amount",IF(AND($E27&lt;0,$D27&lt;&gt;"Correction"),"negative amount - use a Correction to undo",IF(OR($B27&lt;Weeks!$A$7,$B27&gt;Weeks!$B$59),"date outside this workbook's year",IF(AND($D27="Advance",N($L27)&lt;0),"Warning: more than earned so far - worker now owes "&amp;TEXT(ROUND(-$L27,0),"#,##0"),"")))))))))</f>
        <v/>
      </c>
      <c r="N27" s="125" t="n"/>
      <c r="O27" s="126" t="n"/>
      <c r="P27" s="126" t="n"/>
      <c r="Q27" s="126" t="n"/>
      <c r="R27" s="126" t="n"/>
      <c r="S27" s="126" t="n"/>
      <c r="T27" s="126" t="n"/>
      <c r="U27" s="126" t="n"/>
      <c r="V27" s="126" t="n"/>
      <c r="W27" s="126" t="n"/>
      <c r="X27" s="126" t="n"/>
      <c r="Y27" s="126" t="n"/>
      <c r="Z27" s="126" t="n"/>
      <c r="AA27" s="126" t="n"/>
      <c r="AB27" s="126" t="n"/>
      <c r="AC27" s="126" t="n"/>
      <c r="AD27" s="126" t="n"/>
      <c r="AE27" s="126" t="n"/>
      <c r="AF27" s="126" t="n"/>
      <c r="AG27" s="126" t="n"/>
      <c r="AH27" s="126" t="n"/>
      <c r="AI27" s="126" t="n"/>
      <c r="AJ27" s="126" t="n"/>
      <c r="AK27" s="126" t="n"/>
      <c r="AL27" s="126" t="n"/>
      <c r="AM27" s="126" t="n"/>
      <c r="AN27" s="126" t="n"/>
    </row>
    <row r="28" ht="21" customFormat="1" customHeight="1" s="127">
      <c r="A28" s="51">
        <f>IF($B28="","",ROW()-6)</f>
        <v/>
      </c>
      <c r="B28" s="268" t="n"/>
      <c r="C28" s="133" t="n"/>
      <c r="D28" s="50" t="n"/>
      <c r="E28" s="265" t="n"/>
      <c r="F28" s="133" t="n"/>
      <c r="G28" s="133" t="n"/>
      <c r="H28" s="50" t="n"/>
      <c r="I28" s="51">
        <f>IF($C28="","",IFERROR(INDEX(WorkerIDs,MATCH($C28,WorkerNames,0)),"?"))</f>
        <v/>
      </c>
      <c r="J28" s="253">
        <f>IF($B28="","",$B28-WEEKDAY($B28,2)+1)</f>
        <v/>
      </c>
      <c r="K28" s="142">
        <f>IF(OR($I28="",$I28="?",$D28&lt;&gt;"Advance",$B28=""),"",$I28&amp;"|"&amp;$J28&amp;"|"&amp;COUNTIFS($I$7:$I28,$I28,$J$7:$J28,$J28,$D$7:$D28,"Advance"))</f>
        <v/>
      </c>
      <c r="L28" s="266">
        <f>IF(OR($I28="",$I28="?",$B28=""),"",SUMPRODUCT((Weeks!$A$7:$A$59&lt;=$J28)*(Weeks!$X$5:$AI$5=$I28)*Weeks!$X$7:$AI$59)-SUMIFS($E$7:$E$1006,$I$7:$I$1006,$I28,$B$7:$B$1006,"&lt;="&amp;$B28))</f>
        <v/>
      </c>
      <c r="M28" s="132">
        <f>IF($B28&amp;$C28&amp;$D28&amp;$E28="","",IF($B28="","missing date",IF($C28="","missing worker",IF($I28="?","unknown worker - was the name changed on Workers?",IF($D28="","missing type",IF(N($E28)=0,"missing amount",IF(AND($E28&lt;0,$D28&lt;&gt;"Correction"),"negative amount - use a Correction to undo",IF(OR($B28&lt;Weeks!$A$7,$B28&gt;Weeks!$B$59),"date outside this workbook's year",IF(AND($D28="Advance",N($L28)&lt;0),"Warning: more than earned so far - worker now owes "&amp;TEXT(ROUND(-$L28,0),"#,##0"),"")))))))))</f>
        <v/>
      </c>
      <c r="N28" s="125" t="n"/>
      <c r="O28" s="126" t="n"/>
      <c r="P28" s="126" t="n"/>
      <c r="Q28" s="126" t="n"/>
      <c r="R28" s="126" t="n"/>
      <c r="S28" s="126" t="n"/>
      <c r="T28" s="126" t="n"/>
      <c r="U28" s="126" t="n"/>
      <c r="V28" s="126" t="n"/>
      <c r="W28" s="126" t="n"/>
      <c r="X28" s="126" t="n"/>
      <c r="Y28" s="126" t="n"/>
      <c r="Z28" s="126" t="n"/>
      <c r="AA28" s="126" t="n"/>
      <c r="AB28" s="126" t="n"/>
      <c r="AC28" s="126" t="n"/>
      <c r="AD28" s="126" t="n"/>
      <c r="AE28" s="126" t="n"/>
      <c r="AF28" s="126" t="n"/>
      <c r="AG28" s="126" t="n"/>
      <c r="AH28" s="126" t="n"/>
      <c r="AI28" s="126" t="n"/>
      <c r="AJ28" s="126" t="n"/>
      <c r="AK28" s="126" t="n"/>
      <c r="AL28" s="126" t="n"/>
      <c r="AM28" s="126" t="n"/>
      <c r="AN28" s="126" t="n"/>
    </row>
    <row r="29" ht="21" customFormat="1" customHeight="1" s="127">
      <c r="A29" s="51">
        <f>IF($B29="","",ROW()-6)</f>
        <v/>
      </c>
      <c r="B29" s="268" t="n"/>
      <c r="C29" s="133" t="n"/>
      <c r="D29" s="50" t="n"/>
      <c r="E29" s="265" t="n"/>
      <c r="F29" s="133" t="n"/>
      <c r="G29" s="133" t="n"/>
      <c r="H29" s="50" t="n"/>
      <c r="I29" s="51">
        <f>IF($C29="","",IFERROR(INDEX(WorkerIDs,MATCH($C29,WorkerNames,0)),"?"))</f>
        <v/>
      </c>
      <c r="J29" s="253">
        <f>IF($B29="","",$B29-WEEKDAY($B29,2)+1)</f>
        <v/>
      </c>
      <c r="K29" s="142">
        <f>IF(OR($I29="",$I29="?",$D29&lt;&gt;"Advance",$B29=""),"",$I29&amp;"|"&amp;$J29&amp;"|"&amp;COUNTIFS($I$7:$I29,$I29,$J$7:$J29,$J29,$D$7:$D29,"Advance"))</f>
        <v/>
      </c>
      <c r="L29" s="266">
        <f>IF(OR($I29="",$I29="?",$B29=""),"",SUMPRODUCT((Weeks!$A$7:$A$59&lt;=$J29)*(Weeks!$X$5:$AI$5=$I29)*Weeks!$X$7:$AI$59)-SUMIFS($E$7:$E$1006,$I$7:$I$1006,$I29,$B$7:$B$1006,"&lt;="&amp;$B29))</f>
        <v/>
      </c>
      <c r="M29" s="132">
        <f>IF($B29&amp;$C29&amp;$D29&amp;$E29="","",IF($B29="","missing date",IF($C29="","missing worker",IF($I29="?","unknown worker - was the name changed on Workers?",IF($D29="","missing type",IF(N($E29)=0,"missing amount",IF(AND($E29&lt;0,$D29&lt;&gt;"Correction"),"negative amount - use a Correction to undo",IF(OR($B29&lt;Weeks!$A$7,$B29&gt;Weeks!$B$59),"date outside this workbook's year",IF(AND($D29="Advance",N($L29)&lt;0),"Warning: more than earned so far - worker now owes "&amp;TEXT(ROUND(-$L29,0),"#,##0"),"")))))))))</f>
        <v/>
      </c>
      <c r="N29" s="125" t="n"/>
      <c r="O29" s="126" t="n"/>
      <c r="P29" s="126" t="n"/>
      <c r="Q29" s="126" t="n"/>
      <c r="R29" s="126" t="n"/>
      <c r="S29" s="126" t="n"/>
      <c r="T29" s="126" t="n"/>
      <c r="U29" s="126" t="n"/>
      <c r="V29" s="126" t="n"/>
      <c r="W29" s="126" t="n"/>
      <c r="X29" s="126" t="n"/>
      <c r="Y29" s="126" t="n"/>
      <c r="Z29" s="126" t="n"/>
      <c r="AA29" s="126" t="n"/>
      <c r="AB29" s="126" t="n"/>
      <c r="AC29" s="126" t="n"/>
      <c r="AD29" s="126" t="n"/>
      <c r="AE29" s="126" t="n"/>
      <c r="AF29" s="126" t="n"/>
      <c r="AG29" s="126" t="n"/>
      <c r="AH29" s="126" t="n"/>
      <c r="AI29" s="126" t="n"/>
      <c r="AJ29" s="126" t="n"/>
      <c r="AK29" s="126" t="n"/>
      <c r="AL29" s="126" t="n"/>
      <c r="AM29" s="126" t="n"/>
      <c r="AN29" s="126" t="n"/>
    </row>
    <row r="30" ht="21" customFormat="1" customHeight="1" s="127">
      <c r="A30" s="51">
        <f>IF($B30="","",ROW()-6)</f>
        <v/>
      </c>
      <c r="B30" s="268" t="n"/>
      <c r="C30" s="133" t="n"/>
      <c r="D30" s="50" t="n"/>
      <c r="E30" s="265" t="n"/>
      <c r="F30" s="133" t="n"/>
      <c r="G30" s="133" t="n"/>
      <c r="H30" s="50" t="n"/>
      <c r="I30" s="51">
        <f>IF($C30="","",IFERROR(INDEX(WorkerIDs,MATCH($C30,WorkerNames,0)),"?"))</f>
        <v/>
      </c>
      <c r="J30" s="253">
        <f>IF($B30="","",$B30-WEEKDAY($B30,2)+1)</f>
        <v/>
      </c>
      <c r="K30" s="142">
        <f>IF(OR($I30="",$I30="?",$D30&lt;&gt;"Advance",$B30=""),"",$I30&amp;"|"&amp;$J30&amp;"|"&amp;COUNTIFS($I$7:$I30,$I30,$J$7:$J30,$J30,$D$7:$D30,"Advance"))</f>
        <v/>
      </c>
      <c r="L30" s="266">
        <f>IF(OR($I30="",$I30="?",$B30=""),"",SUMPRODUCT((Weeks!$A$7:$A$59&lt;=$J30)*(Weeks!$X$5:$AI$5=$I30)*Weeks!$X$7:$AI$59)-SUMIFS($E$7:$E$1006,$I$7:$I$1006,$I30,$B$7:$B$1006,"&lt;="&amp;$B30))</f>
        <v/>
      </c>
      <c r="M30" s="132">
        <f>IF($B30&amp;$C30&amp;$D30&amp;$E30="","",IF($B30="","missing date",IF($C30="","missing worker",IF($I30="?","unknown worker - was the name changed on Workers?",IF($D30="","missing type",IF(N($E30)=0,"missing amount",IF(AND($E30&lt;0,$D30&lt;&gt;"Correction"),"negative amount - use a Correction to undo",IF(OR($B30&lt;Weeks!$A$7,$B30&gt;Weeks!$B$59),"date outside this workbook's year",IF(AND($D30="Advance",N($L30)&lt;0),"Warning: more than earned so far - worker now owes "&amp;TEXT(ROUND(-$L30,0),"#,##0"),"")))))))))</f>
        <v/>
      </c>
      <c r="N30" s="125" t="n"/>
      <c r="O30" s="126" t="n"/>
      <c r="P30" s="126" t="n"/>
      <c r="Q30" s="126" t="n"/>
      <c r="R30" s="126" t="n"/>
      <c r="S30" s="126" t="n"/>
      <c r="T30" s="126" t="n"/>
      <c r="U30" s="126" t="n"/>
      <c r="V30" s="126" t="n"/>
      <c r="W30" s="126" t="n"/>
      <c r="X30" s="126" t="n"/>
      <c r="Y30" s="126" t="n"/>
      <c r="Z30" s="126" t="n"/>
      <c r="AA30" s="126" t="n"/>
      <c r="AB30" s="126" t="n"/>
      <c r="AC30" s="126" t="n"/>
      <c r="AD30" s="126" t="n"/>
      <c r="AE30" s="126" t="n"/>
      <c r="AF30" s="126" t="n"/>
      <c r="AG30" s="126" t="n"/>
      <c r="AH30" s="126" t="n"/>
      <c r="AI30" s="126" t="n"/>
      <c r="AJ30" s="126" t="n"/>
      <c r="AK30" s="126" t="n"/>
      <c r="AL30" s="126" t="n"/>
      <c r="AM30" s="126" t="n"/>
      <c r="AN30" s="126" t="n"/>
    </row>
    <row r="31" ht="21" customFormat="1" customHeight="1" s="127">
      <c r="A31" s="51">
        <f>IF($B31="","",ROW()-6)</f>
        <v/>
      </c>
      <c r="B31" s="268" t="n"/>
      <c r="C31" s="133" t="n"/>
      <c r="D31" s="50" t="n"/>
      <c r="E31" s="265" t="n"/>
      <c r="F31" s="133" t="n"/>
      <c r="G31" s="133" t="n"/>
      <c r="H31" s="50" t="n"/>
      <c r="I31" s="51">
        <f>IF($C31="","",IFERROR(INDEX(WorkerIDs,MATCH($C31,WorkerNames,0)),"?"))</f>
        <v/>
      </c>
      <c r="J31" s="253">
        <f>IF($B31="","",$B31-WEEKDAY($B31,2)+1)</f>
        <v/>
      </c>
      <c r="K31" s="142">
        <f>IF(OR($I31="",$I31="?",$D31&lt;&gt;"Advance",$B31=""),"",$I31&amp;"|"&amp;$J31&amp;"|"&amp;COUNTIFS($I$7:$I31,$I31,$J$7:$J31,$J31,$D$7:$D31,"Advance"))</f>
        <v/>
      </c>
      <c r="L31" s="266">
        <f>IF(OR($I31="",$I31="?",$B31=""),"",SUMPRODUCT((Weeks!$A$7:$A$59&lt;=$J31)*(Weeks!$X$5:$AI$5=$I31)*Weeks!$X$7:$AI$59)-SUMIFS($E$7:$E$1006,$I$7:$I$1006,$I31,$B$7:$B$1006,"&lt;="&amp;$B31))</f>
        <v/>
      </c>
      <c r="M31" s="132">
        <f>IF($B31&amp;$C31&amp;$D31&amp;$E31="","",IF($B31="","missing date",IF($C31="","missing worker",IF($I31="?","unknown worker - was the name changed on Workers?",IF($D31="","missing type",IF(N($E31)=0,"missing amount",IF(AND($E31&lt;0,$D31&lt;&gt;"Correction"),"negative amount - use a Correction to undo",IF(OR($B31&lt;Weeks!$A$7,$B31&gt;Weeks!$B$59),"date outside this workbook's year",IF(AND($D31="Advance",N($L31)&lt;0),"Warning: more than earned so far - worker now owes "&amp;TEXT(ROUND(-$L31,0),"#,##0"),"")))))))))</f>
        <v/>
      </c>
      <c r="N31" s="125" t="n"/>
      <c r="O31" s="126" t="n"/>
      <c r="P31" s="126" t="n"/>
      <c r="Q31" s="126" t="n"/>
      <c r="R31" s="126" t="n"/>
      <c r="S31" s="126" t="n"/>
      <c r="T31" s="126" t="n"/>
      <c r="U31" s="126" t="n"/>
      <c r="V31" s="126" t="n"/>
      <c r="W31" s="126" t="n"/>
      <c r="X31" s="126" t="n"/>
      <c r="Y31" s="126" t="n"/>
      <c r="Z31" s="126" t="n"/>
      <c r="AA31" s="126" t="n"/>
      <c r="AB31" s="126" t="n"/>
      <c r="AC31" s="126" t="n"/>
      <c r="AD31" s="126" t="n"/>
      <c r="AE31" s="126" t="n"/>
      <c r="AF31" s="126" t="n"/>
      <c r="AG31" s="126" t="n"/>
      <c r="AH31" s="126" t="n"/>
      <c r="AI31" s="126" t="n"/>
      <c r="AJ31" s="126" t="n"/>
      <c r="AK31" s="126" t="n"/>
      <c r="AL31" s="126" t="n"/>
      <c r="AM31" s="126" t="n"/>
      <c r="AN31" s="126" t="n"/>
    </row>
    <row r="32" ht="21" customFormat="1" customHeight="1" s="127">
      <c r="A32" s="51">
        <f>IF($B32="","",ROW()-6)</f>
        <v/>
      </c>
      <c r="B32" s="268" t="n"/>
      <c r="C32" s="133" t="n"/>
      <c r="D32" s="50" t="n"/>
      <c r="E32" s="265" t="n"/>
      <c r="F32" s="133" t="n"/>
      <c r="G32" s="133" t="n"/>
      <c r="H32" s="50" t="n"/>
      <c r="I32" s="51">
        <f>IF($C32="","",IFERROR(INDEX(WorkerIDs,MATCH($C32,WorkerNames,0)),"?"))</f>
        <v/>
      </c>
      <c r="J32" s="253">
        <f>IF($B32="","",$B32-WEEKDAY($B32,2)+1)</f>
        <v/>
      </c>
      <c r="K32" s="142">
        <f>IF(OR($I32="",$I32="?",$D32&lt;&gt;"Advance",$B32=""),"",$I32&amp;"|"&amp;$J32&amp;"|"&amp;COUNTIFS($I$7:$I32,$I32,$J$7:$J32,$J32,$D$7:$D32,"Advance"))</f>
        <v/>
      </c>
      <c r="L32" s="266">
        <f>IF(OR($I32="",$I32="?",$B32=""),"",SUMPRODUCT((Weeks!$A$7:$A$59&lt;=$J32)*(Weeks!$X$5:$AI$5=$I32)*Weeks!$X$7:$AI$59)-SUMIFS($E$7:$E$1006,$I$7:$I$1006,$I32,$B$7:$B$1006,"&lt;="&amp;$B32))</f>
        <v/>
      </c>
      <c r="M32" s="132">
        <f>IF($B32&amp;$C32&amp;$D32&amp;$E32="","",IF($B32="","missing date",IF($C32="","missing worker",IF($I32="?","unknown worker - was the name changed on Workers?",IF($D32="","missing type",IF(N($E32)=0,"missing amount",IF(AND($E32&lt;0,$D32&lt;&gt;"Correction"),"negative amount - use a Correction to undo",IF(OR($B32&lt;Weeks!$A$7,$B32&gt;Weeks!$B$59),"date outside this workbook's year",IF(AND($D32="Advance",N($L32)&lt;0),"Warning: more than earned so far - worker now owes "&amp;TEXT(ROUND(-$L32,0),"#,##0"),"")))))))))</f>
        <v/>
      </c>
      <c r="N32" s="125" t="n"/>
      <c r="O32" s="126" t="n"/>
      <c r="P32" s="126" t="n"/>
      <c r="Q32" s="126" t="n"/>
      <c r="R32" s="126" t="n"/>
      <c r="S32" s="126" t="n"/>
      <c r="T32" s="126" t="n"/>
      <c r="U32" s="126" t="n"/>
      <c r="V32" s="126" t="n"/>
      <c r="W32" s="126" t="n"/>
      <c r="X32" s="126" t="n"/>
      <c r="Y32" s="126" t="n"/>
      <c r="Z32" s="126" t="n"/>
      <c r="AA32" s="126" t="n"/>
      <c r="AB32" s="126" t="n"/>
      <c r="AC32" s="126" t="n"/>
      <c r="AD32" s="126" t="n"/>
      <c r="AE32" s="126" t="n"/>
      <c r="AF32" s="126" t="n"/>
      <c r="AG32" s="126" t="n"/>
      <c r="AH32" s="126" t="n"/>
      <c r="AI32" s="126" t="n"/>
      <c r="AJ32" s="126" t="n"/>
      <c r="AK32" s="126" t="n"/>
      <c r="AL32" s="126" t="n"/>
      <c r="AM32" s="126" t="n"/>
      <c r="AN32" s="126" t="n"/>
    </row>
    <row r="33" ht="21" customFormat="1" customHeight="1" s="127">
      <c r="A33" s="51">
        <f>IF($B33="","",ROW()-6)</f>
        <v/>
      </c>
      <c r="B33" s="268" t="n"/>
      <c r="C33" s="133" t="n"/>
      <c r="D33" s="50" t="n"/>
      <c r="E33" s="265" t="n"/>
      <c r="F33" s="133" t="n"/>
      <c r="G33" s="133" t="n"/>
      <c r="H33" s="50" t="n"/>
      <c r="I33" s="51">
        <f>IF($C33="","",IFERROR(INDEX(WorkerIDs,MATCH($C33,WorkerNames,0)),"?"))</f>
        <v/>
      </c>
      <c r="J33" s="253">
        <f>IF($B33="","",$B33-WEEKDAY($B33,2)+1)</f>
        <v/>
      </c>
      <c r="K33" s="142">
        <f>IF(OR($I33="",$I33="?",$D33&lt;&gt;"Advance",$B33=""),"",$I33&amp;"|"&amp;$J33&amp;"|"&amp;COUNTIFS($I$7:$I33,$I33,$J$7:$J33,$J33,$D$7:$D33,"Advance"))</f>
        <v/>
      </c>
      <c r="L33" s="266">
        <f>IF(OR($I33="",$I33="?",$B33=""),"",SUMPRODUCT((Weeks!$A$7:$A$59&lt;=$J33)*(Weeks!$X$5:$AI$5=$I33)*Weeks!$X$7:$AI$59)-SUMIFS($E$7:$E$1006,$I$7:$I$1006,$I33,$B$7:$B$1006,"&lt;="&amp;$B33))</f>
        <v/>
      </c>
      <c r="M33" s="132">
        <f>IF($B33&amp;$C33&amp;$D33&amp;$E33="","",IF($B33="","missing date",IF($C33="","missing worker",IF($I33="?","unknown worker - was the name changed on Workers?",IF($D33="","missing type",IF(N($E33)=0,"missing amount",IF(AND($E33&lt;0,$D33&lt;&gt;"Correction"),"negative amount - use a Correction to undo",IF(OR($B33&lt;Weeks!$A$7,$B33&gt;Weeks!$B$59),"date outside this workbook's year",IF(AND($D33="Advance",N($L33)&lt;0),"Warning: more than earned so far - worker now owes "&amp;TEXT(ROUND(-$L33,0),"#,##0"),"")))))))))</f>
        <v/>
      </c>
      <c r="N33" s="125" t="n"/>
      <c r="O33" s="126" t="n"/>
      <c r="P33" s="126" t="n"/>
      <c r="Q33" s="126" t="n"/>
      <c r="R33" s="126" t="n"/>
      <c r="S33" s="126" t="n"/>
      <c r="T33" s="126" t="n"/>
      <c r="U33" s="126" t="n"/>
      <c r="V33" s="126" t="n"/>
      <c r="W33" s="126" t="n"/>
      <c r="X33" s="126" t="n"/>
      <c r="Y33" s="126" t="n"/>
      <c r="Z33" s="126" t="n"/>
      <c r="AA33" s="126" t="n"/>
      <c r="AB33" s="126" t="n"/>
      <c r="AC33" s="126" t="n"/>
      <c r="AD33" s="126" t="n"/>
      <c r="AE33" s="126" t="n"/>
      <c r="AF33" s="126" t="n"/>
      <c r="AG33" s="126" t="n"/>
      <c r="AH33" s="126" t="n"/>
      <c r="AI33" s="126" t="n"/>
      <c r="AJ33" s="126" t="n"/>
      <c r="AK33" s="126" t="n"/>
      <c r="AL33" s="126" t="n"/>
      <c r="AM33" s="126" t="n"/>
      <c r="AN33" s="126" t="n"/>
    </row>
    <row r="34" ht="21" customFormat="1" customHeight="1" s="127">
      <c r="A34" s="51">
        <f>IF($B34="","",ROW()-6)</f>
        <v/>
      </c>
      <c r="B34" s="268" t="n"/>
      <c r="C34" s="133" t="n"/>
      <c r="D34" s="50" t="n"/>
      <c r="E34" s="265" t="n"/>
      <c r="F34" s="133" t="n"/>
      <c r="G34" s="133" t="n"/>
      <c r="H34" s="50" t="n"/>
      <c r="I34" s="51">
        <f>IF($C34="","",IFERROR(INDEX(WorkerIDs,MATCH($C34,WorkerNames,0)),"?"))</f>
        <v/>
      </c>
      <c r="J34" s="253">
        <f>IF($B34="","",$B34-WEEKDAY($B34,2)+1)</f>
        <v/>
      </c>
      <c r="K34" s="142">
        <f>IF(OR($I34="",$I34="?",$D34&lt;&gt;"Advance",$B34=""),"",$I34&amp;"|"&amp;$J34&amp;"|"&amp;COUNTIFS($I$7:$I34,$I34,$J$7:$J34,$J34,$D$7:$D34,"Advance"))</f>
        <v/>
      </c>
      <c r="L34" s="266">
        <f>IF(OR($I34="",$I34="?",$B34=""),"",SUMPRODUCT((Weeks!$A$7:$A$59&lt;=$J34)*(Weeks!$X$5:$AI$5=$I34)*Weeks!$X$7:$AI$59)-SUMIFS($E$7:$E$1006,$I$7:$I$1006,$I34,$B$7:$B$1006,"&lt;="&amp;$B34))</f>
        <v/>
      </c>
      <c r="M34" s="132">
        <f>IF($B34&amp;$C34&amp;$D34&amp;$E34="","",IF($B34="","missing date",IF($C34="","missing worker",IF($I34="?","unknown worker - was the name changed on Workers?",IF($D34="","missing type",IF(N($E34)=0,"missing amount",IF(AND($E34&lt;0,$D34&lt;&gt;"Correction"),"negative amount - use a Correction to undo",IF(OR($B34&lt;Weeks!$A$7,$B34&gt;Weeks!$B$59),"date outside this workbook's year",IF(AND($D34="Advance",N($L34)&lt;0),"Warning: more than earned so far - worker now owes "&amp;TEXT(ROUND(-$L34,0),"#,##0"),"")))))))))</f>
        <v/>
      </c>
      <c r="N34" s="125" t="n"/>
      <c r="O34" s="126" t="n"/>
      <c r="P34" s="126" t="n"/>
      <c r="Q34" s="126" t="n"/>
      <c r="R34" s="126" t="n"/>
      <c r="S34" s="126" t="n"/>
      <c r="T34" s="126" t="n"/>
      <c r="U34" s="126" t="n"/>
      <c r="V34" s="126" t="n"/>
      <c r="W34" s="126" t="n"/>
      <c r="X34" s="126" t="n"/>
      <c r="Y34" s="126" t="n"/>
      <c r="Z34" s="126" t="n"/>
      <c r="AA34" s="126" t="n"/>
      <c r="AB34" s="126" t="n"/>
      <c r="AC34" s="126" t="n"/>
      <c r="AD34" s="126" t="n"/>
      <c r="AE34" s="126" t="n"/>
      <c r="AF34" s="126" t="n"/>
      <c r="AG34" s="126" t="n"/>
      <c r="AH34" s="126" t="n"/>
      <c r="AI34" s="126" t="n"/>
      <c r="AJ34" s="126" t="n"/>
      <c r="AK34" s="126" t="n"/>
      <c r="AL34" s="126" t="n"/>
      <c r="AM34" s="126" t="n"/>
      <c r="AN34" s="126" t="n"/>
    </row>
    <row r="35" ht="21" customFormat="1" customHeight="1" s="127">
      <c r="A35" s="51">
        <f>IF($B35="","",ROW()-6)</f>
        <v/>
      </c>
      <c r="B35" s="268" t="n"/>
      <c r="C35" s="133" t="n"/>
      <c r="D35" s="50" t="n"/>
      <c r="E35" s="265" t="n"/>
      <c r="F35" s="133" t="n"/>
      <c r="G35" s="133" t="n"/>
      <c r="H35" s="50" t="n"/>
      <c r="I35" s="51">
        <f>IF($C35="","",IFERROR(INDEX(WorkerIDs,MATCH($C35,WorkerNames,0)),"?"))</f>
        <v/>
      </c>
      <c r="J35" s="253">
        <f>IF($B35="","",$B35-WEEKDAY($B35,2)+1)</f>
        <v/>
      </c>
      <c r="K35" s="142">
        <f>IF(OR($I35="",$I35="?",$D35&lt;&gt;"Advance",$B35=""),"",$I35&amp;"|"&amp;$J35&amp;"|"&amp;COUNTIFS($I$7:$I35,$I35,$J$7:$J35,$J35,$D$7:$D35,"Advance"))</f>
        <v/>
      </c>
      <c r="L35" s="266">
        <f>IF(OR($I35="",$I35="?",$B35=""),"",SUMPRODUCT((Weeks!$A$7:$A$59&lt;=$J35)*(Weeks!$X$5:$AI$5=$I35)*Weeks!$X$7:$AI$59)-SUMIFS($E$7:$E$1006,$I$7:$I$1006,$I35,$B$7:$B$1006,"&lt;="&amp;$B35))</f>
        <v/>
      </c>
      <c r="M35" s="132">
        <f>IF($B35&amp;$C35&amp;$D35&amp;$E35="","",IF($B35="","missing date",IF($C35="","missing worker",IF($I35="?","unknown worker - was the name changed on Workers?",IF($D35="","missing type",IF(N($E35)=0,"missing amount",IF(AND($E35&lt;0,$D35&lt;&gt;"Correction"),"negative amount - use a Correction to undo",IF(OR($B35&lt;Weeks!$A$7,$B35&gt;Weeks!$B$59),"date outside this workbook's year",IF(AND($D35="Advance",N($L35)&lt;0),"Warning: more than earned so far - worker now owes "&amp;TEXT(ROUND(-$L35,0),"#,##0"),"")))))))))</f>
        <v/>
      </c>
      <c r="N35" s="125" t="n"/>
      <c r="O35" s="126" t="n"/>
      <c r="P35" s="126" t="n"/>
      <c r="Q35" s="126" t="n"/>
      <c r="R35" s="126" t="n"/>
      <c r="S35" s="126" t="n"/>
      <c r="T35" s="126" t="n"/>
      <c r="U35" s="126" t="n"/>
      <c r="V35" s="126" t="n"/>
      <c r="W35" s="126" t="n"/>
      <c r="X35" s="126" t="n"/>
      <c r="Y35" s="126" t="n"/>
      <c r="Z35" s="126" t="n"/>
      <c r="AA35" s="126" t="n"/>
      <c r="AB35" s="126" t="n"/>
      <c r="AC35" s="126" t="n"/>
      <c r="AD35" s="126" t="n"/>
      <c r="AE35" s="126" t="n"/>
      <c r="AF35" s="126" t="n"/>
      <c r="AG35" s="126" t="n"/>
      <c r="AH35" s="126" t="n"/>
      <c r="AI35" s="126" t="n"/>
      <c r="AJ35" s="126" t="n"/>
      <c r="AK35" s="126" t="n"/>
      <c r="AL35" s="126" t="n"/>
      <c r="AM35" s="126" t="n"/>
      <c r="AN35" s="126" t="n"/>
    </row>
    <row r="36" ht="21" customFormat="1" customHeight="1" s="127">
      <c r="A36" s="51">
        <f>IF($B36="","",ROW()-6)</f>
        <v/>
      </c>
      <c r="B36" s="268" t="n"/>
      <c r="C36" s="133" t="n"/>
      <c r="D36" s="50" t="n"/>
      <c r="E36" s="265" t="n"/>
      <c r="F36" s="133" t="n"/>
      <c r="G36" s="133" t="n"/>
      <c r="H36" s="50" t="n"/>
      <c r="I36" s="51">
        <f>IF($C36="","",IFERROR(INDEX(WorkerIDs,MATCH($C36,WorkerNames,0)),"?"))</f>
        <v/>
      </c>
      <c r="J36" s="253">
        <f>IF($B36="","",$B36-WEEKDAY($B36,2)+1)</f>
        <v/>
      </c>
      <c r="K36" s="142">
        <f>IF(OR($I36="",$I36="?",$D36&lt;&gt;"Advance",$B36=""),"",$I36&amp;"|"&amp;$J36&amp;"|"&amp;COUNTIFS($I$7:$I36,$I36,$J$7:$J36,$J36,$D$7:$D36,"Advance"))</f>
        <v/>
      </c>
      <c r="L36" s="266">
        <f>IF(OR($I36="",$I36="?",$B36=""),"",SUMPRODUCT((Weeks!$A$7:$A$59&lt;=$J36)*(Weeks!$X$5:$AI$5=$I36)*Weeks!$X$7:$AI$59)-SUMIFS($E$7:$E$1006,$I$7:$I$1006,$I36,$B$7:$B$1006,"&lt;="&amp;$B36))</f>
        <v/>
      </c>
      <c r="M36" s="132">
        <f>IF($B36&amp;$C36&amp;$D36&amp;$E36="","",IF($B36="","missing date",IF($C36="","missing worker",IF($I36="?","unknown worker - was the name changed on Workers?",IF($D36="","missing type",IF(N($E36)=0,"missing amount",IF(AND($E36&lt;0,$D36&lt;&gt;"Correction"),"negative amount - use a Correction to undo",IF(OR($B36&lt;Weeks!$A$7,$B36&gt;Weeks!$B$59),"date outside this workbook's year",IF(AND($D36="Advance",N($L36)&lt;0),"Warning: more than earned so far - worker now owes "&amp;TEXT(ROUND(-$L36,0),"#,##0"),"")))))))))</f>
        <v/>
      </c>
      <c r="N36" s="125" t="n"/>
      <c r="O36" s="126" t="n"/>
      <c r="P36" s="126" t="n"/>
      <c r="Q36" s="126" t="n"/>
      <c r="R36" s="126" t="n"/>
      <c r="S36" s="126" t="n"/>
      <c r="T36" s="126" t="n"/>
      <c r="U36" s="126" t="n"/>
      <c r="V36" s="126" t="n"/>
      <c r="W36" s="126" t="n"/>
      <c r="X36" s="126" t="n"/>
      <c r="Y36" s="126" t="n"/>
      <c r="Z36" s="126" t="n"/>
      <c r="AA36" s="126" t="n"/>
      <c r="AB36" s="126" t="n"/>
      <c r="AC36" s="126" t="n"/>
      <c r="AD36" s="126" t="n"/>
      <c r="AE36" s="126" t="n"/>
      <c r="AF36" s="126" t="n"/>
      <c r="AG36" s="126" t="n"/>
      <c r="AH36" s="126" t="n"/>
      <c r="AI36" s="126" t="n"/>
      <c r="AJ36" s="126" t="n"/>
      <c r="AK36" s="126" t="n"/>
      <c r="AL36" s="126" t="n"/>
      <c r="AM36" s="126" t="n"/>
      <c r="AN36" s="126" t="n"/>
    </row>
    <row r="37" ht="21" customFormat="1" customHeight="1" s="127">
      <c r="A37" s="51">
        <f>IF($B37="","",ROW()-6)</f>
        <v/>
      </c>
      <c r="B37" s="268" t="n"/>
      <c r="C37" s="133" t="n"/>
      <c r="D37" s="50" t="n"/>
      <c r="E37" s="265" t="n"/>
      <c r="F37" s="133" t="n"/>
      <c r="G37" s="133" t="n"/>
      <c r="H37" s="50" t="n"/>
      <c r="I37" s="51">
        <f>IF($C37="","",IFERROR(INDEX(WorkerIDs,MATCH($C37,WorkerNames,0)),"?"))</f>
        <v/>
      </c>
      <c r="J37" s="253">
        <f>IF($B37="","",$B37-WEEKDAY($B37,2)+1)</f>
        <v/>
      </c>
      <c r="K37" s="142">
        <f>IF(OR($I37="",$I37="?",$D37&lt;&gt;"Advance",$B37=""),"",$I37&amp;"|"&amp;$J37&amp;"|"&amp;COUNTIFS($I$7:$I37,$I37,$J$7:$J37,$J37,$D$7:$D37,"Advance"))</f>
        <v/>
      </c>
      <c r="L37" s="266">
        <f>IF(OR($I37="",$I37="?",$B37=""),"",SUMPRODUCT((Weeks!$A$7:$A$59&lt;=$J37)*(Weeks!$X$5:$AI$5=$I37)*Weeks!$X$7:$AI$59)-SUMIFS($E$7:$E$1006,$I$7:$I$1006,$I37,$B$7:$B$1006,"&lt;="&amp;$B37))</f>
        <v/>
      </c>
      <c r="M37" s="132">
        <f>IF($B37&amp;$C37&amp;$D37&amp;$E37="","",IF($B37="","missing date",IF($C37="","missing worker",IF($I37="?","unknown worker - was the name changed on Workers?",IF($D37="","missing type",IF(N($E37)=0,"missing amount",IF(AND($E37&lt;0,$D37&lt;&gt;"Correction"),"negative amount - use a Correction to undo",IF(OR($B37&lt;Weeks!$A$7,$B37&gt;Weeks!$B$59),"date outside this workbook's year",IF(AND($D37="Advance",N($L37)&lt;0),"Warning: more than earned so far - worker now owes "&amp;TEXT(ROUND(-$L37,0),"#,##0"),"")))))))))</f>
        <v/>
      </c>
      <c r="N37" s="125" t="n"/>
      <c r="O37" s="126" t="n"/>
      <c r="P37" s="126" t="n"/>
      <c r="Q37" s="126" t="n"/>
      <c r="R37" s="126" t="n"/>
      <c r="S37" s="126" t="n"/>
      <c r="T37" s="126" t="n"/>
      <c r="U37" s="126" t="n"/>
      <c r="V37" s="126" t="n"/>
      <c r="W37" s="126" t="n"/>
      <c r="X37" s="126" t="n"/>
      <c r="Y37" s="126" t="n"/>
      <c r="Z37" s="126" t="n"/>
      <c r="AA37" s="126" t="n"/>
      <c r="AB37" s="126" t="n"/>
      <c r="AC37" s="126" t="n"/>
      <c r="AD37" s="126" t="n"/>
      <c r="AE37" s="126" t="n"/>
      <c r="AF37" s="126" t="n"/>
      <c r="AG37" s="126" t="n"/>
      <c r="AH37" s="126" t="n"/>
      <c r="AI37" s="126" t="n"/>
      <c r="AJ37" s="126" t="n"/>
      <c r="AK37" s="126" t="n"/>
      <c r="AL37" s="126" t="n"/>
      <c r="AM37" s="126" t="n"/>
      <c r="AN37" s="126" t="n"/>
    </row>
    <row r="38" ht="21" customFormat="1" customHeight="1" s="127">
      <c r="A38" s="51">
        <f>IF($B38="","",ROW()-6)</f>
        <v/>
      </c>
      <c r="B38" s="268" t="n"/>
      <c r="C38" s="133" t="n"/>
      <c r="D38" s="50" t="n"/>
      <c r="E38" s="265" t="n"/>
      <c r="F38" s="133" t="n"/>
      <c r="G38" s="133" t="n"/>
      <c r="H38" s="50" t="n"/>
      <c r="I38" s="51">
        <f>IF($C38="","",IFERROR(INDEX(WorkerIDs,MATCH($C38,WorkerNames,0)),"?"))</f>
        <v/>
      </c>
      <c r="J38" s="253">
        <f>IF($B38="","",$B38-WEEKDAY($B38,2)+1)</f>
        <v/>
      </c>
      <c r="K38" s="142">
        <f>IF(OR($I38="",$I38="?",$D38&lt;&gt;"Advance",$B38=""),"",$I38&amp;"|"&amp;$J38&amp;"|"&amp;COUNTIFS($I$7:$I38,$I38,$J$7:$J38,$J38,$D$7:$D38,"Advance"))</f>
        <v/>
      </c>
      <c r="L38" s="266">
        <f>IF(OR($I38="",$I38="?",$B38=""),"",SUMPRODUCT((Weeks!$A$7:$A$59&lt;=$J38)*(Weeks!$X$5:$AI$5=$I38)*Weeks!$X$7:$AI$59)-SUMIFS($E$7:$E$1006,$I$7:$I$1006,$I38,$B$7:$B$1006,"&lt;="&amp;$B38))</f>
        <v/>
      </c>
      <c r="M38" s="132">
        <f>IF($B38&amp;$C38&amp;$D38&amp;$E38="","",IF($B38="","missing date",IF($C38="","missing worker",IF($I38="?","unknown worker - was the name changed on Workers?",IF($D38="","missing type",IF(N($E38)=0,"missing amount",IF(AND($E38&lt;0,$D38&lt;&gt;"Correction"),"negative amount - use a Correction to undo",IF(OR($B38&lt;Weeks!$A$7,$B38&gt;Weeks!$B$59),"date outside this workbook's year",IF(AND($D38="Advance",N($L38)&lt;0),"Warning: more than earned so far - worker now owes "&amp;TEXT(ROUND(-$L38,0),"#,##0"),"")))))))))</f>
        <v/>
      </c>
      <c r="N38" s="125" t="n"/>
      <c r="O38" s="126" t="n"/>
      <c r="P38" s="126" t="n"/>
      <c r="Q38" s="126" t="n"/>
      <c r="R38" s="126" t="n"/>
      <c r="S38" s="126" t="n"/>
      <c r="T38" s="126" t="n"/>
      <c r="U38" s="126" t="n"/>
      <c r="V38" s="126" t="n"/>
      <c r="W38" s="126" t="n"/>
      <c r="X38" s="126" t="n"/>
      <c r="Y38" s="126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  <c r="AN38" s="126" t="n"/>
    </row>
    <row r="39" ht="21" customFormat="1" customHeight="1" s="127">
      <c r="A39" s="51">
        <f>IF($B39="","",ROW()-6)</f>
        <v/>
      </c>
      <c r="B39" s="268" t="n"/>
      <c r="C39" s="133" t="n"/>
      <c r="D39" s="50" t="n"/>
      <c r="E39" s="265" t="n"/>
      <c r="F39" s="133" t="n"/>
      <c r="G39" s="133" t="n"/>
      <c r="H39" s="50" t="n"/>
      <c r="I39" s="51">
        <f>IF($C39="","",IFERROR(INDEX(WorkerIDs,MATCH($C39,WorkerNames,0)),"?"))</f>
        <v/>
      </c>
      <c r="J39" s="253">
        <f>IF($B39="","",$B39-WEEKDAY($B39,2)+1)</f>
        <v/>
      </c>
      <c r="K39" s="142">
        <f>IF(OR($I39="",$I39="?",$D39&lt;&gt;"Advance",$B39=""),"",$I39&amp;"|"&amp;$J39&amp;"|"&amp;COUNTIFS($I$7:$I39,$I39,$J$7:$J39,$J39,$D$7:$D39,"Advance"))</f>
        <v/>
      </c>
      <c r="L39" s="266">
        <f>IF(OR($I39="",$I39="?",$B39=""),"",SUMPRODUCT((Weeks!$A$7:$A$59&lt;=$J39)*(Weeks!$X$5:$AI$5=$I39)*Weeks!$X$7:$AI$59)-SUMIFS($E$7:$E$1006,$I$7:$I$1006,$I39,$B$7:$B$1006,"&lt;="&amp;$B39))</f>
        <v/>
      </c>
      <c r="M39" s="132">
        <f>IF($B39&amp;$C39&amp;$D39&amp;$E39="","",IF($B39="","missing date",IF($C39="","missing worker",IF($I39="?","unknown worker - was the name changed on Workers?",IF($D39="","missing type",IF(N($E39)=0,"missing amount",IF(AND($E39&lt;0,$D39&lt;&gt;"Correction"),"negative amount - use a Correction to undo",IF(OR($B39&lt;Weeks!$A$7,$B39&gt;Weeks!$B$59),"date outside this workbook's year",IF(AND($D39="Advance",N($L39)&lt;0),"Warning: more than earned so far - worker now owes "&amp;TEXT(ROUND(-$L39,0),"#,##0"),"")))))))))</f>
        <v/>
      </c>
      <c r="N39" s="125" t="n"/>
      <c r="O39" s="126" t="n"/>
      <c r="P39" s="126" t="n"/>
      <c r="Q39" s="126" t="n"/>
      <c r="R39" s="126" t="n"/>
      <c r="S39" s="126" t="n"/>
      <c r="T39" s="126" t="n"/>
      <c r="U39" s="126" t="n"/>
      <c r="V39" s="126" t="n"/>
      <c r="W39" s="126" t="n"/>
      <c r="X39" s="126" t="n"/>
      <c r="Y39" s="126" t="n"/>
      <c r="Z39" s="126" t="n"/>
      <c r="AA39" s="126" t="n"/>
      <c r="AB39" s="126" t="n"/>
      <c r="AC39" s="126" t="n"/>
      <c r="AD39" s="126" t="n"/>
      <c r="AE39" s="126" t="n"/>
      <c r="AF39" s="126" t="n"/>
      <c r="AG39" s="126" t="n"/>
      <c r="AH39" s="126" t="n"/>
      <c r="AI39" s="126" t="n"/>
      <c r="AJ39" s="126" t="n"/>
      <c r="AK39" s="126" t="n"/>
      <c r="AL39" s="126" t="n"/>
      <c r="AM39" s="126" t="n"/>
      <c r="AN39" s="126" t="n"/>
    </row>
    <row r="40" ht="21" customFormat="1" customHeight="1" s="127">
      <c r="A40" s="51">
        <f>IF($B40="","",ROW()-6)</f>
        <v/>
      </c>
      <c r="B40" s="268" t="n"/>
      <c r="C40" s="133" t="n"/>
      <c r="D40" s="50" t="n"/>
      <c r="E40" s="265" t="n"/>
      <c r="F40" s="133" t="n"/>
      <c r="G40" s="133" t="n"/>
      <c r="H40" s="50" t="n"/>
      <c r="I40" s="51">
        <f>IF($C40="","",IFERROR(INDEX(WorkerIDs,MATCH($C40,WorkerNames,0)),"?"))</f>
        <v/>
      </c>
      <c r="J40" s="253">
        <f>IF($B40="","",$B40-WEEKDAY($B40,2)+1)</f>
        <v/>
      </c>
      <c r="K40" s="142">
        <f>IF(OR($I40="",$I40="?",$D40&lt;&gt;"Advance",$B40=""),"",$I40&amp;"|"&amp;$J40&amp;"|"&amp;COUNTIFS($I$7:$I40,$I40,$J$7:$J40,$J40,$D$7:$D40,"Advance"))</f>
        <v/>
      </c>
      <c r="L40" s="266">
        <f>IF(OR($I40="",$I40="?",$B40=""),"",SUMPRODUCT((Weeks!$A$7:$A$59&lt;=$J40)*(Weeks!$X$5:$AI$5=$I40)*Weeks!$X$7:$AI$59)-SUMIFS($E$7:$E$1006,$I$7:$I$1006,$I40,$B$7:$B$1006,"&lt;="&amp;$B40))</f>
        <v/>
      </c>
      <c r="M40" s="132">
        <f>IF($B40&amp;$C40&amp;$D40&amp;$E40="","",IF($B40="","missing date",IF($C40="","missing worker",IF($I40="?","unknown worker - was the name changed on Workers?",IF($D40="","missing type",IF(N($E40)=0,"missing amount",IF(AND($E40&lt;0,$D40&lt;&gt;"Correction"),"negative amount - use a Correction to undo",IF(OR($B40&lt;Weeks!$A$7,$B40&gt;Weeks!$B$59),"date outside this workbook's year",IF(AND($D40="Advance",N($L40)&lt;0),"Warning: more than earned so far - worker now owes "&amp;TEXT(ROUND(-$L40,0),"#,##0"),"")))))))))</f>
        <v/>
      </c>
      <c r="N40" s="125" t="n"/>
      <c r="O40" s="126" t="n"/>
      <c r="P40" s="126" t="n"/>
      <c r="Q40" s="126" t="n"/>
      <c r="R40" s="126" t="n"/>
      <c r="S40" s="126" t="n"/>
      <c r="T40" s="126" t="n"/>
      <c r="U40" s="126" t="n"/>
      <c r="V40" s="126" t="n"/>
      <c r="W40" s="126" t="n"/>
      <c r="X40" s="126" t="n"/>
      <c r="Y40" s="126" t="n"/>
      <c r="Z40" s="126" t="n"/>
      <c r="AA40" s="126" t="n"/>
      <c r="AB40" s="126" t="n"/>
      <c r="AC40" s="126" t="n"/>
      <c r="AD40" s="126" t="n"/>
      <c r="AE40" s="126" t="n"/>
      <c r="AF40" s="126" t="n"/>
      <c r="AG40" s="126" t="n"/>
      <c r="AH40" s="126" t="n"/>
      <c r="AI40" s="126" t="n"/>
      <c r="AJ40" s="126" t="n"/>
      <c r="AK40" s="126" t="n"/>
      <c r="AL40" s="126" t="n"/>
      <c r="AM40" s="126" t="n"/>
      <c r="AN40" s="126" t="n"/>
    </row>
    <row r="41" ht="21" customFormat="1" customHeight="1" s="127">
      <c r="A41" s="51">
        <f>IF($B41="","",ROW()-6)</f>
        <v/>
      </c>
      <c r="B41" s="268" t="n"/>
      <c r="C41" s="133" t="n"/>
      <c r="D41" s="50" t="n"/>
      <c r="E41" s="265" t="n"/>
      <c r="F41" s="133" t="n"/>
      <c r="G41" s="133" t="n"/>
      <c r="H41" s="50" t="n"/>
      <c r="I41" s="51">
        <f>IF($C41="","",IFERROR(INDEX(WorkerIDs,MATCH($C41,WorkerNames,0)),"?"))</f>
        <v/>
      </c>
      <c r="J41" s="253">
        <f>IF($B41="","",$B41-WEEKDAY($B41,2)+1)</f>
        <v/>
      </c>
      <c r="K41" s="142">
        <f>IF(OR($I41="",$I41="?",$D41&lt;&gt;"Advance",$B41=""),"",$I41&amp;"|"&amp;$J41&amp;"|"&amp;COUNTIFS($I$7:$I41,$I41,$J$7:$J41,$J41,$D$7:$D41,"Advance"))</f>
        <v/>
      </c>
      <c r="L41" s="266">
        <f>IF(OR($I41="",$I41="?",$B41=""),"",SUMPRODUCT((Weeks!$A$7:$A$59&lt;=$J41)*(Weeks!$X$5:$AI$5=$I41)*Weeks!$X$7:$AI$59)-SUMIFS($E$7:$E$1006,$I$7:$I$1006,$I41,$B$7:$B$1006,"&lt;="&amp;$B41))</f>
        <v/>
      </c>
      <c r="M41" s="132">
        <f>IF($B41&amp;$C41&amp;$D41&amp;$E41="","",IF($B41="","missing date",IF($C41="","missing worker",IF($I41="?","unknown worker - was the name changed on Workers?",IF($D41="","missing type",IF(N($E41)=0,"missing amount",IF(AND($E41&lt;0,$D41&lt;&gt;"Correction"),"negative amount - use a Correction to undo",IF(OR($B41&lt;Weeks!$A$7,$B41&gt;Weeks!$B$59),"date outside this workbook's year",IF(AND($D41="Advance",N($L41)&lt;0),"Warning: more than earned so far - worker now owes "&amp;TEXT(ROUND(-$L41,0),"#,##0"),"")))))))))</f>
        <v/>
      </c>
      <c r="N41" s="125" t="n"/>
      <c r="O41" s="126" t="n"/>
      <c r="P41" s="126" t="n"/>
      <c r="Q41" s="126" t="n"/>
      <c r="R41" s="126" t="n"/>
      <c r="S41" s="126" t="n"/>
      <c r="T41" s="126" t="n"/>
      <c r="U41" s="126" t="n"/>
      <c r="V41" s="126" t="n"/>
      <c r="W41" s="126" t="n"/>
      <c r="X41" s="126" t="n"/>
      <c r="Y41" s="126" t="n"/>
      <c r="Z41" s="126" t="n"/>
      <c r="AA41" s="126" t="n"/>
      <c r="AB41" s="126" t="n"/>
      <c r="AC41" s="126" t="n"/>
      <c r="AD41" s="126" t="n"/>
      <c r="AE41" s="126" t="n"/>
      <c r="AF41" s="126" t="n"/>
      <c r="AG41" s="126" t="n"/>
      <c r="AH41" s="126" t="n"/>
      <c r="AI41" s="126" t="n"/>
      <c r="AJ41" s="126" t="n"/>
      <c r="AK41" s="126" t="n"/>
      <c r="AL41" s="126" t="n"/>
      <c r="AM41" s="126" t="n"/>
      <c r="AN41" s="126" t="n"/>
    </row>
    <row r="42" ht="21" customFormat="1" customHeight="1" s="127">
      <c r="A42" s="51">
        <f>IF($B42="","",ROW()-6)</f>
        <v/>
      </c>
      <c r="B42" s="268" t="n"/>
      <c r="C42" s="133" t="n"/>
      <c r="D42" s="50" t="n"/>
      <c r="E42" s="265" t="n"/>
      <c r="F42" s="133" t="n"/>
      <c r="G42" s="133" t="n"/>
      <c r="H42" s="50" t="n"/>
      <c r="I42" s="51">
        <f>IF($C42="","",IFERROR(INDEX(WorkerIDs,MATCH($C42,WorkerNames,0)),"?"))</f>
        <v/>
      </c>
      <c r="J42" s="253">
        <f>IF($B42="","",$B42-WEEKDAY($B42,2)+1)</f>
        <v/>
      </c>
      <c r="K42" s="142">
        <f>IF(OR($I42="",$I42="?",$D42&lt;&gt;"Advance",$B42=""),"",$I42&amp;"|"&amp;$J42&amp;"|"&amp;COUNTIFS($I$7:$I42,$I42,$J$7:$J42,$J42,$D$7:$D42,"Advance"))</f>
        <v/>
      </c>
      <c r="L42" s="266">
        <f>IF(OR($I42="",$I42="?",$B42=""),"",SUMPRODUCT((Weeks!$A$7:$A$59&lt;=$J42)*(Weeks!$X$5:$AI$5=$I42)*Weeks!$X$7:$AI$59)-SUMIFS($E$7:$E$1006,$I$7:$I$1006,$I42,$B$7:$B$1006,"&lt;="&amp;$B42))</f>
        <v/>
      </c>
      <c r="M42" s="132">
        <f>IF($B42&amp;$C42&amp;$D42&amp;$E42="","",IF($B42="","missing date",IF($C42="","missing worker",IF($I42="?","unknown worker - was the name changed on Workers?",IF($D42="","missing type",IF(N($E42)=0,"missing amount",IF(AND($E42&lt;0,$D42&lt;&gt;"Correction"),"negative amount - use a Correction to undo",IF(OR($B42&lt;Weeks!$A$7,$B42&gt;Weeks!$B$59),"date outside this workbook's year",IF(AND($D42="Advance",N($L42)&lt;0),"Warning: more than earned so far - worker now owes "&amp;TEXT(ROUND(-$L42,0),"#,##0"),"")))))))))</f>
        <v/>
      </c>
      <c r="N42" s="125" t="n"/>
      <c r="O42" s="126" t="n"/>
      <c r="P42" s="126" t="n"/>
      <c r="Q42" s="126" t="n"/>
      <c r="R42" s="126" t="n"/>
      <c r="S42" s="126" t="n"/>
      <c r="T42" s="126" t="n"/>
      <c r="U42" s="126" t="n"/>
      <c r="V42" s="126" t="n"/>
      <c r="W42" s="126" t="n"/>
      <c r="X42" s="126" t="n"/>
      <c r="Y42" s="126" t="n"/>
      <c r="Z42" s="126" t="n"/>
      <c r="AA42" s="126" t="n"/>
      <c r="AB42" s="126" t="n"/>
      <c r="AC42" s="126" t="n"/>
      <c r="AD42" s="126" t="n"/>
      <c r="AE42" s="126" t="n"/>
      <c r="AF42" s="126" t="n"/>
      <c r="AG42" s="126" t="n"/>
      <c r="AH42" s="126" t="n"/>
      <c r="AI42" s="126" t="n"/>
      <c r="AJ42" s="126" t="n"/>
      <c r="AK42" s="126" t="n"/>
      <c r="AL42" s="126" t="n"/>
      <c r="AM42" s="126" t="n"/>
      <c r="AN42" s="126" t="n"/>
    </row>
    <row r="43" ht="21" customFormat="1" customHeight="1" s="127">
      <c r="A43" s="51">
        <f>IF($B43="","",ROW()-6)</f>
        <v/>
      </c>
      <c r="B43" s="268" t="n"/>
      <c r="C43" s="133" t="n"/>
      <c r="D43" s="50" t="n"/>
      <c r="E43" s="265" t="n"/>
      <c r="F43" s="133" t="n"/>
      <c r="G43" s="133" t="n"/>
      <c r="H43" s="50" t="n"/>
      <c r="I43" s="51">
        <f>IF($C43="","",IFERROR(INDEX(WorkerIDs,MATCH($C43,WorkerNames,0)),"?"))</f>
        <v/>
      </c>
      <c r="J43" s="253">
        <f>IF($B43="","",$B43-WEEKDAY($B43,2)+1)</f>
        <v/>
      </c>
      <c r="K43" s="142">
        <f>IF(OR($I43="",$I43="?",$D43&lt;&gt;"Advance",$B43=""),"",$I43&amp;"|"&amp;$J43&amp;"|"&amp;COUNTIFS($I$7:$I43,$I43,$J$7:$J43,$J43,$D$7:$D43,"Advance"))</f>
        <v/>
      </c>
      <c r="L43" s="266">
        <f>IF(OR($I43="",$I43="?",$B43=""),"",SUMPRODUCT((Weeks!$A$7:$A$59&lt;=$J43)*(Weeks!$X$5:$AI$5=$I43)*Weeks!$X$7:$AI$59)-SUMIFS($E$7:$E$1006,$I$7:$I$1006,$I43,$B$7:$B$1006,"&lt;="&amp;$B43))</f>
        <v/>
      </c>
      <c r="M43" s="132">
        <f>IF($B43&amp;$C43&amp;$D43&amp;$E43="","",IF($B43="","missing date",IF($C43="","missing worker",IF($I43="?","unknown worker - was the name changed on Workers?",IF($D43="","missing type",IF(N($E43)=0,"missing amount",IF(AND($E43&lt;0,$D43&lt;&gt;"Correction"),"negative amount - use a Correction to undo",IF(OR($B43&lt;Weeks!$A$7,$B43&gt;Weeks!$B$59),"date outside this workbook's year",IF(AND($D43="Advance",N($L43)&lt;0),"Warning: more than earned so far - worker now owes "&amp;TEXT(ROUND(-$L43,0),"#,##0"),"")))))))))</f>
        <v/>
      </c>
      <c r="N43" s="125" t="n"/>
      <c r="O43" s="126" t="n"/>
      <c r="P43" s="126" t="n"/>
      <c r="Q43" s="126" t="n"/>
      <c r="R43" s="126" t="n"/>
      <c r="S43" s="126" t="n"/>
      <c r="T43" s="126" t="n"/>
      <c r="U43" s="126" t="n"/>
      <c r="V43" s="126" t="n"/>
      <c r="W43" s="126" t="n"/>
      <c r="X43" s="126" t="n"/>
      <c r="Y43" s="126" t="n"/>
      <c r="Z43" s="126" t="n"/>
      <c r="AA43" s="126" t="n"/>
      <c r="AB43" s="126" t="n"/>
      <c r="AC43" s="126" t="n"/>
      <c r="AD43" s="126" t="n"/>
      <c r="AE43" s="126" t="n"/>
      <c r="AF43" s="126" t="n"/>
      <c r="AG43" s="126" t="n"/>
      <c r="AH43" s="126" t="n"/>
      <c r="AI43" s="126" t="n"/>
      <c r="AJ43" s="126" t="n"/>
      <c r="AK43" s="126" t="n"/>
      <c r="AL43" s="126" t="n"/>
      <c r="AM43" s="126" t="n"/>
      <c r="AN43" s="126" t="n"/>
    </row>
    <row r="44" ht="21" customFormat="1" customHeight="1" s="127">
      <c r="A44" s="51">
        <f>IF($B44="","",ROW()-6)</f>
        <v/>
      </c>
      <c r="B44" s="268" t="n"/>
      <c r="C44" s="133" t="n"/>
      <c r="D44" s="50" t="n"/>
      <c r="E44" s="265" t="n"/>
      <c r="F44" s="133" t="n"/>
      <c r="G44" s="133" t="n"/>
      <c r="H44" s="50" t="n"/>
      <c r="I44" s="51">
        <f>IF($C44="","",IFERROR(INDEX(WorkerIDs,MATCH($C44,WorkerNames,0)),"?"))</f>
        <v/>
      </c>
      <c r="J44" s="253">
        <f>IF($B44="","",$B44-WEEKDAY($B44,2)+1)</f>
        <v/>
      </c>
      <c r="K44" s="142">
        <f>IF(OR($I44="",$I44="?",$D44&lt;&gt;"Advance",$B44=""),"",$I44&amp;"|"&amp;$J44&amp;"|"&amp;COUNTIFS($I$7:$I44,$I44,$J$7:$J44,$J44,$D$7:$D44,"Advance"))</f>
        <v/>
      </c>
      <c r="L44" s="266">
        <f>IF(OR($I44="",$I44="?",$B44=""),"",SUMPRODUCT((Weeks!$A$7:$A$59&lt;=$J44)*(Weeks!$X$5:$AI$5=$I44)*Weeks!$X$7:$AI$59)-SUMIFS($E$7:$E$1006,$I$7:$I$1006,$I44,$B$7:$B$1006,"&lt;="&amp;$B44))</f>
        <v/>
      </c>
      <c r="M44" s="132">
        <f>IF($B44&amp;$C44&amp;$D44&amp;$E44="","",IF($B44="","missing date",IF($C44="","missing worker",IF($I44="?","unknown worker - was the name changed on Workers?",IF($D44="","missing type",IF(N($E44)=0,"missing amount",IF(AND($E44&lt;0,$D44&lt;&gt;"Correction"),"negative amount - use a Correction to undo",IF(OR($B44&lt;Weeks!$A$7,$B44&gt;Weeks!$B$59),"date outside this workbook's year",IF(AND($D44="Advance",N($L44)&lt;0),"Warning: more than earned so far - worker now owes "&amp;TEXT(ROUND(-$L44,0),"#,##0"),"")))))))))</f>
        <v/>
      </c>
      <c r="N44" s="125" t="n"/>
      <c r="O44" s="126" t="n"/>
      <c r="P44" s="126" t="n"/>
      <c r="Q44" s="126" t="n"/>
      <c r="R44" s="126" t="n"/>
      <c r="S44" s="126" t="n"/>
      <c r="T44" s="126" t="n"/>
      <c r="U44" s="126" t="n"/>
      <c r="V44" s="126" t="n"/>
      <c r="W44" s="126" t="n"/>
      <c r="X44" s="126" t="n"/>
      <c r="Y44" s="126" t="n"/>
      <c r="Z44" s="126" t="n"/>
      <c r="AA44" s="126" t="n"/>
      <c r="AB44" s="126" t="n"/>
      <c r="AC44" s="126" t="n"/>
      <c r="AD44" s="126" t="n"/>
      <c r="AE44" s="126" t="n"/>
      <c r="AF44" s="126" t="n"/>
      <c r="AG44" s="126" t="n"/>
      <c r="AH44" s="126" t="n"/>
      <c r="AI44" s="126" t="n"/>
      <c r="AJ44" s="126" t="n"/>
      <c r="AK44" s="126" t="n"/>
      <c r="AL44" s="126" t="n"/>
      <c r="AM44" s="126" t="n"/>
      <c r="AN44" s="126" t="n"/>
    </row>
    <row r="45" ht="21" customFormat="1" customHeight="1" s="127">
      <c r="A45" s="51">
        <f>IF($B45="","",ROW()-6)</f>
        <v/>
      </c>
      <c r="B45" s="268" t="n"/>
      <c r="C45" s="133" t="n"/>
      <c r="D45" s="50" t="n"/>
      <c r="E45" s="265" t="n"/>
      <c r="F45" s="133" t="n"/>
      <c r="G45" s="133" t="n"/>
      <c r="H45" s="50" t="n"/>
      <c r="I45" s="51">
        <f>IF($C45="","",IFERROR(INDEX(WorkerIDs,MATCH($C45,WorkerNames,0)),"?"))</f>
        <v/>
      </c>
      <c r="J45" s="253">
        <f>IF($B45="","",$B45-WEEKDAY($B45,2)+1)</f>
        <v/>
      </c>
      <c r="K45" s="142">
        <f>IF(OR($I45="",$I45="?",$D45&lt;&gt;"Advance",$B45=""),"",$I45&amp;"|"&amp;$J45&amp;"|"&amp;COUNTIFS($I$7:$I45,$I45,$J$7:$J45,$J45,$D$7:$D45,"Advance"))</f>
        <v/>
      </c>
      <c r="L45" s="266">
        <f>IF(OR($I45="",$I45="?",$B45=""),"",SUMPRODUCT((Weeks!$A$7:$A$59&lt;=$J45)*(Weeks!$X$5:$AI$5=$I45)*Weeks!$X$7:$AI$59)-SUMIFS($E$7:$E$1006,$I$7:$I$1006,$I45,$B$7:$B$1006,"&lt;="&amp;$B45))</f>
        <v/>
      </c>
      <c r="M45" s="132">
        <f>IF($B45&amp;$C45&amp;$D45&amp;$E45="","",IF($B45="","missing date",IF($C45="","missing worker",IF($I45="?","unknown worker - was the name changed on Workers?",IF($D45="","missing type",IF(N($E45)=0,"missing amount",IF(AND($E45&lt;0,$D45&lt;&gt;"Correction"),"negative amount - use a Correction to undo",IF(OR($B45&lt;Weeks!$A$7,$B45&gt;Weeks!$B$59),"date outside this workbook's year",IF(AND($D45="Advance",N($L45)&lt;0),"Warning: more than earned so far - worker now owes "&amp;TEXT(ROUND(-$L45,0),"#,##0"),"")))))))))</f>
        <v/>
      </c>
      <c r="N45" s="125" t="n"/>
      <c r="O45" s="126" t="n"/>
      <c r="P45" s="126" t="n"/>
      <c r="Q45" s="126" t="n"/>
      <c r="R45" s="126" t="n"/>
      <c r="S45" s="126" t="n"/>
      <c r="T45" s="126" t="n"/>
      <c r="U45" s="126" t="n"/>
      <c r="V45" s="126" t="n"/>
      <c r="W45" s="126" t="n"/>
      <c r="X45" s="126" t="n"/>
      <c r="Y45" s="126" t="n"/>
      <c r="Z45" s="126" t="n"/>
      <c r="AA45" s="126" t="n"/>
      <c r="AB45" s="126" t="n"/>
      <c r="AC45" s="126" t="n"/>
      <c r="AD45" s="126" t="n"/>
      <c r="AE45" s="126" t="n"/>
      <c r="AF45" s="126" t="n"/>
      <c r="AG45" s="126" t="n"/>
      <c r="AH45" s="126" t="n"/>
      <c r="AI45" s="126" t="n"/>
      <c r="AJ45" s="126" t="n"/>
      <c r="AK45" s="126" t="n"/>
      <c r="AL45" s="126" t="n"/>
      <c r="AM45" s="126" t="n"/>
      <c r="AN45" s="126" t="n"/>
    </row>
    <row r="46" ht="21" customFormat="1" customHeight="1" s="127">
      <c r="A46" s="51">
        <f>IF($B46="","",ROW()-6)</f>
        <v/>
      </c>
      <c r="B46" s="268" t="n"/>
      <c r="C46" s="133" t="n"/>
      <c r="D46" s="50" t="n"/>
      <c r="E46" s="265" t="n"/>
      <c r="F46" s="133" t="n"/>
      <c r="G46" s="133" t="n"/>
      <c r="H46" s="50" t="n"/>
      <c r="I46" s="51">
        <f>IF($C46="","",IFERROR(INDEX(WorkerIDs,MATCH($C46,WorkerNames,0)),"?"))</f>
        <v/>
      </c>
      <c r="J46" s="253">
        <f>IF($B46="","",$B46-WEEKDAY($B46,2)+1)</f>
        <v/>
      </c>
      <c r="K46" s="142">
        <f>IF(OR($I46="",$I46="?",$D46&lt;&gt;"Advance",$B46=""),"",$I46&amp;"|"&amp;$J46&amp;"|"&amp;COUNTIFS($I$7:$I46,$I46,$J$7:$J46,$J46,$D$7:$D46,"Advance"))</f>
        <v/>
      </c>
      <c r="L46" s="266">
        <f>IF(OR($I46="",$I46="?",$B46=""),"",SUMPRODUCT((Weeks!$A$7:$A$59&lt;=$J46)*(Weeks!$X$5:$AI$5=$I46)*Weeks!$X$7:$AI$59)-SUMIFS($E$7:$E$1006,$I$7:$I$1006,$I46,$B$7:$B$1006,"&lt;="&amp;$B46))</f>
        <v/>
      </c>
      <c r="M46" s="132">
        <f>IF($B46&amp;$C46&amp;$D46&amp;$E46="","",IF($B46="","missing date",IF($C46="","missing worker",IF($I46="?","unknown worker - was the name changed on Workers?",IF($D46="","missing type",IF(N($E46)=0,"missing amount",IF(AND($E46&lt;0,$D46&lt;&gt;"Correction"),"negative amount - use a Correction to undo",IF(OR($B46&lt;Weeks!$A$7,$B46&gt;Weeks!$B$59),"date outside this workbook's year",IF(AND($D46="Advance",N($L46)&lt;0),"Warning: more than earned so far - worker now owes "&amp;TEXT(ROUND(-$L46,0),"#,##0"),"")))))))))</f>
        <v/>
      </c>
      <c r="N46" s="125" t="n"/>
      <c r="O46" s="126" t="n"/>
      <c r="P46" s="126" t="n"/>
      <c r="Q46" s="126" t="n"/>
      <c r="R46" s="126" t="n"/>
      <c r="S46" s="126" t="n"/>
      <c r="T46" s="126" t="n"/>
      <c r="U46" s="126" t="n"/>
      <c r="V46" s="126" t="n"/>
      <c r="W46" s="126" t="n"/>
      <c r="X46" s="126" t="n"/>
      <c r="Y46" s="126" t="n"/>
      <c r="Z46" s="126" t="n"/>
      <c r="AA46" s="126" t="n"/>
      <c r="AB46" s="126" t="n"/>
      <c r="AC46" s="126" t="n"/>
      <c r="AD46" s="126" t="n"/>
      <c r="AE46" s="126" t="n"/>
      <c r="AF46" s="126" t="n"/>
      <c r="AG46" s="126" t="n"/>
      <c r="AH46" s="126" t="n"/>
      <c r="AI46" s="126" t="n"/>
      <c r="AJ46" s="126" t="n"/>
      <c r="AK46" s="126" t="n"/>
      <c r="AL46" s="126" t="n"/>
      <c r="AM46" s="126" t="n"/>
      <c r="AN46" s="126" t="n"/>
    </row>
    <row r="47" ht="21" customFormat="1" customHeight="1" s="127">
      <c r="A47" s="51">
        <f>IF($B47="","",ROW()-6)</f>
        <v/>
      </c>
      <c r="B47" s="268" t="n"/>
      <c r="C47" s="133" t="n"/>
      <c r="D47" s="50" t="n"/>
      <c r="E47" s="265" t="n"/>
      <c r="F47" s="133" t="n"/>
      <c r="G47" s="133" t="n"/>
      <c r="H47" s="50" t="n"/>
      <c r="I47" s="51">
        <f>IF($C47="","",IFERROR(INDEX(WorkerIDs,MATCH($C47,WorkerNames,0)),"?"))</f>
        <v/>
      </c>
      <c r="J47" s="253">
        <f>IF($B47="","",$B47-WEEKDAY($B47,2)+1)</f>
        <v/>
      </c>
      <c r="K47" s="142">
        <f>IF(OR($I47="",$I47="?",$D47&lt;&gt;"Advance",$B47=""),"",$I47&amp;"|"&amp;$J47&amp;"|"&amp;COUNTIFS($I$7:$I47,$I47,$J$7:$J47,$J47,$D$7:$D47,"Advance"))</f>
        <v/>
      </c>
      <c r="L47" s="266">
        <f>IF(OR($I47="",$I47="?",$B47=""),"",SUMPRODUCT((Weeks!$A$7:$A$59&lt;=$J47)*(Weeks!$X$5:$AI$5=$I47)*Weeks!$X$7:$AI$59)-SUMIFS($E$7:$E$1006,$I$7:$I$1006,$I47,$B$7:$B$1006,"&lt;="&amp;$B47))</f>
        <v/>
      </c>
      <c r="M47" s="132">
        <f>IF($B47&amp;$C47&amp;$D47&amp;$E47="","",IF($B47="","missing date",IF($C47="","missing worker",IF($I47="?","unknown worker - was the name changed on Workers?",IF($D47="","missing type",IF(N($E47)=0,"missing amount",IF(AND($E47&lt;0,$D47&lt;&gt;"Correction"),"negative amount - use a Correction to undo",IF(OR($B47&lt;Weeks!$A$7,$B47&gt;Weeks!$B$59),"date outside this workbook's year",IF(AND($D47="Advance",N($L47)&lt;0),"Warning: more than earned so far - worker now owes "&amp;TEXT(ROUND(-$L47,0),"#,##0"),"")))))))))</f>
        <v/>
      </c>
      <c r="N47" s="125" t="n"/>
      <c r="O47" s="126" t="n"/>
      <c r="P47" s="126" t="n"/>
      <c r="Q47" s="126" t="n"/>
      <c r="R47" s="126" t="n"/>
      <c r="S47" s="126" t="n"/>
      <c r="T47" s="126" t="n"/>
      <c r="U47" s="126" t="n"/>
      <c r="V47" s="126" t="n"/>
      <c r="W47" s="126" t="n"/>
      <c r="X47" s="126" t="n"/>
      <c r="Y47" s="126" t="n"/>
      <c r="Z47" s="126" t="n"/>
      <c r="AA47" s="126" t="n"/>
      <c r="AB47" s="126" t="n"/>
      <c r="AC47" s="126" t="n"/>
      <c r="AD47" s="126" t="n"/>
      <c r="AE47" s="126" t="n"/>
      <c r="AF47" s="126" t="n"/>
      <c r="AG47" s="126" t="n"/>
      <c r="AH47" s="126" t="n"/>
      <c r="AI47" s="126" t="n"/>
      <c r="AJ47" s="126" t="n"/>
      <c r="AK47" s="126" t="n"/>
      <c r="AL47" s="126" t="n"/>
      <c r="AM47" s="126" t="n"/>
      <c r="AN47" s="126" t="n"/>
    </row>
    <row r="48" ht="21" customFormat="1" customHeight="1" s="127">
      <c r="A48" s="51">
        <f>IF($B48="","",ROW()-6)</f>
        <v/>
      </c>
      <c r="B48" s="268" t="n"/>
      <c r="C48" s="133" t="n"/>
      <c r="D48" s="50" t="n"/>
      <c r="E48" s="265" t="n"/>
      <c r="F48" s="133" t="n"/>
      <c r="G48" s="133" t="n"/>
      <c r="H48" s="50" t="n"/>
      <c r="I48" s="51">
        <f>IF($C48="","",IFERROR(INDEX(WorkerIDs,MATCH($C48,WorkerNames,0)),"?"))</f>
        <v/>
      </c>
      <c r="J48" s="253">
        <f>IF($B48="","",$B48-WEEKDAY($B48,2)+1)</f>
        <v/>
      </c>
      <c r="K48" s="142">
        <f>IF(OR($I48="",$I48="?",$D48&lt;&gt;"Advance",$B48=""),"",$I48&amp;"|"&amp;$J48&amp;"|"&amp;COUNTIFS($I$7:$I48,$I48,$J$7:$J48,$J48,$D$7:$D48,"Advance"))</f>
        <v/>
      </c>
      <c r="L48" s="266">
        <f>IF(OR($I48="",$I48="?",$B48=""),"",SUMPRODUCT((Weeks!$A$7:$A$59&lt;=$J48)*(Weeks!$X$5:$AI$5=$I48)*Weeks!$X$7:$AI$59)-SUMIFS($E$7:$E$1006,$I$7:$I$1006,$I48,$B$7:$B$1006,"&lt;="&amp;$B48))</f>
        <v/>
      </c>
      <c r="M48" s="132">
        <f>IF($B48&amp;$C48&amp;$D48&amp;$E48="","",IF($B48="","missing date",IF($C48="","missing worker",IF($I48="?","unknown worker - was the name changed on Workers?",IF($D48="","missing type",IF(N($E48)=0,"missing amount",IF(AND($E48&lt;0,$D48&lt;&gt;"Correction"),"negative amount - use a Correction to undo",IF(OR($B48&lt;Weeks!$A$7,$B48&gt;Weeks!$B$59),"date outside this workbook's year",IF(AND($D48="Advance",N($L48)&lt;0),"Warning: more than earned so far - worker now owes "&amp;TEXT(ROUND(-$L48,0),"#,##0"),"")))))))))</f>
        <v/>
      </c>
      <c r="N48" s="125" t="n"/>
      <c r="O48" s="126" t="n"/>
      <c r="P48" s="126" t="n"/>
      <c r="Q48" s="126" t="n"/>
      <c r="R48" s="126" t="n"/>
      <c r="S48" s="126" t="n"/>
      <c r="T48" s="126" t="n"/>
      <c r="U48" s="126" t="n"/>
      <c r="V48" s="126" t="n"/>
      <c r="W48" s="126" t="n"/>
      <c r="X48" s="126" t="n"/>
      <c r="Y48" s="126" t="n"/>
      <c r="Z48" s="126" t="n"/>
      <c r="AA48" s="126" t="n"/>
      <c r="AB48" s="126" t="n"/>
      <c r="AC48" s="126" t="n"/>
      <c r="AD48" s="126" t="n"/>
      <c r="AE48" s="126" t="n"/>
      <c r="AF48" s="126" t="n"/>
      <c r="AG48" s="126" t="n"/>
      <c r="AH48" s="126" t="n"/>
      <c r="AI48" s="126" t="n"/>
      <c r="AJ48" s="126" t="n"/>
      <c r="AK48" s="126" t="n"/>
      <c r="AL48" s="126" t="n"/>
      <c r="AM48" s="126" t="n"/>
      <c r="AN48" s="126" t="n"/>
    </row>
    <row r="49" ht="21" customFormat="1" customHeight="1" s="127">
      <c r="A49" s="51">
        <f>IF($B49="","",ROW()-6)</f>
        <v/>
      </c>
      <c r="B49" s="268" t="n"/>
      <c r="C49" s="133" t="n"/>
      <c r="D49" s="50" t="n"/>
      <c r="E49" s="265" t="n"/>
      <c r="F49" s="133" t="n"/>
      <c r="G49" s="133" t="n"/>
      <c r="H49" s="50" t="n"/>
      <c r="I49" s="51">
        <f>IF($C49="","",IFERROR(INDEX(WorkerIDs,MATCH($C49,WorkerNames,0)),"?"))</f>
        <v/>
      </c>
      <c r="J49" s="253">
        <f>IF($B49="","",$B49-WEEKDAY($B49,2)+1)</f>
        <v/>
      </c>
      <c r="K49" s="142">
        <f>IF(OR($I49="",$I49="?",$D49&lt;&gt;"Advance",$B49=""),"",$I49&amp;"|"&amp;$J49&amp;"|"&amp;COUNTIFS($I$7:$I49,$I49,$J$7:$J49,$J49,$D$7:$D49,"Advance"))</f>
        <v/>
      </c>
      <c r="L49" s="266">
        <f>IF(OR($I49="",$I49="?",$B49=""),"",SUMPRODUCT((Weeks!$A$7:$A$59&lt;=$J49)*(Weeks!$X$5:$AI$5=$I49)*Weeks!$X$7:$AI$59)-SUMIFS($E$7:$E$1006,$I$7:$I$1006,$I49,$B$7:$B$1006,"&lt;="&amp;$B49))</f>
        <v/>
      </c>
      <c r="M49" s="132">
        <f>IF($B49&amp;$C49&amp;$D49&amp;$E49="","",IF($B49="","missing date",IF($C49="","missing worker",IF($I49="?","unknown worker - was the name changed on Workers?",IF($D49="","missing type",IF(N($E49)=0,"missing amount",IF(AND($E49&lt;0,$D49&lt;&gt;"Correction"),"negative amount - use a Correction to undo",IF(OR($B49&lt;Weeks!$A$7,$B49&gt;Weeks!$B$59),"date outside this workbook's year",IF(AND($D49="Advance",N($L49)&lt;0),"Warning: more than earned so far - worker now owes "&amp;TEXT(ROUND(-$L49,0),"#,##0"),"")))))))))</f>
        <v/>
      </c>
      <c r="N49" s="125" t="n"/>
      <c r="O49" s="126" t="n"/>
      <c r="P49" s="126" t="n"/>
      <c r="Q49" s="126" t="n"/>
      <c r="R49" s="126" t="n"/>
      <c r="S49" s="126" t="n"/>
      <c r="T49" s="126" t="n"/>
      <c r="U49" s="126" t="n"/>
      <c r="V49" s="126" t="n"/>
      <c r="W49" s="126" t="n"/>
      <c r="X49" s="126" t="n"/>
      <c r="Y49" s="126" t="n"/>
      <c r="Z49" s="126" t="n"/>
      <c r="AA49" s="126" t="n"/>
      <c r="AB49" s="126" t="n"/>
      <c r="AC49" s="126" t="n"/>
      <c r="AD49" s="126" t="n"/>
      <c r="AE49" s="126" t="n"/>
      <c r="AF49" s="126" t="n"/>
      <c r="AG49" s="126" t="n"/>
      <c r="AH49" s="126" t="n"/>
      <c r="AI49" s="126" t="n"/>
      <c r="AJ49" s="126" t="n"/>
      <c r="AK49" s="126" t="n"/>
      <c r="AL49" s="126" t="n"/>
      <c r="AM49" s="126" t="n"/>
      <c r="AN49" s="126" t="n"/>
    </row>
    <row r="50" ht="21" customFormat="1" customHeight="1" s="127">
      <c r="A50" s="51">
        <f>IF($B50="","",ROW()-6)</f>
        <v/>
      </c>
      <c r="B50" s="268" t="n"/>
      <c r="C50" s="133" t="n"/>
      <c r="D50" s="50" t="n"/>
      <c r="E50" s="265" t="n"/>
      <c r="F50" s="133" t="n"/>
      <c r="G50" s="133" t="n"/>
      <c r="H50" s="50" t="n"/>
      <c r="I50" s="51">
        <f>IF($C50="","",IFERROR(INDEX(WorkerIDs,MATCH($C50,WorkerNames,0)),"?"))</f>
        <v/>
      </c>
      <c r="J50" s="253">
        <f>IF($B50="","",$B50-WEEKDAY($B50,2)+1)</f>
        <v/>
      </c>
      <c r="K50" s="142">
        <f>IF(OR($I50="",$I50="?",$D50&lt;&gt;"Advance",$B50=""),"",$I50&amp;"|"&amp;$J50&amp;"|"&amp;COUNTIFS($I$7:$I50,$I50,$J$7:$J50,$J50,$D$7:$D50,"Advance"))</f>
        <v/>
      </c>
      <c r="L50" s="266">
        <f>IF(OR($I50="",$I50="?",$B50=""),"",SUMPRODUCT((Weeks!$A$7:$A$59&lt;=$J50)*(Weeks!$X$5:$AI$5=$I50)*Weeks!$X$7:$AI$59)-SUMIFS($E$7:$E$1006,$I$7:$I$1006,$I50,$B$7:$B$1006,"&lt;="&amp;$B50))</f>
        <v/>
      </c>
      <c r="M50" s="132">
        <f>IF($B50&amp;$C50&amp;$D50&amp;$E50="","",IF($B50="","missing date",IF($C50="","missing worker",IF($I50="?","unknown worker - was the name changed on Workers?",IF($D50="","missing type",IF(N($E50)=0,"missing amount",IF(AND($E50&lt;0,$D50&lt;&gt;"Correction"),"negative amount - use a Correction to undo",IF(OR($B50&lt;Weeks!$A$7,$B50&gt;Weeks!$B$59),"date outside this workbook's year",IF(AND($D50="Advance",N($L50)&lt;0),"Warning: more than earned so far - worker now owes "&amp;TEXT(ROUND(-$L50,0),"#,##0"),"")))))))))</f>
        <v/>
      </c>
      <c r="N50" s="125" t="n"/>
      <c r="O50" s="126" t="n"/>
      <c r="P50" s="126" t="n"/>
      <c r="Q50" s="126" t="n"/>
      <c r="R50" s="126" t="n"/>
      <c r="S50" s="126" t="n"/>
      <c r="T50" s="126" t="n"/>
      <c r="U50" s="126" t="n"/>
      <c r="V50" s="126" t="n"/>
      <c r="W50" s="126" t="n"/>
      <c r="X50" s="126" t="n"/>
      <c r="Y50" s="126" t="n"/>
      <c r="Z50" s="126" t="n"/>
      <c r="AA50" s="126" t="n"/>
      <c r="AB50" s="126" t="n"/>
      <c r="AC50" s="126" t="n"/>
      <c r="AD50" s="126" t="n"/>
      <c r="AE50" s="126" t="n"/>
      <c r="AF50" s="126" t="n"/>
      <c r="AG50" s="126" t="n"/>
      <c r="AH50" s="126" t="n"/>
      <c r="AI50" s="126" t="n"/>
      <c r="AJ50" s="126" t="n"/>
      <c r="AK50" s="126" t="n"/>
      <c r="AL50" s="126" t="n"/>
      <c r="AM50" s="126" t="n"/>
      <c r="AN50" s="126" t="n"/>
    </row>
    <row r="51" ht="21" customFormat="1" customHeight="1" s="127">
      <c r="A51" s="51">
        <f>IF($B51="","",ROW()-6)</f>
        <v/>
      </c>
      <c r="B51" s="268" t="n"/>
      <c r="C51" s="133" t="n"/>
      <c r="D51" s="50" t="n"/>
      <c r="E51" s="265" t="n"/>
      <c r="F51" s="133" t="n"/>
      <c r="G51" s="133" t="n"/>
      <c r="H51" s="50" t="n"/>
      <c r="I51" s="51">
        <f>IF($C51="","",IFERROR(INDEX(WorkerIDs,MATCH($C51,WorkerNames,0)),"?"))</f>
        <v/>
      </c>
      <c r="J51" s="253">
        <f>IF($B51="","",$B51-WEEKDAY($B51,2)+1)</f>
        <v/>
      </c>
      <c r="K51" s="142">
        <f>IF(OR($I51="",$I51="?",$D51&lt;&gt;"Advance",$B51=""),"",$I51&amp;"|"&amp;$J51&amp;"|"&amp;COUNTIFS($I$7:$I51,$I51,$J$7:$J51,$J51,$D$7:$D51,"Advance"))</f>
        <v/>
      </c>
      <c r="L51" s="266">
        <f>IF(OR($I51="",$I51="?",$B51=""),"",SUMPRODUCT((Weeks!$A$7:$A$59&lt;=$J51)*(Weeks!$X$5:$AI$5=$I51)*Weeks!$X$7:$AI$59)-SUMIFS($E$7:$E$1006,$I$7:$I$1006,$I51,$B$7:$B$1006,"&lt;="&amp;$B51))</f>
        <v/>
      </c>
      <c r="M51" s="132">
        <f>IF($B51&amp;$C51&amp;$D51&amp;$E51="","",IF($B51="","missing date",IF($C51="","missing worker",IF($I51="?","unknown worker - was the name changed on Workers?",IF($D51="","missing type",IF(N($E51)=0,"missing amount",IF(AND($E51&lt;0,$D51&lt;&gt;"Correction"),"negative amount - use a Correction to undo",IF(OR($B51&lt;Weeks!$A$7,$B51&gt;Weeks!$B$59),"date outside this workbook's year",IF(AND($D51="Advance",N($L51)&lt;0),"Warning: more than earned so far - worker now owes "&amp;TEXT(ROUND(-$L51,0),"#,##0"),"")))))))))</f>
        <v/>
      </c>
      <c r="N51" s="125" t="n"/>
      <c r="O51" s="126" t="n"/>
      <c r="P51" s="126" t="n"/>
      <c r="Q51" s="126" t="n"/>
      <c r="R51" s="126" t="n"/>
      <c r="S51" s="126" t="n"/>
      <c r="T51" s="126" t="n"/>
      <c r="U51" s="126" t="n"/>
      <c r="V51" s="126" t="n"/>
      <c r="W51" s="126" t="n"/>
      <c r="X51" s="126" t="n"/>
      <c r="Y51" s="126" t="n"/>
      <c r="Z51" s="126" t="n"/>
      <c r="AA51" s="126" t="n"/>
      <c r="AB51" s="126" t="n"/>
      <c r="AC51" s="126" t="n"/>
      <c r="AD51" s="126" t="n"/>
      <c r="AE51" s="126" t="n"/>
      <c r="AF51" s="126" t="n"/>
      <c r="AG51" s="126" t="n"/>
      <c r="AH51" s="126" t="n"/>
      <c r="AI51" s="126" t="n"/>
      <c r="AJ51" s="126" t="n"/>
      <c r="AK51" s="126" t="n"/>
      <c r="AL51" s="126" t="n"/>
      <c r="AM51" s="126" t="n"/>
      <c r="AN51" s="126" t="n"/>
    </row>
    <row r="52" ht="21" customFormat="1" customHeight="1" s="127">
      <c r="A52" s="51">
        <f>IF($B52="","",ROW()-6)</f>
        <v/>
      </c>
      <c r="B52" s="268" t="n"/>
      <c r="C52" s="133" t="n"/>
      <c r="D52" s="50" t="n"/>
      <c r="E52" s="265" t="n"/>
      <c r="F52" s="133" t="n"/>
      <c r="G52" s="133" t="n"/>
      <c r="H52" s="50" t="n"/>
      <c r="I52" s="51">
        <f>IF($C52="","",IFERROR(INDEX(WorkerIDs,MATCH($C52,WorkerNames,0)),"?"))</f>
        <v/>
      </c>
      <c r="J52" s="253">
        <f>IF($B52="","",$B52-WEEKDAY($B52,2)+1)</f>
        <v/>
      </c>
      <c r="K52" s="142">
        <f>IF(OR($I52="",$I52="?",$D52&lt;&gt;"Advance",$B52=""),"",$I52&amp;"|"&amp;$J52&amp;"|"&amp;COUNTIFS($I$7:$I52,$I52,$J$7:$J52,$J52,$D$7:$D52,"Advance"))</f>
        <v/>
      </c>
      <c r="L52" s="266">
        <f>IF(OR($I52="",$I52="?",$B52=""),"",SUMPRODUCT((Weeks!$A$7:$A$59&lt;=$J52)*(Weeks!$X$5:$AI$5=$I52)*Weeks!$X$7:$AI$59)-SUMIFS($E$7:$E$1006,$I$7:$I$1006,$I52,$B$7:$B$1006,"&lt;="&amp;$B52))</f>
        <v/>
      </c>
      <c r="M52" s="132">
        <f>IF($B52&amp;$C52&amp;$D52&amp;$E52="","",IF($B52="","missing date",IF($C52="","missing worker",IF($I52="?","unknown worker - was the name changed on Workers?",IF($D52="","missing type",IF(N($E52)=0,"missing amount",IF(AND($E52&lt;0,$D52&lt;&gt;"Correction"),"negative amount - use a Correction to undo",IF(OR($B52&lt;Weeks!$A$7,$B52&gt;Weeks!$B$59),"date outside this workbook's year",IF(AND($D52="Advance",N($L52)&lt;0),"Warning: more than earned so far - worker now owes "&amp;TEXT(ROUND(-$L52,0),"#,##0"),"")))))))))</f>
        <v/>
      </c>
      <c r="N52" s="125" t="n"/>
      <c r="O52" s="126" t="n"/>
      <c r="P52" s="126" t="n"/>
      <c r="Q52" s="126" t="n"/>
      <c r="R52" s="126" t="n"/>
      <c r="S52" s="126" t="n"/>
      <c r="T52" s="126" t="n"/>
      <c r="U52" s="126" t="n"/>
      <c r="V52" s="126" t="n"/>
      <c r="W52" s="126" t="n"/>
      <c r="X52" s="126" t="n"/>
      <c r="Y52" s="126" t="n"/>
      <c r="Z52" s="126" t="n"/>
      <c r="AA52" s="126" t="n"/>
      <c r="AB52" s="126" t="n"/>
      <c r="AC52" s="126" t="n"/>
      <c r="AD52" s="126" t="n"/>
      <c r="AE52" s="126" t="n"/>
      <c r="AF52" s="126" t="n"/>
      <c r="AG52" s="126" t="n"/>
      <c r="AH52" s="126" t="n"/>
      <c r="AI52" s="126" t="n"/>
      <c r="AJ52" s="126" t="n"/>
      <c r="AK52" s="126" t="n"/>
      <c r="AL52" s="126" t="n"/>
      <c r="AM52" s="126" t="n"/>
      <c r="AN52" s="126" t="n"/>
    </row>
    <row r="53" ht="21" customFormat="1" customHeight="1" s="127">
      <c r="A53" s="51">
        <f>IF($B53="","",ROW()-6)</f>
        <v/>
      </c>
      <c r="B53" s="268" t="n"/>
      <c r="C53" s="133" t="n"/>
      <c r="D53" s="50" t="n"/>
      <c r="E53" s="265" t="n"/>
      <c r="F53" s="133" t="n"/>
      <c r="G53" s="133" t="n"/>
      <c r="H53" s="50" t="n"/>
      <c r="I53" s="51">
        <f>IF($C53="","",IFERROR(INDEX(WorkerIDs,MATCH($C53,WorkerNames,0)),"?"))</f>
        <v/>
      </c>
      <c r="J53" s="253">
        <f>IF($B53="","",$B53-WEEKDAY($B53,2)+1)</f>
        <v/>
      </c>
      <c r="K53" s="142">
        <f>IF(OR($I53="",$I53="?",$D53&lt;&gt;"Advance",$B53=""),"",$I53&amp;"|"&amp;$J53&amp;"|"&amp;COUNTIFS($I$7:$I53,$I53,$J$7:$J53,$J53,$D$7:$D53,"Advance"))</f>
        <v/>
      </c>
      <c r="L53" s="266">
        <f>IF(OR($I53="",$I53="?",$B53=""),"",SUMPRODUCT((Weeks!$A$7:$A$59&lt;=$J53)*(Weeks!$X$5:$AI$5=$I53)*Weeks!$X$7:$AI$59)-SUMIFS($E$7:$E$1006,$I$7:$I$1006,$I53,$B$7:$B$1006,"&lt;="&amp;$B53))</f>
        <v/>
      </c>
      <c r="M53" s="132">
        <f>IF($B53&amp;$C53&amp;$D53&amp;$E53="","",IF($B53="","missing date",IF($C53="","missing worker",IF($I53="?","unknown worker - was the name changed on Workers?",IF($D53="","missing type",IF(N($E53)=0,"missing amount",IF(AND($E53&lt;0,$D53&lt;&gt;"Correction"),"negative amount - use a Correction to undo",IF(OR($B53&lt;Weeks!$A$7,$B53&gt;Weeks!$B$59),"date outside this workbook's year",IF(AND($D53="Advance",N($L53)&lt;0),"Warning: more than earned so far - worker now owes "&amp;TEXT(ROUND(-$L53,0),"#,##0"),"")))))))))</f>
        <v/>
      </c>
      <c r="N53" s="125" t="n"/>
      <c r="O53" s="126" t="n"/>
      <c r="P53" s="126" t="n"/>
      <c r="Q53" s="126" t="n"/>
      <c r="R53" s="126" t="n"/>
      <c r="S53" s="126" t="n"/>
      <c r="T53" s="126" t="n"/>
      <c r="U53" s="126" t="n"/>
      <c r="V53" s="126" t="n"/>
      <c r="W53" s="126" t="n"/>
      <c r="X53" s="126" t="n"/>
      <c r="Y53" s="126" t="n"/>
      <c r="Z53" s="126" t="n"/>
      <c r="AA53" s="126" t="n"/>
      <c r="AB53" s="126" t="n"/>
      <c r="AC53" s="126" t="n"/>
      <c r="AD53" s="126" t="n"/>
      <c r="AE53" s="126" t="n"/>
      <c r="AF53" s="126" t="n"/>
      <c r="AG53" s="126" t="n"/>
      <c r="AH53" s="126" t="n"/>
      <c r="AI53" s="126" t="n"/>
      <c r="AJ53" s="126" t="n"/>
      <c r="AK53" s="126" t="n"/>
      <c r="AL53" s="126" t="n"/>
      <c r="AM53" s="126" t="n"/>
      <c r="AN53" s="126" t="n"/>
    </row>
    <row r="54" ht="21" customFormat="1" customHeight="1" s="127">
      <c r="A54" s="51">
        <f>IF($B54="","",ROW()-6)</f>
        <v/>
      </c>
      <c r="B54" s="268" t="n"/>
      <c r="C54" s="133" t="n"/>
      <c r="D54" s="50" t="n"/>
      <c r="E54" s="265" t="n"/>
      <c r="F54" s="133" t="n"/>
      <c r="G54" s="133" t="n"/>
      <c r="H54" s="50" t="n"/>
      <c r="I54" s="51">
        <f>IF($C54="","",IFERROR(INDEX(WorkerIDs,MATCH($C54,WorkerNames,0)),"?"))</f>
        <v/>
      </c>
      <c r="J54" s="253">
        <f>IF($B54="","",$B54-WEEKDAY($B54,2)+1)</f>
        <v/>
      </c>
      <c r="K54" s="142">
        <f>IF(OR($I54="",$I54="?",$D54&lt;&gt;"Advance",$B54=""),"",$I54&amp;"|"&amp;$J54&amp;"|"&amp;COUNTIFS($I$7:$I54,$I54,$J$7:$J54,$J54,$D$7:$D54,"Advance"))</f>
        <v/>
      </c>
      <c r="L54" s="266">
        <f>IF(OR($I54="",$I54="?",$B54=""),"",SUMPRODUCT((Weeks!$A$7:$A$59&lt;=$J54)*(Weeks!$X$5:$AI$5=$I54)*Weeks!$X$7:$AI$59)-SUMIFS($E$7:$E$1006,$I$7:$I$1006,$I54,$B$7:$B$1006,"&lt;="&amp;$B54))</f>
        <v/>
      </c>
      <c r="M54" s="132">
        <f>IF($B54&amp;$C54&amp;$D54&amp;$E54="","",IF($B54="","missing date",IF($C54="","missing worker",IF($I54="?","unknown worker - was the name changed on Workers?",IF($D54="","missing type",IF(N($E54)=0,"missing amount",IF(AND($E54&lt;0,$D54&lt;&gt;"Correction"),"negative amount - use a Correction to undo",IF(OR($B54&lt;Weeks!$A$7,$B54&gt;Weeks!$B$59),"date outside this workbook's year",IF(AND($D54="Advance",N($L54)&lt;0),"Warning: more than earned so far - worker now owes "&amp;TEXT(ROUND(-$L54,0),"#,##0"),"")))))))))</f>
        <v/>
      </c>
      <c r="N54" s="125" t="n"/>
      <c r="O54" s="126" t="n"/>
      <c r="P54" s="126" t="n"/>
      <c r="Q54" s="126" t="n"/>
      <c r="R54" s="126" t="n"/>
      <c r="S54" s="126" t="n"/>
      <c r="T54" s="126" t="n"/>
      <c r="U54" s="126" t="n"/>
      <c r="V54" s="126" t="n"/>
      <c r="W54" s="126" t="n"/>
      <c r="X54" s="126" t="n"/>
      <c r="Y54" s="126" t="n"/>
      <c r="Z54" s="126" t="n"/>
      <c r="AA54" s="126" t="n"/>
      <c r="AB54" s="126" t="n"/>
      <c r="AC54" s="126" t="n"/>
      <c r="AD54" s="126" t="n"/>
      <c r="AE54" s="126" t="n"/>
      <c r="AF54" s="126" t="n"/>
      <c r="AG54" s="126" t="n"/>
      <c r="AH54" s="126" t="n"/>
      <c r="AI54" s="126" t="n"/>
      <c r="AJ54" s="126" t="n"/>
      <c r="AK54" s="126" t="n"/>
      <c r="AL54" s="126" t="n"/>
      <c r="AM54" s="126" t="n"/>
      <c r="AN54" s="126" t="n"/>
    </row>
    <row r="55" ht="21" customFormat="1" customHeight="1" s="127">
      <c r="A55" s="51">
        <f>IF($B55="","",ROW()-6)</f>
        <v/>
      </c>
      <c r="B55" s="268" t="n"/>
      <c r="C55" s="133" t="n"/>
      <c r="D55" s="50" t="n"/>
      <c r="E55" s="265" t="n"/>
      <c r="F55" s="133" t="n"/>
      <c r="G55" s="133" t="n"/>
      <c r="H55" s="50" t="n"/>
      <c r="I55" s="51">
        <f>IF($C55="","",IFERROR(INDEX(WorkerIDs,MATCH($C55,WorkerNames,0)),"?"))</f>
        <v/>
      </c>
      <c r="J55" s="253">
        <f>IF($B55="","",$B55-WEEKDAY($B55,2)+1)</f>
        <v/>
      </c>
      <c r="K55" s="142">
        <f>IF(OR($I55="",$I55="?",$D55&lt;&gt;"Advance",$B55=""),"",$I55&amp;"|"&amp;$J55&amp;"|"&amp;COUNTIFS($I$7:$I55,$I55,$J$7:$J55,$J55,$D$7:$D55,"Advance"))</f>
        <v/>
      </c>
      <c r="L55" s="266">
        <f>IF(OR($I55="",$I55="?",$B55=""),"",SUMPRODUCT((Weeks!$A$7:$A$59&lt;=$J55)*(Weeks!$X$5:$AI$5=$I55)*Weeks!$X$7:$AI$59)-SUMIFS($E$7:$E$1006,$I$7:$I$1006,$I55,$B$7:$B$1006,"&lt;="&amp;$B55))</f>
        <v/>
      </c>
      <c r="M55" s="132">
        <f>IF($B55&amp;$C55&amp;$D55&amp;$E55="","",IF($B55="","missing date",IF($C55="","missing worker",IF($I55="?","unknown worker - was the name changed on Workers?",IF($D55="","missing type",IF(N($E55)=0,"missing amount",IF(AND($E55&lt;0,$D55&lt;&gt;"Correction"),"negative amount - use a Correction to undo",IF(OR($B55&lt;Weeks!$A$7,$B55&gt;Weeks!$B$59),"date outside this workbook's year",IF(AND($D55="Advance",N($L55)&lt;0),"Warning: more than earned so far - worker now owes "&amp;TEXT(ROUND(-$L55,0),"#,##0"),"")))))))))</f>
        <v/>
      </c>
      <c r="N55" s="125" t="n"/>
      <c r="O55" s="126" t="n"/>
      <c r="P55" s="126" t="n"/>
      <c r="Q55" s="126" t="n"/>
      <c r="R55" s="126" t="n"/>
      <c r="S55" s="126" t="n"/>
      <c r="T55" s="126" t="n"/>
      <c r="U55" s="126" t="n"/>
      <c r="V55" s="126" t="n"/>
      <c r="W55" s="126" t="n"/>
      <c r="X55" s="126" t="n"/>
      <c r="Y55" s="126" t="n"/>
      <c r="Z55" s="126" t="n"/>
      <c r="AA55" s="126" t="n"/>
      <c r="AB55" s="126" t="n"/>
      <c r="AC55" s="126" t="n"/>
      <c r="AD55" s="126" t="n"/>
      <c r="AE55" s="126" t="n"/>
      <c r="AF55" s="126" t="n"/>
      <c r="AG55" s="126" t="n"/>
      <c r="AH55" s="126" t="n"/>
      <c r="AI55" s="126" t="n"/>
      <c r="AJ55" s="126" t="n"/>
      <c r="AK55" s="126" t="n"/>
      <c r="AL55" s="126" t="n"/>
      <c r="AM55" s="126" t="n"/>
      <c r="AN55" s="126" t="n"/>
    </row>
    <row r="56" ht="21" customFormat="1" customHeight="1" s="127">
      <c r="A56" s="51">
        <f>IF($B56="","",ROW()-6)</f>
        <v/>
      </c>
      <c r="B56" s="268" t="n"/>
      <c r="C56" s="133" t="n"/>
      <c r="D56" s="50" t="n"/>
      <c r="E56" s="265" t="n"/>
      <c r="F56" s="133" t="n"/>
      <c r="G56" s="133" t="n"/>
      <c r="H56" s="50" t="n"/>
      <c r="I56" s="51">
        <f>IF($C56="","",IFERROR(INDEX(WorkerIDs,MATCH($C56,WorkerNames,0)),"?"))</f>
        <v/>
      </c>
      <c r="J56" s="253">
        <f>IF($B56="","",$B56-WEEKDAY($B56,2)+1)</f>
        <v/>
      </c>
      <c r="K56" s="142">
        <f>IF(OR($I56="",$I56="?",$D56&lt;&gt;"Advance",$B56=""),"",$I56&amp;"|"&amp;$J56&amp;"|"&amp;COUNTIFS($I$7:$I56,$I56,$J$7:$J56,$J56,$D$7:$D56,"Advance"))</f>
        <v/>
      </c>
      <c r="L56" s="266">
        <f>IF(OR($I56="",$I56="?",$B56=""),"",SUMPRODUCT((Weeks!$A$7:$A$59&lt;=$J56)*(Weeks!$X$5:$AI$5=$I56)*Weeks!$X$7:$AI$59)-SUMIFS($E$7:$E$1006,$I$7:$I$1006,$I56,$B$7:$B$1006,"&lt;="&amp;$B56))</f>
        <v/>
      </c>
      <c r="M56" s="132">
        <f>IF($B56&amp;$C56&amp;$D56&amp;$E56="","",IF($B56="","missing date",IF($C56="","missing worker",IF($I56="?","unknown worker - was the name changed on Workers?",IF($D56="","missing type",IF(N($E56)=0,"missing amount",IF(AND($E56&lt;0,$D56&lt;&gt;"Correction"),"negative amount - use a Correction to undo",IF(OR($B56&lt;Weeks!$A$7,$B56&gt;Weeks!$B$59),"date outside this workbook's year",IF(AND($D56="Advance",N($L56)&lt;0),"Warning: more than earned so far - worker now owes "&amp;TEXT(ROUND(-$L56,0),"#,##0"),"")))))))))</f>
        <v/>
      </c>
      <c r="N56" s="125" t="n"/>
      <c r="O56" s="126" t="n"/>
      <c r="P56" s="126" t="n"/>
      <c r="Q56" s="126" t="n"/>
      <c r="R56" s="126" t="n"/>
      <c r="S56" s="126" t="n"/>
      <c r="T56" s="126" t="n"/>
      <c r="U56" s="126" t="n"/>
      <c r="V56" s="126" t="n"/>
      <c r="W56" s="126" t="n"/>
      <c r="X56" s="126" t="n"/>
      <c r="Y56" s="126" t="n"/>
      <c r="Z56" s="126" t="n"/>
      <c r="AA56" s="126" t="n"/>
      <c r="AB56" s="126" t="n"/>
      <c r="AC56" s="126" t="n"/>
      <c r="AD56" s="126" t="n"/>
      <c r="AE56" s="126" t="n"/>
      <c r="AF56" s="126" t="n"/>
      <c r="AG56" s="126" t="n"/>
      <c r="AH56" s="126" t="n"/>
      <c r="AI56" s="126" t="n"/>
      <c r="AJ56" s="126" t="n"/>
      <c r="AK56" s="126" t="n"/>
      <c r="AL56" s="126" t="n"/>
      <c r="AM56" s="126" t="n"/>
      <c r="AN56" s="126" t="n"/>
    </row>
    <row r="57" ht="21" customFormat="1" customHeight="1" s="127">
      <c r="A57" s="51">
        <f>IF($B57="","",ROW()-6)</f>
        <v/>
      </c>
      <c r="B57" s="268" t="n"/>
      <c r="C57" s="133" t="n"/>
      <c r="D57" s="50" t="n"/>
      <c r="E57" s="265" t="n"/>
      <c r="F57" s="133" t="n"/>
      <c r="G57" s="133" t="n"/>
      <c r="H57" s="50" t="n"/>
      <c r="I57" s="51">
        <f>IF($C57="","",IFERROR(INDEX(WorkerIDs,MATCH($C57,WorkerNames,0)),"?"))</f>
        <v/>
      </c>
      <c r="J57" s="253">
        <f>IF($B57="","",$B57-WEEKDAY($B57,2)+1)</f>
        <v/>
      </c>
      <c r="K57" s="142">
        <f>IF(OR($I57="",$I57="?",$D57&lt;&gt;"Advance",$B57=""),"",$I57&amp;"|"&amp;$J57&amp;"|"&amp;COUNTIFS($I$7:$I57,$I57,$J$7:$J57,$J57,$D$7:$D57,"Advance"))</f>
        <v/>
      </c>
      <c r="L57" s="266">
        <f>IF(OR($I57="",$I57="?",$B57=""),"",SUMPRODUCT((Weeks!$A$7:$A$59&lt;=$J57)*(Weeks!$X$5:$AI$5=$I57)*Weeks!$X$7:$AI$59)-SUMIFS($E$7:$E$1006,$I$7:$I$1006,$I57,$B$7:$B$1006,"&lt;="&amp;$B57))</f>
        <v/>
      </c>
      <c r="M57" s="132">
        <f>IF($B57&amp;$C57&amp;$D57&amp;$E57="","",IF($B57="","missing date",IF($C57="","missing worker",IF($I57="?","unknown worker - was the name changed on Workers?",IF($D57="","missing type",IF(N($E57)=0,"missing amount",IF(AND($E57&lt;0,$D57&lt;&gt;"Correction"),"negative amount - use a Correction to undo",IF(OR($B57&lt;Weeks!$A$7,$B57&gt;Weeks!$B$59),"date outside this workbook's year",IF(AND($D57="Advance",N($L57)&lt;0),"Warning: more than earned so far - worker now owes "&amp;TEXT(ROUND(-$L57,0),"#,##0"),"")))))))))</f>
        <v/>
      </c>
      <c r="N57" s="125" t="n"/>
      <c r="O57" s="126" t="n"/>
      <c r="P57" s="126" t="n"/>
      <c r="Q57" s="126" t="n"/>
      <c r="R57" s="126" t="n"/>
      <c r="S57" s="126" t="n"/>
      <c r="T57" s="126" t="n"/>
      <c r="U57" s="126" t="n"/>
      <c r="V57" s="126" t="n"/>
      <c r="W57" s="126" t="n"/>
      <c r="X57" s="126" t="n"/>
      <c r="Y57" s="126" t="n"/>
      <c r="Z57" s="126" t="n"/>
      <c r="AA57" s="126" t="n"/>
      <c r="AB57" s="126" t="n"/>
      <c r="AC57" s="126" t="n"/>
      <c r="AD57" s="126" t="n"/>
      <c r="AE57" s="126" t="n"/>
      <c r="AF57" s="126" t="n"/>
      <c r="AG57" s="126" t="n"/>
      <c r="AH57" s="126" t="n"/>
      <c r="AI57" s="126" t="n"/>
      <c r="AJ57" s="126" t="n"/>
      <c r="AK57" s="126" t="n"/>
      <c r="AL57" s="126" t="n"/>
      <c r="AM57" s="126" t="n"/>
      <c r="AN57" s="126" t="n"/>
    </row>
    <row r="58" ht="21" customFormat="1" customHeight="1" s="127">
      <c r="A58" s="51">
        <f>IF($B58="","",ROW()-6)</f>
        <v/>
      </c>
      <c r="B58" s="268" t="n"/>
      <c r="C58" s="133" t="n"/>
      <c r="D58" s="50" t="n"/>
      <c r="E58" s="265" t="n"/>
      <c r="F58" s="133" t="n"/>
      <c r="G58" s="133" t="n"/>
      <c r="H58" s="50" t="n"/>
      <c r="I58" s="51">
        <f>IF($C58="","",IFERROR(INDEX(WorkerIDs,MATCH($C58,WorkerNames,0)),"?"))</f>
        <v/>
      </c>
      <c r="J58" s="253">
        <f>IF($B58="","",$B58-WEEKDAY($B58,2)+1)</f>
        <v/>
      </c>
      <c r="K58" s="142">
        <f>IF(OR($I58="",$I58="?",$D58&lt;&gt;"Advance",$B58=""),"",$I58&amp;"|"&amp;$J58&amp;"|"&amp;COUNTIFS($I$7:$I58,$I58,$J$7:$J58,$J58,$D$7:$D58,"Advance"))</f>
        <v/>
      </c>
      <c r="L58" s="266">
        <f>IF(OR($I58="",$I58="?",$B58=""),"",SUMPRODUCT((Weeks!$A$7:$A$59&lt;=$J58)*(Weeks!$X$5:$AI$5=$I58)*Weeks!$X$7:$AI$59)-SUMIFS($E$7:$E$1006,$I$7:$I$1006,$I58,$B$7:$B$1006,"&lt;="&amp;$B58))</f>
        <v/>
      </c>
      <c r="M58" s="132">
        <f>IF($B58&amp;$C58&amp;$D58&amp;$E58="","",IF($B58="","missing date",IF($C58="","missing worker",IF($I58="?","unknown worker - was the name changed on Workers?",IF($D58="","missing type",IF(N($E58)=0,"missing amount",IF(AND($E58&lt;0,$D58&lt;&gt;"Correction"),"negative amount - use a Correction to undo",IF(OR($B58&lt;Weeks!$A$7,$B58&gt;Weeks!$B$59),"date outside this workbook's year",IF(AND($D58="Advance",N($L58)&lt;0),"Warning: more than earned so far - worker now owes "&amp;TEXT(ROUND(-$L58,0),"#,##0"),"")))))))))</f>
        <v/>
      </c>
      <c r="N58" s="125" t="n"/>
      <c r="O58" s="126" t="n"/>
      <c r="P58" s="126" t="n"/>
      <c r="Q58" s="126" t="n"/>
      <c r="R58" s="126" t="n"/>
      <c r="S58" s="126" t="n"/>
      <c r="T58" s="126" t="n"/>
      <c r="U58" s="126" t="n"/>
      <c r="V58" s="126" t="n"/>
      <c r="W58" s="126" t="n"/>
      <c r="X58" s="126" t="n"/>
      <c r="Y58" s="126" t="n"/>
      <c r="Z58" s="126" t="n"/>
      <c r="AA58" s="126" t="n"/>
      <c r="AB58" s="126" t="n"/>
      <c r="AC58" s="126" t="n"/>
      <c r="AD58" s="126" t="n"/>
      <c r="AE58" s="126" t="n"/>
      <c r="AF58" s="126" t="n"/>
      <c r="AG58" s="126" t="n"/>
      <c r="AH58" s="126" t="n"/>
      <c r="AI58" s="126" t="n"/>
      <c r="AJ58" s="126" t="n"/>
      <c r="AK58" s="126" t="n"/>
      <c r="AL58" s="126" t="n"/>
      <c r="AM58" s="126" t="n"/>
      <c r="AN58" s="126" t="n"/>
    </row>
    <row r="59" ht="21" customFormat="1" customHeight="1" s="127">
      <c r="A59" s="51">
        <f>IF($B59="","",ROW()-6)</f>
        <v/>
      </c>
      <c r="B59" s="268" t="n"/>
      <c r="C59" s="133" t="n"/>
      <c r="D59" s="50" t="n"/>
      <c r="E59" s="265" t="n"/>
      <c r="F59" s="133" t="n"/>
      <c r="G59" s="133" t="n"/>
      <c r="H59" s="50" t="n"/>
      <c r="I59" s="51">
        <f>IF($C59="","",IFERROR(INDEX(WorkerIDs,MATCH($C59,WorkerNames,0)),"?"))</f>
        <v/>
      </c>
      <c r="J59" s="253">
        <f>IF($B59="","",$B59-WEEKDAY($B59,2)+1)</f>
        <v/>
      </c>
      <c r="K59" s="142">
        <f>IF(OR($I59="",$I59="?",$D59&lt;&gt;"Advance",$B59=""),"",$I59&amp;"|"&amp;$J59&amp;"|"&amp;COUNTIFS($I$7:$I59,$I59,$J$7:$J59,$J59,$D$7:$D59,"Advance"))</f>
        <v/>
      </c>
      <c r="L59" s="266">
        <f>IF(OR($I59="",$I59="?",$B59=""),"",SUMPRODUCT((Weeks!$A$7:$A$59&lt;=$J59)*(Weeks!$X$5:$AI$5=$I59)*Weeks!$X$7:$AI$59)-SUMIFS($E$7:$E$1006,$I$7:$I$1006,$I59,$B$7:$B$1006,"&lt;="&amp;$B59))</f>
        <v/>
      </c>
      <c r="M59" s="132">
        <f>IF($B59&amp;$C59&amp;$D59&amp;$E59="","",IF($B59="","missing date",IF($C59="","missing worker",IF($I59="?","unknown worker - was the name changed on Workers?",IF($D59="","missing type",IF(N($E59)=0,"missing amount",IF(AND($E59&lt;0,$D59&lt;&gt;"Correction"),"negative amount - use a Correction to undo",IF(OR($B59&lt;Weeks!$A$7,$B59&gt;Weeks!$B$59),"date outside this workbook's year",IF(AND($D59="Advance",N($L59)&lt;0),"Warning: more than earned so far - worker now owes "&amp;TEXT(ROUND(-$L59,0),"#,##0"),"")))))))))</f>
        <v/>
      </c>
      <c r="N59" s="125" t="n"/>
      <c r="O59" s="126" t="n"/>
      <c r="P59" s="126" t="n"/>
      <c r="Q59" s="126" t="n"/>
      <c r="R59" s="126" t="n"/>
      <c r="S59" s="126" t="n"/>
      <c r="T59" s="126" t="n"/>
      <c r="U59" s="126" t="n"/>
      <c r="V59" s="126" t="n"/>
      <c r="W59" s="126" t="n"/>
      <c r="X59" s="126" t="n"/>
      <c r="Y59" s="126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  <c r="AN59" s="126" t="n"/>
    </row>
    <row r="60" ht="21" customFormat="1" customHeight="1" s="127">
      <c r="A60" s="51">
        <f>IF($B60="","",ROW()-6)</f>
        <v/>
      </c>
      <c r="B60" s="268" t="n"/>
      <c r="C60" s="133" t="n"/>
      <c r="D60" s="50" t="n"/>
      <c r="E60" s="265" t="n"/>
      <c r="F60" s="133" t="n"/>
      <c r="G60" s="133" t="n"/>
      <c r="H60" s="50" t="n"/>
      <c r="I60" s="51">
        <f>IF($C60="","",IFERROR(INDEX(WorkerIDs,MATCH($C60,WorkerNames,0)),"?"))</f>
        <v/>
      </c>
      <c r="J60" s="253">
        <f>IF($B60="","",$B60-WEEKDAY($B60,2)+1)</f>
        <v/>
      </c>
      <c r="K60" s="142">
        <f>IF(OR($I60="",$I60="?",$D60&lt;&gt;"Advance",$B60=""),"",$I60&amp;"|"&amp;$J60&amp;"|"&amp;COUNTIFS($I$7:$I60,$I60,$J$7:$J60,$J60,$D$7:$D60,"Advance"))</f>
        <v/>
      </c>
      <c r="L60" s="266">
        <f>IF(OR($I60="",$I60="?",$B60=""),"",SUMPRODUCT((Weeks!$A$7:$A$59&lt;=$J60)*(Weeks!$X$5:$AI$5=$I60)*Weeks!$X$7:$AI$59)-SUMIFS($E$7:$E$1006,$I$7:$I$1006,$I60,$B$7:$B$1006,"&lt;="&amp;$B60))</f>
        <v/>
      </c>
      <c r="M60" s="132">
        <f>IF($B60&amp;$C60&amp;$D60&amp;$E60="","",IF($B60="","missing date",IF($C60="","missing worker",IF($I60="?","unknown worker - was the name changed on Workers?",IF($D60="","missing type",IF(N($E60)=0,"missing amount",IF(AND($E60&lt;0,$D60&lt;&gt;"Correction"),"negative amount - use a Correction to undo",IF(OR($B60&lt;Weeks!$A$7,$B60&gt;Weeks!$B$59),"date outside this workbook's year",IF(AND($D60="Advance",N($L60)&lt;0),"Warning: more than earned so far - worker now owes "&amp;TEXT(ROUND(-$L60,0),"#,##0"),"")))))))))</f>
        <v/>
      </c>
      <c r="N60" s="125" t="n"/>
      <c r="O60" s="126" t="n"/>
      <c r="P60" s="126" t="n"/>
      <c r="Q60" s="126" t="n"/>
      <c r="R60" s="126" t="n"/>
      <c r="S60" s="126" t="n"/>
      <c r="T60" s="126" t="n"/>
      <c r="U60" s="126" t="n"/>
      <c r="V60" s="126" t="n"/>
      <c r="W60" s="126" t="n"/>
      <c r="X60" s="126" t="n"/>
      <c r="Y60" s="126" t="n"/>
      <c r="Z60" s="126" t="n"/>
      <c r="AA60" s="126" t="n"/>
      <c r="AB60" s="126" t="n"/>
      <c r="AC60" s="126" t="n"/>
      <c r="AD60" s="126" t="n"/>
      <c r="AE60" s="126" t="n"/>
      <c r="AF60" s="126" t="n"/>
      <c r="AG60" s="126" t="n"/>
      <c r="AH60" s="126" t="n"/>
      <c r="AI60" s="126" t="n"/>
      <c r="AJ60" s="126" t="n"/>
      <c r="AK60" s="126" t="n"/>
      <c r="AL60" s="126" t="n"/>
      <c r="AM60" s="126" t="n"/>
      <c r="AN60" s="126" t="n"/>
    </row>
    <row r="61" ht="21" customFormat="1" customHeight="1" s="127">
      <c r="A61" s="51">
        <f>IF($B61="","",ROW()-6)</f>
        <v/>
      </c>
      <c r="B61" s="268" t="n"/>
      <c r="C61" s="133" t="n"/>
      <c r="D61" s="50" t="n"/>
      <c r="E61" s="265" t="n"/>
      <c r="F61" s="133" t="n"/>
      <c r="G61" s="133" t="n"/>
      <c r="H61" s="50" t="n"/>
      <c r="I61" s="51">
        <f>IF($C61="","",IFERROR(INDEX(WorkerIDs,MATCH($C61,WorkerNames,0)),"?"))</f>
        <v/>
      </c>
      <c r="J61" s="253">
        <f>IF($B61="","",$B61-WEEKDAY($B61,2)+1)</f>
        <v/>
      </c>
      <c r="K61" s="142">
        <f>IF(OR($I61="",$I61="?",$D61&lt;&gt;"Advance",$B61=""),"",$I61&amp;"|"&amp;$J61&amp;"|"&amp;COUNTIFS($I$7:$I61,$I61,$J$7:$J61,$J61,$D$7:$D61,"Advance"))</f>
        <v/>
      </c>
      <c r="L61" s="266">
        <f>IF(OR($I61="",$I61="?",$B61=""),"",SUMPRODUCT((Weeks!$A$7:$A$59&lt;=$J61)*(Weeks!$X$5:$AI$5=$I61)*Weeks!$X$7:$AI$59)-SUMIFS($E$7:$E$1006,$I$7:$I$1006,$I61,$B$7:$B$1006,"&lt;="&amp;$B61))</f>
        <v/>
      </c>
      <c r="M61" s="132">
        <f>IF($B61&amp;$C61&amp;$D61&amp;$E61="","",IF($B61="","missing date",IF($C61="","missing worker",IF($I61="?","unknown worker - was the name changed on Workers?",IF($D61="","missing type",IF(N($E61)=0,"missing amount",IF(AND($E61&lt;0,$D61&lt;&gt;"Correction"),"negative amount - use a Correction to undo",IF(OR($B61&lt;Weeks!$A$7,$B61&gt;Weeks!$B$59),"date outside this workbook's year",IF(AND($D61="Advance",N($L61)&lt;0),"Warning: more than earned so far - worker now owes "&amp;TEXT(ROUND(-$L61,0),"#,##0"),"")))))))))</f>
        <v/>
      </c>
      <c r="N61" s="125" t="n"/>
      <c r="O61" s="126" t="n"/>
      <c r="P61" s="126" t="n"/>
      <c r="Q61" s="126" t="n"/>
      <c r="R61" s="126" t="n"/>
      <c r="S61" s="126" t="n"/>
      <c r="T61" s="126" t="n"/>
      <c r="U61" s="126" t="n"/>
      <c r="V61" s="126" t="n"/>
      <c r="W61" s="126" t="n"/>
      <c r="X61" s="126" t="n"/>
      <c r="Y61" s="126" t="n"/>
      <c r="Z61" s="126" t="n"/>
      <c r="AA61" s="126" t="n"/>
      <c r="AB61" s="126" t="n"/>
      <c r="AC61" s="126" t="n"/>
      <c r="AD61" s="126" t="n"/>
      <c r="AE61" s="126" t="n"/>
      <c r="AF61" s="126" t="n"/>
      <c r="AG61" s="126" t="n"/>
      <c r="AH61" s="126" t="n"/>
      <c r="AI61" s="126" t="n"/>
      <c r="AJ61" s="126" t="n"/>
      <c r="AK61" s="126" t="n"/>
      <c r="AL61" s="126" t="n"/>
      <c r="AM61" s="126" t="n"/>
      <c r="AN61" s="126" t="n"/>
    </row>
    <row r="62" ht="21" customFormat="1" customHeight="1" s="127">
      <c r="A62" s="51">
        <f>IF($B62="","",ROW()-6)</f>
        <v/>
      </c>
      <c r="B62" s="268" t="n"/>
      <c r="C62" s="133" t="n"/>
      <c r="D62" s="50" t="n"/>
      <c r="E62" s="265" t="n"/>
      <c r="F62" s="133" t="n"/>
      <c r="G62" s="133" t="n"/>
      <c r="H62" s="50" t="n"/>
      <c r="I62" s="51">
        <f>IF($C62="","",IFERROR(INDEX(WorkerIDs,MATCH($C62,WorkerNames,0)),"?"))</f>
        <v/>
      </c>
      <c r="J62" s="253">
        <f>IF($B62="","",$B62-WEEKDAY($B62,2)+1)</f>
        <v/>
      </c>
      <c r="K62" s="142">
        <f>IF(OR($I62="",$I62="?",$D62&lt;&gt;"Advance",$B62=""),"",$I62&amp;"|"&amp;$J62&amp;"|"&amp;COUNTIFS($I$7:$I62,$I62,$J$7:$J62,$J62,$D$7:$D62,"Advance"))</f>
        <v/>
      </c>
      <c r="L62" s="266">
        <f>IF(OR($I62="",$I62="?",$B62=""),"",SUMPRODUCT((Weeks!$A$7:$A$59&lt;=$J62)*(Weeks!$X$5:$AI$5=$I62)*Weeks!$X$7:$AI$59)-SUMIFS($E$7:$E$1006,$I$7:$I$1006,$I62,$B$7:$B$1006,"&lt;="&amp;$B62))</f>
        <v/>
      </c>
      <c r="M62" s="132">
        <f>IF($B62&amp;$C62&amp;$D62&amp;$E62="","",IF($B62="","missing date",IF($C62="","missing worker",IF($I62="?","unknown worker - was the name changed on Workers?",IF($D62="","missing type",IF(N($E62)=0,"missing amount",IF(AND($E62&lt;0,$D62&lt;&gt;"Correction"),"negative amount - use a Correction to undo",IF(OR($B62&lt;Weeks!$A$7,$B62&gt;Weeks!$B$59),"date outside this workbook's year",IF(AND($D62="Advance",N($L62)&lt;0),"Warning: more than earned so far - worker now owes "&amp;TEXT(ROUND(-$L62,0),"#,##0"),"")))))))))</f>
        <v/>
      </c>
      <c r="N62" s="125" t="n"/>
      <c r="O62" s="126" t="n"/>
      <c r="P62" s="126" t="n"/>
      <c r="Q62" s="126" t="n"/>
      <c r="R62" s="126" t="n"/>
      <c r="S62" s="126" t="n"/>
      <c r="T62" s="126" t="n"/>
      <c r="U62" s="126" t="n"/>
      <c r="V62" s="126" t="n"/>
      <c r="W62" s="126" t="n"/>
      <c r="X62" s="126" t="n"/>
      <c r="Y62" s="126" t="n"/>
      <c r="Z62" s="126" t="n"/>
      <c r="AA62" s="126" t="n"/>
      <c r="AB62" s="126" t="n"/>
      <c r="AC62" s="126" t="n"/>
      <c r="AD62" s="126" t="n"/>
      <c r="AE62" s="126" t="n"/>
      <c r="AF62" s="126" t="n"/>
      <c r="AG62" s="126" t="n"/>
      <c r="AH62" s="126" t="n"/>
      <c r="AI62" s="126" t="n"/>
      <c r="AJ62" s="126" t="n"/>
      <c r="AK62" s="126" t="n"/>
      <c r="AL62" s="126" t="n"/>
      <c r="AM62" s="126" t="n"/>
      <c r="AN62" s="126" t="n"/>
    </row>
    <row r="63" ht="21" customFormat="1" customHeight="1" s="127">
      <c r="A63" s="51">
        <f>IF($B63="","",ROW()-6)</f>
        <v/>
      </c>
      <c r="B63" s="268" t="n"/>
      <c r="C63" s="133" t="n"/>
      <c r="D63" s="50" t="n"/>
      <c r="E63" s="265" t="n"/>
      <c r="F63" s="133" t="n"/>
      <c r="G63" s="133" t="n"/>
      <c r="H63" s="50" t="n"/>
      <c r="I63" s="51">
        <f>IF($C63="","",IFERROR(INDEX(WorkerIDs,MATCH($C63,WorkerNames,0)),"?"))</f>
        <v/>
      </c>
      <c r="J63" s="253">
        <f>IF($B63="","",$B63-WEEKDAY($B63,2)+1)</f>
        <v/>
      </c>
      <c r="K63" s="142">
        <f>IF(OR($I63="",$I63="?",$D63&lt;&gt;"Advance",$B63=""),"",$I63&amp;"|"&amp;$J63&amp;"|"&amp;COUNTIFS($I$7:$I63,$I63,$J$7:$J63,$J63,$D$7:$D63,"Advance"))</f>
        <v/>
      </c>
      <c r="L63" s="266">
        <f>IF(OR($I63="",$I63="?",$B63=""),"",SUMPRODUCT((Weeks!$A$7:$A$59&lt;=$J63)*(Weeks!$X$5:$AI$5=$I63)*Weeks!$X$7:$AI$59)-SUMIFS($E$7:$E$1006,$I$7:$I$1006,$I63,$B$7:$B$1006,"&lt;="&amp;$B63))</f>
        <v/>
      </c>
      <c r="M63" s="132">
        <f>IF($B63&amp;$C63&amp;$D63&amp;$E63="","",IF($B63="","missing date",IF($C63="","missing worker",IF($I63="?","unknown worker - was the name changed on Workers?",IF($D63="","missing type",IF(N($E63)=0,"missing amount",IF(AND($E63&lt;0,$D63&lt;&gt;"Correction"),"negative amount - use a Correction to undo",IF(OR($B63&lt;Weeks!$A$7,$B63&gt;Weeks!$B$59),"date outside this workbook's year",IF(AND($D63="Advance",N($L63)&lt;0),"Warning: more than earned so far - worker now owes "&amp;TEXT(ROUND(-$L63,0),"#,##0"),"")))))))))</f>
        <v/>
      </c>
      <c r="N63" s="125" t="n"/>
      <c r="O63" s="126" t="n"/>
      <c r="P63" s="126" t="n"/>
      <c r="Q63" s="126" t="n"/>
      <c r="R63" s="126" t="n"/>
      <c r="S63" s="126" t="n"/>
      <c r="T63" s="126" t="n"/>
      <c r="U63" s="126" t="n"/>
      <c r="V63" s="126" t="n"/>
      <c r="W63" s="126" t="n"/>
      <c r="X63" s="126" t="n"/>
      <c r="Y63" s="126" t="n"/>
      <c r="Z63" s="126" t="n"/>
      <c r="AA63" s="126" t="n"/>
      <c r="AB63" s="126" t="n"/>
      <c r="AC63" s="126" t="n"/>
      <c r="AD63" s="126" t="n"/>
      <c r="AE63" s="126" t="n"/>
      <c r="AF63" s="126" t="n"/>
      <c r="AG63" s="126" t="n"/>
      <c r="AH63" s="126" t="n"/>
      <c r="AI63" s="126" t="n"/>
      <c r="AJ63" s="126" t="n"/>
      <c r="AK63" s="126" t="n"/>
      <c r="AL63" s="126" t="n"/>
      <c r="AM63" s="126" t="n"/>
      <c r="AN63" s="126" t="n"/>
    </row>
    <row r="64" ht="21" customFormat="1" customHeight="1" s="127">
      <c r="A64" s="51">
        <f>IF($B64="","",ROW()-6)</f>
        <v/>
      </c>
      <c r="B64" s="268" t="n"/>
      <c r="C64" s="133" t="n"/>
      <c r="D64" s="50" t="n"/>
      <c r="E64" s="265" t="n"/>
      <c r="F64" s="133" t="n"/>
      <c r="G64" s="133" t="n"/>
      <c r="H64" s="50" t="n"/>
      <c r="I64" s="51">
        <f>IF($C64="","",IFERROR(INDEX(WorkerIDs,MATCH($C64,WorkerNames,0)),"?"))</f>
        <v/>
      </c>
      <c r="J64" s="253">
        <f>IF($B64="","",$B64-WEEKDAY($B64,2)+1)</f>
        <v/>
      </c>
      <c r="K64" s="142">
        <f>IF(OR($I64="",$I64="?",$D64&lt;&gt;"Advance",$B64=""),"",$I64&amp;"|"&amp;$J64&amp;"|"&amp;COUNTIFS($I$7:$I64,$I64,$J$7:$J64,$J64,$D$7:$D64,"Advance"))</f>
        <v/>
      </c>
      <c r="L64" s="266">
        <f>IF(OR($I64="",$I64="?",$B64=""),"",SUMPRODUCT((Weeks!$A$7:$A$59&lt;=$J64)*(Weeks!$X$5:$AI$5=$I64)*Weeks!$X$7:$AI$59)-SUMIFS($E$7:$E$1006,$I$7:$I$1006,$I64,$B$7:$B$1006,"&lt;="&amp;$B64))</f>
        <v/>
      </c>
      <c r="M64" s="132">
        <f>IF($B64&amp;$C64&amp;$D64&amp;$E64="","",IF($B64="","missing date",IF($C64="","missing worker",IF($I64="?","unknown worker - was the name changed on Workers?",IF($D64="","missing type",IF(N($E64)=0,"missing amount",IF(AND($E64&lt;0,$D64&lt;&gt;"Correction"),"negative amount - use a Correction to undo",IF(OR($B64&lt;Weeks!$A$7,$B64&gt;Weeks!$B$59),"date outside this workbook's year",IF(AND($D64="Advance",N($L64)&lt;0),"Warning: more than earned so far - worker now owes "&amp;TEXT(ROUND(-$L64,0),"#,##0"),"")))))))))</f>
        <v/>
      </c>
      <c r="N64" s="125" t="n"/>
      <c r="O64" s="126" t="n"/>
      <c r="P64" s="126" t="n"/>
      <c r="Q64" s="126" t="n"/>
      <c r="R64" s="126" t="n"/>
      <c r="S64" s="126" t="n"/>
      <c r="T64" s="126" t="n"/>
      <c r="U64" s="126" t="n"/>
      <c r="V64" s="126" t="n"/>
      <c r="W64" s="126" t="n"/>
      <c r="X64" s="126" t="n"/>
      <c r="Y64" s="126" t="n"/>
      <c r="Z64" s="126" t="n"/>
      <c r="AA64" s="126" t="n"/>
      <c r="AB64" s="126" t="n"/>
      <c r="AC64" s="126" t="n"/>
      <c r="AD64" s="126" t="n"/>
      <c r="AE64" s="126" t="n"/>
      <c r="AF64" s="126" t="n"/>
      <c r="AG64" s="126" t="n"/>
      <c r="AH64" s="126" t="n"/>
      <c r="AI64" s="126" t="n"/>
      <c r="AJ64" s="126" t="n"/>
      <c r="AK64" s="126" t="n"/>
      <c r="AL64" s="126" t="n"/>
      <c r="AM64" s="126" t="n"/>
      <c r="AN64" s="126" t="n"/>
    </row>
    <row r="65" ht="21" customFormat="1" customHeight="1" s="127">
      <c r="A65" s="51">
        <f>IF($B65="","",ROW()-6)</f>
        <v/>
      </c>
      <c r="B65" s="268" t="n"/>
      <c r="C65" s="133" t="n"/>
      <c r="D65" s="50" t="n"/>
      <c r="E65" s="265" t="n"/>
      <c r="F65" s="133" t="n"/>
      <c r="G65" s="133" t="n"/>
      <c r="H65" s="50" t="n"/>
      <c r="I65" s="51">
        <f>IF($C65="","",IFERROR(INDEX(WorkerIDs,MATCH($C65,WorkerNames,0)),"?"))</f>
        <v/>
      </c>
      <c r="J65" s="253">
        <f>IF($B65="","",$B65-WEEKDAY($B65,2)+1)</f>
        <v/>
      </c>
      <c r="K65" s="142">
        <f>IF(OR($I65="",$I65="?",$D65&lt;&gt;"Advance",$B65=""),"",$I65&amp;"|"&amp;$J65&amp;"|"&amp;COUNTIFS($I$7:$I65,$I65,$J$7:$J65,$J65,$D$7:$D65,"Advance"))</f>
        <v/>
      </c>
      <c r="L65" s="266">
        <f>IF(OR($I65="",$I65="?",$B65=""),"",SUMPRODUCT((Weeks!$A$7:$A$59&lt;=$J65)*(Weeks!$X$5:$AI$5=$I65)*Weeks!$X$7:$AI$59)-SUMIFS($E$7:$E$1006,$I$7:$I$1006,$I65,$B$7:$B$1006,"&lt;="&amp;$B65))</f>
        <v/>
      </c>
      <c r="M65" s="132">
        <f>IF($B65&amp;$C65&amp;$D65&amp;$E65="","",IF($B65="","missing date",IF($C65="","missing worker",IF($I65="?","unknown worker - was the name changed on Workers?",IF($D65="","missing type",IF(N($E65)=0,"missing amount",IF(AND($E65&lt;0,$D65&lt;&gt;"Correction"),"negative amount - use a Correction to undo",IF(OR($B65&lt;Weeks!$A$7,$B65&gt;Weeks!$B$59),"date outside this workbook's year",IF(AND($D65="Advance",N($L65)&lt;0),"Warning: more than earned so far - worker now owes "&amp;TEXT(ROUND(-$L65,0),"#,##0"),"")))))))))</f>
        <v/>
      </c>
      <c r="N65" s="125" t="n"/>
      <c r="O65" s="126" t="n"/>
      <c r="P65" s="126" t="n"/>
      <c r="Q65" s="126" t="n"/>
      <c r="R65" s="126" t="n"/>
      <c r="S65" s="126" t="n"/>
      <c r="T65" s="126" t="n"/>
      <c r="U65" s="126" t="n"/>
      <c r="V65" s="126" t="n"/>
      <c r="W65" s="126" t="n"/>
      <c r="X65" s="126" t="n"/>
      <c r="Y65" s="126" t="n"/>
      <c r="Z65" s="126" t="n"/>
      <c r="AA65" s="126" t="n"/>
      <c r="AB65" s="126" t="n"/>
      <c r="AC65" s="126" t="n"/>
      <c r="AD65" s="126" t="n"/>
      <c r="AE65" s="126" t="n"/>
      <c r="AF65" s="126" t="n"/>
      <c r="AG65" s="126" t="n"/>
      <c r="AH65" s="126" t="n"/>
      <c r="AI65" s="126" t="n"/>
      <c r="AJ65" s="126" t="n"/>
      <c r="AK65" s="126" t="n"/>
      <c r="AL65" s="126" t="n"/>
      <c r="AM65" s="126" t="n"/>
      <c r="AN65" s="126" t="n"/>
    </row>
    <row r="66" ht="21" customFormat="1" customHeight="1" s="127">
      <c r="A66" s="51">
        <f>IF($B66="","",ROW()-6)</f>
        <v/>
      </c>
      <c r="B66" s="268" t="n"/>
      <c r="C66" s="133" t="n"/>
      <c r="D66" s="50" t="n"/>
      <c r="E66" s="265" t="n"/>
      <c r="F66" s="133" t="n"/>
      <c r="G66" s="133" t="n"/>
      <c r="H66" s="50" t="n"/>
      <c r="I66" s="51">
        <f>IF($C66="","",IFERROR(INDEX(WorkerIDs,MATCH($C66,WorkerNames,0)),"?"))</f>
        <v/>
      </c>
      <c r="J66" s="253">
        <f>IF($B66="","",$B66-WEEKDAY($B66,2)+1)</f>
        <v/>
      </c>
      <c r="K66" s="142">
        <f>IF(OR($I66="",$I66="?",$D66&lt;&gt;"Advance",$B66=""),"",$I66&amp;"|"&amp;$J66&amp;"|"&amp;COUNTIFS($I$7:$I66,$I66,$J$7:$J66,$J66,$D$7:$D66,"Advance"))</f>
        <v/>
      </c>
      <c r="L66" s="266">
        <f>IF(OR($I66="",$I66="?",$B66=""),"",SUMPRODUCT((Weeks!$A$7:$A$59&lt;=$J66)*(Weeks!$X$5:$AI$5=$I66)*Weeks!$X$7:$AI$59)-SUMIFS($E$7:$E$1006,$I$7:$I$1006,$I66,$B$7:$B$1006,"&lt;="&amp;$B66))</f>
        <v/>
      </c>
      <c r="M66" s="132">
        <f>IF($B66&amp;$C66&amp;$D66&amp;$E66="","",IF($B66="","missing date",IF($C66="","missing worker",IF($I66="?","unknown worker - was the name changed on Workers?",IF($D66="","missing type",IF(N($E66)=0,"missing amount",IF(AND($E66&lt;0,$D66&lt;&gt;"Correction"),"negative amount - use a Correction to undo",IF(OR($B66&lt;Weeks!$A$7,$B66&gt;Weeks!$B$59),"date outside this workbook's year",IF(AND($D66="Advance",N($L66)&lt;0),"Warning: more than earned so far - worker now owes "&amp;TEXT(ROUND(-$L66,0),"#,##0"),"")))))))))</f>
        <v/>
      </c>
      <c r="N66" s="125" t="n"/>
      <c r="O66" s="126" t="n"/>
      <c r="P66" s="126" t="n"/>
      <c r="Q66" s="126" t="n"/>
      <c r="R66" s="126" t="n"/>
      <c r="S66" s="126" t="n"/>
      <c r="T66" s="126" t="n"/>
      <c r="U66" s="126" t="n"/>
      <c r="V66" s="126" t="n"/>
      <c r="W66" s="126" t="n"/>
      <c r="X66" s="126" t="n"/>
      <c r="Y66" s="126" t="n"/>
      <c r="Z66" s="126" t="n"/>
      <c r="AA66" s="126" t="n"/>
      <c r="AB66" s="126" t="n"/>
      <c r="AC66" s="126" t="n"/>
      <c r="AD66" s="126" t="n"/>
      <c r="AE66" s="126" t="n"/>
      <c r="AF66" s="126" t="n"/>
      <c r="AG66" s="126" t="n"/>
      <c r="AH66" s="126" t="n"/>
      <c r="AI66" s="126" t="n"/>
      <c r="AJ66" s="126" t="n"/>
      <c r="AK66" s="126" t="n"/>
      <c r="AL66" s="126" t="n"/>
      <c r="AM66" s="126" t="n"/>
      <c r="AN66" s="126" t="n"/>
    </row>
    <row r="67" ht="21" customFormat="1" customHeight="1" s="127">
      <c r="A67" s="51">
        <f>IF($B67="","",ROW()-6)</f>
        <v/>
      </c>
      <c r="B67" s="268" t="n"/>
      <c r="C67" s="133" t="n"/>
      <c r="D67" s="50" t="n"/>
      <c r="E67" s="265" t="n"/>
      <c r="F67" s="133" t="n"/>
      <c r="G67" s="133" t="n"/>
      <c r="H67" s="50" t="n"/>
      <c r="I67" s="51">
        <f>IF($C67="","",IFERROR(INDEX(WorkerIDs,MATCH($C67,WorkerNames,0)),"?"))</f>
        <v/>
      </c>
      <c r="J67" s="253">
        <f>IF($B67="","",$B67-WEEKDAY($B67,2)+1)</f>
        <v/>
      </c>
      <c r="K67" s="142">
        <f>IF(OR($I67="",$I67="?",$D67&lt;&gt;"Advance",$B67=""),"",$I67&amp;"|"&amp;$J67&amp;"|"&amp;COUNTIFS($I$7:$I67,$I67,$J$7:$J67,$J67,$D$7:$D67,"Advance"))</f>
        <v/>
      </c>
      <c r="L67" s="266">
        <f>IF(OR($I67="",$I67="?",$B67=""),"",SUMPRODUCT((Weeks!$A$7:$A$59&lt;=$J67)*(Weeks!$X$5:$AI$5=$I67)*Weeks!$X$7:$AI$59)-SUMIFS($E$7:$E$1006,$I$7:$I$1006,$I67,$B$7:$B$1006,"&lt;="&amp;$B67))</f>
        <v/>
      </c>
      <c r="M67" s="132">
        <f>IF($B67&amp;$C67&amp;$D67&amp;$E67="","",IF($B67="","missing date",IF($C67="","missing worker",IF($I67="?","unknown worker - was the name changed on Workers?",IF($D67="","missing type",IF(N($E67)=0,"missing amount",IF(AND($E67&lt;0,$D67&lt;&gt;"Correction"),"negative amount - use a Correction to undo",IF(OR($B67&lt;Weeks!$A$7,$B67&gt;Weeks!$B$59),"date outside this workbook's year",IF(AND($D67="Advance",N($L67)&lt;0),"Warning: more than earned so far - worker now owes "&amp;TEXT(ROUND(-$L67,0),"#,##0"),"")))))))))</f>
        <v/>
      </c>
      <c r="N67" s="125" t="n"/>
      <c r="O67" s="126" t="n"/>
      <c r="P67" s="126" t="n"/>
      <c r="Q67" s="126" t="n"/>
      <c r="R67" s="126" t="n"/>
      <c r="S67" s="126" t="n"/>
      <c r="T67" s="126" t="n"/>
      <c r="U67" s="126" t="n"/>
      <c r="V67" s="126" t="n"/>
      <c r="W67" s="126" t="n"/>
      <c r="X67" s="126" t="n"/>
      <c r="Y67" s="126" t="n"/>
      <c r="Z67" s="126" t="n"/>
      <c r="AA67" s="126" t="n"/>
      <c r="AB67" s="126" t="n"/>
      <c r="AC67" s="126" t="n"/>
      <c r="AD67" s="126" t="n"/>
      <c r="AE67" s="126" t="n"/>
      <c r="AF67" s="126" t="n"/>
      <c r="AG67" s="126" t="n"/>
      <c r="AH67" s="126" t="n"/>
      <c r="AI67" s="126" t="n"/>
      <c r="AJ67" s="126" t="n"/>
      <c r="AK67" s="126" t="n"/>
      <c r="AL67" s="126" t="n"/>
      <c r="AM67" s="126" t="n"/>
      <c r="AN67" s="126" t="n"/>
    </row>
    <row r="68" ht="21" customFormat="1" customHeight="1" s="127">
      <c r="A68" s="51">
        <f>IF($B68="","",ROW()-6)</f>
        <v/>
      </c>
      <c r="B68" s="268" t="n"/>
      <c r="C68" s="133" t="n"/>
      <c r="D68" s="50" t="n"/>
      <c r="E68" s="265" t="n"/>
      <c r="F68" s="133" t="n"/>
      <c r="G68" s="133" t="n"/>
      <c r="H68" s="50" t="n"/>
      <c r="I68" s="51">
        <f>IF($C68="","",IFERROR(INDEX(WorkerIDs,MATCH($C68,WorkerNames,0)),"?"))</f>
        <v/>
      </c>
      <c r="J68" s="253">
        <f>IF($B68="","",$B68-WEEKDAY($B68,2)+1)</f>
        <v/>
      </c>
      <c r="K68" s="142">
        <f>IF(OR($I68="",$I68="?",$D68&lt;&gt;"Advance",$B68=""),"",$I68&amp;"|"&amp;$J68&amp;"|"&amp;COUNTIFS($I$7:$I68,$I68,$J$7:$J68,$J68,$D$7:$D68,"Advance"))</f>
        <v/>
      </c>
      <c r="L68" s="266">
        <f>IF(OR($I68="",$I68="?",$B68=""),"",SUMPRODUCT((Weeks!$A$7:$A$59&lt;=$J68)*(Weeks!$X$5:$AI$5=$I68)*Weeks!$X$7:$AI$59)-SUMIFS($E$7:$E$1006,$I$7:$I$1006,$I68,$B$7:$B$1006,"&lt;="&amp;$B68))</f>
        <v/>
      </c>
      <c r="M68" s="132">
        <f>IF($B68&amp;$C68&amp;$D68&amp;$E68="","",IF($B68="","missing date",IF($C68="","missing worker",IF($I68="?","unknown worker - was the name changed on Workers?",IF($D68="","missing type",IF(N($E68)=0,"missing amount",IF(AND($E68&lt;0,$D68&lt;&gt;"Correction"),"negative amount - use a Correction to undo",IF(OR($B68&lt;Weeks!$A$7,$B68&gt;Weeks!$B$59),"date outside this workbook's year",IF(AND($D68="Advance",N($L68)&lt;0),"Warning: more than earned so far - worker now owes "&amp;TEXT(ROUND(-$L68,0),"#,##0"),"")))))))))</f>
        <v/>
      </c>
      <c r="N68" s="125" t="n"/>
      <c r="O68" s="126" t="n"/>
      <c r="P68" s="126" t="n"/>
      <c r="Q68" s="126" t="n"/>
      <c r="R68" s="126" t="n"/>
      <c r="S68" s="126" t="n"/>
      <c r="T68" s="126" t="n"/>
      <c r="U68" s="126" t="n"/>
      <c r="V68" s="126" t="n"/>
      <c r="W68" s="126" t="n"/>
      <c r="X68" s="126" t="n"/>
      <c r="Y68" s="126" t="n"/>
      <c r="Z68" s="126" t="n"/>
      <c r="AA68" s="126" t="n"/>
      <c r="AB68" s="126" t="n"/>
      <c r="AC68" s="126" t="n"/>
      <c r="AD68" s="126" t="n"/>
      <c r="AE68" s="126" t="n"/>
      <c r="AF68" s="126" t="n"/>
      <c r="AG68" s="126" t="n"/>
      <c r="AH68" s="126" t="n"/>
      <c r="AI68" s="126" t="n"/>
      <c r="AJ68" s="126" t="n"/>
      <c r="AK68" s="126" t="n"/>
      <c r="AL68" s="126" t="n"/>
      <c r="AM68" s="126" t="n"/>
      <c r="AN68" s="126" t="n"/>
    </row>
    <row r="69" ht="21" customFormat="1" customHeight="1" s="127">
      <c r="A69" s="51">
        <f>IF($B69="","",ROW()-6)</f>
        <v/>
      </c>
      <c r="B69" s="268" t="n"/>
      <c r="C69" s="133" t="n"/>
      <c r="D69" s="50" t="n"/>
      <c r="E69" s="265" t="n"/>
      <c r="F69" s="133" t="n"/>
      <c r="G69" s="133" t="n"/>
      <c r="H69" s="50" t="n"/>
      <c r="I69" s="51">
        <f>IF($C69="","",IFERROR(INDEX(WorkerIDs,MATCH($C69,WorkerNames,0)),"?"))</f>
        <v/>
      </c>
      <c r="J69" s="253">
        <f>IF($B69="","",$B69-WEEKDAY($B69,2)+1)</f>
        <v/>
      </c>
      <c r="K69" s="142">
        <f>IF(OR($I69="",$I69="?",$D69&lt;&gt;"Advance",$B69=""),"",$I69&amp;"|"&amp;$J69&amp;"|"&amp;COUNTIFS($I$7:$I69,$I69,$J$7:$J69,$J69,$D$7:$D69,"Advance"))</f>
        <v/>
      </c>
      <c r="L69" s="266">
        <f>IF(OR($I69="",$I69="?",$B69=""),"",SUMPRODUCT((Weeks!$A$7:$A$59&lt;=$J69)*(Weeks!$X$5:$AI$5=$I69)*Weeks!$X$7:$AI$59)-SUMIFS($E$7:$E$1006,$I$7:$I$1006,$I69,$B$7:$B$1006,"&lt;="&amp;$B69))</f>
        <v/>
      </c>
      <c r="M69" s="132">
        <f>IF($B69&amp;$C69&amp;$D69&amp;$E69="","",IF($B69="","missing date",IF($C69="","missing worker",IF($I69="?","unknown worker - was the name changed on Workers?",IF($D69="","missing type",IF(N($E69)=0,"missing amount",IF(AND($E69&lt;0,$D69&lt;&gt;"Correction"),"negative amount - use a Correction to undo",IF(OR($B69&lt;Weeks!$A$7,$B69&gt;Weeks!$B$59),"date outside this workbook's year",IF(AND($D69="Advance",N($L69)&lt;0),"Warning: more than earned so far - worker now owes "&amp;TEXT(ROUND(-$L69,0),"#,##0"),"")))))))))</f>
        <v/>
      </c>
      <c r="N69" s="125" t="n"/>
      <c r="O69" s="126" t="n"/>
      <c r="P69" s="126" t="n"/>
      <c r="Q69" s="126" t="n"/>
      <c r="R69" s="126" t="n"/>
      <c r="S69" s="126" t="n"/>
      <c r="T69" s="126" t="n"/>
      <c r="U69" s="126" t="n"/>
      <c r="V69" s="126" t="n"/>
      <c r="W69" s="126" t="n"/>
      <c r="X69" s="126" t="n"/>
      <c r="Y69" s="126" t="n"/>
      <c r="Z69" s="126" t="n"/>
      <c r="AA69" s="126" t="n"/>
      <c r="AB69" s="126" t="n"/>
      <c r="AC69" s="126" t="n"/>
      <c r="AD69" s="126" t="n"/>
      <c r="AE69" s="126" t="n"/>
      <c r="AF69" s="126" t="n"/>
      <c r="AG69" s="126" t="n"/>
      <c r="AH69" s="126" t="n"/>
      <c r="AI69" s="126" t="n"/>
      <c r="AJ69" s="126" t="n"/>
      <c r="AK69" s="126" t="n"/>
      <c r="AL69" s="126" t="n"/>
      <c r="AM69" s="126" t="n"/>
      <c r="AN69" s="126" t="n"/>
    </row>
    <row r="70" ht="21" customFormat="1" customHeight="1" s="127">
      <c r="A70" s="51">
        <f>IF($B70="","",ROW()-6)</f>
        <v/>
      </c>
      <c r="B70" s="268" t="n"/>
      <c r="C70" s="133" t="n"/>
      <c r="D70" s="50" t="n"/>
      <c r="E70" s="265" t="n"/>
      <c r="F70" s="133" t="n"/>
      <c r="G70" s="133" t="n"/>
      <c r="H70" s="50" t="n"/>
      <c r="I70" s="51">
        <f>IF($C70="","",IFERROR(INDEX(WorkerIDs,MATCH($C70,WorkerNames,0)),"?"))</f>
        <v/>
      </c>
      <c r="J70" s="253">
        <f>IF($B70="","",$B70-WEEKDAY($B70,2)+1)</f>
        <v/>
      </c>
      <c r="K70" s="142">
        <f>IF(OR($I70="",$I70="?",$D70&lt;&gt;"Advance",$B70=""),"",$I70&amp;"|"&amp;$J70&amp;"|"&amp;COUNTIFS($I$7:$I70,$I70,$J$7:$J70,$J70,$D$7:$D70,"Advance"))</f>
        <v/>
      </c>
      <c r="L70" s="266">
        <f>IF(OR($I70="",$I70="?",$B70=""),"",SUMPRODUCT((Weeks!$A$7:$A$59&lt;=$J70)*(Weeks!$X$5:$AI$5=$I70)*Weeks!$X$7:$AI$59)-SUMIFS($E$7:$E$1006,$I$7:$I$1006,$I70,$B$7:$B$1006,"&lt;="&amp;$B70))</f>
        <v/>
      </c>
      <c r="M70" s="132">
        <f>IF($B70&amp;$C70&amp;$D70&amp;$E70="","",IF($B70="","missing date",IF($C70="","missing worker",IF($I70="?","unknown worker - was the name changed on Workers?",IF($D70="","missing type",IF(N($E70)=0,"missing amount",IF(AND($E70&lt;0,$D70&lt;&gt;"Correction"),"negative amount - use a Correction to undo",IF(OR($B70&lt;Weeks!$A$7,$B70&gt;Weeks!$B$59),"date outside this workbook's year",IF(AND($D70="Advance",N($L70)&lt;0),"Warning: more than earned so far - worker now owes "&amp;TEXT(ROUND(-$L70,0),"#,##0"),"")))))))))</f>
        <v/>
      </c>
      <c r="N70" s="125" t="n"/>
      <c r="O70" s="126" t="n"/>
      <c r="P70" s="126" t="n"/>
      <c r="Q70" s="126" t="n"/>
      <c r="R70" s="126" t="n"/>
      <c r="S70" s="126" t="n"/>
      <c r="T70" s="126" t="n"/>
      <c r="U70" s="126" t="n"/>
      <c r="V70" s="126" t="n"/>
      <c r="W70" s="126" t="n"/>
      <c r="X70" s="126" t="n"/>
      <c r="Y70" s="126" t="n"/>
      <c r="Z70" s="126" t="n"/>
      <c r="AA70" s="126" t="n"/>
      <c r="AB70" s="126" t="n"/>
      <c r="AC70" s="126" t="n"/>
      <c r="AD70" s="126" t="n"/>
      <c r="AE70" s="126" t="n"/>
      <c r="AF70" s="126" t="n"/>
      <c r="AG70" s="126" t="n"/>
      <c r="AH70" s="126" t="n"/>
      <c r="AI70" s="126" t="n"/>
      <c r="AJ70" s="126" t="n"/>
      <c r="AK70" s="126" t="n"/>
      <c r="AL70" s="126" t="n"/>
      <c r="AM70" s="126" t="n"/>
      <c r="AN70" s="126" t="n"/>
    </row>
    <row r="71" ht="21" customFormat="1" customHeight="1" s="127">
      <c r="A71" s="51">
        <f>IF($B71="","",ROW()-6)</f>
        <v/>
      </c>
      <c r="B71" s="268" t="n"/>
      <c r="C71" s="133" t="n"/>
      <c r="D71" s="50" t="n"/>
      <c r="E71" s="265" t="n"/>
      <c r="F71" s="133" t="n"/>
      <c r="G71" s="133" t="n"/>
      <c r="H71" s="50" t="n"/>
      <c r="I71" s="51">
        <f>IF($C71="","",IFERROR(INDEX(WorkerIDs,MATCH($C71,WorkerNames,0)),"?"))</f>
        <v/>
      </c>
      <c r="J71" s="253">
        <f>IF($B71="","",$B71-WEEKDAY($B71,2)+1)</f>
        <v/>
      </c>
      <c r="K71" s="142">
        <f>IF(OR($I71="",$I71="?",$D71&lt;&gt;"Advance",$B71=""),"",$I71&amp;"|"&amp;$J71&amp;"|"&amp;COUNTIFS($I$7:$I71,$I71,$J$7:$J71,$J71,$D$7:$D71,"Advance"))</f>
        <v/>
      </c>
      <c r="L71" s="266">
        <f>IF(OR($I71="",$I71="?",$B71=""),"",SUMPRODUCT((Weeks!$A$7:$A$59&lt;=$J71)*(Weeks!$X$5:$AI$5=$I71)*Weeks!$X$7:$AI$59)-SUMIFS($E$7:$E$1006,$I$7:$I$1006,$I71,$B$7:$B$1006,"&lt;="&amp;$B71))</f>
        <v/>
      </c>
      <c r="M71" s="132">
        <f>IF($B71&amp;$C71&amp;$D71&amp;$E71="","",IF($B71="","missing date",IF($C71="","missing worker",IF($I71="?","unknown worker - was the name changed on Workers?",IF($D71="","missing type",IF(N($E71)=0,"missing amount",IF(AND($E71&lt;0,$D71&lt;&gt;"Correction"),"negative amount - use a Correction to undo",IF(OR($B71&lt;Weeks!$A$7,$B71&gt;Weeks!$B$59),"date outside this workbook's year",IF(AND($D71="Advance",N($L71)&lt;0),"Warning: more than earned so far - worker now owes "&amp;TEXT(ROUND(-$L71,0),"#,##0"),"")))))))))</f>
        <v/>
      </c>
      <c r="N71" s="125" t="n"/>
      <c r="O71" s="126" t="n"/>
      <c r="P71" s="126" t="n"/>
      <c r="Q71" s="126" t="n"/>
      <c r="R71" s="126" t="n"/>
      <c r="S71" s="126" t="n"/>
      <c r="T71" s="126" t="n"/>
      <c r="U71" s="126" t="n"/>
      <c r="V71" s="126" t="n"/>
      <c r="W71" s="126" t="n"/>
      <c r="X71" s="126" t="n"/>
      <c r="Y71" s="126" t="n"/>
      <c r="Z71" s="126" t="n"/>
      <c r="AA71" s="126" t="n"/>
      <c r="AB71" s="126" t="n"/>
      <c r="AC71" s="126" t="n"/>
      <c r="AD71" s="126" t="n"/>
      <c r="AE71" s="126" t="n"/>
      <c r="AF71" s="126" t="n"/>
      <c r="AG71" s="126" t="n"/>
      <c r="AH71" s="126" t="n"/>
      <c r="AI71" s="126" t="n"/>
      <c r="AJ71" s="126" t="n"/>
      <c r="AK71" s="126" t="n"/>
      <c r="AL71" s="126" t="n"/>
      <c r="AM71" s="126" t="n"/>
      <c r="AN71" s="126" t="n"/>
    </row>
    <row r="72" ht="21" customFormat="1" customHeight="1" s="127">
      <c r="A72" s="51">
        <f>IF($B72="","",ROW()-6)</f>
        <v/>
      </c>
      <c r="B72" s="268" t="n"/>
      <c r="C72" s="133" t="n"/>
      <c r="D72" s="50" t="n"/>
      <c r="E72" s="265" t="n"/>
      <c r="F72" s="133" t="n"/>
      <c r="G72" s="133" t="n"/>
      <c r="H72" s="50" t="n"/>
      <c r="I72" s="51">
        <f>IF($C72="","",IFERROR(INDEX(WorkerIDs,MATCH($C72,WorkerNames,0)),"?"))</f>
        <v/>
      </c>
      <c r="J72" s="253">
        <f>IF($B72="","",$B72-WEEKDAY($B72,2)+1)</f>
        <v/>
      </c>
      <c r="K72" s="142">
        <f>IF(OR($I72="",$I72="?",$D72&lt;&gt;"Advance",$B72=""),"",$I72&amp;"|"&amp;$J72&amp;"|"&amp;COUNTIFS($I$7:$I72,$I72,$J$7:$J72,$J72,$D$7:$D72,"Advance"))</f>
        <v/>
      </c>
      <c r="L72" s="266">
        <f>IF(OR($I72="",$I72="?",$B72=""),"",SUMPRODUCT((Weeks!$A$7:$A$59&lt;=$J72)*(Weeks!$X$5:$AI$5=$I72)*Weeks!$X$7:$AI$59)-SUMIFS($E$7:$E$1006,$I$7:$I$1006,$I72,$B$7:$B$1006,"&lt;="&amp;$B72))</f>
        <v/>
      </c>
      <c r="M72" s="132">
        <f>IF($B72&amp;$C72&amp;$D72&amp;$E72="","",IF($B72="","missing date",IF($C72="","missing worker",IF($I72="?","unknown worker - was the name changed on Workers?",IF($D72="","missing type",IF(N($E72)=0,"missing amount",IF(AND($E72&lt;0,$D72&lt;&gt;"Correction"),"negative amount - use a Correction to undo",IF(OR($B72&lt;Weeks!$A$7,$B72&gt;Weeks!$B$59),"date outside this workbook's year",IF(AND($D72="Advance",N($L72)&lt;0),"Warning: more than earned so far - worker now owes "&amp;TEXT(ROUND(-$L72,0),"#,##0"),"")))))))))</f>
        <v/>
      </c>
      <c r="N72" s="125" t="n"/>
      <c r="O72" s="126" t="n"/>
      <c r="P72" s="126" t="n"/>
      <c r="Q72" s="126" t="n"/>
      <c r="R72" s="126" t="n"/>
      <c r="S72" s="126" t="n"/>
      <c r="T72" s="126" t="n"/>
      <c r="U72" s="126" t="n"/>
      <c r="V72" s="126" t="n"/>
      <c r="W72" s="126" t="n"/>
      <c r="X72" s="126" t="n"/>
      <c r="Y72" s="126" t="n"/>
      <c r="Z72" s="126" t="n"/>
      <c r="AA72" s="126" t="n"/>
      <c r="AB72" s="126" t="n"/>
      <c r="AC72" s="126" t="n"/>
      <c r="AD72" s="126" t="n"/>
      <c r="AE72" s="126" t="n"/>
      <c r="AF72" s="126" t="n"/>
      <c r="AG72" s="126" t="n"/>
      <c r="AH72" s="126" t="n"/>
      <c r="AI72" s="126" t="n"/>
      <c r="AJ72" s="126" t="n"/>
      <c r="AK72" s="126" t="n"/>
      <c r="AL72" s="126" t="n"/>
      <c r="AM72" s="126" t="n"/>
      <c r="AN72" s="126" t="n"/>
    </row>
    <row r="73" ht="21" customFormat="1" customHeight="1" s="127">
      <c r="A73" s="51">
        <f>IF($B73="","",ROW()-6)</f>
        <v/>
      </c>
      <c r="B73" s="268" t="n"/>
      <c r="C73" s="133" t="n"/>
      <c r="D73" s="50" t="n"/>
      <c r="E73" s="265" t="n"/>
      <c r="F73" s="133" t="n"/>
      <c r="G73" s="133" t="n"/>
      <c r="H73" s="50" t="n"/>
      <c r="I73" s="51">
        <f>IF($C73="","",IFERROR(INDEX(WorkerIDs,MATCH($C73,WorkerNames,0)),"?"))</f>
        <v/>
      </c>
      <c r="J73" s="253">
        <f>IF($B73="","",$B73-WEEKDAY($B73,2)+1)</f>
        <v/>
      </c>
      <c r="K73" s="142">
        <f>IF(OR($I73="",$I73="?",$D73&lt;&gt;"Advance",$B73=""),"",$I73&amp;"|"&amp;$J73&amp;"|"&amp;COUNTIFS($I$7:$I73,$I73,$J$7:$J73,$J73,$D$7:$D73,"Advance"))</f>
        <v/>
      </c>
      <c r="L73" s="266">
        <f>IF(OR($I73="",$I73="?",$B73=""),"",SUMPRODUCT((Weeks!$A$7:$A$59&lt;=$J73)*(Weeks!$X$5:$AI$5=$I73)*Weeks!$X$7:$AI$59)-SUMIFS($E$7:$E$1006,$I$7:$I$1006,$I73,$B$7:$B$1006,"&lt;="&amp;$B73))</f>
        <v/>
      </c>
      <c r="M73" s="132">
        <f>IF($B73&amp;$C73&amp;$D73&amp;$E73="","",IF($B73="","missing date",IF($C73="","missing worker",IF($I73="?","unknown worker - was the name changed on Workers?",IF($D73="","missing type",IF(N($E73)=0,"missing amount",IF(AND($E73&lt;0,$D73&lt;&gt;"Correction"),"negative amount - use a Correction to undo",IF(OR($B73&lt;Weeks!$A$7,$B73&gt;Weeks!$B$59),"date outside this workbook's year",IF(AND($D73="Advance",N($L73)&lt;0),"Warning: more than earned so far - worker now owes "&amp;TEXT(ROUND(-$L73,0),"#,##0"),"")))))))))</f>
        <v/>
      </c>
      <c r="N73" s="125" t="n"/>
      <c r="O73" s="126" t="n"/>
      <c r="P73" s="126" t="n"/>
      <c r="Q73" s="126" t="n"/>
      <c r="R73" s="126" t="n"/>
      <c r="S73" s="126" t="n"/>
      <c r="T73" s="126" t="n"/>
      <c r="U73" s="126" t="n"/>
      <c r="V73" s="126" t="n"/>
      <c r="W73" s="126" t="n"/>
      <c r="X73" s="126" t="n"/>
      <c r="Y73" s="126" t="n"/>
      <c r="Z73" s="126" t="n"/>
      <c r="AA73" s="126" t="n"/>
      <c r="AB73" s="126" t="n"/>
      <c r="AC73" s="126" t="n"/>
      <c r="AD73" s="126" t="n"/>
      <c r="AE73" s="126" t="n"/>
      <c r="AF73" s="126" t="n"/>
      <c r="AG73" s="126" t="n"/>
      <c r="AH73" s="126" t="n"/>
      <c r="AI73" s="126" t="n"/>
      <c r="AJ73" s="126" t="n"/>
      <c r="AK73" s="126" t="n"/>
      <c r="AL73" s="126" t="n"/>
      <c r="AM73" s="126" t="n"/>
      <c r="AN73" s="126" t="n"/>
    </row>
    <row r="74" ht="21" customFormat="1" customHeight="1" s="127">
      <c r="A74" s="51">
        <f>IF($B74="","",ROW()-6)</f>
        <v/>
      </c>
      <c r="B74" s="268" t="n"/>
      <c r="C74" s="133" t="n"/>
      <c r="D74" s="50" t="n"/>
      <c r="E74" s="265" t="n"/>
      <c r="F74" s="133" t="n"/>
      <c r="G74" s="133" t="n"/>
      <c r="H74" s="50" t="n"/>
      <c r="I74" s="51">
        <f>IF($C74="","",IFERROR(INDEX(WorkerIDs,MATCH($C74,WorkerNames,0)),"?"))</f>
        <v/>
      </c>
      <c r="J74" s="253">
        <f>IF($B74="","",$B74-WEEKDAY($B74,2)+1)</f>
        <v/>
      </c>
      <c r="K74" s="142">
        <f>IF(OR($I74="",$I74="?",$D74&lt;&gt;"Advance",$B74=""),"",$I74&amp;"|"&amp;$J74&amp;"|"&amp;COUNTIFS($I$7:$I74,$I74,$J$7:$J74,$J74,$D$7:$D74,"Advance"))</f>
        <v/>
      </c>
      <c r="L74" s="266">
        <f>IF(OR($I74="",$I74="?",$B74=""),"",SUMPRODUCT((Weeks!$A$7:$A$59&lt;=$J74)*(Weeks!$X$5:$AI$5=$I74)*Weeks!$X$7:$AI$59)-SUMIFS($E$7:$E$1006,$I$7:$I$1006,$I74,$B$7:$B$1006,"&lt;="&amp;$B74))</f>
        <v/>
      </c>
      <c r="M74" s="132">
        <f>IF($B74&amp;$C74&amp;$D74&amp;$E74="","",IF($B74="","missing date",IF($C74="","missing worker",IF($I74="?","unknown worker - was the name changed on Workers?",IF($D74="","missing type",IF(N($E74)=0,"missing amount",IF(AND($E74&lt;0,$D74&lt;&gt;"Correction"),"negative amount - use a Correction to undo",IF(OR($B74&lt;Weeks!$A$7,$B74&gt;Weeks!$B$59),"date outside this workbook's year",IF(AND($D74="Advance",N($L74)&lt;0),"Warning: more than earned so far - worker now owes "&amp;TEXT(ROUND(-$L74,0),"#,##0"),"")))))))))</f>
        <v/>
      </c>
      <c r="N74" s="125" t="n"/>
      <c r="O74" s="126" t="n"/>
      <c r="P74" s="126" t="n"/>
      <c r="Q74" s="126" t="n"/>
      <c r="R74" s="126" t="n"/>
      <c r="S74" s="126" t="n"/>
      <c r="T74" s="126" t="n"/>
      <c r="U74" s="126" t="n"/>
      <c r="V74" s="126" t="n"/>
      <c r="W74" s="126" t="n"/>
      <c r="X74" s="126" t="n"/>
      <c r="Y74" s="126" t="n"/>
      <c r="Z74" s="126" t="n"/>
      <c r="AA74" s="126" t="n"/>
      <c r="AB74" s="126" t="n"/>
      <c r="AC74" s="126" t="n"/>
      <c r="AD74" s="126" t="n"/>
      <c r="AE74" s="126" t="n"/>
      <c r="AF74" s="126" t="n"/>
      <c r="AG74" s="126" t="n"/>
      <c r="AH74" s="126" t="n"/>
      <c r="AI74" s="126" t="n"/>
      <c r="AJ74" s="126" t="n"/>
      <c r="AK74" s="126" t="n"/>
      <c r="AL74" s="126" t="n"/>
      <c r="AM74" s="126" t="n"/>
      <c r="AN74" s="126" t="n"/>
    </row>
    <row r="75" ht="21" customFormat="1" customHeight="1" s="127">
      <c r="A75" s="51">
        <f>IF($B75="","",ROW()-6)</f>
        <v/>
      </c>
      <c r="B75" s="268" t="n"/>
      <c r="C75" s="133" t="n"/>
      <c r="D75" s="50" t="n"/>
      <c r="E75" s="265" t="n"/>
      <c r="F75" s="133" t="n"/>
      <c r="G75" s="133" t="n"/>
      <c r="H75" s="50" t="n"/>
      <c r="I75" s="51">
        <f>IF($C75="","",IFERROR(INDEX(WorkerIDs,MATCH($C75,WorkerNames,0)),"?"))</f>
        <v/>
      </c>
      <c r="J75" s="253">
        <f>IF($B75="","",$B75-WEEKDAY($B75,2)+1)</f>
        <v/>
      </c>
      <c r="K75" s="142">
        <f>IF(OR($I75="",$I75="?",$D75&lt;&gt;"Advance",$B75=""),"",$I75&amp;"|"&amp;$J75&amp;"|"&amp;COUNTIFS($I$7:$I75,$I75,$J$7:$J75,$J75,$D$7:$D75,"Advance"))</f>
        <v/>
      </c>
      <c r="L75" s="266">
        <f>IF(OR($I75="",$I75="?",$B75=""),"",SUMPRODUCT((Weeks!$A$7:$A$59&lt;=$J75)*(Weeks!$X$5:$AI$5=$I75)*Weeks!$X$7:$AI$59)-SUMIFS($E$7:$E$1006,$I$7:$I$1006,$I75,$B$7:$B$1006,"&lt;="&amp;$B75))</f>
        <v/>
      </c>
      <c r="M75" s="132">
        <f>IF($B75&amp;$C75&amp;$D75&amp;$E75="","",IF($B75="","missing date",IF($C75="","missing worker",IF($I75="?","unknown worker - was the name changed on Workers?",IF($D75="","missing type",IF(N($E75)=0,"missing amount",IF(AND($E75&lt;0,$D75&lt;&gt;"Correction"),"negative amount - use a Correction to undo",IF(OR($B75&lt;Weeks!$A$7,$B75&gt;Weeks!$B$59),"date outside this workbook's year",IF(AND($D75="Advance",N($L75)&lt;0),"Warning: more than earned so far - worker now owes "&amp;TEXT(ROUND(-$L75,0),"#,##0"),"")))))))))</f>
        <v/>
      </c>
      <c r="N75" s="125" t="n"/>
      <c r="O75" s="126" t="n"/>
      <c r="P75" s="126" t="n"/>
      <c r="Q75" s="126" t="n"/>
      <c r="R75" s="126" t="n"/>
      <c r="S75" s="126" t="n"/>
      <c r="T75" s="126" t="n"/>
      <c r="U75" s="126" t="n"/>
      <c r="V75" s="126" t="n"/>
      <c r="W75" s="126" t="n"/>
      <c r="X75" s="126" t="n"/>
      <c r="Y75" s="126" t="n"/>
      <c r="Z75" s="126" t="n"/>
      <c r="AA75" s="126" t="n"/>
      <c r="AB75" s="126" t="n"/>
      <c r="AC75" s="126" t="n"/>
      <c r="AD75" s="126" t="n"/>
      <c r="AE75" s="126" t="n"/>
      <c r="AF75" s="126" t="n"/>
      <c r="AG75" s="126" t="n"/>
      <c r="AH75" s="126" t="n"/>
      <c r="AI75" s="126" t="n"/>
      <c r="AJ75" s="126" t="n"/>
      <c r="AK75" s="126" t="n"/>
      <c r="AL75" s="126" t="n"/>
      <c r="AM75" s="126" t="n"/>
      <c r="AN75" s="126" t="n"/>
    </row>
    <row r="76" ht="21" customFormat="1" customHeight="1" s="127">
      <c r="A76" s="51">
        <f>IF($B76="","",ROW()-6)</f>
        <v/>
      </c>
      <c r="B76" s="268" t="n"/>
      <c r="C76" s="133" t="n"/>
      <c r="D76" s="50" t="n"/>
      <c r="E76" s="265" t="n"/>
      <c r="F76" s="133" t="n"/>
      <c r="G76" s="133" t="n"/>
      <c r="H76" s="50" t="n"/>
      <c r="I76" s="51">
        <f>IF($C76="","",IFERROR(INDEX(WorkerIDs,MATCH($C76,WorkerNames,0)),"?"))</f>
        <v/>
      </c>
      <c r="J76" s="253">
        <f>IF($B76="","",$B76-WEEKDAY($B76,2)+1)</f>
        <v/>
      </c>
      <c r="K76" s="142">
        <f>IF(OR($I76="",$I76="?",$D76&lt;&gt;"Advance",$B76=""),"",$I76&amp;"|"&amp;$J76&amp;"|"&amp;COUNTIFS($I$7:$I76,$I76,$J$7:$J76,$J76,$D$7:$D76,"Advance"))</f>
        <v/>
      </c>
      <c r="L76" s="266">
        <f>IF(OR($I76="",$I76="?",$B76=""),"",SUMPRODUCT((Weeks!$A$7:$A$59&lt;=$J76)*(Weeks!$X$5:$AI$5=$I76)*Weeks!$X$7:$AI$59)-SUMIFS($E$7:$E$1006,$I$7:$I$1006,$I76,$B$7:$B$1006,"&lt;="&amp;$B76))</f>
        <v/>
      </c>
      <c r="M76" s="132">
        <f>IF($B76&amp;$C76&amp;$D76&amp;$E76="","",IF($B76="","missing date",IF($C76="","missing worker",IF($I76="?","unknown worker - was the name changed on Workers?",IF($D76="","missing type",IF(N($E76)=0,"missing amount",IF(AND($E76&lt;0,$D76&lt;&gt;"Correction"),"negative amount - use a Correction to undo",IF(OR($B76&lt;Weeks!$A$7,$B76&gt;Weeks!$B$59),"date outside this workbook's year",IF(AND($D76="Advance",N($L76)&lt;0),"Warning: more than earned so far - worker now owes "&amp;TEXT(ROUND(-$L76,0),"#,##0"),"")))))))))</f>
        <v/>
      </c>
      <c r="N76" s="125" t="n"/>
      <c r="O76" s="126" t="n"/>
      <c r="P76" s="126" t="n"/>
      <c r="Q76" s="126" t="n"/>
      <c r="R76" s="126" t="n"/>
      <c r="S76" s="126" t="n"/>
      <c r="T76" s="126" t="n"/>
      <c r="U76" s="126" t="n"/>
      <c r="V76" s="126" t="n"/>
      <c r="W76" s="126" t="n"/>
      <c r="X76" s="126" t="n"/>
      <c r="Y76" s="126" t="n"/>
      <c r="Z76" s="126" t="n"/>
      <c r="AA76" s="126" t="n"/>
      <c r="AB76" s="126" t="n"/>
      <c r="AC76" s="126" t="n"/>
      <c r="AD76" s="126" t="n"/>
      <c r="AE76" s="126" t="n"/>
      <c r="AF76" s="126" t="n"/>
      <c r="AG76" s="126" t="n"/>
      <c r="AH76" s="126" t="n"/>
      <c r="AI76" s="126" t="n"/>
      <c r="AJ76" s="126" t="n"/>
      <c r="AK76" s="126" t="n"/>
      <c r="AL76" s="126" t="n"/>
      <c r="AM76" s="126" t="n"/>
      <c r="AN76" s="126" t="n"/>
    </row>
    <row r="77" ht="21" customFormat="1" customHeight="1" s="127">
      <c r="A77" s="51">
        <f>IF($B77="","",ROW()-6)</f>
        <v/>
      </c>
      <c r="B77" s="268" t="n"/>
      <c r="C77" s="133" t="n"/>
      <c r="D77" s="50" t="n"/>
      <c r="E77" s="265" t="n"/>
      <c r="F77" s="133" t="n"/>
      <c r="G77" s="133" t="n"/>
      <c r="H77" s="50" t="n"/>
      <c r="I77" s="51">
        <f>IF($C77="","",IFERROR(INDEX(WorkerIDs,MATCH($C77,WorkerNames,0)),"?"))</f>
        <v/>
      </c>
      <c r="J77" s="253">
        <f>IF($B77="","",$B77-WEEKDAY($B77,2)+1)</f>
        <v/>
      </c>
      <c r="K77" s="142">
        <f>IF(OR($I77="",$I77="?",$D77&lt;&gt;"Advance",$B77=""),"",$I77&amp;"|"&amp;$J77&amp;"|"&amp;COUNTIFS($I$7:$I77,$I77,$J$7:$J77,$J77,$D$7:$D77,"Advance"))</f>
        <v/>
      </c>
      <c r="L77" s="266">
        <f>IF(OR($I77="",$I77="?",$B77=""),"",SUMPRODUCT((Weeks!$A$7:$A$59&lt;=$J77)*(Weeks!$X$5:$AI$5=$I77)*Weeks!$X$7:$AI$59)-SUMIFS($E$7:$E$1006,$I$7:$I$1006,$I77,$B$7:$B$1006,"&lt;="&amp;$B77))</f>
        <v/>
      </c>
      <c r="M77" s="132">
        <f>IF($B77&amp;$C77&amp;$D77&amp;$E77="","",IF($B77="","missing date",IF($C77="","missing worker",IF($I77="?","unknown worker - was the name changed on Workers?",IF($D77="","missing type",IF(N($E77)=0,"missing amount",IF(AND($E77&lt;0,$D77&lt;&gt;"Correction"),"negative amount - use a Correction to undo",IF(OR($B77&lt;Weeks!$A$7,$B77&gt;Weeks!$B$59),"date outside this workbook's year",IF(AND($D77="Advance",N($L77)&lt;0),"Warning: more than earned so far - worker now owes "&amp;TEXT(ROUND(-$L77,0),"#,##0"),"")))))))))</f>
        <v/>
      </c>
      <c r="N77" s="125" t="n"/>
      <c r="O77" s="126" t="n"/>
      <c r="P77" s="126" t="n"/>
      <c r="Q77" s="126" t="n"/>
      <c r="R77" s="126" t="n"/>
      <c r="S77" s="126" t="n"/>
      <c r="T77" s="126" t="n"/>
      <c r="U77" s="126" t="n"/>
      <c r="V77" s="126" t="n"/>
      <c r="W77" s="126" t="n"/>
      <c r="X77" s="126" t="n"/>
      <c r="Y77" s="126" t="n"/>
      <c r="Z77" s="126" t="n"/>
      <c r="AA77" s="126" t="n"/>
      <c r="AB77" s="126" t="n"/>
      <c r="AC77" s="126" t="n"/>
      <c r="AD77" s="126" t="n"/>
      <c r="AE77" s="126" t="n"/>
      <c r="AF77" s="126" t="n"/>
      <c r="AG77" s="126" t="n"/>
      <c r="AH77" s="126" t="n"/>
      <c r="AI77" s="126" t="n"/>
      <c r="AJ77" s="126" t="n"/>
      <c r="AK77" s="126" t="n"/>
      <c r="AL77" s="126" t="n"/>
      <c r="AM77" s="126" t="n"/>
      <c r="AN77" s="126" t="n"/>
    </row>
    <row r="78" ht="21" customFormat="1" customHeight="1" s="127">
      <c r="A78" s="51">
        <f>IF($B78="","",ROW()-6)</f>
        <v/>
      </c>
      <c r="B78" s="268" t="n"/>
      <c r="C78" s="133" t="n"/>
      <c r="D78" s="50" t="n"/>
      <c r="E78" s="265" t="n"/>
      <c r="F78" s="133" t="n"/>
      <c r="G78" s="133" t="n"/>
      <c r="H78" s="50" t="n"/>
      <c r="I78" s="51">
        <f>IF($C78="","",IFERROR(INDEX(WorkerIDs,MATCH($C78,WorkerNames,0)),"?"))</f>
        <v/>
      </c>
      <c r="J78" s="253">
        <f>IF($B78="","",$B78-WEEKDAY($B78,2)+1)</f>
        <v/>
      </c>
      <c r="K78" s="142">
        <f>IF(OR($I78="",$I78="?",$D78&lt;&gt;"Advance",$B78=""),"",$I78&amp;"|"&amp;$J78&amp;"|"&amp;COUNTIFS($I$7:$I78,$I78,$J$7:$J78,$J78,$D$7:$D78,"Advance"))</f>
        <v/>
      </c>
      <c r="L78" s="266">
        <f>IF(OR($I78="",$I78="?",$B78=""),"",SUMPRODUCT((Weeks!$A$7:$A$59&lt;=$J78)*(Weeks!$X$5:$AI$5=$I78)*Weeks!$X$7:$AI$59)-SUMIFS($E$7:$E$1006,$I$7:$I$1006,$I78,$B$7:$B$1006,"&lt;="&amp;$B78))</f>
        <v/>
      </c>
      <c r="M78" s="132">
        <f>IF($B78&amp;$C78&amp;$D78&amp;$E78="","",IF($B78="","missing date",IF($C78="","missing worker",IF($I78="?","unknown worker - was the name changed on Workers?",IF($D78="","missing type",IF(N($E78)=0,"missing amount",IF(AND($E78&lt;0,$D78&lt;&gt;"Correction"),"negative amount - use a Correction to undo",IF(OR($B78&lt;Weeks!$A$7,$B78&gt;Weeks!$B$59),"date outside this workbook's year",IF(AND($D78="Advance",N($L78)&lt;0),"Warning: more than earned so far - worker now owes "&amp;TEXT(ROUND(-$L78,0),"#,##0"),"")))))))))</f>
        <v/>
      </c>
      <c r="N78" s="125" t="n"/>
      <c r="O78" s="126" t="n"/>
      <c r="P78" s="126" t="n"/>
      <c r="Q78" s="126" t="n"/>
      <c r="R78" s="126" t="n"/>
      <c r="S78" s="126" t="n"/>
      <c r="T78" s="126" t="n"/>
      <c r="U78" s="126" t="n"/>
      <c r="V78" s="126" t="n"/>
      <c r="W78" s="126" t="n"/>
      <c r="X78" s="126" t="n"/>
      <c r="Y78" s="126" t="n"/>
      <c r="Z78" s="126" t="n"/>
      <c r="AA78" s="126" t="n"/>
      <c r="AB78" s="126" t="n"/>
      <c r="AC78" s="126" t="n"/>
      <c r="AD78" s="126" t="n"/>
      <c r="AE78" s="126" t="n"/>
      <c r="AF78" s="126" t="n"/>
      <c r="AG78" s="126" t="n"/>
      <c r="AH78" s="126" t="n"/>
      <c r="AI78" s="126" t="n"/>
      <c r="AJ78" s="126" t="n"/>
      <c r="AK78" s="126" t="n"/>
      <c r="AL78" s="126" t="n"/>
      <c r="AM78" s="126" t="n"/>
      <c r="AN78" s="126" t="n"/>
    </row>
    <row r="79" ht="21" customFormat="1" customHeight="1" s="127">
      <c r="A79" s="51">
        <f>IF($B79="","",ROW()-6)</f>
        <v/>
      </c>
      <c r="B79" s="268" t="n"/>
      <c r="C79" s="133" t="n"/>
      <c r="D79" s="50" t="n"/>
      <c r="E79" s="265" t="n"/>
      <c r="F79" s="133" t="n"/>
      <c r="G79" s="133" t="n"/>
      <c r="H79" s="50" t="n"/>
      <c r="I79" s="51">
        <f>IF($C79="","",IFERROR(INDEX(WorkerIDs,MATCH($C79,WorkerNames,0)),"?"))</f>
        <v/>
      </c>
      <c r="J79" s="253">
        <f>IF($B79="","",$B79-WEEKDAY($B79,2)+1)</f>
        <v/>
      </c>
      <c r="K79" s="142">
        <f>IF(OR($I79="",$I79="?",$D79&lt;&gt;"Advance",$B79=""),"",$I79&amp;"|"&amp;$J79&amp;"|"&amp;COUNTIFS($I$7:$I79,$I79,$J$7:$J79,$J79,$D$7:$D79,"Advance"))</f>
        <v/>
      </c>
      <c r="L79" s="266">
        <f>IF(OR($I79="",$I79="?",$B79=""),"",SUMPRODUCT((Weeks!$A$7:$A$59&lt;=$J79)*(Weeks!$X$5:$AI$5=$I79)*Weeks!$X$7:$AI$59)-SUMIFS($E$7:$E$1006,$I$7:$I$1006,$I79,$B$7:$B$1006,"&lt;="&amp;$B79))</f>
        <v/>
      </c>
      <c r="M79" s="132">
        <f>IF($B79&amp;$C79&amp;$D79&amp;$E79="","",IF($B79="","missing date",IF($C79="","missing worker",IF($I79="?","unknown worker - was the name changed on Workers?",IF($D79="","missing type",IF(N($E79)=0,"missing amount",IF(AND($E79&lt;0,$D79&lt;&gt;"Correction"),"negative amount - use a Correction to undo",IF(OR($B79&lt;Weeks!$A$7,$B79&gt;Weeks!$B$59),"date outside this workbook's year",IF(AND($D79="Advance",N($L79)&lt;0),"Warning: more than earned so far - worker now owes "&amp;TEXT(ROUND(-$L79,0),"#,##0"),"")))))))))</f>
        <v/>
      </c>
      <c r="N79" s="125" t="n"/>
      <c r="O79" s="126" t="n"/>
      <c r="P79" s="126" t="n"/>
      <c r="Q79" s="126" t="n"/>
      <c r="R79" s="126" t="n"/>
      <c r="S79" s="126" t="n"/>
      <c r="T79" s="126" t="n"/>
      <c r="U79" s="126" t="n"/>
      <c r="V79" s="126" t="n"/>
      <c r="W79" s="126" t="n"/>
      <c r="X79" s="126" t="n"/>
      <c r="Y79" s="126" t="n"/>
      <c r="Z79" s="126" t="n"/>
      <c r="AA79" s="126" t="n"/>
      <c r="AB79" s="126" t="n"/>
      <c r="AC79" s="126" t="n"/>
      <c r="AD79" s="126" t="n"/>
      <c r="AE79" s="126" t="n"/>
      <c r="AF79" s="126" t="n"/>
      <c r="AG79" s="126" t="n"/>
      <c r="AH79" s="126" t="n"/>
      <c r="AI79" s="126" t="n"/>
      <c r="AJ79" s="126" t="n"/>
      <c r="AK79" s="126" t="n"/>
      <c r="AL79" s="126" t="n"/>
      <c r="AM79" s="126" t="n"/>
      <c r="AN79" s="126" t="n"/>
    </row>
    <row r="80" ht="21" customFormat="1" customHeight="1" s="127">
      <c r="A80" s="51">
        <f>IF($B80="","",ROW()-6)</f>
        <v/>
      </c>
      <c r="B80" s="268" t="n"/>
      <c r="C80" s="133" t="n"/>
      <c r="D80" s="50" t="n"/>
      <c r="E80" s="265" t="n"/>
      <c r="F80" s="133" t="n"/>
      <c r="G80" s="133" t="n"/>
      <c r="H80" s="50" t="n"/>
      <c r="I80" s="51">
        <f>IF($C80="","",IFERROR(INDEX(WorkerIDs,MATCH($C80,WorkerNames,0)),"?"))</f>
        <v/>
      </c>
      <c r="J80" s="253">
        <f>IF($B80="","",$B80-WEEKDAY($B80,2)+1)</f>
        <v/>
      </c>
      <c r="K80" s="142">
        <f>IF(OR($I80="",$I80="?",$D80&lt;&gt;"Advance",$B80=""),"",$I80&amp;"|"&amp;$J80&amp;"|"&amp;COUNTIFS($I$7:$I80,$I80,$J$7:$J80,$J80,$D$7:$D80,"Advance"))</f>
        <v/>
      </c>
      <c r="L80" s="266">
        <f>IF(OR($I80="",$I80="?",$B80=""),"",SUMPRODUCT((Weeks!$A$7:$A$59&lt;=$J80)*(Weeks!$X$5:$AI$5=$I80)*Weeks!$X$7:$AI$59)-SUMIFS($E$7:$E$1006,$I$7:$I$1006,$I80,$B$7:$B$1006,"&lt;="&amp;$B80))</f>
        <v/>
      </c>
      <c r="M80" s="132">
        <f>IF($B80&amp;$C80&amp;$D80&amp;$E80="","",IF($B80="","missing date",IF($C80="","missing worker",IF($I80="?","unknown worker - was the name changed on Workers?",IF($D80="","missing type",IF(N($E80)=0,"missing amount",IF(AND($E80&lt;0,$D80&lt;&gt;"Correction"),"negative amount - use a Correction to undo",IF(OR($B80&lt;Weeks!$A$7,$B80&gt;Weeks!$B$59),"date outside this workbook's year",IF(AND($D80="Advance",N($L80)&lt;0),"Warning: more than earned so far - worker now owes "&amp;TEXT(ROUND(-$L80,0),"#,##0"),"")))))))))</f>
        <v/>
      </c>
      <c r="N80" s="125" t="n"/>
      <c r="O80" s="126" t="n"/>
      <c r="P80" s="126" t="n"/>
      <c r="Q80" s="126" t="n"/>
      <c r="R80" s="126" t="n"/>
      <c r="S80" s="126" t="n"/>
      <c r="T80" s="126" t="n"/>
      <c r="U80" s="126" t="n"/>
      <c r="V80" s="126" t="n"/>
      <c r="W80" s="126" t="n"/>
      <c r="X80" s="126" t="n"/>
      <c r="Y80" s="126" t="n"/>
      <c r="Z80" s="126" t="n"/>
      <c r="AA80" s="126" t="n"/>
      <c r="AB80" s="126" t="n"/>
      <c r="AC80" s="126" t="n"/>
      <c r="AD80" s="126" t="n"/>
      <c r="AE80" s="126" t="n"/>
      <c r="AF80" s="126" t="n"/>
      <c r="AG80" s="126" t="n"/>
      <c r="AH80" s="126" t="n"/>
      <c r="AI80" s="126" t="n"/>
      <c r="AJ80" s="126" t="n"/>
      <c r="AK80" s="126" t="n"/>
      <c r="AL80" s="126" t="n"/>
      <c r="AM80" s="126" t="n"/>
      <c r="AN80" s="126" t="n"/>
    </row>
    <row r="81" ht="21" customFormat="1" customHeight="1" s="127">
      <c r="A81" s="51">
        <f>IF($B81="","",ROW()-6)</f>
        <v/>
      </c>
      <c r="B81" s="268" t="n"/>
      <c r="C81" s="133" t="n"/>
      <c r="D81" s="50" t="n"/>
      <c r="E81" s="265" t="n"/>
      <c r="F81" s="133" t="n"/>
      <c r="G81" s="133" t="n"/>
      <c r="H81" s="50" t="n"/>
      <c r="I81" s="51">
        <f>IF($C81="","",IFERROR(INDEX(WorkerIDs,MATCH($C81,WorkerNames,0)),"?"))</f>
        <v/>
      </c>
      <c r="J81" s="253">
        <f>IF($B81="","",$B81-WEEKDAY($B81,2)+1)</f>
        <v/>
      </c>
      <c r="K81" s="142">
        <f>IF(OR($I81="",$I81="?",$D81&lt;&gt;"Advance",$B81=""),"",$I81&amp;"|"&amp;$J81&amp;"|"&amp;COUNTIFS($I$7:$I81,$I81,$J$7:$J81,$J81,$D$7:$D81,"Advance"))</f>
        <v/>
      </c>
      <c r="L81" s="266">
        <f>IF(OR($I81="",$I81="?",$B81=""),"",SUMPRODUCT((Weeks!$A$7:$A$59&lt;=$J81)*(Weeks!$X$5:$AI$5=$I81)*Weeks!$X$7:$AI$59)-SUMIFS($E$7:$E$1006,$I$7:$I$1006,$I81,$B$7:$B$1006,"&lt;="&amp;$B81))</f>
        <v/>
      </c>
      <c r="M81" s="132">
        <f>IF($B81&amp;$C81&amp;$D81&amp;$E81="","",IF($B81="","missing date",IF($C81="","missing worker",IF($I81="?","unknown worker - was the name changed on Workers?",IF($D81="","missing type",IF(N($E81)=0,"missing amount",IF(AND($E81&lt;0,$D81&lt;&gt;"Correction"),"negative amount - use a Correction to undo",IF(OR($B81&lt;Weeks!$A$7,$B81&gt;Weeks!$B$59),"date outside this workbook's year",IF(AND($D81="Advance",N($L81)&lt;0),"Warning: more than earned so far - worker now owes "&amp;TEXT(ROUND(-$L81,0),"#,##0"),"")))))))))</f>
        <v/>
      </c>
      <c r="N81" s="125" t="n"/>
      <c r="O81" s="126" t="n"/>
      <c r="P81" s="126" t="n"/>
      <c r="Q81" s="126" t="n"/>
      <c r="R81" s="126" t="n"/>
      <c r="S81" s="126" t="n"/>
      <c r="T81" s="126" t="n"/>
      <c r="U81" s="126" t="n"/>
      <c r="V81" s="126" t="n"/>
      <c r="W81" s="126" t="n"/>
      <c r="X81" s="126" t="n"/>
      <c r="Y81" s="126" t="n"/>
      <c r="Z81" s="126" t="n"/>
      <c r="AA81" s="126" t="n"/>
      <c r="AB81" s="126" t="n"/>
      <c r="AC81" s="126" t="n"/>
      <c r="AD81" s="126" t="n"/>
      <c r="AE81" s="126" t="n"/>
      <c r="AF81" s="126" t="n"/>
      <c r="AG81" s="126" t="n"/>
      <c r="AH81" s="126" t="n"/>
      <c r="AI81" s="126" t="n"/>
      <c r="AJ81" s="126" t="n"/>
      <c r="AK81" s="126" t="n"/>
      <c r="AL81" s="126" t="n"/>
      <c r="AM81" s="126" t="n"/>
      <c r="AN81" s="126" t="n"/>
    </row>
    <row r="82" ht="21" customFormat="1" customHeight="1" s="127">
      <c r="A82" s="51">
        <f>IF($B82="","",ROW()-6)</f>
        <v/>
      </c>
      <c r="B82" s="268" t="n"/>
      <c r="C82" s="133" t="n"/>
      <c r="D82" s="50" t="n"/>
      <c r="E82" s="265" t="n"/>
      <c r="F82" s="133" t="n"/>
      <c r="G82" s="133" t="n"/>
      <c r="H82" s="50" t="n"/>
      <c r="I82" s="51">
        <f>IF($C82="","",IFERROR(INDEX(WorkerIDs,MATCH($C82,WorkerNames,0)),"?"))</f>
        <v/>
      </c>
      <c r="J82" s="253">
        <f>IF($B82="","",$B82-WEEKDAY($B82,2)+1)</f>
        <v/>
      </c>
      <c r="K82" s="142">
        <f>IF(OR($I82="",$I82="?",$D82&lt;&gt;"Advance",$B82=""),"",$I82&amp;"|"&amp;$J82&amp;"|"&amp;COUNTIFS($I$7:$I82,$I82,$J$7:$J82,$J82,$D$7:$D82,"Advance"))</f>
        <v/>
      </c>
      <c r="L82" s="266">
        <f>IF(OR($I82="",$I82="?",$B82=""),"",SUMPRODUCT((Weeks!$A$7:$A$59&lt;=$J82)*(Weeks!$X$5:$AI$5=$I82)*Weeks!$X$7:$AI$59)-SUMIFS($E$7:$E$1006,$I$7:$I$1006,$I82,$B$7:$B$1006,"&lt;="&amp;$B82))</f>
        <v/>
      </c>
      <c r="M82" s="132">
        <f>IF($B82&amp;$C82&amp;$D82&amp;$E82="","",IF($B82="","missing date",IF($C82="","missing worker",IF($I82="?","unknown worker - was the name changed on Workers?",IF($D82="","missing type",IF(N($E82)=0,"missing amount",IF(AND($E82&lt;0,$D82&lt;&gt;"Correction"),"negative amount - use a Correction to undo",IF(OR($B82&lt;Weeks!$A$7,$B82&gt;Weeks!$B$59),"date outside this workbook's year",IF(AND($D82="Advance",N($L82)&lt;0),"Warning: more than earned so far - worker now owes "&amp;TEXT(ROUND(-$L82,0),"#,##0"),"")))))))))</f>
        <v/>
      </c>
      <c r="N82" s="125" t="n"/>
      <c r="O82" s="126" t="n"/>
      <c r="P82" s="126" t="n"/>
      <c r="Q82" s="126" t="n"/>
      <c r="R82" s="126" t="n"/>
      <c r="S82" s="126" t="n"/>
      <c r="T82" s="126" t="n"/>
      <c r="U82" s="126" t="n"/>
      <c r="V82" s="126" t="n"/>
      <c r="W82" s="126" t="n"/>
      <c r="X82" s="126" t="n"/>
      <c r="Y82" s="126" t="n"/>
      <c r="Z82" s="126" t="n"/>
      <c r="AA82" s="126" t="n"/>
      <c r="AB82" s="126" t="n"/>
      <c r="AC82" s="126" t="n"/>
      <c r="AD82" s="126" t="n"/>
      <c r="AE82" s="126" t="n"/>
      <c r="AF82" s="126" t="n"/>
      <c r="AG82" s="126" t="n"/>
      <c r="AH82" s="126" t="n"/>
      <c r="AI82" s="126" t="n"/>
      <c r="AJ82" s="126" t="n"/>
      <c r="AK82" s="126" t="n"/>
      <c r="AL82" s="126" t="n"/>
      <c r="AM82" s="126" t="n"/>
      <c r="AN82" s="126" t="n"/>
    </row>
    <row r="83" ht="21" customFormat="1" customHeight="1" s="127">
      <c r="A83" s="51">
        <f>IF($B83="","",ROW()-6)</f>
        <v/>
      </c>
      <c r="B83" s="268" t="n"/>
      <c r="C83" s="133" t="n"/>
      <c r="D83" s="50" t="n"/>
      <c r="E83" s="265" t="n"/>
      <c r="F83" s="133" t="n"/>
      <c r="G83" s="133" t="n"/>
      <c r="H83" s="50" t="n"/>
      <c r="I83" s="51">
        <f>IF($C83="","",IFERROR(INDEX(WorkerIDs,MATCH($C83,WorkerNames,0)),"?"))</f>
        <v/>
      </c>
      <c r="J83" s="253">
        <f>IF($B83="","",$B83-WEEKDAY($B83,2)+1)</f>
        <v/>
      </c>
      <c r="K83" s="142">
        <f>IF(OR($I83="",$I83="?",$D83&lt;&gt;"Advance",$B83=""),"",$I83&amp;"|"&amp;$J83&amp;"|"&amp;COUNTIFS($I$7:$I83,$I83,$J$7:$J83,$J83,$D$7:$D83,"Advance"))</f>
        <v/>
      </c>
      <c r="L83" s="266">
        <f>IF(OR($I83="",$I83="?",$B83=""),"",SUMPRODUCT((Weeks!$A$7:$A$59&lt;=$J83)*(Weeks!$X$5:$AI$5=$I83)*Weeks!$X$7:$AI$59)-SUMIFS($E$7:$E$1006,$I$7:$I$1006,$I83,$B$7:$B$1006,"&lt;="&amp;$B83))</f>
        <v/>
      </c>
      <c r="M83" s="132">
        <f>IF($B83&amp;$C83&amp;$D83&amp;$E83="","",IF($B83="","missing date",IF($C83="","missing worker",IF($I83="?","unknown worker - was the name changed on Workers?",IF($D83="","missing type",IF(N($E83)=0,"missing amount",IF(AND($E83&lt;0,$D83&lt;&gt;"Correction"),"negative amount - use a Correction to undo",IF(OR($B83&lt;Weeks!$A$7,$B83&gt;Weeks!$B$59),"date outside this workbook's year",IF(AND($D83="Advance",N($L83)&lt;0),"Warning: more than earned so far - worker now owes "&amp;TEXT(ROUND(-$L83,0),"#,##0"),"")))))))))</f>
        <v/>
      </c>
      <c r="N83" s="125" t="n"/>
      <c r="O83" s="126" t="n"/>
      <c r="P83" s="126" t="n"/>
      <c r="Q83" s="126" t="n"/>
      <c r="R83" s="126" t="n"/>
      <c r="S83" s="126" t="n"/>
      <c r="T83" s="126" t="n"/>
      <c r="U83" s="126" t="n"/>
      <c r="V83" s="126" t="n"/>
      <c r="W83" s="126" t="n"/>
      <c r="X83" s="126" t="n"/>
      <c r="Y83" s="126" t="n"/>
      <c r="Z83" s="126" t="n"/>
      <c r="AA83" s="126" t="n"/>
      <c r="AB83" s="126" t="n"/>
      <c r="AC83" s="126" t="n"/>
      <c r="AD83" s="126" t="n"/>
      <c r="AE83" s="126" t="n"/>
      <c r="AF83" s="126" t="n"/>
      <c r="AG83" s="126" t="n"/>
      <c r="AH83" s="126" t="n"/>
      <c r="AI83" s="126" t="n"/>
      <c r="AJ83" s="126" t="n"/>
      <c r="AK83" s="126" t="n"/>
      <c r="AL83" s="126" t="n"/>
      <c r="AM83" s="126" t="n"/>
      <c r="AN83" s="126" t="n"/>
    </row>
    <row r="84" ht="21" customFormat="1" customHeight="1" s="127">
      <c r="A84" s="51">
        <f>IF($B84="","",ROW()-6)</f>
        <v/>
      </c>
      <c r="B84" s="268" t="n"/>
      <c r="C84" s="133" t="n"/>
      <c r="D84" s="50" t="n"/>
      <c r="E84" s="265" t="n"/>
      <c r="F84" s="133" t="n"/>
      <c r="G84" s="133" t="n"/>
      <c r="H84" s="50" t="n"/>
      <c r="I84" s="51">
        <f>IF($C84="","",IFERROR(INDEX(WorkerIDs,MATCH($C84,WorkerNames,0)),"?"))</f>
        <v/>
      </c>
      <c r="J84" s="253">
        <f>IF($B84="","",$B84-WEEKDAY($B84,2)+1)</f>
        <v/>
      </c>
      <c r="K84" s="142">
        <f>IF(OR($I84="",$I84="?",$D84&lt;&gt;"Advance",$B84=""),"",$I84&amp;"|"&amp;$J84&amp;"|"&amp;COUNTIFS($I$7:$I84,$I84,$J$7:$J84,$J84,$D$7:$D84,"Advance"))</f>
        <v/>
      </c>
      <c r="L84" s="266">
        <f>IF(OR($I84="",$I84="?",$B84=""),"",SUMPRODUCT((Weeks!$A$7:$A$59&lt;=$J84)*(Weeks!$X$5:$AI$5=$I84)*Weeks!$X$7:$AI$59)-SUMIFS($E$7:$E$1006,$I$7:$I$1006,$I84,$B$7:$B$1006,"&lt;="&amp;$B84))</f>
        <v/>
      </c>
      <c r="M84" s="132">
        <f>IF($B84&amp;$C84&amp;$D84&amp;$E84="","",IF($B84="","missing date",IF($C84="","missing worker",IF($I84="?","unknown worker - was the name changed on Workers?",IF($D84="","missing type",IF(N($E84)=0,"missing amount",IF(AND($E84&lt;0,$D84&lt;&gt;"Correction"),"negative amount - use a Correction to undo",IF(OR($B84&lt;Weeks!$A$7,$B84&gt;Weeks!$B$59),"date outside this workbook's year",IF(AND($D84="Advance",N($L84)&lt;0),"Warning: more than earned so far - worker now owes "&amp;TEXT(ROUND(-$L84,0),"#,##0"),"")))))))))</f>
        <v/>
      </c>
      <c r="N84" s="125" t="n"/>
      <c r="O84" s="126" t="n"/>
      <c r="P84" s="126" t="n"/>
      <c r="Q84" s="126" t="n"/>
      <c r="R84" s="126" t="n"/>
      <c r="S84" s="126" t="n"/>
      <c r="T84" s="126" t="n"/>
      <c r="U84" s="126" t="n"/>
      <c r="V84" s="126" t="n"/>
      <c r="W84" s="126" t="n"/>
      <c r="X84" s="126" t="n"/>
      <c r="Y84" s="126" t="n"/>
      <c r="Z84" s="126" t="n"/>
      <c r="AA84" s="126" t="n"/>
      <c r="AB84" s="126" t="n"/>
      <c r="AC84" s="126" t="n"/>
      <c r="AD84" s="126" t="n"/>
      <c r="AE84" s="126" t="n"/>
      <c r="AF84" s="126" t="n"/>
      <c r="AG84" s="126" t="n"/>
      <c r="AH84" s="126" t="n"/>
      <c r="AI84" s="126" t="n"/>
      <c r="AJ84" s="126" t="n"/>
      <c r="AK84" s="126" t="n"/>
      <c r="AL84" s="126" t="n"/>
      <c r="AM84" s="126" t="n"/>
      <c r="AN84" s="126" t="n"/>
    </row>
    <row r="85" ht="21" customFormat="1" customHeight="1" s="127">
      <c r="A85" s="51">
        <f>IF($B85="","",ROW()-6)</f>
        <v/>
      </c>
      <c r="B85" s="268" t="n"/>
      <c r="C85" s="133" t="n"/>
      <c r="D85" s="50" t="n"/>
      <c r="E85" s="265" t="n"/>
      <c r="F85" s="133" t="n"/>
      <c r="G85" s="133" t="n"/>
      <c r="H85" s="50" t="n"/>
      <c r="I85" s="51">
        <f>IF($C85="","",IFERROR(INDEX(WorkerIDs,MATCH($C85,WorkerNames,0)),"?"))</f>
        <v/>
      </c>
      <c r="J85" s="253">
        <f>IF($B85="","",$B85-WEEKDAY($B85,2)+1)</f>
        <v/>
      </c>
      <c r="K85" s="142">
        <f>IF(OR($I85="",$I85="?",$D85&lt;&gt;"Advance",$B85=""),"",$I85&amp;"|"&amp;$J85&amp;"|"&amp;COUNTIFS($I$7:$I85,$I85,$J$7:$J85,$J85,$D$7:$D85,"Advance"))</f>
        <v/>
      </c>
      <c r="L85" s="266">
        <f>IF(OR($I85="",$I85="?",$B85=""),"",SUMPRODUCT((Weeks!$A$7:$A$59&lt;=$J85)*(Weeks!$X$5:$AI$5=$I85)*Weeks!$X$7:$AI$59)-SUMIFS($E$7:$E$1006,$I$7:$I$1006,$I85,$B$7:$B$1006,"&lt;="&amp;$B85))</f>
        <v/>
      </c>
      <c r="M85" s="132">
        <f>IF($B85&amp;$C85&amp;$D85&amp;$E85="","",IF($B85="","missing date",IF($C85="","missing worker",IF($I85="?","unknown worker - was the name changed on Workers?",IF($D85="","missing type",IF(N($E85)=0,"missing amount",IF(AND($E85&lt;0,$D85&lt;&gt;"Correction"),"negative amount - use a Correction to undo",IF(OR($B85&lt;Weeks!$A$7,$B85&gt;Weeks!$B$59),"date outside this workbook's year",IF(AND($D85="Advance",N($L85)&lt;0),"Warning: more than earned so far - worker now owes "&amp;TEXT(ROUND(-$L85,0),"#,##0"),"")))))))))</f>
        <v/>
      </c>
      <c r="N85" s="125" t="n"/>
      <c r="O85" s="126" t="n"/>
      <c r="P85" s="126" t="n"/>
      <c r="Q85" s="126" t="n"/>
      <c r="R85" s="126" t="n"/>
      <c r="S85" s="126" t="n"/>
      <c r="T85" s="126" t="n"/>
      <c r="U85" s="126" t="n"/>
      <c r="V85" s="126" t="n"/>
      <c r="W85" s="126" t="n"/>
      <c r="X85" s="126" t="n"/>
      <c r="Y85" s="126" t="n"/>
      <c r="Z85" s="126" t="n"/>
      <c r="AA85" s="126" t="n"/>
      <c r="AB85" s="126" t="n"/>
      <c r="AC85" s="126" t="n"/>
      <c r="AD85" s="126" t="n"/>
      <c r="AE85" s="126" t="n"/>
      <c r="AF85" s="126" t="n"/>
      <c r="AG85" s="126" t="n"/>
      <c r="AH85" s="126" t="n"/>
      <c r="AI85" s="126" t="n"/>
      <c r="AJ85" s="126" t="n"/>
      <c r="AK85" s="126" t="n"/>
      <c r="AL85" s="126" t="n"/>
      <c r="AM85" s="126" t="n"/>
      <c r="AN85" s="126" t="n"/>
    </row>
    <row r="86" ht="21" customFormat="1" customHeight="1" s="127">
      <c r="A86" s="51">
        <f>IF($B86="","",ROW()-6)</f>
        <v/>
      </c>
      <c r="B86" s="268" t="n"/>
      <c r="C86" s="133" t="n"/>
      <c r="D86" s="50" t="n"/>
      <c r="E86" s="265" t="n"/>
      <c r="F86" s="133" t="n"/>
      <c r="G86" s="133" t="n"/>
      <c r="H86" s="50" t="n"/>
      <c r="I86" s="51">
        <f>IF($C86="","",IFERROR(INDEX(WorkerIDs,MATCH($C86,WorkerNames,0)),"?"))</f>
        <v/>
      </c>
      <c r="J86" s="253">
        <f>IF($B86="","",$B86-WEEKDAY($B86,2)+1)</f>
        <v/>
      </c>
      <c r="K86" s="142">
        <f>IF(OR($I86="",$I86="?",$D86&lt;&gt;"Advance",$B86=""),"",$I86&amp;"|"&amp;$J86&amp;"|"&amp;COUNTIFS($I$7:$I86,$I86,$J$7:$J86,$J86,$D$7:$D86,"Advance"))</f>
        <v/>
      </c>
      <c r="L86" s="266">
        <f>IF(OR($I86="",$I86="?",$B86=""),"",SUMPRODUCT((Weeks!$A$7:$A$59&lt;=$J86)*(Weeks!$X$5:$AI$5=$I86)*Weeks!$X$7:$AI$59)-SUMIFS($E$7:$E$1006,$I$7:$I$1006,$I86,$B$7:$B$1006,"&lt;="&amp;$B86))</f>
        <v/>
      </c>
      <c r="M86" s="132">
        <f>IF($B86&amp;$C86&amp;$D86&amp;$E86="","",IF($B86="","missing date",IF($C86="","missing worker",IF($I86="?","unknown worker - was the name changed on Workers?",IF($D86="","missing type",IF(N($E86)=0,"missing amount",IF(AND($E86&lt;0,$D86&lt;&gt;"Correction"),"negative amount - use a Correction to undo",IF(OR($B86&lt;Weeks!$A$7,$B86&gt;Weeks!$B$59),"date outside this workbook's year",IF(AND($D86="Advance",N($L86)&lt;0),"Warning: more than earned so far - worker now owes "&amp;TEXT(ROUND(-$L86,0),"#,##0"),"")))))))))</f>
        <v/>
      </c>
      <c r="N86" s="125" t="n"/>
      <c r="O86" s="126" t="n"/>
      <c r="P86" s="126" t="n"/>
      <c r="Q86" s="126" t="n"/>
      <c r="R86" s="126" t="n"/>
      <c r="S86" s="126" t="n"/>
      <c r="T86" s="126" t="n"/>
      <c r="U86" s="126" t="n"/>
      <c r="V86" s="126" t="n"/>
      <c r="W86" s="126" t="n"/>
      <c r="X86" s="126" t="n"/>
      <c r="Y86" s="126" t="n"/>
      <c r="Z86" s="126" t="n"/>
      <c r="AA86" s="126" t="n"/>
      <c r="AB86" s="126" t="n"/>
      <c r="AC86" s="126" t="n"/>
      <c r="AD86" s="126" t="n"/>
      <c r="AE86" s="126" t="n"/>
      <c r="AF86" s="126" t="n"/>
      <c r="AG86" s="126" t="n"/>
      <c r="AH86" s="126" t="n"/>
      <c r="AI86" s="126" t="n"/>
      <c r="AJ86" s="126" t="n"/>
      <c r="AK86" s="126" t="n"/>
      <c r="AL86" s="126" t="n"/>
      <c r="AM86" s="126" t="n"/>
      <c r="AN86" s="126" t="n"/>
    </row>
    <row r="87" ht="21" customFormat="1" customHeight="1" s="127">
      <c r="A87" s="51">
        <f>IF($B87="","",ROW()-6)</f>
        <v/>
      </c>
      <c r="B87" s="268" t="n"/>
      <c r="C87" s="133" t="n"/>
      <c r="D87" s="50" t="n"/>
      <c r="E87" s="265" t="n"/>
      <c r="F87" s="133" t="n"/>
      <c r="G87" s="133" t="n"/>
      <c r="H87" s="50" t="n"/>
      <c r="I87" s="51">
        <f>IF($C87="","",IFERROR(INDEX(WorkerIDs,MATCH($C87,WorkerNames,0)),"?"))</f>
        <v/>
      </c>
      <c r="J87" s="253">
        <f>IF($B87="","",$B87-WEEKDAY($B87,2)+1)</f>
        <v/>
      </c>
      <c r="K87" s="142">
        <f>IF(OR($I87="",$I87="?",$D87&lt;&gt;"Advance",$B87=""),"",$I87&amp;"|"&amp;$J87&amp;"|"&amp;COUNTIFS($I$7:$I87,$I87,$J$7:$J87,$J87,$D$7:$D87,"Advance"))</f>
        <v/>
      </c>
      <c r="L87" s="266">
        <f>IF(OR($I87="",$I87="?",$B87=""),"",SUMPRODUCT((Weeks!$A$7:$A$59&lt;=$J87)*(Weeks!$X$5:$AI$5=$I87)*Weeks!$X$7:$AI$59)-SUMIFS($E$7:$E$1006,$I$7:$I$1006,$I87,$B$7:$B$1006,"&lt;="&amp;$B87))</f>
        <v/>
      </c>
      <c r="M87" s="132">
        <f>IF($B87&amp;$C87&amp;$D87&amp;$E87="","",IF($B87="","missing date",IF($C87="","missing worker",IF($I87="?","unknown worker - was the name changed on Workers?",IF($D87="","missing type",IF(N($E87)=0,"missing amount",IF(AND($E87&lt;0,$D87&lt;&gt;"Correction"),"negative amount - use a Correction to undo",IF(OR($B87&lt;Weeks!$A$7,$B87&gt;Weeks!$B$59),"date outside this workbook's year",IF(AND($D87="Advance",N($L87)&lt;0),"Warning: more than earned so far - worker now owes "&amp;TEXT(ROUND(-$L87,0),"#,##0"),"")))))))))</f>
        <v/>
      </c>
      <c r="N87" s="125" t="n"/>
      <c r="O87" s="126" t="n"/>
      <c r="P87" s="126" t="n"/>
      <c r="Q87" s="126" t="n"/>
      <c r="R87" s="126" t="n"/>
      <c r="S87" s="126" t="n"/>
      <c r="T87" s="126" t="n"/>
      <c r="U87" s="126" t="n"/>
      <c r="V87" s="126" t="n"/>
      <c r="W87" s="126" t="n"/>
      <c r="X87" s="126" t="n"/>
      <c r="Y87" s="126" t="n"/>
      <c r="Z87" s="126" t="n"/>
      <c r="AA87" s="126" t="n"/>
      <c r="AB87" s="126" t="n"/>
      <c r="AC87" s="126" t="n"/>
      <c r="AD87" s="126" t="n"/>
      <c r="AE87" s="126" t="n"/>
      <c r="AF87" s="126" t="n"/>
      <c r="AG87" s="126" t="n"/>
      <c r="AH87" s="126" t="n"/>
      <c r="AI87" s="126" t="n"/>
      <c r="AJ87" s="126" t="n"/>
      <c r="AK87" s="126" t="n"/>
      <c r="AL87" s="126" t="n"/>
      <c r="AM87" s="126" t="n"/>
      <c r="AN87" s="126" t="n"/>
    </row>
    <row r="88" ht="21" customFormat="1" customHeight="1" s="127">
      <c r="A88" s="51">
        <f>IF($B88="","",ROW()-6)</f>
        <v/>
      </c>
      <c r="B88" s="268" t="n"/>
      <c r="C88" s="133" t="n"/>
      <c r="D88" s="50" t="n"/>
      <c r="E88" s="265" t="n"/>
      <c r="F88" s="133" t="n"/>
      <c r="G88" s="133" t="n"/>
      <c r="H88" s="50" t="n"/>
      <c r="I88" s="51">
        <f>IF($C88="","",IFERROR(INDEX(WorkerIDs,MATCH($C88,WorkerNames,0)),"?"))</f>
        <v/>
      </c>
      <c r="J88" s="253">
        <f>IF($B88="","",$B88-WEEKDAY($B88,2)+1)</f>
        <v/>
      </c>
      <c r="K88" s="142">
        <f>IF(OR($I88="",$I88="?",$D88&lt;&gt;"Advance",$B88=""),"",$I88&amp;"|"&amp;$J88&amp;"|"&amp;COUNTIFS($I$7:$I88,$I88,$J$7:$J88,$J88,$D$7:$D88,"Advance"))</f>
        <v/>
      </c>
      <c r="L88" s="266">
        <f>IF(OR($I88="",$I88="?",$B88=""),"",SUMPRODUCT((Weeks!$A$7:$A$59&lt;=$J88)*(Weeks!$X$5:$AI$5=$I88)*Weeks!$X$7:$AI$59)-SUMIFS($E$7:$E$1006,$I$7:$I$1006,$I88,$B$7:$B$1006,"&lt;="&amp;$B88))</f>
        <v/>
      </c>
      <c r="M88" s="132">
        <f>IF($B88&amp;$C88&amp;$D88&amp;$E88="","",IF($B88="","missing date",IF($C88="","missing worker",IF($I88="?","unknown worker - was the name changed on Workers?",IF($D88="","missing type",IF(N($E88)=0,"missing amount",IF(AND($E88&lt;0,$D88&lt;&gt;"Correction"),"negative amount - use a Correction to undo",IF(OR($B88&lt;Weeks!$A$7,$B88&gt;Weeks!$B$59),"date outside this workbook's year",IF(AND($D88="Advance",N($L88)&lt;0),"Warning: more than earned so far - worker now owes "&amp;TEXT(ROUND(-$L88,0),"#,##0"),"")))))))))</f>
        <v/>
      </c>
      <c r="N88" s="125" t="n"/>
      <c r="O88" s="126" t="n"/>
      <c r="P88" s="126" t="n"/>
      <c r="Q88" s="126" t="n"/>
      <c r="R88" s="126" t="n"/>
      <c r="S88" s="126" t="n"/>
      <c r="T88" s="126" t="n"/>
      <c r="U88" s="126" t="n"/>
      <c r="V88" s="126" t="n"/>
      <c r="W88" s="126" t="n"/>
      <c r="X88" s="126" t="n"/>
      <c r="Y88" s="126" t="n"/>
      <c r="Z88" s="126" t="n"/>
      <c r="AA88" s="126" t="n"/>
      <c r="AB88" s="126" t="n"/>
      <c r="AC88" s="126" t="n"/>
      <c r="AD88" s="126" t="n"/>
      <c r="AE88" s="126" t="n"/>
      <c r="AF88" s="126" t="n"/>
      <c r="AG88" s="126" t="n"/>
      <c r="AH88" s="126" t="n"/>
      <c r="AI88" s="126" t="n"/>
      <c r="AJ88" s="126" t="n"/>
      <c r="AK88" s="126" t="n"/>
      <c r="AL88" s="126" t="n"/>
      <c r="AM88" s="126" t="n"/>
      <c r="AN88" s="126" t="n"/>
    </row>
    <row r="89" ht="21" customFormat="1" customHeight="1" s="127">
      <c r="A89" s="51">
        <f>IF($B89="","",ROW()-6)</f>
        <v/>
      </c>
      <c r="B89" s="268" t="n"/>
      <c r="C89" s="133" t="n"/>
      <c r="D89" s="50" t="n"/>
      <c r="E89" s="265" t="n"/>
      <c r="F89" s="133" t="n"/>
      <c r="G89" s="133" t="n"/>
      <c r="H89" s="50" t="n"/>
      <c r="I89" s="51">
        <f>IF($C89="","",IFERROR(INDEX(WorkerIDs,MATCH($C89,WorkerNames,0)),"?"))</f>
        <v/>
      </c>
      <c r="J89" s="253">
        <f>IF($B89="","",$B89-WEEKDAY($B89,2)+1)</f>
        <v/>
      </c>
      <c r="K89" s="142">
        <f>IF(OR($I89="",$I89="?",$D89&lt;&gt;"Advance",$B89=""),"",$I89&amp;"|"&amp;$J89&amp;"|"&amp;COUNTIFS($I$7:$I89,$I89,$J$7:$J89,$J89,$D$7:$D89,"Advance"))</f>
        <v/>
      </c>
      <c r="L89" s="266">
        <f>IF(OR($I89="",$I89="?",$B89=""),"",SUMPRODUCT((Weeks!$A$7:$A$59&lt;=$J89)*(Weeks!$X$5:$AI$5=$I89)*Weeks!$X$7:$AI$59)-SUMIFS($E$7:$E$1006,$I$7:$I$1006,$I89,$B$7:$B$1006,"&lt;="&amp;$B89))</f>
        <v/>
      </c>
      <c r="M89" s="132">
        <f>IF($B89&amp;$C89&amp;$D89&amp;$E89="","",IF($B89="","missing date",IF($C89="","missing worker",IF($I89="?","unknown worker - was the name changed on Workers?",IF($D89="","missing type",IF(N($E89)=0,"missing amount",IF(AND($E89&lt;0,$D89&lt;&gt;"Correction"),"negative amount - use a Correction to undo",IF(OR($B89&lt;Weeks!$A$7,$B89&gt;Weeks!$B$59),"date outside this workbook's year",IF(AND($D89="Advance",N($L89)&lt;0),"Warning: more than earned so far - worker now owes "&amp;TEXT(ROUND(-$L89,0),"#,##0"),"")))))))))</f>
        <v/>
      </c>
      <c r="N89" s="125" t="n"/>
      <c r="O89" s="126" t="n"/>
      <c r="P89" s="126" t="n"/>
      <c r="Q89" s="126" t="n"/>
      <c r="R89" s="126" t="n"/>
      <c r="S89" s="126" t="n"/>
      <c r="T89" s="126" t="n"/>
      <c r="U89" s="126" t="n"/>
      <c r="V89" s="126" t="n"/>
      <c r="W89" s="126" t="n"/>
      <c r="X89" s="126" t="n"/>
      <c r="Y89" s="126" t="n"/>
      <c r="Z89" s="126" t="n"/>
      <c r="AA89" s="126" t="n"/>
      <c r="AB89" s="126" t="n"/>
      <c r="AC89" s="126" t="n"/>
      <c r="AD89" s="126" t="n"/>
      <c r="AE89" s="126" t="n"/>
      <c r="AF89" s="126" t="n"/>
      <c r="AG89" s="126" t="n"/>
      <c r="AH89" s="126" t="n"/>
      <c r="AI89" s="126" t="n"/>
      <c r="AJ89" s="126" t="n"/>
      <c r="AK89" s="126" t="n"/>
      <c r="AL89" s="126" t="n"/>
      <c r="AM89" s="126" t="n"/>
      <c r="AN89" s="126" t="n"/>
    </row>
    <row r="90" ht="21" customFormat="1" customHeight="1" s="127">
      <c r="A90" s="51">
        <f>IF($B90="","",ROW()-6)</f>
        <v/>
      </c>
      <c r="B90" s="268" t="n"/>
      <c r="C90" s="133" t="n"/>
      <c r="D90" s="50" t="n"/>
      <c r="E90" s="265" t="n"/>
      <c r="F90" s="133" t="n"/>
      <c r="G90" s="133" t="n"/>
      <c r="H90" s="50" t="n"/>
      <c r="I90" s="51">
        <f>IF($C90="","",IFERROR(INDEX(WorkerIDs,MATCH($C90,WorkerNames,0)),"?"))</f>
        <v/>
      </c>
      <c r="J90" s="253">
        <f>IF($B90="","",$B90-WEEKDAY($B90,2)+1)</f>
        <v/>
      </c>
      <c r="K90" s="142">
        <f>IF(OR($I90="",$I90="?",$D90&lt;&gt;"Advance",$B90=""),"",$I90&amp;"|"&amp;$J90&amp;"|"&amp;COUNTIFS($I$7:$I90,$I90,$J$7:$J90,$J90,$D$7:$D90,"Advance"))</f>
        <v/>
      </c>
      <c r="L90" s="266">
        <f>IF(OR($I90="",$I90="?",$B90=""),"",SUMPRODUCT((Weeks!$A$7:$A$59&lt;=$J90)*(Weeks!$X$5:$AI$5=$I90)*Weeks!$X$7:$AI$59)-SUMIFS($E$7:$E$1006,$I$7:$I$1006,$I90,$B$7:$B$1006,"&lt;="&amp;$B90))</f>
        <v/>
      </c>
      <c r="M90" s="132">
        <f>IF($B90&amp;$C90&amp;$D90&amp;$E90="","",IF($B90="","missing date",IF($C90="","missing worker",IF($I90="?","unknown worker - was the name changed on Workers?",IF($D90="","missing type",IF(N($E90)=0,"missing amount",IF(AND($E90&lt;0,$D90&lt;&gt;"Correction"),"negative amount - use a Correction to undo",IF(OR($B90&lt;Weeks!$A$7,$B90&gt;Weeks!$B$59),"date outside this workbook's year",IF(AND($D90="Advance",N($L90)&lt;0),"Warning: more than earned so far - worker now owes "&amp;TEXT(ROUND(-$L90,0),"#,##0"),"")))))))))</f>
        <v/>
      </c>
      <c r="N90" s="125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  <c r="AM90" s="126" t="n"/>
      <c r="AN90" s="126" t="n"/>
    </row>
    <row r="91" ht="21" customFormat="1" customHeight="1" s="127">
      <c r="A91" s="51">
        <f>IF($B91="","",ROW()-6)</f>
        <v/>
      </c>
      <c r="B91" s="268" t="n"/>
      <c r="C91" s="133" t="n"/>
      <c r="D91" s="50" t="n"/>
      <c r="E91" s="265" t="n"/>
      <c r="F91" s="133" t="n"/>
      <c r="G91" s="133" t="n"/>
      <c r="H91" s="50" t="n"/>
      <c r="I91" s="51">
        <f>IF($C91="","",IFERROR(INDEX(WorkerIDs,MATCH($C91,WorkerNames,0)),"?"))</f>
        <v/>
      </c>
      <c r="J91" s="253">
        <f>IF($B91="","",$B91-WEEKDAY($B91,2)+1)</f>
        <v/>
      </c>
      <c r="K91" s="142">
        <f>IF(OR($I91="",$I91="?",$D91&lt;&gt;"Advance",$B91=""),"",$I91&amp;"|"&amp;$J91&amp;"|"&amp;COUNTIFS($I$7:$I91,$I91,$J$7:$J91,$J91,$D$7:$D91,"Advance"))</f>
        <v/>
      </c>
      <c r="L91" s="266">
        <f>IF(OR($I91="",$I91="?",$B91=""),"",SUMPRODUCT((Weeks!$A$7:$A$59&lt;=$J91)*(Weeks!$X$5:$AI$5=$I91)*Weeks!$X$7:$AI$59)-SUMIFS($E$7:$E$1006,$I$7:$I$1006,$I91,$B$7:$B$1006,"&lt;="&amp;$B91))</f>
        <v/>
      </c>
      <c r="M91" s="132">
        <f>IF($B91&amp;$C91&amp;$D91&amp;$E91="","",IF($B91="","missing date",IF($C91="","missing worker",IF($I91="?","unknown worker - was the name changed on Workers?",IF($D91="","missing type",IF(N($E91)=0,"missing amount",IF(AND($E91&lt;0,$D91&lt;&gt;"Correction"),"negative amount - use a Correction to undo",IF(OR($B91&lt;Weeks!$A$7,$B91&gt;Weeks!$B$59),"date outside this workbook's year",IF(AND($D91="Advance",N($L91)&lt;0),"Warning: more than earned so far - worker now owes "&amp;TEXT(ROUND(-$L91,0),"#,##0"),"")))))))))</f>
        <v/>
      </c>
      <c r="N91" s="125" t="n"/>
      <c r="O91" s="126" t="n"/>
      <c r="P91" s="126" t="n"/>
      <c r="Q91" s="126" t="n"/>
      <c r="R91" s="126" t="n"/>
      <c r="S91" s="126" t="n"/>
      <c r="T91" s="126" t="n"/>
      <c r="U91" s="126" t="n"/>
      <c r="V91" s="126" t="n"/>
      <c r="W91" s="126" t="n"/>
      <c r="X91" s="126" t="n"/>
      <c r="Y91" s="126" t="n"/>
      <c r="Z91" s="126" t="n"/>
      <c r="AA91" s="126" t="n"/>
      <c r="AB91" s="126" t="n"/>
      <c r="AC91" s="126" t="n"/>
      <c r="AD91" s="126" t="n"/>
      <c r="AE91" s="126" t="n"/>
      <c r="AF91" s="126" t="n"/>
      <c r="AG91" s="126" t="n"/>
      <c r="AH91" s="126" t="n"/>
      <c r="AI91" s="126" t="n"/>
      <c r="AJ91" s="126" t="n"/>
      <c r="AK91" s="126" t="n"/>
      <c r="AL91" s="126" t="n"/>
      <c r="AM91" s="126" t="n"/>
      <c r="AN91" s="126" t="n"/>
    </row>
    <row r="92" ht="21" customFormat="1" customHeight="1" s="127">
      <c r="A92" s="51">
        <f>IF($B92="","",ROW()-6)</f>
        <v/>
      </c>
      <c r="B92" s="268" t="n"/>
      <c r="C92" s="133" t="n"/>
      <c r="D92" s="50" t="n"/>
      <c r="E92" s="265" t="n"/>
      <c r="F92" s="133" t="n"/>
      <c r="G92" s="133" t="n"/>
      <c r="H92" s="50" t="n"/>
      <c r="I92" s="51">
        <f>IF($C92="","",IFERROR(INDEX(WorkerIDs,MATCH($C92,WorkerNames,0)),"?"))</f>
        <v/>
      </c>
      <c r="J92" s="253">
        <f>IF($B92="","",$B92-WEEKDAY($B92,2)+1)</f>
        <v/>
      </c>
      <c r="K92" s="142">
        <f>IF(OR($I92="",$I92="?",$D92&lt;&gt;"Advance",$B92=""),"",$I92&amp;"|"&amp;$J92&amp;"|"&amp;COUNTIFS($I$7:$I92,$I92,$J$7:$J92,$J92,$D$7:$D92,"Advance"))</f>
        <v/>
      </c>
      <c r="L92" s="266">
        <f>IF(OR($I92="",$I92="?",$B92=""),"",SUMPRODUCT((Weeks!$A$7:$A$59&lt;=$J92)*(Weeks!$X$5:$AI$5=$I92)*Weeks!$X$7:$AI$59)-SUMIFS($E$7:$E$1006,$I$7:$I$1006,$I92,$B$7:$B$1006,"&lt;="&amp;$B92))</f>
        <v/>
      </c>
      <c r="M92" s="132">
        <f>IF($B92&amp;$C92&amp;$D92&amp;$E92="","",IF($B92="","missing date",IF($C92="","missing worker",IF($I92="?","unknown worker - was the name changed on Workers?",IF($D92="","missing type",IF(N($E92)=0,"missing amount",IF(AND($E92&lt;0,$D92&lt;&gt;"Correction"),"negative amount - use a Correction to undo",IF(OR($B92&lt;Weeks!$A$7,$B92&gt;Weeks!$B$59),"date outside this workbook's year",IF(AND($D92="Advance",N($L92)&lt;0),"Warning: more than earned so far - worker now owes "&amp;TEXT(ROUND(-$L92,0),"#,##0"),"")))))))))</f>
        <v/>
      </c>
      <c r="N92" s="125" t="n"/>
      <c r="O92" s="126" t="n"/>
      <c r="P92" s="126" t="n"/>
      <c r="Q92" s="126" t="n"/>
      <c r="R92" s="126" t="n"/>
      <c r="S92" s="126" t="n"/>
      <c r="T92" s="126" t="n"/>
      <c r="U92" s="126" t="n"/>
      <c r="V92" s="126" t="n"/>
      <c r="W92" s="126" t="n"/>
      <c r="X92" s="126" t="n"/>
      <c r="Y92" s="126" t="n"/>
      <c r="Z92" s="126" t="n"/>
      <c r="AA92" s="126" t="n"/>
      <c r="AB92" s="126" t="n"/>
      <c r="AC92" s="126" t="n"/>
      <c r="AD92" s="126" t="n"/>
      <c r="AE92" s="126" t="n"/>
      <c r="AF92" s="126" t="n"/>
      <c r="AG92" s="126" t="n"/>
      <c r="AH92" s="126" t="n"/>
      <c r="AI92" s="126" t="n"/>
      <c r="AJ92" s="126" t="n"/>
      <c r="AK92" s="126" t="n"/>
      <c r="AL92" s="126" t="n"/>
      <c r="AM92" s="126" t="n"/>
      <c r="AN92" s="126" t="n"/>
    </row>
    <row r="93" ht="21" customFormat="1" customHeight="1" s="127">
      <c r="A93" s="51">
        <f>IF($B93="","",ROW()-6)</f>
        <v/>
      </c>
      <c r="B93" s="268" t="n"/>
      <c r="C93" s="133" t="n"/>
      <c r="D93" s="50" t="n"/>
      <c r="E93" s="265" t="n"/>
      <c r="F93" s="133" t="n"/>
      <c r="G93" s="133" t="n"/>
      <c r="H93" s="50" t="n"/>
      <c r="I93" s="51">
        <f>IF($C93="","",IFERROR(INDEX(WorkerIDs,MATCH($C93,WorkerNames,0)),"?"))</f>
        <v/>
      </c>
      <c r="J93" s="253">
        <f>IF($B93="","",$B93-WEEKDAY($B93,2)+1)</f>
        <v/>
      </c>
      <c r="K93" s="142">
        <f>IF(OR($I93="",$I93="?",$D93&lt;&gt;"Advance",$B93=""),"",$I93&amp;"|"&amp;$J93&amp;"|"&amp;COUNTIFS($I$7:$I93,$I93,$J$7:$J93,$J93,$D$7:$D93,"Advance"))</f>
        <v/>
      </c>
      <c r="L93" s="266">
        <f>IF(OR($I93="",$I93="?",$B93=""),"",SUMPRODUCT((Weeks!$A$7:$A$59&lt;=$J93)*(Weeks!$X$5:$AI$5=$I93)*Weeks!$X$7:$AI$59)-SUMIFS($E$7:$E$1006,$I$7:$I$1006,$I93,$B$7:$B$1006,"&lt;="&amp;$B93))</f>
        <v/>
      </c>
      <c r="M93" s="132">
        <f>IF($B93&amp;$C93&amp;$D93&amp;$E93="","",IF($B93="","missing date",IF($C93="","missing worker",IF($I93="?","unknown worker - was the name changed on Workers?",IF($D93="","missing type",IF(N($E93)=0,"missing amount",IF(AND($E93&lt;0,$D93&lt;&gt;"Correction"),"negative amount - use a Correction to undo",IF(OR($B93&lt;Weeks!$A$7,$B93&gt;Weeks!$B$59),"date outside this workbook's year",IF(AND($D93="Advance",N($L93)&lt;0),"Warning: more than earned so far - worker now owes "&amp;TEXT(ROUND(-$L93,0),"#,##0"),"")))))))))</f>
        <v/>
      </c>
      <c r="N93" s="125" t="n"/>
      <c r="O93" s="126" t="n"/>
      <c r="P93" s="126" t="n"/>
      <c r="Q93" s="126" t="n"/>
      <c r="R93" s="126" t="n"/>
      <c r="S93" s="126" t="n"/>
      <c r="T93" s="126" t="n"/>
      <c r="U93" s="126" t="n"/>
      <c r="V93" s="126" t="n"/>
      <c r="W93" s="126" t="n"/>
      <c r="X93" s="126" t="n"/>
      <c r="Y93" s="126" t="n"/>
      <c r="Z93" s="126" t="n"/>
      <c r="AA93" s="126" t="n"/>
      <c r="AB93" s="126" t="n"/>
      <c r="AC93" s="126" t="n"/>
      <c r="AD93" s="126" t="n"/>
      <c r="AE93" s="126" t="n"/>
      <c r="AF93" s="126" t="n"/>
      <c r="AG93" s="126" t="n"/>
      <c r="AH93" s="126" t="n"/>
      <c r="AI93" s="126" t="n"/>
      <c r="AJ93" s="126" t="n"/>
      <c r="AK93" s="126" t="n"/>
      <c r="AL93" s="126" t="n"/>
      <c r="AM93" s="126" t="n"/>
      <c r="AN93" s="126" t="n"/>
    </row>
    <row r="94" ht="21" customFormat="1" customHeight="1" s="127">
      <c r="A94" s="51">
        <f>IF($B94="","",ROW()-6)</f>
        <v/>
      </c>
      <c r="B94" s="268" t="n"/>
      <c r="C94" s="133" t="n"/>
      <c r="D94" s="50" t="n"/>
      <c r="E94" s="265" t="n"/>
      <c r="F94" s="133" t="n"/>
      <c r="G94" s="133" t="n"/>
      <c r="H94" s="50" t="n"/>
      <c r="I94" s="51">
        <f>IF($C94="","",IFERROR(INDEX(WorkerIDs,MATCH($C94,WorkerNames,0)),"?"))</f>
        <v/>
      </c>
      <c r="J94" s="253">
        <f>IF($B94="","",$B94-WEEKDAY($B94,2)+1)</f>
        <v/>
      </c>
      <c r="K94" s="142">
        <f>IF(OR($I94="",$I94="?",$D94&lt;&gt;"Advance",$B94=""),"",$I94&amp;"|"&amp;$J94&amp;"|"&amp;COUNTIFS($I$7:$I94,$I94,$J$7:$J94,$J94,$D$7:$D94,"Advance"))</f>
        <v/>
      </c>
      <c r="L94" s="266">
        <f>IF(OR($I94="",$I94="?",$B94=""),"",SUMPRODUCT((Weeks!$A$7:$A$59&lt;=$J94)*(Weeks!$X$5:$AI$5=$I94)*Weeks!$X$7:$AI$59)-SUMIFS($E$7:$E$1006,$I$7:$I$1006,$I94,$B$7:$B$1006,"&lt;="&amp;$B94))</f>
        <v/>
      </c>
      <c r="M94" s="132">
        <f>IF($B94&amp;$C94&amp;$D94&amp;$E94="","",IF($B94="","missing date",IF($C94="","missing worker",IF($I94="?","unknown worker - was the name changed on Workers?",IF($D94="","missing type",IF(N($E94)=0,"missing amount",IF(AND($E94&lt;0,$D94&lt;&gt;"Correction"),"negative amount - use a Correction to undo",IF(OR($B94&lt;Weeks!$A$7,$B94&gt;Weeks!$B$59),"date outside this workbook's year",IF(AND($D94="Advance",N($L94)&lt;0),"Warning: more than earned so far - worker now owes "&amp;TEXT(ROUND(-$L94,0),"#,##0"),"")))))))))</f>
        <v/>
      </c>
      <c r="N94" s="125" t="n"/>
      <c r="O94" s="126" t="n"/>
      <c r="P94" s="126" t="n"/>
      <c r="Q94" s="126" t="n"/>
      <c r="R94" s="126" t="n"/>
      <c r="S94" s="126" t="n"/>
      <c r="T94" s="126" t="n"/>
      <c r="U94" s="126" t="n"/>
      <c r="V94" s="126" t="n"/>
      <c r="W94" s="126" t="n"/>
      <c r="X94" s="126" t="n"/>
      <c r="Y94" s="126" t="n"/>
      <c r="Z94" s="126" t="n"/>
      <c r="AA94" s="126" t="n"/>
      <c r="AB94" s="126" t="n"/>
      <c r="AC94" s="126" t="n"/>
      <c r="AD94" s="126" t="n"/>
      <c r="AE94" s="126" t="n"/>
      <c r="AF94" s="126" t="n"/>
      <c r="AG94" s="126" t="n"/>
      <c r="AH94" s="126" t="n"/>
      <c r="AI94" s="126" t="n"/>
      <c r="AJ94" s="126" t="n"/>
      <c r="AK94" s="126" t="n"/>
      <c r="AL94" s="126" t="n"/>
      <c r="AM94" s="126" t="n"/>
      <c r="AN94" s="126" t="n"/>
    </row>
    <row r="95" ht="21" customFormat="1" customHeight="1" s="127">
      <c r="A95" s="51">
        <f>IF($B95="","",ROW()-6)</f>
        <v/>
      </c>
      <c r="B95" s="268" t="n"/>
      <c r="C95" s="133" t="n"/>
      <c r="D95" s="50" t="n"/>
      <c r="E95" s="265" t="n"/>
      <c r="F95" s="133" t="n"/>
      <c r="G95" s="133" t="n"/>
      <c r="H95" s="50" t="n"/>
      <c r="I95" s="51">
        <f>IF($C95="","",IFERROR(INDEX(WorkerIDs,MATCH($C95,WorkerNames,0)),"?"))</f>
        <v/>
      </c>
      <c r="J95" s="253">
        <f>IF($B95="","",$B95-WEEKDAY($B95,2)+1)</f>
        <v/>
      </c>
      <c r="K95" s="142">
        <f>IF(OR($I95="",$I95="?",$D95&lt;&gt;"Advance",$B95=""),"",$I95&amp;"|"&amp;$J95&amp;"|"&amp;COUNTIFS($I$7:$I95,$I95,$J$7:$J95,$J95,$D$7:$D95,"Advance"))</f>
        <v/>
      </c>
      <c r="L95" s="266">
        <f>IF(OR($I95="",$I95="?",$B95=""),"",SUMPRODUCT((Weeks!$A$7:$A$59&lt;=$J95)*(Weeks!$X$5:$AI$5=$I95)*Weeks!$X$7:$AI$59)-SUMIFS($E$7:$E$1006,$I$7:$I$1006,$I95,$B$7:$B$1006,"&lt;="&amp;$B95))</f>
        <v/>
      </c>
      <c r="M95" s="132">
        <f>IF($B95&amp;$C95&amp;$D95&amp;$E95="","",IF($B95="","missing date",IF($C95="","missing worker",IF($I95="?","unknown worker - was the name changed on Workers?",IF($D95="","missing type",IF(N($E95)=0,"missing amount",IF(AND($E95&lt;0,$D95&lt;&gt;"Correction"),"negative amount - use a Correction to undo",IF(OR($B95&lt;Weeks!$A$7,$B95&gt;Weeks!$B$59),"date outside this workbook's year",IF(AND($D95="Advance",N($L95)&lt;0),"Warning: more than earned so far - worker now owes "&amp;TEXT(ROUND(-$L95,0),"#,##0"),"")))))))))</f>
        <v/>
      </c>
      <c r="N95" s="125" t="n"/>
      <c r="O95" s="126" t="n"/>
      <c r="P95" s="126" t="n"/>
      <c r="Q95" s="126" t="n"/>
      <c r="R95" s="126" t="n"/>
      <c r="S95" s="126" t="n"/>
      <c r="T95" s="126" t="n"/>
      <c r="U95" s="126" t="n"/>
      <c r="V95" s="126" t="n"/>
      <c r="W95" s="126" t="n"/>
      <c r="X95" s="126" t="n"/>
      <c r="Y95" s="126" t="n"/>
      <c r="Z95" s="126" t="n"/>
      <c r="AA95" s="126" t="n"/>
      <c r="AB95" s="126" t="n"/>
      <c r="AC95" s="126" t="n"/>
      <c r="AD95" s="126" t="n"/>
      <c r="AE95" s="126" t="n"/>
      <c r="AF95" s="126" t="n"/>
      <c r="AG95" s="126" t="n"/>
      <c r="AH95" s="126" t="n"/>
      <c r="AI95" s="126" t="n"/>
      <c r="AJ95" s="126" t="n"/>
      <c r="AK95" s="126" t="n"/>
      <c r="AL95" s="126" t="n"/>
      <c r="AM95" s="126" t="n"/>
      <c r="AN95" s="126" t="n"/>
    </row>
    <row r="96" ht="21" customFormat="1" customHeight="1" s="127">
      <c r="A96" s="51">
        <f>IF($B96="","",ROW()-6)</f>
        <v/>
      </c>
      <c r="B96" s="268" t="n"/>
      <c r="C96" s="133" t="n"/>
      <c r="D96" s="50" t="n"/>
      <c r="E96" s="265" t="n"/>
      <c r="F96" s="133" t="n"/>
      <c r="G96" s="133" t="n"/>
      <c r="H96" s="50" t="n"/>
      <c r="I96" s="51">
        <f>IF($C96="","",IFERROR(INDEX(WorkerIDs,MATCH($C96,WorkerNames,0)),"?"))</f>
        <v/>
      </c>
      <c r="J96" s="253">
        <f>IF($B96="","",$B96-WEEKDAY($B96,2)+1)</f>
        <v/>
      </c>
      <c r="K96" s="142">
        <f>IF(OR($I96="",$I96="?",$D96&lt;&gt;"Advance",$B96=""),"",$I96&amp;"|"&amp;$J96&amp;"|"&amp;COUNTIFS($I$7:$I96,$I96,$J$7:$J96,$J96,$D$7:$D96,"Advance"))</f>
        <v/>
      </c>
      <c r="L96" s="266">
        <f>IF(OR($I96="",$I96="?",$B96=""),"",SUMPRODUCT((Weeks!$A$7:$A$59&lt;=$J96)*(Weeks!$X$5:$AI$5=$I96)*Weeks!$X$7:$AI$59)-SUMIFS($E$7:$E$1006,$I$7:$I$1006,$I96,$B$7:$B$1006,"&lt;="&amp;$B96))</f>
        <v/>
      </c>
      <c r="M96" s="132">
        <f>IF($B96&amp;$C96&amp;$D96&amp;$E96="","",IF($B96="","missing date",IF($C96="","missing worker",IF($I96="?","unknown worker - was the name changed on Workers?",IF($D96="","missing type",IF(N($E96)=0,"missing amount",IF(AND($E96&lt;0,$D96&lt;&gt;"Correction"),"negative amount - use a Correction to undo",IF(OR($B96&lt;Weeks!$A$7,$B96&gt;Weeks!$B$59),"date outside this workbook's year",IF(AND($D96="Advance",N($L96)&lt;0),"Warning: more than earned so far - worker now owes "&amp;TEXT(ROUND(-$L96,0),"#,##0"),"")))))))))</f>
        <v/>
      </c>
      <c r="N96" s="125" t="n"/>
      <c r="O96" s="126" t="n"/>
      <c r="P96" s="126" t="n"/>
      <c r="Q96" s="126" t="n"/>
      <c r="R96" s="126" t="n"/>
      <c r="S96" s="126" t="n"/>
      <c r="T96" s="126" t="n"/>
      <c r="U96" s="126" t="n"/>
      <c r="V96" s="126" t="n"/>
      <c r="W96" s="126" t="n"/>
      <c r="X96" s="126" t="n"/>
      <c r="Y96" s="126" t="n"/>
      <c r="Z96" s="126" t="n"/>
      <c r="AA96" s="126" t="n"/>
      <c r="AB96" s="126" t="n"/>
      <c r="AC96" s="126" t="n"/>
      <c r="AD96" s="126" t="n"/>
      <c r="AE96" s="126" t="n"/>
      <c r="AF96" s="126" t="n"/>
      <c r="AG96" s="126" t="n"/>
      <c r="AH96" s="126" t="n"/>
      <c r="AI96" s="126" t="n"/>
      <c r="AJ96" s="126" t="n"/>
      <c r="AK96" s="126" t="n"/>
      <c r="AL96" s="126" t="n"/>
      <c r="AM96" s="126" t="n"/>
      <c r="AN96" s="126" t="n"/>
    </row>
    <row r="97" ht="21" customFormat="1" customHeight="1" s="127">
      <c r="A97" s="51">
        <f>IF($B97="","",ROW()-6)</f>
        <v/>
      </c>
      <c r="B97" s="268" t="n"/>
      <c r="C97" s="133" t="n"/>
      <c r="D97" s="50" t="n"/>
      <c r="E97" s="265" t="n"/>
      <c r="F97" s="133" t="n"/>
      <c r="G97" s="133" t="n"/>
      <c r="H97" s="50" t="n"/>
      <c r="I97" s="51">
        <f>IF($C97="","",IFERROR(INDEX(WorkerIDs,MATCH($C97,WorkerNames,0)),"?"))</f>
        <v/>
      </c>
      <c r="J97" s="253">
        <f>IF($B97="","",$B97-WEEKDAY($B97,2)+1)</f>
        <v/>
      </c>
      <c r="K97" s="142">
        <f>IF(OR($I97="",$I97="?",$D97&lt;&gt;"Advance",$B97=""),"",$I97&amp;"|"&amp;$J97&amp;"|"&amp;COUNTIFS($I$7:$I97,$I97,$J$7:$J97,$J97,$D$7:$D97,"Advance"))</f>
        <v/>
      </c>
      <c r="L97" s="266">
        <f>IF(OR($I97="",$I97="?",$B97=""),"",SUMPRODUCT((Weeks!$A$7:$A$59&lt;=$J97)*(Weeks!$X$5:$AI$5=$I97)*Weeks!$X$7:$AI$59)-SUMIFS($E$7:$E$1006,$I$7:$I$1006,$I97,$B$7:$B$1006,"&lt;="&amp;$B97))</f>
        <v/>
      </c>
      <c r="M97" s="132">
        <f>IF($B97&amp;$C97&amp;$D97&amp;$E97="","",IF($B97="","missing date",IF($C97="","missing worker",IF($I97="?","unknown worker - was the name changed on Workers?",IF($D97="","missing type",IF(N($E97)=0,"missing amount",IF(AND($E97&lt;0,$D97&lt;&gt;"Correction"),"negative amount - use a Correction to undo",IF(OR($B97&lt;Weeks!$A$7,$B97&gt;Weeks!$B$59),"date outside this workbook's year",IF(AND($D97="Advance",N($L97)&lt;0),"Warning: more than earned so far - worker now owes "&amp;TEXT(ROUND(-$L97,0),"#,##0"),"")))))))))</f>
        <v/>
      </c>
      <c r="N97" s="125" t="n"/>
      <c r="O97" s="126" t="n"/>
      <c r="P97" s="126" t="n"/>
      <c r="Q97" s="126" t="n"/>
      <c r="R97" s="126" t="n"/>
      <c r="S97" s="126" t="n"/>
      <c r="T97" s="126" t="n"/>
      <c r="U97" s="126" t="n"/>
      <c r="V97" s="126" t="n"/>
      <c r="W97" s="126" t="n"/>
      <c r="X97" s="126" t="n"/>
      <c r="Y97" s="126" t="n"/>
      <c r="Z97" s="126" t="n"/>
      <c r="AA97" s="126" t="n"/>
      <c r="AB97" s="126" t="n"/>
      <c r="AC97" s="126" t="n"/>
      <c r="AD97" s="126" t="n"/>
      <c r="AE97" s="126" t="n"/>
      <c r="AF97" s="126" t="n"/>
      <c r="AG97" s="126" t="n"/>
      <c r="AH97" s="126" t="n"/>
      <c r="AI97" s="126" t="n"/>
      <c r="AJ97" s="126" t="n"/>
      <c r="AK97" s="126" t="n"/>
      <c r="AL97" s="126" t="n"/>
      <c r="AM97" s="126" t="n"/>
      <c r="AN97" s="126" t="n"/>
    </row>
    <row r="98" ht="21" customFormat="1" customHeight="1" s="127">
      <c r="A98" s="51">
        <f>IF($B98="","",ROW()-6)</f>
        <v/>
      </c>
      <c r="B98" s="268" t="n"/>
      <c r="C98" s="133" t="n"/>
      <c r="D98" s="50" t="n"/>
      <c r="E98" s="265" t="n"/>
      <c r="F98" s="133" t="n"/>
      <c r="G98" s="133" t="n"/>
      <c r="H98" s="50" t="n"/>
      <c r="I98" s="51">
        <f>IF($C98="","",IFERROR(INDEX(WorkerIDs,MATCH($C98,WorkerNames,0)),"?"))</f>
        <v/>
      </c>
      <c r="J98" s="253">
        <f>IF($B98="","",$B98-WEEKDAY($B98,2)+1)</f>
        <v/>
      </c>
      <c r="K98" s="142">
        <f>IF(OR($I98="",$I98="?",$D98&lt;&gt;"Advance",$B98=""),"",$I98&amp;"|"&amp;$J98&amp;"|"&amp;COUNTIFS($I$7:$I98,$I98,$J$7:$J98,$J98,$D$7:$D98,"Advance"))</f>
        <v/>
      </c>
      <c r="L98" s="266">
        <f>IF(OR($I98="",$I98="?",$B98=""),"",SUMPRODUCT((Weeks!$A$7:$A$59&lt;=$J98)*(Weeks!$X$5:$AI$5=$I98)*Weeks!$X$7:$AI$59)-SUMIFS($E$7:$E$1006,$I$7:$I$1006,$I98,$B$7:$B$1006,"&lt;="&amp;$B98))</f>
        <v/>
      </c>
      <c r="M98" s="132">
        <f>IF($B98&amp;$C98&amp;$D98&amp;$E98="","",IF($B98="","missing date",IF($C98="","missing worker",IF($I98="?","unknown worker - was the name changed on Workers?",IF($D98="","missing type",IF(N($E98)=0,"missing amount",IF(AND($E98&lt;0,$D98&lt;&gt;"Correction"),"negative amount - use a Correction to undo",IF(OR($B98&lt;Weeks!$A$7,$B98&gt;Weeks!$B$59),"date outside this workbook's year",IF(AND($D98="Advance",N($L98)&lt;0),"Warning: more than earned so far - worker now owes "&amp;TEXT(ROUND(-$L98,0),"#,##0"),"")))))))))</f>
        <v/>
      </c>
      <c r="N98" s="125" t="n"/>
      <c r="O98" s="126" t="n"/>
      <c r="P98" s="126" t="n"/>
      <c r="Q98" s="126" t="n"/>
      <c r="R98" s="126" t="n"/>
      <c r="S98" s="126" t="n"/>
      <c r="T98" s="126" t="n"/>
      <c r="U98" s="126" t="n"/>
      <c r="V98" s="126" t="n"/>
      <c r="W98" s="126" t="n"/>
      <c r="X98" s="126" t="n"/>
      <c r="Y98" s="126" t="n"/>
      <c r="Z98" s="126" t="n"/>
      <c r="AA98" s="126" t="n"/>
      <c r="AB98" s="126" t="n"/>
      <c r="AC98" s="126" t="n"/>
      <c r="AD98" s="126" t="n"/>
      <c r="AE98" s="126" t="n"/>
      <c r="AF98" s="126" t="n"/>
      <c r="AG98" s="126" t="n"/>
      <c r="AH98" s="126" t="n"/>
      <c r="AI98" s="126" t="n"/>
      <c r="AJ98" s="126" t="n"/>
      <c r="AK98" s="126" t="n"/>
      <c r="AL98" s="126" t="n"/>
      <c r="AM98" s="126" t="n"/>
      <c r="AN98" s="126" t="n"/>
    </row>
    <row r="99" ht="21" customFormat="1" customHeight="1" s="127">
      <c r="A99" s="51">
        <f>IF($B99="","",ROW()-6)</f>
        <v/>
      </c>
      <c r="B99" s="268" t="n"/>
      <c r="C99" s="133" t="n"/>
      <c r="D99" s="50" t="n"/>
      <c r="E99" s="265" t="n"/>
      <c r="F99" s="133" t="n"/>
      <c r="G99" s="133" t="n"/>
      <c r="H99" s="50" t="n"/>
      <c r="I99" s="51">
        <f>IF($C99="","",IFERROR(INDEX(WorkerIDs,MATCH($C99,WorkerNames,0)),"?"))</f>
        <v/>
      </c>
      <c r="J99" s="253">
        <f>IF($B99="","",$B99-WEEKDAY($B99,2)+1)</f>
        <v/>
      </c>
      <c r="K99" s="142">
        <f>IF(OR($I99="",$I99="?",$D99&lt;&gt;"Advance",$B99=""),"",$I99&amp;"|"&amp;$J99&amp;"|"&amp;COUNTIFS($I$7:$I99,$I99,$J$7:$J99,$J99,$D$7:$D99,"Advance"))</f>
        <v/>
      </c>
      <c r="L99" s="266">
        <f>IF(OR($I99="",$I99="?",$B99=""),"",SUMPRODUCT((Weeks!$A$7:$A$59&lt;=$J99)*(Weeks!$X$5:$AI$5=$I99)*Weeks!$X$7:$AI$59)-SUMIFS($E$7:$E$1006,$I$7:$I$1006,$I99,$B$7:$B$1006,"&lt;="&amp;$B99))</f>
        <v/>
      </c>
      <c r="M99" s="132">
        <f>IF($B99&amp;$C99&amp;$D99&amp;$E99="","",IF($B99="","missing date",IF($C99="","missing worker",IF($I99="?","unknown worker - was the name changed on Workers?",IF($D99="","missing type",IF(N($E99)=0,"missing amount",IF(AND($E99&lt;0,$D99&lt;&gt;"Correction"),"negative amount - use a Correction to undo",IF(OR($B99&lt;Weeks!$A$7,$B99&gt;Weeks!$B$59),"date outside this workbook's year",IF(AND($D99="Advance",N($L99)&lt;0),"Warning: more than earned so far - worker now owes "&amp;TEXT(ROUND(-$L99,0),"#,##0"),"")))))))))</f>
        <v/>
      </c>
      <c r="N99" s="125" t="n"/>
      <c r="O99" s="126" t="n"/>
      <c r="P99" s="126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126" t="n"/>
      <c r="Z99" s="126" t="n"/>
      <c r="AA99" s="126" t="n"/>
      <c r="AB99" s="126" t="n"/>
      <c r="AC99" s="126" t="n"/>
      <c r="AD99" s="126" t="n"/>
      <c r="AE99" s="126" t="n"/>
      <c r="AF99" s="126" t="n"/>
      <c r="AG99" s="126" t="n"/>
      <c r="AH99" s="126" t="n"/>
      <c r="AI99" s="126" t="n"/>
      <c r="AJ99" s="126" t="n"/>
      <c r="AK99" s="126" t="n"/>
      <c r="AL99" s="126" t="n"/>
      <c r="AM99" s="126" t="n"/>
      <c r="AN99" s="126" t="n"/>
    </row>
    <row r="100" ht="21" customFormat="1" customHeight="1" s="127">
      <c r="A100" s="51">
        <f>IF($B100="","",ROW()-6)</f>
        <v/>
      </c>
      <c r="B100" s="268" t="n"/>
      <c r="C100" s="133" t="n"/>
      <c r="D100" s="50" t="n"/>
      <c r="E100" s="265" t="n"/>
      <c r="F100" s="133" t="n"/>
      <c r="G100" s="133" t="n"/>
      <c r="H100" s="50" t="n"/>
      <c r="I100" s="51">
        <f>IF($C100="","",IFERROR(INDEX(WorkerIDs,MATCH($C100,WorkerNames,0)),"?"))</f>
        <v/>
      </c>
      <c r="J100" s="253">
        <f>IF($B100="","",$B100-WEEKDAY($B100,2)+1)</f>
        <v/>
      </c>
      <c r="K100" s="142">
        <f>IF(OR($I100="",$I100="?",$D100&lt;&gt;"Advance",$B100=""),"",$I100&amp;"|"&amp;$J100&amp;"|"&amp;COUNTIFS($I$7:$I100,$I100,$J$7:$J100,$J100,$D$7:$D100,"Advance"))</f>
        <v/>
      </c>
      <c r="L100" s="266">
        <f>IF(OR($I100="",$I100="?",$B100=""),"",SUMPRODUCT((Weeks!$A$7:$A$59&lt;=$J100)*(Weeks!$X$5:$AI$5=$I100)*Weeks!$X$7:$AI$59)-SUMIFS($E$7:$E$1006,$I$7:$I$1006,$I100,$B$7:$B$1006,"&lt;="&amp;$B100))</f>
        <v/>
      </c>
      <c r="M100" s="132">
        <f>IF($B100&amp;$C100&amp;$D100&amp;$E100="","",IF($B100="","missing date",IF($C100="","missing worker",IF($I100="?","unknown worker - was the name changed on Workers?",IF($D100="","missing type",IF(N($E100)=0,"missing amount",IF(AND($E100&lt;0,$D100&lt;&gt;"Correction"),"negative amount - use a Correction to undo",IF(OR($B100&lt;Weeks!$A$7,$B100&gt;Weeks!$B$59),"date outside this workbook's year",IF(AND($D100="Advance",N($L100)&lt;0),"Warning: more than earned so far - worker now owes "&amp;TEXT(ROUND(-$L100,0),"#,##0"),"")))))))))</f>
        <v/>
      </c>
      <c r="N100" s="125" t="n"/>
      <c r="O100" s="126" t="n"/>
      <c r="P100" s="126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126" t="n"/>
      <c r="Z100" s="126" t="n"/>
      <c r="AA100" s="126" t="n"/>
      <c r="AB100" s="126" t="n"/>
      <c r="AC100" s="126" t="n"/>
      <c r="AD100" s="126" t="n"/>
      <c r="AE100" s="126" t="n"/>
      <c r="AF100" s="126" t="n"/>
      <c r="AG100" s="126" t="n"/>
      <c r="AH100" s="126" t="n"/>
      <c r="AI100" s="126" t="n"/>
      <c r="AJ100" s="126" t="n"/>
      <c r="AK100" s="126" t="n"/>
      <c r="AL100" s="126" t="n"/>
      <c r="AM100" s="126" t="n"/>
      <c r="AN100" s="126" t="n"/>
    </row>
    <row r="101" ht="21" customFormat="1" customHeight="1" s="127">
      <c r="A101" s="51">
        <f>IF($B101="","",ROW()-6)</f>
        <v/>
      </c>
      <c r="B101" s="268" t="n"/>
      <c r="C101" s="133" t="n"/>
      <c r="D101" s="50" t="n"/>
      <c r="E101" s="265" t="n"/>
      <c r="F101" s="133" t="n"/>
      <c r="G101" s="133" t="n"/>
      <c r="H101" s="50" t="n"/>
      <c r="I101" s="51">
        <f>IF($C101="","",IFERROR(INDEX(WorkerIDs,MATCH($C101,WorkerNames,0)),"?"))</f>
        <v/>
      </c>
      <c r="J101" s="253">
        <f>IF($B101="","",$B101-WEEKDAY($B101,2)+1)</f>
        <v/>
      </c>
      <c r="K101" s="142">
        <f>IF(OR($I101="",$I101="?",$D101&lt;&gt;"Advance",$B101=""),"",$I101&amp;"|"&amp;$J101&amp;"|"&amp;COUNTIFS($I$7:$I101,$I101,$J$7:$J101,$J101,$D$7:$D101,"Advance"))</f>
        <v/>
      </c>
      <c r="L101" s="266">
        <f>IF(OR($I101="",$I101="?",$B101=""),"",SUMPRODUCT((Weeks!$A$7:$A$59&lt;=$J101)*(Weeks!$X$5:$AI$5=$I101)*Weeks!$X$7:$AI$59)-SUMIFS($E$7:$E$1006,$I$7:$I$1006,$I101,$B$7:$B$1006,"&lt;="&amp;$B101))</f>
        <v/>
      </c>
      <c r="M101" s="132">
        <f>IF($B101&amp;$C101&amp;$D101&amp;$E101="","",IF($B101="","missing date",IF($C101="","missing worker",IF($I101="?","unknown worker - was the name changed on Workers?",IF($D101="","missing type",IF(N($E101)=0,"missing amount",IF(AND($E101&lt;0,$D101&lt;&gt;"Correction"),"negative amount - use a Correction to undo",IF(OR($B101&lt;Weeks!$A$7,$B101&gt;Weeks!$B$59),"date outside this workbook's year",IF(AND($D101="Advance",N($L101)&lt;0),"Warning: more than earned so far - worker now owes "&amp;TEXT(ROUND(-$L101,0),"#,##0"),"")))))))))</f>
        <v/>
      </c>
      <c r="N101" s="125" t="n"/>
      <c r="O101" s="126" t="n"/>
      <c r="P101" s="126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126" t="n"/>
      <c r="Z101" s="126" t="n"/>
      <c r="AA101" s="126" t="n"/>
      <c r="AB101" s="126" t="n"/>
      <c r="AC101" s="126" t="n"/>
      <c r="AD101" s="126" t="n"/>
      <c r="AE101" s="126" t="n"/>
      <c r="AF101" s="126" t="n"/>
      <c r="AG101" s="126" t="n"/>
      <c r="AH101" s="126" t="n"/>
      <c r="AI101" s="126" t="n"/>
      <c r="AJ101" s="126" t="n"/>
      <c r="AK101" s="126" t="n"/>
      <c r="AL101" s="126" t="n"/>
      <c r="AM101" s="126" t="n"/>
      <c r="AN101" s="126" t="n"/>
    </row>
    <row r="102" ht="21" customFormat="1" customHeight="1" s="127">
      <c r="A102" s="51">
        <f>IF($B102="","",ROW()-6)</f>
        <v/>
      </c>
      <c r="B102" s="268" t="n"/>
      <c r="C102" s="133" t="n"/>
      <c r="D102" s="50" t="n"/>
      <c r="E102" s="265" t="n"/>
      <c r="F102" s="133" t="n"/>
      <c r="G102" s="133" t="n"/>
      <c r="H102" s="50" t="n"/>
      <c r="I102" s="51">
        <f>IF($C102="","",IFERROR(INDEX(WorkerIDs,MATCH($C102,WorkerNames,0)),"?"))</f>
        <v/>
      </c>
      <c r="J102" s="253">
        <f>IF($B102="","",$B102-WEEKDAY($B102,2)+1)</f>
        <v/>
      </c>
      <c r="K102" s="142">
        <f>IF(OR($I102="",$I102="?",$D102&lt;&gt;"Advance",$B102=""),"",$I102&amp;"|"&amp;$J102&amp;"|"&amp;COUNTIFS($I$7:$I102,$I102,$J$7:$J102,$J102,$D$7:$D102,"Advance"))</f>
        <v/>
      </c>
      <c r="L102" s="266">
        <f>IF(OR($I102="",$I102="?",$B102=""),"",SUMPRODUCT((Weeks!$A$7:$A$59&lt;=$J102)*(Weeks!$X$5:$AI$5=$I102)*Weeks!$X$7:$AI$59)-SUMIFS($E$7:$E$1006,$I$7:$I$1006,$I102,$B$7:$B$1006,"&lt;="&amp;$B102))</f>
        <v/>
      </c>
      <c r="M102" s="132">
        <f>IF($B102&amp;$C102&amp;$D102&amp;$E102="","",IF($B102="","missing date",IF($C102="","missing worker",IF($I102="?","unknown worker - was the name changed on Workers?",IF($D102="","missing type",IF(N($E102)=0,"missing amount",IF(AND($E102&lt;0,$D102&lt;&gt;"Correction"),"negative amount - use a Correction to undo",IF(OR($B102&lt;Weeks!$A$7,$B102&gt;Weeks!$B$59),"date outside this workbook's year",IF(AND($D102="Advance",N($L102)&lt;0),"Warning: more than earned so far - worker now owes "&amp;TEXT(ROUND(-$L102,0),"#,##0"),"")))))))))</f>
        <v/>
      </c>
      <c r="N102" s="125" t="n"/>
      <c r="O102" s="126" t="n"/>
      <c r="P102" s="126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126" t="n"/>
      <c r="Z102" s="126" t="n"/>
      <c r="AA102" s="126" t="n"/>
      <c r="AB102" s="126" t="n"/>
      <c r="AC102" s="126" t="n"/>
      <c r="AD102" s="126" t="n"/>
      <c r="AE102" s="126" t="n"/>
      <c r="AF102" s="126" t="n"/>
      <c r="AG102" s="126" t="n"/>
      <c r="AH102" s="126" t="n"/>
      <c r="AI102" s="126" t="n"/>
      <c r="AJ102" s="126" t="n"/>
      <c r="AK102" s="126" t="n"/>
      <c r="AL102" s="126" t="n"/>
      <c r="AM102" s="126" t="n"/>
      <c r="AN102" s="126" t="n"/>
    </row>
    <row r="103" ht="21" customFormat="1" customHeight="1" s="127">
      <c r="A103" s="51">
        <f>IF($B103="","",ROW()-6)</f>
        <v/>
      </c>
      <c r="B103" s="268" t="n"/>
      <c r="C103" s="133" t="n"/>
      <c r="D103" s="50" t="n"/>
      <c r="E103" s="265" t="n"/>
      <c r="F103" s="133" t="n"/>
      <c r="G103" s="133" t="n"/>
      <c r="H103" s="50" t="n"/>
      <c r="I103" s="51">
        <f>IF($C103="","",IFERROR(INDEX(WorkerIDs,MATCH($C103,WorkerNames,0)),"?"))</f>
        <v/>
      </c>
      <c r="J103" s="253">
        <f>IF($B103="","",$B103-WEEKDAY($B103,2)+1)</f>
        <v/>
      </c>
      <c r="K103" s="142">
        <f>IF(OR($I103="",$I103="?",$D103&lt;&gt;"Advance",$B103=""),"",$I103&amp;"|"&amp;$J103&amp;"|"&amp;COUNTIFS($I$7:$I103,$I103,$J$7:$J103,$J103,$D$7:$D103,"Advance"))</f>
        <v/>
      </c>
      <c r="L103" s="266">
        <f>IF(OR($I103="",$I103="?",$B103=""),"",SUMPRODUCT((Weeks!$A$7:$A$59&lt;=$J103)*(Weeks!$X$5:$AI$5=$I103)*Weeks!$X$7:$AI$59)-SUMIFS($E$7:$E$1006,$I$7:$I$1006,$I103,$B$7:$B$1006,"&lt;="&amp;$B103))</f>
        <v/>
      </c>
      <c r="M103" s="132">
        <f>IF($B103&amp;$C103&amp;$D103&amp;$E103="","",IF($B103="","missing date",IF($C103="","missing worker",IF($I103="?","unknown worker - was the name changed on Workers?",IF($D103="","missing type",IF(N($E103)=0,"missing amount",IF(AND($E103&lt;0,$D103&lt;&gt;"Correction"),"negative amount - use a Correction to undo",IF(OR($B103&lt;Weeks!$A$7,$B103&gt;Weeks!$B$59),"date outside this workbook's year",IF(AND($D103="Advance",N($L103)&lt;0),"Warning: more than earned so far - worker now owes "&amp;TEXT(ROUND(-$L103,0),"#,##0"),"")))))))))</f>
        <v/>
      </c>
      <c r="N103" s="125" t="n"/>
      <c r="O103" s="126" t="n"/>
      <c r="P103" s="126" t="n"/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126" t="n"/>
      <c r="Z103" s="126" t="n"/>
      <c r="AA103" s="126" t="n"/>
      <c r="AB103" s="126" t="n"/>
      <c r="AC103" s="126" t="n"/>
      <c r="AD103" s="126" t="n"/>
      <c r="AE103" s="126" t="n"/>
      <c r="AF103" s="126" t="n"/>
      <c r="AG103" s="126" t="n"/>
      <c r="AH103" s="126" t="n"/>
      <c r="AI103" s="126" t="n"/>
      <c r="AJ103" s="126" t="n"/>
      <c r="AK103" s="126" t="n"/>
      <c r="AL103" s="126" t="n"/>
      <c r="AM103" s="126" t="n"/>
      <c r="AN103" s="126" t="n"/>
    </row>
    <row r="104" ht="21" customFormat="1" customHeight="1" s="127">
      <c r="A104" s="51">
        <f>IF($B104="","",ROW()-6)</f>
        <v/>
      </c>
      <c r="B104" s="268" t="n"/>
      <c r="C104" s="133" t="n"/>
      <c r="D104" s="50" t="n"/>
      <c r="E104" s="265" t="n"/>
      <c r="F104" s="133" t="n"/>
      <c r="G104" s="133" t="n"/>
      <c r="H104" s="50" t="n"/>
      <c r="I104" s="51">
        <f>IF($C104="","",IFERROR(INDEX(WorkerIDs,MATCH($C104,WorkerNames,0)),"?"))</f>
        <v/>
      </c>
      <c r="J104" s="253">
        <f>IF($B104="","",$B104-WEEKDAY($B104,2)+1)</f>
        <v/>
      </c>
      <c r="K104" s="142">
        <f>IF(OR($I104="",$I104="?",$D104&lt;&gt;"Advance",$B104=""),"",$I104&amp;"|"&amp;$J104&amp;"|"&amp;COUNTIFS($I$7:$I104,$I104,$J$7:$J104,$J104,$D$7:$D104,"Advance"))</f>
        <v/>
      </c>
      <c r="L104" s="266">
        <f>IF(OR($I104="",$I104="?",$B104=""),"",SUMPRODUCT((Weeks!$A$7:$A$59&lt;=$J104)*(Weeks!$X$5:$AI$5=$I104)*Weeks!$X$7:$AI$59)-SUMIFS($E$7:$E$1006,$I$7:$I$1006,$I104,$B$7:$B$1006,"&lt;="&amp;$B104))</f>
        <v/>
      </c>
      <c r="M104" s="132">
        <f>IF($B104&amp;$C104&amp;$D104&amp;$E104="","",IF($B104="","missing date",IF($C104="","missing worker",IF($I104="?","unknown worker - was the name changed on Workers?",IF($D104="","missing type",IF(N($E104)=0,"missing amount",IF(AND($E104&lt;0,$D104&lt;&gt;"Correction"),"negative amount - use a Correction to undo",IF(OR($B104&lt;Weeks!$A$7,$B104&gt;Weeks!$B$59),"date outside this workbook's year",IF(AND($D104="Advance",N($L104)&lt;0),"Warning: more than earned so far - worker now owes "&amp;TEXT(ROUND(-$L104,0),"#,##0"),"")))))))))</f>
        <v/>
      </c>
      <c r="N104" s="125" t="n"/>
      <c r="O104" s="126" t="n"/>
      <c r="P104" s="126" t="n"/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126" t="n"/>
      <c r="Z104" s="126" t="n"/>
      <c r="AA104" s="126" t="n"/>
      <c r="AB104" s="126" t="n"/>
      <c r="AC104" s="126" t="n"/>
      <c r="AD104" s="126" t="n"/>
      <c r="AE104" s="126" t="n"/>
      <c r="AF104" s="126" t="n"/>
      <c r="AG104" s="126" t="n"/>
      <c r="AH104" s="126" t="n"/>
      <c r="AI104" s="126" t="n"/>
      <c r="AJ104" s="126" t="n"/>
      <c r="AK104" s="126" t="n"/>
      <c r="AL104" s="126" t="n"/>
      <c r="AM104" s="126" t="n"/>
      <c r="AN104" s="126" t="n"/>
    </row>
    <row r="105" ht="21" customFormat="1" customHeight="1" s="127">
      <c r="A105" s="51">
        <f>IF($B105="","",ROW()-6)</f>
        <v/>
      </c>
      <c r="B105" s="268" t="n"/>
      <c r="C105" s="133" t="n"/>
      <c r="D105" s="50" t="n"/>
      <c r="E105" s="265" t="n"/>
      <c r="F105" s="133" t="n"/>
      <c r="G105" s="133" t="n"/>
      <c r="H105" s="50" t="n"/>
      <c r="I105" s="51">
        <f>IF($C105="","",IFERROR(INDEX(WorkerIDs,MATCH($C105,WorkerNames,0)),"?"))</f>
        <v/>
      </c>
      <c r="J105" s="253">
        <f>IF($B105="","",$B105-WEEKDAY($B105,2)+1)</f>
        <v/>
      </c>
      <c r="K105" s="142">
        <f>IF(OR($I105="",$I105="?",$D105&lt;&gt;"Advance",$B105=""),"",$I105&amp;"|"&amp;$J105&amp;"|"&amp;COUNTIFS($I$7:$I105,$I105,$J$7:$J105,$J105,$D$7:$D105,"Advance"))</f>
        <v/>
      </c>
      <c r="L105" s="266">
        <f>IF(OR($I105="",$I105="?",$B105=""),"",SUMPRODUCT((Weeks!$A$7:$A$59&lt;=$J105)*(Weeks!$X$5:$AI$5=$I105)*Weeks!$X$7:$AI$59)-SUMIFS($E$7:$E$1006,$I$7:$I$1006,$I105,$B$7:$B$1006,"&lt;="&amp;$B105))</f>
        <v/>
      </c>
      <c r="M105" s="132">
        <f>IF($B105&amp;$C105&amp;$D105&amp;$E105="","",IF($B105="","missing date",IF($C105="","missing worker",IF($I105="?","unknown worker - was the name changed on Workers?",IF($D105="","missing type",IF(N($E105)=0,"missing amount",IF(AND($E105&lt;0,$D105&lt;&gt;"Correction"),"negative amount - use a Correction to undo",IF(OR($B105&lt;Weeks!$A$7,$B105&gt;Weeks!$B$59),"date outside this workbook's year",IF(AND($D105="Advance",N($L105)&lt;0),"Warning: more than earned so far - worker now owes "&amp;TEXT(ROUND(-$L105,0),"#,##0"),"")))))))))</f>
        <v/>
      </c>
      <c r="N105" s="125" t="n"/>
      <c r="O105" s="126" t="n"/>
      <c r="P105" s="126" t="n"/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126" t="n"/>
      <c r="Z105" s="126" t="n"/>
      <c r="AA105" s="126" t="n"/>
      <c r="AB105" s="126" t="n"/>
      <c r="AC105" s="126" t="n"/>
      <c r="AD105" s="126" t="n"/>
      <c r="AE105" s="126" t="n"/>
      <c r="AF105" s="126" t="n"/>
      <c r="AG105" s="126" t="n"/>
      <c r="AH105" s="126" t="n"/>
      <c r="AI105" s="126" t="n"/>
      <c r="AJ105" s="126" t="n"/>
      <c r="AK105" s="126" t="n"/>
      <c r="AL105" s="126" t="n"/>
      <c r="AM105" s="126" t="n"/>
      <c r="AN105" s="126" t="n"/>
    </row>
    <row r="106" ht="21" customFormat="1" customHeight="1" s="127">
      <c r="A106" s="51">
        <f>IF($B106="","",ROW()-6)</f>
        <v/>
      </c>
      <c r="B106" s="268" t="n"/>
      <c r="C106" s="133" t="n"/>
      <c r="D106" s="50" t="n"/>
      <c r="E106" s="265" t="n"/>
      <c r="F106" s="133" t="n"/>
      <c r="G106" s="133" t="n"/>
      <c r="H106" s="50" t="n"/>
      <c r="I106" s="51">
        <f>IF($C106="","",IFERROR(INDEX(WorkerIDs,MATCH($C106,WorkerNames,0)),"?"))</f>
        <v/>
      </c>
      <c r="J106" s="253">
        <f>IF($B106="","",$B106-WEEKDAY($B106,2)+1)</f>
        <v/>
      </c>
      <c r="K106" s="142">
        <f>IF(OR($I106="",$I106="?",$D106&lt;&gt;"Advance",$B106=""),"",$I106&amp;"|"&amp;$J106&amp;"|"&amp;COUNTIFS($I$7:$I106,$I106,$J$7:$J106,$J106,$D$7:$D106,"Advance"))</f>
        <v/>
      </c>
      <c r="L106" s="266">
        <f>IF(OR($I106="",$I106="?",$B106=""),"",SUMPRODUCT((Weeks!$A$7:$A$59&lt;=$J106)*(Weeks!$X$5:$AI$5=$I106)*Weeks!$X$7:$AI$59)-SUMIFS($E$7:$E$1006,$I$7:$I$1006,$I106,$B$7:$B$1006,"&lt;="&amp;$B106))</f>
        <v/>
      </c>
      <c r="M106" s="132">
        <f>IF($B106&amp;$C106&amp;$D106&amp;$E106="","",IF($B106="","missing date",IF($C106="","missing worker",IF($I106="?","unknown worker - was the name changed on Workers?",IF($D106="","missing type",IF(N($E106)=0,"missing amount",IF(AND($E106&lt;0,$D106&lt;&gt;"Correction"),"negative amount - use a Correction to undo",IF(OR($B106&lt;Weeks!$A$7,$B106&gt;Weeks!$B$59),"date outside this workbook's year",IF(AND($D106="Advance",N($L106)&lt;0),"Warning: more than earned so far - worker now owes "&amp;TEXT(ROUND(-$L106,0),"#,##0"),"")))))))))</f>
        <v/>
      </c>
      <c r="N106" s="125" t="n"/>
      <c r="O106" s="126" t="n"/>
      <c r="P106" s="126" t="n"/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126" t="n"/>
      <c r="Z106" s="126" t="n"/>
      <c r="AA106" s="126" t="n"/>
      <c r="AB106" s="126" t="n"/>
      <c r="AC106" s="126" t="n"/>
      <c r="AD106" s="126" t="n"/>
      <c r="AE106" s="126" t="n"/>
      <c r="AF106" s="126" t="n"/>
      <c r="AG106" s="126" t="n"/>
      <c r="AH106" s="126" t="n"/>
      <c r="AI106" s="126" t="n"/>
      <c r="AJ106" s="126" t="n"/>
      <c r="AK106" s="126" t="n"/>
      <c r="AL106" s="126" t="n"/>
      <c r="AM106" s="126" t="n"/>
      <c r="AN106" s="126" t="n"/>
    </row>
    <row r="107" ht="21" customFormat="1" customHeight="1" s="127">
      <c r="A107" s="51">
        <f>IF($B107="","",ROW()-6)</f>
        <v/>
      </c>
      <c r="B107" s="268" t="n"/>
      <c r="C107" s="133" t="n"/>
      <c r="D107" s="50" t="n"/>
      <c r="E107" s="265" t="n"/>
      <c r="F107" s="133" t="n"/>
      <c r="G107" s="133" t="n"/>
      <c r="H107" s="50" t="n"/>
      <c r="I107" s="51">
        <f>IF($C107="","",IFERROR(INDEX(WorkerIDs,MATCH($C107,WorkerNames,0)),"?"))</f>
        <v/>
      </c>
      <c r="J107" s="253">
        <f>IF($B107="","",$B107-WEEKDAY($B107,2)+1)</f>
        <v/>
      </c>
      <c r="K107" s="142">
        <f>IF(OR($I107="",$I107="?",$D107&lt;&gt;"Advance",$B107=""),"",$I107&amp;"|"&amp;$J107&amp;"|"&amp;COUNTIFS($I$7:$I107,$I107,$J$7:$J107,$J107,$D$7:$D107,"Advance"))</f>
        <v/>
      </c>
      <c r="L107" s="266">
        <f>IF(OR($I107="",$I107="?",$B107=""),"",SUMPRODUCT((Weeks!$A$7:$A$59&lt;=$J107)*(Weeks!$X$5:$AI$5=$I107)*Weeks!$X$7:$AI$59)-SUMIFS($E$7:$E$1006,$I$7:$I$1006,$I107,$B$7:$B$1006,"&lt;="&amp;$B107))</f>
        <v/>
      </c>
      <c r="M107" s="132">
        <f>IF($B107&amp;$C107&amp;$D107&amp;$E107="","",IF($B107="","missing date",IF($C107="","missing worker",IF($I107="?","unknown worker - was the name changed on Workers?",IF($D107="","missing type",IF(N($E107)=0,"missing amount",IF(AND($E107&lt;0,$D107&lt;&gt;"Correction"),"negative amount - use a Correction to undo",IF(OR($B107&lt;Weeks!$A$7,$B107&gt;Weeks!$B$59),"date outside this workbook's year",IF(AND($D107="Advance",N($L107)&lt;0),"Warning: more than earned so far - worker now owes "&amp;TEXT(ROUND(-$L107,0),"#,##0"),"")))))))))</f>
        <v/>
      </c>
      <c r="N107" s="125" t="n"/>
      <c r="O107" s="126" t="n"/>
      <c r="P107" s="126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  <c r="Y107" s="126" t="n"/>
      <c r="Z107" s="126" t="n"/>
      <c r="AA107" s="126" t="n"/>
      <c r="AB107" s="126" t="n"/>
      <c r="AC107" s="126" t="n"/>
      <c r="AD107" s="126" t="n"/>
      <c r="AE107" s="126" t="n"/>
      <c r="AF107" s="126" t="n"/>
      <c r="AG107" s="126" t="n"/>
      <c r="AH107" s="126" t="n"/>
      <c r="AI107" s="126" t="n"/>
      <c r="AJ107" s="126" t="n"/>
      <c r="AK107" s="126" t="n"/>
      <c r="AL107" s="126" t="n"/>
      <c r="AM107" s="126" t="n"/>
      <c r="AN107" s="126" t="n"/>
    </row>
    <row r="108" ht="21" customFormat="1" customHeight="1" s="127">
      <c r="A108" s="51">
        <f>IF($B108="","",ROW()-6)</f>
        <v/>
      </c>
      <c r="B108" s="268" t="n"/>
      <c r="C108" s="133" t="n"/>
      <c r="D108" s="50" t="n"/>
      <c r="E108" s="265" t="n"/>
      <c r="F108" s="133" t="n"/>
      <c r="G108" s="133" t="n"/>
      <c r="H108" s="50" t="n"/>
      <c r="I108" s="51">
        <f>IF($C108="","",IFERROR(INDEX(WorkerIDs,MATCH($C108,WorkerNames,0)),"?"))</f>
        <v/>
      </c>
      <c r="J108" s="253">
        <f>IF($B108="","",$B108-WEEKDAY($B108,2)+1)</f>
        <v/>
      </c>
      <c r="K108" s="142">
        <f>IF(OR($I108="",$I108="?",$D108&lt;&gt;"Advance",$B108=""),"",$I108&amp;"|"&amp;$J108&amp;"|"&amp;COUNTIFS($I$7:$I108,$I108,$J$7:$J108,$J108,$D$7:$D108,"Advance"))</f>
        <v/>
      </c>
      <c r="L108" s="266">
        <f>IF(OR($I108="",$I108="?",$B108=""),"",SUMPRODUCT((Weeks!$A$7:$A$59&lt;=$J108)*(Weeks!$X$5:$AI$5=$I108)*Weeks!$X$7:$AI$59)-SUMIFS($E$7:$E$1006,$I$7:$I$1006,$I108,$B$7:$B$1006,"&lt;="&amp;$B108))</f>
        <v/>
      </c>
      <c r="M108" s="132">
        <f>IF($B108&amp;$C108&amp;$D108&amp;$E108="","",IF($B108="","missing date",IF($C108="","missing worker",IF($I108="?","unknown worker - was the name changed on Workers?",IF($D108="","missing type",IF(N($E108)=0,"missing amount",IF(AND($E108&lt;0,$D108&lt;&gt;"Correction"),"negative amount - use a Correction to undo",IF(OR($B108&lt;Weeks!$A$7,$B108&gt;Weeks!$B$59),"date outside this workbook's year",IF(AND($D108="Advance",N($L108)&lt;0),"Warning: more than earned so far - worker now owes "&amp;TEXT(ROUND(-$L108,0),"#,##0"),"")))))))))</f>
        <v/>
      </c>
      <c r="N108" s="125" t="n"/>
      <c r="O108" s="126" t="n"/>
      <c r="P108" s="126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  <c r="Y108" s="126" t="n"/>
      <c r="Z108" s="126" t="n"/>
      <c r="AA108" s="126" t="n"/>
      <c r="AB108" s="126" t="n"/>
      <c r="AC108" s="126" t="n"/>
      <c r="AD108" s="126" t="n"/>
      <c r="AE108" s="126" t="n"/>
      <c r="AF108" s="126" t="n"/>
      <c r="AG108" s="126" t="n"/>
      <c r="AH108" s="126" t="n"/>
      <c r="AI108" s="126" t="n"/>
      <c r="AJ108" s="126" t="n"/>
      <c r="AK108" s="126" t="n"/>
      <c r="AL108" s="126" t="n"/>
      <c r="AM108" s="126" t="n"/>
      <c r="AN108" s="126" t="n"/>
    </row>
    <row r="109" ht="21" customFormat="1" customHeight="1" s="127">
      <c r="A109" s="51">
        <f>IF($B109="","",ROW()-6)</f>
        <v/>
      </c>
      <c r="B109" s="268" t="n"/>
      <c r="C109" s="133" t="n"/>
      <c r="D109" s="50" t="n"/>
      <c r="E109" s="265" t="n"/>
      <c r="F109" s="133" t="n"/>
      <c r="G109" s="133" t="n"/>
      <c r="H109" s="50" t="n"/>
      <c r="I109" s="51">
        <f>IF($C109="","",IFERROR(INDEX(WorkerIDs,MATCH($C109,WorkerNames,0)),"?"))</f>
        <v/>
      </c>
      <c r="J109" s="253">
        <f>IF($B109="","",$B109-WEEKDAY($B109,2)+1)</f>
        <v/>
      </c>
      <c r="K109" s="142">
        <f>IF(OR($I109="",$I109="?",$D109&lt;&gt;"Advance",$B109=""),"",$I109&amp;"|"&amp;$J109&amp;"|"&amp;COUNTIFS($I$7:$I109,$I109,$J$7:$J109,$J109,$D$7:$D109,"Advance"))</f>
        <v/>
      </c>
      <c r="L109" s="266">
        <f>IF(OR($I109="",$I109="?",$B109=""),"",SUMPRODUCT((Weeks!$A$7:$A$59&lt;=$J109)*(Weeks!$X$5:$AI$5=$I109)*Weeks!$X$7:$AI$59)-SUMIFS($E$7:$E$1006,$I$7:$I$1006,$I109,$B$7:$B$1006,"&lt;="&amp;$B109))</f>
        <v/>
      </c>
      <c r="M109" s="132">
        <f>IF($B109&amp;$C109&amp;$D109&amp;$E109="","",IF($B109="","missing date",IF($C109="","missing worker",IF($I109="?","unknown worker - was the name changed on Workers?",IF($D109="","missing type",IF(N($E109)=0,"missing amount",IF(AND($E109&lt;0,$D109&lt;&gt;"Correction"),"negative amount - use a Correction to undo",IF(OR($B109&lt;Weeks!$A$7,$B109&gt;Weeks!$B$59),"date outside this workbook's year",IF(AND($D109="Advance",N($L109)&lt;0),"Warning: more than earned so far - worker now owes "&amp;TEXT(ROUND(-$L109,0),"#,##0"),"")))))))))</f>
        <v/>
      </c>
      <c r="N109" s="125" t="n"/>
      <c r="O109" s="126" t="n"/>
      <c r="P109" s="126" t="n"/>
      <c r="Q109" s="126" t="n"/>
      <c r="R109" s="126" t="n"/>
      <c r="S109" s="126" t="n"/>
      <c r="T109" s="126" t="n"/>
      <c r="U109" s="126" t="n"/>
      <c r="V109" s="126" t="n"/>
      <c r="W109" s="126" t="n"/>
      <c r="X109" s="126" t="n"/>
      <c r="Y109" s="126" t="n"/>
      <c r="Z109" s="126" t="n"/>
      <c r="AA109" s="126" t="n"/>
      <c r="AB109" s="126" t="n"/>
      <c r="AC109" s="126" t="n"/>
      <c r="AD109" s="126" t="n"/>
      <c r="AE109" s="126" t="n"/>
      <c r="AF109" s="126" t="n"/>
      <c r="AG109" s="126" t="n"/>
      <c r="AH109" s="126" t="n"/>
      <c r="AI109" s="126" t="n"/>
      <c r="AJ109" s="126" t="n"/>
      <c r="AK109" s="126" t="n"/>
      <c r="AL109" s="126" t="n"/>
      <c r="AM109" s="126" t="n"/>
      <c r="AN109" s="126" t="n"/>
    </row>
    <row r="110" ht="21" customFormat="1" customHeight="1" s="127">
      <c r="A110" s="51">
        <f>IF($B110="","",ROW()-6)</f>
        <v/>
      </c>
      <c r="B110" s="268" t="n"/>
      <c r="C110" s="133" t="n"/>
      <c r="D110" s="50" t="n"/>
      <c r="E110" s="265" t="n"/>
      <c r="F110" s="133" t="n"/>
      <c r="G110" s="133" t="n"/>
      <c r="H110" s="50" t="n"/>
      <c r="I110" s="51">
        <f>IF($C110="","",IFERROR(INDEX(WorkerIDs,MATCH($C110,WorkerNames,0)),"?"))</f>
        <v/>
      </c>
      <c r="J110" s="253">
        <f>IF($B110="","",$B110-WEEKDAY($B110,2)+1)</f>
        <v/>
      </c>
      <c r="K110" s="142">
        <f>IF(OR($I110="",$I110="?",$D110&lt;&gt;"Advance",$B110=""),"",$I110&amp;"|"&amp;$J110&amp;"|"&amp;COUNTIFS($I$7:$I110,$I110,$J$7:$J110,$J110,$D$7:$D110,"Advance"))</f>
        <v/>
      </c>
      <c r="L110" s="266">
        <f>IF(OR($I110="",$I110="?",$B110=""),"",SUMPRODUCT((Weeks!$A$7:$A$59&lt;=$J110)*(Weeks!$X$5:$AI$5=$I110)*Weeks!$X$7:$AI$59)-SUMIFS($E$7:$E$1006,$I$7:$I$1006,$I110,$B$7:$B$1006,"&lt;="&amp;$B110))</f>
        <v/>
      </c>
      <c r="M110" s="132">
        <f>IF($B110&amp;$C110&amp;$D110&amp;$E110="","",IF($B110="","missing date",IF($C110="","missing worker",IF($I110="?","unknown worker - was the name changed on Workers?",IF($D110="","missing type",IF(N($E110)=0,"missing amount",IF(AND($E110&lt;0,$D110&lt;&gt;"Correction"),"negative amount - use a Correction to undo",IF(OR($B110&lt;Weeks!$A$7,$B110&gt;Weeks!$B$59),"date outside this workbook's year",IF(AND($D110="Advance",N($L110)&lt;0),"Warning: more than earned so far - worker now owes "&amp;TEXT(ROUND(-$L110,0),"#,##0"),"")))))))))</f>
        <v/>
      </c>
      <c r="N110" s="125" t="n"/>
      <c r="O110" s="126" t="n"/>
      <c r="P110" s="126" t="n"/>
      <c r="Q110" s="126" t="n"/>
      <c r="R110" s="126" t="n"/>
      <c r="S110" s="126" t="n"/>
      <c r="T110" s="126" t="n"/>
      <c r="U110" s="126" t="n"/>
      <c r="V110" s="126" t="n"/>
      <c r="W110" s="126" t="n"/>
      <c r="X110" s="126" t="n"/>
      <c r="Y110" s="126" t="n"/>
      <c r="Z110" s="126" t="n"/>
      <c r="AA110" s="126" t="n"/>
      <c r="AB110" s="126" t="n"/>
      <c r="AC110" s="126" t="n"/>
      <c r="AD110" s="126" t="n"/>
      <c r="AE110" s="126" t="n"/>
      <c r="AF110" s="126" t="n"/>
      <c r="AG110" s="126" t="n"/>
      <c r="AH110" s="126" t="n"/>
      <c r="AI110" s="126" t="n"/>
      <c r="AJ110" s="126" t="n"/>
      <c r="AK110" s="126" t="n"/>
      <c r="AL110" s="126" t="n"/>
      <c r="AM110" s="126" t="n"/>
      <c r="AN110" s="126" t="n"/>
    </row>
    <row r="111" ht="21" customFormat="1" customHeight="1" s="127">
      <c r="A111" s="51">
        <f>IF($B111="","",ROW()-6)</f>
        <v/>
      </c>
      <c r="B111" s="268" t="n"/>
      <c r="C111" s="133" t="n"/>
      <c r="D111" s="50" t="n"/>
      <c r="E111" s="265" t="n"/>
      <c r="F111" s="133" t="n"/>
      <c r="G111" s="133" t="n"/>
      <c r="H111" s="50" t="n"/>
      <c r="I111" s="51">
        <f>IF($C111="","",IFERROR(INDEX(WorkerIDs,MATCH($C111,WorkerNames,0)),"?"))</f>
        <v/>
      </c>
      <c r="J111" s="253">
        <f>IF($B111="","",$B111-WEEKDAY($B111,2)+1)</f>
        <v/>
      </c>
      <c r="K111" s="142">
        <f>IF(OR($I111="",$I111="?",$D111&lt;&gt;"Advance",$B111=""),"",$I111&amp;"|"&amp;$J111&amp;"|"&amp;COUNTIFS($I$7:$I111,$I111,$J$7:$J111,$J111,$D$7:$D111,"Advance"))</f>
        <v/>
      </c>
      <c r="L111" s="266">
        <f>IF(OR($I111="",$I111="?",$B111=""),"",SUMPRODUCT((Weeks!$A$7:$A$59&lt;=$J111)*(Weeks!$X$5:$AI$5=$I111)*Weeks!$X$7:$AI$59)-SUMIFS($E$7:$E$1006,$I$7:$I$1006,$I111,$B$7:$B$1006,"&lt;="&amp;$B111))</f>
        <v/>
      </c>
      <c r="M111" s="132">
        <f>IF($B111&amp;$C111&amp;$D111&amp;$E111="","",IF($B111="","missing date",IF($C111="","missing worker",IF($I111="?","unknown worker - was the name changed on Workers?",IF($D111="","missing type",IF(N($E111)=0,"missing amount",IF(AND($E111&lt;0,$D111&lt;&gt;"Correction"),"negative amount - use a Correction to undo",IF(OR($B111&lt;Weeks!$A$7,$B111&gt;Weeks!$B$59),"date outside this workbook's year",IF(AND($D111="Advance",N($L111)&lt;0),"Warning: more than earned so far - worker now owes "&amp;TEXT(ROUND(-$L111,0),"#,##0"),"")))))))))</f>
        <v/>
      </c>
      <c r="N111" s="125" t="n"/>
      <c r="O111" s="126" t="n"/>
      <c r="P111" s="126" t="n"/>
      <c r="Q111" s="126" t="n"/>
      <c r="R111" s="126" t="n"/>
      <c r="S111" s="126" t="n"/>
      <c r="T111" s="126" t="n"/>
      <c r="U111" s="126" t="n"/>
      <c r="V111" s="126" t="n"/>
      <c r="W111" s="126" t="n"/>
      <c r="X111" s="126" t="n"/>
      <c r="Y111" s="126" t="n"/>
      <c r="Z111" s="126" t="n"/>
      <c r="AA111" s="126" t="n"/>
      <c r="AB111" s="126" t="n"/>
      <c r="AC111" s="126" t="n"/>
      <c r="AD111" s="126" t="n"/>
      <c r="AE111" s="126" t="n"/>
      <c r="AF111" s="126" t="n"/>
      <c r="AG111" s="126" t="n"/>
      <c r="AH111" s="126" t="n"/>
      <c r="AI111" s="126" t="n"/>
      <c r="AJ111" s="126" t="n"/>
      <c r="AK111" s="126" t="n"/>
      <c r="AL111" s="126" t="n"/>
      <c r="AM111" s="126" t="n"/>
      <c r="AN111" s="126" t="n"/>
    </row>
    <row r="112" ht="21" customFormat="1" customHeight="1" s="127">
      <c r="A112" s="51">
        <f>IF($B112="","",ROW()-6)</f>
        <v/>
      </c>
      <c r="B112" s="268" t="n"/>
      <c r="C112" s="133" t="n"/>
      <c r="D112" s="50" t="n"/>
      <c r="E112" s="265" t="n"/>
      <c r="F112" s="133" t="n"/>
      <c r="G112" s="133" t="n"/>
      <c r="H112" s="50" t="n"/>
      <c r="I112" s="51">
        <f>IF($C112="","",IFERROR(INDEX(WorkerIDs,MATCH($C112,WorkerNames,0)),"?"))</f>
        <v/>
      </c>
      <c r="J112" s="253">
        <f>IF($B112="","",$B112-WEEKDAY($B112,2)+1)</f>
        <v/>
      </c>
      <c r="K112" s="142">
        <f>IF(OR($I112="",$I112="?",$D112&lt;&gt;"Advance",$B112=""),"",$I112&amp;"|"&amp;$J112&amp;"|"&amp;COUNTIFS($I$7:$I112,$I112,$J$7:$J112,$J112,$D$7:$D112,"Advance"))</f>
        <v/>
      </c>
      <c r="L112" s="266">
        <f>IF(OR($I112="",$I112="?",$B112=""),"",SUMPRODUCT((Weeks!$A$7:$A$59&lt;=$J112)*(Weeks!$X$5:$AI$5=$I112)*Weeks!$X$7:$AI$59)-SUMIFS($E$7:$E$1006,$I$7:$I$1006,$I112,$B$7:$B$1006,"&lt;="&amp;$B112))</f>
        <v/>
      </c>
      <c r="M112" s="132">
        <f>IF($B112&amp;$C112&amp;$D112&amp;$E112="","",IF($B112="","missing date",IF($C112="","missing worker",IF($I112="?","unknown worker - was the name changed on Workers?",IF($D112="","missing type",IF(N($E112)=0,"missing amount",IF(AND($E112&lt;0,$D112&lt;&gt;"Correction"),"negative amount - use a Correction to undo",IF(OR($B112&lt;Weeks!$A$7,$B112&gt;Weeks!$B$59),"date outside this workbook's year",IF(AND($D112="Advance",N($L112)&lt;0),"Warning: more than earned so far - worker now owes "&amp;TEXT(ROUND(-$L112,0),"#,##0"),"")))))))))</f>
        <v/>
      </c>
      <c r="N112" s="125" t="n"/>
      <c r="O112" s="126" t="n"/>
      <c r="P112" s="126" t="n"/>
      <c r="Q112" s="126" t="n"/>
      <c r="R112" s="126" t="n"/>
      <c r="S112" s="126" t="n"/>
      <c r="T112" s="126" t="n"/>
      <c r="U112" s="126" t="n"/>
      <c r="V112" s="126" t="n"/>
      <c r="W112" s="126" t="n"/>
      <c r="X112" s="126" t="n"/>
      <c r="Y112" s="126" t="n"/>
      <c r="Z112" s="126" t="n"/>
      <c r="AA112" s="126" t="n"/>
      <c r="AB112" s="126" t="n"/>
      <c r="AC112" s="126" t="n"/>
      <c r="AD112" s="126" t="n"/>
      <c r="AE112" s="126" t="n"/>
      <c r="AF112" s="126" t="n"/>
      <c r="AG112" s="126" t="n"/>
      <c r="AH112" s="126" t="n"/>
      <c r="AI112" s="126" t="n"/>
      <c r="AJ112" s="126" t="n"/>
      <c r="AK112" s="126" t="n"/>
      <c r="AL112" s="126" t="n"/>
      <c r="AM112" s="126" t="n"/>
      <c r="AN112" s="126" t="n"/>
    </row>
    <row r="113" ht="21" customFormat="1" customHeight="1" s="127">
      <c r="A113" s="51">
        <f>IF($B113="","",ROW()-6)</f>
        <v/>
      </c>
      <c r="B113" s="268" t="n"/>
      <c r="C113" s="133" t="n"/>
      <c r="D113" s="50" t="n"/>
      <c r="E113" s="265" t="n"/>
      <c r="F113" s="133" t="n"/>
      <c r="G113" s="133" t="n"/>
      <c r="H113" s="50" t="n"/>
      <c r="I113" s="51">
        <f>IF($C113="","",IFERROR(INDEX(WorkerIDs,MATCH($C113,WorkerNames,0)),"?"))</f>
        <v/>
      </c>
      <c r="J113" s="253">
        <f>IF($B113="","",$B113-WEEKDAY($B113,2)+1)</f>
        <v/>
      </c>
      <c r="K113" s="142">
        <f>IF(OR($I113="",$I113="?",$D113&lt;&gt;"Advance",$B113=""),"",$I113&amp;"|"&amp;$J113&amp;"|"&amp;COUNTIFS($I$7:$I113,$I113,$J$7:$J113,$J113,$D$7:$D113,"Advance"))</f>
        <v/>
      </c>
      <c r="L113" s="266">
        <f>IF(OR($I113="",$I113="?",$B113=""),"",SUMPRODUCT((Weeks!$A$7:$A$59&lt;=$J113)*(Weeks!$X$5:$AI$5=$I113)*Weeks!$X$7:$AI$59)-SUMIFS($E$7:$E$1006,$I$7:$I$1006,$I113,$B$7:$B$1006,"&lt;="&amp;$B113))</f>
        <v/>
      </c>
      <c r="M113" s="132">
        <f>IF($B113&amp;$C113&amp;$D113&amp;$E113="","",IF($B113="","missing date",IF($C113="","missing worker",IF($I113="?","unknown worker - was the name changed on Workers?",IF($D113="","missing type",IF(N($E113)=0,"missing amount",IF(AND($E113&lt;0,$D113&lt;&gt;"Correction"),"negative amount - use a Correction to undo",IF(OR($B113&lt;Weeks!$A$7,$B113&gt;Weeks!$B$59),"date outside this workbook's year",IF(AND($D113="Advance",N($L113)&lt;0),"Warning: more than earned so far - worker now owes "&amp;TEXT(ROUND(-$L113,0),"#,##0"),"")))))))))</f>
        <v/>
      </c>
      <c r="N113" s="125" t="n"/>
      <c r="O113" s="126" t="n"/>
      <c r="P113" s="126" t="n"/>
      <c r="Q113" s="126" t="n"/>
      <c r="R113" s="126" t="n"/>
      <c r="S113" s="126" t="n"/>
      <c r="T113" s="126" t="n"/>
      <c r="U113" s="126" t="n"/>
      <c r="V113" s="126" t="n"/>
      <c r="W113" s="126" t="n"/>
      <c r="X113" s="126" t="n"/>
      <c r="Y113" s="126" t="n"/>
      <c r="Z113" s="126" t="n"/>
      <c r="AA113" s="126" t="n"/>
      <c r="AB113" s="126" t="n"/>
      <c r="AC113" s="126" t="n"/>
      <c r="AD113" s="126" t="n"/>
      <c r="AE113" s="126" t="n"/>
      <c r="AF113" s="126" t="n"/>
      <c r="AG113" s="126" t="n"/>
      <c r="AH113" s="126" t="n"/>
      <c r="AI113" s="126" t="n"/>
      <c r="AJ113" s="126" t="n"/>
      <c r="AK113" s="126" t="n"/>
      <c r="AL113" s="126" t="n"/>
      <c r="AM113" s="126" t="n"/>
      <c r="AN113" s="126" t="n"/>
    </row>
    <row r="114" ht="21" customFormat="1" customHeight="1" s="127">
      <c r="A114" s="51">
        <f>IF($B114="","",ROW()-6)</f>
        <v/>
      </c>
      <c r="B114" s="268" t="n"/>
      <c r="C114" s="133" t="n"/>
      <c r="D114" s="50" t="n"/>
      <c r="E114" s="265" t="n"/>
      <c r="F114" s="133" t="n"/>
      <c r="G114" s="133" t="n"/>
      <c r="H114" s="50" t="n"/>
      <c r="I114" s="51">
        <f>IF($C114="","",IFERROR(INDEX(WorkerIDs,MATCH($C114,WorkerNames,0)),"?"))</f>
        <v/>
      </c>
      <c r="J114" s="253">
        <f>IF($B114="","",$B114-WEEKDAY($B114,2)+1)</f>
        <v/>
      </c>
      <c r="K114" s="142">
        <f>IF(OR($I114="",$I114="?",$D114&lt;&gt;"Advance",$B114=""),"",$I114&amp;"|"&amp;$J114&amp;"|"&amp;COUNTIFS($I$7:$I114,$I114,$J$7:$J114,$J114,$D$7:$D114,"Advance"))</f>
        <v/>
      </c>
      <c r="L114" s="266">
        <f>IF(OR($I114="",$I114="?",$B114=""),"",SUMPRODUCT((Weeks!$A$7:$A$59&lt;=$J114)*(Weeks!$X$5:$AI$5=$I114)*Weeks!$X$7:$AI$59)-SUMIFS($E$7:$E$1006,$I$7:$I$1006,$I114,$B$7:$B$1006,"&lt;="&amp;$B114))</f>
        <v/>
      </c>
      <c r="M114" s="132">
        <f>IF($B114&amp;$C114&amp;$D114&amp;$E114="","",IF($B114="","missing date",IF($C114="","missing worker",IF($I114="?","unknown worker - was the name changed on Workers?",IF($D114="","missing type",IF(N($E114)=0,"missing amount",IF(AND($E114&lt;0,$D114&lt;&gt;"Correction"),"negative amount - use a Correction to undo",IF(OR($B114&lt;Weeks!$A$7,$B114&gt;Weeks!$B$59),"date outside this workbook's year",IF(AND($D114="Advance",N($L114)&lt;0),"Warning: more than earned so far - worker now owes "&amp;TEXT(ROUND(-$L114,0),"#,##0"),"")))))))))</f>
        <v/>
      </c>
      <c r="N114" s="125" t="n"/>
      <c r="O114" s="126" t="n"/>
      <c r="P114" s="126" t="n"/>
      <c r="Q114" s="126" t="n"/>
      <c r="R114" s="126" t="n"/>
      <c r="S114" s="126" t="n"/>
      <c r="T114" s="126" t="n"/>
      <c r="U114" s="126" t="n"/>
      <c r="V114" s="126" t="n"/>
      <c r="W114" s="126" t="n"/>
      <c r="X114" s="126" t="n"/>
      <c r="Y114" s="126" t="n"/>
      <c r="Z114" s="126" t="n"/>
      <c r="AA114" s="126" t="n"/>
      <c r="AB114" s="126" t="n"/>
      <c r="AC114" s="126" t="n"/>
      <c r="AD114" s="126" t="n"/>
      <c r="AE114" s="126" t="n"/>
      <c r="AF114" s="126" t="n"/>
      <c r="AG114" s="126" t="n"/>
      <c r="AH114" s="126" t="n"/>
      <c r="AI114" s="126" t="n"/>
      <c r="AJ114" s="126" t="n"/>
      <c r="AK114" s="126" t="n"/>
      <c r="AL114" s="126" t="n"/>
      <c r="AM114" s="126" t="n"/>
      <c r="AN114" s="126" t="n"/>
    </row>
    <row r="115" ht="21" customFormat="1" customHeight="1" s="127">
      <c r="A115" s="51">
        <f>IF($B115="","",ROW()-6)</f>
        <v/>
      </c>
      <c r="B115" s="268" t="n"/>
      <c r="C115" s="133" t="n"/>
      <c r="D115" s="50" t="n"/>
      <c r="E115" s="265" t="n"/>
      <c r="F115" s="133" t="n"/>
      <c r="G115" s="133" t="n"/>
      <c r="H115" s="50" t="n"/>
      <c r="I115" s="51">
        <f>IF($C115="","",IFERROR(INDEX(WorkerIDs,MATCH($C115,WorkerNames,0)),"?"))</f>
        <v/>
      </c>
      <c r="J115" s="253">
        <f>IF($B115="","",$B115-WEEKDAY($B115,2)+1)</f>
        <v/>
      </c>
      <c r="K115" s="142">
        <f>IF(OR($I115="",$I115="?",$D115&lt;&gt;"Advance",$B115=""),"",$I115&amp;"|"&amp;$J115&amp;"|"&amp;COUNTIFS($I$7:$I115,$I115,$J$7:$J115,$J115,$D$7:$D115,"Advance"))</f>
        <v/>
      </c>
      <c r="L115" s="266">
        <f>IF(OR($I115="",$I115="?",$B115=""),"",SUMPRODUCT((Weeks!$A$7:$A$59&lt;=$J115)*(Weeks!$X$5:$AI$5=$I115)*Weeks!$X$7:$AI$59)-SUMIFS($E$7:$E$1006,$I$7:$I$1006,$I115,$B$7:$B$1006,"&lt;="&amp;$B115))</f>
        <v/>
      </c>
      <c r="M115" s="132">
        <f>IF($B115&amp;$C115&amp;$D115&amp;$E115="","",IF($B115="","missing date",IF($C115="","missing worker",IF($I115="?","unknown worker - was the name changed on Workers?",IF($D115="","missing type",IF(N($E115)=0,"missing amount",IF(AND($E115&lt;0,$D115&lt;&gt;"Correction"),"negative amount - use a Correction to undo",IF(OR($B115&lt;Weeks!$A$7,$B115&gt;Weeks!$B$59),"date outside this workbook's year",IF(AND($D115="Advance",N($L115)&lt;0),"Warning: more than earned so far - worker now owes "&amp;TEXT(ROUND(-$L115,0),"#,##0"),"")))))))))</f>
        <v/>
      </c>
      <c r="N115" s="125" t="n"/>
      <c r="O115" s="126" t="n"/>
      <c r="P115" s="126" t="n"/>
      <c r="Q115" s="126" t="n"/>
      <c r="R115" s="126" t="n"/>
      <c r="S115" s="126" t="n"/>
      <c r="T115" s="126" t="n"/>
      <c r="U115" s="126" t="n"/>
      <c r="V115" s="126" t="n"/>
      <c r="W115" s="126" t="n"/>
      <c r="X115" s="126" t="n"/>
      <c r="Y115" s="126" t="n"/>
      <c r="Z115" s="126" t="n"/>
      <c r="AA115" s="126" t="n"/>
      <c r="AB115" s="126" t="n"/>
      <c r="AC115" s="126" t="n"/>
      <c r="AD115" s="126" t="n"/>
      <c r="AE115" s="126" t="n"/>
      <c r="AF115" s="126" t="n"/>
      <c r="AG115" s="126" t="n"/>
      <c r="AH115" s="126" t="n"/>
      <c r="AI115" s="126" t="n"/>
      <c r="AJ115" s="126" t="n"/>
      <c r="AK115" s="126" t="n"/>
      <c r="AL115" s="126" t="n"/>
      <c r="AM115" s="126" t="n"/>
      <c r="AN115" s="126" t="n"/>
    </row>
    <row r="116" ht="21" customFormat="1" customHeight="1" s="127">
      <c r="A116" s="51">
        <f>IF($B116="","",ROW()-6)</f>
        <v/>
      </c>
      <c r="B116" s="268" t="n"/>
      <c r="C116" s="133" t="n"/>
      <c r="D116" s="50" t="n"/>
      <c r="E116" s="265" t="n"/>
      <c r="F116" s="133" t="n"/>
      <c r="G116" s="133" t="n"/>
      <c r="H116" s="50" t="n"/>
      <c r="I116" s="51">
        <f>IF($C116="","",IFERROR(INDEX(WorkerIDs,MATCH($C116,WorkerNames,0)),"?"))</f>
        <v/>
      </c>
      <c r="J116" s="253">
        <f>IF($B116="","",$B116-WEEKDAY($B116,2)+1)</f>
        <v/>
      </c>
      <c r="K116" s="142">
        <f>IF(OR($I116="",$I116="?",$D116&lt;&gt;"Advance",$B116=""),"",$I116&amp;"|"&amp;$J116&amp;"|"&amp;COUNTIFS($I$7:$I116,$I116,$J$7:$J116,$J116,$D$7:$D116,"Advance"))</f>
        <v/>
      </c>
      <c r="L116" s="266">
        <f>IF(OR($I116="",$I116="?",$B116=""),"",SUMPRODUCT((Weeks!$A$7:$A$59&lt;=$J116)*(Weeks!$X$5:$AI$5=$I116)*Weeks!$X$7:$AI$59)-SUMIFS($E$7:$E$1006,$I$7:$I$1006,$I116,$B$7:$B$1006,"&lt;="&amp;$B116))</f>
        <v/>
      </c>
      <c r="M116" s="132">
        <f>IF($B116&amp;$C116&amp;$D116&amp;$E116="","",IF($B116="","missing date",IF($C116="","missing worker",IF($I116="?","unknown worker - was the name changed on Workers?",IF($D116="","missing type",IF(N($E116)=0,"missing amount",IF(AND($E116&lt;0,$D116&lt;&gt;"Correction"),"negative amount - use a Correction to undo",IF(OR($B116&lt;Weeks!$A$7,$B116&gt;Weeks!$B$59),"date outside this workbook's year",IF(AND($D116="Advance",N($L116)&lt;0),"Warning: more than earned so far - worker now owes "&amp;TEXT(ROUND(-$L116,0),"#,##0"),"")))))))))</f>
        <v/>
      </c>
      <c r="N116" s="125" t="n"/>
      <c r="O116" s="126" t="n"/>
      <c r="P116" s="126" t="n"/>
      <c r="Q116" s="126" t="n"/>
      <c r="R116" s="126" t="n"/>
      <c r="S116" s="126" t="n"/>
      <c r="T116" s="126" t="n"/>
      <c r="U116" s="126" t="n"/>
      <c r="V116" s="126" t="n"/>
      <c r="W116" s="126" t="n"/>
      <c r="X116" s="126" t="n"/>
      <c r="Y116" s="126" t="n"/>
      <c r="Z116" s="126" t="n"/>
      <c r="AA116" s="126" t="n"/>
      <c r="AB116" s="126" t="n"/>
      <c r="AC116" s="126" t="n"/>
      <c r="AD116" s="126" t="n"/>
      <c r="AE116" s="126" t="n"/>
      <c r="AF116" s="126" t="n"/>
      <c r="AG116" s="126" t="n"/>
      <c r="AH116" s="126" t="n"/>
      <c r="AI116" s="126" t="n"/>
      <c r="AJ116" s="126" t="n"/>
      <c r="AK116" s="126" t="n"/>
      <c r="AL116" s="126" t="n"/>
      <c r="AM116" s="126" t="n"/>
      <c r="AN116" s="126" t="n"/>
    </row>
    <row r="117" ht="21" customFormat="1" customHeight="1" s="127">
      <c r="A117" s="51">
        <f>IF($B117="","",ROW()-6)</f>
        <v/>
      </c>
      <c r="B117" s="268" t="n"/>
      <c r="C117" s="133" t="n"/>
      <c r="D117" s="50" t="n"/>
      <c r="E117" s="265" t="n"/>
      <c r="F117" s="133" t="n"/>
      <c r="G117" s="133" t="n"/>
      <c r="H117" s="50" t="n"/>
      <c r="I117" s="51">
        <f>IF($C117="","",IFERROR(INDEX(WorkerIDs,MATCH($C117,WorkerNames,0)),"?"))</f>
        <v/>
      </c>
      <c r="J117" s="253">
        <f>IF($B117="","",$B117-WEEKDAY($B117,2)+1)</f>
        <v/>
      </c>
      <c r="K117" s="142">
        <f>IF(OR($I117="",$I117="?",$D117&lt;&gt;"Advance",$B117=""),"",$I117&amp;"|"&amp;$J117&amp;"|"&amp;COUNTIFS($I$7:$I117,$I117,$J$7:$J117,$J117,$D$7:$D117,"Advance"))</f>
        <v/>
      </c>
      <c r="L117" s="266">
        <f>IF(OR($I117="",$I117="?",$B117=""),"",SUMPRODUCT((Weeks!$A$7:$A$59&lt;=$J117)*(Weeks!$X$5:$AI$5=$I117)*Weeks!$X$7:$AI$59)-SUMIFS($E$7:$E$1006,$I$7:$I$1006,$I117,$B$7:$B$1006,"&lt;="&amp;$B117))</f>
        <v/>
      </c>
      <c r="M117" s="132">
        <f>IF($B117&amp;$C117&amp;$D117&amp;$E117="","",IF($B117="","missing date",IF($C117="","missing worker",IF($I117="?","unknown worker - was the name changed on Workers?",IF($D117="","missing type",IF(N($E117)=0,"missing amount",IF(AND($E117&lt;0,$D117&lt;&gt;"Correction"),"negative amount - use a Correction to undo",IF(OR($B117&lt;Weeks!$A$7,$B117&gt;Weeks!$B$59),"date outside this workbook's year",IF(AND($D117="Advance",N($L117)&lt;0),"Warning: more than earned so far - worker now owes "&amp;TEXT(ROUND(-$L117,0),"#,##0"),"")))))))))</f>
        <v/>
      </c>
      <c r="N117" s="125" t="n"/>
      <c r="O117" s="126" t="n"/>
      <c r="P117" s="126" t="n"/>
      <c r="Q117" s="126" t="n"/>
      <c r="R117" s="126" t="n"/>
      <c r="S117" s="126" t="n"/>
      <c r="T117" s="126" t="n"/>
      <c r="U117" s="126" t="n"/>
      <c r="V117" s="126" t="n"/>
      <c r="W117" s="126" t="n"/>
      <c r="X117" s="126" t="n"/>
      <c r="Y117" s="126" t="n"/>
      <c r="Z117" s="126" t="n"/>
      <c r="AA117" s="126" t="n"/>
      <c r="AB117" s="126" t="n"/>
      <c r="AC117" s="126" t="n"/>
      <c r="AD117" s="126" t="n"/>
      <c r="AE117" s="126" t="n"/>
      <c r="AF117" s="126" t="n"/>
      <c r="AG117" s="126" t="n"/>
      <c r="AH117" s="126" t="n"/>
      <c r="AI117" s="126" t="n"/>
      <c r="AJ117" s="126" t="n"/>
      <c r="AK117" s="126" t="n"/>
      <c r="AL117" s="126" t="n"/>
      <c r="AM117" s="126" t="n"/>
      <c r="AN117" s="126" t="n"/>
    </row>
    <row r="118" ht="21" customFormat="1" customHeight="1" s="127">
      <c r="A118" s="51">
        <f>IF($B118="","",ROW()-6)</f>
        <v/>
      </c>
      <c r="B118" s="268" t="n"/>
      <c r="C118" s="133" t="n"/>
      <c r="D118" s="50" t="n"/>
      <c r="E118" s="265" t="n"/>
      <c r="F118" s="133" t="n"/>
      <c r="G118" s="133" t="n"/>
      <c r="H118" s="50" t="n"/>
      <c r="I118" s="51">
        <f>IF($C118="","",IFERROR(INDEX(WorkerIDs,MATCH($C118,WorkerNames,0)),"?"))</f>
        <v/>
      </c>
      <c r="J118" s="253">
        <f>IF($B118="","",$B118-WEEKDAY($B118,2)+1)</f>
        <v/>
      </c>
      <c r="K118" s="142">
        <f>IF(OR($I118="",$I118="?",$D118&lt;&gt;"Advance",$B118=""),"",$I118&amp;"|"&amp;$J118&amp;"|"&amp;COUNTIFS($I$7:$I118,$I118,$J$7:$J118,$J118,$D$7:$D118,"Advance"))</f>
        <v/>
      </c>
      <c r="L118" s="266">
        <f>IF(OR($I118="",$I118="?",$B118=""),"",SUMPRODUCT((Weeks!$A$7:$A$59&lt;=$J118)*(Weeks!$X$5:$AI$5=$I118)*Weeks!$X$7:$AI$59)-SUMIFS($E$7:$E$1006,$I$7:$I$1006,$I118,$B$7:$B$1006,"&lt;="&amp;$B118))</f>
        <v/>
      </c>
      <c r="M118" s="132">
        <f>IF($B118&amp;$C118&amp;$D118&amp;$E118="","",IF($B118="","missing date",IF($C118="","missing worker",IF($I118="?","unknown worker - was the name changed on Workers?",IF($D118="","missing type",IF(N($E118)=0,"missing amount",IF(AND($E118&lt;0,$D118&lt;&gt;"Correction"),"negative amount - use a Correction to undo",IF(OR($B118&lt;Weeks!$A$7,$B118&gt;Weeks!$B$59),"date outside this workbook's year",IF(AND($D118="Advance",N($L118)&lt;0),"Warning: more than earned so far - worker now owes "&amp;TEXT(ROUND(-$L118,0),"#,##0"),"")))))))))</f>
        <v/>
      </c>
      <c r="N118" s="125" t="n"/>
      <c r="O118" s="126" t="n"/>
      <c r="P118" s="126" t="n"/>
      <c r="Q118" s="126" t="n"/>
      <c r="R118" s="126" t="n"/>
      <c r="S118" s="126" t="n"/>
      <c r="T118" s="126" t="n"/>
      <c r="U118" s="126" t="n"/>
      <c r="V118" s="126" t="n"/>
      <c r="W118" s="126" t="n"/>
      <c r="X118" s="126" t="n"/>
      <c r="Y118" s="126" t="n"/>
      <c r="Z118" s="126" t="n"/>
      <c r="AA118" s="126" t="n"/>
      <c r="AB118" s="126" t="n"/>
      <c r="AC118" s="126" t="n"/>
      <c r="AD118" s="126" t="n"/>
      <c r="AE118" s="126" t="n"/>
      <c r="AF118" s="126" t="n"/>
      <c r="AG118" s="126" t="n"/>
      <c r="AH118" s="126" t="n"/>
      <c r="AI118" s="126" t="n"/>
      <c r="AJ118" s="126" t="n"/>
      <c r="AK118" s="126" t="n"/>
      <c r="AL118" s="126" t="n"/>
      <c r="AM118" s="126" t="n"/>
      <c r="AN118" s="126" t="n"/>
    </row>
    <row r="119" ht="21" customFormat="1" customHeight="1" s="127">
      <c r="A119" s="51">
        <f>IF($B119="","",ROW()-6)</f>
        <v/>
      </c>
      <c r="B119" s="268" t="n"/>
      <c r="C119" s="133" t="n"/>
      <c r="D119" s="50" t="n"/>
      <c r="E119" s="265" t="n"/>
      <c r="F119" s="133" t="n"/>
      <c r="G119" s="133" t="n"/>
      <c r="H119" s="50" t="n"/>
      <c r="I119" s="51">
        <f>IF($C119="","",IFERROR(INDEX(WorkerIDs,MATCH($C119,WorkerNames,0)),"?"))</f>
        <v/>
      </c>
      <c r="J119" s="253">
        <f>IF($B119="","",$B119-WEEKDAY($B119,2)+1)</f>
        <v/>
      </c>
      <c r="K119" s="142">
        <f>IF(OR($I119="",$I119="?",$D119&lt;&gt;"Advance",$B119=""),"",$I119&amp;"|"&amp;$J119&amp;"|"&amp;COUNTIFS($I$7:$I119,$I119,$J$7:$J119,$J119,$D$7:$D119,"Advance"))</f>
        <v/>
      </c>
      <c r="L119" s="266">
        <f>IF(OR($I119="",$I119="?",$B119=""),"",SUMPRODUCT((Weeks!$A$7:$A$59&lt;=$J119)*(Weeks!$X$5:$AI$5=$I119)*Weeks!$X$7:$AI$59)-SUMIFS($E$7:$E$1006,$I$7:$I$1006,$I119,$B$7:$B$1006,"&lt;="&amp;$B119))</f>
        <v/>
      </c>
      <c r="M119" s="132">
        <f>IF($B119&amp;$C119&amp;$D119&amp;$E119="","",IF($B119="","missing date",IF($C119="","missing worker",IF($I119="?","unknown worker - was the name changed on Workers?",IF($D119="","missing type",IF(N($E119)=0,"missing amount",IF(AND($E119&lt;0,$D119&lt;&gt;"Correction"),"negative amount - use a Correction to undo",IF(OR($B119&lt;Weeks!$A$7,$B119&gt;Weeks!$B$59),"date outside this workbook's year",IF(AND($D119="Advance",N($L119)&lt;0),"Warning: more than earned so far - worker now owes "&amp;TEXT(ROUND(-$L119,0),"#,##0"),"")))))))))</f>
        <v/>
      </c>
      <c r="N119" s="125" t="n"/>
      <c r="O119" s="126" t="n"/>
      <c r="P119" s="126" t="n"/>
      <c r="Q119" s="126" t="n"/>
      <c r="R119" s="126" t="n"/>
      <c r="S119" s="126" t="n"/>
      <c r="T119" s="126" t="n"/>
      <c r="U119" s="126" t="n"/>
      <c r="V119" s="126" t="n"/>
      <c r="W119" s="126" t="n"/>
      <c r="X119" s="126" t="n"/>
      <c r="Y119" s="126" t="n"/>
      <c r="Z119" s="126" t="n"/>
      <c r="AA119" s="126" t="n"/>
      <c r="AB119" s="126" t="n"/>
      <c r="AC119" s="126" t="n"/>
      <c r="AD119" s="126" t="n"/>
      <c r="AE119" s="126" t="n"/>
      <c r="AF119" s="126" t="n"/>
      <c r="AG119" s="126" t="n"/>
      <c r="AH119" s="126" t="n"/>
      <c r="AI119" s="126" t="n"/>
      <c r="AJ119" s="126" t="n"/>
      <c r="AK119" s="126" t="n"/>
      <c r="AL119" s="126" t="n"/>
      <c r="AM119" s="126" t="n"/>
      <c r="AN119" s="126" t="n"/>
    </row>
    <row r="120" ht="21" customFormat="1" customHeight="1" s="127">
      <c r="A120" s="51">
        <f>IF($B120="","",ROW()-6)</f>
        <v/>
      </c>
      <c r="B120" s="268" t="n"/>
      <c r="C120" s="133" t="n"/>
      <c r="D120" s="50" t="n"/>
      <c r="E120" s="265" t="n"/>
      <c r="F120" s="133" t="n"/>
      <c r="G120" s="133" t="n"/>
      <c r="H120" s="50" t="n"/>
      <c r="I120" s="51">
        <f>IF($C120="","",IFERROR(INDEX(WorkerIDs,MATCH($C120,WorkerNames,0)),"?"))</f>
        <v/>
      </c>
      <c r="J120" s="253">
        <f>IF($B120="","",$B120-WEEKDAY($B120,2)+1)</f>
        <v/>
      </c>
      <c r="K120" s="142">
        <f>IF(OR($I120="",$I120="?",$D120&lt;&gt;"Advance",$B120=""),"",$I120&amp;"|"&amp;$J120&amp;"|"&amp;COUNTIFS($I$7:$I120,$I120,$J$7:$J120,$J120,$D$7:$D120,"Advance"))</f>
        <v/>
      </c>
      <c r="L120" s="266">
        <f>IF(OR($I120="",$I120="?",$B120=""),"",SUMPRODUCT((Weeks!$A$7:$A$59&lt;=$J120)*(Weeks!$X$5:$AI$5=$I120)*Weeks!$X$7:$AI$59)-SUMIFS($E$7:$E$1006,$I$7:$I$1006,$I120,$B$7:$B$1006,"&lt;="&amp;$B120))</f>
        <v/>
      </c>
      <c r="M120" s="132">
        <f>IF($B120&amp;$C120&amp;$D120&amp;$E120="","",IF($B120="","missing date",IF($C120="","missing worker",IF($I120="?","unknown worker - was the name changed on Workers?",IF($D120="","missing type",IF(N($E120)=0,"missing amount",IF(AND($E120&lt;0,$D120&lt;&gt;"Correction"),"negative amount - use a Correction to undo",IF(OR($B120&lt;Weeks!$A$7,$B120&gt;Weeks!$B$59),"date outside this workbook's year",IF(AND($D120="Advance",N($L120)&lt;0),"Warning: more than earned so far - worker now owes "&amp;TEXT(ROUND(-$L120,0),"#,##0"),"")))))))))</f>
        <v/>
      </c>
      <c r="N120" s="125" t="n"/>
      <c r="O120" s="126" t="n"/>
      <c r="P120" s="126" t="n"/>
      <c r="Q120" s="126" t="n"/>
      <c r="R120" s="126" t="n"/>
      <c r="S120" s="126" t="n"/>
      <c r="T120" s="126" t="n"/>
      <c r="U120" s="126" t="n"/>
      <c r="V120" s="126" t="n"/>
      <c r="W120" s="126" t="n"/>
      <c r="X120" s="126" t="n"/>
      <c r="Y120" s="126" t="n"/>
      <c r="Z120" s="126" t="n"/>
      <c r="AA120" s="126" t="n"/>
      <c r="AB120" s="126" t="n"/>
      <c r="AC120" s="126" t="n"/>
      <c r="AD120" s="126" t="n"/>
      <c r="AE120" s="126" t="n"/>
      <c r="AF120" s="126" t="n"/>
      <c r="AG120" s="126" t="n"/>
      <c r="AH120" s="126" t="n"/>
      <c r="AI120" s="126" t="n"/>
      <c r="AJ120" s="126" t="n"/>
      <c r="AK120" s="126" t="n"/>
      <c r="AL120" s="126" t="n"/>
      <c r="AM120" s="126" t="n"/>
      <c r="AN120" s="126" t="n"/>
    </row>
    <row r="121" ht="21" customFormat="1" customHeight="1" s="127">
      <c r="A121" s="51">
        <f>IF($B121="","",ROW()-6)</f>
        <v/>
      </c>
      <c r="B121" s="268" t="n"/>
      <c r="C121" s="133" t="n"/>
      <c r="D121" s="50" t="n"/>
      <c r="E121" s="265" t="n"/>
      <c r="F121" s="133" t="n"/>
      <c r="G121" s="133" t="n"/>
      <c r="H121" s="50" t="n"/>
      <c r="I121" s="51">
        <f>IF($C121="","",IFERROR(INDEX(WorkerIDs,MATCH($C121,WorkerNames,0)),"?"))</f>
        <v/>
      </c>
      <c r="J121" s="253">
        <f>IF($B121="","",$B121-WEEKDAY($B121,2)+1)</f>
        <v/>
      </c>
      <c r="K121" s="142">
        <f>IF(OR($I121="",$I121="?",$D121&lt;&gt;"Advance",$B121=""),"",$I121&amp;"|"&amp;$J121&amp;"|"&amp;COUNTIFS($I$7:$I121,$I121,$J$7:$J121,$J121,$D$7:$D121,"Advance"))</f>
        <v/>
      </c>
      <c r="L121" s="266">
        <f>IF(OR($I121="",$I121="?",$B121=""),"",SUMPRODUCT((Weeks!$A$7:$A$59&lt;=$J121)*(Weeks!$X$5:$AI$5=$I121)*Weeks!$X$7:$AI$59)-SUMIFS($E$7:$E$1006,$I$7:$I$1006,$I121,$B$7:$B$1006,"&lt;="&amp;$B121))</f>
        <v/>
      </c>
      <c r="M121" s="132">
        <f>IF($B121&amp;$C121&amp;$D121&amp;$E121="","",IF($B121="","missing date",IF($C121="","missing worker",IF($I121="?","unknown worker - was the name changed on Workers?",IF($D121="","missing type",IF(N($E121)=0,"missing amount",IF(AND($E121&lt;0,$D121&lt;&gt;"Correction"),"negative amount - use a Correction to undo",IF(OR($B121&lt;Weeks!$A$7,$B121&gt;Weeks!$B$59),"date outside this workbook's year",IF(AND($D121="Advance",N($L121)&lt;0),"Warning: more than earned so far - worker now owes "&amp;TEXT(ROUND(-$L121,0),"#,##0"),"")))))))))</f>
        <v/>
      </c>
      <c r="N121" s="125" t="n"/>
      <c r="O121" s="126" t="n"/>
      <c r="P121" s="126" t="n"/>
      <c r="Q121" s="126" t="n"/>
      <c r="R121" s="126" t="n"/>
      <c r="S121" s="126" t="n"/>
      <c r="T121" s="126" t="n"/>
      <c r="U121" s="126" t="n"/>
      <c r="V121" s="126" t="n"/>
      <c r="W121" s="126" t="n"/>
      <c r="X121" s="126" t="n"/>
      <c r="Y121" s="126" t="n"/>
      <c r="Z121" s="126" t="n"/>
      <c r="AA121" s="126" t="n"/>
      <c r="AB121" s="126" t="n"/>
      <c r="AC121" s="126" t="n"/>
      <c r="AD121" s="126" t="n"/>
      <c r="AE121" s="126" t="n"/>
      <c r="AF121" s="126" t="n"/>
      <c r="AG121" s="126" t="n"/>
      <c r="AH121" s="126" t="n"/>
      <c r="AI121" s="126" t="n"/>
      <c r="AJ121" s="126" t="n"/>
      <c r="AK121" s="126" t="n"/>
      <c r="AL121" s="126" t="n"/>
      <c r="AM121" s="126" t="n"/>
      <c r="AN121" s="126" t="n"/>
    </row>
    <row r="122" ht="21" customFormat="1" customHeight="1" s="127">
      <c r="A122" s="51">
        <f>IF($B122="","",ROW()-6)</f>
        <v/>
      </c>
      <c r="B122" s="268" t="n"/>
      <c r="C122" s="133" t="n"/>
      <c r="D122" s="50" t="n"/>
      <c r="E122" s="265" t="n"/>
      <c r="F122" s="133" t="n"/>
      <c r="G122" s="133" t="n"/>
      <c r="H122" s="50" t="n"/>
      <c r="I122" s="51">
        <f>IF($C122="","",IFERROR(INDEX(WorkerIDs,MATCH($C122,WorkerNames,0)),"?"))</f>
        <v/>
      </c>
      <c r="J122" s="253">
        <f>IF($B122="","",$B122-WEEKDAY($B122,2)+1)</f>
        <v/>
      </c>
      <c r="K122" s="142">
        <f>IF(OR($I122="",$I122="?",$D122&lt;&gt;"Advance",$B122=""),"",$I122&amp;"|"&amp;$J122&amp;"|"&amp;COUNTIFS($I$7:$I122,$I122,$J$7:$J122,$J122,$D$7:$D122,"Advance"))</f>
        <v/>
      </c>
      <c r="L122" s="266">
        <f>IF(OR($I122="",$I122="?",$B122=""),"",SUMPRODUCT((Weeks!$A$7:$A$59&lt;=$J122)*(Weeks!$X$5:$AI$5=$I122)*Weeks!$X$7:$AI$59)-SUMIFS($E$7:$E$1006,$I$7:$I$1006,$I122,$B$7:$B$1006,"&lt;="&amp;$B122))</f>
        <v/>
      </c>
      <c r="M122" s="132">
        <f>IF($B122&amp;$C122&amp;$D122&amp;$E122="","",IF($B122="","missing date",IF($C122="","missing worker",IF($I122="?","unknown worker - was the name changed on Workers?",IF($D122="","missing type",IF(N($E122)=0,"missing amount",IF(AND($E122&lt;0,$D122&lt;&gt;"Correction"),"negative amount - use a Correction to undo",IF(OR($B122&lt;Weeks!$A$7,$B122&gt;Weeks!$B$59),"date outside this workbook's year",IF(AND($D122="Advance",N($L122)&lt;0),"Warning: more than earned so far - worker now owes "&amp;TEXT(ROUND(-$L122,0),"#,##0"),"")))))))))</f>
        <v/>
      </c>
      <c r="N122" s="125" t="n"/>
      <c r="O122" s="126" t="n"/>
      <c r="P122" s="126" t="n"/>
      <c r="Q122" s="126" t="n"/>
      <c r="R122" s="126" t="n"/>
      <c r="S122" s="126" t="n"/>
      <c r="T122" s="126" t="n"/>
      <c r="U122" s="126" t="n"/>
      <c r="V122" s="126" t="n"/>
      <c r="W122" s="126" t="n"/>
      <c r="X122" s="126" t="n"/>
      <c r="Y122" s="126" t="n"/>
      <c r="Z122" s="126" t="n"/>
      <c r="AA122" s="126" t="n"/>
      <c r="AB122" s="126" t="n"/>
      <c r="AC122" s="126" t="n"/>
      <c r="AD122" s="126" t="n"/>
      <c r="AE122" s="126" t="n"/>
      <c r="AF122" s="126" t="n"/>
      <c r="AG122" s="126" t="n"/>
      <c r="AH122" s="126" t="n"/>
      <c r="AI122" s="126" t="n"/>
      <c r="AJ122" s="126" t="n"/>
      <c r="AK122" s="126" t="n"/>
      <c r="AL122" s="126" t="n"/>
      <c r="AM122" s="126" t="n"/>
      <c r="AN122" s="126" t="n"/>
    </row>
    <row r="123" ht="21" customFormat="1" customHeight="1" s="127">
      <c r="A123" s="51">
        <f>IF($B123="","",ROW()-6)</f>
        <v/>
      </c>
      <c r="B123" s="268" t="n"/>
      <c r="C123" s="133" t="n"/>
      <c r="D123" s="50" t="n"/>
      <c r="E123" s="265" t="n"/>
      <c r="F123" s="133" t="n"/>
      <c r="G123" s="133" t="n"/>
      <c r="H123" s="50" t="n"/>
      <c r="I123" s="51">
        <f>IF($C123="","",IFERROR(INDEX(WorkerIDs,MATCH($C123,WorkerNames,0)),"?"))</f>
        <v/>
      </c>
      <c r="J123" s="253">
        <f>IF($B123="","",$B123-WEEKDAY($B123,2)+1)</f>
        <v/>
      </c>
      <c r="K123" s="142">
        <f>IF(OR($I123="",$I123="?",$D123&lt;&gt;"Advance",$B123=""),"",$I123&amp;"|"&amp;$J123&amp;"|"&amp;COUNTIFS($I$7:$I123,$I123,$J$7:$J123,$J123,$D$7:$D123,"Advance"))</f>
        <v/>
      </c>
      <c r="L123" s="266">
        <f>IF(OR($I123="",$I123="?",$B123=""),"",SUMPRODUCT((Weeks!$A$7:$A$59&lt;=$J123)*(Weeks!$X$5:$AI$5=$I123)*Weeks!$X$7:$AI$59)-SUMIFS($E$7:$E$1006,$I$7:$I$1006,$I123,$B$7:$B$1006,"&lt;="&amp;$B123))</f>
        <v/>
      </c>
      <c r="M123" s="132">
        <f>IF($B123&amp;$C123&amp;$D123&amp;$E123="","",IF($B123="","missing date",IF($C123="","missing worker",IF($I123="?","unknown worker - was the name changed on Workers?",IF($D123="","missing type",IF(N($E123)=0,"missing amount",IF(AND($E123&lt;0,$D123&lt;&gt;"Correction"),"negative amount - use a Correction to undo",IF(OR($B123&lt;Weeks!$A$7,$B123&gt;Weeks!$B$59),"date outside this workbook's year",IF(AND($D123="Advance",N($L123)&lt;0),"Warning: more than earned so far - worker now owes "&amp;TEXT(ROUND(-$L123,0),"#,##0"),"")))))))))</f>
        <v/>
      </c>
      <c r="N123" s="125" t="n"/>
      <c r="O123" s="126" t="n"/>
      <c r="P123" s="126" t="n"/>
      <c r="Q123" s="126" t="n"/>
      <c r="R123" s="126" t="n"/>
      <c r="S123" s="126" t="n"/>
      <c r="T123" s="126" t="n"/>
      <c r="U123" s="126" t="n"/>
      <c r="V123" s="126" t="n"/>
      <c r="W123" s="126" t="n"/>
      <c r="X123" s="126" t="n"/>
      <c r="Y123" s="126" t="n"/>
      <c r="Z123" s="126" t="n"/>
      <c r="AA123" s="126" t="n"/>
      <c r="AB123" s="126" t="n"/>
      <c r="AC123" s="126" t="n"/>
      <c r="AD123" s="126" t="n"/>
      <c r="AE123" s="126" t="n"/>
      <c r="AF123" s="126" t="n"/>
      <c r="AG123" s="126" t="n"/>
      <c r="AH123" s="126" t="n"/>
      <c r="AI123" s="126" t="n"/>
      <c r="AJ123" s="126" t="n"/>
      <c r="AK123" s="126" t="n"/>
      <c r="AL123" s="126" t="n"/>
      <c r="AM123" s="126" t="n"/>
      <c r="AN123" s="126" t="n"/>
    </row>
    <row r="124" ht="21" customFormat="1" customHeight="1" s="127">
      <c r="A124" s="51">
        <f>IF($B124="","",ROW()-6)</f>
        <v/>
      </c>
      <c r="B124" s="268" t="n"/>
      <c r="C124" s="133" t="n"/>
      <c r="D124" s="50" t="n"/>
      <c r="E124" s="265" t="n"/>
      <c r="F124" s="133" t="n"/>
      <c r="G124" s="133" t="n"/>
      <c r="H124" s="50" t="n"/>
      <c r="I124" s="51">
        <f>IF($C124="","",IFERROR(INDEX(WorkerIDs,MATCH($C124,WorkerNames,0)),"?"))</f>
        <v/>
      </c>
      <c r="J124" s="253">
        <f>IF($B124="","",$B124-WEEKDAY($B124,2)+1)</f>
        <v/>
      </c>
      <c r="K124" s="142">
        <f>IF(OR($I124="",$I124="?",$D124&lt;&gt;"Advance",$B124=""),"",$I124&amp;"|"&amp;$J124&amp;"|"&amp;COUNTIFS($I$7:$I124,$I124,$J$7:$J124,$J124,$D$7:$D124,"Advance"))</f>
        <v/>
      </c>
      <c r="L124" s="266">
        <f>IF(OR($I124="",$I124="?",$B124=""),"",SUMPRODUCT((Weeks!$A$7:$A$59&lt;=$J124)*(Weeks!$X$5:$AI$5=$I124)*Weeks!$X$7:$AI$59)-SUMIFS($E$7:$E$1006,$I$7:$I$1006,$I124,$B$7:$B$1006,"&lt;="&amp;$B124))</f>
        <v/>
      </c>
      <c r="M124" s="132">
        <f>IF($B124&amp;$C124&amp;$D124&amp;$E124="","",IF($B124="","missing date",IF($C124="","missing worker",IF($I124="?","unknown worker - was the name changed on Workers?",IF($D124="","missing type",IF(N($E124)=0,"missing amount",IF(AND($E124&lt;0,$D124&lt;&gt;"Correction"),"negative amount - use a Correction to undo",IF(OR($B124&lt;Weeks!$A$7,$B124&gt;Weeks!$B$59),"date outside this workbook's year",IF(AND($D124="Advance",N($L124)&lt;0),"Warning: more than earned so far - worker now owes "&amp;TEXT(ROUND(-$L124,0),"#,##0"),"")))))))))</f>
        <v/>
      </c>
      <c r="N124" s="125" t="n"/>
      <c r="O124" s="126" t="n"/>
      <c r="P124" s="126" t="n"/>
      <c r="Q124" s="126" t="n"/>
      <c r="R124" s="126" t="n"/>
      <c r="S124" s="126" t="n"/>
      <c r="T124" s="126" t="n"/>
      <c r="U124" s="126" t="n"/>
      <c r="V124" s="126" t="n"/>
      <c r="W124" s="126" t="n"/>
      <c r="X124" s="126" t="n"/>
      <c r="Y124" s="126" t="n"/>
      <c r="Z124" s="126" t="n"/>
      <c r="AA124" s="126" t="n"/>
      <c r="AB124" s="126" t="n"/>
      <c r="AC124" s="126" t="n"/>
      <c r="AD124" s="126" t="n"/>
      <c r="AE124" s="126" t="n"/>
      <c r="AF124" s="126" t="n"/>
      <c r="AG124" s="126" t="n"/>
      <c r="AH124" s="126" t="n"/>
      <c r="AI124" s="126" t="n"/>
      <c r="AJ124" s="126" t="n"/>
      <c r="AK124" s="126" t="n"/>
      <c r="AL124" s="126" t="n"/>
      <c r="AM124" s="126" t="n"/>
      <c r="AN124" s="126" t="n"/>
    </row>
    <row r="125" ht="21" customFormat="1" customHeight="1" s="127">
      <c r="A125" s="51">
        <f>IF($B125="","",ROW()-6)</f>
        <v/>
      </c>
      <c r="B125" s="268" t="n"/>
      <c r="C125" s="133" t="n"/>
      <c r="D125" s="50" t="n"/>
      <c r="E125" s="265" t="n"/>
      <c r="F125" s="133" t="n"/>
      <c r="G125" s="133" t="n"/>
      <c r="H125" s="50" t="n"/>
      <c r="I125" s="51">
        <f>IF($C125="","",IFERROR(INDEX(WorkerIDs,MATCH($C125,WorkerNames,0)),"?"))</f>
        <v/>
      </c>
      <c r="J125" s="253">
        <f>IF($B125="","",$B125-WEEKDAY($B125,2)+1)</f>
        <v/>
      </c>
      <c r="K125" s="142">
        <f>IF(OR($I125="",$I125="?",$D125&lt;&gt;"Advance",$B125=""),"",$I125&amp;"|"&amp;$J125&amp;"|"&amp;COUNTIFS($I$7:$I125,$I125,$J$7:$J125,$J125,$D$7:$D125,"Advance"))</f>
        <v/>
      </c>
      <c r="L125" s="266">
        <f>IF(OR($I125="",$I125="?",$B125=""),"",SUMPRODUCT((Weeks!$A$7:$A$59&lt;=$J125)*(Weeks!$X$5:$AI$5=$I125)*Weeks!$X$7:$AI$59)-SUMIFS($E$7:$E$1006,$I$7:$I$1006,$I125,$B$7:$B$1006,"&lt;="&amp;$B125))</f>
        <v/>
      </c>
      <c r="M125" s="132">
        <f>IF($B125&amp;$C125&amp;$D125&amp;$E125="","",IF($B125="","missing date",IF($C125="","missing worker",IF($I125="?","unknown worker - was the name changed on Workers?",IF($D125="","missing type",IF(N($E125)=0,"missing amount",IF(AND($E125&lt;0,$D125&lt;&gt;"Correction"),"negative amount - use a Correction to undo",IF(OR($B125&lt;Weeks!$A$7,$B125&gt;Weeks!$B$59),"date outside this workbook's year",IF(AND($D125="Advance",N($L125)&lt;0),"Warning: more than earned so far - worker now owes "&amp;TEXT(ROUND(-$L125,0),"#,##0"),"")))))))))</f>
        <v/>
      </c>
      <c r="N125" s="125" t="n"/>
      <c r="O125" s="126" t="n"/>
      <c r="P125" s="126" t="n"/>
      <c r="Q125" s="126" t="n"/>
      <c r="R125" s="126" t="n"/>
      <c r="S125" s="126" t="n"/>
      <c r="T125" s="126" t="n"/>
      <c r="U125" s="126" t="n"/>
      <c r="V125" s="126" t="n"/>
      <c r="W125" s="126" t="n"/>
      <c r="X125" s="126" t="n"/>
      <c r="Y125" s="126" t="n"/>
      <c r="Z125" s="126" t="n"/>
      <c r="AA125" s="126" t="n"/>
      <c r="AB125" s="126" t="n"/>
      <c r="AC125" s="126" t="n"/>
      <c r="AD125" s="126" t="n"/>
      <c r="AE125" s="126" t="n"/>
      <c r="AF125" s="126" t="n"/>
      <c r="AG125" s="126" t="n"/>
      <c r="AH125" s="126" t="n"/>
      <c r="AI125" s="126" t="n"/>
      <c r="AJ125" s="126" t="n"/>
      <c r="AK125" s="126" t="n"/>
      <c r="AL125" s="126" t="n"/>
      <c r="AM125" s="126" t="n"/>
      <c r="AN125" s="126" t="n"/>
    </row>
    <row r="126" ht="21" customFormat="1" customHeight="1" s="127">
      <c r="A126" s="51">
        <f>IF($B126="","",ROW()-6)</f>
        <v/>
      </c>
      <c r="B126" s="268" t="n"/>
      <c r="C126" s="133" t="n"/>
      <c r="D126" s="50" t="n"/>
      <c r="E126" s="265" t="n"/>
      <c r="F126" s="133" t="n"/>
      <c r="G126" s="133" t="n"/>
      <c r="H126" s="50" t="n"/>
      <c r="I126" s="51">
        <f>IF($C126="","",IFERROR(INDEX(WorkerIDs,MATCH($C126,WorkerNames,0)),"?"))</f>
        <v/>
      </c>
      <c r="J126" s="253">
        <f>IF($B126="","",$B126-WEEKDAY($B126,2)+1)</f>
        <v/>
      </c>
      <c r="K126" s="142">
        <f>IF(OR($I126="",$I126="?",$D126&lt;&gt;"Advance",$B126=""),"",$I126&amp;"|"&amp;$J126&amp;"|"&amp;COUNTIFS($I$7:$I126,$I126,$J$7:$J126,$J126,$D$7:$D126,"Advance"))</f>
        <v/>
      </c>
      <c r="L126" s="266">
        <f>IF(OR($I126="",$I126="?",$B126=""),"",SUMPRODUCT((Weeks!$A$7:$A$59&lt;=$J126)*(Weeks!$X$5:$AI$5=$I126)*Weeks!$X$7:$AI$59)-SUMIFS($E$7:$E$1006,$I$7:$I$1006,$I126,$B$7:$B$1006,"&lt;="&amp;$B126))</f>
        <v/>
      </c>
      <c r="M126" s="132">
        <f>IF($B126&amp;$C126&amp;$D126&amp;$E126="","",IF($B126="","missing date",IF($C126="","missing worker",IF($I126="?","unknown worker - was the name changed on Workers?",IF($D126="","missing type",IF(N($E126)=0,"missing amount",IF(AND($E126&lt;0,$D126&lt;&gt;"Correction"),"negative amount - use a Correction to undo",IF(OR($B126&lt;Weeks!$A$7,$B126&gt;Weeks!$B$59),"date outside this workbook's year",IF(AND($D126="Advance",N($L126)&lt;0),"Warning: more than earned so far - worker now owes "&amp;TEXT(ROUND(-$L126,0),"#,##0"),"")))))))))</f>
        <v/>
      </c>
      <c r="N126" s="125" t="n"/>
      <c r="O126" s="126" t="n"/>
      <c r="P126" s="126" t="n"/>
      <c r="Q126" s="126" t="n"/>
      <c r="R126" s="126" t="n"/>
      <c r="S126" s="126" t="n"/>
      <c r="T126" s="126" t="n"/>
      <c r="U126" s="126" t="n"/>
      <c r="V126" s="126" t="n"/>
      <c r="W126" s="126" t="n"/>
      <c r="X126" s="126" t="n"/>
      <c r="Y126" s="126" t="n"/>
      <c r="Z126" s="126" t="n"/>
      <c r="AA126" s="126" t="n"/>
      <c r="AB126" s="126" t="n"/>
      <c r="AC126" s="126" t="n"/>
      <c r="AD126" s="126" t="n"/>
      <c r="AE126" s="126" t="n"/>
      <c r="AF126" s="126" t="n"/>
      <c r="AG126" s="126" t="n"/>
      <c r="AH126" s="126" t="n"/>
      <c r="AI126" s="126" t="n"/>
      <c r="AJ126" s="126" t="n"/>
      <c r="AK126" s="126" t="n"/>
      <c r="AL126" s="126" t="n"/>
      <c r="AM126" s="126" t="n"/>
      <c r="AN126" s="126" t="n"/>
    </row>
    <row r="127" ht="21" customFormat="1" customHeight="1" s="127">
      <c r="A127" s="51">
        <f>IF($B127="","",ROW()-6)</f>
        <v/>
      </c>
      <c r="B127" s="268" t="n"/>
      <c r="C127" s="133" t="n"/>
      <c r="D127" s="50" t="n"/>
      <c r="E127" s="265" t="n"/>
      <c r="F127" s="133" t="n"/>
      <c r="G127" s="133" t="n"/>
      <c r="H127" s="50" t="n"/>
      <c r="I127" s="51">
        <f>IF($C127="","",IFERROR(INDEX(WorkerIDs,MATCH($C127,WorkerNames,0)),"?"))</f>
        <v/>
      </c>
      <c r="J127" s="253">
        <f>IF($B127="","",$B127-WEEKDAY($B127,2)+1)</f>
        <v/>
      </c>
      <c r="K127" s="142">
        <f>IF(OR($I127="",$I127="?",$D127&lt;&gt;"Advance",$B127=""),"",$I127&amp;"|"&amp;$J127&amp;"|"&amp;COUNTIFS($I$7:$I127,$I127,$J$7:$J127,$J127,$D$7:$D127,"Advance"))</f>
        <v/>
      </c>
      <c r="L127" s="266">
        <f>IF(OR($I127="",$I127="?",$B127=""),"",SUMPRODUCT((Weeks!$A$7:$A$59&lt;=$J127)*(Weeks!$X$5:$AI$5=$I127)*Weeks!$X$7:$AI$59)-SUMIFS($E$7:$E$1006,$I$7:$I$1006,$I127,$B$7:$B$1006,"&lt;="&amp;$B127))</f>
        <v/>
      </c>
      <c r="M127" s="132">
        <f>IF($B127&amp;$C127&amp;$D127&amp;$E127="","",IF($B127="","missing date",IF($C127="","missing worker",IF($I127="?","unknown worker - was the name changed on Workers?",IF($D127="","missing type",IF(N($E127)=0,"missing amount",IF(AND($E127&lt;0,$D127&lt;&gt;"Correction"),"negative amount - use a Correction to undo",IF(OR($B127&lt;Weeks!$A$7,$B127&gt;Weeks!$B$59),"date outside this workbook's year",IF(AND($D127="Advance",N($L127)&lt;0),"Warning: more than earned so far - worker now owes "&amp;TEXT(ROUND(-$L127,0),"#,##0"),"")))))))))</f>
        <v/>
      </c>
      <c r="N127" s="125" t="n"/>
      <c r="O127" s="126" t="n"/>
      <c r="P127" s="126" t="n"/>
      <c r="Q127" s="126" t="n"/>
      <c r="R127" s="126" t="n"/>
      <c r="S127" s="126" t="n"/>
      <c r="T127" s="126" t="n"/>
      <c r="U127" s="126" t="n"/>
      <c r="V127" s="126" t="n"/>
      <c r="W127" s="126" t="n"/>
      <c r="X127" s="126" t="n"/>
      <c r="Y127" s="126" t="n"/>
      <c r="Z127" s="126" t="n"/>
      <c r="AA127" s="126" t="n"/>
      <c r="AB127" s="126" t="n"/>
      <c r="AC127" s="126" t="n"/>
      <c r="AD127" s="126" t="n"/>
      <c r="AE127" s="126" t="n"/>
      <c r="AF127" s="126" t="n"/>
      <c r="AG127" s="126" t="n"/>
      <c r="AH127" s="126" t="n"/>
      <c r="AI127" s="126" t="n"/>
      <c r="AJ127" s="126" t="n"/>
      <c r="AK127" s="126" t="n"/>
      <c r="AL127" s="126" t="n"/>
      <c r="AM127" s="126" t="n"/>
      <c r="AN127" s="126" t="n"/>
    </row>
    <row r="128" ht="21" customFormat="1" customHeight="1" s="127">
      <c r="A128" s="51">
        <f>IF($B128="","",ROW()-6)</f>
        <v/>
      </c>
      <c r="B128" s="268" t="n"/>
      <c r="C128" s="133" t="n"/>
      <c r="D128" s="50" t="n"/>
      <c r="E128" s="265" t="n"/>
      <c r="F128" s="133" t="n"/>
      <c r="G128" s="133" t="n"/>
      <c r="H128" s="50" t="n"/>
      <c r="I128" s="51">
        <f>IF($C128="","",IFERROR(INDEX(WorkerIDs,MATCH($C128,WorkerNames,0)),"?"))</f>
        <v/>
      </c>
      <c r="J128" s="253">
        <f>IF($B128="","",$B128-WEEKDAY($B128,2)+1)</f>
        <v/>
      </c>
      <c r="K128" s="142">
        <f>IF(OR($I128="",$I128="?",$D128&lt;&gt;"Advance",$B128=""),"",$I128&amp;"|"&amp;$J128&amp;"|"&amp;COUNTIFS($I$7:$I128,$I128,$J$7:$J128,$J128,$D$7:$D128,"Advance"))</f>
        <v/>
      </c>
      <c r="L128" s="266">
        <f>IF(OR($I128="",$I128="?",$B128=""),"",SUMPRODUCT((Weeks!$A$7:$A$59&lt;=$J128)*(Weeks!$X$5:$AI$5=$I128)*Weeks!$X$7:$AI$59)-SUMIFS($E$7:$E$1006,$I$7:$I$1006,$I128,$B$7:$B$1006,"&lt;="&amp;$B128))</f>
        <v/>
      </c>
      <c r="M128" s="132">
        <f>IF($B128&amp;$C128&amp;$D128&amp;$E128="","",IF($B128="","missing date",IF($C128="","missing worker",IF($I128="?","unknown worker - was the name changed on Workers?",IF($D128="","missing type",IF(N($E128)=0,"missing amount",IF(AND($E128&lt;0,$D128&lt;&gt;"Correction"),"negative amount - use a Correction to undo",IF(OR($B128&lt;Weeks!$A$7,$B128&gt;Weeks!$B$59),"date outside this workbook's year",IF(AND($D128="Advance",N($L128)&lt;0),"Warning: more than earned so far - worker now owes "&amp;TEXT(ROUND(-$L128,0),"#,##0"),"")))))))))</f>
        <v/>
      </c>
      <c r="N128" s="125" t="n"/>
      <c r="O128" s="126" t="n"/>
      <c r="P128" s="126" t="n"/>
      <c r="Q128" s="126" t="n"/>
      <c r="R128" s="126" t="n"/>
      <c r="S128" s="126" t="n"/>
      <c r="T128" s="126" t="n"/>
      <c r="U128" s="126" t="n"/>
      <c r="V128" s="126" t="n"/>
      <c r="W128" s="126" t="n"/>
      <c r="X128" s="126" t="n"/>
      <c r="Y128" s="126" t="n"/>
      <c r="Z128" s="126" t="n"/>
      <c r="AA128" s="126" t="n"/>
      <c r="AB128" s="126" t="n"/>
      <c r="AC128" s="126" t="n"/>
      <c r="AD128" s="126" t="n"/>
      <c r="AE128" s="126" t="n"/>
      <c r="AF128" s="126" t="n"/>
      <c r="AG128" s="126" t="n"/>
      <c r="AH128" s="126" t="n"/>
      <c r="AI128" s="126" t="n"/>
      <c r="AJ128" s="126" t="n"/>
      <c r="AK128" s="126" t="n"/>
      <c r="AL128" s="126" t="n"/>
      <c r="AM128" s="126" t="n"/>
      <c r="AN128" s="126" t="n"/>
    </row>
    <row r="129" ht="21" customFormat="1" customHeight="1" s="127">
      <c r="A129" s="51">
        <f>IF($B129="","",ROW()-6)</f>
        <v/>
      </c>
      <c r="B129" s="268" t="n"/>
      <c r="C129" s="133" t="n"/>
      <c r="D129" s="50" t="n"/>
      <c r="E129" s="265" t="n"/>
      <c r="F129" s="133" t="n"/>
      <c r="G129" s="133" t="n"/>
      <c r="H129" s="50" t="n"/>
      <c r="I129" s="51">
        <f>IF($C129="","",IFERROR(INDEX(WorkerIDs,MATCH($C129,WorkerNames,0)),"?"))</f>
        <v/>
      </c>
      <c r="J129" s="253">
        <f>IF($B129="","",$B129-WEEKDAY($B129,2)+1)</f>
        <v/>
      </c>
      <c r="K129" s="142">
        <f>IF(OR($I129="",$I129="?",$D129&lt;&gt;"Advance",$B129=""),"",$I129&amp;"|"&amp;$J129&amp;"|"&amp;COUNTIFS($I$7:$I129,$I129,$J$7:$J129,$J129,$D$7:$D129,"Advance"))</f>
        <v/>
      </c>
      <c r="L129" s="266">
        <f>IF(OR($I129="",$I129="?",$B129=""),"",SUMPRODUCT((Weeks!$A$7:$A$59&lt;=$J129)*(Weeks!$X$5:$AI$5=$I129)*Weeks!$X$7:$AI$59)-SUMIFS($E$7:$E$1006,$I$7:$I$1006,$I129,$B$7:$B$1006,"&lt;="&amp;$B129))</f>
        <v/>
      </c>
      <c r="M129" s="132">
        <f>IF($B129&amp;$C129&amp;$D129&amp;$E129="","",IF($B129="","missing date",IF($C129="","missing worker",IF($I129="?","unknown worker - was the name changed on Workers?",IF($D129="","missing type",IF(N($E129)=0,"missing amount",IF(AND($E129&lt;0,$D129&lt;&gt;"Correction"),"negative amount - use a Correction to undo",IF(OR($B129&lt;Weeks!$A$7,$B129&gt;Weeks!$B$59),"date outside this workbook's year",IF(AND($D129="Advance",N($L129)&lt;0),"Warning: more than earned so far - worker now owes "&amp;TEXT(ROUND(-$L129,0),"#,##0"),"")))))))))</f>
        <v/>
      </c>
      <c r="N129" s="125" t="n"/>
      <c r="O129" s="126" t="n"/>
      <c r="P129" s="126" t="n"/>
      <c r="Q129" s="126" t="n"/>
      <c r="R129" s="126" t="n"/>
      <c r="S129" s="126" t="n"/>
      <c r="T129" s="126" t="n"/>
      <c r="U129" s="126" t="n"/>
      <c r="V129" s="126" t="n"/>
      <c r="W129" s="126" t="n"/>
      <c r="X129" s="126" t="n"/>
      <c r="Y129" s="126" t="n"/>
      <c r="Z129" s="126" t="n"/>
      <c r="AA129" s="126" t="n"/>
      <c r="AB129" s="126" t="n"/>
      <c r="AC129" s="126" t="n"/>
      <c r="AD129" s="126" t="n"/>
      <c r="AE129" s="126" t="n"/>
      <c r="AF129" s="126" t="n"/>
      <c r="AG129" s="126" t="n"/>
      <c r="AH129" s="126" t="n"/>
      <c r="AI129" s="126" t="n"/>
      <c r="AJ129" s="126" t="n"/>
      <c r="AK129" s="126" t="n"/>
      <c r="AL129" s="126" t="n"/>
      <c r="AM129" s="126" t="n"/>
      <c r="AN129" s="126" t="n"/>
    </row>
    <row r="130" ht="21" customFormat="1" customHeight="1" s="127">
      <c r="A130" s="51">
        <f>IF($B130="","",ROW()-6)</f>
        <v/>
      </c>
      <c r="B130" s="268" t="n"/>
      <c r="C130" s="133" t="n"/>
      <c r="D130" s="50" t="n"/>
      <c r="E130" s="265" t="n"/>
      <c r="F130" s="133" t="n"/>
      <c r="G130" s="133" t="n"/>
      <c r="H130" s="50" t="n"/>
      <c r="I130" s="51">
        <f>IF($C130="","",IFERROR(INDEX(WorkerIDs,MATCH($C130,WorkerNames,0)),"?"))</f>
        <v/>
      </c>
      <c r="J130" s="253">
        <f>IF($B130="","",$B130-WEEKDAY($B130,2)+1)</f>
        <v/>
      </c>
      <c r="K130" s="142">
        <f>IF(OR($I130="",$I130="?",$D130&lt;&gt;"Advance",$B130=""),"",$I130&amp;"|"&amp;$J130&amp;"|"&amp;COUNTIFS($I$7:$I130,$I130,$J$7:$J130,$J130,$D$7:$D130,"Advance"))</f>
        <v/>
      </c>
      <c r="L130" s="266">
        <f>IF(OR($I130="",$I130="?",$B130=""),"",SUMPRODUCT((Weeks!$A$7:$A$59&lt;=$J130)*(Weeks!$X$5:$AI$5=$I130)*Weeks!$X$7:$AI$59)-SUMIFS($E$7:$E$1006,$I$7:$I$1006,$I130,$B$7:$B$1006,"&lt;="&amp;$B130))</f>
        <v/>
      </c>
      <c r="M130" s="132">
        <f>IF($B130&amp;$C130&amp;$D130&amp;$E130="","",IF($B130="","missing date",IF($C130="","missing worker",IF($I130="?","unknown worker - was the name changed on Workers?",IF($D130="","missing type",IF(N($E130)=0,"missing amount",IF(AND($E130&lt;0,$D130&lt;&gt;"Correction"),"negative amount - use a Correction to undo",IF(OR($B130&lt;Weeks!$A$7,$B130&gt;Weeks!$B$59),"date outside this workbook's year",IF(AND($D130="Advance",N($L130)&lt;0),"Warning: more than earned so far - worker now owes "&amp;TEXT(ROUND(-$L130,0),"#,##0"),"")))))))))</f>
        <v/>
      </c>
      <c r="N130" s="125" t="n"/>
      <c r="O130" s="126" t="n"/>
      <c r="P130" s="126" t="n"/>
      <c r="Q130" s="126" t="n"/>
      <c r="R130" s="126" t="n"/>
      <c r="S130" s="126" t="n"/>
      <c r="T130" s="126" t="n"/>
      <c r="U130" s="126" t="n"/>
      <c r="V130" s="126" t="n"/>
      <c r="W130" s="126" t="n"/>
      <c r="X130" s="126" t="n"/>
      <c r="Y130" s="126" t="n"/>
      <c r="Z130" s="126" t="n"/>
      <c r="AA130" s="126" t="n"/>
      <c r="AB130" s="126" t="n"/>
      <c r="AC130" s="126" t="n"/>
      <c r="AD130" s="126" t="n"/>
      <c r="AE130" s="126" t="n"/>
      <c r="AF130" s="126" t="n"/>
      <c r="AG130" s="126" t="n"/>
      <c r="AH130" s="126" t="n"/>
      <c r="AI130" s="126" t="n"/>
      <c r="AJ130" s="126" t="n"/>
      <c r="AK130" s="126" t="n"/>
      <c r="AL130" s="126" t="n"/>
      <c r="AM130" s="126" t="n"/>
      <c r="AN130" s="126" t="n"/>
    </row>
    <row r="131" ht="21" customFormat="1" customHeight="1" s="127">
      <c r="A131" s="51">
        <f>IF($B131="","",ROW()-6)</f>
        <v/>
      </c>
      <c r="B131" s="268" t="n"/>
      <c r="C131" s="133" t="n"/>
      <c r="D131" s="50" t="n"/>
      <c r="E131" s="265" t="n"/>
      <c r="F131" s="133" t="n"/>
      <c r="G131" s="133" t="n"/>
      <c r="H131" s="50" t="n"/>
      <c r="I131" s="51">
        <f>IF($C131="","",IFERROR(INDEX(WorkerIDs,MATCH($C131,WorkerNames,0)),"?"))</f>
        <v/>
      </c>
      <c r="J131" s="253">
        <f>IF($B131="","",$B131-WEEKDAY($B131,2)+1)</f>
        <v/>
      </c>
      <c r="K131" s="142">
        <f>IF(OR($I131="",$I131="?",$D131&lt;&gt;"Advance",$B131=""),"",$I131&amp;"|"&amp;$J131&amp;"|"&amp;COUNTIFS($I$7:$I131,$I131,$J$7:$J131,$J131,$D$7:$D131,"Advance"))</f>
        <v/>
      </c>
      <c r="L131" s="266">
        <f>IF(OR($I131="",$I131="?",$B131=""),"",SUMPRODUCT((Weeks!$A$7:$A$59&lt;=$J131)*(Weeks!$X$5:$AI$5=$I131)*Weeks!$X$7:$AI$59)-SUMIFS($E$7:$E$1006,$I$7:$I$1006,$I131,$B$7:$B$1006,"&lt;="&amp;$B131))</f>
        <v/>
      </c>
      <c r="M131" s="132">
        <f>IF($B131&amp;$C131&amp;$D131&amp;$E131="","",IF($B131="","missing date",IF($C131="","missing worker",IF($I131="?","unknown worker - was the name changed on Workers?",IF($D131="","missing type",IF(N($E131)=0,"missing amount",IF(AND($E131&lt;0,$D131&lt;&gt;"Correction"),"negative amount - use a Correction to undo",IF(OR($B131&lt;Weeks!$A$7,$B131&gt;Weeks!$B$59),"date outside this workbook's year",IF(AND($D131="Advance",N($L131)&lt;0),"Warning: more than earned so far - worker now owes "&amp;TEXT(ROUND(-$L131,0),"#,##0"),"")))))))))</f>
        <v/>
      </c>
      <c r="N131" s="125" t="n"/>
      <c r="O131" s="126" t="n"/>
      <c r="P131" s="126" t="n"/>
      <c r="Q131" s="126" t="n"/>
      <c r="R131" s="126" t="n"/>
      <c r="S131" s="126" t="n"/>
      <c r="T131" s="126" t="n"/>
      <c r="U131" s="126" t="n"/>
      <c r="V131" s="126" t="n"/>
      <c r="W131" s="126" t="n"/>
      <c r="X131" s="126" t="n"/>
      <c r="Y131" s="126" t="n"/>
      <c r="Z131" s="126" t="n"/>
      <c r="AA131" s="126" t="n"/>
      <c r="AB131" s="126" t="n"/>
      <c r="AC131" s="126" t="n"/>
      <c r="AD131" s="126" t="n"/>
      <c r="AE131" s="126" t="n"/>
      <c r="AF131" s="126" t="n"/>
      <c r="AG131" s="126" t="n"/>
      <c r="AH131" s="126" t="n"/>
      <c r="AI131" s="126" t="n"/>
      <c r="AJ131" s="126" t="n"/>
      <c r="AK131" s="126" t="n"/>
      <c r="AL131" s="126" t="n"/>
      <c r="AM131" s="126" t="n"/>
      <c r="AN131" s="126" t="n"/>
    </row>
    <row r="132" ht="21" customFormat="1" customHeight="1" s="127">
      <c r="A132" s="51">
        <f>IF($B132="","",ROW()-6)</f>
        <v/>
      </c>
      <c r="B132" s="268" t="n"/>
      <c r="C132" s="133" t="n"/>
      <c r="D132" s="50" t="n"/>
      <c r="E132" s="265" t="n"/>
      <c r="F132" s="133" t="n"/>
      <c r="G132" s="133" t="n"/>
      <c r="H132" s="50" t="n"/>
      <c r="I132" s="51">
        <f>IF($C132="","",IFERROR(INDEX(WorkerIDs,MATCH($C132,WorkerNames,0)),"?"))</f>
        <v/>
      </c>
      <c r="J132" s="253">
        <f>IF($B132="","",$B132-WEEKDAY($B132,2)+1)</f>
        <v/>
      </c>
      <c r="K132" s="142">
        <f>IF(OR($I132="",$I132="?",$D132&lt;&gt;"Advance",$B132=""),"",$I132&amp;"|"&amp;$J132&amp;"|"&amp;COUNTIFS($I$7:$I132,$I132,$J$7:$J132,$J132,$D$7:$D132,"Advance"))</f>
        <v/>
      </c>
      <c r="L132" s="266">
        <f>IF(OR($I132="",$I132="?",$B132=""),"",SUMPRODUCT((Weeks!$A$7:$A$59&lt;=$J132)*(Weeks!$X$5:$AI$5=$I132)*Weeks!$X$7:$AI$59)-SUMIFS($E$7:$E$1006,$I$7:$I$1006,$I132,$B$7:$B$1006,"&lt;="&amp;$B132))</f>
        <v/>
      </c>
      <c r="M132" s="132">
        <f>IF($B132&amp;$C132&amp;$D132&amp;$E132="","",IF($B132="","missing date",IF($C132="","missing worker",IF($I132="?","unknown worker - was the name changed on Workers?",IF($D132="","missing type",IF(N($E132)=0,"missing amount",IF(AND($E132&lt;0,$D132&lt;&gt;"Correction"),"negative amount - use a Correction to undo",IF(OR($B132&lt;Weeks!$A$7,$B132&gt;Weeks!$B$59),"date outside this workbook's year",IF(AND($D132="Advance",N($L132)&lt;0),"Warning: more than earned so far - worker now owes "&amp;TEXT(ROUND(-$L132,0),"#,##0"),"")))))))))</f>
        <v/>
      </c>
      <c r="N132" s="125" t="n"/>
      <c r="O132" s="126" t="n"/>
      <c r="P132" s="126" t="n"/>
      <c r="Q132" s="126" t="n"/>
      <c r="R132" s="126" t="n"/>
      <c r="S132" s="126" t="n"/>
      <c r="T132" s="126" t="n"/>
      <c r="U132" s="126" t="n"/>
      <c r="V132" s="126" t="n"/>
      <c r="W132" s="126" t="n"/>
      <c r="X132" s="126" t="n"/>
      <c r="Y132" s="126" t="n"/>
      <c r="Z132" s="126" t="n"/>
      <c r="AA132" s="126" t="n"/>
      <c r="AB132" s="126" t="n"/>
      <c r="AC132" s="126" t="n"/>
      <c r="AD132" s="126" t="n"/>
      <c r="AE132" s="126" t="n"/>
      <c r="AF132" s="126" t="n"/>
      <c r="AG132" s="126" t="n"/>
      <c r="AH132" s="126" t="n"/>
      <c r="AI132" s="126" t="n"/>
      <c r="AJ132" s="126" t="n"/>
      <c r="AK132" s="126" t="n"/>
      <c r="AL132" s="126" t="n"/>
      <c r="AM132" s="126" t="n"/>
      <c r="AN132" s="126" t="n"/>
    </row>
    <row r="133" ht="21" customFormat="1" customHeight="1" s="127">
      <c r="A133" s="51">
        <f>IF($B133="","",ROW()-6)</f>
        <v/>
      </c>
      <c r="B133" s="268" t="n"/>
      <c r="C133" s="133" t="n"/>
      <c r="D133" s="50" t="n"/>
      <c r="E133" s="265" t="n"/>
      <c r="F133" s="133" t="n"/>
      <c r="G133" s="133" t="n"/>
      <c r="H133" s="50" t="n"/>
      <c r="I133" s="51">
        <f>IF($C133="","",IFERROR(INDEX(WorkerIDs,MATCH($C133,WorkerNames,0)),"?"))</f>
        <v/>
      </c>
      <c r="J133" s="253">
        <f>IF($B133="","",$B133-WEEKDAY($B133,2)+1)</f>
        <v/>
      </c>
      <c r="K133" s="142">
        <f>IF(OR($I133="",$I133="?",$D133&lt;&gt;"Advance",$B133=""),"",$I133&amp;"|"&amp;$J133&amp;"|"&amp;COUNTIFS($I$7:$I133,$I133,$J$7:$J133,$J133,$D$7:$D133,"Advance"))</f>
        <v/>
      </c>
      <c r="L133" s="266">
        <f>IF(OR($I133="",$I133="?",$B133=""),"",SUMPRODUCT((Weeks!$A$7:$A$59&lt;=$J133)*(Weeks!$X$5:$AI$5=$I133)*Weeks!$X$7:$AI$59)-SUMIFS($E$7:$E$1006,$I$7:$I$1006,$I133,$B$7:$B$1006,"&lt;="&amp;$B133))</f>
        <v/>
      </c>
      <c r="M133" s="132">
        <f>IF($B133&amp;$C133&amp;$D133&amp;$E133="","",IF($B133="","missing date",IF($C133="","missing worker",IF($I133="?","unknown worker - was the name changed on Workers?",IF($D133="","missing type",IF(N($E133)=0,"missing amount",IF(AND($E133&lt;0,$D133&lt;&gt;"Correction"),"negative amount - use a Correction to undo",IF(OR($B133&lt;Weeks!$A$7,$B133&gt;Weeks!$B$59),"date outside this workbook's year",IF(AND($D133="Advance",N($L133)&lt;0),"Warning: more than earned so far - worker now owes "&amp;TEXT(ROUND(-$L133,0),"#,##0"),"")))))))))</f>
        <v/>
      </c>
      <c r="N133" s="125" t="n"/>
      <c r="O133" s="126" t="n"/>
      <c r="P133" s="126" t="n"/>
      <c r="Q133" s="126" t="n"/>
      <c r="R133" s="126" t="n"/>
      <c r="S133" s="126" t="n"/>
      <c r="T133" s="126" t="n"/>
      <c r="U133" s="126" t="n"/>
      <c r="V133" s="126" t="n"/>
      <c r="W133" s="126" t="n"/>
      <c r="X133" s="126" t="n"/>
      <c r="Y133" s="126" t="n"/>
      <c r="Z133" s="126" t="n"/>
      <c r="AA133" s="126" t="n"/>
      <c r="AB133" s="126" t="n"/>
      <c r="AC133" s="126" t="n"/>
      <c r="AD133" s="126" t="n"/>
      <c r="AE133" s="126" t="n"/>
      <c r="AF133" s="126" t="n"/>
      <c r="AG133" s="126" t="n"/>
      <c r="AH133" s="126" t="n"/>
      <c r="AI133" s="126" t="n"/>
      <c r="AJ133" s="126" t="n"/>
      <c r="AK133" s="126" t="n"/>
      <c r="AL133" s="126" t="n"/>
      <c r="AM133" s="126" t="n"/>
      <c r="AN133" s="126" t="n"/>
    </row>
    <row r="134" ht="21" customFormat="1" customHeight="1" s="127">
      <c r="A134" s="51">
        <f>IF($B134="","",ROW()-6)</f>
        <v/>
      </c>
      <c r="B134" s="268" t="n"/>
      <c r="C134" s="133" t="n"/>
      <c r="D134" s="50" t="n"/>
      <c r="E134" s="265" t="n"/>
      <c r="F134" s="133" t="n"/>
      <c r="G134" s="133" t="n"/>
      <c r="H134" s="50" t="n"/>
      <c r="I134" s="51">
        <f>IF($C134="","",IFERROR(INDEX(WorkerIDs,MATCH($C134,WorkerNames,0)),"?"))</f>
        <v/>
      </c>
      <c r="J134" s="253">
        <f>IF($B134="","",$B134-WEEKDAY($B134,2)+1)</f>
        <v/>
      </c>
      <c r="K134" s="142">
        <f>IF(OR($I134="",$I134="?",$D134&lt;&gt;"Advance",$B134=""),"",$I134&amp;"|"&amp;$J134&amp;"|"&amp;COUNTIFS($I$7:$I134,$I134,$J$7:$J134,$J134,$D$7:$D134,"Advance"))</f>
        <v/>
      </c>
      <c r="L134" s="266">
        <f>IF(OR($I134="",$I134="?",$B134=""),"",SUMPRODUCT((Weeks!$A$7:$A$59&lt;=$J134)*(Weeks!$X$5:$AI$5=$I134)*Weeks!$X$7:$AI$59)-SUMIFS($E$7:$E$1006,$I$7:$I$1006,$I134,$B$7:$B$1006,"&lt;="&amp;$B134))</f>
        <v/>
      </c>
      <c r="M134" s="132">
        <f>IF($B134&amp;$C134&amp;$D134&amp;$E134="","",IF($B134="","missing date",IF($C134="","missing worker",IF($I134="?","unknown worker - was the name changed on Workers?",IF($D134="","missing type",IF(N($E134)=0,"missing amount",IF(AND($E134&lt;0,$D134&lt;&gt;"Correction"),"negative amount - use a Correction to undo",IF(OR($B134&lt;Weeks!$A$7,$B134&gt;Weeks!$B$59),"date outside this workbook's year",IF(AND($D134="Advance",N($L134)&lt;0),"Warning: more than earned so far - worker now owes "&amp;TEXT(ROUND(-$L134,0),"#,##0"),"")))))))))</f>
        <v/>
      </c>
      <c r="N134" s="125" t="n"/>
      <c r="O134" s="126" t="n"/>
      <c r="P134" s="126" t="n"/>
      <c r="Q134" s="126" t="n"/>
      <c r="R134" s="126" t="n"/>
      <c r="S134" s="126" t="n"/>
      <c r="T134" s="126" t="n"/>
      <c r="U134" s="126" t="n"/>
      <c r="V134" s="126" t="n"/>
      <c r="W134" s="126" t="n"/>
      <c r="X134" s="126" t="n"/>
      <c r="Y134" s="126" t="n"/>
      <c r="Z134" s="126" t="n"/>
      <c r="AA134" s="126" t="n"/>
      <c r="AB134" s="126" t="n"/>
      <c r="AC134" s="126" t="n"/>
      <c r="AD134" s="126" t="n"/>
      <c r="AE134" s="126" t="n"/>
      <c r="AF134" s="126" t="n"/>
      <c r="AG134" s="126" t="n"/>
      <c r="AH134" s="126" t="n"/>
      <c r="AI134" s="126" t="n"/>
      <c r="AJ134" s="126" t="n"/>
      <c r="AK134" s="126" t="n"/>
      <c r="AL134" s="126" t="n"/>
      <c r="AM134" s="126" t="n"/>
      <c r="AN134" s="126" t="n"/>
    </row>
    <row r="135" ht="21" customFormat="1" customHeight="1" s="127">
      <c r="A135" s="51">
        <f>IF($B135="","",ROW()-6)</f>
        <v/>
      </c>
      <c r="B135" s="268" t="n"/>
      <c r="C135" s="133" t="n"/>
      <c r="D135" s="50" t="n"/>
      <c r="E135" s="265" t="n"/>
      <c r="F135" s="133" t="n"/>
      <c r="G135" s="133" t="n"/>
      <c r="H135" s="50" t="n"/>
      <c r="I135" s="51">
        <f>IF($C135="","",IFERROR(INDEX(WorkerIDs,MATCH($C135,WorkerNames,0)),"?"))</f>
        <v/>
      </c>
      <c r="J135" s="253">
        <f>IF($B135="","",$B135-WEEKDAY($B135,2)+1)</f>
        <v/>
      </c>
      <c r="K135" s="142">
        <f>IF(OR($I135="",$I135="?",$D135&lt;&gt;"Advance",$B135=""),"",$I135&amp;"|"&amp;$J135&amp;"|"&amp;COUNTIFS($I$7:$I135,$I135,$J$7:$J135,$J135,$D$7:$D135,"Advance"))</f>
        <v/>
      </c>
      <c r="L135" s="266">
        <f>IF(OR($I135="",$I135="?",$B135=""),"",SUMPRODUCT((Weeks!$A$7:$A$59&lt;=$J135)*(Weeks!$X$5:$AI$5=$I135)*Weeks!$X$7:$AI$59)-SUMIFS($E$7:$E$1006,$I$7:$I$1006,$I135,$B$7:$B$1006,"&lt;="&amp;$B135))</f>
        <v/>
      </c>
      <c r="M135" s="132">
        <f>IF($B135&amp;$C135&amp;$D135&amp;$E135="","",IF($B135="","missing date",IF($C135="","missing worker",IF($I135="?","unknown worker - was the name changed on Workers?",IF($D135="","missing type",IF(N($E135)=0,"missing amount",IF(AND($E135&lt;0,$D135&lt;&gt;"Correction"),"negative amount - use a Correction to undo",IF(OR($B135&lt;Weeks!$A$7,$B135&gt;Weeks!$B$59),"date outside this workbook's year",IF(AND($D135="Advance",N($L135)&lt;0),"Warning: more than earned so far - worker now owes "&amp;TEXT(ROUND(-$L135,0),"#,##0"),"")))))))))</f>
        <v/>
      </c>
      <c r="N135" s="125" t="n"/>
      <c r="O135" s="126" t="n"/>
      <c r="P135" s="126" t="n"/>
      <c r="Q135" s="126" t="n"/>
      <c r="R135" s="126" t="n"/>
      <c r="S135" s="126" t="n"/>
      <c r="T135" s="126" t="n"/>
      <c r="U135" s="126" t="n"/>
      <c r="V135" s="126" t="n"/>
      <c r="W135" s="126" t="n"/>
      <c r="X135" s="126" t="n"/>
      <c r="Y135" s="126" t="n"/>
      <c r="Z135" s="126" t="n"/>
      <c r="AA135" s="126" t="n"/>
      <c r="AB135" s="126" t="n"/>
      <c r="AC135" s="126" t="n"/>
      <c r="AD135" s="126" t="n"/>
      <c r="AE135" s="126" t="n"/>
      <c r="AF135" s="126" t="n"/>
      <c r="AG135" s="126" t="n"/>
      <c r="AH135" s="126" t="n"/>
      <c r="AI135" s="126" t="n"/>
      <c r="AJ135" s="126" t="n"/>
      <c r="AK135" s="126" t="n"/>
      <c r="AL135" s="126" t="n"/>
      <c r="AM135" s="126" t="n"/>
      <c r="AN135" s="126" t="n"/>
    </row>
    <row r="136" ht="21" customFormat="1" customHeight="1" s="127">
      <c r="A136" s="51">
        <f>IF($B136="","",ROW()-6)</f>
        <v/>
      </c>
      <c r="B136" s="268" t="n"/>
      <c r="C136" s="133" t="n"/>
      <c r="D136" s="50" t="n"/>
      <c r="E136" s="265" t="n"/>
      <c r="F136" s="133" t="n"/>
      <c r="G136" s="133" t="n"/>
      <c r="H136" s="50" t="n"/>
      <c r="I136" s="51">
        <f>IF($C136="","",IFERROR(INDEX(WorkerIDs,MATCH($C136,WorkerNames,0)),"?"))</f>
        <v/>
      </c>
      <c r="J136" s="253">
        <f>IF($B136="","",$B136-WEEKDAY($B136,2)+1)</f>
        <v/>
      </c>
      <c r="K136" s="142">
        <f>IF(OR($I136="",$I136="?",$D136&lt;&gt;"Advance",$B136=""),"",$I136&amp;"|"&amp;$J136&amp;"|"&amp;COUNTIFS($I$7:$I136,$I136,$J$7:$J136,$J136,$D$7:$D136,"Advance"))</f>
        <v/>
      </c>
      <c r="L136" s="266">
        <f>IF(OR($I136="",$I136="?",$B136=""),"",SUMPRODUCT((Weeks!$A$7:$A$59&lt;=$J136)*(Weeks!$X$5:$AI$5=$I136)*Weeks!$X$7:$AI$59)-SUMIFS($E$7:$E$1006,$I$7:$I$1006,$I136,$B$7:$B$1006,"&lt;="&amp;$B136))</f>
        <v/>
      </c>
      <c r="M136" s="132">
        <f>IF($B136&amp;$C136&amp;$D136&amp;$E136="","",IF($B136="","missing date",IF($C136="","missing worker",IF($I136="?","unknown worker - was the name changed on Workers?",IF($D136="","missing type",IF(N($E136)=0,"missing amount",IF(AND($E136&lt;0,$D136&lt;&gt;"Correction"),"negative amount - use a Correction to undo",IF(OR($B136&lt;Weeks!$A$7,$B136&gt;Weeks!$B$59),"date outside this workbook's year",IF(AND($D136="Advance",N($L136)&lt;0),"Warning: more than earned so far - worker now owes "&amp;TEXT(ROUND(-$L136,0),"#,##0"),"")))))))))</f>
        <v/>
      </c>
      <c r="N136" s="125" t="n"/>
      <c r="O136" s="126" t="n"/>
      <c r="P136" s="126" t="n"/>
      <c r="Q136" s="126" t="n"/>
      <c r="R136" s="126" t="n"/>
      <c r="S136" s="126" t="n"/>
      <c r="T136" s="126" t="n"/>
      <c r="U136" s="126" t="n"/>
      <c r="V136" s="126" t="n"/>
      <c r="W136" s="126" t="n"/>
      <c r="X136" s="126" t="n"/>
      <c r="Y136" s="126" t="n"/>
      <c r="Z136" s="126" t="n"/>
      <c r="AA136" s="126" t="n"/>
      <c r="AB136" s="126" t="n"/>
      <c r="AC136" s="126" t="n"/>
      <c r="AD136" s="126" t="n"/>
      <c r="AE136" s="126" t="n"/>
      <c r="AF136" s="126" t="n"/>
      <c r="AG136" s="126" t="n"/>
      <c r="AH136" s="126" t="n"/>
      <c r="AI136" s="126" t="n"/>
      <c r="AJ136" s="126" t="n"/>
      <c r="AK136" s="126" t="n"/>
      <c r="AL136" s="126" t="n"/>
      <c r="AM136" s="126" t="n"/>
      <c r="AN136" s="126" t="n"/>
    </row>
    <row r="137" ht="21" customFormat="1" customHeight="1" s="127">
      <c r="A137" s="51">
        <f>IF($B137="","",ROW()-6)</f>
        <v/>
      </c>
      <c r="B137" s="268" t="n"/>
      <c r="C137" s="133" t="n"/>
      <c r="D137" s="50" t="n"/>
      <c r="E137" s="265" t="n"/>
      <c r="F137" s="133" t="n"/>
      <c r="G137" s="133" t="n"/>
      <c r="H137" s="50" t="n"/>
      <c r="I137" s="51">
        <f>IF($C137="","",IFERROR(INDEX(WorkerIDs,MATCH($C137,WorkerNames,0)),"?"))</f>
        <v/>
      </c>
      <c r="J137" s="253">
        <f>IF($B137="","",$B137-WEEKDAY($B137,2)+1)</f>
        <v/>
      </c>
      <c r="K137" s="142">
        <f>IF(OR($I137="",$I137="?",$D137&lt;&gt;"Advance",$B137=""),"",$I137&amp;"|"&amp;$J137&amp;"|"&amp;COUNTIFS($I$7:$I137,$I137,$J$7:$J137,$J137,$D$7:$D137,"Advance"))</f>
        <v/>
      </c>
      <c r="L137" s="266">
        <f>IF(OR($I137="",$I137="?",$B137=""),"",SUMPRODUCT((Weeks!$A$7:$A$59&lt;=$J137)*(Weeks!$X$5:$AI$5=$I137)*Weeks!$X$7:$AI$59)-SUMIFS($E$7:$E$1006,$I$7:$I$1006,$I137,$B$7:$B$1006,"&lt;="&amp;$B137))</f>
        <v/>
      </c>
      <c r="M137" s="132">
        <f>IF($B137&amp;$C137&amp;$D137&amp;$E137="","",IF($B137="","missing date",IF($C137="","missing worker",IF($I137="?","unknown worker - was the name changed on Workers?",IF($D137="","missing type",IF(N($E137)=0,"missing amount",IF(AND($E137&lt;0,$D137&lt;&gt;"Correction"),"negative amount - use a Correction to undo",IF(OR($B137&lt;Weeks!$A$7,$B137&gt;Weeks!$B$59),"date outside this workbook's year",IF(AND($D137="Advance",N($L137)&lt;0),"Warning: more than earned so far - worker now owes "&amp;TEXT(ROUND(-$L137,0),"#,##0"),"")))))))))</f>
        <v/>
      </c>
      <c r="N137" s="125" t="n"/>
      <c r="O137" s="126" t="n"/>
      <c r="P137" s="126" t="n"/>
      <c r="Q137" s="126" t="n"/>
      <c r="R137" s="126" t="n"/>
      <c r="S137" s="126" t="n"/>
      <c r="T137" s="126" t="n"/>
      <c r="U137" s="126" t="n"/>
      <c r="V137" s="126" t="n"/>
      <c r="W137" s="126" t="n"/>
      <c r="X137" s="126" t="n"/>
      <c r="Y137" s="126" t="n"/>
      <c r="Z137" s="126" t="n"/>
      <c r="AA137" s="126" t="n"/>
      <c r="AB137" s="126" t="n"/>
      <c r="AC137" s="126" t="n"/>
      <c r="AD137" s="126" t="n"/>
      <c r="AE137" s="126" t="n"/>
      <c r="AF137" s="126" t="n"/>
      <c r="AG137" s="126" t="n"/>
      <c r="AH137" s="126" t="n"/>
      <c r="AI137" s="126" t="n"/>
      <c r="AJ137" s="126" t="n"/>
      <c r="AK137" s="126" t="n"/>
      <c r="AL137" s="126" t="n"/>
      <c r="AM137" s="126" t="n"/>
      <c r="AN137" s="126" t="n"/>
    </row>
    <row r="138" ht="21" customFormat="1" customHeight="1" s="127">
      <c r="A138" s="51">
        <f>IF($B138="","",ROW()-6)</f>
        <v/>
      </c>
      <c r="B138" s="268" t="n"/>
      <c r="C138" s="133" t="n"/>
      <c r="D138" s="50" t="n"/>
      <c r="E138" s="265" t="n"/>
      <c r="F138" s="133" t="n"/>
      <c r="G138" s="133" t="n"/>
      <c r="H138" s="50" t="n"/>
      <c r="I138" s="51">
        <f>IF($C138="","",IFERROR(INDEX(WorkerIDs,MATCH($C138,WorkerNames,0)),"?"))</f>
        <v/>
      </c>
      <c r="J138" s="253">
        <f>IF($B138="","",$B138-WEEKDAY($B138,2)+1)</f>
        <v/>
      </c>
      <c r="K138" s="142">
        <f>IF(OR($I138="",$I138="?",$D138&lt;&gt;"Advance",$B138=""),"",$I138&amp;"|"&amp;$J138&amp;"|"&amp;COUNTIFS($I$7:$I138,$I138,$J$7:$J138,$J138,$D$7:$D138,"Advance"))</f>
        <v/>
      </c>
      <c r="L138" s="266">
        <f>IF(OR($I138="",$I138="?",$B138=""),"",SUMPRODUCT((Weeks!$A$7:$A$59&lt;=$J138)*(Weeks!$X$5:$AI$5=$I138)*Weeks!$X$7:$AI$59)-SUMIFS($E$7:$E$1006,$I$7:$I$1006,$I138,$B$7:$B$1006,"&lt;="&amp;$B138))</f>
        <v/>
      </c>
      <c r="M138" s="132">
        <f>IF($B138&amp;$C138&amp;$D138&amp;$E138="","",IF($B138="","missing date",IF($C138="","missing worker",IF($I138="?","unknown worker - was the name changed on Workers?",IF($D138="","missing type",IF(N($E138)=0,"missing amount",IF(AND($E138&lt;0,$D138&lt;&gt;"Correction"),"negative amount - use a Correction to undo",IF(OR($B138&lt;Weeks!$A$7,$B138&gt;Weeks!$B$59),"date outside this workbook's year",IF(AND($D138="Advance",N($L138)&lt;0),"Warning: more than earned so far - worker now owes "&amp;TEXT(ROUND(-$L138,0),"#,##0"),"")))))))))</f>
        <v/>
      </c>
      <c r="N138" s="125" t="n"/>
      <c r="O138" s="126" t="n"/>
      <c r="P138" s="126" t="n"/>
      <c r="Q138" s="126" t="n"/>
      <c r="R138" s="126" t="n"/>
      <c r="S138" s="126" t="n"/>
      <c r="T138" s="126" t="n"/>
      <c r="U138" s="126" t="n"/>
      <c r="V138" s="126" t="n"/>
      <c r="W138" s="126" t="n"/>
      <c r="X138" s="126" t="n"/>
      <c r="Y138" s="126" t="n"/>
      <c r="Z138" s="126" t="n"/>
      <c r="AA138" s="126" t="n"/>
      <c r="AB138" s="126" t="n"/>
      <c r="AC138" s="126" t="n"/>
      <c r="AD138" s="126" t="n"/>
      <c r="AE138" s="126" t="n"/>
      <c r="AF138" s="126" t="n"/>
      <c r="AG138" s="126" t="n"/>
      <c r="AH138" s="126" t="n"/>
      <c r="AI138" s="126" t="n"/>
      <c r="AJ138" s="126" t="n"/>
      <c r="AK138" s="126" t="n"/>
      <c r="AL138" s="126" t="n"/>
      <c r="AM138" s="126" t="n"/>
      <c r="AN138" s="126" t="n"/>
    </row>
    <row r="139" ht="21" customFormat="1" customHeight="1" s="127">
      <c r="A139" s="51">
        <f>IF($B139="","",ROW()-6)</f>
        <v/>
      </c>
      <c r="B139" s="268" t="n"/>
      <c r="C139" s="133" t="n"/>
      <c r="D139" s="50" t="n"/>
      <c r="E139" s="265" t="n"/>
      <c r="F139" s="133" t="n"/>
      <c r="G139" s="133" t="n"/>
      <c r="H139" s="50" t="n"/>
      <c r="I139" s="51">
        <f>IF($C139="","",IFERROR(INDEX(WorkerIDs,MATCH($C139,WorkerNames,0)),"?"))</f>
        <v/>
      </c>
      <c r="J139" s="253">
        <f>IF($B139="","",$B139-WEEKDAY($B139,2)+1)</f>
        <v/>
      </c>
      <c r="K139" s="142">
        <f>IF(OR($I139="",$I139="?",$D139&lt;&gt;"Advance",$B139=""),"",$I139&amp;"|"&amp;$J139&amp;"|"&amp;COUNTIFS($I$7:$I139,$I139,$J$7:$J139,$J139,$D$7:$D139,"Advance"))</f>
        <v/>
      </c>
      <c r="L139" s="266">
        <f>IF(OR($I139="",$I139="?",$B139=""),"",SUMPRODUCT((Weeks!$A$7:$A$59&lt;=$J139)*(Weeks!$X$5:$AI$5=$I139)*Weeks!$X$7:$AI$59)-SUMIFS($E$7:$E$1006,$I$7:$I$1006,$I139,$B$7:$B$1006,"&lt;="&amp;$B139))</f>
        <v/>
      </c>
      <c r="M139" s="132">
        <f>IF($B139&amp;$C139&amp;$D139&amp;$E139="","",IF($B139="","missing date",IF($C139="","missing worker",IF($I139="?","unknown worker - was the name changed on Workers?",IF($D139="","missing type",IF(N($E139)=0,"missing amount",IF(AND($E139&lt;0,$D139&lt;&gt;"Correction"),"negative amount - use a Correction to undo",IF(OR($B139&lt;Weeks!$A$7,$B139&gt;Weeks!$B$59),"date outside this workbook's year",IF(AND($D139="Advance",N($L139)&lt;0),"Warning: more than earned so far - worker now owes "&amp;TEXT(ROUND(-$L139,0),"#,##0"),"")))))))))</f>
        <v/>
      </c>
      <c r="N139" s="125" t="n"/>
      <c r="O139" s="126" t="n"/>
      <c r="P139" s="126" t="n"/>
      <c r="Q139" s="126" t="n"/>
      <c r="R139" s="126" t="n"/>
      <c r="S139" s="126" t="n"/>
      <c r="T139" s="126" t="n"/>
      <c r="U139" s="126" t="n"/>
      <c r="V139" s="126" t="n"/>
      <c r="W139" s="126" t="n"/>
      <c r="X139" s="126" t="n"/>
      <c r="Y139" s="126" t="n"/>
      <c r="Z139" s="126" t="n"/>
      <c r="AA139" s="126" t="n"/>
      <c r="AB139" s="126" t="n"/>
      <c r="AC139" s="126" t="n"/>
      <c r="AD139" s="126" t="n"/>
      <c r="AE139" s="126" t="n"/>
      <c r="AF139" s="126" t="n"/>
      <c r="AG139" s="126" t="n"/>
      <c r="AH139" s="126" t="n"/>
      <c r="AI139" s="126" t="n"/>
      <c r="AJ139" s="126" t="n"/>
      <c r="AK139" s="126" t="n"/>
      <c r="AL139" s="126" t="n"/>
      <c r="AM139" s="126" t="n"/>
      <c r="AN139" s="126" t="n"/>
    </row>
    <row r="140" ht="21" customFormat="1" customHeight="1" s="127">
      <c r="A140" s="51">
        <f>IF($B140="","",ROW()-6)</f>
        <v/>
      </c>
      <c r="B140" s="268" t="n"/>
      <c r="C140" s="133" t="n"/>
      <c r="D140" s="50" t="n"/>
      <c r="E140" s="265" t="n"/>
      <c r="F140" s="133" t="n"/>
      <c r="G140" s="133" t="n"/>
      <c r="H140" s="50" t="n"/>
      <c r="I140" s="51">
        <f>IF($C140="","",IFERROR(INDEX(WorkerIDs,MATCH($C140,WorkerNames,0)),"?"))</f>
        <v/>
      </c>
      <c r="J140" s="253">
        <f>IF($B140="","",$B140-WEEKDAY($B140,2)+1)</f>
        <v/>
      </c>
      <c r="K140" s="142">
        <f>IF(OR($I140="",$I140="?",$D140&lt;&gt;"Advance",$B140=""),"",$I140&amp;"|"&amp;$J140&amp;"|"&amp;COUNTIFS($I$7:$I140,$I140,$J$7:$J140,$J140,$D$7:$D140,"Advance"))</f>
        <v/>
      </c>
      <c r="L140" s="266">
        <f>IF(OR($I140="",$I140="?",$B140=""),"",SUMPRODUCT((Weeks!$A$7:$A$59&lt;=$J140)*(Weeks!$X$5:$AI$5=$I140)*Weeks!$X$7:$AI$59)-SUMIFS($E$7:$E$1006,$I$7:$I$1006,$I140,$B$7:$B$1006,"&lt;="&amp;$B140))</f>
        <v/>
      </c>
      <c r="M140" s="132">
        <f>IF($B140&amp;$C140&amp;$D140&amp;$E140="","",IF($B140="","missing date",IF($C140="","missing worker",IF($I140="?","unknown worker - was the name changed on Workers?",IF($D140="","missing type",IF(N($E140)=0,"missing amount",IF(AND($E140&lt;0,$D140&lt;&gt;"Correction"),"negative amount - use a Correction to undo",IF(OR($B140&lt;Weeks!$A$7,$B140&gt;Weeks!$B$59),"date outside this workbook's year",IF(AND($D140="Advance",N($L140)&lt;0),"Warning: more than earned so far - worker now owes "&amp;TEXT(ROUND(-$L140,0),"#,##0"),"")))))))))</f>
        <v/>
      </c>
      <c r="N140" s="125" t="n"/>
      <c r="O140" s="126" t="n"/>
      <c r="P140" s="126" t="n"/>
      <c r="Q140" s="126" t="n"/>
      <c r="R140" s="126" t="n"/>
      <c r="S140" s="126" t="n"/>
      <c r="T140" s="126" t="n"/>
      <c r="U140" s="126" t="n"/>
      <c r="V140" s="126" t="n"/>
      <c r="W140" s="126" t="n"/>
      <c r="X140" s="126" t="n"/>
      <c r="Y140" s="126" t="n"/>
      <c r="Z140" s="126" t="n"/>
      <c r="AA140" s="126" t="n"/>
      <c r="AB140" s="126" t="n"/>
      <c r="AC140" s="126" t="n"/>
      <c r="AD140" s="126" t="n"/>
      <c r="AE140" s="126" t="n"/>
      <c r="AF140" s="126" t="n"/>
      <c r="AG140" s="126" t="n"/>
      <c r="AH140" s="126" t="n"/>
      <c r="AI140" s="126" t="n"/>
      <c r="AJ140" s="126" t="n"/>
      <c r="AK140" s="126" t="n"/>
      <c r="AL140" s="126" t="n"/>
      <c r="AM140" s="126" t="n"/>
      <c r="AN140" s="126" t="n"/>
    </row>
    <row r="141" ht="21" customFormat="1" customHeight="1" s="127">
      <c r="A141" s="51">
        <f>IF($B141="","",ROW()-6)</f>
        <v/>
      </c>
      <c r="B141" s="268" t="n"/>
      <c r="C141" s="133" t="n"/>
      <c r="D141" s="50" t="n"/>
      <c r="E141" s="265" t="n"/>
      <c r="F141" s="133" t="n"/>
      <c r="G141" s="133" t="n"/>
      <c r="H141" s="50" t="n"/>
      <c r="I141" s="51">
        <f>IF($C141="","",IFERROR(INDEX(WorkerIDs,MATCH($C141,WorkerNames,0)),"?"))</f>
        <v/>
      </c>
      <c r="J141" s="253">
        <f>IF($B141="","",$B141-WEEKDAY($B141,2)+1)</f>
        <v/>
      </c>
      <c r="K141" s="142">
        <f>IF(OR($I141="",$I141="?",$D141&lt;&gt;"Advance",$B141=""),"",$I141&amp;"|"&amp;$J141&amp;"|"&amp;COUNTIFS($I$7:$I141,$I141,$J$7:$J141,$J141,$D$7:$D141,"Advance"))</f>
        <v/>
      </c>
      <c r="L141" s="266">
        <f>IF(OR($I141="",$I141="?",$B141=""),"",SUMPRODUCT((Weeks!$A$7:$A$59&lt;=$J141)*(Weeks!$X$5:$AI$5=$I141)*Weeks!$X$7:$AI$59)-SUMIFS($E$7:$E$1006,$I$7:$I$1006,$I141,$B$7:$B$1006,"&lt;="&amp;$B141))</f>
        <v/>
      </c>
      <c r="M141" s="132">
        <f>IF($B141&amp;$C141&amp;$D141&amp;$E141="","",IF($B141="","missing date",IF($C141="","missing worker",IF($I141="?","unknown worker - was the name changed on Workers?",IF($D141="","missing type",IF(N($E141)=0,"missing amount",IF(AND($E141&lt;0,$D141&lt;&gt;"Correction"),"negative amount - use a Correction to undo",IF(OR($B141&lt;Weeks!$A$7,$B141&gt;Weeks!$B$59),"date outside this workbook's year",IF(AND($D141="Advance",N($L141)&lt;0),"Warning: more than earned so far - worker now owes "&amp;TEXT(ROUND(-$L141,0),"#,##0"),"")))))))))</f>
        <v/>
      </c>
      <c r="N141" s="125" t="n"/>
      <c r="O141" s="126" t="n"/>
      <c r="P141" s="126" t="n"/>
      <c r="Q141" s="126" t="n"/>
      <c r="R141" s="126" t="n"/>
      <c r="S141" s="126" t="n"/>
      <c r="T141" s="126" t="n"/>
      <c r="U141" s="126" t="n"/>
      <c r="V141" s="126" t="n"/>
      <c r="W141" s="126" t="n"/>
      <c r="X141" s="126" t="n"/>
      <c r="Y141" s="126" t="n"/>
      <c r="Z141" s="126" t="n"/>
      <c r="AA141" s="126" t="n"/>
      <c r="AB141" s="126" t="n"/>
      <c r="AC141" s="126" t="n"/>
      <c r="AD141" s="126" t="n"/>
      <c r="AE141" s="126" t="n"/>
      <c r="AF141" s="126" t="n"/>
      <c r="AG141" s="126" t="n"/>
      <c r="AH141" s="126" t="n"/>
      <c r="AI141" s="126" t="n"/>
      <c r="AJ141" s="126" t="n"/>
      <c r="AK141" s="126" t="n"/>
      <c r="AL141" s="126" t="n"/>
      <c r="AM141" s="126" t="n"/>
      <c r="AN141" s="126" t="n"/>
    </row>
    <row r="142" ht="21" customFormat="1" customHeight="1" s="127">
      <c r="A142" s="51">
        <f>IF($B142="","",ROW()-6)</f>
        <v/>
      </c>
      <c r="B142" s="268" t="n"/>
      <c r="C142" s="133" t="n"/>
      <c r="D142" s="50" t="n"/>
      <c r="E142" s="265" t="n"/>
      <c r="F142" s="133" t="n"/>
      <c r="G142" s="133" t="n"/>
      <c r="H142" s="50" t="n"/>
      <c r="I142" s="51">
        <f>IF($C142="","",IFERROR(INDEX(WorkerIDs,MATCH($C142,WorkerNames,0)),"?"))</f>
        <v/>
      </c>
      <c r="J142" s="253">
        <f>IF($B142="","",$B142-WEEKDAY($B142,2)+1)</f>
        <v/>
      </c>
      <c r="K142" s="142">
        <f>IF(OR($I142="",$I142="?",$D142&lt;&gt;"Advance",$B142=""),"",$I142&amp;"|"&amp;$J142&amp;"|"&amp;COUNTIFS($I$7:$I142,$I142,$J$7:$J142,$J142,$D$7:$D142,"Advance"))</f>
        <v/>
      </c>
      <c r="L142" s="266">
        <f>IF(OR($I142="",$I142="?",$B142=""),"",SUMPRODUCT((Weeks!$A$7:$A$59&lt;=$J142)*(Weeks!$X$5:$AI$5=$I142)*Weeks!$X$7:$AI$59)-SUMIFS($E$7:$E$1006,$I$7:$I$1006,$I142,$B$7:$B$1006,"&lt;="&amp;$B142))</f>
        <v/>
      </c>
      <c r="M142" s="132">
        <f>IF($B142&amp;$C142&amp;$D142&amp;$E142="","",IF($B142="","missing date",IF($C142="","missing worker",IF($I142="?","unknown worker - was the name changed on Workers?",IF($D142="","missing type",IF(N($E142)=0,"missing amount",IF(AND($E142&lt;0,$D142&lt;&gt;"Correction"),"negative amount - use a Correction to undo",IF(OR($B142&lt;Weeks!$A$7,$B142&gt;Weeks!$B$59),"date outside this workbook's year",IF(AND($D142="Advance",N($L142)&lt;0),"Warning: more than earned so far - worker now owes "&amp;TEXT(ROUND(-$L142,0),"#,##0"),"")))))))))</f>
        <v/>
      </c>
      <c r="N142" s="125" t="n"/>
      <c r="O142" s="126" t="n"/>
      <c r="P142" s="126" t="n"/>
      <c r="Q142" s="126" t="n"/>
      <c r="R142" s="126" t="n"/>
      <c r="S142" s="126" t="n"/>
      <c r="T142" s="126" t="n"/>
      <c r="U142" s="126" t="n"/>
      <c r="V142" s="126" t="n"/>
      <c r="W142" s="126" t="n"/>
      <c r="X142" s="126" t="n"/>
      <c r="Y142" s="126" t="n"/>
      <c r="Z142" s="126" t="n"/>
      <c r="AA142" s="126" t="n"/>
      <c r="AB142" s="126" t="n"/>
      <c r="AC142" s="126" t="n"/>
      <c r="AD142" s="126" t="n"/>
      <c r="AE142" s="126" t="n"/>
      <c r="AF142" s="126" t="n"/>
      <c r="AG142" s="126" t="n"/>
      <c r="AH142" s="126" t="n"/>
      <c r="AI142" s="126" t="n"/>
      <c r="AJ142" s="126" t="n"/>
      <c r="AK142" s="126" t="n"/>
      <c r="AL142" s="126" t="n"/>
      <c r="AM142" s="126" t="n"/>
      <c r="AN142" s="126" t="n"/>
    </row>
    <row r="143" ht="21" customFormat="1" customHeight="1" s="127">
      <c r="A143" s="51">
        <f>IF($B143="","",ROW()-6)</f>
        <v/>
      </c>
      <c r="B143" s="268" t="n"/>
      <c r="C143" s="133" t="n"/>
      <c r="D143" s="50" t="n"/>
      <c r="E143" s="265" t="n"/>
      <c r="F143" s="133" t="n"/>
      <c r="G143" s="133" t="n"/>
      <c r="H143" s="50" t="n"/>
      <c r="I143" s="51">
        <f>IF($C143="","",IFERROR(INDEX(WorkerIDs,MATCH($C143,WorkerNames,0)),"?"))</f>
        <v/>
      </c>
      <c r="J143" s="253">
        <f>IF($B143="","",$B143-WEEKDAY($B143,2)+1)</f>
        <v/>
      </c>
      <c r="K143" s="142">
        <f>IF(OR($I143="",$I143="?",$D143&lt;&gt;"Advance",$B143=""),"",$I143&amp;"|"&amp;$J143&amp;"|"&amp;COUNTIFS($I$7:$I143,$I143,$J$7:$J143,$J143,$D$7:$D143,"Advance"))</f>
        <v/>
      </c>
      <c r="L143" s="266">
        <f>IF(OR($I143="",$I143="?",$B143=""),"",SUMPRODUCT((Weeks!$A$7:$A$59&lt;=$J143)*(Weeks!$X$5:$AI$5=$I143)*Weeks!$X$7:$AI$59)-SUMIFS($E$7:$E$1006,$I$7:$I$1006,$I143,$B$7:$B$1006,"&lt;="&amp;$B143))</f>
        <v/>
      </c>
      <c r="M143" s="132">
        <f>IF($B143&amp;$C143&amp;$D143&amp;$E143="","",IF($B143="","missing date",IF($C143="","missing worker",IF($I143="?","unknown worker - was the name changed on Workers?",IF($D143="","missing type",IF(N($E143)=0,"missing amount",IF(AND($E143&lt;0,$D143&lt;&gt;"Correction"),"negative amount - use a Correction to undo",IF(OR($B143&lt;Weeks!$A$7,$B143&gt;Weeks!$B$59),"date outside this workbook's year",IF(AND($D143="Advance",N($L143)&lt;0),"Warning: more than earned so far - worker now owes "&amp;TEXT(ROUND(-$L143,0),"#,##0"),"")))))))))</f>
        <v/>
      </c>
      <c r="N143" s="125" t="n"/>
      <c r="O143" s="126" t="n"/>
      <c r="P143" s="126" t="n"/>
      <c r="Q143" s="126" t="n"/>
      <c r="R143" s="126" t="n"/>
      <c r="S143" s="126" t="n"/>
      <c r="T143" s="126" t="n"/>
      <c r="U143" s="126" t="n"/>
      <c r="V143" s="126" t="n"/>
      <c r="W143" s="126" t="n"/>
      <c r="X143" s="126" t="n"/>
      <c r="Y143" s="126" t="n"/>
      <c r="Z143" s="126" t="n"/>
      <c r="AA143" s="126" t="n"/>
      <c r="AB143" s="126" t="n"/>
      <c r="AC143" s="126" t="n"/>
      <c r="AD143" s="126" t="n"/>
      <c r="AE143" s="126" t="n"/>
      <c r="AF143" s="126" t="n"/>
      <c r="AG143" s="126" t="n"/>
      <c r="AH143" s="126" t="n"/>
      <c r="AI143" s="126" t="n"/>
      <c r="AJ143" s="126" t="n"/>
      <c r="AK143" s="126" t="n"/>
      <c r="AL143" s="126" t="n"/>
      <c r="AM143" s="126" t="n"/>
      <c r="AN143" s="126" t="n"/>
    </row>
    <row r="144" ht="21" customFormat="1" customHeight="1" s="127">
      <c r="A144" s="51">
        <f>IF($B144="","",ROW()-6)</f>
        <v/>
      </c>
      <c r="B144" s="268" t="n"/>
      <c r="C144" s="133" t="n"/>
      <c r="D144" s="50" t="n"/>
      <c r="E144" s="265" t="n"/>
      <c r="F144" s="133" t="n"/>
      <c r="G144" s="133" t="n"/>
      <c r="H144" s="50" t="n"/>
      <c r="I144" s="51">
        <f>IF($C144="","",IFERROR(INDEX(WorkerIDs,MATCH($C144,WorkerNames,0)),"?"))</f>
        <v/>
      </c>
      <c r="J144" s="253">
        <f>IF($B144="","",$B144-WEEKDAY($B144,2)+1)</f>
        <v/>
      </c>
      <c r="K144" s="142">
        <f>IF(OR($I144="",$I144="?",$D144&lt;&gt;"Advance",$B144=""),"",$I144&amp;"|"&amp;$J144&amp;"|"&amp;COUNTIFS($I$7:$I144,$I144,$J$7:$J144,$J144,$D$7:$D144,"Advance"))</f>
        <v/>
      </c>
      <c r="L144" s="266">
        <f>IF(OR($I144="",$I144="?",$B144=""),"",SUMPRODUCT((Weeks!$A$7:$A$59&lt;=$J144)*(Weeks!$X$5:$AI$5=$I144)*Weeks!$X$7:$AI$59)-SUMIFS($E$7:$E$1006,$I$7:$I$1006,$I144,$B$7:$B$1006,"&lt;="&amp;$B144))</f>
        <v/>
      </c>
      <c r="M144" s="132">
        <f>IF($B144&amp;$C144&amp;$D144&amp;$E144="","",IF($B144="","missing date",IF($C144="","missing worker",IF($I144="?","unknown worker - was the name changed on Workers?",IF($D144="","missing type",IF(N($E144)=0,"missing amount",IF(AND($E144&lt;0,$D144&lt;&gt;"Correction"),"negative amount - use a Correction to undo",IF(OR($B144&lt;Weeks!$A$7,$B144&gt;Weeks!$B$59),"date outside this workbook's year",IF(AND($D144="Advance",N($L144)&lt;0),"Warning: more than earned so far - worker now owes "&amp;TEXT(ROUND(-$L144,0),"#,##0"),"")))))))))</f>
        <v/>
      </c>
      <c r="N144" s="125" t="n"/>
      <c r="O144" s="126" t="n"/>
      <c r="P144" s="126" t="n"/>
      <c r="Q144" s="126" t="n"/>
      <c r="R144" s="126" t="n"/>
      <c r="S144" s="126" t="n"/>
      <c r="T144" s="126" t="n"/>
      <c r="U144" s="126" t="n"/>
      <c r="V144" s="126" t="n"/>
      <c r="W144" s="126" t="n"/>
      <c r="X144" s="126" t="n"/>
      <c r="Y144" s="126" t="n"/>
      <c r="Z144" s="126" t="n"/>
      <c r="AA144" s="126" t="n"/>
      <c r="AB144" s="126" t="n"/>
      <c r="AC144" s="126" t="n"/>
      <c r="AD144" s="126" t="n"/>
      <c r="AE144" s="126" t="n"/>
      <c r="AF144" s="126" t="n"/>
      <c r="AG144" s="126" t="n"/>
      <c r="AH144" s="126" t="n"/>
      <c r="AI144" s="126" t="n"/>
      <c r="AJ144" s="126" t="n"/>
      <c r="AK144" s="126" t="n"/>
      <c r="AL144" s="126" t="n"/>
      <c r="AM144" s="126" t="n"/>
      <c r="AN144" s="126" t="n"/>
    </row>
    <row r="145" ht="21" customFormat="1" customHeight="1" s="127">
      <c r="A145" s="51">
        <f>IF($B145="","",ROW()-6)</f>
        <v/>
      </c>
      <c r="B145" s="268" t="n"/>
      <c r="C145" s="133" t="n"/>
      <c r="D145" s="50" t="n"/>
      <c r="E145" s="265" t="n"/>
      <c r="F145" s="133" t="n"/>
      <c r="G145" s="133" t="n"/>
      <c r="H145" s="50" t="n"/>
      <c r="I145" s="51">
        <f>IF($C145="","",IFERROR(INDEX(WorkerIDs,MATCH($C145,WorkerNames,0)),"?"))</f>
        <v/>
      </c>
      <c r="J145" s="253">
        <f>IF($B145="","",$B145-WEEKDAY($B145,2)+1)</f>
        <v/>
      </c>
      <c r="K145" s="142">
        <f>IF(OR($I145="",$I145="?",$D145&lt;&gt;"Advance",$B145=""),"",$I145&amp;"|"&amp;$J145&amp;"|"&amp;COUNTIFS($I$7:$I145,$I145,$J$7:$J145,$J145,$D$7:$D145,"Advance"))</f>
        <v/>
      </c>
      <c r="L145" s="266">
        <f>IF(OR($I145="",$I145="?",$B145=""),"",SUMPRODUCT((Weeks!$A$7:$A$59&lt;=$J145)*(Weeks!$X$5:$AI$5=$I145)*Weeks!$X$7:$AI$59)-SUMIFS($E$7:$E$1006,$I$7:$I$1006,$I145,$B$7:$B$1006,"&lt;="&amp;$B145))</f>
        <v/>
      </c>
      <c r="M145" s="132">
        <f>IF($B145&amp;$C145&amp;$D145&amp;$E145="","",IF($B145="","missing date",IF($C145="","missing worker",IF($I145="?","unknown worker - was the name changed on Workers?",IF($D145="","missing type",IF(N($E145)=0,"missing amount",IF(AND($E145&lt;0,$D145&lt;&gt;"Correction"),"negative amount - use a Correction to undo",IF(OR($B145&lt;Weeks!$A$7,$B145&gt;Weeks!$B$59),"date outside this workbook's year",IF(AND($D145="Advance",N($L145)&lt;0),"Warning: more than earned so far - worker now owes "&amp;TEXT(ROUND(-$L145,0),"#,##0"),"")))))))))</f>
        <v/>
      </c>
      <c r="N145" s="125" t="n"/>
      <c r="O145" s="126" t="n"/>
      <c r="P145" s="126" t="n"/>
      <c r="Q145" s="126" t="n"/>
      <c r="R145" s="126" t="n"/>
      <c r="S145" s="126" t="n"/>
      <c r="T145" s="126" t="n"/>
      <c r="U145" s="126" t="n"/>
      <c r="V145" s="126" t="n"/>
      <c r="W145" s="126" t="n"/>
      <c r="X145" s="126" t="n"/>
      <c r="Y145" s="126" t="n"/>
      <c r="Z145" s="126" t="n"/>
      <c r="AA145" s="126" t="n"/>
      <c r="AB145" s="126" t="n"/>
      <c r="AC145" s="126" t="n"/>
      <c r="AD145" s="126" t="n"/>
      <c r="AE145" s="126" t="n"/>
      <c r="AF145" s="126" t="n"/>
      <c r="AG145" s="126" t="n"/>
      <c r="AH145" s="126" t="n"/>
      <c r="AI145" s="126" t="n"/>
      <c r="AJ145" s="126" t="n"/>
      <c r="AK145" s="126" t="n"/>
      <c r="AL145" s="126" t="n"/>
      <c r="AM145" s="126" t="n"/>
      <c r="AN145" s="126" t="n"/>
    </row>
    <row r="146" ht="21" customFormat="1" customHeight="1" s="127">
      <c r="A146" s="51">
        <f>IF($B146="","",ROW()-6)</f>
        <v/>
      </c>
      <c r="B146" s="268" t="n"/>
      <c r="C146" s="133" t="n"/>
      <c r="D146" s="50" t="n"/>
      <c r="E146" s="265" t="n"/>
      <c r="F146" s="133" t="n"/>
      <c r="G146" s="133" t="n"/>
      <c r="H146" s="50" t="n"/>
      <c r="I146" s="51">
        <f>IF($C146="","",IFERROR(INDEX(WorkerIDs,MATCH($C146,WorkerNames,0)),"?"))</f>
        <v/>
      </c>
      <c r="J146" s="253">
        <f>IF($B146="","",$B146-WEEKDAY($B146,2)+1)</f>
        <v/>
      </c>
      <c r="K146" s="142">
        <f>IF(OR($I146="",$I146="?",$D146&lt;&gt;"Advance",$B146=""),"",$I146&amp;"|"&amp;$J146&amp;"|"&amp;COUNTIFS($I$7:$I146,$I146,$J$7:$J146,$J146,$D$7:$D146,"Advance"))</f>
        <v/>
      </c>
      <c r="L146" s="266">
        <f>IF(OR($I146="",$I146="?",$B146=""),"",SUMPRODUCT((Weeks!$A$7:$A$59&lt;=$J146)*(Weeks!$X$5:$AI$5=$I146)*Weeks!$X$7:$AI$59)-SUMIFS($E$7:$E$1006,$I$7:$I$1006,$I146,$B$7:$B$1006,"&lt;="&amp;$B146))</f>
        <v/>
      </c>
      <c r="M146" s="132">
        <f>IF($B146&amp;$C146&amp;$D146&amp;$E146="","",IF($B146="","missing date",IF($C146="","missing worker",IF($I146="?","unknown worker - was the name changed on Workers?",IF($D146="","missing type",IF(N($E146)=0,"missing amount",IF(AND($E146&lt;0,$D146&lt;&gt;"Correction"),"negative amount - use a Correction to undo",IF(OR($B146&lt;Weeks!$A$7,$B146&gt;Weeks!$B$59),"date outside this workbook's year",IF(AND($D146="Advance",N($L146)&lt;0),"Warning: more than earned so far - worker now owes "&amp;TEXT(ROUND(-$L146,0),"#,##0"),"")))))))))</f>
        <v/>
      </c>
      <c r="N146" s="125" t="n"/>
      <c r="O146" s="126" t="n"/>
      <c r="P146" s="126" t="n"/>
      <c r="Q146" s="126" t="n"/>
      <c r="R146" s="126" t="n"/>
      <c r="S146" s="126" t="n"/>
      <c r="T146" s="126" t="n"/>
      <c r="U146" s="126" t="n"/>
      <c r="V146" s="126" t="n"/>
      <c r="W146" s="126" t="n"/>
      <c r="X146" s="126" t="n"/>
      <c r="Y146" s="126" t="n"/>
      <c r="Z146" s="126" t="n"/>
      <c r="AA146" s="126" t="n"/>
      <c r="AB146" s="126" t="n"/>
      <c r="AC146" s="126" t="n"/>
      <c r="AD146" s="126" t="n"/>
      <c r="AE146" s="126" t="n"/>
      <c r="AF146" s="126" t="n"/>
      <c r="AG146" s="126" t="n"/>
      <c r="AH146" s="126" t="n"/>
      <c r="AI146" s="126" t="n"/>
      <c r="AJ146" s="126" t="n"/>
      <c r="AK146" s="126" t="n"/>
      <c r="AL146" s="126" t="n"/>
      <c r="AM146" s="126" t="n"/>
      <c r="AN146" s="126" t="n"/>
    </row>
    <row r="147" ht="21" customFormat="1" customHeight="1" s="127">
      <c r="A147" s="51">
        <f>IF($B147="","",ROW()-6)</f>
        <v/>
      </c>
      <c r="B147" s="268" t="n"/>
      <c r="C147" s="133" t="n"/>
      <c r="D147" s="50" t="n"/>
      <c r="E147" s="265" t="n"/>
      <c r="F147" s="133" t="n"/>
      <c r="G147" s="133" t="n"/>
      <c r="H147" s="50" t="n"/>
      <c r="I147" s="51">
        <f>IF($C147="","",IFERROR(INDEX(WorkerIDs,MATCH($C147,WorkerNames,0)),"?"))</f>
        <v/>
      </c>
      <c r="J147" s="253">
        <f>IF($B147="","",$B147-WEEKDAY($B147,2)+1)</f>
        <v/>
      </c>
      <c r="K147" s="142">
        <f>IF(OR($I147="",$I147="?",$D147&lt;&gt;"Advance",$B147=""),"",$I147&amp;"|"&amp;$J147&amp;"|"&amp;COUNTIFS($I$7:$I147,$I147,$J$7:$J147,$J147,$D$7:$D147,"Advance"))</f>
        <v/>
      </c>
      <c r="L147" s="266">
        <f>IF(OR($I147="",$I147="?",$B147=""),"",SUMPRODUCT((Weeks!$A$7:$A$59&lt;=$J147)*(Weeks!$X$5:$AI$5=$I147)*Weeks!$X$7:$AI$59)-SUMIFS($E$7:$E$1006,$I$7:$I$1006,$I147,$B$7:$B$1006,"&lt;="&amp;$B147))</f>
        <v/>
      </c>
      <c r="M147" s="132">
        <f>IF($B147&amp;$C147&amp;$D147&amp;$E147="","",IF($B147="","missing date",IF($C147="","missing worker",IF($I147="?","unknown worker - was the name changed on Workers?",IF($D147="","missing type",IF(N($E147)=0,"missing amount",IF(AND($E147&lt;0,$D147&lt;&gt;"Correction"),"negative amount - use a Correction to undo",IF(OR($B147&lt;Weeks!$A$7,$B147&gt;Weeks!$B$59),"date outside this workbook's year",IF(AND($D147="Advance",N($L147)&lt;0),"Warning: more than earned so far - worker now owes "&amp;TEXT(ROUND(-$L147,0),"#,##0"),"")))))))))</f>
        <v/>
      </c>
      <c r="N147" s="125" t="n"/>
      <c r="O147" s="126" t="n"/>
      <c r="P147" s="126" t="n"/>
      <c r="Q147" s="126" t="n"/>
      <c r="R147" s="126" t="n"/>
      <c r="S147" s="126" t="n"/>
      <c r="T147" s="126" t="n"/>
      <c r="U147" s="126" t="n"/>
      <c r="V147" s="126" t="n"/>
      <c r="W147" s="126" t="n"/>
      <c r="X147" s="126" t="n"/>
      <c r="Y147" s="126" t="n"/>
      <c r="Z147" s="126" t="n"/>
      <c r="AA147" s="126" t="n"/>
      <c r="AB147" s="126" t="n"/>
      <c r="AC147" s="126" t="n"/>
      <c r="AD147" s="126" t="n"/>
      <c r="AE147" s="126" t="n"/>
      <c r="AF147" s="126" t="n"/>
      <c r="AG147" s="126" t="n"/>
      <c r="AH147" s="126" t="n"/>
      <c r="AI147" s="126" t="n"/>
      <c r="AJ147" s="126" t="n"/>
      <c r="AK147" s="126" t="n"/>
      <c r="AL147" s="126" t="n"/>
      <c r="AM147" s="126" t="n"/>
      <c r="AN147" s="126" t="n"/>
    </row>
    <row r="148" ht="21" customFormat="1" customHeight="1" s="127">
      <c r="A148" s="51">
        <f>IF($B148="","",ROW()-6)</f>
        <v/>
      </c>
      <c r="B148" s="268" t="n"/>
      <c r="C148" s="133" t="n"/>
      <c r="D148" s="50" t="n"/>
      <c r="E148" s="265" t="n"/>
      <c r="F148" s="133" t="n"/>
      <c r="G148" s="133" t="n"/>
      <c r="H148" s="50" t="n"/>
      <c r="I148" s="51">
        <f>IF($C148="","",IFERROR(INDEX(WorkerIDs,MATCH($C148,WorkerNames,0)),"?"))</f>
        <v/>
      </c>
      <c r="J148" s="253">
        <f>IF($B148="","",$B148-WEEKDAY($B148,2)+1)</f>
        <v/>
      </c>
      <c r="K148" s="142">
        <f>IF(OR($I148="",$I148="?",$D148&lt;&gt;"Advance",$B148=""),"",$I148&amp;"|"&amp;$J148&amp;"|"&amp;COUNTIFS($I$7:$I148,$I148,$J$7:$J148,$J148,$D$7:$D148,"Advance"))</f>
        <v/>
      </c>
      <c r="L148" s="266">
        <f>IF(OR($I148="",$I148="?",$B148=""),"",SUMPRODUCT((Weeks!$A$7:$A$59&lt;=$J148)*(Weeks!$X$5:$AI$5=$I148)*Weeks!$X$7:$AI$59)-SUMIFS($E$7:$E$1006,$I$7:$I$1006,$I148,$B$7:$B$1006,"&lt;="&amp;$B148))</f>
        <v/>
      </c>
      <c r="M148" s="132">
        <f>IF($B148&amp;$C148&amp;$D148&amp;$E148="","",IF($B148="","missing date",IF($C148="","missing worker",IF($I148="?","unknown worker - was the name changed on Workers?",IF($D148="","missing type",IF(N($E148)=0,"missing amount",IF(AND($E148&lt;0,$D148&lt;&gt;"Correction"),"negative amount - use a Correction to undo",IF(OR($B148&lt;Weeks!$A$7,$B148&gt;Weeks!$B$59),"date outside this workbook's year",IF(AND($D148="Advance",N($L148)&lt;0),"Warning: more than earned so far - worker now owes "&amp;TEXT(ROUND(-$L148,0),"#,##0"),"")))))))))</f>
        <v/>
      </c>
      <c r="N148" s="125" t="n"/>
      <c r="O148" s="126" t="n"/>
      <c r="P148" s="126" t="n"/>
      <c r="Q148" s="126" t="n"/>
      <c r="R148" s="126" t="n"/>
      <c r="S148" s="126" t="n"/>
      <c r="T148" s="126" t="n"/>
      <c r="U148" s="126" t="n"/>
      <c r="V148" s="126" t="n"/>
      <c r="W148" s="126" t="n"/>
      <c r="X148" s="126" t="n"/>
      <c r="Y148" s="126" t="n"/>
      <c r="Z148" s="126" t="n"/>
      <c r="AA148" s="126" t="n"/>
      <c r="AB148" s="126" t="n"/>
      <c r="AC148" s="126" t="n"/>
      <c r="AD148" s="126" t="n"/>
      <c r="AE148" s="126" t="n"/>
      <c r="AF148" s="126" t="n"/>
      <c r="AG148" s="126" t="n"/>
      <c r="AH148" s="126" t="n"/>
      <c r="AI148" s="126" t="n"/>
      <c r="AJ148" s="126" t="n"/>
      <c r="AK148" s="126" t="n"/>
      <c r="AL148" s="126" t="n"/>
      <c r="AM148" s="126" t="n"/>
      <c r="AN148" s="126" t="n"/>
    </row>
    <row r="149" ht="21" customFormat="1" customHeight="1" s="127">
      <c r="A149" s="51">
        <f>IF($B149="","",ROW()-6)</f>
        <v/>
      </c>
      <c r="B149" s="268" t="n"/>
      <c r="C149" s="133" t="n"/>
      <c r="D149" s="50" t="n"/>
      <c r="E149" s="265" t="n"/>
      <c r="F149" s="133" t="n"/>
      <c r="G149" s="133" t="n"/>
      <c r="H149" s="50" t="n"/>
      <c r="I149" s="51">
        <f>IF($C149="","",IFERROR(INDEX(WorkerIDs,MATCH($C149,WorkerNames,0)),"?"))</f>
        <v/>
      </c>
      <c r="J149" s="253">
        <f>IF($B149="","",$B149-WEEKDAY($B149,2)+1)</f>
        <v/>
      </c>
      <c r="K149" s="142">
        <f>IF(OR($I149="",$I149="?",$D149&lt;&gt;"Advance",$B149=""),"",$I149&amp;"|"&amp;$J149&amp;"|"&amp;COUNTIFS($I$7:$I149,$I149,$J$7:$J149,$J149,$D$7:$D149,"Advance"))</f>
        <v/>
      </c>
      <c r="L149" s="266">
        <f>IF(OR($I149="",$I149="?",$B149=""),"",SUMPRODUCT((Weeks!$A$7:$A$59&lt;=$J149)*(Weeks!$X$5:$AI$5=$I149)*Weeks!$X$7:$AI$59)-SUMIFS($E$7:$E$1006,$I$7:$I$1006,$I149,$B$7:$B$1006,"&lt;="&amp;$B149))</f>
        <v/>
      </c>
      <c r="M149" s="132">
        <f>IF($B149&amp;$C149&amp;$D149&amp;$E149="","",IF($B149="","missing date",IF($C149="","missing worker",IF($I149="?","unknown worker - was the name changed on Workers?",IF($D149="","missing type",IF(N($E149)=0,"missing amount",IF(AND($E149&lt;0,$D149&lt;&gt;"Correction"),"negative amount - use a Correction to undo",IF(OR($B149&lt;Weeks!$A$7,$B149&gt;Weeks!$B$59),"date outside this workbook's year",IF(AND($D149="Advance",N($L149)&lt;0),"Warning: more than earned so far - worker now owes "&amp;TEXT(ROUND(-$L149,0),"#,##0"),"")))))))))</f>
        <v/>
      </c>
      <c r="N149" s="125" t="n"/>
      <c r="O149" s="126" t="n"/>
      <c r="P149" s="126" t="n"/>
      <c r="Q149" s="126" t="n"/>
      <c r="R149" s="126" t="n"/>
      <c r="S149" s="126" t="n"/>
      <c r="T149" s="126" t="n"/>
      <c r="U149" s="126" t="n"/>
      <c r="V149" s="126" t="n"/>
      <c r="W149" s="126" t="n"/>
      <c r="X149" s="126" t="n"/>
      <c r="Y149" s="126" t="n"/>
      <c r="Z149" s="126" t="n"/>
      <c r="AA149" s="126" t="n"/>
      <c r="AB149" s="126" t="n"/>
      <c r="AC149" s="126" t="n"/>
      <c r="AD149" s="126" t="n"/>
      <c r="AE149" s="126" t="n"/>
      <c r="AF149" s="126" t="n"/>
      <c r="AG149" s="126" t="n"/>
      <c r="AH149" s="126" t="n"/>
      <c r="AI149" s="126" t="n"/>
      <c r="AJ149" s="126" t="n"/>
      <c r="AK149" s="126" t="n"/>
      <c r="AL149" s="126" t="n"/>
      <c r="AM149" s="126" t="n"/>
      <c r="AN149" s="126" t="n"/>
    </row>
    <row r="150" ht="21" customFormat="1" customHeight="1" s="127">
      <c r="A150" s="51">
        <f>IF($B150="","",ROW()-6)</f>
        <v/>
      </c>
      <c r="B150" s="268" t="n"/>
      <c r="C150" s="133" t="n"/>
      <c r="D150" s="50" t="n"/>
      <c r="E150" s="265" t="n"/>
      <c r="F150" s="133" t="n"/>
      <c r="G150" s="133" t="n"/>
      <c r="H150" s="50" t="n"/>
      <c r="I150" s="51">
        <f>IF($C150="","",IFERROR(INDEX(WorkerIDs,MATCH($C150,WorkerNames,0)),"?"))</f>
        <v/>
      </c>
      <c r="J150" s="253">
        <f>IF($B150="","",$B150-WEEKDAY($B150,2)+1)</f>
        <v/>
      </c>
      <c r="K150" s="142">
        <f>IF(OR($I150="",$I150="?",$D150&lt;&gt;"Advance",$B150=""),"",$I150&amp;"|"&amp;$J150&amp;"|"&amp;COUNTIFS($I$7:$I150,$I150,$J$7:$J150,$J150,$D$7:$D150,"Advance"))</f>
        <v/>
      </c>
      <c r="L150" s="266">
        <f>IF(OR($I150="",$I150="?",$B150=""),"",SUMPRODUCT((Weeks!$A$7:$A$59&lt;=$J150)*(Weeks!$X$5:$AI$5=$I150)*Weeks!$X$7:$AI$59)-SUMIFS($E$7:$E$1006,$I$7:$I$1006,$I150,$B$7:$B$1006,"&lt;="&amp;$B150))</f>
        <v/>
      </c>
      <c r="M150" s="132">
        <f>IF($B150&amp;$C150&amp;$D150&amp;$E150="","",IF($B150="","missing date",IF($C150="","missing worker",IF($I150="?","unknown worker - was the name changed on Workers?",IF($D150="","missing type",IF(N($E150)=0,"missing amount",IF(AND($E150&lt;0,$D150&lt;&gt;"Correction"),"negative amount - use a Correction to undo",IF(OR($B150&lt;Weeks!$A$7,$B150&gt;Weeks!$B$59),"date outside this workbook's year",IF(AND($D150="Advance",N($L150)&lt;0),"Warning: more than earned so far - worker now owes "&amp;TEXT(ROUND(-$L150,0),"#,##0"),"")))))))))</f>
        <v/>
      </c>
      <c r="N150" s="125" t="n"/>
      <c r="O150" s="126" t="n"/>
      <c r="P150" s="126" t="n"/>
      <c r="Q150" s="126" t="n"/>
      <c r="R150" s="126" t="n"/>
      <c r="S150" s="126" t="n"/>
      <c r="T150" s="126" t="n"/>
      <c r="U150" s="126" t="n"/>
      <c r="V150" s="126" t="n"/>
      <c r="W150" s="126" t="n"/>
      <c r="X150" s="126" t="n"/>
      <c r="Y150" s="126" t="n"/>
      <c r="Z150" s="126" t="n"/>
      <c r="AA150" s="126" t="n"/>
      <c r="AB150" s="126" t="n"/>
      <c r="AC150" s="126" t="n"/>
      <c r="AD150" s="126" t="n"/>
      <c r="AE150" s="126" t="n"/>
      <c r="AF150" s="126" t="n"/>
      <c r="AG150" s="126" t="n"/>
      <c r="AH150" s="126" t="n"/>
      <c r="AI150" s="126" t="n"/>
      <c r="AJ150" s="126" t="n"/>
      <c r="AK150" s="126" t="n"/>
      <c r="AL150" s="126" t="n"/>
      <c r="AM150" s="126" t="n"/>
      <c r="AN150" s="126" t="n"/>
    </row>
    <row r="151" ht="21" customFormat="1" customHeight="1" s="127">
      <c r="A151" s="51">
        <f>IF($B151="","",ROW()-6)</f>
        <v/>
      </c>
      <c r="B151" s="268" t="n"/>
      <c r="C151" s="133" t="n"/>
      <c r="D151" s="50" t="n"/>
      <c r="E151" s="265" t="n"/>
      <c r="F151" s="133" t="n"/>
      <c r="G151" s="133" t="n"/>
      <c r="H151" s="50" t="n"/>
      <c r="I151" s="51">
        <f>IF($C151="","",IFERROR(INDEX(WorkerIDs,MATCH($C151,WorkerNames,0)),"?"))</f>
        <v/>
      </c>
      <c r="J151" s="253">
        <f>IF($B151="","",$B151-WEEKDAY($B151,2)+1)</f>
        <v/>
      </c>
      <c r="K151" s="142">
        <f>IF(OR($I151="",$I151="?",$D151&lt;&gt;"Advance",$B151=""),"",$I151&amp;"|"&amp;$J151&amp;"|"&amp;COUNTIFS($I$7:$I151,$I151,$J$7:$J151,$J151,$D$7:$D151,"Advance"))</f>
        <v/>
      </c>
      <c r="L151" s="266">
        <f>IF(OR($I151="",$I151="?",$B151=""),"",SUMPRODUCT((Weeks!$A$7:$A$59&lt;=$J151)*(Weeks!$X$5:$AI$5=$I151)*Weeks!$X$7:$AI$59)-SUMIFS($E$7:$E$1006,$I$7:$I$1006,$I151,$B$7:$B$1006,"&lt;="&amp;$B151))</f>
        <v/>
      </c>
      <c r="M151" s="132">
        <f>IF($B151&amp;$C151&amp;$D151&amp;$E151="","",IF($B151="","missing date",IF($C151="","missing worker",IF($I151="?","unknown worker - was the name changed on Workers?",IF($D151="","missing type",IF(N($E151)=0,"missing amount",IF(AND($E151&lt;0,$D151&lt;&gt;"Correction"),"negative amount - use a Correction to undo",IF(OR($B151&lt;Weeks!$A$7,$B151&gt;Weeks!$B$59),"date outside this workbook's year",IF(AND($D151="Advance",N($L151)&lt;0),"Warning: more than earned so far - worker now owes "&amp;TEXT(ROUND(-$L151,0),"#,##0"),"")))))))))</f>
        <v/>
      </c>
      <c r="N151" s="125" t="n"/>
      <c r="O151" s="126" t="n"/>
      <c r="P151" s="126" t="n"/>
      <c r="Q151" s="126" t="n"/>
      <c r="R151" s="126" t="n"/>
      <c r="S151" s="126" t="n"/>
      <c r="T151" s="126" t="n"/>
      <c r="U151" s="126" t="n"/>
      <c r="V151" s="126" t="n"/>
      <c r="W151" s="126" t="n"/>
      <c r="X151" s="126" t="n"/>
      <c r="Y151" s="126" t="n"/>
      <c r="Z151" s="126" t="n"/>
      <c r="AA151" s="126" t="n"/>
      <c r="AB151" s="126" t="n"/>
      <c r="AC151" s="126" t="n"/>
      <c r="AD151" s="126" t="n"/>
      <c r="AE151" s="126" t="n"/>
      <c r="AF151" s="126" t="n"/>
      <c r="AG151" s="126" t="n"/>
      <c r="AH151" s="126" t="n"/>
      <c r="AI151" s="126" t="n"/>
      <c r="AJ151" s="126" t="n"/>
      <c r="AK151" s="126" t="n"/>
      <c r="AL151" s="126" t="n"/>
      <c r="AM151" s="126" t="n"/>
      <c r="AN151" s="126" t="n"/>
    </row>
    <row r="152" ht="21" customFormat="1" customHeight="1" s="127">
      <c r="A152" s="51">
        <f>IF($B152="","",ROW()-6)</f>
        <v/>
      </c>
      <c r="B152" s="268" t="n"/>
      <c r="C152" s="133" t="n"/>
      <c r="D152" s="50" t="n"/>
      <c r="E152" s="265" t="n"/>
      <c r="F152" s="133" t="n"/>
      <c r="G152" s="133" t="n"/>
      <c r="H152" s="50" t="n"/>
      <c r="I152" s="51">
        <f>IF($C152="","",IFERROR(INDEX(WorkerIDs,MATCH($C152,WorkerNames,0)),"?"))</f>
        <v/>
      </c>
      <c r="J152" s="253">
        <f>IF($B152="","",$B152-WEEKDAY($B152,2)+1)</f>
        <v/>
      </c>
      <c r="K152" s="142">
        <f>IF(OR($I152="",$I152="?",$D152&lt;&gt;"Advance",$B152=""),"",$I152&amp;"|"&amp;$J152&amp;"|"&amp;COUNTIFS($I$7:$I152,$I152,$J$7:$J152,$J152,$D$7:$D152,"Advance"))</f>
        <v/>
      </c>
      <c r="L152" s="266">
        <f>IF(OR($I152="",$I152="?",$B152=""),"",SUMPRODUCT((Weeks!$A$7:$A$59&lt;=$J152)*(Weeks!$X$5:$AI$5=$I152)*Weeks!$X$7:$AI$59)-SUMIFS($E$7:$E$1006,$I$7:$I$1006,$I152,$B$7:$B$1006,"&lt;="&amp;$B152))</f>
        <v/>
      </c>
      <c r="M152" s="132">
        <f>IF($B152&amp;$C152&amp;$D152&amp;$E152="","",IF($B152="","missing date",IF($C152="","missing worker",IF($I152="?","unknown worker - was the name changed on Workers?",IF($D152="","missing type",IF(N($E152)=0,"missing amount",IF(AND($E152&lt;0,$D152&lt;&gt;"Correction"),"negative amount - use a Correction to undo",IF(OR($B152&lt;Weeks!$A$7,$B152&gt;Weeks!$B$59),"date outside this workbook's year",IF(AND($D152="Advance",N($L152)&lt;0),"Warning: more than earned so far - worker now owes "&amp;TEXT(ROUND(-$L152,0),"#,##0"),"")))))))))</f>
        <v/>
      </c>
      <c r="N152" s="125" t="n"/>
      <c r="O152" s="126" t="n"/>
      <c r="P152" s="126" t="n"/>
      <c r="Q152" s="126" t="n"/>
      <c r="R152" s="126" t="n"/>
      <c r="S152" s="126" t="n"/>
      <c r="T152" s="126" t="n"/>
      <c r="U152" s="126" t="n"/>
      <c r="V152" s="126" t="n"/>
      <c r="W152" s="126" t="n"/>
      <c r="X152" s="126" t="n"/>
      <c r="Y152" s="126" t="n"/>
      <c r="Z152" s="126" t="n"/>
      <c r="AA152" s="126" t="n"/>
      <c r="AB152" s="126" t="n"/>
      <c r="AC152" s="126" t="n"/>
      <c r="AD152" s="126" t="n"/>
      <c r="AE152" s="126" t="n"/>
      <c r="AF152" s="126" t="n"/>
      <c r="AG152" s="126" t="n"/>
      <c r="AH152" s="126" t="n"/>
      <c r="AI152" s="126" t="n"/>
      <c r="AJ152" s="126" t="n"/>
      <c r="AK152" s="126" t="n"/>
      <c r="AL152" s="126" t="n"/>
      <c r="AM152" s="126" t="n"/>
      <c r="AN152" s="126" t="n"/>
    </row>
    <row r="153" ht="21" customFormat="1" customHeight="1" s="127">
      <c r="A153" s="51">
        <f>IF($B153="","",ROW()-6)</f>
        <v/>
      </c>
      <c r="B153" s="268" t="n"/>
      <c r="C153" s="133" t="n"/>
      <c r="D153" s="50" t="n"/>
      <c r="E153" s="265" t="n"/>
      <c r="F153" s="133" t="n"/>
      <c r="G153" s="133" t="n"/>
      <c r="H153" s="50" t="n"/>
      <c r="I153" s="51">
        <f>IF($C153="","",IFERROR(INDEX(WorkerIDs,MATCH($C153,WorkerNames,0)),"?"))</f>
        <v/>
      </c>
      <c r="J153" s="253">
        <f>IF($B153="","",$B153-WEEKDAY($B153,2)+1)</f>
        <v/>
      </c>
      <c r="K153" s="142">
        <f>IF(OR($I153="",$I153="?",$D153&lt;&gt;"Advance",$B153=""),"",$I153&amp;"|"&amp;$J153&amp;"|"&amp;COUNTIFS($I$7:$I153,$I153,$J$7:$J153,$J153,$D$7:$D153,"Advance"))</f>
        <v/>
      </c>
      <c r="L153" s="266">
        <f>IF(OR($I153="",$I153="?",$B153=""),"",SUMPRODUCT((Weeks!$A$7:$A$59&lt;=$J153)*(Weeks!$X$5:$AI$5=$I153)*Weeks!$X$7:$AI$59)-SUMIFS($E$7:$E$1006,$I$7:$I$1006,$I153,$B$7:$B$1006,"&lt;="&amp;$B153))</f>
        <v/>
      </c>
      <c r="M153" s="132">
        <f>IF($B153&amp;$C153&amp;$D153&amp;$E153="","",IF($B153="","missing date",IF($C153="","missing worker",IF($I153="?","unknown worker - was the name changed on Workers?",IF($D153="","missing type",IF(N($E153)=0,"missing amount",IF(AND($E153&lt;0,$D153&lt;&gt;"Correction"),"negative amount - use a Correction to undo",IF(OR($B153&lt;Weeks!$A$7,$B153&gt;Weeks!$B$59),"date outside this workbook's year",IF(AND($D153="Advance",N($L153)&lt;0),"Warning: more than earned so far - worker now owes "&amp;TEXT(ROUND(-$L153,0),"#,##0"),"")))))))))</f>
        <v/>
      </c>
      <c r="N153" s="125" t="n"/>
      <c r="O153" s="126" t="n"/>
      <c r="P153" s="126" t="n"/>
      <c r="Q153" s="126" t="n"/>
      <c r="R153" s="126" t="n"/>
      <c r="S153" s="126" t="n"/>
      <c r="T153" s="126" t="n"/>
      <c r="U153" s="126" t="n"/>
      <c r="V153" s="126" t="n"/>
      <c r="W153" s="126" t="n"/>
      <c r="X153" s="126" t="n"/>
      <c r="Y153" s="126" t="n"/>
      <c r="Z153" s="126" t="n"/>
      <c r="AA153" s="126" t="n"/>
      <c r="AB153" s="126" t="n"/>
      <c r="AC153" s="126" t="n"/>
      <c r="AD153" s="126" t="n"/>
      <c r="AE153" s="126" t="n"/>
      <c r="AF153" s="126" t="n"/>
      <c r="AG153" s="126" t="n"/>
      <c r="AH153" s="126" t="n"/>
      <c r="AI153" s="126" t="n"/>
      <c r="AJ153" s="126" t="n"/>
      <c r="AK153" s="126" t="n"/>
      <c r="AL153" s="126" t="n"/>
      <c r="AM153" s="126" t="n"/>
      <c r="AN153" s="126" t="n"/>
    </row>
    <row r="154" ht="21" customFormat="1" customHeight="1" s="127">
      <c r="A154" s="51">
        <f>IF($B154="","",ROW()-6)</f>
        <v/>
      </c>
      <c r="B154" s="268" t="n"/>
      <c r="C154" s="133" t="n"/>
      <c r="D154" s="50" t="n"/>
      <c r="E154" s="265" t="n"/>
      <c r="F154" s="133" t="n"/>
      <c r="G154" s="133" t="n"/>
      <c r="H154" s="50" t="n"/>
      <c r="I154" s="51">
        <f>IF($C154="","",IFERROR(INDEX(WorkerIDs,MATCH($C154,WorkerNames,0)),"?"))</f>
        <v/>
      </c>
      <c r="J154" s="253">
        <f>IF($B154="","",$B154-WEEKDAY($B154,2)+1)</f>
        <v/>
      </c>
      <c r="K154" s="142">
        <f>IF(OR($I154="",$I154="?",$D154&lt;&gt;"Advance",$B154=""),"",$I154&amp;"|"&amp;$J154&amp;"|"&amp;COUNTIFS($I$7:$I154,$I154,$J$7:$J154,$J154,$D$7:$D154,"Advance"))</f>
        <v/>
      </c>
      <c r="L154" s="266">
        <f>IF(OR($I154="",$I154="?",$B154=""),"",SUMPRODUCT((Weeks!$A$7:$A$59&lt;=$J154)*(Weeks!$X$5:$AI$5=$I154)*Weeks!$X$7:$AI$59)-SUMIFS($E$7:$E$1006,$I$7:$I$1006,$I154,$B$7:$B$1006,"&lt;="&amp;$B154))</f>
        <v/>
      </c>
      <c r="M154" s="132">
        <f>IF($B154&amp;$C154&amp;$D154&amp;$E154="","",IF($B154="","missing date",IF($C154="","missing worker",IF($I154="?","unknown worker - was the name changed on Workers?",IF($D154="","missing type",IF(N($E154)=0,"missing amount",IF(AND($E154&lt;0,$D154&lt;&gt;"Correction"),"negative amount - use a Correction to undo",IF(OR($B154&lt;Weeks!$A$7,$B154&gt;Weeks!$B$59),"date outside this workbook's year",IF(AND($D154="Advance",N($L154)&lt;0),"Warning: more than earned so far - worker now owes "&amp;TEXT(ROUND(-$L154,0),"#,##0"),"")))))))))</f>
        <v/>
      </c>
      <c r="N154" s="125" t="n"/>
      <c r="O154" s="126" t="n"/>
      <c r="P154" s="126" t="n"/>
      <c r="Q154" s="126" t="n"/>
      <c r="R154" s="126" t="n"/>
      <c r="S154" s="126" t="n"/>
      <c r="T154" s="126" t="n"/>
      <c r="U154" s="126" t="n"/>
      <c r="V154" s="126" t="n"/>
      <c r="W154" s="126" t="n"/>
      <c r="X154" s="126" t="n"/>
      <c r="Y154" s="126" t="n"/>
      <c r="Z154" s="126" t="n"/>
      <c r="AA154" s="126" t="n"/>
      <c r="AB154" s="126" t="n"/>
      <c r="AC154" s="126" t="n"/>
      <c r="AD154" s="126" t="n"/>
      <c r="AE154" s="126" t="n"/>
      <c r="AF154" s="126" t="n"/>
      <c r="AG154" s="126" t="n"/>
      <c r="AH154" s="126" t="n"/>
      <c r="AI154" s="126" t="n"/>
      <c r="AJ154" s="126" t="n"/>
      <c r="AK154" s="126" t="n"/>
      <c r="AL154" s="126" t="n"/>
      <c r="AM154" s="126" t="n"/>
      <c r="AN154" s="126" t="n"/>
    </row>
    <row r="155" ht="21" customFormat="1" customHeight="1" s="127">
      <c r="A155" s="51">
        <f>IF($B155="","",ROW()-6)</f>
        <v/>
      </c>
      <c r="B155" s="268" t="n"/>
      <c r="C155" s="133" t="n"/>
      <c r="D155" s="50" t="n"/>
      <c r="E155" s="265" t="n"/>
      <c r="F155" s="133" t="n"/>
      <c r="G155" s="133" t="n"/>
      <c r="H155" s="50" t="n"/>
      <c r="I155" s="51">
        <f>IF($C155="","",IFERROR(INDEX(WorkerIDs,MATCH($C155,WorkerNames,0)),"?"))</f>
        <v/>
      </c>
      <c r="J155" s="253">
        <f>IF($B155="","",$B155-WEEKDAY($B155,2)+1)</f>
        <v/>
      </c>
      <c r="K155" s="142">
        <f>IF(OR($I155="",$I155="?",$D155&lt;&gt;"Advance",$B155=""),"",$I155&amp;"|"&amp;$J155&amp;"|"&amp;COUNTIFS($I$7:$I155,$I155,$J$7:$J155,$J155,$D$7:$D155,"Advance"))</f>
        <v/>
      </c>
      <c r="L155" s="266">
        <f>IF(OR($I155="",$I155="?",$B155=""),"",SUMPRODUCT((Weeks!$A$7:$A$59&lt;=$J155)*(Weeks!$X$5:$AI$5=$I155)*Weeks!$X$7:$AI$59)-SUMIFS($E$7:$E$1006,$I$7:$I$1006,$I155,$B$7:$B$1006,"&lt;="&amp;$B155))</f>
        <v/>
      </c>
      <c r="M155" s="132">
        <f>IF($B155&amp;$C155&amp;$D155&amp;$E155="","",IF($B155="","missing date",IF($C155="","missing worker",IF($I155="?","unknown worker - was the name changed on Workers?",IF($D155="","missing type",IF(N($E155)=0,"missing amount",IF(AND($E155&lt;0,$D155&lt;&gt;"Correction"),"negative amount - use a Correction to undo",IF(OR($B155&lt;Weeks!$A$7,$B155&gt;Weeks!$B$59),"date outside this workbook's year",IF(AND($D155="Advance",N($L155)&lt;0),"Warning: more than earned so far - worker now owes "&amp;TEXT(ROUND(-$L155,0),"#,##0"),"")))))))))</f>
        <v/>
      </c>
      <c r="N155" s="125" t="n"/>
      <c r="O155" s="126" t="n"/>
      <c r="P155" s="126" t="n"/>
      <c r="Q155" s="126" t="n"/>
      <c r="R155" s="126" t="n"/>
      <c r="S155" s="126" t="n"/>
      <c r="T155" s="126" t="n"/>
      <c r="U155" s="126" t="n"/>
      <c r="V155" s="126" t="n"/>
      <c r="W155" s="126" t="n"/>
      <c r="X155" s="126" t="n"/>
      <c r="Y155" s="126" t="n"/>
      <c r="Z155" s="126" t="n"/>
      <c r="AA155" s="126" t="n"/>
      <c r="AB155" s="126" t="n"/>
      <c r="AC155" s="126" t="n"/>
      <c r="AD155" s="126" t="n"/>
      <c r="AE155" s="126" t="n"/>
      <c r="AF155" s="126" t="n"/>
      <c r="AG155" s="126" t="n"/>
      <c r="AH155" s="126" t="n"/>
      <c r="AI155" s="126" t="n"/>
      <c r="AJ155" s="126" t="n"/>
      <c r="AK155" s="126" t="n"/>
      <c r="AL155" s="126" t="n"/>
      <c r="AM155" s="126" t="n"/>
      <c r="AN155" s="126" t="n"/>
    </row>
    <row r="156" ht="21" customFormat="1" customHeight="1" s="127">
      <c r="A156" s="51">
        <f>IF($B156="","",ROW()-6)</f>
        <v/>
      </c>
      <c r="B156" s="268" t="n"/>
      <c r="C156" s="133" t="n"/>
      <c r="D156" s="50" t="n"/>
      <c r="E156" s="265" t="n"/>
      <c r="F156" s="133" t="n"/>
      <c r="G156" s="133" t="n"/>
      <c r="H156" s="50" t="n"/>
      <c r="I156" s="51">
        <f>IF($C156="","",IFERROR(INDEX(WorkerIDs,MATCH($C156,WorkerNames,0)),"?"))</f>
        <v/>
      </c>
      <c r="J156" s="253">
        <f>IF($B156="","",$B156-WEEKDAY($B156,2)+1)</f>
        <v/>
      </c>
      <c r="K156" s="142">
        <f>IF(OR($I156="",$I156="?",$D156&lt;&gt;"Advance",$B156=""),"",$I156&amp;"|"&amp;$J156&amp;"|"&amp;COUNTIFS($I$7:$I156,$I156,$J$7:$J156,$J156,$D$7:$D156,"Advance"))</f>
        <v/>
      </c>
      <c r="L156" s="266">
        <f>IF(OR($I156="",$I156="?",$B156=""),"",SUMPRODUCT((Weeks!$A$7:$A$59&lt;=$J156)*(Weeks!$X$5:$AI$5=$I156)*Weeks!$X$7:$AI$59)-SUMIFS($E$7:$E$1006,$I$7:$I$1006,$I156,$B$7:$B$1006,"&lt;="&amp;$B156))</f>
        <v/>
      </c>
      <c r="M156" s="132">
        <f>IF($B156&amp;$C156&amp;$D156&amp;$E156="","",IF($B156="","missing date",IF($C156="","missing worker",IF($I156="?","unknown worker - was the name changed on Workers?",IF($D156="","missing type",IF(N($E156)=0,"missing amount",IF(AND($E156&lt;0,$D156&lt;&gt;"Correction"),"negative amount - use a Correction to undo",IF(OR($B156&lt;Weeks!$A$7,$B156&gt;Weeks!$B$59),"date outside this workbook's year",IF(AND($D156="Advance",N($L156)&lt;0),"Warning: more than earned so far - worker now owes "&amp;TEXT(ROUND(-$L156,0),"#,##0"),"")))))))))</f>
        <v/>
      </c>
      <c r="N156" s="125" t="n"/>
      <c r="O156" s="126" t="n"/>
      <c r="P156" s="126" t="n"/>
      <c r="Q156" s="126" t="n"/>
      <c r="R156" s="126" t="n"/>
      <c r="S156" s="126" t="n"/>
      <c r="T156" s="126" t="n"/>
      <c r="U156" s="126" t="n"/>
      <c r="V156" s="126" t="n"/>
      <c r="W156" s="126" t="n"/>
      <c r="X156" s="126" t="n"/>
      <c r="Y156" s="126" t="n"/>
      <c r="Z156" s="126" t="n"/>
      <c r="AA156" s="126" t="n"/>
      <c r="AB156" s="126" t="n"/>
      <c r="AC156" s="126" t="n"/>
      <c r="AD156" s="126" t="n"/>
      <c r="AE156" s="126" t="n"/>
      <c r="AF156" s="126" t="n"/>
      <c r="AG156" s="126" t="n"/>
      <c r="AH156" s="126" t="n"/>
      <c r="AI156" s="126" t="n"/>
      <c r="AJ156" s="126" t="n"/>
      <c r="AK156" s="126" t="n"/>
      <c r="AL156" s="126" t="n"/>
      <c r="AM156" s="126" t="n"/>
      <c r="AN156" s="126" t="n"/>
    </row>
    <row r="157" ht="21" customFormat="1" customHeight="1" s="127">
      <c r="A157" s="51">
        <f>IF($B157="","",ROW()-6)</f>
        <v/>
      </c>
      <c r="B157" s="268" t="n"/>
      <c r="C157" s="133" t="n"/>
      <c r="D157" s="50" t="n"/>
      <c r="E157" s="265" t="n"/>
      <c r="F157" s="133" t="n"/>
      <c r="G157" s="133" t="n"/>
      <c r="H157" s="50" t="n"/>
      <c r="I157" s="51">
        <f>IF($C157="","",IFERROR(INDEX(WorkerIDs,MATCH($C157,WorkerNames,0)),"?"))</f>
        <v/>
      </c>
      <c r="J157" s="253">
        <f>IF($B157="","",$B157-WEEKDAY($B157,2)+1)</f>
        <v/>
      </c>
      <c r="K157" s="142">
        <f>IF(OR($I157="",$I157="?",$D157&lt;&gt;"Advance",$B157=""),"",$I157&amp;"|"&amp;$J157&amp;"|"&amp;COUNTIFS($I$7:$I157,$I157,$J$7:$J157,$J157,$D$7:$D157,"Advance"))</f>
        <v/>
      </c>
      <c r="L157" s="266">
        <f>IF(OR($I157="",$I157="?",$B157=""),"",SUMPRODUCT((Weeks!$A$7:$A$59&lt;=$J157)*(Weeks!$X$5:$AI$5=$I157)*Weeks!$X$7:$AI$59)-SUMIFS($E$7:$E$1006,$I$7:$I$1006,$I157,$B$7:$B$1006,"&lt;="&amp;$B157))</f>
        <v/>
      </c>
      <c r="M157" s="132">
        <f>IF($B157&amp;$C157&amp;$D157&amp;$E157="","",IF($B157="","missing date",IF($C157="","missing worker",IF($I157="?","unknown worker - was the name changed on Workers?",IF($D157="","missing type",IF(N($E157)=0,"missing amount",IF(AND($E157&lt;0,$D157&lt;&gt;"Correction"),"negative amount - use a Correction to undo",IF(OR($B157&lt;Weeks!$A$7,$B157&gt;Weeks!$B$59),"date outside this workbook's year",IF(AND($D157="Advance",N($L157)&lt;0),"Warning: more than earned so far - worker now owes "&amp;TEXT(ROUND(-$L157,0),"#,##0"),"")))))))))</f>
        <v/>
      </c>
      <c r="N157" s="125" t="n"/>
      <c r="O157" s="126" t="n"/>
      <c r="P157" s="126" t="n"/>
      <c r="Q157" s="126" t="n"/>
      <c r="R157" s="126" t="n"/>
      <c r="S157" s="126" t="n"/>
      <c r="T157" s="126" t="n"/>
      <c r="U157" s="126" t="n"/>
      <c r="V157" s="126" t="n"/>
      <c r="W157" s="126" t="n"/>
      <c r="X157" s="126" t="n"/>
      <c r="Y157" s="126" t="n"/>
      <c r="Z157" s="126" t="n"/>
      <c r="AA157" s="126" t="n"/>
      <c r="AB157" s="126" t="n"/>
      <c r="AC157" s="126" t="n"/>
      <c r="AD157" s="126" t="n"/>
      <c r="AE157" s="126" t="n"/>
      <c r="AF157" s="126" t="n"/>
      <c r="AG157" s="126" t="n"/>
      <c r="AH157" s="126" t="n"/>
      <c r="AI157" s="126" t="n"/>
      <c r="AJ157" s="126" t="n"/>
      <c r="AK157" s="126" t="n"/>
      <c r="AL157" s="126" t="n"/>
      <c r="AM157" s="126" t="n"/>
      <c r="AN157" s="126" t="n"/>
    </row>
    <row r="158" ht="21" customFormat="1" customHeight="1" s="127">
      <c r="A158" s="51">
        <f>IF($B158="","",ROW()-6)</f>
        <v/>
      </c>
      <c r="B158" s="268" t="n"/>
      <c r="C158" s="133" t="n"/>
      <c r="D158" s="50" t="n"/>
      <c r="E158" s="265" t="n"/>
      <c r="F158" s="133" t="n"/>
      <c r="G158" s="133" t="n"/>
      <c r="H158" s="50" t="n"/>
      <c r="I158" s="51">
        <f>IF($C158="","",IFERROR(INDEX(WorkerIDs,MATCH($C158,WorkerNames,0)),"?"))</f>
        <v/>
      </c>
      <c r="J158" s="253">
        <f>IF($B158="","",$B158-WEEKDAY($B158,2)+1)</f>
        <v/>
      </c>
      <c r="K158" s="142">
        <f>IF(OR($I158="",$I158="?",$D158&lt;&gt;"Advance",$B158=""),"",$I158&amp;"|"&amp;$J158&amp;"|"&amp;COUNTIFS($I$7:$I158,$I158,$J$7:$J158,$J158,$D$7:$D158,"Advance"))</f>
        <v/>
      </c>
      <c r="L158" s="266">
        <f>IF(OR($I158="",$I158="?",$B158=""),"",SUMPRODUCT((Weeks!$A$7:$A$59&lt;=$J158)*(Weeks!$X$5:$AI$5=$I158)*Weeks!$X$7:$AI$59)-SUMIFS($E$7:$E$1006,$I$7:$I$1006,$I158,$B$7:$B$1006,"&lt;="&amp;$B158))</f>
        <v/>
      </c>
      <c r="M158" s="132">
        <f>IF($B158&amp;$C158&amp;$D158&amp;$E158="","",IF($B158="","missing date",IF($C158="","missing worker",IF($I158="?","unknown worker - was the name changed on Workers?",IF($D158="","missing type",IF(N($E158)=0,"missing amount",IF(AND($E158&lt;0,$D158&lt;&gt;"Correction"),"negative amount - use a Correction to undo",IF(OR($B158&lt;Weeks!$A$7,$B158&gt;Weeks!$B$59),"date outside this workbook's year",IF(AND($D158="Advance",N($L158)&lt;0),"Warning: more than earned so far - worker now owes "&amp;TEXT(ROUND(-$L158,0),"#,##0"),"")))))))))</f>
        <v/>
      </c>
      <c r="N158" s="125" t="n"/>
      <c r="O158" s="126" t="n"/>
      <c r="P158" s="126" t="n"/>
      <c r="Q158" s="126" t="n"/>
      <c r="R158" s="126" t="n"/>
      <c r="S158" s="126" t="n"/>
      <c r="T158" s="126" t="n"/>
      <c r="U158" s="126" t="n"/>
      <c r="V158" s="126" t="n"/>
      <c r="W158" s="126" t="n"/>
      <c r="X158" s="126" t="n"/>
      <c r="Y158" s="126" t="n"/>
      <c r="Z158" s="126" t="n"/>
      <c r="AA158" s="126" t="n"/>
      <c r="AB158" s="126" t="n"/>
      <c r="AC158" s="126" t="n"/>
      <c r="AD158" s="126" t="n"/>
      <c r="AE158" s="126" t="n"/>
      <c r="AF158" s="126" t="n"/>
      <c r="AG158" s="126" t="n"/>
      <c r="AH158" s="126" t="n"/>
      <c r="AI158" s="126" t="n"/>
      <c r="AJ158" s="126" t="n"/>
      <c r="AK158" s="126" t="n"/>
      <c r="AL158" s="126" t="n"/>
      <c r="AM158" s="126" t="n"/>
      <c r="AN158" s="126" t="n"/>
    </row>
    <row r="159" ht="21" customFormat="1" customHeight="1" s="127">
      <c r="A159" s="51">
        <f>IF($B159="","",ROW()-6)</f>
        <v/>
      </c>
      <c r="B159" s="268" t="n"/>
      <c r="C159" s="133" t="n"/>
      <c r="D159" s="50" t="n"/>
      <c r="E159" s="265" t="n"/>
      <c r="F159" s="133" t="n"/>
      <c r="G159" s="133" t="n"/>
      <c r="H159" s="50" t="n"/>
      <c r="I159" s="51">
        <f>IF($C159="","",IFERROR(INDEX(WorkerIDs,MATCH($C159,WorkerNames,0)),"?"))</f>
        <v/>
      </c>
      <c r="J159" s="253">
        <f>IF($B159="","",$B159-WEEKDAY($B159,2)+1)</f>
        <v/>
      </c>
      <c r="K159" s="142">
        <f>IF(OR($I159="",$I159="?",$D159&lt;&gt;"Advance",$B159=""),"",$I159&amp;"|"&amp;$J159&amp;"|"&amp;COUNTIFS($I$7:$I159,$I159,$J$7:$J159,$J159,$D$7:$D159,"Advance"))</f>
        <v/>
      </c>
      <c r="L159" s="266">
        <f>IF(OR($I159="",$I159="?",$B159=""),"",SUMPRODUCT((Weeks!$A$7:$A$59&lt;=$J159)*(Weeks!$X$5:$AI$5=$I159)*Weeks!$X$7:$AI$59)-SUMIFS($E$7:$E$1006,$I$7:$I$1006,$I159,$B$7:$B$1006,"&lt;="&amp;$B159))</f>
        <v/>
      </c>
      <c r="M159" s="132">
        <f>IF($B159&amp;$C159&amp;$D159&amp;$E159="","",IF($B159="","missing date",IF($C159="","missing worker",IF($I159="?","unknown worker - was the name changed on Workers?",IF($D159="","missing type",IF(N($E159)=0,"missing amount",IF(AND($E159&lt;0,$D159&lt;&gt;"Correction"),"negative amount - use a Correction to undo",IF(OR($B159&lt;Weeks!$A$7,$B159&gt;Weeks!$B$59),"date outside this workbook's year",IF(AND($D159="Advance",N($L159)&lt;0),"Warning: more than earned so far - worker now owes "&amp;TEXT(ROUND(-$L159,0),"#,##0"),"")))))))))</f>
        <v/>
      </c>
      <c r="N159" s="125" t="n"/>
      <c r="O159" s="126" t="n"/>
      <c r="P159" s="126" t="n"/>
      <c r="Q159" s="126" t="n"/>
      <c r="R159" s="126" t="n"/>
      <c r="S159" s="126" t="n"/>
      <c r="T159" s="126" t="n"/>
      <c r="U159" s="126" t="n"/>
      <c r="V159" s="126" t="n"/>
      <c r="W159" s="126" t="n"/>
      <c r="X159" s="126" t="n"/>
      <c r="Y159" s="126" t="n"/>
      <c r="Z159" s="126" t="n"/>
      <c r="AA159" s="126" t="n"/>
      <c r="AB159" s="126" t="n"/>
      <c r="AC159" s="126" t="n"/>
      <c r="AD159" s="126" t="n"/>
      <c r="AE159" s="126" t="n"/>
      <c r="AF159" s="126" t="n"/>
      <c r="AG159" s="126" t="n"/>
      <c r="AH159" s="126" t="n"/>
      <c r="AI159" s="126" t="n"/>
      <c r="AJ159" s="126" t="n"/>
      <c r="AK159" s="126" t="n"/>
      <c r="AL159" s="126" t="n"/>
      <c r="AM159" s="126" t="n"/>
      <c r="AN159" s="126" t="n"/>
    </row>
    <row r="160" ht="21" customFormat="1" customHeight="1" s="127">
      <c r="A160" s="51">
        <f>IF($B160="","",ROW()-6)</f>
        <v/>
      </c>
      <c r="B160" s="268" t="n"/>
      <c r="C160" s="133" t="n"/>
      <c r="D160" s="50" t="n"/>
      <c r="E160" s="265" t="n"/>
      <c r="F160" s="133" t="n"/>
      <c r="G160" s="133" t="n"/>
      <c r="H160" s="50" t="n"/>
      <c r="I160" s="51">
        <f>IF($C160="","",IFERROR(INDEX(WorkerIDs,MATCH($C160,WorkerNames,0)),"?"))</f>
        <v/>
      </c>
      <c r="J160" s="253">
        <f>IF($B160="","",$B160-WEEKDAY($B160,2)+1)</f>
        <v/>
      </c>
      <c r="K160" s="142">
        <f>IF(OR($I160="",$I160="?",$D160&lt;&gt;"Advance",$B160=""),"",$I160&amp;"|"&amp;$J160&amp;"|"&amp;COUNTIFS($I$7:$I160,$I160,$J$7:$J160,$J160,$D$7:$D160,"Advance"))</f>
        <v/>
      </c>
      <c r="L160" s="266">
        <f>IF(OR($I160="",$I160="?",$B160=""),"",SUMPRODUCT((Weeks!$A$7:$A$59&lt;=$J160)*(Weeks!$X$5:$AI$5=$I160)*Weeks!$X$7:$AI$59)-SUMIFS($E$7:$E$1006,$I$7:$I$1006,$I160,$B$7:$B$1006,"&lt;="&amp;$B160))</f>
        <v/>
      </c>
      <c r="M160" s="132">
        <f>IF($B160&amp;$C160&amp;$D160&amp;$E160="","",IF($B160="","missing date",IF($C160="","missing worker",IF($I160="?","unknown worker - was the name changed on Workers?",IF($D160="","missing type",IF(N($E160)=0,"missing amount",IF(AND($E160&lt;0,$D160&lt;&gt;"Correction"),"negative amount - use a Correction to undo",IF(OR($B160&lt;Weeks!$A$7,$B160&gt;Weeks!$B$59),"date outside this workbook's year",IF(AND($D160="Advance",N($L160)&lt;0),"Warning: more than earned so far - worker now owes "&amp;TEXT(ROUND(-$L160,0),"#,##0"),"")))))))))</f>
        <v/>
      </c>
      <c r="N160" s="125" t="n"/>
      <c r="O160" s="126" t="n"/>
      <c r="P160" s="126" t="n"/>
      <c r="Q160" s="126" t="n"/>
      <c r="R160" s="126" t="n"/>
      <c r="S160" s="126" t="n"/>
      <c r="T160" s="126" t="n"/>
      <c r="U160" s="126" t="n"/>
      <c r="V160" s="126" t="n"/>
      <c r="W160" s="126" t="n"/>
      <c r="X160" s="126" t="n"/>
      <c r="Y160" s="126" t="n"/>
      <c r="Z160" s="126" t="n"/>
      <c r="AA160" s="126" t="n"/>
      <c r="AB160" s="126" t="n"/>
      <c r="AC160" s="126" t="n"/>
      <c r="AD160" s="126" t="n"/>
      <c r="AE160" s="126" t="n"/>
      <c r="AF160" s="126" t="n"/>
      <c r="AG160" s="126" t="n"/>
      <c r="AH160" s="126" t="n"/>
      <c r="AI160" s="126" t="n"/>
      <c r="AJ160" s="126" t="n"/>
      <c r="AK160" s="126" t="n"/>
      <c r="AL160" s="126" t="n"/>
      <c r="AM160" s="126" t="n"/>
      <c r="AN160" s="126" t="n"/>
    </row>
    <row r="161" ht="21" customFormat="1" customHeight="1" s="127">
      <c r="A161" s="51">
        <f>IF($B161="","",ROW()-6)</f>
        <v/>
      </c>
      <c r="B161" s="268" t="n"/>
      <c r="C161" s="133" t="n"/>
      <c r="D161" s="50" t="n"/>
      <c r="E161" s="265" t="n"/>
      <c r="F161" s="133" t="n"/>
      <c r="G161" s="133" t="n"/>
      <c r="H161" s="50" t="n"/>
      <c r="I161" s="51">
        <f>IF($C161="","",IFERROR(INDEX(WorkerIDs,MATCH($C161,WorkerNames,0)),"?"))</f>
        <v/>
      </c>
      <c r="J161" s="253">
        <f>IF($B161="","",$B161-WEEKDAY($B161,2)+1)</f>
        <v/>
      </c>
      <c r="K161" s="142">
        <f>IF(OR($I161="",$I161="?",$D161&lt;&gt;"Advance",$B161=""),"",$I161&amp;"|"&amp;$J161&amp;"|"&amp;COUNTIFS($I$7:$I161,$I161,$J$7:$J161,$J161,$D$7:$D161,"Advance"))</f>
        <v/>
      </c>
      <c r="L161" s="266">
        <f>IF(OR($I161="",$I161="?",$B161=""),"",SUMPRODUCT((Weeks!$A$7:$A$59&lt;=$J161)*(Weeks!$X$5:$AI$5=$I161)*Weeks!$X$7:$AI$59)-SUMIFS($E$7:$E$1006,$I$7:$I$1006,$I161,$B$7:$B$1006,"&lt;="&amp;$B161))</f>
        <v/>
      </c>
      <c r="M161" s="132">
        <f>IF($B161&amp;$C161&amp;$D161&amp;$E161="","",IF($B161="","missing date",IF($C161="","missing worker",IF($I161="?","unknown worker - was the name changed on Workers?",IF($D161="","missing type",IF(N($E161)=0,"missing amount",IF(AND($E161&lt;0,$D161&lt;&gt;"Correction"),"negative amount - use a Correction to undo",IF(OR($B161&lt;Weeks!$A$7,$B161&gt;Weeks!$B$59),"date outside this workbook's year",IF(AND($D161="Advance",N($L161)&lt;0),"Warning: more than earned so far - worker now owes "&amp;TEXT(ROUND(-$L161,0),"#,##0"),"")))))))))</f>
        <v/>
      </c>
      <c r="N161" s="125" t="n"/>
      <c r="O161" s="126" t="n"/>
      <c r="P161" s="126" t="n"/>
      <c r="Q161" s="126" t="n"/>
      <c r="R161" s="126" t="n"/>
      <c r="S161" s="126" t="n"/>
      <c r="T161" s="126" t="n"/>
      <c r="U161" s="126" t="n"/>
      <c r="V161" s="126" t="n"/>
      <c r="W161" s="126" t="n"/>
      <c r="X161" s="126" t="n"/>
      <c r="Y161" s="126" t="n"/>
      <c r="Z161" s="126" t="n"/>
      <c r="AA161" s="126" t="n"/>
      <c r="AB161" s="126" t="n"/>
      <c r="AC161" s="126" t="n"/>
      <c r="AD161" s="126" t="n"/>
      <c r="AE161" s="126" t="n"/>
      <c r="AF161" s="126" t="n"/>
      <c r="AG161" s="126" t="n"/>
      <c r="AH161" s="126" t="n"/>
      <c r="AI161" s="126" t="n"/>
      <c r="AJ161" s="126" t="n"/>
      <c r="AK161" s="126" t="n"/>
      <c r="AL161" s="126" t="n"/>
      <c r="AM161" s="126" t="n"/>
      <c r="AN161" s="126" t="n"/>
    </row>
    <row r="162" ht="21" customFormat="1" customHeight="1" s="127">
      <c r="A162" s="51">
        <f>IF($B162="","",ROW()-6)</f>
        <v/>
      </c>
      <c r="B162" s="268" t="n"/>
      <c r="C162" s="133" t="n"/>
      <c r="D162" s="50" t="n"/>
      <c r="E162" s="265" t="n"/>
      <c r="F162" s="133" t="n"/>
      <c r="G162" s="133" t="n"/>
      <c r="H162" s="50" t="n"/>
      <c r="I162" s="51">
        <f>IF($C162="","",IFERROR(INDEX(WorkerIDs,MATCH($C162,WorkerNames,0)),"?"))</f>
        <v/>
      </c>
      <c r="J162" s="253">
        <f>IF($B162="","",$B162-WEEKDAY($B162,2)+1)</f>
        <v/>
      </c>
      <c r="K162" s="142">
        <f>IF(OR($I162="",$I162="?",$D162&lt;&gt;"Advance",$B162=""),"",$I162&amp;"|"&amp;$J162&amp;"|"&amp;COUNTIFS($I$7:$I162,$I162,$J$7:$J162,$J162,$D$7:$D162,"Advance"))</f>
        <v/>
      </c>
      <c r="L162" s="266">
        <f>IF(OR($I162="",$I162="?",$B162=""),"",SUMPRODUCT((Weeks!$A$7:$A$59&lt;=$J162)*(Weeks!$X$5:$AI$5=$I162)*Weeks!$X$7:$AI$59)-SUMIFS($E$7:$E$1006,$I$7:$I$1006,$I162,$B$7:$B$1006,"&lt;="&amp;$B162))</f>
        <v/>
      </c>
      <c r="M162" s="132">
        <f>IF($B162&amp;$C162&amp;$D162&amp;$E162="","",IF($B162="","missing date",IF($C162="","missing worker",IF($I162="?","unknown worker - was the name changed on Workers?",IF($D162="","missing type",IF(N($E162)=0,"missing amount",IF(AND($E162&lt;0,$D162&lt;&gt;"Correction"),"negative amount - use a Correction to undo",IF(OR($B162&lt;Weeks!$A$7,$B162&gt;Weeks!$B$59),"date outside this workbook's year",IF(AND($D162="Advance",N($L162)&lt;0),"Warning: more than earned so far - worker now owes "&amp;TEXT(ROUND(-$L162,0),"#,##0"),"")))))))))</f>
        <v/>
      </c>
      <c r="N162" s="125" t="n"/>
      <c r="O162" s="126" t="n"/>
      <c r="P162" s="126" t="n"/>
      <c r="Q162" s="126" t="n"/>
      <c r="R162" s="126" t="n"/>
      <c r="S162" s="126" t="n"/>
      <c r="T162" s="126" t="n"/>
      <c r="U162" s="126" t="n"/>
      <c r="V162" s="126" t="n"/>
      <c r="W162" s="126" t="n"/>
      <c r="X162" s="126" t="n"/>
      <c r="Y162" s="126" t="n"/>
      <c r="Z162" s="126" t="n"/>
      <c r="AA162" s="126" t="n"/>
      <c r="AB162" s="126" t="n"/>
      <c r="AC162" s="126" t="n"/>
      <c r="AD162" s="126" t="n"/>
      <c r="AE162" s="126" t="n"/>
      <c r="AF162" s="126" t="n"/>
      <c r="AG162" s="126" t="n"/>
      <c r="AH162" s="126" t="n"/>
      <c r="AI162" s="126" t="n"/>
      <c r="AJ162" s="126" t="n"/>
      <c r="AK162" s="126" t="n"/>
      <c r="AL162" s="126" t="n"/>
      <c r="AM162" s="126" t="n"/>
      <c r="AN162" s="126" t="n"/>
    </row>
    <row r="163" ht="21" customFormat="1" customHeight="1" s="127">
      <c r="A163" s="51">
        <f>IF($B163="","",ROW()-6)</f>
        <v/>
      </c>
      <c r="B163" s="268" t="n"/>
      <c r="C163" s="133" t="n"/>
      <c r="D163" s="50" t="n"/>
      <c r="E163" s="265" t="n"/>
      <c r="F163" s="133" t="n"/>
      <c r="G163" s="133" t="n"/>
      <c r="H163" s="50" t="n"/>
      <c r="I163" s="51">
        <f>IF($C163="","",IFERROR(INDEX(WorkerIDs,MATCH($C163,WorkerNames,0)),"?"))</f>
        <v/>
      </c>
      <c r="J163" s="253">
        <f>IF($B163="","",$B163-WEEKDAY($B163,2)+1)</f>
        <v/>
      </c>
      <c r="K163" s="142">
        <f>IF(OR($I163="",$I163="?",$D163&lt;&gt;"Advance",$B163=""),"",$I163&amp;"|"&amp;$J163&amp;"|"&amp;COUNTIFS($I$7:$I163,$I163,$J$7:$J163,$J163,$D$7:$D163,"Advance"))</f>
        <v/>
      </c>
      <c r="L163" s="266">
        <f>IF(OR($I163="",$I163="?",$B163=""),"",SUMPRODUCT((Weeks!$A$7:$A$59&lt;=$J163)*(Weeks!$X$5:$AI$5=$I163)*Weeks!$X$7:$AI$59)-SUMIFS($E$7:$E$1006,$I$7:$I$1006,$I163,$B$7:$B$1006,"&lt;="&amp;$B163))</f>
        <v/>
      </c>
      <c r="M163" s="132">
        <f>IF($B163&amp;$C163&amp;$D163&amp;$E163="","",IF($B163="","missing date",IF($C163="","missing worker",IF($I163="?","unknown worker - was the name changed on Workers?",IF($D163="","missing type",IF(N($E163)=0,"missing amount",IF(AND($E163&lt;0,$D163&lt;&gt;"Correction"),"negative amount - use a Correction to undo",IF(OR($B163&lt;Weeks!$A$7,$B163&gt;Weeks!$B$59),"date outside this workbook's year",IF(AND($D163="Advance",N($L163)&lt;0),"Warning: more than earned so far - worker now owes "&amp;TEXT(ROUND(-$L163,0),"#,##0"),"")))))))))</f>
        <v/>
      </c>
      <c r="N163" s="125" t="n"/>
      <c r="O163" s="126" t="n"/>
      <c r="P163" s="126" t="n"/>
      <c r="Q163" s="126" t="n"/>
      <c r="R163" s="126" t="n"/>
      <c r="S163" s="126" t="n"/>
      <c r="T163" s="126" t="n"/>
      <c r="U163" s="126" t="n"/>
      <c r="V163" s="126" t="n"/>
      <c r="W163" s="126" t="n"/>
      <c r="X163" s="126" t="n"/>
      <c r="Y163" s="126" t="n"/>
      <c r="Z163" s="126" t="n"/>
      <c r="AA163" s="126" t="n"/>
      <c r="AB163" s="126" t="n"/>
      <c r="AC163" s="126" t="n"/>
      <c r="AD163" s="126" t="n"/>
      <c r="AE163" s="126" t="n"/>
      <c r="AF163" s="126" t="n"/>
      <c r="AG163" s="126" t="n"/>
      <c r="AH163" s="126" t="n"/>
      <c r="AI163" s="126" t="n"/>
      <c r="AJ163" s="126" t="n"/>
      <c r="AK163" s="126" t="n"/>
      <c r="AL163" s="126" t="n"/>
      <c r="AM163" s="126" t="n"/>
      <c r="AN163" s="126" t="n"/>
    </row>
    <row r="164" ht="21" customFormat="1" customHeight="1" s="127">
      <c r="A164" s="51">
        <f>IF($B164="","",ROW()-6)</f>
        <v/>
      </c>
      <c r="B164" s="268" t="n"/>
      <c r="C164" s="133" t="n"/>
      <c r="D164" s="50" t="n"/>
      <c r="E164" s="265" t="n"/>
      <c r="F164" s="133" t="n"/>
      <c r="G164" s="133" t="n"/>
      <c r="H164" s="50" t="n"/>
      <c r="I164" s="51">
        <f>IF($C164="","",IFERROR(INDEX(WorkerIDs,MATCH($C164,WorkerNames,0)),"?"))</f>
        <v/>
      </c>
      <c r="J164" s="253">
        <f>IF($B164="","",$B164-WEEKDAY($B164,2)+1)</f>
        <v/>
      </c>
      <c r="K164" s="142">
        <f>IF(OR($I164="",$I164="?",$D164&lt;&gt;"Advance",$B164=""),"",$I164&amp;"|"&amp;$J164&amp;"|"&amp;COUNTIFS($I$7:$I164,$I164,$J$7:$J164,$J164,$D$7:$D164,"Advance"))</f>
        <v/>
      </c>
      <c r="L164" s="266">
        <f>IF(OR($I164="",$I164="?",$B164=""),"",SUMPRODUCT((Weeks!$A$7:$A$59&lt;=$J164)*(Weeks!$X$5:$AI$5=$I164)*Weeks!$X$7:$AI$59)-SUMIFS($E$7:$E$1006,$I$7:$I$1006,$I164,$B$7:$B$1006,"&lt;="&amp;$B164))</f>
        <v/>
      </c>
      <c r="M164" s="132">
        <f>IF($B164&amp;$C164&amp;$D164&amp;$E164="","",IF($B164="","missing date",IF($C164="","missing worker",IF($I164="?","unknown worker - was the name changed on Workers?",IF($D164="","missing type",IF(N($E164)=0,"missing amount",IF(AND($E164&lt;0,$D164&lt;&gt;"Correction"),"negative amount - use a Correction to undo",IF(OR($B164&lt;Weeks!$A$7,$B164&gt;Weeks!$B$59),"date outside this workbook's year",IF(AND($D164="Advance",N($L164)&lt;0),"Warning: more than earned so far - worker now owes "&amp;TEXT(ROUND(-$L164,0),"#,##0"),"")))))))))</f>
        <v/>
      </c>
      <c r="N164" s="125" t="n"/>
      <c r="O164" s="126" t="n"/>
      <c r="P164" s="126" t="n"/>
      <c r="Q164" s="126" t="n"/>
      <c r="R164" s="126" t="n"/>
      <c r="S164" s="126" t="n"/>
      <c r="T164" s="126" t="n"/>
      <c r="U164" s="126" t="n"/>
      <c r="V164" s="126" t="n"/>
      <c r="W164" s="126" t="n"/>
      <c r="X164" s="126" t="n"/>
      <c r="Y164" s="126" t="n"/>
      <c r="Z164" s="126" t="n"/>
      <c r="AA164" s="126" t="n"/>
      <c r="AB164" s="126" t="n"/>
      <c r="AC164" s="126" t="n"/>
      <c r="AD164" s="126" t="n"/>
      <c r="AE164" s="126" t="n"/>
      <c r="AF164" s="126" t="n"/>
      <c r="AG164" s="126" t="n"/>
      <c r="AH164" s="126" t="n"/>
      <c r="AI164" s="126" t="n"/>
      <c r="AJ164" s="126" t="n"/>
      <c r="AK164" s="126" t="n"/>
      <c r="AL164" s="126" t="n"/>
      <c r="AM164" s="126" t="n"/>
      <c r="AN164" s="126" t="n"/>
    </row>
    <row r="165" ht="21" customFormat="1" customHeight="1" s="127">
      <c r="A165" s="51">
        <f>IF($B165="","",ROW()-6)</f>
        <v/>
      </c>
      <c r="B165" s="268" t="n"/>
      <c r="C165" s="133" t="n"/>
      <c r="D165" s="50" t="n"/>
      <c r="E165" s="265" t="n"/>
      <c r="F165" s="133" t="n"/>
      <c r="G165" s="133" t="n"/>
      <c r="H165" s="50" t="n"/>
      <c r="I165" s="51">
        <f>IF($C165="","",IFERROR(INDEX(WorkerIDs,MATCH($C165,WorkerNames,0)),"?"))</f>
        <v/>
      </c>
      <c r="J165" s="253">
        <f>IF($B165="","",$B165-WEEKDAY($B165,2)+1)</f>
        <v/>
      </c>
      <c r="K165" s="142">
        <f>IF(OR($I165="",$I165="?",$D165&lt;&gt;"Advance",$B165=""),"",$I165&amp;"|"&amp;$J165&amp;"|"&amp;COUNTIFS($I$7:$I165,$I165,$J$7:$J165,$J165,$D$7:$D165,"Advance"))</f>
        <v/>
      </c>
      <c r="L165" s="266">
        <f>IF(OR($I165="",$I165="?",$B165=""),"",SUMPRODUCT((Weeks!$A$7:$A$59&lt;=$J165)*(Weeks!$X$5:$AI$5=$I165)*Weeks!$X$7:$AI$59)-SUMIFS($E$7:$E$1006,$I$7:$I$1006,$I165,$B$7:$B$1006,"&lt;="&amp;$B165))</f>
        <v/>
      </c>
      <c r="M165" s="132">
        <f>IF($B165&amp;$C165&amp;$D165&amp;$E165="","",IF($B165="","missing date",IF($C165="","missing worker",IF($I165="?","unknown worker - was the name changed on Workers?",IF($D165="","missing type",IF(N($E165)=0,"missing amount",IF(AND($E165&lt;0,$D165&lt;&gt;"Correction"),"negative amount - use a Correction to undo",IF(OR($B165&lt;Weeks!$A$7,$B165&gt;Weeks!$B$59),"date outside this workbook's year",IF(AND($D165="Advance",N($L165)&lt;0),"Warning: more than earned so far - worker now owes "&amp;TEXT(ROUND(-$L165,0),"#,##0"),"")))))))))</f>
        <v/>
      </c>
      <c r="N165" s="125" t="n"/>
      <c r="O165" s="126" t="n"/>
      <c r="P165" s="126" t="n"/>
      <c r="Q165" s="126" t="n"/>
      <c r="R165" s="126" t="n"/>
      <c r="S165" s="126" t="n"/>
      <c r="T165" s="126" t="n"/>
      <c r="U165" s="126" t="n"/>
      <c r="V165" s="126" t="n"/>
      <c r="W165" s="126" t="n"/>
      <c r="X165" s="126" t="n"/>
      <c r="Y165" s="126" t="n"/>
      <c r="Z165" s="126" t="n"/>
      <c r="AA165" s="126" t="n"/>
      <c r="AB165" s="126" t="n"/>
      <c r="AC165" s="126" t="n"/>
      <c r="AD165" s="126" t="n"/>
      <c r="AE165" s="126" t="n"/>
      <c r="AF165" s="126" t="n"/>
      <c r="AG165" s="126" t="n"/>
      <c r="AH165" s="126" t="n"/>
      <c r="AI165" s="126" t="n"/>
      <c r="AJ165" s="126" t="n"/>
      <c r="AK165" s="126" t="n"/>
      <c r="AL165" s="126" t="n"/>
      <c r="AM165" s="126" t="n"/>
      <c r="AN165" s="126" t="n"/>
    </row>
    <row r="166" ht="21" customFormat="1" customHeight="1" s="127">
      <c r="A166" s="51">
        <f>IF($B166="","",ROW()-6)</f>
        <v/>
      </c>
      <c r="B166" s="268" t="n"/>
      <c r="C166" s="133" t="n"/>
      <c r="D166" s="50" t="n"/>
      <c r="E166" s="265" t="n"/>
      <c r="F166" s="133" t="n"/>
      <c r="G166" s="133" t="n"/>
      <c r="H166" s="50" t="n"/>
      <c r="I166" s="51">
        <f>IF($C166="","",IFERROR(INDEX(WorkerIDs,MATCH($C166,WorkerNames,0)),"?"))</f>
        <v/>
      </c>
      <c r="J166" s="253">
        <f>IF($B166="","",$B166-WEEKDAY($B166,2)+1)</f>
        <v/>
      </c>
      <c r="K166" s="142">
        <f>IF(OR($I166="",$I166="?",$D166&lt;&gt;"Advance",$B166=""),"",$I166&amp;"|"&amp;$J166&amp;"|"&amp;COUNTIFS($I$7:$I166,$I166,$J$7:$J166,$J166,$D$7:$D166,"Advance"))</f>
        <v/>
      </c>
      <c r="L166" s="266">
        <f>IF(OR($I166="",$I166="?",$B166=""),"",SUMPRODUCT((Weeks!$A$7:$A$59&lt;=$J166)*(Weeks!$X$5:$AI$5=$I166)*Weeks!$X$7:$AI$59)-SUMIFS($E$7:$E$1006,$I$7:$I$1006,$I166,$B$7:$B$1006,"&lt;="&amp;$B166))</f>
        <v/>
      </c>
      <c r="M166" s="132">
        <f>IF($B166&amp;$C166&amp;$D166&amp;$E166="","",IF($B166="","missing date",IF($C166="","missing worker",IF($I166="?","unknown worker - was the name changed on Workers?",IF($D166="","missing type",IF(N($E166)=0,"missing amount",IF(AND($E166&lt;0,$D166&lt;&gt;"Correction"),"negative amount - use a Correction to undo",IF(OR($B166&lt;Weeks!$A$7,$B166&gt;Weeks!$B$59),"date outside this workbook's year",IF(AND($D166="Advance",N($L166)&lt;0),"Warning: more than earned so far - worker now owes "&amp;TEXT(ROUND(-$L166,0),"#,##0"),"")))))))))</f>
        <v/>
      </c>
      <c r="N166" s="125" t="n"/>
      <c r="O166" s="126" t="n"/>
      <c r="P166" s="126" t="n"/>
      <c r="Q166" s="126" t="n"/>
      <c r="R166" s="126" t="n"/>
      <c r="S166" s="126" t="n"/>
      <c r="T166" s="126" t="n"/>
      <c r="U166" s="126" t="n"/>
      <c r="V166" s="126" t="n"/>
      <c r="W166" s="126" t="n"/>
      <c r="X166" s="126" t="n"/>
      <c r="Y166" s="126" t="n"/>
      <c r="Z166" s="126" t="n"/>
      <c r="AA166" s="126" t="n"/>
      <c r="AB166" s="126" t="n"/>
      <c r="AC166" s="126" t="n"/>
      <c r="AD166" s="126" t="n"/>
      <c r="AE166" s="126" t="n"/>
      <c r="AF166" s="126" t="n"/>
      <c r="AG166" s="126" t="n"/>
      <c r="AH166" s="126" t="n"/>
      <c r="AI166" s="126" t="n"/>
      <c r="AJ166" s="126" t="n"/>
      <c r="AK166" s="126" t="n"/>
      <c r="AL166" s="126" t="n"/>
      <c r="AM166" s="126" t="n"/>
      <c r="AN166" s="126" t="n"/>
    </row>
    <row r="167" ht="21" customFormat="1" customHeight="1" s="127">
      <c r="A167" s="51">
        <f>IF($B167="","",ROW()-6)</f>
        <v/>
      </c>
      <c r="B167" s="268" t="n"/>
      <c r="C167" s="133" t="n"/>
      <c r="D167" s="50" t="n"/>
      <c r="E167" s="265" t="n"/>
      <c r="F167" s="133" t="n"/>
      <c r="G167" s="133" t="n"/>
      <c r="H167" s="50" t="n"/>
      <c r="I167" s="51">
        <f>IF($C167="","",IFERROR(INDEX(WorkerIDs,MATCH($C167,WorkerNames,0)),"?"))</f>
        <v/>
      </c>
      <c r="J167" s="253">
        <f>IF($B167="","",$B167-WEEKDAY($B167,2)+1)</f>
        <v/>
      </c>
      <c r="K167" s="142">
        <f>IF(OR($I167="",$I167="?",$D167&lt;&gt;"Advance",$B167=""),"",$I167&amp;"|"&amp;$J167&amp;"|"&amp;COUNTIFS($I$7:$I167,$I167,$J$7:$J167,$J167,$D$7:$D167,"Advance"))</f>
        <v/>
      </c>
      <c r="L167" s="266">
        <f>IF(OR($I167="",$I167="?",$B167=""),"",SUMPRODUCT((Weeks!$A$7:$A$59&lt;=$J167)*(Weeks!$X$5:$AI$5=$I167)*Weeks!$X$7:$AI$59)-SUMIFS($E$7:$E$1006,$I$7:$I$1006,$I167,$B$7:$B$1006,"&lt;="&amp;$B167))</f>
        <v/>
      </c>
      <c r="M167" s="132">
        <f>IF($B167&amp;$C167&amp;$D167&amp;$E167="","",IF($B167="","missing date",IF($C167="","missing worker",IF($I167="?","unknown worker - was the name changed on Workers?",IF($D167="","missing type",IF(N($E167)=0,"missing amount",IF(AND($E167&lt;0,$D167&lt;&gt;"Correction"),"negative amount - use a Correction to undo",IF(OR($B167&lt;Weeks!$A$7,$B167&gt;Weeks!$B$59),"date outside this workbook's year",IF(AND($D167="Advance",N($L167)&lt;0),"Warning: more than earned so far - worker now owes "&amp;TEXT(ROUND(-$L167,0),"#,##0"),"")))))))))</f>
        <v/>
      </c>
      <c r="N167" s="125" t="n"/>
      <c r="O167" s="126" t="n"/>
      <c r="P167" s="126" t="n"/>
      <c r="Q167" s="126" t="n"/>
      <c r="R167" s="126" t="n"/>
      <c r="S167" s="126" t="n"/>
      <c r="T167" s="126" t="n"/>
      <c r="U167" s="126" t="n"/>
      <c r="V167" s="126" t="n"/>
      <c r="W167" s="126" t="n"/>
      <c r="X167" s="126" t="n"/>
      <c r="Y167" s="126" t="n"/>
      <c r="Z167" s="126" t="n"/>
      <c r="AA167" s="126" t="n"/>
      <c r="AB167" s="126" t="n"/>
      <c r="AC167" s="126" t="n"/>
      <c r="AD167" s="126" t="n"/>
      <c r="AE167" s="126" t="n"/>
      <c r="AF167" s="126" t="n"/>
      <c r="AG167" s="126" t="n"/>
      <c r="AH167" s="126" t="n"/>
      <c r="AI167" s="126" t="n"/>
      <c r="AJ167" s="126" t="n"/>
      <c r="AK167" s="126" t="n"/>
      <c r="AL167" s="126" t="n"/>
      <c r="AM167" s="126" t="n"/>
      <c r="AN167" s="126" t="n"/>
    </row>
    <row r="168" ht="21" customFormat="1" customHeight="1" s="127">
      <c r="A168" s="51">
        <f>IF($B168="","",ROW()-6)</f>
        <v/>
      </c>
      <c r="B168" s="268" t="n"/>
      <c r="C168" s="133" t="n"/>
      <c r="D168" s="50" t="n"/>
      <c r="E168" s="265" t="n"/>
      <c r="F168" s="133" t="n"/>
      <c r="G168" s="133" t="n"/>
      <c r="H168" s="50" t="n"/>
      <c r="I168" s="51">
        <f>IF($C168="","",IFERROR(INDEX(WorkerIDs,MATCH($C168,WorkerNames,0)),"?"))</f>
        <v/>
      </c>
      <c r="J168" s="253">
        <f>IF($B168="","",$B168-WEEKDAY($B168,2)+1)</f>
        <v/>
      </c>
      <c r="K168" s="142">
        <f>IF(OR($I168="",$I168="?",$D168&lt;&gt;"Advance",$B168=""),"",$I168&amp;"|"&amp;$J168&amp;"|"&amp;COUNTIFS($I$7:$I168,$I168,$J$7:$J168,$J168,$D$7:$D168,"Advance"))</f>
        <v/>
      </c>
      <c r="L168" s="266">
        <f>IF(OR($I168="",$I168="?",$B168=""),"",SUMPRODUCT((Weeks!$A$7:$A$59&lt;=$J168)*(Weeks!$X$5:$AI$5=$I168)*Weeks!$X$7:$AI$59)-SUMIFS($E$7:$E$1006,$I$7:$I$1006,$I168,$B$7:$B$1006,"&lt;="&amp;$B168))</f>
        <v/>
      </c>
      <c r="M168" s="132">
        <f>IF($B168&amp;$C168&amp;$D168&amp;$E168="","",IF($B168="","missing date",IF($C168="","missing worker",IF($I168="?","unknown worker - was the name changed on Workers?",IF($D168="","missing type",IF(N($E168)=0,"missing amount",IF(AND($E168&lt;0,$D168&lt;&gt;"Correction"),"negative amount - use a Correction to undo",IF(OR($B168&lt;Weeks!$A$7,$B168&gt;Weeks!$B$59),"date outside this workbook's year",IF(AND($D168="Advance",N($L168)&lt;0),"Warning: more than earned so far - worker now owes "&amp;TEXT(ROUND(-$L168,0),"#,##0"),"")))))))))</f>
        <v/>
      </c>
      <c r="N168" s="125" t="n"/>
      <c r="O168" s="126" t="n"/>
      <c r="P168" s="126" t="n"/>
      <c r="Q168" s="126" t="n"/>
      <c r="R168" s="126" t="n"/>
      <c r="S168" s="126" t="n"/>
      <c r="T168" s="126" t="n"/>
      <c r="U168" s="126" t="n"/>
      <c r="V168" s="126" t="n"/>
      <c r="W168" s="126" t="n"/>
      <c r="X168" s="126" t="n"/>
      <c r="Y168" s="126" t="n"/>
      <c r="Z168" s="126" t="n"/>
      <c r="AA168" s="126" t="n"/>
      <c r="AB168" s="126" t="n"/>
      <c r="AC168" s="126" t="n"/>
      <c r="AD168" s="126" t="n"/>
      <c r="AE168" s="126" t="n"/>
      <c r="AF168" s="126" t="n"/>
      <c r="AG168" s="126" t="n"/>
      <c r="AH168" s="126" t="n"/>
      <c r="AI168" s="126" t="n"/>
      <c r="AJ168" s="126" t="n"/>
      <c r="AK168" s="126" t="n"/>
      <c r="AL168" s="126" t="n"/>
      <c r="AM168" s="126" t="n"/>
      <c r="AN168" s="126" t="n"/>
    </row>
    <row r="169" ht="21" customFormat="1" customHeight="1" s="127">
      <c r="A169" s="51">
        <f>IF($B169="","",ROW()-6)</f>
        <v/>
      </c>
      <c r="B169" s="268" t="n"/>
      <c r="C169" s="133" t="n"/>
      <c r="D169" s="50" t="n"/>
      <c r="E169" s="265" t="n"/>
      <c r="F169" s="133" t="n"/>
      <c r="G169" s="133" t="n"/>
      <c r="H169" s="50" t="n"/>
      <c r="I169" s="51">
        <f>IF($C169="","",IFERROR(INDEX(WorkerIDs,MATCH($C169,WorkerNames,0)),"?"))</f>
        <v/>
      </c>
      <c r="J169" s="253">
        <f>IF($B169="","",$B169-WEEKDAY($B169,2)+1)</f>
        <v/>
      </c>
      <c r="K169" s="142">
        <f>IF(OR($I169="",$I169="?",$D169&lt;&gt;"Advance",$B169=""),"",$I169&amp;"|"&amp;$J169&amp;"|"&amp;COUNTIFS($I$7:$I169,$I169,$J$7:$J169,$J169,$D$7:$D169,"Advance"))</f>
        <v/>
      </c>
      <c r="L169" s="266">
        <f>IF(OR($I169="",$I169="?",$B169=""),"",SUMPRODUCT((Weeks!$A$7:$A$59&lt;=$J169)*(Weeks!$X$5:$AI$5=$I169)*Weeks!$X$7:$AI$59)-SUMIFS($E$7:$E$1006,$I$7:$I$1006,$I169,$B$7:$B$1006,"&lt;="&amp;$B169))</f>
        <v/>
      </c>
      <c r="M169" s="132">
        <f>IF($B169&amp;$C169&amp;$D169&amp;$E169="","",IF($B169="","missing date",IF($C169="","missing worker",IF($I169="?","unknown worker - was the name changed on Workers?",IF($D169="","missing type",IF(N($E169)=0,"missing amount",IF(AND($E169&lt;0,$D169&lt;&gt;"Correction"),"negative amount - use a Correction to undo",IF(OR($B169&lt;Weeks!$A$7,$B169&gt;Weeks!$B$59),"date outside this workbook's year",IF(AND($D169="Advance",N($L169)&lt;0),"Warning: more than earned so far - worker now owes "&amp;TEXT(ROUND(-$L169,0),"#,##0"),"")))))))))</f>
        <v/>
      </c>
      <c r="N169" s="125" t="n"/>
      <c r="O169" s="126" t="n"/>
      <c r="P169" s="126" t="n"/>
      <c r="Q169" s="126" t="n"/>
      <c r="R169" s="126" t="n"/>
      <c r="S169" s="126" t="n"/>
      <c r="T169" s="126" t="n"/>
      <c r="U169" s="126" t="n"/>
      <c r="V169" s="126" t="n"/>
      <c r="W169" s="126" t="n"/>
      <c r="X169" s="126" t="n"/>
      <c r="Y169" s="126" t="n"/>
      <c r="Z169" s="126" t="n"/>
      <c r="AA169" s="126" t="n"/>
      <c r="AB169" s="126" t="n"/>
      <c r="AC169" s="126" t="n"/>
      <c r="AD169" s="126" t="n"/>
      <c r="AE169" s="126" t="n"/>
      <c r="AF169" s="126" t="n"/>
      <c r="AG169" s="126" t="n"/>
      <c r="AH169" s="126" t="n"/>
      <c r="AI169" s="126" t="n"/>
      <c r="AJ169" s="126" t="n"/>
      <c r="AK169" s="126" t="n"/>
      <c r="AL169" s="126" t="n"/>
      <c r="AM169" s="126" t="n"/>
      <c r="AN169" s="126" t="n"/>
    </row>
    <row r="170" ht="21" customFormat="1" customHeight="1" s="127">
      <c r="A170" s="51">
        <f>IF($B170="","",ROW()-6)</f>
        <v/>
      </c>
      <c r="B170" s="268" t="n"/>
      <c r="C170" s="133" t="n"/>
      <c r="D170" s="50" t="n"/>
      <c r="E170" s="265" t="n"/>
      <c r="F170" s="133" t="n"/>
      <c r="G170" s="133" t="n"/>
      <c r="H170" s="50" t="n"/>
      <c r="I170" s="51">
        <f>IF($C170="","",IFERROR(INDEX(WorkerIDs,MATCH($C170,WorkerNames,0)),"?"))</f>
        <v/>
      </c>
      <c r="J170" s="253">
        <f>IF($B170="","",$B170-WEEKDAY($B170,2)+1)</f>
        <v/>
      </c>
      <c r="K170" s="142">
        <f>IF(OR($I170="",$I170="?",$D170&lt;&gt;"Advance",$B170=""),"",$I170&amp;"|"&amp;$J170&amp;"|"&amp;COUNTIFS($I$7:$I170,$I170,$J$7:$J170,$J170,$D$7:$D170,"Advance"))</f>
        <v/>
      </c>
      <c r="L170" s="266">
        <f>IF(OR($I170="",$I170="?",$B170=""),"",SUMPRODUCT((Weeks!$A$7:$A$59&lt;=$J170)*(Weeks!$X$5:$AI$5=$I170)*Weeks!$X$7:$AI$59)-SUMIFS($E$7:$E$1006,$I$7:$I$1006,$I170,$B$7:$B$1006,"&lt;="&amp;$B170))</f>
        <v/>
      </c>
      <c r="M170" s="132">
        <f>IF($B170&amp;$C170&amp;$D170&amp;$E170="","",IF($B170="","missing date",IF($C170="","missing worker",IF($I170="?","unknown worker - was the name changed on Workers?",IF($D170="","missing type",IF(N($E170)=0,"missing amount",IF(AND($E170&lt;0,$D170&lt;&gt;"Correction"),"negative amount - use a Correction to undo",IF(OR($B170&lt;Weeks!$A$7,$B170&gt;Weeks!$B$59),"date outside this workbook's year",IF(AND($D170="Advance",N($L170)&lt;0),"Warning: more than earned so far - worker now owes "&amp;TEXT(ROUND(-$L170,0),"#,##0"),"")))))))))</f>
        <v/>
      </c>
      <c r="N170" s="125" t="n"/>
      <c r="O170" s="126" t="n"/>
      <c r="P170" s="126" t="n"/>
      <c r="Q170" s="126" t="n"/>
      <c r="R170" s="126" t="n"/>
      <c r="S170" s="126" t="n"/>
      <c r="T170" s="126" t="n"/>
      <c r="U170" s="126" t="n"/>
      <c r="V170" s="126" t="n"/>
      <c r="W170" s="126" t="n"/>
      <c r="X170" s="126" t="n"/>
      <c r="Y170" s="126" t="n"/>
      <c r="Z170" s="126" t="n"/>
      <c r="AA170" s="126" t="n"/>
      <c r="AB170" s="126" t="n"/>
      <c r="AC170" s="126" t="n"/>
      <c r="AD170" s="126" t="n"/>
      <c r="AE170" s="126" t="n"/>
      <c r="AF170" s="126" t="n"/>
      <c r="AG170" s="126" t="n"/>
      <c r="AH170" s="126" t="n"/>
      <c r="AI170" s="126" t="n"/>
      <c r="AJ170" s="126" t="n"/>
      <c r="AK170" s="126" t="n"/>
      <c r="AL170" s="126" t="n"/>
      <c r="AM170" s="126" t="n"/>
      <c r="AN170" s="126" t="n"/>
    </row>
    <row r="171" ht="21" customFormat="1" customHeight="1" s="127">
      <c r="A171" s="51">
        <f>IF($B171="","",ROW()-6)</f>
        <v/>
      </c>
      <c r="B171" s="268" t="n"/>
      <c r="C171" s="133" t="n"/>
      <c r="D171" s="50" t="n"/>
      <c r="E171" s="265" t="n"/>
      <c r="F171" s="133" t="n"/>
      <c r="G171" s="133" t="n"/>
      <c r="H171" s="50" t="n"/>
      <c r="I171" s="51">
        <f>IF($C171="","",IFERROR(INDEX(WorkerIDs,MATCH($C171,WorkerNames,0)),"?"))</f>
        <v/>
      </c>
      <c r="J171" s="253">
        <f>IF($B171="","",$B171-WEEKDAY($B171,2)+1)</f>
        <v/>
      </c>
      <c r="K171" s="142">
        <f>IF(OR($I171="",$I171="?",$D171&lt;&gt;"Advance",$B171=""),"",$I171&amp;"|"&amp;$J171&amp;"|"&amp;COUNTIFS($I$7:$I171,$I171,$J$7:$J171,$J171,$D$7:$D171,"Advance"))</f>
        <v/>
      </c>
      <c r="L171" s="266">
        <f>IF(OR($I171="",$I171="?",$B171=""),"",SUMPRODUCT((Weeks!$A$7:$A$59&lt;=$J171)*(Weeks!$X$5:$AI$5=$I171)*Weeks!$X$7:$AI$59)-SUMIFS($E$7:$E$1006,$I$7:$I$1006,$I171,$B$7:$B$1006,"&lt;="&amp;$B171))</f>
        <v/>
      </c>
      <c r="M171" s="132">
        <f>IF($B171&amp;$C171&amp;$D171&amp;$E171="","",IF($B171="","missing date",IF($C171="","missing worker",IF($I171="?","unknown worker - was the name changed on Workers?",IF($D171="","missing type",IF(N($E171)=0,"missing amount",IF(AND($E171&lt;0,$D171&lt;&gt;"Correction"),"negative amount - use a Correction to undo",IF(OR($B171&lt;Weeks!$A$7,$B171&gt;Weeks!$B$59),"date outside this workbook's year",IF(AND($D171="Advance",N($L171)&lt;0),"Warning: more than earned so far - worker now owes "&amp;TEXT(ROUND(-$L171,0),"#,##0"),"")))))))))</f>
        <v/>
      </c>
      <c r="N171" s="125" t="n"/>
      <c r="O171" s="126" t="n"/>
      <c r="P171" s="126" t="n"/>
      <c r="Q171" s="126" t="n"/>
      <c r="R171" s="126" t="n"/>
      <c r="S171" s="126" t="n"/>
      <c r="T171" s="126" t="n"/>
      <c r="U171" s="126" t="n"/>
      <c r="V171" s="126" t="n"/>
      <c r="W171" s="126" t="n"/>
      <c r="X171" s="126" t="n"/>
      <c r="Y171" s="126" t="n"/>
      <c r="Z171" s="126" t="n"/>
      <c r="AA171" s="126" t="n"/>
      <c r="AB171" s="126" t="n"/>
      <c r="AC171" s="126" t="n"/>
      <c r="AD171" s="126" t="n"/>
      <c r="AE171" s="126" t="n"/>
      <c r="AF171" s="126" t="n"/>
      <c r="AG171" s="126" t="n"/>
      <c r="AH171" s="126" t="n"/>
      <c r="AI171" s="126" t="n"/>
      <c r="AJ171" s="126" t="n"/>
      <c r="AK171" s="126" t="n"/>
      <c r="AL171" s="126" t="n"/>
      <c r="AM171" s="126" t="n"/>
      <c r="AN171" s="126" t="n"/>
    </row>
    <row r="172" ht="21" customFormat="1" customHeight="1" s="127">
      <c r="A172" s="51">
        <f>IF($B172="","",ROW()-6)</f>
        <v/>
      </c>
      <c r="B172" s="268" t="n"/>
      <c r="C172" s="133" t="n"/>
      <c r="D172" s="50" t="n"/>
      <c r="E172" s="265" t="n"/>
      <c r="F172" s="133" t="n"/>
      <c r="G172" s="133" t="n"/>
      <c r="H172" s="50" t="n"/>
      <c r="I172" s="51">
        <f>IF($C172="","",IFERROR(INDEX(WorkerIDs,MATCH($C172,WorkerNames,0)),"?"))</f>
        <v/>
      </c>
      <c r="J172" s="253">
        <f>IF($B172="","",$B172-WEEKDAY($B172,2)+1)</f>
        <v/>
      </c>
      <c r="K172" s="142">
        <f>IF(OR($I172="",$I172="?",$D172&lt;&gt;"Advance",$B172=""),"",$I172&amp;"|"&amp;$J172&amp;"|"&amp;COUNTIFS($I$7:$I172,$I172,$J$7:$J172,$J172,$D$7:$D172,"Advance"))</f>
        <v/>
      </c>
      <c r="L172" s="266">
        <f>IF(OR($I172="",$I172="?",$B172=""),"",SUMPRODUCT((Weeks!$A$7:$A$59&lt;=$J172)*(Weeks!$X$5:$AI$5=$I172)*Weeks!$X$7:$AI$59)-SUMIFS($E$7:$E$1006,$I$7:$I$1006,$I172,$B$7:$B$1006,"&lt;="&amp;$B172))</f>
        <v/>
      </c>
      <c r="M172" s="132">
        <f>IF($B172&amp;$C172&amp;$D172&amp;$E172="","",IF($B172="","missing date",IF($C172="","missing worker",IF($I172="?","unknown worker - was the name changed on Workers?",IF($D172="","missing type",IF(N($E172)=0,"missing amount",IF(AND($E172&lt;0,$D172&lt;&gt;"Correction"),"negative amount - use a Correction to undo",IF(OR($B172&lt;Weeks!$A$7,$B172&gt;Weeks!$B$59),"date outside this workbook's year",IF(AND($D172="Advance",N($L172)&lt;0),"Warning: more than earned so far - worker now owes "&amp;TEXT(ROUND(-$L172,0),"#,##0"),"")))))))))</f>
        <v/>
      </c>
      <c r="N172" s="125" t="n"/>
      <c r="O172" s="126" t="n"/>
      <c r="P172" s="126" t="n"/>
      <c r="Q172" s="126" t="n"/>
      <c r="R172" s="126" t="n"/>
      <c r="S172" s="126" t="n"/>
      <c r="T172" s="126" t="n"/>
      <c r="U172" s="126" t="n"/>
      <c r="V172" s="126" t="n"/>
      <c r="W172" s="126" t="n"/>
      <c r="X172" s="126" t="n"/>
      <c r="Y172" s="126" t="n"/>
      <c r="Z172" s="126" t="n"/>
      <c r="AA172" s="126" t="n"/>
      <c r="AB172" s="126" t="n"/>
      <c r="AC172" s="126" t="n"/>
      <c r="AD172" s="126" t="n"/>
      <c r="AE172" s="126" t="n"/>
      <c r="AF172" s="126" t="n"/>
      <c r="AG172" s="126" t="n"/>
      <c r="AH172" s="126" t="n"/>
      <c r="AI172" s="126" t="n"/>
      <c r="AJ172" s="126" t="n"/>
      <c r="AK172" s="126" t="n"/>
      <c r="AL172" s="126" t="n"/>
      <c r="AM172" s="126" t="n"/>
      <c r="AN172" s="126" t="n"/>
    </row>
    <row r="173" ht="21" customFormat="1" customHeight="1" s="127">
      <c r="A173" s="51">
        <f>IF($B173="","",ROW()-6)</f>
        <v/>
      </c>
      <c r="B173" s="268" t="n"/>
      <c r="C173" s="133" t="n"/>
      <c r="D173" s="50" t="n"/>
      <c r="E173" s="265" t="n"/>
      <c r="F173" s="133" t="n"/>
      <c r="G173" s="133" t="n"/>
      <c r="H173" s="50" t="n"/>
      <c r="I173" s="51">
        <f>IF($C173="","",IFERROR(INDEX(WorkerIDs,MATCH($C173,WorkerNames,0)),"?"))</f>
        <v/>
      </c>
      <c r="J173" s="253">
        <f>IF($B173="","",$B173-WEEKDAY($B173,2)+1)</f>
        <v/>
      </c>
      <c r="K173" s="142">
        <f>IF(OR($I173="",$I173="?",$D173&lt;&gt;"Advance",$B173=""),"",$I173&amp;"|"&amp;$J173&amp;"|"&amp;COUNTIFS($I$7:$I173,$I173,$J$7:$J173,$J173,$D$7:$D173,"Advance"))</f>
        <v/>
      </c>
      <c r="L173" s="266">
        <f>IF(OR($I173="",$I173="?",$B173=""),"",SUMPRODUCT((Weeks!$A$7:$A$59&lt;=$J173)*(Weeks!$X$5:$AI$5=$I173)*Weeks!$X$7:$AI$59)-SUMIFS($E$7:$E$1006,$I$7:$I$1006,$I173,$B$7:$B$1006,"&lt;="&amp;$B173))</f>
        <v/>
      </c>
      <c r="M173" s="132">
        <f>IF($B173&amp;$C173&amp;$D173&amp;$E173="","",IF($B173="","missing date",IF($C173="","missing worker",IF($I173="?","unknown worker - was the name changed on Workers?",IF($D173="","missing type",IF(N($E173)=0,"missing amount",IF(AND($E173&lt;0,$D173&lt;&gt;"Correction"),"negative amount - use a Correction to undo",IF(OR($B173&lt;Weeks!$A$7,$B173&gt;Weeks!$B$59),"date outside this workbook's year",IF(AND($D173="Advance",N($L173)&lt;0),"Warning: more than earned so far - worker now owes "&amp;TEXT(ROUND(-$L173,0),"#,##0"),"")))))))))</f>
        <v/>
      </c>
      <c r="N173" s="125" t="n"/>
      <c r="O173" s="126" t="n"/>
      <c r="P173" s="126" t="n"/>
      <c r="Q173" s="126" t="n"/>
      <c r="R173" s="126" t="n"/>
      <c r="S173" s="126" t="n"/>
      <c r="T173" s="126" t="n"/>
      <c r="U173" s="126" t="n"/>
      <c r="V173" s="126" t="n"/>
      <c r="W173" s="126" t="n"/>
      <c r="X173" s="126" t="n"/>
      <c r="Y173" s="126" t="n"/>
      <c r="Z173" s="126" t="n"/>
      <c r="AA173" s="126" t="n"/>
      <c r="AB173" s="126" t="n"/>
      <c r="AC173" s="126" t="n"/>
      <c r="AD173" s="126" t="n"/>
      <c r="AE173" s="126" t="n"/>
      <c r="AF173" s="126" t="n"/>
      <c r="AG173" s="126" t="n"/>
      <c r="AH173" s="126" t="n"/>
      <c r="AI173" s="126" t="n"/>
      <c r="AJ173" s="126" t="n"/>
      <c r="AK173" s="126" t="n"/>
      <c r="AL173" s="126" t="n"/>
      <c r="AM173" s="126" t="n"/>
      <c r="AN173" s="126" t="n"/>
    </row>
    <row r="174" ht="21" customFormat="1" customHeight="1" s="127">
      <c r="A174" s="51">
        <f>IF($B174="","",ROW()-6)</f>
        <v/>
      </c>
      <c r="B174" s="268" t="n"/>
      <c r="C174" s="133" t="n"/>
      <c r="D174" s="50" t="n"/>
      <c r="E174" s="265" t="n"/>
      <c r="F174" s="133" t="n"/>
      <c r="G174" s="133" t="n"/>
      <c r="H174" s="50" t="n"/>
      <c r="I174" s="51">
        <f>IF($C174="","",IFERROR(INDEX(WorkerIDs,MATCH($C174,WorkerNames,0)),"?"))</f>
        <v/>
      </c>
      <c r="J174" s="253">
        <f>IF($B174="","",$B174-WEEKDAY($B174,2)+1)</f>
        <v/>
      </c>
      <c r="K174" s="142">
        <f>IF(OR($I174="",$I174="?",$D174&lt;&gt;"Advance",$B174=""),"",$I174&amp;"|"&amp;$J174&amp;"|"&amp;COUNTIFS($I$7:$I174,$I174,$J$7:$J174,$J174,$D$7:$D174,"Advance"))</f>
        <v/>
      </c>
      <c r="L174" s="266">
        <f>IF(OR($I174="",$I174="?",$B174=""),"",SUMPRODUCT((Weeks!$A$7:$A$59&lt;=$J174)*(Weeks!$X$5:$AI$5=$I174)*Weeks!$X$7:$AI$59)-SUMIFS($E$7:$E$1006,$I$7:$I$1006,$I174,$B$7:$B$1006,"&lt;="&amp;$B174))</f>
        <v/>
      </c>
      <c r="M174" s="132">
        <f>IF($B174&amp;$C174&amp;$D174&amp;$E174="","",IF($B174="","missing date",IF($C174="","missing worker",IF($I174="?","unknown worker - was the name changed on Workers?",IF($D174="","missing type",IF(N($E174)=0,"missing amount",IF(AND($E174&lt;0,$D174&lt;&gt;"Correction"),"negative amount - use a Correction to undo",IF(OR($B174&lt;Weeks!$A$7,$B174&gt;Weeks!$B$59),"date outside this workbook's year",IF(AND($D174="Advance",N($L174)&lt;0),"Warning: more than earned so far - worker now owes "&amp;TEXT(ROUND(-$L174,0),"#,##0"),"")))))))))</f>
        <v/>
      </c>
      <c r="N174" s="125" t="n"/>
      <c r="O174" s="126" t="n"/>
      <c r="P174" s="126" t="n"/>
      <c r="Q174" s="126" t="n"/>
      <c r="R174" s="126" t="n"/>
      <c r="S174" s="126" t="n"/>
      <c r="T174" s="126" t="n"/>
      <c r="U174" s="126" t="n"/>
      <c r="V174" s="126" t="n"/>
      <c r="W174" s="126" t="n"/>
      <c r="X174" s="126" t="n"/>
      <c r="Y174" s="126" t="n"/>
      <c r="Z174" s="126" t="n"/>
      <c r="AA174" s="126" t="n"/>
      <c r="AB174" s="126" t="n"/>
      <c r="AC174" s="126" t="n"/>
      <c r="AD174" s="126" t="n"/>
      <c r="AE174" s="126" t="n"/>
      <c r="AF174" s="126" t="n"/>
      <c r="AG174" s="126" t="n"/>
      <c r="AH174" s="126" t="n"/>
      <c r="AI174" s="126" t="n"/>
      <c r="AJ174" s="126" t="n"/>
      <c r="AK174" s="126" t="n"/>
      <c r="AL174" s="126" t="n"/>
      <c r="AM174" s="126" t="n"/>
      <c r="AN174" s="126" t="n"/>
    </row>
    <row r="175" ht="21" customFormat="1" customHeight="1" s="127">
      <c r="A175" s="51">
        <f>IF($B175="","",ROW()-6)</f>
        <v/>
      </c>
      <c r="B175" s="268" t="n"/>
      <c r="C175" s="133" t="n"/>
      <c r="D175" s="50" t="n"/>
      <c r="E175" s="265" t="n"/>
      <c r="F175" s="133" t="n"/>
      <c r="G175" s="133" t="n"/>
      <c r="H175" s="50" t="n"/>
      <c r="I175" s="51">
        <f>IF($C175="","",IFERROR(INDEX(WorkerIDs,MATCH($C175,WorkerNames,0)),"?"))</f>
        <v/>
      </c>
      <c r="J175" s="253">
        <f>IF($B175="","",$B175-WEEKDAY($B175,2)+1)</f>
        <v/>
      </c>
      <c r="K175" s="142">
        <f>IF(OR($I175="",$I175="?",$D175&lt;&gt;"Advance",$B175=""),"",$I175&amp;"|"&amp;$J175&amp;"|"&amp;COUNTIFS($I$7:$I175,$I175,$J$7:$J175,$J175,$D$7:$D175,"Advance"))</f>
        <v/>
      </c>
      <c r="L175" s="266">
        <f>IF(OR($I175="",$I175="?",$B175=""),"",SUMPRODUCT((Weeks!$A$7:$A$59&lt;=$J175)*(Weeks!$X$5:$AI$5=$I175)*Weeks!$X$7:$AI$59)-SUMIFS($E$7:$E$1006,$I$7:$I$1006,$I175,$B$7:$B$1006,"&lt;="&amp;$B175))</f>
        <v/>
      </c>
      <c r="M175" s="132">
        <f>IF($B175&amp;$C175&amp;$D175&amp;$E175="","",IF($B175="","missing date",IF($C175="","missing worker",IF($I175="?","unknown worker - was the name changed on Workers?",IF($D175="","missing type",IF(N($E175)=0,"missing amount",IF(AND($E175&lt;0,$D175&lt;&gt;"Correction"),"negative amount - use a Correction to undo",IF(OR($B175&lt;Weeks!$A$7,$B175&gt;Weeks!$B$59),"date outside this workbook's year",IF(AND($D175="Advance",N($L175)&lt;0),"Warning: more than earned so far - worker now owes "&amp;TEXT(ROUND(-$L175,0),"#,##0"),"")))))))))</f>
        <v/>
      </c>
      <c r="N175" s="125" t="n"/>
      <c r="O175" s="126" t="n"/>
      <c r="P175" s="126" t="n"/>
      <c r="Q175" s="126" t="n"/>
      <c r="R175" s="126" t="n"/>
      <c r="S175" s="126" t="n"/>
      <c r="T175" s="126" t="n"/>
      <c r="U175" s="126" t="n"/>
      <c r="V175" s="126" t="n"/>
      <c r="W175" s="126" t="n"/>
      <c r="X175" s="126" t="n"/>
      <c r="Y175" s="126" t="n"/>
      <c r="Z175" s="126" t="n"/>
      <c r="AA175" s="126" t="n"/>
      <c r="AB175" s="126" t="n"/>
      <c r="AC175" s="126" t="n"/>
      <c r="AD175" s="126" t="n"/>
      <c r="AE175" s="126" t="n"/>
      <c r="AF175" s="126" t="n"/>
      <c r="AG175" s="126" t="n"/>
      <c r="AH175" s="126" t="n"/>
      <c r="AI175" s="126" t="n"/>
      <c r="AJ175" s="126" t="n"/>
      <c r="AK175" s="126" t="n"/>
      <c r="AL175" s="126" t="n"/>
      <c r="AM175" s="126" t="n"/>
      <c r="AN175" s="126" t="n"/>
    </row>
    <row r="176" ht="21" customFormat="1" customHeight="1" s="127">
      <c r="A176" s="51">
        <f>IF($B176="","",ROW()-6)</f>
        <v/>
      </c>
      <c r="B176" s="268" t="n"/>
      <c r="C176" s="133" t="n"/>
      <c r="D176" s="50" t="n"/>
      <c r="E176" s="265" t="n"/>
      <c r="F176" s="133" t="n"/>
      <c r="G176" s="133" t="n"/>
      <c r="H176" s="50" t="n"/>
      <c r="I176" s="51">
        <f>IF($C176="","",IFERROR(INDEX(WorkerIDs,MATCH($C176,WorkerNames,0)),"?"))</f>
        <v/>
      </c>
      <c r="J176" s="253">
        <f>IF($B176="","",$B176-WEEKDAY($B176,2)+1)</f>
        <v/>
      </c>
      <c r="K176" s="142">
        <f>IF(OR($I176="",$I176="?",$D176&lt;&gt;"Advance",$B176=""),"",$I176&amp;"|"&amp;$J176&amp;"|"&amp;COUNTIFS($I$7:$I176,$I176,$J$7:$J176,$J176,$D$7:$D176,"Advance"))</f>
        <v/>
      </c>
      <c r="L176" s="266">
        <f>IF(OR($I176="",$I176="?",$B176=""),"",SUMPRODUCT((Weeks!$A$7:$A$59&lt;=$J176)*(Weeks!$X$5:$AI$5=$I176)*Weeks!$X$7:$AI$59)-SUMIFS($E$7:$E$1006,$I$7:$I$1006,$I176,$B$7:$B$1006,"&lt;="&amp;$B176))</f>
        <v/>
      </c>
      <c r="M176" s="132">
        <f>IF($B176&amp;$C176&amp;$D176&amp;$E176="","",IF($B176="","missing date",IF($C176="","missing worker",IF($I176="?","unknown worker - was the name changed on Workers?",IF($D176="","missing type",IF(N($E176)=0,"missing amount",IF(AND($E176&lt;0,$D176&lt;&gt;"Correction"),"negative amount - use a Correction to undo",IF(OR($B176&lt;Weeks!$A$7,$B176&gt;Weeks!$B$59),"date outside this workbook's year",IF(AND($D176="Advance",N($L176)&lt;0),"Warning: more than earned so far - worker now owes "&amp;TEXT(ROUND(-$L176,0),"#,##0"),"")))))))))</f>
        <v/>
      </c>
      <c r="N176" s="125" t="n"/>
      <c r="O176" s="126" t="n"/>
      <c r="P176" s="126" t="n"/>
      <c r="Q176" s="126" t="n"/>
      <c r="R176" s="126" t="n"/>
      <c r="S176" s="126" t="n"/>
      <c r="T176" s="126" t="n"/>
      <c r="U176" s="126" t="n"/>
      <c r="V176" s="126" t="n"/>
      <c r="W176" s="126" t="n"/>
      <c r="X176" s="126" t="n"/>
      <c r="Y176" s="126" t="n"/>
      <c r="Z176" s="126" t="n"/>
      <c r="AA176" s="126" t="n"/>
      <c r="AB176" s="126" t="n"/>
      <c r="AC176" s="126" t="n"/>
      <c r="AD176" s="126" t="n"/>
      <c r="AE176" s="126" t="n"/>
      <c r="AF176" s="126" t="n"/>
      <c r="AG176" s="126" t="n"/>
      <c r="AH176" s="126" t="n"/>
      <c r="AI176" s="126" t="n"/>
      <c r="AJ176" s="126" t="n"/>
      <c r="AK176" s="126" t="n"/>
      <c r="AL176" s="126" t="n"/>
      <c r="AM176" s="126" t="n"/>
      <c r="AN176" s="126" t="n"/>
    </row>
    <row r="177" ht="21" customFormat="1" customHeight="1" s="127">
      <c r="A177" s="51">
        <f>IF($B177="","",ROW()-6)</f>
        <v/>
      </c>
      <c r="B177" s="268" t="n"/>
      <c r="C177" s="133" t="n"/>
      <c r="D177" s="50" t="n"/>
      <c r="E177" s="265" t="n"/>
      <c r="F177" s="133" t="n"/>
      <c r="G177" s="133" t="n"/>
      <c r="H177" s="50" t="n"/>
      <c r="I177" s="51">
        <f>IF($C177="","",IFERROR(INDEX(WorkerIDs,MATCH($C177,WorkerNames,0)),"?"))</f>
        <v/>
      </c>
      <c r="J177" s="253">
        <f>IF($B177="","",$B177-WEEKDAY($B177,2)+1)</f>
        <v/>
      </c>
      <c r="K177" s="142">
        <f>IF(OR($I177="",$I177="?",$D177&lt;&gt;"Advance",$B177=""),"",$I177&amp;"|"&amp;$J177&amp;"|"&amp;COUNTIFS($I$7:$I177,$I177,$J$7:$J177,$J177,$D$7:$D177,"Advance"))</f>
        <v/>
      </c>
      <c r="L177" s="266">
        <f>IF(OR($I177="",$I177="?",$B177=""),"",SUMPRODUCT((Weeks!$A$7:$A$59&lt;=$J177)*(Weeks!$X$5:$AI$5=$I177)*Weeks!$X$7:$AI$59)-SUMIFS($E$7:$E$1006,$I$7:$I$1006,$I177,$B$7:$B$1006,"&lt;="&amp;$B177))</f>
        <v/>
      </c>
      <c r="M177" s="132">
        <f>IF($B177&amp;$C177&amp;$D177&amp;$E177="","",IF($B177="","missing date",IF($C177="","missing worker",IF($I177="?","unknown worker - was the name changed on Workers?",IF($D177="","missing type",IF(N($E177)=0,"missing amount",IF(AND($E177&lt;0,$D177&lt;&gt;"Correction"),"negative amount - use a Correction to undo",IF(OR($B177&lt;Weeks!$A$7,$B177&gt;Weeks!$B$59),"date outside this workbook's year",IF(AND($D177="Advance",N($L177)&lt;0),"Warning: more than earned so far - worker now owes "&amp;TEXT(ROUND(-$L177,0),"#,##0"),"")))))))))</f>
        <v/>
      </c>
      <c r="N177" s="125" t="n"/>
      <c r="O177" s="126" t="n"/>
      <c r="P177" s="126" t="n"/>
      <c r="Q177" s="126" t="n"/>
      <c r="R177" s="126" t="n"/>
      <c r="S177" s="126" t="n"/>
      <c r="T177" s="126" t="n"/>
      <c r="U177" s="126" t="n"/>
      <c r="V177" s="126" t="n"/>
      <c r="W177" s="126" t="n"/>
      <c r="X177" s="126" t="n"/>
      <c r="Y177" s="126" t="n"/>
      <c r="Z177" s="126" t="n"/>
      <c r="AA177" s="126" t="n"/>
      <c r="AB177" s="126" t="n"/>
      <c r="AC177" s="126" t="n"/>
      <c r="AD177" s="126" t="n"/>
      <c r="AE177" s="126" t="n"/>
      <c r="AF177" s="126" t="n"/>
      <c r="AG177" s="126" t="n"/>
      <c r="AH177" s="126" t="n"/>
      <c r="AI177" s="126" t="n"/>
      <c r="AJ177" s="126" t="n"/>
      <c r="AK177" s="126" t="n"/>
      <c r="AL177" s="126" t="n"/>
      <c r="AM177" s="126" t="n"/>
      <c r="AN177" s="126" t="n"/>
    </row>
    <row r="178" ht="21" customFormat="1" customHeight="1" s="127">
      <c r="A178" s="51">
        <f>IF($B178="","",ROW()-6)</f>
        <v/>
      </c>
      <c r="B178" s="268" t="n"/>
      <c r="C178" s="133" t="n"/>
      <c r="D178" s="50" t="n"/>
      <c r="E178" s="265" t="n"/>
      <c r="F178" s="133" t="n"/>
      <c r="G178" s="133" t="n"/>
      <c r="H178" s="50" t="n"/>
      <c r="I178" s="51">
        <f>IF($C178="","",IFERROR(INDEX(WorkerIDs,MATCH($C178,WorkerNames,0)),"?"))</f>
        <v/>
      </c>
      <c r="J178" s="253">
        <f>IF($B178="","",$B178-WEEKDAY($B178,2)+1)</f>
        <v/>
      </c>
      <c r="K178" s="142">
        <f>IF(OR($I178="",$I178="?",$D178&lt;&gt;"Advance",$B178=""),"",$I178&amp;"|"&amp;$J178&amp;"|"&amp;COUNTIFS($I$7:$I178,$I178,$J$7:$J178,$J178,$D$7:$D178,"Advance"))</f>
        <v/>
      </c>
      <c r="L178" s="266">
        <f>IF(OR($I178="",$I178="?",$B178=""),"",SUMPRODUCT((Weeks!$A$7:$A$59&lt;=$J178)*(Weeks!$X$5:$AI$5=$I178)*Weeks!$X$7:$AI$59)-SUMIFS($E$7:$E$1006,$I$7:$I$1006,$I178,$B$7:$B$1006,"&lt;="&amp;$B178))</f>
        <v/>
      </c>
      <c r="M178" s="132">
        <f>IF($B178&amp;$C178&amp;$D178&amp;$E178="","",IF($B178="","missing date",IF($C178="","missing worker",IF($I178="?","unknown worker - was the name changed on Workers?",IF($D178="","missing type",IF(N($E178)=0,"missing amount",IF(AND($E178&lt;0,$D178&lt;&gt;"Correction"),"negative amount - use a Correction to undo",IF(OR($B178&lt;Weeks!$A$7,$B178&gt;Weeks!$B$59),"date outside this workbook's year",IF(AND($D178="Advance",N($L178)&lt;0),"Warning: more than earned so far - worker now owes "&amp;TEXT(ROUND(-$L178,0),"#,##0"),"")))))))))</f>
        <v/>
      </c>
      <c r="N178" s="125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  <c r="AM178" s="126" t="n"/>
      <c r="AN178" s="126" t="n"/>
    </row>
    <row r="179" ht="21" customFormat="1" customHeight="1" s="127">
      <c r="A179" s="51">
        <f>IF($B179="","",ROW()-6)</f>
        <v/>
      </c>
      <c r="B179" s="268" t="n"/>
      <c r="C179" s="133" t="n"/>
      <c r="D179" s="50" t="n"/>
      <c r="E179" s="265" t="n"/>
      <c r="F179" s="133" t="n"/>
      <c r="G179" s="133" t="n"/>
      <c r="H179" s="50" t="n"/>
      <c r="I179" s="51">
        <f>IF($C179="","",IFERROR(INDEX(WorkerIDs,MATCH($C179,WorkerNames,0)),"?"))</f>
        <v/>
      </c>
      <c r="J179" s="253">
        <f>IF($B179="","",$B179-WEEKDAY($B179,2)+1)</f>
        <v/>
      </c>
      <c r="K179" s="142">
        <f>IF(OR($I179="",$I179="?",$D179&lt;&gt;"Advance",$B179=""),"",$I179&amp;"|"&amp;$J179&amp;"|"&amp;COUNTIFS($I$7:$I179,$I179,$J$7:$J179,$J179,$D$7:$D179,"Advance"))</f>
        <v/>
      </c>
      <c r="L179" s="266">
        <f>IF(OR($I179="",$I179="?",$B179=""),"",SUMPRODUCT((Weeks!$A$7:$A$59&lt;=$J179)*(Weeks!$X$5:$AI$5=$I179)*Weeks!$X$7:$AI$59)-SUMIFS($E$7:$E$1006,$I$7:$I$1006,$I179,$B$7:$B$1006,"&lt;="&amp;$B179))</f>
        <v/>
      </c>
      <c r="M179" s="132">
        <f>IF($B179&amp;$C179&amp;$D179&amp;$E179="","",IF($B179="","missing date",IF($C179="","missing worker",IF($I179="?","unknown worker - was the name changed on Workers?",IF($D179="","missing type",IF(N($E179)=0,"missing amount",IF(AND($E179&lt;0,$D179&lt;&gt;"Correction"),"negative amount - use a Correction to undo",IF(OR($B179&lt;Weeks!$A$7,$B179&gt;Weeks!$B$59),"date outside this workbook's year",IF(AND($D179="Advance",N($L179)&lt;0),"Warning: more than earned so far - worker now owes "&amp;TEXT(ROUND(-$L179,0),"#,##0"),"")))))))))</f>
        <v/>
      </c>
      <c r="N179" s="125" t="n"/>
      <c r="O179" s="126" t="n"/>
      <c r="P179" s="126" t="n"/>
      <c r="Q179" s="126" t="n"/>
      <c r="R179" s="126" t="n"/>
      <c r="S179" s="126" t="n"/>
      <c r="T179" s="126" t="n"/>
      <c r="U179" s="126" t="n"/>
      <c r="V179" s="126" t="n"/>
      <c r="W179" s="126" t="n"/>
      <c r="X179" s="126" t="n"/>
      <c r="Y179" s="126" t="n"/>
      <c r="Z179" s="126" t="n"/>
      <c r="AA179" s="126" t="n"/>
      <c r="AB179" s="126" t="n"/>
      <c r="AC179" s="126" t="n"/>
      <c r="AD179" s="126" t="n"/>
      <c r="AE179" s="126" t="n"/>
      <c r="AF179" s="126" t="n"/>
      <c r="AG179" s="126" t="n"/>
      <c r="AH179" s="126" t="n"/>
      <c r="AI179" s="126" t="n"/>
      <c r="AJ179" s="126" t="n"/>
      <c r="AK179" s="126" t="n"/>
      <c r="AL179" s="126" t="n"/>
      <c r="AM179" s="126" t="n"/>
      <c r="AN179" s="126" t="n"/>
    </row>
    <row r="180" ht="21" customFormat="1" customHeight="1" s="127">
      <c r="A180" s="51">
        <f>IF($B180="","",ROW()-6)</f>
        <v/>
      </c>
      <c r="B180" s="268" t="n"/>
      <c r="C180" s="133" t="n"/>
      <c r="D180" s="50" t="n"/>
      <c r="E180" s="265" t="n"/>
      <c r="F180" s="133" t="n"/>
      <c r="G180" s="133" t="n"/>
      <c r="H180" s="50" t="n"/>
      <c r="I180" s="51">
        <f>IF($C180="","",IFERROR(INDEX(WorkerIDs,MATCH($C180,WorkerNames,0)),"?"))</f>
        <v/>
      </c>
      <c r="J180" s="253">
        <f>IF($B180="","",$B180-WEEKDAY($B180,2)+1)</f>
        <v/>
      </c>
      <c r="K180" s="142">
        <f>IF(OR($I180="",$I180="?",$D180&lt;&gt;"Advance",$B180=""),"",$I180&amp;"|"&amp;$J180&amp;"|"&amp;COUNTIFS($I$7:$I180,$I180,$J$7:$J180,$J180,$D$7:$D180,"Advance"))</f>
        <v/>
      </c>
      <c r="L180" s="266">
        <f>IF(OR($I180="",$I180="?",$B180=""),"",SUMPRODUCT((Weeks!$A$7:$A$59&lt;=$J180)*(Weeks!$X$5:$AI$5=$I180)*Weeks!$X$7:$AI$59)-SUMIFS($E$7:$E$1006,$I$7:$I$1006,$I180,$B$7:$B$1006,"&lt;="&amp;$B180))</f>
        <v/>
      </c>
      <c r="M180" s="132">
        <f>IF($B180&amp;$C180&amp;$D180&amp;$E180="","",IF($B180="","missing date",IF($C180="","missing worker",IF($I180="?","unknown worker - was the name changed on Workers?",IF($D180="","missing type",IF(N($E180)=0,"missing amount",IF(AND($E180&lt;0,$D180&lt;&gt;"Correction"),"negative amount - use a Correction to undo",IF(OR($B180&lt;Weeks!$A$7,$B180&gt;Weeks!$B$59),"date outside this workbook's year",IF(AND($D180="Advance",N($L180)&lt;0),"Warning: more than earned so far - worker now owes "&amp;TEXT(ROUND(-$L180,0),"#,##0"),"")))))))))</f>
        <v/>
      </c>
      <c r="N180" s="125" t="n"/>
      <c r="O180" s="126" t="n"/>
      <c r="P180" s="126" t="n"/>
      <c r="Q180" s="126" t="n"/>
      <c r="R180" s="126" t="n"/>
      <c r="S180" s="126" t="n"/>
      <c r="T180" s="126" t="n"/>
      <c r="U180" s="126" t="n"/>
      <c r="V180" s="126" t="n"/>
      <c r="W180" s="126" t="n"/>
      <c r="X180" s="126" t="n"/>
      <c r="Y180" s="126" t="n"/>
      <c r="Z180" s="126" t="n"/>
      <c r="AA180" s="126" t="n"/>
      <c r="AB180" s="126" t="n"/>
      <c r="AC180" s="126" t="n"/>
      <c r="AD180" s="126" t="n"/>
      <c r="AE180" s="126" t="n"/>
      <c r="AF180" s="126" t="n"/>
      <c r="AG180" s="126" t="n"/>
      <c r="AH180" s="126" t="n"/>
      <c r="AI180" s="126" t="n"/>
      <c r="AJ180" s="126" t="n"/>
      <c r="AK180" s="126" t="n"/>
      <c r="AL180" s="126" t="n"/>
      <c r="AM180" s="126" t="n"/>
      <c r="AN180" s="126" t="n"/>
    </row>
    <row r="181" ht="21" customFormat="1" customHeight="1" s="127">
      <c r="A181" s="51">
        <f>IF($B181="","",ROW()-6)</f>
        <v/>
      </c>
      <c r="B181" s="268" t="n"/>
      <c r="C181" s="133" t="n"/>
      <c r="D181" s="50" t="n"/>
      <c r="E181" s="265" t="n"/>
      <c r="F181" s="133" t="n"/>
      <c r="G181" s="133" t="n"/>
      <c r="H181" s="50" t="n"/>
      <c r="I181" s="51">
        <f>IF($C181="","",IFERROR(INDEX(WorkerIDs,MATCH($C181,WorkerNames,0)),"?"))</f>
        <v/>
      </c>
      <c r="J181" s="253">
        <f>IF($B181="","",$B181-WEEKDAY($B181,2)+1)</f>
        <v/>
      </c>
      <c r="K181" s="142">
        <f>IF(OR($I181="",$I181="?",$D181&lt;&gt;"Advance",$B181=""),"",$I181&amp;"|"&amp;$J181&amp;"|"&amp;COUNTIFS($I$7:$I181,$I181,$J$7:$J181,$J181,$D$7:$D181,"Advance"))</f>
        <v/>
      </c>
      <c r="L181" s="266">
        <f>IF(OR($I181="",$I181="?",$B181=""),"",SUMPRODUCT((Weeks!$A$7:$A$59&lt;=$J181)*(Weeks!$X$5:$AI$5=$I181)*Weeks!$X$7:$AI$59)-SUMIFS($E$7:$E$1006,$I$7:$I$1006,$I181,$B$7:$B$1006,"&lt;="&amp;$B181))</f>
        <v/>
      </c>
      <c r="M181" s="132">
        <f>IF($B181&amp;$C181&amp;$D181&amp;$E181="","",IF($B181="","missing date",IF($C181="","missing worker",IF($I181="?","unknown worker - was the name changed on Workers?",IF($D181="","missing type",IF(N($E181)=0,"missing amount",IF(AND($E181&lt;0,$D181&lt;&gt;"Correction"),"negative amount - use a Correction to undo",IF(OR($B181&lt;Weeks!$A$7,$B181&gt;Weeks!$B$59),"date outside this workbook's year",IF(AND($D181="Advance",N($L181)&lt;0),"Warning: more than earned so far - worker now owes "&amp;TEXT(ROUND(-$L181,0),"#,##0"),"")))))))))</f>
        <v/>
      </c>
      <c r="N181" s="125" t="n"/>
      <c r="O181" s="126" t="n"/>
      <c r="P181" s="126" t="n"/>
      <c r="Q181" s="126" t="n"/>
      <c r="R181" s="126" t="n"/>
      <c r="S181" s="126" t="n"/>
      <c r="T181" s="126" t="n"/>
      <c r="U181" s="126" t="n"/>
      <c r="V181" s="126" t="n"/>
      <c r="W181" s="126" t="n"/>
      <c r="X181" s="126" t="n"/>
      <c r="Y181" s="126" t="n"/>
      <c r="Z181" s="126" t="n"/>
      <c r="AA181" s="126" t="n"/>
      <c r="AB181" s="126" t="n"/>
      <c r="AC181" s="126" t="n"/>
      <c r="AD181" s="126" t="n"/>
      <c r="AE181" s="126" t="n"/>
      <c r="AF181" s="126" t="n"/>
      <c r="AG181" s="126" t="n"/>
      <c r="AH181" s="126" t="n"/>
      <c r="AI181" s="126" t="n"/>
      <c r="AJ181" s="126" t="n"/>
      <c r="AK181" s="126" t="n"/>
      <c r="AL181" s="126" t="n"/>
      <c r="AM181" s="126" t="n"/>
      <c r="AN181" s="126" t="n"/>
    </row>
    <row r="182" ht="21" customFormat="1" customHeight="1" s="127">
      <c r="A182" s="51">
        <f>IF($B182="","",ROW()-6)</f>
        <v/>
      </c>
      <c r="B182" s="268" t="n"/>
      <c r="C182" s="133" t="n"/>
      <c r="D182" s="50" t="n"/>
      <c r="E182" s="265" t="n"/>
      <c r="F182" s="133" t="n"/>
      <c r="G182" s="133" t="n"/>
      <c r="H182" s="50" t="n"/>
      <c r="I182" s="51">
        <f>IF($C182="","",IFERROR(INDEX(WorkerIDs,MATCH($C182,WorkerNames,0)),"?"))</f>
        <v/>
      </c>
      <c r="J182" s="253">
        <f>IF($B182="","",$B182-WEEKDAY($B182,2)+1)</f>
        <v/>
      </c>
      <c r="K182" s="142">
        <f>IF(OR($I182="",$I182="?",$D182&lt;&gt;"Advance",$B182=""),"",$I182&amp;"|"&amp;$J182&amp;"|"&amp;COUNTIFS($I$7:$I182,$I182,$J$7:$J182,$J182,$D$7:$D182,"Advance"))</f>
        <v/>
      </c>
      <c r="L182" s="266">
        <f>IF(OR($I182="",$I182="?",$B182=""),"",SUMPRODUCT((Weeks!$A$7:$A$59&lt;=$J182)*(Weeks!$X$5:$AI$5=$I182)*Weeks!$X$7:$AI$59)-SUMIFS($E$7:$E$1006,$I$7:$I$1006,$I182,$B$7:$B$1006,"&lt;="&amp;$B182))</f>
        <v/>
      </c>
      <c r="M182" s="132">
        <f>IF($B182&amp;$C182&amp;$D182&amp;$E182="","",IF($B182="","missing date",IF($C182="","missing worker",IF($I182="?","unknown worker - was the name changed on Workers?",IF($D182="","missing type",IF(N($E182)=0,"missing amount",IF(AND($E182&lt;0,$D182&lt;&gt;"Correction"),"negative amount - use a Correction to undo",IF(OR($B182&lt;Weeks!$A$7,$B182&gt;Weeks!$B$59),"date outside this workbook's year",IF(AND($D182="Advance",N($L182)&lt;0),"Warning: more than earned so far - worker now owes "&amp;TEXT(ROUND(-$L182,0),"#,##0"),"")))))))))</f>
        <v/>
      </c>
      <c r="N182" s="125" t="n"/>
      <c r="O182" s="126" t="n"/>
      <c r="P182" s="126" t="n"/>
      <c r="Q182" s="126" t="n"/>
      <c r="R182" s="126" t="n"/>
      <c r="S182" s="126" t="n"/>
      <c r="T182" s="126" t="n"/>
      <c r="U182" s="126" t="n"/>
      <c r="V182" s="126" t="n"/>
      <c r="W182" s="126" t="n"/>
      <c r="X182" s="126" t="n"/>
      <c r="Y182" s="126" t="n"/>
      <c r="Z182" s="126" t="n"/>
      <c r="AA182" s="126" t="n"/>
      <c r="AB182" s="126" t="n"/>
      <c r="AC182" s="126" t="n"/>
      <c r="AD182" s="126" t="n"/>
      <c r="AE182" s="126" t="n"/>
      <c r="AF182" s="126" t="n"/>
      <c r="AG182" s="126" t="n"/>
      <c r="AH182" s="126" t="n"/>
      <c r="AI182" s="126" t="n"/>
      <c r="AJ182" s="126" t="n"/>
      <c r="AK182" s="126" t="n"/>
      <c r="AL182" s="126" t="n"/>
      <c r="AM182" s="126" t="n"/>
      <c r="AN182" s="126" t="n"/>
    </row>
    <row r="183" ht="21" customFormat="1" customHeight="1" s="127">
      <c r="A183" s="51">
        <f>IF($B183="","",ROW()-6)</f>
        <v/>
      </c>
      <c r="B183" s="268" t="n"/>
      <c r="C183" s="133" t="n"/>
      <c r="D183" s="50" t="n"/>
      <c r="E183" s="265" t="n"/>
      <c r="F183" s="133" t="n"/>
      <c r="G183" s="133" t="n"/>
      <c r="H183" s="50" t="n"/>
      <c r="I183" s="51">
        <f>IF($C183="","",IFERROR(INDEX(WorkerIDs,MATCH($C183,WorkerNames,0)),"?"))</f>
        <v/>
      </c>
      <c r="J183" s="253">
        <f>IF($B183="","",$B183-WEEKDAY($B183,2)+1)</f>
        <v/>
      </c>
      <c r="K183" s="142">
        <f>IF(OR($I183="",$I183="?",$D183&lt;&gt;"Advance",$B183=""),"",$I183&amp;"|"&amp;$J183&amp;"|"&amp;COUNTIFS($I$7:$I183,$I183,$J$7:$J183,$J183,$D$7:$D183,"Advance"))</f>
        <v/>
      </c>
      <c r="L183" s="266">
        <f>IF(OR($I183="",$I183="?",$B183=""),"",SUMPRODUCT((Weeks!$A$7:$A$59&lt;=$J183)*(Weeks!$X$5:$AI$5=$I183)*Weeks!$X$7:$AI$59)-SUMIFS($E$7:$E$1006,$I$7:$I$1006,$I183,$B$7:$B$1006,"&lt;="&amp;$B183))</f>
        <v/>
      </c>
      <c r="M183" s="132">
        <f>IF($B183&amp;$C183&amp;$D183&amp;$E183="","",IF($B183="","missing date",IF($C183="","missing worker",IF($I183="?","unknown worker - was the name changed on Workers?",IF($D183="","missing type",IF(N($E183)=0,"missing amount",IF(AND($E183&lt;0,$D183&lt;&gt;"Correction"),"negative amount - use a Correction to undo",IF(OR($B183&lt;Weeks!$A$7,$B183&gt;Weeks!$B$59),"date outside this workbook's year",IF(AND($D183="Advance",N($L183)&lt;0),"Warning: more than earned so far - worker now owes "&amp;TEXT(ROUND(-$L183,0),"#,##0"),"")))))))))</f>
        <v/>
      </c>
      <c r="N183" s="125" t="n"/>
      <c r="O183" s="126" t="n"/>
      <c r="P183" s="126" t="n"/>
      <c r="Q183" s="126" t="n"/>
      <c r="R183" s="126" t="n"/>
      <c r="S183" s="126" t="n"/>
      <c r="T183" s="126" t="n"/>
      <c r="U183" s="126" t="n"/>
      <c r="V183" s="126" t="n"/>
      <c r="W183" s="126" t="n"/>
      <c r="X183" s="126" t="n"/>
      <c r="Y183" s="126" t="n"/>
      <c r="Z183" s="126" t="n"/>
      <c r="AA183" s="126" t="n"/>
      <c r="AB183" s="126" t="n"/>
      <c r="AC183" s="126" t="n"/>
      <c r="AD183" s="126" t="n"/>
      <c r="AE183" s="126" t="n"/>
      <c r="AF183" s="126" t="n"/>
      <c r="AG183" s="126" t="n"/>
      <c r="AH183" s="126" t="n"/>
      <c r="AI183" s="126" t="n"/>
      <c r="AJ183" s="126" t="n"/>
      <c r="AK183" s="126" t="n"/>
      <c r="AL183" s="126" t="n"/>
      <c r="AM183" s="126" t="n"/>
      <c r="AN183" s="126" t="n"/>
    </row>
    <row r="184" ht="21" customFormat="1" customHeight="1" s="127">
      <c r="A184" s="51">
        <f>IF($B184="","",ROW()-6)</f>
        <v/>
      </c>
      <c r="B184" s="268" t="n"/>
      <c r="C184" s="133" t="n"/>
      <c r="D184" s="50" t="n"/>
      <c r="E184" s="265" t="n"/>
      <c r="F184" s="133" t="n"/>
      <c r="G184" s="133" t="n"/>
      <c r="H184" s="50" t="n"/>
      <c r="I184" s="51">
        <f>IF($C184="","",IFERROR(INDEX(WorkerIDs,MATCH($C184,WorkerNames,0)),"?"))</f>
        <v/>
      </c>
      <c r="J184" s="253">
        <f>IF($B184="","",$B184-WEEKDAY($B184,2)+1)</f>
        <v/>
      </c>
      <c r="K184" s="142">
        <f>IF(OR($I184="",$I184="?",$D184&lt;&gt;"Advance",$B184=""),"",$I184&amp;"|"&amp;$J184&amp;"|"&amp;COUNTIFS($I$7:$I184,$I184,$J$7:$J184,$J184,$D$7:$D184,"Advance"))</f>
        <v/>
      </c>
      <c r="L184" s="266">
        <f>IF(OR($I184="",$I184="?",$B184=""),"",SUMPRODUCT((Weeks!$A$7:$A$59&lt;=$J184)*(Weeks!$X$5:$AI$5=$I184)*Weeks!$X$7:$AI$59)-SUMIFS($E$7:$E$1006,$I$7:$I$1006,$I184,$B$7:$B$1006,"&lt;="&amp;$B184))</f>
        <v/>
      </c>
      <c r="M184" s="132">
        <f>IF($B184&amp;$C184&amp;$D184&amp;$E184="","",IF($B184="","missing date",IF($C184="","missing worker",IF($I184="?","unknown worker - was the name changed on Workers?",IF($D184="","missing type",IF(N($E184)=0,"missing amount",IF(AND($E184&lt;0,$D184&lt;&gt;"Correction"),"negative amount - use a Correction to undo",IF(OR($B184&lt;Weeks!$A$7,$B184&gt;Weeks!$B$59),"date outside this workbook's year",IF(AND($D184="Advance",N($L184)&lt;0),"Warning: more than earned so far - worker now owes "&amp;TEXT(ROUND(-$L184,0),"#,##0"),"")))))))))</f>
        <v/>
      </c>
      <c r="N184" s="125" t="n"/>
      <c r="O184" s="126" t="n"/>
      <c r="P184" s="126" t="n"/>
      <c r="Q184" s="126" t="n"/>
      <c r="R184" s="126" t="n"/>
      <c r="S184" s="126" t="n"/>
      <c r="T184" s="126" t="n"/>
      <c r="U184" s="126" t="n"/>
      <c r="V184" s="126" t="n"/>
      <c r="W184" s="126" t="n"/>
      <c r="X184" s="126" t="n"/>
      <c r="Y184" s="126" t="n"/>
      <c r="Z184" s="126" t="n"/>
      <c r="AA184" s="126" t="n"/>
      <c r="AB184" s="126" t="n"/>
      <c r="AC184" s="126" t="n"/>
      <c r="AD184" s="126" t="n"/>
      <c r="AE184" s="126" t="n"/>
      <c r="AF184" s="126" t="n"/>
      <c r="AG184" s="126" t="n"/>
      <c r="AH184" s="126" t="n"/>
      <c r="AI184" s="126" t="n"/>
      <c r="AJ184" s="126" t="n"/>
      <c r="AK184" s="126" t="n"/>
      <c r="AL184" s="126" t="n"/>
      <c r="AM184" s="126" t="n"/>
      <c r="AN184" s="126" t="n"/>
    </row>
    <row r="185" ht="21" customFormat="1" customHeight="1" s="127">
      <c r="A185" s="51">
        <f>IF($B185="","",ROW()-6)</f>
        <v/>
      </c>
      <c r="B185" s="268" t="n"/>
      <c r="C185" s="133" t="n"/>
      <c r="D185" s="50" t="n"/>
      <c r="E185" s="265" t="n"/>
      <c r="F185" s="133" t="n"/>
      <c r="G185" s="133" t="n"/>
      <c r="H185" s="50" t="n"/>
      <c r="I185" s="51">
        <f>IF($C185="","",IFERROR(INDEX(WorkerIDs,MATCH($C185,WorkerNames,0)),"?"))</f>
        <v/>
      </c>
      <c r="J185" s="253">
        <f>IF($B185="","",$B185-WEEKDAY($B185,2)+1)</f>
        <v/>
      </c>
      <c r="K185" s="142">
        <f>IF(OR($I185="",$I185="?",$D185&lt;&gt;"Advance",$B185=""),"",$I185&amp;"|"&amp;$J185&amp;"|"&amp;COUNTIFS($I$7:$I185,$I185,$J$7:$J185,$J185,$D$7:$D185,"Advance"))</f>
        <v/>
      </c>
      <c r="L185" s="266">
        <f>IF(OR($I185="",$I185="?",$B185=""),"",SUMPRODUCT((Weeks!$A$7:$A$59&lt;=$J185)*(Weeks!$X$5:$AI$5=$I185)*Weeks!$X$7:$AI$59)-SUMIFS($E$7:$E$1006,$I$7:$I$1006,$I185,$B$7:$B$1006,"&lt;="&amp;$B185))</f>
        <v/>
      </c>
      <c r="M185" s="132">
        <f>IF($B185&amp;$C185&amp;$D185&amp;$E185="","",IF($B185="","missing date",IF($C185="","missing worker",IF($I185="?","unknown worker - was the name changed on Workers?",IF($D185="","missing type",IF(N($E185)=0,"missing amount",IF(AND($E185&lt;0,$D185&lt;&gt;"Correction"),"negative amount - use a Correction to undo",IF(OR($B185&lt;Weeks!$A$7,$B185&gt;Weeks!$B$59),"date outside this workbook's year",IF(AND($D185="Advance",N($L185)&lt;0),"Warning: more than earned so far - worker now owes "&amp;TEXT(ROUND(-$L185,0),"#,##0"),"")))))))))</f>
        <v/>
      </c>
      <c r="N185" s="125" t="n"/>
      <c r="O185" s="126" t="n"/>
      <c r="P185" s="126" t="n"/>
      <c r="Q185" s="126" t="n"/>
      <c r="R185" s="126" t="n"/>
      <c r="S185" s="126" t="n"/>
      <c r="T185" s="126" t="n"/>
      <c r="U185" s="126" t="n"/>
      <c r="V185" s="126" t="n"/>
      <c r="W185" s="126" t="n"/>
      <c r="X185" s="126" t="n"/>
      <c r="Y185" s="126" t="n"/>
      <c r="Z185" s="126" t="n"/>
      <c r="AA185" s="126" t="n"/>
      <c r="AB185" s="126" t="n"/>
      <c r="AC185" s="126" t="n"/>
      <c r="AD185" s="126" t="n"/>
      <c r="AE185" s="126" t="n"/>
      <c r="AF185" s="126" t="n"/>
      <c r="AG185" s="126" t="n"/>
      <c r="AH185" s="126" t="n"/>
      <c r="AI185" s="126" t="n"/>
      <c r="AJ185" s="126" t="n"/>
      <c r="AK185" s="126" t="n"/>
      <c r="AL185" s="126" t="n"/>
      <c r="AM185" s="126" t="n"/>
      <c r="AN185" s="126" t="n"/>
    </row>
    <row r="186" ht="21" customFormat="1" customHeight="1" s="127">
      <c r="A186" s="51">
        <f>IF($B186="","",ROW()-6)</f>
        <v/>
      </c>
      <c r="B186" s="268" t="n"/>
      <c r="C186" s="133" t="n"/>
      <c r="D186" s="50" t="n"/>
      <c r="E186" s="265" t="n"/>
      <c r="F186" s="133" t="n"/>
      <c r="G186" s="133" t="n"/>
      <c r="H186" s="50" t="n"/>
      <c r="I186" s="51">
        <f>IF($C186="","",IFERROR(INDEX(WorkerIDs,MATCH($C186,WorkerNames,0)),"?"))</f>
        <v/>
      </c>
      <c r="J186" s="253">
        <f>IF($B186="","",$B186-WEEKDAY($B186,2)+1)</f>
        <v/>
      </c>
      <c r="K186" s="142">
        <f>IF(OR($I186="",$I186="?",$D186&lt;&gt;"Advance",$B186=""),"",$I186&amp;"|"&amp;$J186&amp;"|"&amp;COUNTIFS($I$7:$I186,$I186,$J$7:$J186,$J186,$D$7:$D186,"Advance"))</f>
        <v/>
      </c>
      <c r="L186" s="266">
        <f>IF(OR($I186="",$I186="?",$B186=""),"",SUMPRODUCT((Weeks!$A$7:$A$59&lt;=$J186)*(Weeks!$X$5:$AI$5=$I186)*Weeks!$X$7:$AI$59)-SUMIFS($E$7:$E$1006,$I$7:$I$1006,$I186,$B$7:$B$1006,"&lt;="&amp;$B186))</f>
        <v/>
      </c>
      <c r="M186" s="132">
        <f>IF($B186&amp;$C186&amp;$D186&amp;$E186="","",IF($B186="","missing date",IF($C186="","missing worker",IF($I186="?","unknown worker - was the name changed on Workers?",IF($D186="","missing type",IF(N($E186)=0,"missing amount",IF(AND($E186&lt;0,$D186&lt;&gt;"Correction"),"negative amount - use a Correction to undo",IF(OR($B186&lt;Weeks!$A$7,$B186&gt;Weeks!$B$59),"date outside this workbook's year",IF(AND($D186="Advance",N($L186)&lt;0),"Warning: more than earned so far - worker now owes "&amp;TEXT(ROUND(-$L186,0),"#,##0"),"")))))))))</f>
        <v/>
      </c>
      <c r="N186" s="125" t="n"/>
      <c r="O186" s="126" t="n"/>
      <c r="P186" s="126" t="n"/>
      <c r="Q186" s="126" t="n"/>
      <c r="R186" s="126" t="n"/>
      <c r="S186" s="126" t="n"/>
      <c r="T186" s="126" t="n"/>
      <c r="U186" s="126" t="n"/>
      <c r="V186" s="126" t="n"/>
      <c r="W186" s="126" t="n"/>
      <c r="X186" s="126" t="n"/>
      <c r="Y186" s="126" t="n"/>
      <c r="Z186" s="126" t="n"/>
      <c r="AA186" s="126" t="n"/>
      <c r="AB186" s="126" t="n"/>
      <c r="AC186" s="126" t="n"/>
      <c r="AD186" s="126" t="n"/>
      <c r="AE186" s="126" t="n"/>
      <c r="AF186" s="126" t="n"/>
      <c r="AG186" s="126" t="n"/>
      <c r="AH186" s="126" t="n"/>
      <c r="AI186" s="126" t="n"/>
      <c r="AJ186" s="126" t="n"/>
      <c r="AK186" s="126" t="n"/>
      <c r="AL186" s="126" t="n"/>
      <c r="AM186" s="126" t="n"/>
      <c r="AN186" s="126" t="n"/>
    </row>
    <row r="187" ht="21" customFormat="1" customHeight="1" s="127">
      <c r="A187" s="51">
        <f>IF($B187="","",ROW()-6)</f>
        <v/>
      </c>
      <c r="B187" s="268" t="n"/>
      <c r="C187" s="133" t="n"/>
      <c r="D187" s="50" t="n"/>
      <c r="E187" s="265" t="n"/>
      <c r="F187" s="133" t="n"/>
      <c r="G187" s="133" t="n"/>
      <c r="H187" s="50" t="n"/>
      <c r="I187" s="51">
        <f>IF($C187="","",IFERROR(INDEX(WorkerIDs,MATCH($C187,WorkerNames,0)),"?"))</f>
        <v/>
      </c>
      <c r="J187" s="253">
        <f>IF($B187="","",$B187-WEEKDAY($B187,2)+1)</f>
        <v/>
      </c>
      <c r="K187" s="142">
        <f>IF(OR($I187="",$I187="?",$D187&lt;&gt;"Advance",$B187=""),"",$I187&amp;"|"&amp;$J187&amp;"|"&amp;COUNTIFS($I$7:$I187,$I187,$J$7:$J187,$J187,$D$7:$D187,"Advance"))</f>
        <v/>
      </c>
      <c r="L187" s="266">
        <f>IF(OR($I187="",$I187="?",$B187=""),"",SUMPRODUCT((Weeks!$A$7:$A$59&lt;=$J187)*(Weeks!$X$5:$AI$5=$I187)*Weeks!$X$7:$AI$59)-SUMIFS($E$7:$E$1006,$I$7:$I$1006,$I187,$B$7:$B$1006,"&lt;="&amp;$B187))</f>
        <v/>
      </c>
      <c r="M187" s="132">
        <f>IF($B187&amp;$C187&amp;$D187&amp;$E187="","",IF($B187="","missing date",IF($C187="","missing worker",IF($I187="?","unknown worker - was the name changed on Workers?",IF($D187="","missing type",IF(N($E187)=0,"missing amount",IF(AND($E187&lt;0,$D187&lt;&gt;"Correction"),"negative amount - use a Correction to undo",IF(OR($B187&lt;Weeks!$A$7,$B187&gt;Weeks!$B$59),"date outside this workbook's year",IF(AND($D187="Advance",N($L187)&lt;0),"Warning: more than earned so far - worker now owes "&amp;TEXT(ROUND(-$L187,0),"#,##0"),"")))))))))</f>
        <v/>
      </c>
      <c r="N187" s="125" t="n"/>
      <c r="O187" s="126" t="n"/>
      <c r="P187" s="126" t="n"/>
      <c r="Q187" s="126" t="n"/>
      <c r="R187" s="126" t="n"/>
      <c r="S187" s="126" t="n"/>
      <c r="T187" s="126" t="n"/>
      <c r="U187" s="126" t="n"/>
      <c r="V187" s="126" t="n"/>
      <c r="W187" s="126" t="n"/>
      <c r="X187" s="126" t="n"/>
      <c r="Y187" s="126" t="n"/>
      <c r="Z187" s="126" t="n"/>
      <c r="AA187" s="126" t="n"/>
      <c r="AB187" s="126" t="n"/>
      <c r="AC187" s="126" t="n"/>
      <c r="AD187" s="126" t="n"/>
      <c r="AE187" s="126" t="n"/>
      <c r="AF187" s="126" t="n"/>
      <c r="AG187" s="126" t="n"/>
      <c r="AH187" s="126" t="n"/>
      <c r="AI187" s="126" t="n"/>
      <c r="AJ187" s="126" t="n"/>
      <c r="AK187" s="126" t="n"/>
      <c r="AL187" s="126" t="n"/>
      <c r="AM187" s="126" t="n"/>
      <c r="AN187" s="126" t="n"/>
    </row>
    <row r="188" ht="21" customFormat="1" customHeight="1" s="127">
      <c r="A188" s="51">
        <f>IF($B188="","",ROW()-6)</f>
        <v/>
      </c>
      <c r="B188" s="268" t="n"/>
      <c r="C188" s="133" t="n"/>
      <c r="D188" s="50" t="n"/>
      <c r="E188" s="265" t="n"/>
      <c r="F188" s="133" t="n"/>
      <c r="G188" s="133" t="n"/>
      <c r="H188" s="50" t="n"/>
      <c r="I188" s="51">
        <f>IF($C188="","",IFERROR(INDEX(WorkerIDs,MATCH($C188,WorkerNames,0)),"?"))</f>
        <v/>
      </c>
      <c r="J188" s="253">
        <f>IF($B188="","",$B188-WEEKDAY($B188,2)+1)</f>
        <v/>
      </c>
      <c r="K188" s="142">
        <f>IF(OR($I188="",$I188="?",$D188&lt;&gt;"Advance",$B188=""),"",$I188&amp;"|"&amp;$J188&amp;"|"&amp;COUNTIFS($I$7:$I188,$I188,$J$7:$J188,$J188,$D$7:$D188,"Advance"))</f>
        <v/>
      </c>
      <c r="L188" s="266">
        <f>IF(OR($I188="",$I188="?",$B188=""),"",SUMPRODUCT((Weeks!$A$7:$A$59&lt;=$J188)*(Weeks!$X$5:$AI$5=$I188)*Weeks!$X$7:$AI$59)-SUMIFS($E$7:$E$1006,$I$7:$I$1006,$I188,$B$7:$B$1006,"&lt;="&amp;$B188))</f>
        <v/>
      </c>
      <c r="M188" s="132">
        <f>IF($B188&amp;$C188&amp;$D188&amp;$E188="","",IF($B188="","missing date",IF($C188="","missing worker",IF($I188="?","unknown worker - was the name changed on Workers?",IF($D188="","missing type",IF(N($E188)=0,"missing amount",IF(AND($E188&lt;0,$D188&lt;&gt;"Correction"),"negative amount - use a Correction to undo",IF(OR($B188&lt;Weeks!$A$7,$B188&gt;Weeks!$B$59),"date outside this workbook's year",IF(AND($D188="Advance",N($L188)&lt;0),"Warning: more than earned so far - worker now owes "&amp;TEXT(ROUND(-$L188,0),"#,##0"),"")))))))))</f>
        <v/>
      </c>
      <c r="N188" s="125" t="n"/>
      <c r="O188" s="126" t="n"/>
      <c r="P188" s="126" t="n"/>
      <c r="Q188" s="126" t="n"/>
      <c r="R188" s="126" t="n"/>
      <c r="S188" s="126" t="n"/>
      <c r="T188" s="126" t="n"/>
      <c r="U188" s="126" t="n"/>
      <c r="V188" s="126" t="n"/>
      <c r="W188" s="126" t="n"/>
      <c r="X188" s="126" t="n"/>
      <c r="Y188" s="126" t="n"/>
      <c r="Z188" s="126" t="n"/>
      <c r="AA188" s="126" t="n"/>
      <c r="AB188" s="126" t="n"/>
      <c r="AC188" s="126" t="n"/>
      <c r="AD188" s="126" t="n"/>
      <c r="AE188" s="126" t="n"/>
      <c r="AF188" s="126" t="n"/>
      <c r="AG188" s="126" t="n"/>
      <c r="AH188" s="126" t="n"/>
      <c r="AI188" s="126" t="n"/>
      <c r="AJ188" s="126" t="n"/>
      <c r="AK188" s="126" t="n"/>
      <c r="AL188" s="126" t="n"/>
      <c r="AM188" s="126" t="n"/>
      <c r="AN188" s="126" t="n"/>
    </row>
    <row r="189" ht="21" customFormat="1" customHeight="1" s="127">
      <c r="A189" s="51">
        <f>IF($B189="","",ROW()-6)</f>
        <v/>
      </c>
      <c r="B189" s="268" t="n"/>
      <c r="C189" s="133" t="n"/>
      <c r="D189" s="50" t="n"/>
      <c r="E189" s="265" t="n"/>
      <c r="F189" s="133" t="n"/>
      <c r="G189" s="133" t="n"/>
      <c r="H189" s="50" t="n"/>
      <c r="I189" s="51">
        <f>IF($C189="","",IFERROR(INDEX(WorkerIDs,MATCH($C189,WorkerNames,0)),"?"))</f>
        <v/>
      </c>
      <c r="J189" s="253">
        <f>IF($B189="","",$B189-WEEKDAY($B189,2)+1)</f>
        <v/>
      </c>
      <c r="K189" s="142">
        <f>IF(OR($I189="",$I189="?",$D189&lt;&gt;"Advance",$B189=""),"",$I189&amp;"|"&amp;$J189&amp;"|"&amp;COUNTIFS($I$7:$I189,$I189,$J$7:$J189,$J189,$D$7:$D189,"Advance"))</f>
        <v/>
      </c>
      <c r="L189" s="266">
        <f>IF(OR($I189="",$I189="?",$B189=""),"",SUMPRODUCT((Weeks!$A$7:$A$59&lt;=$J189)*(Weeks!$X$5:$AI$5=$I189)*Weeks!$X$7:$AI$59)-SUMIFS($E$7:$E$1006,$I$7:$I$1006,$I189,$B$7:$B$1006,"&lt;="&amp;$B189))</f>
        <v/>
      </c>
      <c r="M189" s="132">
        <f>IF($B189&amp;$C189&amp;$D189&amp;$E189="","",IF($B189="","missing date",IF($C189="","missing worker",IF($I189="?","unknown worker - was the name changed on Workers?",IF($D189="","missing type",IF(N($E189)=0,"missing amount",IF(AND($E189&lt;0,$D189&lt;&gt;"Correction"),"negative amount - use a Correction to undo",IF(OR($B189&lt;Weeks!$A$7,$B189&gt;Weeks!$B$59),"date outside this workbook's year",IF(AND($D189="Advance",N($L189)&lt;0),"Warning: more than earned so far - worker now owes "&amp;TEXT(ROUND(-$L189,0),"#,##0"),"")))))))))</f>
        <v/>
      </c>
      <c r="N189" s="125" t="n"/>
      <c r="O189" s="126" t="n"/>
      <c r="P189" s="126" t="n"/>
      <c r="Q189" s="126" t="n"/>
      <c r="R189" s="126" t="n"/>
      <c r="S189" s="126" t="n"/>
      <c r="T189" s="126" t="n"/>
      <c r="U189" s="126" t="n"/>
      <c r="V189" s="126" t="n"/>
      <c r="W189" s="126" t="n"/>
      <c r="X189" s="126" t="n"/>
      <c r="Y189" s="126" t="n"/>
      <c r="Z189" s="126" t="n"/>
      <c r="AA189" s="126" t="n"/>
      <c r="AB189" s="126" t="n"/>
      <c r="AC189" s="126" t="n"/>
      <c r="AD189" s="126" t="n"/>
      <c r="AE189" s="126" t="n"/>
      <c r="AF189" s="126" t="n"/>
      <c r="AG189" s="126" t="n"/>
      <c r="AH189" s="126" t="n"/>
      <c r="AI189" s="126" t="n"/>
      <c r="AJ189" s="126" t="n"/>
      <c r="AK189" s="126" t="n"/>
      <c r="AL189" s="126" t="n"/>
      <c r="AM189" s="126" t="n"/>
      <c r="AN189" s="126" t="n"/>
    </row>
    <row r="190" ht="21" customFormat="1" customHeight="1" s="127">
      <c r="A190" s="51">
        <f>IF($B190="","",ROW()-6)</f>
        <v/>
      </c>
      <c r="B190" s="268" t="n"/>
      <c r="C190" s="133" t="n"/>
      <c r="D190" s="50" t="n"/>
      <c r="E190" s="265" t="n"/>
      <c r="F190" s="133" t="n"/>
      <c r="G190" s="133" t="n"/>
      <c r="H190" s="50" t="n"/>
      <c r="I190" s="51">
        <f>IF($C190="","",IFERROR(INDEX(WorkerIDs,MATCH($C190,WorkerNames,0)),"?"))</f>
        <v/>
      </c>
      <c r="J190" s="253">
        <f>IF($B190="","",$B190-WEEKDAY($B190,2)+1)</f>
        <v/>
      </c>
      <c r="K190" s="142">
        <f>IF(OR($I190="",$I190="?",$D190&lt;&gt;"Advance",$B190=""),"",$I190&amp;"|"&amp;$J190&amp;"|"&amp;COUNTIFS($I$7:$I190,$I190,$J$7:$J190,$J190,$D$7:$D190,"Advance"))</f>
        <v/>
      </c>
      <c r="L190" s="266">
        <f>IF(OR($I190="",$I190="?",$B190=""),"",SUMPRODUCT((Weeks!$A$7:$A$59&lt;=$J190)*(Weeks!$X$5:$AI$5=$I190)*Weeks!$X$7:$AI$59)-SUMIFS($E$7:$E$1006,$I$7:$I$1006,$I190,$B$7:$B$1006,"&lt;="&amp;$B190))</f>
        <v/>
      </c>
      <c r="M190" s="132">
        <f>IF($B190&amp;$C190&amp;$D190&amp;$E190="","",IF($B190="","missing date",IF($C190="","missing worker",IF($I190="?","unknown worker - was the name changed on Workers?",IF($D190="","missing type",IF(N($E190)=0,"missing amount",IF(AND($E190&lt;0,$D190&lt;&gt;"Correction"),"negative amount - use a Correction to undo",IF(OR($B190&lt;Weeks!$A$7,$B190&gt;Weeks!$B$59),"date outside this workbook's year",IF(AND($D190="Advance",N($L190)&lt;0),"Warning: more than earned so far - worker now owes "&amp;TEXT(ROUND(-$L190,0),"#,##0"),"")))))))))</f>
        <v/>
      </c>
      <c r="N190" s="125" t="n"/>
      <c r="O190" s="126" t="n"/>
      <c r="P190" s="126" t="n"/>
      <c r="Q190" s="126" t="n"/>
      <c r="R190" s="126" t="n"/>
      <c r="S190" s="126" t="n"/>
      <c r="T190" s="126" t="n"/>
      <c r="U190" s="126" t="n"/>
      <c r="V190" s="126" t="n"/>
      <c r="W190" s="126" t="n"/>
      <c r="X190" s="126" t="n"/>
      <c r="Y190" s="126" t="n"/>
      <c r="Z190" s="126" t="n"/>
      <c r="AA190" s="126" t="n"/>
      <c r="AB190" s="126" t="n"/>
      <c r="AC190" s="126" t="n"/>
      <c r="AD190" s="126" t="n"/>
      <c r="AE190" s="126" t="n"/>
      <c r="AF190" s="126" t="n"/>
      <c r="AG190" s="126" t="n"/>
      <c r="AH190" s="126" t="n"/>
      <c r="AI190" s="126" t="n"/>
      <c r="AJ190" s="126" t="n"/>
      <c r="AK190" s="126" t="n"/>
      <c r="AL190" s="126" t="n"/>
      <c r="AM190" s="126" t="n"/>
      <c r="AN190" s="126" t="n"/>
    </row>
    <row r="191" ht="21" customFormat="1" customHeight="1" s="127">
      <c r="A191" s="51">
        <f>IF($B191="","",ROW()-6)</f>
        <v/>
      </c>
      <c r="B191" s="268" t="n"/>
      <c r="C191" s="133" t="n"/>
      <c r="D191" s="50" t="n"/>
      <c r="E191" s="265" t="n"/>
      <c r="F191" s="133" t="n"/>
      <c r="G191" s="133" t="n"/>
      <c r="H191" s="50" t="n"/>
      <c r="I191" s="51">
        <f>IF($C191="","",IFERROR(INDEX(WorkerIDs,MATCH($C191,WorkerNames,0)),"?"))</f>
        <v/>
      </c>
      <c r="J191" s="253">
        <f>IF($B191="","",$B191-WEEKDAY($B191,2)+1)</f>
        <v/>
      </c>
      <c r="K191" s="142">
        <f>IF(OR($I191="",$I191="?",$D191&lt;&gt;"Advance",$B191=""),"",$I191&amp;"|"&amp;$J191&amp;"|"&amp;COUNTIFS($I$7:$I191,$I191,$J$7:$J191,$J191,$D$7:$D191,"Advance"))</f>
        <v/>
      </c>
      <c r="L191" s="266">
        <f>IF(OR($I191="",$I191="?",$B191=""),"",SUMPRODUCT((Weeks!$A$7:$A$59&lt;=$J191)*(Weeks!$X$5:$AI$5=$I191)*Weeks!$X$7:$AI$59)-SUMIFS($E$7:$E$1006,$I$7:$I$1006,$I191,$B$7:$B$1006,"&lt;="&amp;$B191))</f>
        <v/>
      </c>
      <c r="M191" s="132">
        <f>IF($B191&amp;$C191&amp;$D191&amp;$E191="","",IF($B191="","missing date",IF($C191="","missing worker",IF($I191="?","unknown worker - was the name changed on Workers?",IF($D191="","missing type",IF(N($E191)=0,"missing amount",IF(AND($E191&lt;0,$D191&lt;&gt;"Correction"),"negative amount - use a Correction to undo",IF(OR($B191&lt;Weeks!$A$7,$B191&gt;Weeks!$B$59),"date outside this workbook's year",IF(AND($D191="Advance",N($L191)&lt;0),"Warning: more than earned so far - worker now owes "&amp;TEXT(ROUND(-$L191,0),"#,##0"),"")))))))))</f>
        <v/>
      </c>
      <c r="N191" s="125" t="n"/>
      <c r="O191" s="126" t="n"/>
      <c r="P191" s="126" t="n"/>
      <c r="Q191" s="126" t="n"/>
      <c r="R191" s="126" t="n"/>
      <c r="S191" s="126" t="n"/>
      <c r="T191" s="126" t="n"/>
      <c r="U191" s="126" t="n"/>
      <c r="V191" s="126" t="n"/>
      <c r="W191" s="126" t="n"/>
      <c r="X191" s="126" t="n"/>
      <c r="Y191" s="126" t="n"/>
      <c r="Z191" s="126" t="n"/>
      <c r="AA191" s="126" t="n"/>
      <c r="AB191" s="126" t="n"/>
      <c r="AC191" s="126" t="n"/>
      <c r="AD191" s="126" t="n"/>
      <c r="AE191" s="126" t="n"/>
      <c r="AF191" s="126" t="n"/>
      <c r="AG191" s="126" t="n"/>
      <c r="AH191" s="126" t="n"/>
      <c r="AI191" s="126" t="n"/>
      <c r="AJ191" s="126" t="n"/>
      <c r="AK191" s="126" t="n"/>
      <c r="AL191" s="126" t="n"/>
      <c r="AM191" s="126" t="n"/>
      <c r="AN191" s="126" t="n"/>
    </row>
    <row r="192" ht="21" customFormat="1" customHeight="1" s="127">
      <c r="A192" s="51">
        <f>IF($B192="","",ROW()-6)</f>
        <v/>
      </c>
      <c r="B192" s="268" t="n"/>
      <c r="C192" s="133" t="n"/>
      <c r="D192" s="50" t="n"/>
      <c r="E192" s="265" t="n"/>
      <c r="F192" s="133" t="n"/>
      <c r="G192" s="133" t="n"/>
      <c r="H192" s="50" t="n"/>
      <c r="I192" s="51">
        <f>IF($C192="","",IFERROR(INDEX(WorkerIDs,MATCH($C192,WorkerNames,0)),"?"))</f>
        <v/>
      </c>
      <c r="J192" s="253">
        <f>IF($B192="","",$B192-WEEKDAY($B192,2)+1)</f>
        <v/>
      </c>
      <c r="K192" s="142">
        <f>IF(OR($I192="",$I192="?",$D192&lt;&gt;"Advance",$B192=""),"",$I192&amp;"|"&amp;$J192&amp;"|"&amp;COUNTIFS($I$7:$I192,$I192,$J$7:$J192,$J192,$D$7:$D192,"Advance"))</f>
        <v/>
      </c>
      <c r="L192" s="266">
        <f>IF(OR($I192="",$I192="?",$B192=""),"",SUMPRODUCT((Weeks!$A$7:$A$59&lt;=$J192)*(Weeks!$X$5:$AI$5=$I192)*Weeks!$X$7:$AI$59)-SUMIFS($E$7:$E$1006,$I$7:$I$1006,$I192,$B$7:$B$1006,"&lt;="&amp;$B192))</f>
        <v/>
      </c>
      <c r="M192" s="132">
        <f>IF($B192&amp;$C192&amp;$D192&amp;$E192="","",IF($B192="","missing date",IF($C192="","missing worker",IF($I192="?","unknown worker - was the name changed on Workers?",IF($D192="","missing type",IF(N($E192)=0,"missing amount",IF(AND($E192&lt;0,$D192&lt;&gt;"Correction"),"negative amount - use a Correction to undo",IF(OR($B192&lt;Weeks!$A$7,$B192&gt;Weeks!$B$59),"date outside this workbook's year",IF(AND($D192="Advance",N($L192)&lt;0),"Warning: more than earned so far - worker now owes "&amp;TEXT(ROUND(-$L192,0),"#,##0"),"")))))))))</f>
        <v/>
      </c>
      <c r="N192" s="125" t="n"/>
      <c r="O192" s="126" t="n"/>
      <c r="P192" s="126" t="n"/>
      <c r="Q192" s="126" t="n"/>
      <c r="R192" s="126" t="n"/>
      <c r="S192" s="126" t="n"/>
      <c r="T192" s="126" t="n"/>
      <c r="U192" s="126" t="n"/>
      <c r="V192" s="126" t="n"/>
      <c r="W192" s="126" t="n"/>
      <c r="X192" s="126" t="n"/>
      <c r="Y192" s="126" t="n"/>
      <c r="Z192" s="126" t="n"/>
      <c r="AA192" s="126" t="n"/>
      <c r="AB192" s="126" t="n"/>
      <c r="AC192" s="126" t="n"/>
      <c r="AD192" s="126" t="n"/>
      <c r="AE192" s="126" t="n"/>
      <c r="AF192" s="126" t="n"/>
      <c r="AG192" s="126" t="n"/>
      <c r="AH192" s="126" t="n"/>
      <c r="AI192" s="126" t="n"/>
      <c r="AJ192" s="126" t="n"/>
      <c r="AK192" s="126" t="n"/>
      <c r="AL192" s="126" t="n"/>
      <c r="AM192" s="126" t="n"/>
      <c r="AN192" s="126" t="n"/>
    </row>
    <row r="193" ht="21" customFormat="1" customHeight="1" s="127">
      <c r="A193" s="51">
        <f>IF($B193="","",ROW()-6)</f>
        <v/>
      </c>
      <c r="B193" s="268" t="n"/>
      <c r="C193" s="133" t="n"/>
      <c r="D193" s="50" t="n"/>
      <c r="E193" s="265" t="n"/>
      <c r="F193" s="133" t="n"/>
      <c r="G193" s="133" t="n"/>
      <c r="H193" s="50" t="n"/>
      <c r="I193" s="51">
        <f>IF($C193="","",IFERROR(INDEX(WorkerIDs,MATCH($C193,WorkerNames,0)),"?"))</f>
        <v/>
      </c>
      <c r="J193" s="253">
        <f>IF($B193="","",$B193-WEEKDAY($B193,2)+1)</f>
        <v/>
      </c>
      <c r="K193" s="142">
        <f>IF(OR($I193="",$I193="?",$D193&lt;&gt;"Advance",$B193=""),"",$I193&amp;"|"&amp;$J193&amp;"|"&amp;COUNTIFS($I$7:$I193,$I193,$J$7:$J193,$J193,$D$7:$D193,"Advance"))</f>
        <v/>
      </c>
      <c r="L193" s="266">
        <f>IF(OR($I193="",$I193="?",$B193=""),"",SUMPRODUCT((Weeks!$A$7:$A$59&lt;=$J193)*(Weeks!$X$5:$AI$5=$I193)*Weeks!$X$7:$AI$59)-SUMIFS($E$7:$E$1006,$I$7:$I$1006,$I193,$B$7:$B$1006,"&lt;="&amp;$B193))</f>
        <v/>
      </c>
      <c r="M193" s="132">
        <f>IF($B193&amp;$C193&amp;$D193&amp;$E193="","",IF($B193="","missing date",IF($C193="","missing worker",IF($I193="?","unknown worker - was the name changed on Workers?",IF($D193="","missing type",IF(N($E193)=0,"missing amount",IF(AND($E193&lt;0,$D193&lt;&gt;"Correction"),"negative amount - use a Correction to undo",IF(OR($B193&lt;Weeks!$A$7,$B193&gt;Weeks!$B$59),"date outside this workbook's year",IF(AND($D193="Advance",N($L193)&lt;0),"Warning: more than earned so far - worker now owes "&amp;TEXT(ROUND(-$L193,0),"#,##0"),"")))))))))</f>
        <v/>
      </c>
      <c r="N193" s="125" t="n"/>
      <c r="O193" s="126" t="n"/>
      <c r="P193" s="126" t="n"/>
      <c r="Q193" s="126" t="n"/>
      <c r="R193" s="126" t="n"/>
      <c r="S193" s="126" t="n"/>
      <c r="T193" s="126" t="n"/>
      <c r="U193" s="126" t="n"/>
      <c r="V193" s="126" t="n"/>
      <c r="W193" s="126" t="n"/>
      <c r="X193" s="126" t="n"/>
      <c r="Y193" s="126" t="n"/>
      <c r="Z193" s="126" t="n"/>
      <c r="AA193" s="126" t="n"/>
      <c r="AB193" s="126" t="n"/>
      <c r="AC193" s="126" t="n"/>
      <c r="AD193" s="126" t="n"/>
      <c r="AE193" s="126" t="n"/>
      <c r="AF193" s="126" t="n"/>
      <c r="AG193" s="126" t="n"/>
      <c r="AH193" s="126" t="n"/>
      <c r="AI193" s="126" t="n"/>
      <c r="AJ193" s="126" t="n"/>
      <c r="AK193" s="126" t="n"/>
      <c r="AL193" s="126" t="n"/>
      <c r="AM193" s="126" t="n"/>
      <c r="AN193" s="126" t="n"/>
    </row>
    <row r="194" ht="21" customFormat="1" customHeight="1" s="127">
      <c r="A194" s="51">
        <f>IF($B194="","",ROW()-6)</f>
        <v/>
      </c>
      <c r="B194" s="268" t="n"/>
      <c r="C194" s="133" t="n"/>
      <c r="D194" s="50" t="n"/>
      <c r="E194" s="265" t="n"/>
      <c r="F194" s="133" t="n"/>
      <c r="G194" s="133" t="n"/>
      <c r="H194" s="50" t="n"/>
      <c r="I194" s="51">
        <f>IF($C194="","",IFERROR(INDEX(WorkerIDs,MATCH($C194,WorkerNames,0)),"?"))</f>
        <v/>
      </c>
      <c r="J194" s="253">
        <f>IF($B194="","",$B194-WEEKDAY($B194,2)+1)</f>
        <v/>
      </c>
      <c r="K194" s="142">
        <f>IF(OR($I194="",$I194="?",$D194&lt;&gt;"Advance",$B194=""),"",$I194&amp;"|"&amp;$J194&amp;"|"&amp;COUNTIFS($I$7:$I194,$I194,$J$7:$J194,$J194,$D$7:$D194,"Advance"))</f>
        <v/>
      </c>
      <c r="L194" s="266">
        <f>IF(OR($I194="",$I194="?",$B194=""),"",SUMPRODUCT((Weeks!$A$7:$A$59&lt;=$J194)*(Weeks!$X$5:$AI$5=$I194)*Weeks!$X$7:$AI$59)-SUMIFS($E$7:$E$1006,$I$7:$I$1006,$I194,$B$7:$B$1006,"&lt;="&amp;$B194))</f>
        <v/>
      </c>
      <c r="M194" s="132">
        <f>IF($B194&amp;$C194&amp;$D194&amp;$E194="","",IF($B194="","missing date",IF($C194="","missing worker",IF($I194="?","unknown worker - was the name changed on Workers?",IF($D194="","missing type",IF(N($E194)=0,"missing amount",IF(AND($E194&lt;0,$D194&lt;&gt;"Correction"),"negative amount - use a Correction to undo",IF(OR($B194&lt;Weeks!$A$7,$B194&gt;Weeks!$B$59),"date outside this workbook's year",IF(AND($D194="Advance",N($L194)&lt;0),"Warning: more than earned so far - worker now owes "&amp;TEXT(ROUND(-$L194,0),"#,##0"),"")))))))))</f>
        <v/>
      </c>
      <c r="N194" s="125" t="n"/>
      <c r="O194" s="126" t="n"/>
      <c r="P194" s="126" t="n"/>
      <c r="Q194" s="126" t="n"/>
      <c r="R194" s="126" t="n"/>
      <c r="S194" s="126" t="n"/>
      <c r="T194" s="126" t="n"/>
      <c r="U194" s="126" t="n"/>
      <c r="V194" s="126" t="n"/>
      <c r="W194" s="126" t="n"/>
      <c r="X194" s="126" t="n"/>
      <c r="Y194" s="126" t="n"/>
      <c r="Z194" s="126" t="n"/>
      <c r="AA194" s="126" t="n"/>
      <c r="AB194" s="126" t="n"/>
      <c r="AC194" s="126" t="n"/>
      <c r="AD194" s="126" t="n"/>
      <c r="AE194" s="126" t="n"/>
      <c r="AF194" s="126" t="n"/>
      <c r="AG194" s="126" t="n"/>
      <c r="AH194" s="126" t="n"/>
      <c r="AI194" s="126" t="n"/>
      <c r="AJ194" s="126" t="n"/>
      <c r="AK194" s="126" t="n"/>
      <c r="AL194" s="126" t="n"/>
      <c r="AM194" s="126" t="n"/>
      <c r="AN194" s="126" t="n"/>
    </row>
    <row r="195" ht="21" customFormat="1" customHeight="1" s="127">
      <c r="A195" s="51">
        <f>IF($B195="","",ROW()-6)</f>
        <v/>
      </c>
      <c r="B195" s="268" t="n"/>
      <c r="C195" s="133" t="n"/>
      <c r="D195" s="50" t="n"/>
      <c r="E195" s="265" t="n"/>
      <c r="F195" s="133" t="n"/>
      <c r="G195" s="133" t="n"/>
      <c r="H195" s="50" t="n"/>
      <c r="I195" s="51">
        <f>IF($C195="","",IFERROR(INDEX(WorkerIDs,MATCH($C195,WorkerNames,0)),"?"))</f>
        <v/>
      </c>
      <c r="J195" s="253">
        <f>IF($B195="","",$B195-WEEKDAY($B195,2)+1)</f>
        <v/>
      </c>
      <c r="K195" s="142">
        <f>IF(OR($I195="",$I195="?",$D195&lt;&gt;"Advance",$B195=""),"",$I195&amp;"|"&amp;$J195&amp;"|"&amp;COUNTIFS($I$7:$I195,$I195,$J$7:$J195,$J195,$D$7:$D195,"Advance"))</f>
        <v/>
      </c>
      <c r="L195" s="266">
        <f>IF(OR($I195="",$I195="?",$B195=""),"",SUMPRODUCT((Weeks!$A$7:$A$59&lt;=$J195)*(Weeks!$X$5:$AI$5=$I195)*Weeks!$X$7:$AI$59)-SUMIFS($E$7:$E$1006,$I$7:$I$1006,$I195,$B$7:$B$1006,"&lt;="&amp;$B195))</f>
        <v/>
      </c>
      <c r="M195" s="132">
        <f>IF($B195&amp;$C195&amp;$D195&amp;$E195="","",IF($B195="","missing date",IF($C195="","missing worker",IF($I195="?","unknown worker - was the name changed on Workers?",IF($D195="","missing type",IF(N($E195)=0,"missing amount",IF(AND($E195&lt;0,$D195&lt;&gt;"Correction"),"negative amount - use a Correction to undo",IF(OR($B195&lt;Weeks!$A$7,$B195&gt;Weeks!$B$59),"date outside this workbook's year",IF(AND($D195="Advance",N($L195)&lt;0),"Warning: more than earned so far - worker now owes "&amp;TEXT(ROUND(-$L195,0),"#,##0"),"")))))))))</f>
        <v/>
      </c>
      <c r="N195" s="125" t="n"/>
      <c r="O195" s="126" t="n"/>
      <c r="P195" s="126" t="n"/>
      <c r="Q195" s="126" t="n"/>
      <c r="R195" s="126" t="n"/>
      <c r="S195" s="126" t="n"/>
      <c r="T195" s="126" t="n"/>
      <c r="U195" s="126" t="n"/>
      <c r="V195" s="126" t="n"/>
      <c r="W195" s="126" t="n"/>
      <c r="X195" s="126" t="n"/>
      <c r="Y195" s="126" t="n"/>
      <c r="Z195" s="126" t="n"/>
      <c r="AA195" s="126" t="n"/>
      <c r="AB195" s="126" t="n"/>
      <c r="AC195" s="126" t="n"/>
      <c r="AD195" s="126" t="n"/>
      <c r="AE195" s="126" t="n"/>
      <c r="AF195" s="126" t="n"/>
      <c r="AG195" s="126" t="n"/>
      <c r="AH195" s="126" t="n"/>
      <c r="AI195" s="126" t="n"/>
      <c r="AJ195" s="126" t="n"/>
      <c r="AK195" s="126" t="n"/>
      <c r="AL195" s="126" t="n"/>
      <c r="AM195" s="126" t="n"/>
      <c r="AN195" s="126" t="n"/>
    </row>
    <row r="196" ht="21" customFormat="1" customHeight="1" s="127">
      <c r="A196" s="51">
        <f>IF($B196="","",ROW()-6)</f>
        <v/>
      </c>
      <c r="B196" s="268" t="n"/>
      <c r="C196" s="133" t="n"/>
      <c r="D196" s="50" t="n"/>
      <c r="E196" s="265" t="n"/>
      <c r="F196" s="133" t="n"/>
      <c r="G196" s="133" t="n"/>
      <c r="H196" s="50" t="n"/>
      <c r="I196" s="51">
        <f>IF($C196="","",IFERROR(INDEX(WorkerIDs,MATCH($C196,WorkerNames,0)),"?"))</f>
        <v/>
      </c>
      <c r="J196" s="253">
        <f>IF($B196="","",$B196-WEEKDAY($B196,2)+1)</f>
        <v/>
      </c>
      <c r="K196" s="142">
        <f>IF(OR($I196="",$I196="?",$D196&lt;&gt;"Advance",$B196=""),"",$I196&amp;"|"&amp;$J196&amp;"|"&amp;COUNTIFS($I$7:$I196,$I196,$J$7:$J196,$J196,$D$7:$D196,"Advance"))</f>
        <v/>
      </c>
      <c r="L196" s="266">
        <f>IF(OR($I196="",$I196="?",$B196=""),"",SUMPRODUCT((Weeks!$A$7:$A$59&lt;=$J196)*(Weeks!$X$5:$AI$5=$I196)*Weeks!$X$7:$AI$59)-SUMIFS($E$7:$E$1006,$I$7:$I$1006,$I196,$B$7:$B$1006,"&lt;="&amp;$B196))</f>
        <v/>
      </c>
      <c r="M196" s="132">
        <f>IF($B196&amp;$C196&amp;$D196&amp;$E196="","",IF($B196="","missing date",IF($C196="","missing worker",IF($I196="?","unknown worker - was the name changed on Workers?",IF($D196="","missing type",IF(N($E196)=0,"missing amount",IF(AND($E196&lt;0,$D196&lt;&gt;"Correction"),"negative amount - use a Correction to undo",IF(OR($B196&lt;Weeks!$A$7,$B196&gt;Weeks!$B$59),"date outside this workbook's year",IF(AND($D196="Advance",N($L196)&lt;0),"Warning: more than earned so far - worker now owes "&amp;TEXT(ROUND(-$L196,0),"#,##0"),"")))))))))</f>
        <v/>
      </c>
      <c r="N196" s="125" t="n"/>
      <c r="O196" s="126" t="n"/>
      <c r="P196" s="126" t="n"/>
      <c r="Q196" s="126" t="n"/>
      <c r="R196" s="126" t="n"/>
      <c r="S196" s="126" t="n"/>
      <c r="T196" s="126" t="n"/>
      <c r="U196" s="126" t="n"/>
      <c r="V196" s="126" t="n"/>
      <c r="W196" s="126" t="n"/>
      <c r="X196" s="126" t="n"/>
      <c r="Y196" s="126" t="n"/>
      <c r="Z196" s="126" t="n"/>
      <c r="AA196" s="126" t="n"/>
      <c r="AB196" s="126" t="n"/>
      <c r="AC196" s="126" t="n"/>
      <c r="AD196" s="126" t="n"/>
      <c r="AE196" s="126" t="n"/>
      <c r="AF196" s="126" t="n"/>
      <c r="AG196" s="126" t="n"/>
      <c r="AH196" s="126" t="n"/>
      <c r="AI196" s="126" t="n"/>
      <c r="AJ196" s="126" t="n"/>
      <c r="AK196" s="126" t="n"/>
      <c r="AL196" s="126" t="n"/>
      <c r="AM196" s="126" t="n"/>
      <c r="AN196" s="126" t="n"/>
    </row>
    <row r="197" ht="21" customFormat="1" customHeight="1" s="127">
      <c r="A197" s="51">
        <f>IF($B197="","",ROW()-6)</f>
        <v/>
      </c>
      <c r="B197" s="268" t="n"/>
      <c r="C197" s="133" t="n"/>
      <c r="D197" s="50" t="n"/>
      <c r="E197" s="265" t="n"/>
      <c r="F197" s="133" t="n"/>
      <c r="G197" s="133" t="n"/>
      <c r="H197" s="50" t="n"/>
      <c r="I197" s="51">
        <f>IF($C197="","",IFERROR(INDEX(WorkerIDs,MATCH($C197,WorkerNames,0)),"?"))</f>
        <v/>
      </c>
      <c r="J197" s="253">
        <f>IF($B197="","",$B197-WEEKDAY($B197,2)+1)</f>
        <v/>
      </c>
      <c r="K197" s="142">
        <f>IF(OR($I197="",$I197="?",$D197&lt;&gt;"Advance",$B197=""),"",$I197&amp;"|"&amp;$J197&amp;"|"&amp;COUNTIFS($I$7:$I197,$I197,$J$7:$J197,$J197,$D$7:$D197,"Advance"))</f>
        <v/>
      </c>
      <c r="L197" s="266">
        <f>IF(OR($I197="",$I197="?",$B197=""),"",SUMPRODUCT((Weeks!$A$7:$A$59&lt;=$J197)*(Weeks!$X$5:$AI$5=$I197)*Weeks!$X$7:$AI$59)-SUMIFS($E$7:$E$1006,$I$7:$I$1006,$I197,$B$7:$B$1006,"&lt;="&amp;$B197))</f>
        <v/>
      </c>
      <c r="M197" s="132">
        <f>IF($B197&amp;$C197&amp;$D197&amp;$E197="","",IF($B197="","missing date",IF($C197="","missing worker",IF($I197="?","unknown worker - was the name changed on Workers?",IF($D197="","missing type",IF(N($E197)=0,"missing amount",IF(AND($E197&lt;0,$D197&lt;&gt;"Correction"),"negative amount - use a Correction to undo",IF(OR($B197&lt;Weeks!$A$7,$B197&gt;Weeks!$B$59),"date outside this workbook's year",IF(AND($D197="Advance",N($L197)&lt;0),"Warning: more than earned so far - worker now owes "&amp;TEXT(ROUND(-$L197,0),"#,##0"),"")))))))))</f>
        <v/>
      </c>
      <c r="N197" s="125" t="n"/>
      <c r="O197" s="126" t="n"/>
      <c r="P197" s="126" t="n"/>
      <c r="Q197" s="126" t="n"/>
      <c r="R197" s="126" t="n"/>
      <c r="S197" s="126" t="n"/>
      <c r="T197" s="126" t="n"/>
      <c r="U197" s="126" t="n"/>
      <c r="V197" s="126" t="n"/>
      <c r="W197" s="126" t="n"/>
      <c r="X197" s="126" t="n"/>
      <c r="Y197" s="126" t="n"/>
      <c r="Z197" s="126" t="n"/>
      <c r="AA197" s="126" t="n"/>
      <c r="AB197" s="126" t="n"/>
      <c r="AC197" s="126" t="n"/>
      <c r="AD197" s="126" t="n"/>
      <c r="AE197" s="126" t="n"/>
      <c r="AF197" s="126" t="n"/>
      <c r="AG197" s="126" t="n"/>
      <c r="AH197" s="126" t="n"/>
      <c r="AI197" s="126" t="n"/>
      <c r="AJ197" s="126" t="n"/>
      <c r="AK197" s="126" t="n"/>
      <c r="AL197" s="126" t="n"/>
      <c r="AM197" s="126" t="n"/>
      <c r="AN197" s="126" t="n"/>
    </row>
    <row r="198" ht="21" customFormat="1" customHeight="1" s="127">
      <c r="A198" s="51">
        <f>IF($B198="","",ROW()-6)</f>
        <v/>
      </c>
      <c r="B198" s="268" t="n"/>
      <c r="C198" s="133" t="n"/>
      <c r="D198" s="50" t="n"/>
      <c r="E198" s="265" t="n"/>
      <c r="F198" s="133" t="n"/>
      <c r="G198" s="133" t="n"/>
      <c r="H198" s="50" t="n"/>
      <c r="I198" s="51">
        <f>IF($C198="","",IFERROR(INDEX(WorkerIDs,MATCH($C198,WorkerNames,0)),"?"))</f>
        <v/>
      </c>
      <c r="J198" s="253">
        <f>IF($B198="","",$B198-WEEKDAY($B198,2)+1)</f>
        <v/>
      </c>
      <c r="K198" s="142">
        <f>IF(OR($I198="",$I198="?",$D198&lt;&gt;"Advance",$B198=""),"",$I198&amp;"|"&amp;$J198&amp;"|"&amp;COUNTIFS($I$7:$I198,$I198,$J$7:$J198,$J198,$D$7:$D198,"Advance"))</f>
        <v/>
      </c>
      <c r="L198" s="266">
        <f>IF(OR($I198="",$I198="?",$B198=""),"",SUMPRODUCT((Weeks!$A$7:$A$59&lt;=$J198)*(Weeks!$X$5:$AI$5=$I198)*Weeks!$X$7:$AI$59)-SUMIFS($E$7:$E$1006,$I$7:$I$1006,$I198,$B$7:$B$1006,"&lt;="&amp;$B198))</f>
        <v/>
      </c>
      <c r="M198" s="132">
        <f>IF($B198&amp;$C198&amp;$D198&amp;$E198="","",IF($B198="","missing date",IF($C198="","missing worker",IF($I198="?","unknown worker - was the name changed on Workers?",IF($D198="","missing type",IF(N($E198)=0,"missing amount",IF(AND($E198&lt;0,$D198&lt;&gt;"Correction"),"negative amount - use a Correction to undo",IF(OR($B198&lt;Weeks!$A$7,$B198&gt;Weeks!$B$59),"date outside this workbook's year",IF(AND($D198="Advance",N($L198)&lt;0),"Warning: more than earned so far - worker now owes "&amp;TEXT(ROUND(-$L198,0),"#,##0"),"")))))))))</f>
        <v/>
      </c>
      <c r="N198" s="125" t="n"/>
      <c r="O198" s="126" t="n"/>
      <c r="P198" s="126" t="n"/>
      <c r="Q198" s="126" t="n"/>
      <c r="R198" s="126" t="n"/>
      <c r="S198" s="126" t="n"/>
      <c r="T198" s="126" t="n"/>
      <c r="U198" s="126" t="n"/>
      <c r="V198" s="126" t="n"/>
      <c r="W198" s="126" t="n"/>
      <c r="X198" s="126" t="n"/>
      <c r="Y198" s="126" t="n"/>
      <c r="Z198" s="126" t="n"/>
      <c r="AA198" s="126" t="n"/>
      <c r="AB198" s="126" t="n"/>
      <c r="AC198" s="126" t="n"/>
      <c r="AD198" s="126" t="n"/>
      <c r="AE198" s="126" t="n"/>
      <c r="AF198" s="126" t="n"/>
      <c r="AG198" s="126" t="n"/>
      <c r="AH198" s="126" t="n"/>
      <c r="AI198" s="126" t="n"/>
      <c r="AJ198" s="126" t="n"/>
      <c r="AK198" s="126" t="n"/>
      <c r="AL198" s="126" t="n"/>
      <c r="AM198" s="126" t="n"/>
      <c r="AN198" s="126" t="n"/>
    </row>
    <row r="199" ht="21" customFormat="1" customHeight="1" s="127">
      <c r="A199" s="51">
        <f>IF($B199="","",ROW()-6)</f>
        <v/>
      </c>
      <c r="B199" s="268" t="n"/>
      <c r="C199" s="133" t="n"/>
      <c r="D199" s="50" t="n"/>
      <c r="E199" s="265" t="n"/>
      <c r="F199" s="133" t="n"/>
      <c r="G199" s="133" t="n"/>
      <c r="H199" s="50" t="n"/>
      <c r="I199" s="51">
        <f>IF($C199="","",IFERROR(INDEX(WorkerIDs,MATCH($C199,WorkerNames,0)),"?"))</f>
        <v/>
      </c>
      <c r="J199" s="253">
        <f>IF($B199="","",$B199-WEEKDAY($B199,2)+1)</f>
        <v/>
      </c>
      <c r="K199" s="142">
        <f>IF(OR($I199="",$I199="?",$D199&lt;&gt;"Advance",$B199=""),"",$I199&amp;"|"&amp;$J199&amp;"|"&amp;COUNTIFS($I$7:$I199,$I199,$J$7:$J199,$J199,$D$7:$D199,"Advance"))</f>
        <v/>
      </c>
      <c r="L199" s="266">
        <f>IF(OR($I199="",$I199="?",$B199=""),"",SUMPRODUCT((Weeks!$A$7:$A$59&lt;=$J199)*(Weeks!$X$5:$AI$5=$I199)*Weeks!$X$7:$AI$59)-SUMIFS($E$7:$E$1006,$I$7:$I$1006,$I199,$B$7:$B$1006,"&lt;="&amp;$B199))</f>
        <v/>
      </c>
      <c r="M199" s="132">
        <f>IF($B199&amp;$C199&amp;$D199&amp;$E199="","",IF($B199="","missing date",IF($C199="","missing worker",IF($I199="?","unknown worker - was the name changed on Workers?",IF($D199="","missing type",IF(N($E199)=0,"missing amount",IF(AND($E199&lt;0,$D199&lt;&gt;"Correction"),"negative amount - use a Correction to undo",IF(OR($B199&lt;Weeks!$A$7,$B199&gt;Weeks!$B$59),"date outside this workbook's year",IF(AND($D199="Advance",N($L199)&lt;0),"Warning: more than earned so far - worker now owes "&amp;TEXT(ROUND(-$L199,0),"#,##0"),"")))))))))</f>
        <v/>
      </c>
      <c r="N199" s="125" t="n"/>
      <c r="O199" s="126" t="n"/>
      <c r="P199" s="126" t="n"/>
      <c r="Q199" s="126" t="n"/>
      <c r="R199" s="126" t="n"/>
      <c r="S199" s="126" t="n"/>
      <c r="T199" s="126" t="n"/>
      <c r="U199" s="126" t="n"/>
      <c r="V199" s="126" t="n"/>
      <c r="W199" s="126" t="n"/>
      <c r="X199" s="126" t="n"/>
      <c r="Y199" s="126" t="n"/>
      <c r="Z199" s="126" t="n"/>
      <c r="AA199" s="126" t="n"/>
      <c r="AB199" s="126" t="n"/>
      <c r="AC199" s="126" t="n"/>
      <c r="AD199" s="126" t="n"/>
      <c r="AE199" s="126" t="n"/>
      <c r="AF199" s="126" t="n"/>
      <c r="AG199" s="126" t="n"/>
      <c r="AH199" s="126" t="n"/>
      <c r="AI199" s="126" t="n"/>
      <c r="AJ199" s="126" t="n"/>
      <c r="AK199" s="126" t="n"/>
      <c r="AL199" s="126" t="n"/>
      <c r="AM199" s="126" t="n"/>
      <c r="AN199" s="126" t="n"/>
    </row>
    <row r="200" ht="21" customFormat="1" customHeight="1" s="127">
      <c r="A200" s="51">
        <f>IF($B200="","",ROW()-6)</f>
        <v/>
      </c>
      <c r="B200" s="268" t="n"/>
      <c r="C200" s="133" t="n"/>
      <c r="D200" s="50" t="n"/>
      <c r="E200" s="265" t="n"/>
      <c r="F200" s="133" t="n"/>
      <c r="G200" s="133" t="n"/>
      <c r="H200" s="50" t="n"/>
      <c r="I200" s="51">
        <f>IF($C200="","",IFERROR(INDEX(WorkerIDs,MATCH($C200,WorkerNames,0)),"?"))</f>
        <v/>
      </c>
      <c r="J200" s="253">
        <f>IF($B200="","",$B200-WEEKDAY($B200,2)+1)</f>
        <v/>
      </c>
      <c r="K200" s="142">
        <f>IF(OR($I200="",$I200="?",$D200&lt;&gt;"Advance",$B200=""),"",$I200&amp;"|"&amp;$J200&amp;"|"&amp;COUNTIFS($I$7:$I200,$I200,$J$7:$J200,$J200,$D$7:$D200,"Advance"))</f>
        <v/>
      </c>
      <c r="L200" s="266">
        <f>IF(OR($I200="",$I200="?",$B200=""),"",SUMPRODUCT((Weeks!$A$7:$A$59&lt;=$J200)*(Weeks!$X$5:$AI$5=$I200)*Weeks!$X$7:$AI$59)-SUMIFS($E$7:$E$1006,$I$7:$I$1006,$I200,$B$7:$B$1006,"&lt;="&amp;$B200))</f>
        <v/>
      </c>
      <c r="M200" s="132">
        <f>IF($B200&amp;$C200&amp;$D200&amp;$E200="","",IF($B200="","missing date",IF($C200="","missing worker",IF($I200="?","unknown worker - was the name changed on Workers?",IF($D200="","missing type",IF(N($E200)=0,"missing amount",IF(AND($E200&lt;0,$D200&lt;&gt;"Correction"),"negative amount - use a Correction to undo",IF(OR($B200&lt;Weeks!$A$7,$B200&gt;Weeks!$B$59),"date outside this workbook's year",IF(AND($D200="Advance",N($L200)&lt;0),"Warning: more than earned so far - worker now owes "&amp;TEXT(ROUND(-$L200,0),"#,##0"),"")))))))))</f>
        <v/>
      </c>
      <c r="N200" s="125" t="n"/>
      <c r="O200" s="126" t="n"/>
      <c r="P200" s="126" t="n"/>
      <c r="Q200" s="126" t="n"/>
      <c r="R200" s="126" t="n"/>
      <c r="S200" s="126" t="n"/>
      <c r="T200" s="126" t="n"/>
      <c r="U200" s="126" t="n"/>
      <c r="V200" s="126" t="n"/>
      <c r="W200" s="126" t="n"/>
      <c r="X200" s="126" t="n"/>
      <c r="Y200" s="126" t="n"/>
      <c r="Z200" s="126" t="n"/>
      <c r="AA200" s="126" t="n"/>
      <c r="AB200" s="126" t="n"/>
      <c r="AC200" s="126" t="n"/>
      <c r="AD200" s="126" t="n"/>
      <c r="AE200" s="126" t="n"/>
      <c r="AF200" s="126" t="n"/>
      <c r="AG200" s="126" t="n"/>
      <c r="AH200" s="126" t="n"/>
      <c r="AI200" s="126" t="n"/>
      <c r="AJ200" s="126" t="n"/>
      <c r="AK200" s="126" t="n"/>
      <c r="AL200" s="126" t="n"/>
      <c r="AM200" s="126" t="n"/>
      <c r="AN200" s="126" t="n"/>
    </row>
    <row r="201" ht="21" customFormat="1" customHeight="1" s="127">
      <c r="A201" s="51">
        <f>IF($B201="","",ROW()-6)</f>
        <v/>
      </c>
      <c r="B201" s="268" t="n"/>
      <c r="C201" s="133" t="n"/>
      <c r="D201" s="50" t="n"/>
      <c r="E201" s="265" t="n"/>
      <c r="F201" s="133" t="n"/>
      <c r="G201" s="133" t="n"/>
      <c r="H201" s="50" t="n"/>
      <c r="I201" s="51">
        <f>IF($C201="","",IFERROR(INDEX(WorkerIDs,MATCH($C201,WorkerNames,0)),"?"))</f>
        <v/>
      </c>
      <c r="J201" s="253">
        <f>IF($B201="","",$B201-WEEKDAY($B201,2)+1)</f>
        <v/>
      </c>
      <c r="K201" s="142">
        <f>IF(OR($I201="",$I201="?",$D201&lt;&gt;"Advance",$B201=""),"",$I201&amp;"|"&amp;$J201&amp;"|"&amp;COUNTIFS($I$7:$I201,$I201,$J$7:$J201,$J201,$D$7:$D201,"Advance"))</f>
        <v/>
      </c>
      <c r="L201" s="266">
        <f>IF(OR($I201="",$I201="?",$B201=""),"",SUMPRODUCT((Weeks!$A$7:$A$59&lt;=$J201)*(Weeks!$X$5:$AI$5=$I201)*Weeks!$X$7:$AI$59)-SUMIFS($E$7:$E$1006,$I$7:$I$1006,$I201,$B$7:$B$1006,"&lt;="&amp;$B201))</f>
        <v/>
      </c>
      <c r="M201" s="132">
        <f>IF($B201&amp;$C201&amp;$D201&amp;$E201="","",IF($B201="","missing date",IF($C201="","missing worker",IF($I201="?","unknown worker - was the name changed on Workers?",IF($D201="","missing type",IF(N($E201)=0,"missing amount",IF(AND($E201&lt;0,$D201&lt;&gt;"Correction"),"negative amount - use a Correction to undo",IF(OR($B201&lt;Weeks!$A$7,$B201&gt;Weeks!$B$59),"date outside this workbook's year",IF(AND($D201="Advance",N($L201)&lt;0),"Warning: more than earned so far - worker now owes "&amp;TEXT(ROUND(-$L201,0),"#,##0"),"")))))))))</f>
        <v/>
      </c>
      <c r="N201" s="125" t="n"/>
      <c r="O201" s="126" t="n"/>
      <c r="P201" s="126" t="n"/>
      <c r="Q201" s="126" t="n"/>
      <c r="R201" s="126" t="n"/>
      <c r="S201" s="126" t="n"/>
      <c r="T201" s="126" t="n"/>
      <c r="U201" s="126" t="n"/>
      <c r="V201" s="126" t="n"/>
      <c r="W201" s="126" t="n"/>
      <c r="X201" s="126" t="n"/>
      <c r="Y201" s="126" t="n"/>
      <c r="Z201" s="126" t="n"/>
      <c r="AA201" s="126" t="n"/>
      <c r="AB201" s="126" t="n"/>
      <c r="AC201" s="126" t="n"/>
      <c r="AD201" s="126" t="n"/>
      <c r="AE201" s="126" t="n"/>
      <c r="AF201" s="126" t="n"/>
      <c r="AG201" s="126" t="n"/>
      <c r="AH201" s="126" t="n"/>
      <c r="AI201" s="126" t="n"/>
      <c r="AJ201" s="126" t="n"/>
      <c r="AK201" s="126" t="n"/>
      <c r="AL201" s="126" t="n"/>
      <c r="AM201" s="126" t="n"/>
      <c r="AN201" s="126" t="n"/>
    </row>
    <row r="202" ht="21" customFormat="1" customHeight="1" s="127">
      <c r="A202" s="51">
        <f>IF($B202="","",ROW()-6)</f>
        <v/>
      </c>
      <c r="B202" s="268" t="n"/>
      <c r="C202" s="133" t="n"/>
      <c r="D202" s="50" t="n"/>
      <c r="E202" s="265" t="n"/>
      <c r="F202" s="133" t="n"/>
      <c r="G202" s="133" t="n"/>
      <c r="H202" s="50" t="n"/>
      <c r="I202" s="51">
        <f>IF($C202="","",IFERROR(INDEX(WorkerIDs,MATCH($C202,WorkerNames,0)),"?"))</f>
        <v/>
      </c>
      <c r="J202" s="253">
        <f>IF($B202="","",$B202-WEEKDAY($B202,2)+1)</f>
        <v/>
      </c>
      <c r="K202" s="142">
        <f>IF(OR($I202="",$I202="?",$D202&lt;&gt;"Advance",$B202=""),"",$I202&amp;"|"&amp;$J202&amp;"|"&amp;COUNTIFS($I$7:$I202,$I202,$J$7:$J202,$J202,$D$7:$D202,"Advance"))</f>
        <v/>
      </c>
      <c r="L202" s="266">
        <f>IF(OR($I202="",$I202="?",$B202=""),"",SUMPRODUCT((Weeks!$A$7:$A$59&lt;=$J202)*(Weeks!$X$5:$AI$5=$I202)*Weeks!$X$7:$AI$59)-SUMIFS($E$7:$E$1006,$I$7:$I$1006,$I202,$B$7:$B$1006,"&lt;="&amp;$B202))</f>
        <v/>
      </c>
      <c r="M202" s="132">
        <f>IF($B202&amp;$C202&amp;$D202&amp;$E202="","",IF($B202="","missing date",IF($C202="","missing worker",IF($I202="?","unknown worker - was the name changed on Workers?",IF($D202="","missing type",IF(N($E202)=0,"missing amount",IF(AND($E202&lt;0,$D202&lt;&gt;"Correction"),"negative amount - use a Correction to undo",IF(OR($B202&lt;Weeks!$A$7,$B202&gt;Weeks!$B$59),"date outside this workbook's year",IF(AND($D202="Advance",N($L202)&lt;0),"Warning: more than earned so far - worker now owes "&amp;TEXT(ROUND(-$L202,0),"#,##0"),"")))))))))</f>
        <v/>
      </c>
      <c r="N202" s="125" t="n"/>
      <c r="O202" s="126" t="n"/>
      <c r="P202" s="126" t="n"/>
      <c r="Q202" s="126" t="n"/>
      <c r="R202" s="126" t="n"/>
      <c r="S202" s="126" t="n"/>
      <c r="T202" s="126" t="n"/>
      <c r="U202" s="126" t="n"/>
      <c r="V202" s="126" t="n"/>
      <c r="W202" s="126" t="n"/>
      <c r="X202" s="126" t="n"/>
      <c r="Y202" s="126" t="n"/>
      <c r="Z202" s="126" t="n"/>
      <c r="AA202" s="126" t="n"/>
      <c r="AB202" s="126" t="n"/>
      <c r="AC202" s="126" t="n"/>
      <c r="AD202" s="126" t="n"/>
      <c r="AE202" s="126" t="n"/>
      <c r="AF202" s="126" t="n"/>
      <c r="AG202" s="126" t="n"/>
      <c r="AH202" s="126" t="n"/>
      <c r="AI202" s="126" t="n"/>
      <c r="AJ202" s="126" t="n"/>
      <c r="AK202" s="126" t="n"/>
      <c r="AL202" s="126" t="n"/>
      <c r="AM202" s="126" t="n"/>
      <c r="AN202" s="126" t="n"/>
    </row>
    <row r="203" ht="21" customFormat="1" customHeight="1" s="127">
      <c r="A203" s="51">
        <f>IF($B203="","",ROW()-6)</f>
        <v/>
      </c>
      <c r="B203" s="268" t="n"/>
      <c r="C203" s="133" t="n"/>
      <c r="D203" s="50" t="n"/>
      <c r="E203" s="265" t="n"/>
      <c r="F203" s="133" t="n"/>
      <c r="G203" s="133" t="n"/>
      <c r="H203" s="50" t="n"/>
      <c r="I203" s="51">
        <f>IF($C203="","",IFERROR(INDEX(WorkerIDs,MATCH($C203,WorkerNames,0)),"?"))</f>
        <v/>
      </c>
      <c r="J203" s="253">
        <f>IF($B203="","",$B203-WEEKDAY($B203,2)+1)</f>
        <v/>
      </c>
      <c r="K203" s="142">
        <f>IF(OR($I203="",$I203="?",$D203&lt;&gt;"Advance",$B203=""),"",$I203&amp;"|"&amp;$J203&amp;"|"&amp;COUNTIFS($I$7:$I203,$I203,$J$7:$J203,$J203,$D$7:$D203,"Advance"))</f>
        <v/>
      </c>
      <c r="L203" s="266">
        <f>IF(OR($I203="",$I203="?",$B203=""),"",SUMPRODUCT((Weeks!$A$7:$A$59&lt;=$J203)*(Weeks!$X$5:$AI$5=$I203)*Weeks!$X$7:$AI$59)-SUMIFS($E$7:$E$1006,$I$7:$I$1006,$I203,$B$7:$B$1006,"&lt;="&amp;$B203))</f>
        <v/>
      </c>
      <c r="M203" s="132">
        <f>IF($B203&amp;$C203&amp;$D203&amp;$E203="","",IF($B203="","missing date",IF($C203="","missing worker",IF($I203="?","unknown worker - was the name changed on Workers?",IF($D203="","missing type",IF(N($E203)=0,"missing amount",IF(AND($E203&lt;0,$D203&lt;&gt;"Correction"),"negative amount - use a Correction to undo",IF(OR($B203&lt;Weeks!$A$7,$B203&gt;Weeks!$B$59),"date outside this workbook's year",IF(AND($D203="Advance",N($L203)&lt;0),"Warning: more than earned so far - worker now owes "&amp;TEXT(ROUND(-$L203,0),"#,##0"),"")))))))))</f>
        <v/>
      </c>
      <c r="N203" s="125" t="n"/>
      <c r="O203" s="126" t="n"/>
      <c r="P203" s="126" t="n"/>
      <c r="Q203" s="126" t="n"/>
      <c r="R203" s="126" t="n"/>
      <c r="S203" s="126" t="n"/>
      <c r="T203" s="126" t="n"/>
      <c r="U203" s="126" t="n"/>
      <c r="V203" s="126" t="n"/>
      <c r="W203" s="126" t="n"/>
      <c r="X203" s="126" t="n"/>
      <c r="Y203" s="126" t="n"/>
      <c r="Z203" s="126" t="n"/>
      <c r="AA203" s="126" t="n"/>
      <c r="AB203" s="126" t="n"/>
      <c r="AC203" s="126" t="n"/>
      <c r="AD203" s="126" t="n"/>
      <c r="AE203" s="126" t="n"/>
      <c r="AF203" s="126" t="n"/>
      <c r="AG203" s="126" t="n"/>
      <c r="AH203" s="126" t="n"/>
      <c r="AI203" s="126" t="n"/>
      <c r="AJ203" s="126" t="n"/>
      <c r="AK203" s="126" t="n"/>
      <c r="AL203" s="126" t="n"/>
      <c r="AM203" s="126" t="n"/>
      <c r="AN203" s="126" t="n"/>
    </row>
    <row r="204" ht="21" customFormat="1" customHeight="1" s="127">
      <c r="A204" s="51">
        <f>IF($B204="","",ROW()-6)</f>
        <v/>
      </c>
      <c r="B204" s="268" t="n"/>
      <c r="C204" s="133" t="n"/>
      <c r="D204" s="50" t="n"/>
      <c r="E204" s="265" t="n"/>
      <c r="F204" s="133" t="n"/>
      <c r="G204" s="133" t="n"/>
      <c r="H204" s="50" t="n"/>
      <c r="I204" s="51">
        <f>IF($C204="","",IFERROR(INDEX(WorkerIDs,MATCH($C204,WorkerNames,0)),"?"))</f>
        <v/>
      </c>
      <c r="J204" s="253">
        <f>IF($B204="","",$B204-WEEKDAY($B204,2)+1)</f>
        <v/>
      </c>
      <c r="K204" s="142">
        <f>IF(OR($I204="",$I204="?",$D204&lt;&gt;"Advance",$B204=""),"",$I204&amp;"|"&amp;$J204&amp;"|"&amp;COUNTIFS($I$7:$I204,$I204,$J$7:$J204,$J204,$D$7:$D204,"Advance"))</f>
        <v/>
      </c>
      <c r="L204" s="266">
        <f>IF(OR($I204="",$I204="?",$B204=""),"",SUMPRODUCT((Weeks!$A$7:$A$59&lt;=$J204)*(Weeks!$X$5:$AI$5=$I204)*Weeks!$X$7:$AI$59)-SUMIFS($E$7:$E$1006,$I$7:$I$1006,$I204,$B$7:$B$1006,"&lt;="&amp;$B204))</f>
        <v/>
      </c>
      <c r="M204" s="132">
        <f>IF($B204&amp;$C204&amp;$D204&amp;$E204="","",IF($B204="","missing date",IF($C204="","missing worker",IF($I204="?","unknown worker - was the name changed on Workers?",IF($D204="","missing type",IF(N($E204)=0,"missing amount",IF(AND($E204&lt;0,$D204&lt;&gt;"Correction"),"negative amount - use a Correction to undo",IF(OR($B204&lt;Weeks!$A$7,$B204&gt;Weeks!$B$59),"date outside this workbook's year",IF(AND($D204="Advance",N($L204)&lt;0),"Warning: more than earned so far - worker now owes "&amp;TEXT(ROUND(-$L204,0),"#,##0"),"")))))))))</f>
        <v/>
      </c>
      <c r="N204" s="125" t="n"/>
      <c r="O204" s="126" t="n"/>
      <c r="P204" s="126" t="n"/>
      <c r="Q204" s="126" t="n"/>
      <c r="R204" s="126" t="n"/>
      <c r="S204" s="126" t="n"/>
      <c r="T204" s="126" t="n"/>
      <c r="U204" s="126" t="n"/>
      <c r="V204" s="126" t="n"/>
      <c r="W204" s="126" t="n"/>
      <c r="X204" s="126" t="n"/>
      <c r="Y204" s="126" t="n"/>
      <c r="Z204" s="126" t="n"/>
      <c r="AA204" s="126" t="n"/>
      <c r="AB204" s="126" t="n"/>
      <c r="AC204" s="126" t="n"/>
      <c r="AD204" s="126" t="n"/>
      <c r="AE204" s="126" t="n"/>
      <c r="AF204" s="126" t="n"/>
      <c r="AG204" s="126" t="n"/>
      <c r="AH204" s="126" t="n"/>
      <c r="AI204" s="126" t="n"/>
      <c r="AJ204" s="126" t="n"/>
      <c r="AK204" s="126" t="n"/>
      <c r="AL204" s="126" t="n"/>
      <c r="AM204" s="126" t="n"/>
      <c r="AN204" s="126" t="n"/>
    </row>
    <row r="205" ht="21" customFormat="1" customHeight="1" s="127">
      <c r="A205" s="51">
        <f>IF($B205="","",ROW()-6)</f>
        <v/>
      </c>
      <c r="B205" s="268" t="n"/>
      <c r="C205" s="133" t="n"/>
      <c r="D205" s="50" t="n"/>
      <c r="E205" s="265" t="n"/>
      <c r="F205" s="133" t="n"/>
      <c r="G205" s="133" t="n"/>
      <c r="H205" s="50" t="n"/>
      <c r="I205" s="51">
        <f>IF($C205="","",IFERROR(INDEX(WorkerIDs,MATCH($C205,WorkerNames,0)),"?"))</f>
        <v/>
      </c>
      <c r="J205" s="253">
        <f>IF($B205="","",$B205-WEEKDAY($B205,2)+1)</f>
        <v/>
      </c>
      <c r="K205" s="142">
        <f>IF(OR($I205="",$I205="?",$D205&lt;&gt;"Advance",$B205=""),"",$I205&amp;"|"&amp;$J205&amp;"|"&amp;COUNTIFS($I$7:$I205,$I205,$J$7:$J205,$J205,$D$7:$D205,"Advance"))</f>
        <v/>
      </c>
      <c r="L205" s="266">
        <f>IF(OR($I205="",$I205="?",$B205=""),"",SUMPRODUCT((Weeks!$A$7:$A$59&lt;=$J205)*(Weeks!$X$5:$AI$5=$I205)*Weeks!$X$7:$AI$59)-SUMIFS($E$7:$E$1006,$I$7:$I$1006,$I205,$B$7:$B$1006,"&lt;="&amp;$B205))</f>
        <v/>
      </c>
      <c r="M205" s="132">
        <f>IF($B205&amp;$C205&amp;$D205&amp;$E205="","",IF($B205="","missing date",IF($C205="","missing worker",IF($I205="?","unknown worker - was the name changed on Workers?",IF($D205="","missing type",IF(N($E205)=0,"missing amount",IF(AND($E205&lt;0,$D205&lt;&gt;"Correction"),"negative amount - use a Correction to undo",IF(OR($B205&lt;Weeks!$A$7,$B205&gt;Weeks!$B$59),"date outside this workbook's year",IF(AND($D205="Advance",N($L205)&lt;0),"Warning: more than earned so far - worker now owes "&amp;TEXT(ROUND(-$L205,0),"#,##0"),"")))))))))</f>
        <v/>
      </c>
      <c r="N205" s="125" t="n"/>
      <c r="O205" s="126" t="n"/>
      <c r="P205" s="126" t="n"/>
      <c r="Q205" s="126" t="n"/>
      <c r="R205" s="126" t="n"/>
      <c r="S205" s="126" t="n"/>
      <c r="T205" s="126" t="n"/>
      <c r="U205" s="126" t="n"/>
      <c r="V205" s="126" t="n"/>
      <c r="W205" s="126" t="n"/>
      <c r="X205" s="126" t="n"/>
      <c r="Y205" s="126" t="n"/>
      <c r="Z205" s="126" t="n"/>
      <c r="AA205" s="126" t="n"/>
      <c r="AB205" s="126" t="n"/>
      <c r="AC205" s="126" t="n"/>
      <c r="AD205" s="126" t="n"/>
      <c r="AE205" s="126" t="n"/>
      <c r="AF205" s="126" t="n"/>
      <c r="AG205" s="126" t="n"/>
      <c r="AH205" s="126" t="n"/>
      <c r="AI205" s="126" t="n"/>
      <c r="AJ205" s="126" t="n"/>
      <c r="AK205" s="126" t="n"/>
      <c r="AL205" s="126" t="n"/>
      <c r="AM205" s="126" t="n"/>
      <c r="AN205" s="126" t="n"/>
    </row>
    <row r="206" ht="21" customFormat="1" customHeight="1" s="127">
      <c r="A206" s="51">
        <f>IF($B206="","",ROW()-6)</f>
        <v/>
      </c>
      <c r="B206" s="268" t="n"/>
      <c r="C206" s="133" t="n"/>
      <c r="D206" s="50" t="n"/>
      <c r="E206" s="265" t="n"/>
      <c r="F206" s="133" t="n"/>
      <c r="G206" s="133" t="n"/>
      <c r="H206" s="50" t="n"/>
      <c r="I206" s="51">
        <f>IF($C206="","",IFERROR(INDEX(WorkerIDs,MATCH($C206,WorkerNames,0)),"?"))</f>
        <v/>
      </c>
      <c r="J206" s="253">
        <f>IF($B206="","",$B206-WEEKDAY($B206,2)+1)</f>
        <v/>
      </c>
      <c r="K206" s="142">
        <f>IF(OR($I206="",$I206="?",$D206&lt;&gt;"Advance",$B206=""),"",$I206&amp;"|"&amp;$J206&amp;"|"&amp;COUNTIFS($I$7:$I206,$I206,$J$7:$J206,$J206,$D$7:$D206,"Advance"))</f>
        <v/>
      </c>
      <c r="L206" s="266">
        <f>IF(OR($I206="",$I206="?",$B206=""),"",SUMPRODUCT((Weeks!$A$7:$A$59&lt;=$J206)*(Weeks!$X$5:$AI$5=$I206)*Weeks!$X$7:$AI$59)-SUMIFS($E$7:$E$1006,$I$7:$I$1006,$I206,$B$7:$B$1006,"&lt;="&amp;$B206))</f>
        <v/>
      </c>
      <c r="M206" s="132">
        <f>IF($B206&amp;$C206&amp;$D206&amp;$E206="","",IF($B206="","missing date",IF($C206="","missing worker",IF($I206="?","unknown worker - was the name changed on Workers?",IF($D206="","missing type",IF(N($E206)=0,"missing amount",IF(AND($E206&lt;0,$D206&lt;&gt;"Correction"),"negative amount - use a Correction to undo",IF(OR($B206&lt;Weeks!$A$7,$B206&gt;Weeks!$B$59),"date outside this workbook's year",IF(AND($D206="Advance",N($L206)&lt;0),"Warning: more than earned so far - worker now owes "&amp;TEXT(ROUND(-$L206,0),"#,##0"),"")))))))))</f>
        <v/>
      </c>
      <c r="N206" s="125" t="n"/>
      <c r="O206" s="126" t="n"/>
      <c r="P206" s="126" t="n"/>
      <c r="Q206" s="126" t="n"/>
      <c r="R206" s="126" t="n"/>
      <c r="S206" s="126" t="n"/>
      <c r="T206" s="126" t="n"/>
      <c r="U206" s="126" t="n"/>
      <c r="V206" s="126" t="n"/>
      <c r="W206" s="126" t="n"/>
      <c r="X206" s="126" t="n"/>
      <c r="Y206" s="126" t="n"/>
      <c r="Z206" s="126" t="n"/>
      <c r="AA206" s="126" t="n"/>
      <c r="AB206" s="126" t="n"/>
      <c r="AC206" s="126" t="n"/>
      <c r="AD206" s="126" t="n"/>
      <c r="AE206" s="126" t="n"/>
      <c r="AF206" s="126" t="n"/>
      <c r="AG206" s="126" t="n"/>
      <c r="AH206" s="126" t="n"/>
      <c r="AI206" s="126" t="n"/>
      <c r="AJ206" s="126" t="n"/>
      <c r="AK206" s="126" t="n"/>
      <c r="AL206" s="126" t="n"/>
      <c r="AM206" s="126" t="n"/>
      <c r="AN206" s="126" t="n"/>
    </row>
    <row r="207" ht="21" customFormat="1" customHeight="1" s="127">
      <c r="A207" s="51">
        <f>IF($B207="","",ROW()-6)</f>
        <v/>
      </c>
      <c r="B207" s="268" t="n"/>
      <c r="C207" s="133" t="n"/>
      <c r="D207" s="50" t="n"/>
      <c r="E207" s="265" t="n"/>
      <c r="F207" s="133" t="n"/>
      <c r="G207" s="133" t="n"/>
      <c r="H207" s="50" t="n"/>
      <c r="I207" s="51">
        <f>IF($C207="","",IFERROR(INDEX(WorkerIDs,MATCH($C207,WorkerNames,0)),"?"))</f>
        <v/>
      </c>
      <c r="J207" s="253">
        <f>IF($B207="","",$B207-WEEKDAY($B207,2)+1)</f>
        <v/>
      </c>
      <c r="K207" s="142">
        <f>IF(OR($I207="",$I207="?",$D207&lt;&gt;"Advance",$B207=""),"",$I207&amp;"|"&amp;$J207&amp;"|"&amp;COUNTIFS($I$7:$I207,$I207,$J$7:$J207,$J207,$D$7:$D207,"Advance"))</f>
        <v/>
      </c>
      <c r="L207" s="266">
        <f>IF(OR($I207="",$I207="?",$B207=""),"",SUMPRODUCT((Weeks!$A$7:$A$59&lt;=$J207)*(Weeks!$X$5:$AI$5=$I207)*Weeks!$X$7:$AI$59)-SUMIFS($E$7:$E$1006,$I$7:$I$1006,$I207,$B$7:$B$1006,"&lt;="&amp;$B207))</f>
        <v/>
      </c>
      <c r="M207" s="132">
        <f>IF($B207&amp;$C207&amp;$D207&amp;$E207="","",IF($B207="","missing date",IF($C207="","missing worker",IF($I207="?","unknown worker - was the name changed on Workers?",IF($D207="","missing type",IF(N($E207)=0,"missing amount",IF(AND($E207&lt;0,$D207&lt;&gt;"Correction"),"negative amount - use a Correction to undo",IF(OR($B207&lt;Weeks!$A$7,$B207&gt;Weeks!$B$59),"date outside this workbook's year",IF(AND($D207="Advance",N($L207)&lt;0),"Warning: more than earned so far - worker now owes "&amp;TEXT(ROUND(-$L207,0),"#,##0"),"")))))))))</f>
        <v/>
      </c>
      <c r="N207" s="125" t="n"/>
      <c r="O207" s="126" t="n"/>
      <c r="P207" s="126" t="n"/>
      <c r="Q207" s="126" t="n"/>
      <c r="R207" s="126" t="n"/>
      <c r="S207" s="126" t="n"/>
      <c r="T207" s="126" t="n"/>
      <c r="U207" s="126" t="n"/>
      <c r="V207" s="126" t="n"/>
      <c r="W207" s="126" t="n"/>
      <c r="X207" s="126" t="n"/>
      <c r="Y207" s="126" t="n"/>
      <c r="Z207" s="126" t="n"/>
      <c r="AA207" s="126" t="n"/>
      <c r="AB207" s="126" t="n"/>
      <c r="AC207" s="126" t="n"/>
      <c r="AD207" s="126" t="n"/>
      <c r="AE207" s="126" t="n"/>
      <c r="AF207" s="126" t="n"/>
      <c r="AG207" s="126" t="n"/>
      <c r="AH207" s="126" t="n"/>
      <c r="AI207" s="126" t="n"/>
      <c r="AJ207" s="126" t="n"/>
      <c r="AK207" s="126" t="n"/>
      <c r="AL207" s="126" t="n"/>
      <c r="AM207" s="126" t="n"/>
      <c r="AN207" s="126" t="n"/>
    </row>
    <row r="208" ht="21" customFormat="1" customHeight="1" s="127">
      <c r="A208" s="51">
        <f>IF($B208="","",ROW()-6)</f>
        <v/>
      </c>
      <c r="B208" s="268" t="n"/>
      <c r="C208" s="133" t="n"/>
      <c r="D208" s="50" t="n"/>
      <c r="E208" s="265" t="n"/>
      <c r="F208" s="133" t="n"/>
      <c r="G208" s="133" t="n"/>
      <c r="H208" s="50" t="n"/>
      <c r="I208" s="51">
        <f>IF($C208="","",IFERROR(INDEX(WorkerIDs,MATCH($C208,WorkerNames,0)),"?"))</f>
        <v/>
      </c>
      <c r="J208" s="253">
        <f>IF($B208="","",$B208-WEEKDAY($B208,2)+1)</f>
        <v/>
      </c>
      <c r="K208" s="142">
        <f>IF(OR($I208="",$I208="?",$D208&lt;&gt;"Advance",$B208=""),"",$I208&amp;"|"&amp;$J208&amp;"|"&amp;COUNTIFS($I$7:$I208,$I208,$J$7:$J208,$J208,$D$7:$D208,"Advance"))</f>
        <v/>
      </c>
      <c r="L208" s="266">
        <f>IF(OR($I208="",$I208="?",$B208=""),"",SUMPRODUCT((Weeks!$A$7:$A$59&lt;=$J208)*(Weeks!$X$5:$AI$5=$I208)*Weeks!$X$7:$AI$59)-SUMIFS($E$7:$E$1006,$I$7:$I$1006,$I208,$B$7:$B$1006,"&lt;="&amp;$B208))</f>
        <v/>
      </c>
      <c r="M208" s="132">
        <f>IF($B208&amp;$C208&amp;$D208&amp;$E208="","",IF($B208="","missing date",IF($C208="","missing worker",IF($I208="?","unknown worker - was the name changed on Workers?",IF($D208="","missing type",IF(N($E208)=0,"missing amount",IF(AND($E208&lt;0,$D208&lt;&gt;"Correction"),"negative amount - use a Correction to undo",IF(OR($B208&lt;Weeks!$A$7,$B208&gt;Weeks!$B$59),"date outside this workbook's year",IF(AND($D208="Advance",N($L208)&lt;0),"Warning: more than earned so far - worker now owes "&amp;TEXT(ROUND(-$L208,0),"#,##0"),"")))))))))</f>
        <v/>
      </c>
      <c r="N208" s="125" t="n"/>
      <c r="O208" s="126" t="n"/>
      <c r="P208" s="126" t="n"/>
      <c r="Q208" s="126" t="n"/>
      <c r="R208" s="126" t="n"/>
      <c r="S208" s="126" t="n"/>
      <c r="T208" s="126" t="n"/>
      <c r="U208" s="126" t="n"/>
      <c r="V208" s="126" t="n"/>
      <c r="W208" s="126" t="n"/>
      <c r="X208" s="126" t="n"/>
      <c r="Y208" s="126" t="n"/>
      <c r="Z208" s="126" t="n"/>
      <c r="AA208" s="126" t="n"/>
      <c r="AB208" s="126" t="n"/>
      <c r="AC208" s="126" t="n"/>
      <c r="AD208" s="126" t="n"/>
      <c r="AE208" s="126" t="n"/>
      <c r="AF208" s="126" t="n"/>
      <c r="AG208" s="126" t="n"/>
      <c r="AH208" s="126" t="n"/>
      <c r="AI208" s="126" t="n"/>
      <c r="AJ208" s="126" t="n"/>
      <c r="AK208" s="126" t="n"/>
      <c r="AL208" s="126" t="n"/>
      <c r="AM208" s="126" t="n"/>
      <c r="AN208" s="126" t="n"/>
    </row>
    <row r="209" ht="21" customFormat="1" customHeight="1" s="127">
      <c r="A209" s="51">
        <f>IF($B209="","",ROW()-6)</f>
        <v/>
      </c>
      <c r="B209" s="268" t="n"/>
      <c r="C209" s="133" t="n"/>
      <c r="D209" s="50" t="n"/>
      <c r="E209" s="265" t="n"/>
      <c r="F209" s="133" t="n"/>
      <c r="G209" s="133" t="n"/>
      <c r="H209" s="50" t="n"/>
      <c r="I209" s="51">
        <f>IF($C209="","",IFERROR(INDEX(WorkerIDs,MATCH($C209,WorkerNames,0)),"?"))</f>
        <v/>
      </c>
      <c r="J209" s="253">
        <f>IF($B209="","",$B209-WEEKDAY($B209,2)+1)</f>
        <v/>
      </c>
      <c r="K209" s="142">
        <f>IF(OR($I209="",$I209="?",$D209&lt;&gt;"Advance",$B209=""),"",$I209&amp;"|"&amp;$J209&amp;"|"&amp;COUNTIFS($I$7:$I209,$I209,$J$7:$J209,$J209,$D$7:$D209,"Advance"))</f>
        <v/>
      </c>
      <c r="L209" s="266">
        <f>IF(OR($I209="",$I209="?",$B209=""),"",SUMPRODUCT((Weeks!$A$7:$A$59&lt;=$J209)*(Weeks!$X$5:$AI$5=$I209)*Weeks!$X$7:$AI$59)-SUMIFS($E$7:$E$1006,$I$7:$I$1006,$I209,$B$7:$B$1006,"&lt;="&amp;$B209))</f>
        <v/>
      </c>
      <c r="M209" s="132">
        <f>IF($B209&amp;$C209&amp;$D209&amp;$E209="","",IF($B209="","missing date",IF($C209="","missing worker",IF($I209="?","unknown worker - was the name changed on Workers?",IF($D209="","missing type",IF(N($E209)=0,"missing amount",IF(AND($E209&lt;0,$D209&lt;&gt;"Correction"),"negative amount - use a Correction to undo",IF(OR($B209&lt;Weeks!$A$7,$B209&gt;Weeks!$B$59),"date outside this workbook's year",IF(AND($D209="Advance",N($L209)&lt;0),"Warning: more than earned so far - worker now owes "&amp;TEXT(ROUND(-$L209,0),"#,##0"),"")))))))))</f>
        <v/>
      </c>
      <c r="N209" s="125" t="n"/>
      <c r="O209" s="126" t="n"/>
      <c r="P209" s="126" t="n"/>
      <c r="Q209" s="126" t="n"/>
      <c r="R209" s="126" t="n"/>
      <c r="S209" s="126" t="n"/>
      <c r="T209" s="126" t="n"/>
      <c r="U209" s="126" t="n"/>
      <c r="V209" s="126" t="n"/>
      <c r="W209" s="126" t="n"/>
      <c r="X209" s="126" t="n"/>
      <c r="Y209" s="126" t="n"/>
      <c r="Z209" s="126" t="n"/>
      <c r="AA209" s="126" t="n"/>
      <c r="AB209" s="126" t="n"/>
      <c r="AC209" s="126" t="n"/>
      <c r="AD209" s="126" t="n"/>
      <c r="AE209" s="126" t="n"/>
      <c r="AF209" s="126" t="n"/>
      <c r="AG209" s="126" t="n"/>
      <c r="AH209" s="126" t="n"/>
      <c r="AI209" s="126" t="n"/>
      <c r="AJ209" s="126" t="n"/>
      <c r="AK209" s="126" t="n"/>
      <c r="AL209" s="126" t="n"/>
      <c r="AM209" s="126" t="n"/>
      <c r="AN209" s="126" t="n"/>
    </row>
    <row r="210" ht="21" customFormat="1" customHeight="1" s="127">
      <c r="A210" s="51">
        <f>IF($B210="","",ROW()-6)</f>
        <v/>
      </c>
      <c r="B210" s="268" t="n"/>
      <c r="C210" s="133" t="n"/>
      <c r="D210" s="50" t="n"/>
      <c r="E210" s="265" t="n"/>
      <c r="F210" s="133" t="n"/>
      <c r="G210" s="133" t="n"/>
      <c r="H210" s="50" t="n"/>
      <c r="I210" s="51">
        <f>IF($C210="","",IFERROR(INDEX(WorkerIDs,MATCH($C210,WorkerNames,0)),"?"))</f>
        <v/>
      </c>
      <c r="J210" s="253">
        <f>IF($B210="","",$B210-WEEKDAY($B210,2)+1)</f>
        <v/>
      </c>
      <c r="K210" s="142">
        <f>IF(OR($I210="",$I210="?",$D210&lt;&gt;"Advance",$B210=""),"",$I210&amp;"|"&amp;$J210&amp;"|"&amp;COUNTIFS($I$7:$I210,$I210,$J$7:$J210,$J210,$D$7:$D210,"Advance"))</f>
        <v/>
      </c>
      <c r="L210" s="266">
        <f>IF(OR($I210="",$I210="?",$B210=""),"",SUMPRODUCT((Weeks!$A$7:$A$59&lt;=$J210)*(Weeks!$X$5:$AI$5=$I210)*Weeks!$X$7:$AI$59)-SUMIFS($E$7:$E$1006,$I$7:$I$1006,$I210,$B$7:$B$1006,"&lt;="&amp;$B210))</f>
        <v/>
      </c>
      <c r="M210" s="132">
        <f>IF($B210&amp;$C210&amp;$D210&amp;$E210="","",IF($B210="","missing date",IF($C210="","missing worker",IF($I210="?","unknown worker - was the name changed on Workers?",IF($D210="","missing type",IF(N($E210)=0,"missing amount",IF(AND($E210&lt;0,$D210&lt;&gt;"Correction"),"negative amount - use a Correction to undo",IF(OR($B210&lt;Weeks!$A$7,$B210&gt;Weeks!$B$59),"date outside this workbook's year",IF(AND($D210="Advance",N($L210)&lt;0),"Warning: more than earned so far - worker now owes "&amp;TEXT(ROUND(-$L210,0),"#,##0"),"")))))))))</f>
        <v/>
      </c>
      <c r="N210" s="125" t="n"/>
      <c r="O210" s="126" t="n"/>
      <c r="P210" s="126" t="n"/>
      <c r="Q210" s="126" t="n"/>
      <c r="R210" s="126" t="n"/>
      <c r="S210" s="126" t="n"/>
      <c r="T210" s="126" t="n"/>
      <c r="U210" s="126" t="n"/>
      <c r="V210" s="126" t="n"/>
      <c r="W210" s="126" t="n"/>
      <c r="X210" s="126" t="n"/>
      <c r="Y210" s="126" t="n"/>
      <c r="Z210" s="126" t="n"/>
      <c r="AA210" s="126" t="n"/>
      <c r="AB210" s="126" t="n"/>
      <c r="AC210" s="126" t="n"/>
      <c r="AD210" s="126" t="n"/>
      <c r="AE210" s="126" t="n"/>
      <c r="AF210" s="126" t="n"/>
      <c r="AG210" s="126" t="n"/>
      <c r="AH210" s="126" t="n"/>
      <c r="AI210" s="126" t="n"/>
      <c r="AJ210" s="126" t="n"/>
      <c r="AK210" s="126" t="n"/>
      <c r="AL210" s="126" t="n"/>
      <c r="AM210" s="126" t="n"/>
      <c r="AN210" s="126" t="n"/>
    </row>
    <row r="211" ht="21" customFormat="1" customHeight="1" s="127">
      <c r="A211" s="51">
        <f>IF($B211="","",ROW()-6)</f>
        <v/>
      </c>
      <c r="B211" s="268" t="n"/>
      <c r="C211" s="133" t="n"/>
      <c r="D211" s="50" t="n"/>
      <c r="E211" s="265" t="n"/>
      <c r="F211" s="133" t="n"/>
      <c r="G211" s="133" t="n"/>
      <c r="H211" s="50" t="n"/>
      <c r="I211" s="51">
        <f>IF($C211="","",IFERROR(INDEX(WorkerIDs,MATCH($C211,WorkerNames,0)),"?"))</f>
        <v/>
      </c>
      <c r="J211" s="253">
        <f>IF($B211="","",$B211-WEEKDAY($B211,2)+1)</f>
        <v/>
      </c>
      <c r="K211" s="142">
        <f>IF(OR($I211="",$I211="?",$D211&lt;&gt;"Advance",$B211=""),"",$I211&amp;"|"&amp;$J211&amp;"|"&amp;COUNTIFS($I$7:$I211,$I211,$J$7:$J211,$J211,$D$7:$D211,"Advance"))</f>
        <v/>
      </c>
      <c r="L211" s="266">
        <f>IF(OR($I211="",$I211="?",$B211=""),"",SUMPRODUCT((Weeks!$A$7:$A$59&lt;=$J211)*(Weeks!$X$5:$AI$5=$I211)*Weeks!$X$7:$AI$59)-SUMIFS($E$7:$E$1006,$I$7:$I$1006,$I211,$B$7:$B$1006,"&lt;="&amp;$B211))</f>
        <v/>
      </c>
      <c r="M211" s="132">
        <f>IF($B211&amp;$C211&amp;$D211&amp;$E211="","",IF($B211="","missing date",IF($C211="","missing worker",IF($I211="?","unknown worker - was the name changed on Workers?",IF($D211="","missing type",IF(N($E211)=0,"missing amount",IF(AND($E211&lt;0,$D211&lt;&gt;"Correction"),"negative amount - use a Correction to undo",IF(OR($B211&lt;Weeks!$A$7,$B211&gt;Weeks!$B$59),"date outside this workbook's year",IF(AND($D211="Advance",N($L211)&lt;0),"Warning: more than earned so far - worker now owes "&amp;TEXT(ROUND(-$L211,0),"#,##0"),"")))))))))</f>
        <v/>
      </c>
      <c r="N211" s="125" t="n"/>
      <c r="O211" s="126" t="n"/>
      <c r="P211" s="126" t="n"/>
      <c r="Q211" s="126" t="n"/>
      <c r="R211" s="126" t="n"/>
      <c r="S211" s="126" t="n"/>
      <c r="T211" s="126" t="n"/>
      <c r="U211" s="126" t="n"/>
      <c r="V211" s="126" t="n"/>
      <c r="W211" s="126" t="n"/>
      <c r="X211" s="126" t="n"/>
      <c r="Y211" s="126" t="n"/>
      <c r="Z211" s="126" t="n"/>
      <c r="AA211" s="126" t="n"/>
      <c r="AB211" s="126" t="n"/>
      <c r="AC211" s="126" t="n"/>
      <c r="AD211" s="126" t="n"/>
      <c r="AE211" s="126" t="n"/>
      <c r="AF211" s="126" t="n"/>
      <c r="AG211" s="126" t="n"/>
      <c r="AH211" s="126" t="n"/>
      <c r="AI211" s="126" t="n"/>
      <c r="AJ211" s="126" t="n"/>
      <c r="AK211" s="126" t="n"/>
      <c r="AL211" s="126" t="n"/>
      <c r="AM211" s="126" t="n"/>
      <c r="AN211" s="126" t="n"/>
    </row>
    <row r="212" ht="21" customFormat="1" customHeight="1" s="127">
      <c r="A212" s="51">
        <f>IF($B212="","",ROW()-6)</f>
        <v/>
      </c>
      <c r="B212" s="268" t="n"/>
      <c r="C212" s="133" t="n"/>
      <c r="D212" s="50" t="n"/>
      <c r="E212" s="265" t="n"/>
      <c r="F212" s="133" t="n"/>
      <c r="G212" s="133" t="n"/>
      <c r="H212" s="50" t="n"/>
      <c r="I212" s="51">
        <f>IF($C212="","",IFERROR(INDEX(WorkerIDs,MATCH($C212,WorkerNames,0)),"?"))</f>
        <v/>
      </c>
      <c r="J212" s="253">
        <f>IF($B212="","",$B212-WEEKDAY($B212,2)+1)</f>
        <v/>
      </c>
      <c r="K212" s="142">
        <f>IF(OR($I212="",$I212="?",$D212&lt;&gt;"Advance",$B212=""),"",$I212&amp;"|"&amp;$J212&amp;"|"&amp;COUNTIFS($I$7:$I212,$I212,$J$7:$J212,$J212,$D$7:$D212,"Advance"))</f>
        <v/>
      </c>
      <c r="L212" s="266">
        <f>IF(OR($I212="",$I212="?",$B212=""),"",SUMPRODUCT((Weeks!$A$7:$A$59&lt;=$J212)*(Weeks!$X$5:$AI$5=$I212)*Weeks!$X$7:$AI$59)-SUMIFS($E$7:$E$1006,$I$7:$I$1006,$I212,$B$7:$B$1006,"&lt;="&amp;$B212))</f>
        <v/>
      </c>
      <c r="M212" s="132">
        <f>IF($B212&amp;$C212&amp;$D212&amp;$E212="","",IF($B212="","missing date",IF($C212="","missing worker",IF($I212="?","unknown worker - was the name changed on Workers?",IF($D212="","missing type",IF(N($E212)=0,"missing amount",IF(AND($E212&lt;0,$D212&lt;&gt;"Correction"),"negative amount - use a Correction to undo",IF(OR($B212&lt;Weeks!$A$7,$B212&gt;Weeks!$B$59),"date outside this workbook's year",IF(AND($D212="Advance",N($L212)&lt;0),"Warning: more than earned so far - worker now owes "&amp;TEXT(ROUND(-$L212,0),"#,##0"),"")))))))))</f>
        <v/>
      </c>
      <c r="N212" s="125" t="n"/>
      <c r="O212" s="126" t="n"/>
      <c r="P212" s="126" t="n"/>
      <c r="Q212" s="126" t="n"/>
      <c r="R212" s="126" t="n"/>
      <c r="S212" s="126" t="n"/>
      <c r="T212" s="126" t="n"/>
      <c r="U212" s="126" t="n"/>
      <c r="V212" s="126" t="n"/>
      <c r="W212" s="126" t="n"/>
      <c r="X212" s="126" t="n"/>
      <c r="Y212" s="126" t="n"/>
      <c r="Z212" s="126" t="n"/>
      <c r="AA212" s="126" t="n"/>
      <c r="AB212" s="126" t="n"/>
      <c r="AC212" s="126" t="n"/>
      <c r="AD212" s="126" t="n"/>
      <c r="AE212" s="126" t="n"/>
      <c r="AF212" s="126" t="n"/>
      <c r="AG212" s="126" t="n"/>
      <c r="AH212" s="126" t="n"/>
      <c r="AI212" s="126" t="n"/>
      <c r="AJ212" s="126" t="n"/>
      <c r="AK212" s="126" t="n"/>
      <c r="AL212" s="126" t="n"/>
      <c r="AM212" s="126" t="n"/>
      <c r="AN212" s="126" t="n"/>
    </row>
    <row r="213" ht="21" customFormat="1" customHeight="1" s="127">
      <c r="A213" s="51">
        <f>IF($B213="","",ROW()-6)</f>
        <v/>
      </c>
      <c r="B213" s="268" t="n"/>
      <c r="C213" s="133" t="n"/>
      <c r="D213" s="50" t="n"/>
      <c r="E213" s="265" t="n"/>
      <c r="F213" s="133" t="n"/>
      <c r="G213" s="133" t="n"/>
      <c r="H213" s="50" t="n"/>
      <c r="I213" s="51">
        <f>IF($C213="","",IFERROR(INDEX(WorkerIDs,MATCH($C213,WorkerNames,0)),"?"))</f>
        <v/>
      </c>
      <c r="J213" s="253">
        <f>IF($B213="","",$B213-WEEKDAY($B213,2)+1)</f>
        <v/>
      </c>
      <c r="K213" s="142">
        <f>IF(OR($I213="",$I213="?",$D213&lt;&gt;"Advance",$B213=""),"",$I213&amp;"|"&amp;$J213&amp;"|"&amp;COUNTIFS($I$7:$I213,$I213,$J$7:$J213,$J213,$D$7:$D213,"Advance"))</f>
        <v/>
      </c>
      <c r="L213" s="266">
        <f>IF(OR($I213="",$I213="?",$B213=""),"",SUMPRODUCT((Weeks!$A$7:$A$59&lt;=$J213)*(Weeks!$X$5:$AI$5=$I213)*Weeks!$X$7:$AI$59)-SUMIFS($E$7:$E$1006,$I$7:$I$1006,$I213,$B$7:$B$1006,"&lt;="&amp;$B213))</f>
        <v/>
      </c>
      <c r="M213" s="132">
        <f>IF($B213&amp;$C213&amp;$D213&amp;$E213="","",IF($B213="","missing date",IF($C213="","missing worker",IF($I213="?","unknown worker - was the name changed on Workers?",IF($D213="","missing type",IF(N($E213)=0,"missing amount",IF(AND($E213&lt;0,$D213&lt;&gt;"Correction"),"negative amount - use a Correction to undo",IF(OR($B213&lt;Weeks!$A$7,$B213&gt;Weeks!$B$59),"date outside this workbook's year",IF(AND($D213="Advance",N($L213)&lt;0),"Warning: more than earned so far - worker now owes "&amp;TEXT(ROUND(-$L213,0),"#,##0"),"")))))))))</f>
        <v/>
      </c>
      <c r="N213" s="125" t="n"/>
      <c r="O213" s="126" t="n"/>
      <c r="P213" s="126" t="n"/>
      <c r="Q213" s="126" t="n"/>
      <c r="R213" s="126" t="n"/>
      <c r="S213" s="126" t="n"/>
      <c r="T213" s="126" t="n"/>
      <c r="U213" s="126" t="n"/>
      <c r="V213" s="126" t="n"/>
      <c r="W213" s="126" t="n"/>
      <c r="X213" s="126" t="n"/>
      <c r="Y213" s="126" t="n"/>
      <c r="Z213" s="126" t="n"/>
      <c r="AA213" s="126" t="n"/>
      <c r="AB213" s="126" t="n"/>
      <c r="AC213" s="126" t="n"/>
      <c r="AD213" s="126" t="n"/>
      <c r="AE213" s="126" t="n"/>
      <c r="AF213" s="126" t="n"/>
      <c r="AG213" s="126" t="n"/>
      <c r="AH213" s="126" t="n"/>
      <c r="AI213" s="126" t="n"/>
      <c r="AJ213" s="126" t="n"/>
      <c r="AK213" s="126" t="n"/>
      <c r="AL213" s="126" t="n"/>
      <c r="AM213" s="126" t="n"/>
      <c r="AN213" s="126" t="n"/>
    </row>
    <row r="214" ht="21" customFormat="1" customHeight="1" s="127">
      <c r="A214" s="51">
        <f>IF($B214="","",ROW()-6)</f>
        <v/>
      </c>
      <c r="B214" s="268" t="n"/>
      <c r="C214" s="133" t="n"/>
      <c r="D214" s="50" t="n"/>
      <c r="E214" s="265" t="n"/>
      <c r="F214" s="133" t="n"/>
      <c r="G214" s="133" t="n"/>
      <c r="H214" s="50" t="n"/>
      <c r="I214" s="51">
        <f>IF($C214="","",IFERROR(INDEX(WorkerIDs,MATCH($C214,WorkerNames,0)),"?"))</f>
        <v/>
      </c>
      <c r="J214" s="253">
        <f>IF($B214="","",$B214-WEEKDAY($B214,2)+1)</f>
        <v/>
      </c>
      <c r="K214" s="142">
        <f>IF(OR($I214="",$I214="?",$D214&lt;&gt;"Advance",$B214=""),"",$I214&amp;"|"&amp;$J214&amp;"|"&amp;COUNTIFS($I$7:$I214,$I214,$J$7:$J214,$J214,$D$7:$D214,"Advance"))</f>
        <v/>
      </c>
      <c r="L214" s="266">
        <f>IF(OR($I214="",$I214="?",$B214=""),"",SUMPRODUCT((Weeks!$A$7:$A$59&lt;=$J214)*(Weeks!$X$5:$AI$5=$I214)*Weeks!$X$7:$AI$59)-SUMIFS($E$7:$E$1006,$I$7:$I$1006,$I214,$B$7:$B$1006,"&lt;="&amp;$B214))</f>
        <v/>
      </c>
      <c r="M214" s="132">
        <f>IF($B214&amp;$C214&amp;$D214&amp;$E214="","",IF($B214="","missing date",IF($C214="","missing worker",IF($I214="?","unknown worker - was the name changed on Workers?",IF($D214="","missing type",IF(N($E214)=0,"missing amount",IF(AND($E214&lt;0,$D214&lt;&gt;"Correction"),"negative amount - use a Correction to undo",IF(OR($B214&lt;Weeks!$A$7,$B214&gt;Weeks!$B$59),"date outside this workbook's year",IF(AND($D214="Advance",N($L214)&lt;0),"Warning: more than earned so far - worker now owes "&amp;TEXT(ROUND(-$L214,0),"#,##0"),"")))))))))</f>
        <v/>
      </c>
      <c r="N214" s="125" t="n"/>
      <c r="O214" s="126" t="n"/>
      <c r="P214" s="126" t="n"/>
      <c r="Q214" s="126" t="n"/>
      <c r="R214" s="126" t="n"/>
      <c r="S214" s="126" t="n"/>
      <c r="T214" s="126" t="n"/>
      <c r="U214" s="126" t="n"/>
      <c r="V214" s="126" t="n"/>
      <c r="W214" s="126" t="n"/>
      <c r="X214" s="126" t="n"/>
      <c r="Y214" s="126" t="n"/>
      <c r="Z214" s="126" t="n"/>
      <c r="AA214" s="126" t="n"/>
      <c r="AB214" s="126" t="n"/>
      <c r="AC214" s="126" t="n"/>
      <c r="AD214" s="126" t="n"/>
      <c r="AE214" s="126" t="n"/>
      <c r="AF214" s="126" t="n"/>
      <c r="AG214" s="126" t="n"/>
      <c r="AH214" s="126" t="n"/>
      <c r="AI214" s="126" t="n"/>
      <c r="AJ214" s="126" t="n"/>
      <c r="AK214" s="126" t="n"/>
      <c r="AL214" s="126" t="n"/>
      <c r="AM214" s="126" t="n"/>
      <c r="AN214" s="126" t="n"/>
    </row>
    <row r="215" ht="21" customFormat="1" customHeight="1" s="127">
      <c r="A215" s="51">
        <f>IF($B215="","",ROW()-6)</f>
        <v/>
      </c>
      <c r="B215" s="268" t="n"/>
      <c r="C215" s="133" t="n"/>
      <c r="D215" s="50" t="n"/>
      <c r="E215" s="265" t="n"/>
      <c r="F215" s="133" t="n"/>
      <c r="G215" s="133" t="n"/>
      <c r="H215" s="50" t="n"/>
      <c r="I215" s="51">
        <f>IF($C215="","",IFERROR(INDEX(WorkerIDs,MATCH($C215,WorkerNames,0)),"?"))</f>
        <v/>
      </c>
      <c r="J215" s="253">
        <f>IF($B215="","",$B215-WEEKDAY($B215,2)+1)</f>
        <v/>
      </c>
      <c r="K215" s="142">
        <f>IF(OR($I215="",$I215="?",$D215&lt;&gt;"Advance",$B215=""),"",$I215&amp;"|"&amp;$J215&amp;"|"&amp;COUNTIFS($I$7:$I215,$I215,$J$7:$J215,$J215,$D$7:$D215,"Advance"))</f>
        <v/>
      </c>
      <c r="L215" s="266">
        <f>IF(OR($I215="",$I215="?",$B215=""),"",SUMPRODUCT((Weeks!$A$7:$A$59&lt;=$J215)*(Weeks!$X$5:$AI$5=$I215)*Weeks!$X$7:$AI$59)-SUMIFS($E$7:$E$1006,$I$7:$I$1006,$I215,$B$7:$B$1006,"&lt;="&amp;$B215))</f>
        <v/>
      </c>
      <c r="M215" s="132">
        <f>IF($B215&amp;$C215&amp;$D215&amp;$E215="","",IF($B215="","missing date",IF($C215="","missing worker",IF($I215="?","unknown worker - was the name changed on Workers?",IF($D215="","missing type",IF(N($E215)=0,"missing amount",IF(AND($E215&lt;0,$D215&lt;&gt;"Correction"),"negative amount - use a Correction to undo",IF(OR($B215&lt;Weeks!$A$7,$B215&gt;Weeks!$B$59),"date outside this workbook's year",IF(AND($D215="Advance",N($L215)&lt;0),"Warning: more than earned so far - worker now owes "&amp;TEXT(ROUND(-$L215,0),"#,##0"),"")))))))))</f>
        <v/>
      </c>
      <c r="N215" s="125" t="n"/>
      <c r="O215" s="126" t="n"/>
      <c r="P215" s="126" t="n"/>
      <c r="Q215" s="126" t="n"/>
      <c r="R215" s="126" t="n"/>
      <c r="S215" s="126" t="n"/>
      <c r="T215" s="126" t="n"/>
      <c r="U215" s="126" t="n"/>
      <c r="V215" s="126" t="n"/>
      <c r="W215" s="126" t="n"/>
      <c r="X215" s="126" t="n"/>
      <c r="Y215" s="126" t="n"/>
      <c r="Z215" s="126" t="n"/>
      <c r="AA215" s="126" t="n"/>
      <c r="AB215" s="126" t="n"/>
      <c r="AC215" s="126" t="n"/>
      <c r="AD215" s="126" t="n"/>
      <c r="AE215" s="126" t="n"/>
      <c r="AF215" s="126" t="n"/>
      <c r="AG215" s="126" t="n"/>
      <c r="AH215" s="126" t="n"/>
      <c r="AI215" s="126" t="n"/>
      <c r="AJ215" s="126" t="n"/>
      <c r="AK215" s="126" t="n"/>
      <c r="AL215" s="126" t="n"/>
      <c r="AM215" s="126" t="n"/>
      <c r="AN215" s="126" t="n"/>
    </row>
    <row r="216" ht="21" customFormat="1" customHeight="1" s="127">
      <c r="A216" s="51">
        <f>IF($B216="","",ROW()-6)</f>
        <v/>
      </c>
      <c r="B216" s="268" t="n"/>
      <c r="C216" s="133" t="n"/>
      <c r="D216" s="50" t="n"/>
      <c r="E216" s="265" t="n"/>
      <c r="F216" s="133" t="n"/>
      <c r="G216" s="133" t="n"/>
      <c r="H216" s="50" t="n"/>
      <c r="I216" s="51">
        <f>IF($C216="","",IFERROR(INDEX(WorkerIDs,MATCH($C216,WorkerNames,0)),"?"))</f>
        <v/>
      </c>
      <c r="J216" s="253">
        <f>IF($B216="","",$B216-WEEKDAY($B216,2)+1)</f>
        <v/>
      </c>
      <c r="K216" s="142">
        <f>IF(OR($I216="",$I216="?",$D216&lt;&gt;"Advance",$B216=""),"",$I216&amp;"|"&amp;$J216&amp;"|"&amp;COUNTIFS($I$7:$I216,$I216,$J$7:$J216,$J216,$D$7:$D216,"Advance"))</f>
        <v/>
      </c>
      <c r="L216" s="266">
        <f>IF(OR($I216="",$I216="?",$B216=""),"",SUMPRODUCT((Weeks!$A$7:$A$59&lt;=$J216)*(Weeks!$X$5:$AI$5=$I216)*Weeks!$X$7:$AI$59)-SUMIFS($E$7:$E$1006,$I$7:$I$1006,$I216,$B$7:$B$1006,"&lt;="&amp;$B216))</f>
        <v/>
      </c>
      <c r="M216" s="132">
        <f>IF($B216&amp;$C216&amp;$D216&amp;$E216="","",IF($B216="","missing date",IF($C216="","missing worker",IF($I216="?","unknown worker - was the name changed on Workers?",IF($D216="","missing type",IF(N($E216)=0,"missing amount",IF(AND($E216&lt;0,$D216&lt;&gt;"Correction"),"negative amount - use a Correction to undo",IF(OR($B216&lt;Weeks!$A$7,$B216&gt;Weeks!$B$59),"date outside this workbook's year",IF(AND($D216="Advance",N($L216)&lt;0),"Warning: more than earned so far - worker now owes "&amp;TEXT(ROUND(-$L216,0),"#,##0"),"")))))))))</f>
        <v/>
      </c>
      <c r="N216" s="125" t="n"/>
      <c r="O216" s="126" t="n"/>
      <c r="P216" s="126" t="n"/>
      <c r="Q216" s="126" t="n"/>
      <c r="R216" s="126" t="n"/>
      <c r="S216" s="126" t="n"/>
      <c r="T216" s="126" t="n"/>
      <c r="U216" s="126" t="n"/>
      <c r="V216" s="126" t="n"/>
      <c r="W216" s="126" t="n"/>
      <c r="X216" s="126" t="n"/>
      <c r="Y216" s="126" t="n"/>
      <c r="Z216" s="126" t="n"/>
      <c r="AA216" s="126" t="n"/>
      <c r="AB216" s="126" t="n"/>
      <c r="AC216" s="126" t="n"/>
      <c r="AD216" s="126" t="n"/>
      <c r="AE216" s="126" t="n"/>
      <c r="AF216" s="126" t="n"/>
      <c r="AG216" s="126" t="n"/>
      <c r="AH216" s="126" t="n"/>
      <c r="AI216" s="126" t="n"/>
      <c r="AJ216" s="126" t="n"/>
      <c r="AK216" s="126" t="n"/>
      <c r="AL216" s="126" t="n"/>
      <c r="AM216" s="126" t="n"/>
      <c r="AN216" s="126" t="n"/>
    </row>
    <row r="217" ht="21" customFormat="1" customHeight="1" s="127">
      <c r="A217" s="51">
        <f>IF($B217="","",ROW()-6)</f>
        <v/>
      </c>
      <c r="B217" s="268" t="n"/>
      <c r="C217" s="133" t="n"/>
      <c r="D217" s="50" t="n"/>
      <c r="E217" s="265" t="n"/>
      <c r="F217" s="133" t="n"/>
      <c r="G217" s="133" t="n"/>
      <c r="H217" s="50" t="n"/>
      <c r="I217" s="51">
        <f>IF($C217="","",IFERROR(INDEX(WorkerIDs,MATCH($C217,WorkerNames,0)),"?"))</f>
        <v/>
      </c>
      <c r="J217" s="253">
        <f>IF($B217="","",$B217-WEEKDAY($B217,2)+1)</f>
        <v/>
      </c>
      <c r="K217" s="142">
        <f>IF(OR($I217="",$I217="?",$D217&lt;&gt;"Advance",$B217=""),"",$I217&amp;"|"&amp;$J217&amp;"|"&amp;COUNTIFS($I$7:$I217,$I217,$J$7:$J217,$J217,$D$7:$D217,"Advance"))</f>
        <v/>
      </c>
      <c r="L217" s="266">
        <f>IF(OR($I217="",$I217="?",$B217=""),"",SUMPRODUCT((Weeks!$A$7:$A$59&lt;=$J217)*(Weeks!$X$5:$AI$5=$I217)*Weeks!$X$7:$AI$59)-SUMIFS($E$7:$E$1006,$I$7:$I$1006,$I217,$B$7:$B$1006,"&lt;="&amp;$B217))</f>
        <v/>
      </c>
      <c r="M217" s="132">
        <f>IF($B217&amp;$C217&amp;$D217&amp;$E217="","",IF($B217="","missing date",IF($C217="","missing worker",IF($I217="?","unknown worker - was the name changed on Workers?",IF($D217="","missing type",IF(N($E217)=0,"missing amount",IF(AND($E217&lt;0,$D217&lt;&gt;"Correction"),"negative amount - use a Correction to undo",IF(OR($B217&lt;Weeks!$A$7,$B217&gt;Weeks!$B$59),"date outside this workbook's year",IF(AND($D217="Advance",N($L217)&lt;0),"Warning: more than earned so far - worker now owes "&amp;TEXT(ROUND(-$L217,0),"#,##0"),"")))))))))</f>
        <v/>
      </c>
      <c r="N217" s="125" t="n"/>
      <c r="O217" s="126" t="n"/>
      <c r="P217" s="126" t="n"/>
      <c r="Q217" s="126" t="n"/>
      <c r="R217" s="126" t="n"/>
      <c r="S217" s="126" t="n"/>
      <c r="T217" s="126" t="n"/>
      <c r="U217" s="126" t="n"/>
      <c r="V217" s="126" t="n"/>
      <c r="W217" s="126" t="n"/>
      <c r="X217" s="126" t="n"/>
      <c r="Y217" s="126" t="n"/>
      <c r="Z217" s="126" t="n"/>
      <c r="AA217" s="126" t="n"/>
      <c r="AB217" s="126" t="n"/>
      <c r="AC217" s="126" t="n"/>
      <c r="AD217" s="126" t="n"/>
      <c r="AE217" s="126" t="n"/>
      <c r="AF217" s="126" t="n"/>
      <c r="AG217" s="126" t="n"/>
      <c r="AH217" s="126" t="n"/>
      <c r="AI217" s="126" t="n"/>
      <c r="AJ217" s="126" t="n"/>
      <c r="AK217" s="126" t="n"/>
      <c r="AL217" s="126" t="n"/>
      <c r="AM217" s="126" t="n"/>
      <c r="AN217" s="126" t="n"/>
    </row>
    <row r="218" ht="21" customFormat="1" customHeight="1" s="127">
      <c r="A218" s="51">
        <f>IF($B218="","",ROW()-6)</f>
        <v/>
      </c>
      <c r="B218" s="268" t="n"/>
      <c r="C218" s="133" t="n"/>
      <c r="D218" s="50" t="n"/>
      <c r="E218" s="265" t="n"/>
      <c r="F218" s="133" t="n"/>
      <c r="G218" s="133" t="n"/>
      <c r="H218" s="50" t="n"/>
      <c r="I218" s="51">
        <f>IF($C218="","",IFERROR(INDEX(WorkerIDs,MATCH($C218,WorkerNames,0)),"?"))</f>
        <v/>
      </c>
      <c r="J218" s="253">
        <f>IF($B218="","",$B218-WEEKDAY($B218,2)+1)</f>
        <v/>
      </c>
      <c r="K218" s="142">
        <f>IF(OR($I218="",$I218="?",$D218&lt;&gt;"Advance",$B218=""),"",$I218&amp;"|"&amp;$J218&amp;"|"&amp;COUNTIFS($I$7:$I218,$I218,$J$7:$J218,$J218,$D$7:$D218,"Advance"))</f>
        <v/>
      </c>
      <c r="L218" s="266">
        <f>IF(OR($I218="",$I218="?",$B218=""),"",SUMPRODUCT((Weeks!$A$7:$A$59&lt;=$J218)*(Weeks!$X$5:$AI$5=$I218)*Weeks!$X$7:$AI$59)-SUMIFS($E$7:$E$1006,$I$7:$I$1006,$I218,$B$7:$B$1006,"&lt;="&amp;$B218))</f>
        <v/>
      </c>
      <c r="M218" s="132">
        <f>IF($B218&amp;$C218&amp;$D218&amp;$E218="","",IF($B218="","missing date",IF($C218="","missing worker",IF($I218="?","unknown worker - was the name changed on Workers?",IF($D218="","missing type",IF(N($E218)=0,"missing amount",IF(AND($E218&lt;0,$D218&lt;&gt;"Correction"),"negative amount - use a Correction to undo",IF(OR($B218&lt;Weeks!$A$7,$B218&gt;Weeks!$B$59),"date outside this workbook's year",IF(AND($D218="Advance",N($L218)&lt;0),"Warning: more than earned so far - worker now owes "&amp;TEXT(ROUND(-$L218,0),"#,##0"),"")))))))))</f>
        <v/>
      </c>
      <c r="N218" s="125" t="n"/>
      <c r="O218" s="126" t="n"/>
      <c r="P218" s="126" t="n"/>
      <c r="Q218" s="126" t="n"/>
      <c r="R218" s="126" t="n"/>
      <c r="S218" s="126" t="n"/>
      <c r="T218" s="126" t="n"/>
      <c r="U218" s="126" t="n"/>
      <c r="V218" s="126" t="n"/>
      <c r="W218" s="126" t="n"/>
      <c r="X218" s="126" t="n"/>
      <c r="Y218" s="126" t="n"/>
      <c r="Z218" s="126" t="n"/>
      <c r="AA218" s="126" t="n"/>
      <c r="AB218" s="126" t="n"/>
      <c r="AC218" s="126" t="n"/>
      <c r="AD218" s="126" t="n"/>
      <c r="AE218" s="126" t="n"/>
      <c r="AF218" s="126" t="n"/>
      <c r="AG218" s="126" t="n"/>
      <c r="AH218" s="126" t="n"/>
      <c r="AI218" s="126" t="n"/>
      <c r="AJ218" s="126" t="n"/>
      <c r="AK218" s="126" t="n"/>
      <c r="AL218" s="126" t="n"/>
      <c r="AM218" s="126" t="n"/>
      <c r="AN218" s="126" t="n"/>
    </row>
    <row r="219" ht="21" customFormat="1" customHeight="1" s="127">
      <c r="A219" s="51">
        <f>IF($B219="","",ROW()-6)</f>
        <v/>
      </c>
      <c r="B219" s="268" t="n"/>
      <c r="C219" s="133" t="n"/>
      <c r="D219" s="50" t="n"/>
      <c r="E219" s="265" t="n"/>
      <c r="F219" s="133" t="n"/>
      <c r="G219" s="133" t="n"/>
      <c r="H219" s="50" t="n"/>
      <c r="I219" s="51">
        <f>IF($C219="","",IFERROR(INDEX(WorkerIDs,MATCH($C219,WorkerNames,0)),"?"))</f>
        <v/>
      </c>
      <c r="J219" s="253">
        <f>IF($B219="","",$B219-WEEKDAY($B219,2)+1)</f>
        <v/>
      </c>
      <c r="K219" s="142">
        <f>IF(OR($I219="",$I219="?",$D219&lt;&gt;"Advance",$B219=""),"",$I219&amp;"|"&amp;$J219&amp;"|"&amp;COUNTIFS($I$7:$I219,$I219,$J$7:$J219,$J219,$D$7:$D219,"Advance"))</f>
        <v/>
      </c>
      <c r="L219" s="266">
        <f>IF(OR($I219="",$I219="?",$B219=""),"",SUMPRODUCT((Weeks!$A$7:$A$59&lt;=$J219)*(Weeks!$X$5:$AI$5=$I219)*Weeks!$X$7:$AI$59)-SUMIFS($E$7:$E$1006,$I$7:$I$1006,$I219,$B$7:$B$1006,"&lt;="&amp;$B219))</f>
        <v/>
      </c>
      <c r="M219" s="132">
        <f>IF($B219&amp;$C219&amp;$D219&amp;$E219="","",IF($B219="","missing date",IF($C219="","missing worker",IF($I219="?","unknown worker - was the name changed on Workers?",IF($D219="","missing type",IF(N($E219)=0,"missing amount",IF(AND($E219&lt;0,$D219&lt;&gt;"Correction"),"negative amount - use a Correction to undo",IF(OR($B219&lt;Weeks!$A$7,$B219&gt;Weeks!$B$59),"date outside this workbook's year",IF(AND($D219="Advance",N($L219)&lt;0),"Warning: more than earned so far - worker now owes "&amp;TEXT(ROUND(-$L219,0),"#,##0"),"")))))))))</f>
        <v/>
      </c>
      <c r="N219" s="125" t="n"/>
      <c r="O219" s="126" t="n"/>
      <c r="P219" s="126" t="n"/>
      <c r="Q219" s="126" t="n"/>
      <c r="R219" s="126" t="n"/>
      <c r="S219" s="126" t="n"/>
      <c r="T219" s="126" t="n"/>
      <c r="U219" s="126" t="n"/>
      <c r="V219" s="126" t="n"/>
      <c r="W219" s="126" t="n"/>
      <c r="X219" s="126" t="n"/>
      <c r="Y219" s="126" t="n"/>
      <c r="Z219" s="126" t="n"/>
      <c r="AA219" s="126" t="n"/>
      <c r="AB219" s="126" t="n"/>
      <c r="AC219" s="126" t="n"/>
      <c r="AD219" s="126" t="n"/>
      <c r="AE219" s="126" t="n"/>
      <c r="AF219" s="126" t="n"/>
      <c r="AG219" s="126" t="n"/>
      <c r="AH219" s="126" t="n"/>
      <c r="AI219" s="126" t="n"/>
      <c r="AJ219" s="126" t="n"/>
      <c r="AK219" s="126" t="n"/>
      <c r="AL219" s="126" t="n"/>
      <c r="AM219" s="126" t="n"/>
      <c r="AN219" s="126" t="n"/>
    </row>
    <row r="220" ht="21" customFormat="1" customHeight="1" s="127">
      <c r="A220" s="51">
        <f>IF($B220="","",ROW()-6)</f>
        <v/>
      </c>
      <c r="B220" s="268" t="n"/>
      <c r="C220" s="133" t="n"/>
      <c r="D220" s="50" t="n"/>
      <c r="E220" s="265" t="n"/>
      <c r="F220" s="133" t="n"/>
      <c r="G220" s="133" t="n"/>
      <c r="H220" s="50" t="n"/>
      <c r="I220" s="51">
        <f>IF($C220="","",IFERROR(INDEX(WorkerIDs,MATCH($C220,WorkerNames,0)),"?"))</f>
        <v/>
      </c>
      <c r="J220" s="253">
        <f>IF($B220="","",$B220-WEEKDAY($B220,2)+1)</f>
        <v/>
      </c>
      <c r="K220" s="142">
        <f>IF(OR($I220="",$I220="?",$D220&lt;&gt;"Advance",$B220=""),"",$I220&amp;"|"&amp;$J220&amp;"|"&amp;COUNTIFS($I$7:$I220,$I220,$J$7:$J220,$J220,$D$7:$D220,"Advance"))</f>
        <v/>
      </c>
      <c r="L220" s="266">
        <f>IF(OR($I220="",$I220="?",$B220=""),"",SUMPRODUCT((Weeks!$A$7:$A$59&lt;=$J220)*(Weeks!$X$5:$AI$5=$I220)*Weeks!$X$7:$AI$59)-SUMIFS($E$7:$E$1006,$I$7:$I$1006,$I220,$B$7:$B$1006,"&lt;="&amp;$B220))</f>
        <v/>
      </c>
      <c r="M220" s="132">
        <f>IF($B220&amp;$C220&amp;$D220&amp;$E220="","",IF($B220="","missing date",IF($C220="","missing worker",IF($I220="?","unknown worker - was the name changed on Workers?",IF($D220="","missing type",IF(N($E220)=0,"missing amount",IF(AND($E220&lt;0,$D220&lt;&gt;"Correction"),"negative amount - use a Correction to undo",IF(OR($B220&lt;Weeks!$A$7,$B220&gt;Weeks!$B$59),"date outside this workbook's year",IF(AND($D220="Advance",N($L220)&lt;0),"Warning: more than earned so far - worker now owes "&amp;TEXT(ROUND(-$L220,0),"#,##0"),"")))))))))</f>
        <v/>
      </c>
      <c r="N220" s="125" t="n"/>
      <c r="O220" s="126" t="n"/>
      <c r="P220" s="126" t="n"/>
      <c r="Q220" s="126" t="n"/>
      <c r="R220" s="126" t="n"/>
      <c r="S220" s="126" t="n"/>
      <c r="T220" s="126" t="n"/>
      <c r="U220" s="126" t="n"/>
      <c r="V220" s="126" t="n"/>
      <c r="W220" s="126" t="n"/>
      <c r="X220" s="126" t="n"/>
      <c r="Y220" s="126" t="n"/>
      <c r="Z220" s="126" t="n"/>
      <c r="AA220" s="126" t="n"/>
      <c r="AB220" s="126" t="n"/>
      <c r="AC220" s="126" t="n"/>
      <c r="AD220" s="126" t="n"/>
      <c r="AE220" s="126" t="n"/>
      <c r="AF220" s="126" t="n"/>
      <c r="AG220" s="126" t="n"/>
      <c r="AH220" s="126" t="n"/>
      <c r="AI220" s="126" t="n"/>
      <c r="AJ220" s="126" t="n"/>
      <c r="AK220" s="126" t="n"/>
      <c r="AL220" s="126" t="n"/>
      <c r="AM220" s="126" t="n"/>
      <c r="AN220" s="126" t="n"/>
    </row>
    <row r="221" ht="21" customFormat="1" customHeight="1" s="127">
      <c r="A221" s="51">
        <f>IF($B221="","",ROW()-6)</f>
        <v/>
      </c>
      <c r="B221" s="268" t="n"/>
      <c r="C221" s="133" t="n"/>
      <c r="D221" s="50" t="n"/>
      <c r="E221" s="265" t="n"/>
      <c r="F221" s="133" t="n"/>
      <c r="G221" s="133" t="n"/>
      <c r="H221" s="50" t="n"/>
      <c r="I221" s="51">
        <f>IF($C221="","",IFERROR(INDEX(WorkerIDs,MATCH($C221,WorkerNames,0)),"?"))</f>
        <v/>
      </c>
      <c r="J221" s="253">
        <f>IF($B221="","",$B221-WEEKDAY($B221,2)+1)</f>
        <v/>
      </c>
      <c r="K221" s="142">
        <f>IF(OR($I221="",$I221="?",$D221&lt;&gt;"Advance",$B221=""),"",$I221&amp;"|"&amp;$J221&amp;"|"&amp;COUNTIFS($I$7:$I221,$I221,$J$7:$J221,$J221,$D$7:$D221,"Advance"))</f>
        <v/>
      </c>
      <c r="L221" s="266">
        <f>IF(OR($I221="",$I221="?",$B221=""),"",SUMPRODUCT((Weeks!$A$7:$A$59&lt;=$J221)*(Weeks!$X$5:$AI$5=$I221)*Weeks!$X$7:$AI$59)-SUMIFS($E$7:$E$1006,$I$7:$I$1006,$I221,$B$7:$B$1006,"&lt;="&amp;$B221))</f>
        <v/>
      </c>
      <c r="M221" s="132">
        <f>IF($B221&amp;$C221&amp;$D221&amp;$E221="","",IF($B221="","missing date",IF($C221="","missing worker",IF($I221="?","unknown worker - was the name changed on Workers?",IF($D221="","missing type",IF(N($E221)=0,"missing amount",IF(AND($E221&lt;0,$D221&lt;&gt;"Correction"),"negative amount - use a Correction to undo",IF(OR($B221&lt;Weeks!$A$7,$B221&gt;Weeks!$B$59),"date outside this workbook's year",IF(AND($D221="Advance",N($L221)&lt;0),"Warning: more than earned so far - worker now owes "&amp;TEXT(ROUND(-$L221,0),"#,##0"),"")))))))))</f>
        <v/>
      </c>
      <c r="N221" s="125" t="n"/>
      <c r="O221" s="126" t="n"/>
      <c r="P221" s="126" t="n"/>
      <c r="Q221" s="126" t="n"/>
      <c r="R221" s="126" t="n"/>
      <c r="S221" s="126" t="n"/>
      <c r="T221" s="126" t="n"/>
      <c r="U221" s="126" t="n"/>
      <c r="V221" s="126" t="n"/>
      <c r="W221" s="126" t="n"/>
      <c r="X221" s="126" t="n"/>
      <c r="Y221" s="126" t="n"/>
      <c r="Z221" s="126" t="n"/>
      <c r="AA221" s="126" t="n"/>
      <c r="AB221" s="126" t="n"/>
      <c r="AC221" s="126" t="n"/>
      <c r="AD221" s="126" t="n"/>
      <c r="AE221" s="126" t="n"/>
      <c r="AF221" s="126" t="n"/>
      <c r="AG221" s="126" t="n"/>
      <c r="AH221" s="126" t="n"/>
      <c r="AI221" s="126" t="n"/>
      <c r="AJ221" s="126" t="n"/>
      <c r="AK221" s="126" t="n"/>
      <c r="AL221" s="126" t="n"/>
      <c r="AM221" s="126" t="n"/>
      <c r="AN221" s="126" t="n"/>
    </row>
    <row r="222" ht="21" customFormat="1" customHeight="1" s="127">
      <c r="A222" s="51">
        <f>IF($B222="","",ROW()-6)</f>
        <v/>
      </c>
      <c r="B222" s="268" t="n"/>
      <c r="C222" s="133" t="n"/>
      <c r="D222" s="50" t="n"/>
      <c r="E222" s="265" t="n"/>
      <c r="F222" s="133" t="n"/>
      <c r="G222" s="133" t="n"/>
      <c r="H222" s="50" t="n"/>
      <c r="I222" s="51">
        <f>IF($C222="","",IFERROR(INDEX(WorkerIDs,MATCH($C222,WorkerNames,0)),"?"))</f>
        <v/>
      </c>
      <c r="J222" s="253">
        <f>IF($B222="","",$B222-WEEKDAY($B222,2)+1)</f>
        <v/>
      </c>
      <c r="K222" s="142">
        <f>IF(OR($I222="",$I222="?",$D222&lt;&gt;"Advance",$B222=""),"",$I222&amp;"|"&amp;$J222&amp;"|"&amp;COUNTIFS($I$7:$I222,$I222,$J$7:$J222,$J222,$D$7:$D222,"Advance"))</f>
        <v/>
      </c>
      <c r="L222" s="266">
        <f>IF(OR($I222="",$I222="?",$B222=""),"",SUMPRODUCT((Weeks!$A$7:$A$59&lt;=$J222)*(Weeks!$X$5:$AI$5=$I222)*Weeks!$X$7:$AI$59)-SUMIFS($E$7:$E$1006,$I$7:$I$1006,$I222,$B$7:$B$1006,"&lt;="&amp;$B222))</f>
        <v/>
      </c>
      <c r="M222" s="132">
        <f>IF($B222&amp;$C222&amp;$D222&amp;$E222="","",IF($B222="","missing date",IF($C222="","missing worker",IF($I222="?","unknown worker - was the name changed on Workers?",IF($D222="","missing type",IF(N($E222)=0,"missing amount",IF(AND($E222&lt;0,$D222&lt;&gt;"Correction"),"negative amount - use a Correction to undo",IF(OR($B222&lt;Weeks!$A$7,$B222&gt;Weeks!$B$59),"date outside this workbook's year",IF(AND($D222="Advance",N($L222)&lt;0),"Warning: more than earned so far - worker now owes "&amp;TEXT(ROUND(-$L222,0),"#,##0"),"")))))))))</f>
        <v/>
      </c>
      <c r="N222" s="125" t="n"/>
      <c r="O222" s="126" t="n"/>
      <c r="P222" s="126" t="n"/>
      <c r="Q222" s="126" t="n"/>
      <c r="R222" s="126" t="n"/>
      <c r="S222" s="126" t="n"/>
      <c r="T222" s="126" t="n"/>
      <c r="U222" s="126" t="n"/>
      <c r="V222" s="126" t="n"/>
      <c r="W222" s="126" t="n"/>
      <c r="X222" s="126" t="n"/>
      <c r="Y222" s="126" t="n"/>
      <c r="Z222" s="126" t="n"/>
      <c r="AA222" s="126" t="n"/>
      <c r="AB222" s="126" t="n"/>
      <c r="AC222" s="126" t="n"/>
      <c r="AD222" s="126" t="n"/>
      <c r="AE222" s="126" t="n"/>
      <c r="AF222" s="126" t="n"/>
      <c r="AG222" s="126" t="n"/>
      <c r="AH222" s="126" t="n"/>
      <c r="AI222" s="126" t="n"/>
      <c r="AJ222" s="126" t="n"/>
      <c r="AK222" s="126" t="n"/>
      <c r="AL222" s="126" t="n"/>
      <c r="AM222" s="126" t="n"/>
      <c r="AN222" s="126" t="n"/>
    </row>
    <row r="223" ht="21" customFormat="1" customHeight="1" s="127">
      <c r="A223" s="51">
        <f>IF($B223="","",ROW()-6)</f>
        <v/>
      </c>
      <c r="B223" s="268" t="n"/>
      <c r="C223" s="133" t="n"/>
      <c r="D223" s="50" t="n"/>
      <c r="E223" s="265" t="n"/>
      <c r="F223" s="133" t="n"/>
      <c r="G223" s="133" t="n"/>
      <c r="H223" s="50" t="n"/>
      <c r="I223" s="51">
        <f>IF($C223="","",IFERROR(INDEX(WorkerIDs,MATCH($C223,WorkerNames,0)),"?"))</f>
        <v/>
      </c>
      <c r="J223" s="253">
        <f>IF($B223="","",$B223-WEEKDAY($B223,2)+1)</f>
        <v/>
      </c>
      <c r="K223" s="142">
        <f>IF(OR($I223="",$I223="?",$D223&lt;&gt;"Advance",$B223=""),"",$I223&amp;"|"&amp;$J223&amp;"|"&amp;COUNTIFS($I$7:$I223,$I223,$J$7:$J223,$J223,$D$7:$D223,"Advance"))</f>
        <v/>
      </c>
      <c r="L223" s="266">
        <f>IF(OR($I223="",$I223="?",$B223=""),"",SUMPRODUCT((Weeks!$A$7:$A$59&lt;=$J223)*(Weeks!$X$5:$AI$5=$I223)*Weeks!$X$7:$AI$59)-SUMIFS($E$7:$E$1006,$I$7:$I$1006,$I223,$B$7:$B$1006,"&lt;="&amp;$B223))</f>
        <v/>
      </c>
      <c r="M223" s="132">
        <f>IF($B223&amp;$C223&amp;$D223&amp;$E223="","",IF($B223="","missing date",IF($C223="","missing worker",IF($I223="?","unknown worker - was the name changed on Workers?",IF($D223="","missing type",IF(N($E223)=0,"missing amount",IF(AND($E223&lt;0,$D223&lt;&gt;"Correction"),"negative amount - use a Correction to undo",IF(OR($B223&lt;Weeks!$A$7,$B223&gt;Weeks!$B$59),"date outside this workbook's year",IF(AND($D223="Advance",N($L223)&lt;0),"Warning: more than earned so far - worker now owes "&amp;TEXT(ROUND(-$L223,0),"#,##0"),"")))))))))</f>
        <v/>
      </c>
      <c r="N223" s="125" t="n"/>
      <c r="O223" s="126" t="n"/>
      <c r="P223" s="126" t="n"/>
      <c r="Q223" s="126" t="n"/>
      <c r="R223" s="126" t="n"/>
      <c r="S223" s="126" t="n"/>
      <c r="T223" s="126" t="n"/>
      <c r="U223" s="126" t="n"/>
      <c r="V223" s="126" t="n"/>
      <c r="W223" s="126" t="n"/>
      <c r="X223" s="126" t="n"/>
      <c r="Y223" s="126" t="n"/>
      <c r="Z223" s="126" t="n"/>
      <c r="AA223" s="126" t="n"/>
      <c r="AB223" s="126" t="n"/>
      <c r="AC223" s="126" t="n"/>
      <c r="AD223" s="126" t="n"/>
      <c r="AE223" s="126" t="n"/>
      <c r="AF223" s="126" t="n"/>
      <c r="AG223" s="126" t="n"/>
      <c r="AH223" s="126" t="n"/>
      <c r="AI223" s="126" t="n"/>
      <c r="AJ223" s="126" t="n"/>
      <c r="AK223" s="126" t="n"/>
      <c r="AL223" s="126" t="n"/>
      <c r="AM223" s="126" t="n"/>
      <c r="AN223" s="126" t="n"/>
    </row>
    <row r="224" ht="21" customFormat="1" customHeight="1" s="127">
      <c r="A224" s="51">
        <f>IF($B224="","",ROW()-6)</f>
        <v/>
      </c>
      <c r="B224" s="268" t="n"/>
      <c r="C224" s="133" t="n"/>
      <c r="D224" s="50" t="n"/>
      <c r="E224" s="265" t="n"/>
      <c r="F224" s="133" t="n"/>
      <c r="G224" s="133" t="n"/>
      <c r="H224" s="50" t="n"/>
      <c r="I224" s="51">
        <f>IF($C224="","",IFERROR(INDEX(WorkerIDs,MATCH($C224,WorkerNames,0)),"?"))</f>
        <v/>
      </c>
      <c r="J224" s="253">
        <f>IF($B224="","",$B224-WEEKDAY($B224,2)+1)</f>
        <v/>
      </c>
      <c r="K224" s="142">
        <f>IF(OR($I224="",$I224="?",$D224&lt;&gt;"Advance",$B224=""),"",$I224&amp;"|"&amp;$J224&amp;"|"&amp;COUNTIFS($I$7:$I224,$I224,$J$7:$J224,$J224,$D$7:$D224,"Advance"))</f>
        <v/>
      </c>
      <c r="L224" s="266">
        <f>IF(OR($I224="",$I224="?",$B224=""),"",SUMPRODUCT((Weeks!$A$7:$A$59&lt;=$J224)*(Weeks!$X$5:$AI$5=$I224)*Weeks!$X$7:$AI$59)-SUMIFS($E$7:$E$1006,$I$7:$I$1006,$I224,$B$7:$B$1006,"&lt;="&amp;$B224))</f>
        <v/>
      </c>
      <c r="M224" s="132">
        <f>IF($B224&amp;$C224&amp;$D224&amp;$E224="","",IF($B224="","missing date",IF($C224="","missing worker",IF($I224="?","unknown worker - was the name changed on Workers?",IF($D224="","missing type",IF(N($E224)=0,"missing amount",IF(AND($E224&lt;0,$D224&lt;&gt;"Correction"),"negative amount - use a Correction to undo",IF(OR($B224&lt;Weeks!$A$7,$B224&gt;Weeks!$B$59),"date outside this workbook's year",IF(AND($D224="Advance",N($L224)&lt;0),"Warning: more than earned so far - worker now owes "&amp;TEXT(ROUND(-$L224,0),"#,##0"),"")))))))))</f>
        <v/>
      </c>
      <c r="N224" s="125" t="n"/>
      <c r="O224" s="126" t="n"/>
      <c r="P224" s="126" t="n"/>
      <c r="Q224" s="126" t="n"/>
      <c r="R224" s="126" t="n"/>
      <c r="S224" s="126" t="n"/>
      <c r="T224" s="126" t="n"/>
      <c r="U224" s="126" t="n"/>
      <c r="V224" s="126" t="n"/>
      <c r="W224" s="126" t="n"/>
      <c r="X224" s="126" t="n"/>
      <c r="Y224" s="126" t="n"/>
      <c r="Z224" s="126" t="n"/>
      <c r="AA224" s="126" t="n"/>
      <c r="AB224" s="126" t="n"/>
      <c r="AC224" s="126" t="n"/>
      <c r="AD224" s="126" t="n"/>
      <c r="AE224" s="126" t="n"/>
      <c r="AF224" s="126" t="n"/>
      <c r="AG224" s="126" t="n"/>
      <c r="AH224" s="126" t="n"/>
      <c r="AI224" s="126" t="n"/>
      <c r="AJ224" s="126" t="n"/>
      <c r="AK224" s="126" t="n"/>
      <c r="AL224" s="126" t="n"/>
      <c r="AM224" s="126" t="n"/>
      <c r="AN224" s="126" t="n"/>
    </row>
    <row r="225" ht="21" customFormat="1" customHeight="1" s="127">
      <c r="A225" s="51">
        <f>IF($B225="","",ROW()-6)</f>
        <v/>
      </c>
      <c r="B225" s="268" t="n"/>
      <c r="C225" s="133" t="n"/>
      <c r="D225" s="50" t="n"/>
      <c r="E225" s="265" t="n"/>
      <c r="F225" s="133" t="n"/>
      <c r="G225" s="133" t="n"/>
      <c r="H225" s="50" t="n"/>
      <c r="I225" s="51">
        <f>IF($C225="","",IFERROR(INDEX(WorkerIDs,MATCH($C225,WorkerNames,0)),"?"))</f>
        <v/>
      </c>
      <c r="J225" s="253">
        <f>IF($B225="","",$B225-WEEKDAY($B225,2)+1)</f>
        <v/>
      </c>
      <c r="K225" s="142">
        <f>IF(OR($I225="",$I225="?",$D225&lt;&gt;"Advance",$B225=""),"",$I225&amp;"|"&amp;$J225&amp;"|"&amp;COUNTIFS($I$7:$I225,$I225,$J$7:$J225,$J225,$D$7:$D225,"Advance"))</f>
        <v/>
      </c>
      <c r="L225" s="266">
        <f>IF(OR($I225="",$I225="?",$B225=""),"",SUMPRODUCT((Weeks!$A$7:$A$59&lt;=$J225)*(Weeks!$X$5:$AI$5=$I225)*Weeks!$X$7:$AI$59)-SUMIFS($E$7:$E$1006,$I$7:$I$1006,$I225,$B$7:$B$1006,"&lt;="&amp;$B225))</f>
        <v/>
      </c>
      <c r="M225" s="132">
        <f>IF($B225&amp;$C225&amp;$D225&amp;$E225="","",IF($B225="","missing date",IF($C225="","missing worker",IF($I225="?","unknown worker - was the name changed on Workers?",IF($D225="","missing type",IF(N($E225)=0,"missing amount",IF(AND($E225&lt;0,$D225&lt;&gt;"Correction"),"negative amount - use a Correction to undo",IF(OR($B225&lt;Weeks!$A$7,$B225&gt;Weeks!$B$59),"date outside this workbook's year",IF(AND($D225="Advance",N($L225)&lt;0),"Warning: more than earned so far - worker now owes "&amp;TEXT(ROUND(-$L225,0),"#,##0"),"")))))))))</f>
        <v/>
      </c>
      <c r="N225" s="125" t="n"/>
      <c r="O225" s="126" t="n"/>
      <c r="P225" s="126" t="n"/>
      <c r="Q225" s="126" t="n"/>
      <c r="R225" s="126" t="n"/>
      <c r="S225" s="126" t="n"/>
      <c r="T225" s="126" t="n"/>
      <c r="U225" s="126" t="n"/>
      <c r="V225" s="126" t="n"/>
      <c r="W225" s="126" t="n"/>
      <c r="X225" s="126" t="n"/>
      <c r="Y225" s="126" t="n"/>
      <c r="Z225" s="126" t="n"/>
      <c r="AA225" s="126" t="n"/>
      <c r="AB225" s="126" t="n"/>
      <c r="AC225" s="126" t="n"/>
      <c r="AD225" s="126" t="n"/>
      <c r="AE225" s="126" t="n"/>
      <c r="AF225" s="126" t="n"/>
      <c r="AG225" s="126" t="n"/>
      <c r="AH225" s="126" t="n"/>
      <c r="AI225" s="126" t="n"/>
      <c r="AJ225" s="126" t="n"/>
      <c r="AK225" s="126" t="n"/>
      <c r="AL225" s="126" t="n"/>
      <c r="AM225" s="126" t="n"/>
      <c r="AN225" s="126" t="n"/>
    </row>
    <row r="226" ht="21" customFormat="1" customHeight="1" s="127">
      <c r="A226" s="51">
        <f>IF($B226="","",ROW()-6)</f>
        <v/>
      </c>
      <c r="B226" s="268" t="n"/>
      <c r="C226" s="133" t="n"/>
      <c r="D226" s="50" t="n"/>
      <c r="E226" s="265" t="n"/>
      <c r="F226" s="133" t="n"/>
      <c r="G226" s="133" t="n"/>
      <c r="H226" s="50" t="n"/>
      <c r="I226" s="51">
        <f>IF($C226="","",IFERROR(INDEX(WorkerIDs,MATCH($C226,WorkerNames,0)),"?"))</f>
        <v/>
      </c>
      <c r="J226" s="253">
        <f>IF($B226="","",$B226-WEEKDAY($B226,2)+1)</f>
        <v/>
      </c>
      <c r="K226" s="142">
        <f>IF(OR($I226="",$I226="?",$D226&lt;&gt;"Advance",$B226=""),"",$I226&amp;"|"&amp;$J226&amp;"|"&amp;COUNTIFS($I$7:$I226,$I226,$J$7:$J226,$J226,$D$7:$D226,"Advance"))</f>
        <v/>
      </c>
      <c r="L226" s="266">
        <f>IF(OR($I226="",$I226="?",$B226=""),"",SUMPRODUCT((Weeks!$A$7:$A$59&lt;=$J226)*(Weeks!$X$5:$AI$5=$I226)*Weeks!$X$7:$AI$59)-SUMIFS($E$7:$E$1006,$I$7:$I$1006,$I226,$B$7:$B$1006,"&lt;="&amp;$B226))</f>
        <v/>
      </c>
      <c r="M226" s="132">
        <f>IF($B226&amp;$C226&amp;$D226&amp;$E226="","",IF($B226="","missing date",IF($C226="","missing worker",IF($I226="?","unknown worker - was the name changed on Workers?",IF($D226="","missing type",IF(N($E226)=0,"missing amount",IF(AND($E226&lt;0,$D226&lt;&gt;"Correction"),"negative amount - use a Correction to undo",IF(OR($B226&lt;Weeks!$A$7,$B226&gt;Weeks!$B$59),"date outside this workbook's year",IF(AND($D226="Advance",N($L226)&lt;0),"Warning: more than earned so far - worker now owes "&amp;TEXT(ROUND(-$L226,0),"#,##0"),"")))))))))</f>
        <v/>
      </c>
      <c r="N226" s="125" t="n"/>
      <c r="O226" s="126" t="n"/>
      <c r="P226" s="126" t="n"/>
      <c r="Q226" s="126" t="n"/>
      <c r="R226" s="126" t="n"/>
      <c r="S226" s="126" t="n"/>
      <c r="T226" s="126" t="n"/>
      <c r="U226" s="126" t="n"/>
      <c r="V226" s="126" t="n"/>
      <c r="W226" s="126" t="n"/>
      <c r="X226" s="126" t="n"/>
      <c r="Y226" s="126" t="n"/>
      <c r="Z226" s="126" t="n"/>
      <c r="AA226" s="126" t="n"/>
      <c r="AB226" s="126" t="n"/>
      <c r="AC226" s="126" t="n"/>
      <c r="AD226" s="126" t="n"/>
      <c r="AE226" s="126" t="n"/>
      <c r="AF226" s="126" t="n"/>
      <c r="AG226" s="126" t="n"/>
      <c r="AH226" s="126" t="n"/>
      <c r="AI226" s="126" t="n"/>
      <c r="AJ226" s="126" t="n"/>
      <c r="AK226" s="126" t="n"/>
      <c r="AL226" s="126" t="n"/>
      <c r="AM226" s="126" t="n"/>
      <c r="AN226" s="126" t="n"/>
    </row>
    <row r="227" ht="21" customFormat="1" customHeight="1" s="127">
      <c r="A227" s="51">
        <f>IF($B227="","",ROW()-6)</f>
        <v/>
      </c>
      <c r="B227" s="268" t="n"/>
      <c r="C227" s="133" t="n"/>
      <c r="D227" s="50" t="n"/>
      <c r="E227" s="265" t="n"/>
      <c r="F227" s="133" t="n"/>
      <c r="G227" s="133" t="n"/>
      <c r="H227" s="50" t="n"/>
      <c r="I227" s="51">
        <f>IF($C227="","",IFERROR(INDEX(WorkerIDs,MATCH($C227,WorkerNames,0)),"?"))</f>
        <v/>
      </c>
      <c r="J227" s="253">
        <f>IF($B227="","",$B227-WEEKDAY($B227,2)+1)</f>
        <v/>
      </c>
      <c r="K227" s="142">
        <f>IF(OR($I227="",$I227="?",$D227&lt;&gt;"Advance",$B227=""),"",$I227&amp;"|"&amp;$J227&amp;"|"&amp;COUNTIFS($I$7:$I227,$I227,$J$7:$J227,$J227,$D$7:$D227,"Advance"))</f>
        <v/>
      </c>
      <c r="L227" s="266">
        <f>IF(OR($I227="",$I227="?",$B227=""),"",SUMPRODUCT((Weeks!$A$7:$A$59&lt;=$J227)*(Weeks!$X$5:$AI$5=$I227)*Weeks!$X$7:$AI$59)-SUMIFS($E$7:$E$1006,$I$7:$I$1006,$I227,$B$7:$B$1006,"&lt;="&amp;$B227))</f>
        <v/>
      </c>
      <c r="M227" s="132">
        <f>IF($B227&amp;$C227&amp;$D227&amp;$E227="","",IF($B227="","missing date",IF($C227="","missing worker",IF($I227="?","unknown worker - was the name changed on Workers?",IF($D227="","missing type",IF(N($E227)=0,"missing amount",IF(AND($E227&lt;0,$D227&lt;&gt;"Correction"),"negative amount - use a Correction to undo",IF(OR($B227&lt;Weeks!$A$7,$B227&gt;Weeks!$B$59),"date outside this workbook's year",IF(AND($D227="Advance",N($L227)&lt;0),"Warning: more than earned so far - worker now owes "&amp;TEXT(ROUND(-$L227,0),"#,##0"),"")))))))))</f>
        <v/>
      </c>
      <c r="N227" s="125" t="n"/>
      <c r="O227" s="126" t="n"/>
      <c r="P227" s="126" t="n"/>
      <c r="Q227" s="126" t="n"/>
      <c r="R227" s="126" t="n"/>
      <c r="S227" s="126" t="n"/>
      <c r="T227" s="126" t="n"/>
      <c r="U227" s="126" t="n"/>
      <c r="V227" s="126" t="n"/>
      <c r="W227" s="126" t="n"/>
      <c r="X227" s="126" t="n"/>
      <c r="Y227" s="126" t="n"/>
      <c r="Z227" s="126" t="n"/>
      <c r="AA227" s="126" t="n"/>
      <c r="AB227" s="126" t="n"/>
      <c r="AC227" s="126" t="n"/>
      <c r="AD227" s="126" t="n"/>
      <c r="AE227" s="126" t="n"/>
      <c r="AF227" s="126" t="n"/>
      <c r="AG227" s="126" t="n"/>
      <c r="AH227" s="126" t="n"/>
      <c r="AI227" s="126" t="n"/>
      <c r="AJ227" s="126" t="n"/>
      <c r="AK227" s="126" t="n"/>
      <c r="AL227" s="126" t="n"/>
      <c r="AM227" s="126" t="n"/>
      <c r="AN227" s="126" t="n"/>
    </row>
    <row r="228" ht="21" customFormat="1" customHeight="1" s="127">
      <c r="A228" s="51">
        <f>IF($B228="","",ROW()-6)</f>
        <v/>
      </c>
      <c r="B228" s="268" t="n"/>
      <c r="C228" s="133" t="n"/>
      <c r="D228" s="50" t="n"/>
      <c r="E228" s="265" t="n"/>
      <c r="F228" s="133" t="n"/>
      <c r="G228" s="133" t="n"/>
      <c r="H228" s="50" t="n"/>
      <c r="I228" s="51">
        <f>IF($C228="","",IFERROR(INDEX(WorkerIDs,MATCH($C228,WorkerNames,0)),"?"))</f>
        <v/>
      </c>
      <c r="J228" s="253">
        <f>IF($B228="","",$B228-WEEKDAY($B228,2)+1)</f>
        <v/>
      </c>
      <c r="K228" s="142">
        <f>IF(OR($I228="",$I228="?",$D228&lt;&gt;"Advance",$B228=""),"",$I228&amp;"|"&amp;$J228&amp;"|"&amp;COUNTIFS($I$7:$I228,$I228,$J$7:$J228,$J228,$D$7:$D228,"Advance"))</f>
        <v/>
      </c>
      <c r="L228" s="266">
        <f>IF(OR($I228="",$I228="?",$B228=""),"",SUMPRODUCT((Weeks!$A$7:$A$59&lt;=$J228)*(Weeks!$X$5:$AI$5=$I228)*Weeks!$X$7:$AI$59)-SUMIFS($E$7:$E$1006,$I$7:$I$1006,$I228,$B$7:$B$1006,"&lt;="&amp;$B228))</f>
        <v/>
      </c>
      <c r="M228" s="132">
        <f>IF($B228&amp;$C228&amp;$D228&amp;$E228="","",IF($B228="","missing date",IF($C228="","missing worker",IF($I228="?","unknown worker - was the name changed on Workers?",IF($D228="","missing type",IF(N($E228)=0,"missing amount",IF(AND($E228&lt;0,$D228&lt;&gt;"Correction"),"negative amount - use a Correction to undo",IF(OR($B228&lt;Weeks!$A$7,$B228&gt;Weeks!$B$59),"date outside this workbook's year",IF(AND($D228="Advance",N($L228)&lt;0),"Warning: more than earned so far - worker now owes "&amp;TEXT(ROUND(-$L228,0),"#,##0"),"")))))))))</f>
        <v/>
      </c>
      <c r="N228" s="125" t="n"/>
      <c r="O228" s="126" t="n"/>
      <c r="P228" s="126" t="n"/>
      <c r="Q228" s="126" t="n"/>
      <c r="R228" s="126" t="n"/>
      <c r="S228" s="126" t="n"/>
      <c r="T228" s="126" t="n"/>
      <c r="U228" s="126" t="n"/>
      <c r="V228" s="126" t="n"/>
      <c r="W228" s="126" t="n"/>
      <c r="X228" s="126" t="n"/>
      <c r="Y228" s="126" t="n"/>
      <c r="Z228" s="126" t="n"/>
      <c r="AA228" s="126" t="n"/>
      <c r="AB228" s="126" t="n"/>
      <c r="AC228" s="126" t="n"/>
      <c r="AD228" s="126" t="n"/>
      <c r="AE228" s="126" t="n"/>
      <c r="AF228" s="126" t="n"/>
      <c r="AG228" s="126" t="n"/>
      <c r="AH228" s="126" t="n"/>
      <c r="AI228" s="126" t="n"/>
      <c r="AJ228" s="126" t="n"/>
      <c r="AK228" s="126" t="n"/>
      <c r="AL228" s="126" t="n"/>
      <c r="AM228" s="126" t="n"/>
      <c r="AN228" s="126" t="n"/>
    </row>
    <row r="229" ht="21" customFormat="1" customHeight="1" s="127">
      <c r="A229" s="51">
        <f>IF($B229="","",ROW()-6)</f>
        <v/>
      </c>
      <c r="B229" s="268" t="n"/>
      <c r="C229" s="133" t="n"/>
      <c r="D229" s="50" t="n"/>
      <c r="E229" s="265" t="n"/>
      <c r="F229" s="133" t="n"/>
      <c r="G229" s="133" t="n"/>
      <c r="H229" s="50" t="n"/>
      <c r="I229" s="51">
        <f>IF($C229="","",IFERROR(INDEX(WorkerIDs,MATCH($C229,WorkerNames,0)),"?"))</f>
        <v/>
      </c>
      <c r="J229" s="253">
        <f>IF($B229="","",$B229-WEEKDAY($B229,2)+1)</f>
        <v/>
      </c>
      <c r="K229" s="142">
        <f>IF(OR($I229="",$I229="?",$D229&lt;&gt;"Advance",$B229=""),"",$I229&amp;"|"&amp;$J229&amp;"|"&amp;COUNTIFS($I$7:$I229,$I229,$J$7:$J229,$J229,$D$7:$D229,"Advance"))</f>
        <v/>
      </c>
      <c r="L229" s="266">
        <f>IF(OR($I229="",$I229="?",$B229=""),"",SUMPRODUCT((Weeks!$A$7:$A$59&lt;=$J229)*(Weeks!$X$5:$AI$5=$I229)*Weeks!$X$7:$AI$59)-SUMIFS($E$7:$E$1006,$I$7:$I$1006,$I229,$B$7:$B$1006,"&lt;="&amp;$B229))</f>
        <v/>
      </c>
      <c r="M229" s="132">
        <f>IF($B229&amp;$C229&amp;$D229&amp;$E229="","",IF($B229="","missing date",IF($C229="","missing worker",IF($I229="?","unknown worker - was the name changed on Workers?",IF($D229="","missing type",IF(N($E229)=0,"missing amount",IF(AND($E229&lt;0,$D229&lt;&gt;"Correction"),"negative amount - use a Correction to undo",IF(OR($B229&lt;Weeks!$A$7,$B229&gt;Weeks!$B$59),"date outside this workbook's year",IF(AND($D229="Advance",N($L229)&lt;0),"Warning: more than earned so far - worker now owes "&amp;TEXT(ROUND(-$L229,0),"#,##0"),"")))))))))</f>
        <v/>
      </c>
      <c r="N229" s="125" t="n"/>
      <c r="O229" s="126" t="n"/>
      <c r="P229" s="126" t="n"/>
      <c r="Q229" s="126" t="n"/>
      <c r="R229" s="126" t="n"/>
      <c r="S229" s="126" t="n"/>
      <c r="T229" s="126" t="n"/>
      <c r="U229" s="126" t="n"/>
      <c r="V229" s="126" t="n"/>
      <c r="W229" s="126" t="n"/>
      <c r="X229" s="126" t="n"/>
      <c r="Y229" s="126" t="n"/>
      <c r="Z229" s="126" t="n"/>
      <c r="AA229" s="126" t="n"/>
      <c r="AB229" s="126" t="n"/>
      <c r="AC229" s="126" t="n"/>
      <c r="AD229" s="126" t="n"/>
      <c r="AE229" s="126" t="n"/>
      <c r="AF229" s="126" t="n"/>
      <c r="AG229" s="126" t="n"/>
      <c r="AH229" s="126" t="n"/>
      <c r="AI229" s="126" t="n"/>
      <c r="AJ229" s="126" t="n"/>
      <c r="AK229" s="126" t="n"/>
      <c r="AL229" s="126" t="n"/>
      <c r="AM229" s="126" t="n"/>
      <c r="AN229" s="126" t="n"/>
    </row>
    <row r="230" ht="21" customFormat="1" customHeight="1" s="127">
      <c r="A230" s="51">
        <f>IF($B230="","",ROW()-6)</f>
        <v/>
      </c>
      <c r="B230" s="268" t="n"/>
      <c r="C230" s="133" t="n"/>
      <c r="D230" s="50" t="n"/>
      <c r="E230" s="265" t="n"/>
      <c r="F230" s="133" t="n"/>
      <c r="G230" s="133" t="n"/>
      <c r="H230" s="50" t="n"/>
      <c r="I230" s="51">
        <f>IF($C230="","",IFERROR(INDEX(WorkerIDs,MATCH($C230,WorkerNames,0)),"?"))</f>
        <v/>
      </c>
      <c r="J230" s="253">
        <f>IF($B230="","",$B230-WEEKDAY($B230,2)+1)</f>
        <v/>
      </c>
      <c r="K230" s="142">
        <f>IF(OR($I230="",$I230="?",$D230&lt;&gt;"Advance",$B230=""),"",$I230&amp;"|"&amp;$J230&amp;"|"&amp;COUNTIFS($I$7:$I230,$I230,$J$7:$J230,$J230,$D$7:$D230,"Advance"))</f>
        <v/>
      </c>
      <c r="L230" s="266">
        <f>IF(OR($I230="",$I230="?",$B230=""),"",SUMPRODUCT((Weeks!$A$7:$A$59&lt;=$J230)*(Weeks!$X$5:$AI$5=$I230)*Weeks!$X$7:$AI$59)-SUMIFS($E$7:$E$1006,$I$7:$I$1006,$I230,$B$7:$B$1006,"&lt;="&amp;$B230))</f>
        <v/>
      </c>
      <c r="M230" s="132">
        <f>IF($B230&amp;$C230&amp;$D230&amp;$E230="","",IF($B230="","missing date",IF($C230="","missing worker",IF($I230="?","unknown worker - was the name changed on Workers?",IF($D230="","missing type",IF(N($E230)=0,"missing amount",IF(AND($E230&lt;0,$D230&lt;&gt;"Correction"),"negative amount - use a Correction to undo",IF(OR($B230&lt;Weeks!$A$7,$B230&gt;Weeks!$B$59),"date outside this workbook's year",IF(AND($D230="Advance",N($L230)&lt;0),"Warning: more than earned so far - worker now owes "&amp;TEXT(ROUND(-$L230,0),"#,##0"),"")))))))))</f>
        <v/>
      </c>
      <c r="N230" s="125" t="n"/>
      <c r="O230" s="126" t="n"/>
      <c r="P230" s="126" t="n"/>
      <c r="Q230" s="126" t="n"/>
      <c r="R230" s="126" t="n"/>
      <c r="S230" s="126" t="n"/>
      <c r="T230" s="126" t="n"/>
      <c r="U230" s="126" t="n"/>
      <c r="V230" s="126" t="n"/>
      <c r="W230" s="126" t="n"/>
      <c r="X230" s="126" t="n"/>
      <c r="Y230" s="126" t="n"/>
      <c r="Z230" s="126" t="n"/>
      <c r="AA230" s="126" t="n"/>
      <c r="AB230" s="126" t="n"/>
      <c r="AC230" s="126" t="n"/>
      <c r="AD230" s="126" t="n"/>
      <c r="AE230" s="126" t="n"/>
      <c r="AF230" s="126" t="n"/>
      <c r="AG230" s="126" t="n"/>
      <c r="AH230" s="126" t="n"/>
      <c r="AI230" s="126" t="n"/>
      <c r="AJ230" s="126" t="n"/>
      <c r="AK230" s="126" t="n"/>
      <c r="AL230" s="126" t="n"/>
      <c r="AM230" s="126" t="n"/>
      <c r="AN230" s="126" t="n"/>
    </row>
    <row r="231" ht="21" customFormat="1" customHeight="1" s="127">
      <c r="A231" s="51">
        <f>IF($B231="","",ROW()-6)</f>
        <v/>
      </c>
      <c r="B231" s="268" t="n"/>
      <c r="C231" s="133" t="n"/>
      <c r="D231" s="50" t="n"/>
      <c r="E231" s="265" t="n"/>
      <c r="F231" s="133" t="n"/>
      <c r="G231" s="133" t="n"/>
      <c r="H231" s="50" t="n"/>
      <c r="I231" s="51">
        <f>IF($C231="","",IFERROR(INDEX(WorkerIDs,MATCH($C231,WorkerNames,0)),"?"))</f>
        <v/>
      </c>
      <c r="J231" s="253">
        <f>IF($B231="","",$B231-WEEKDAY($B231,2)+1)</f>
        <v/>
      </c>
      <c r="K231" s="142">
        <f>IF(OR($I231="",$I231="?",$D231&lt;&gt;"Advance",$B231=""),"",$I231&amp;"|"&amp;$J231&amp;"|"&amp;COUNTIFS($I$7:$I231,$I231,$J$7:$J231,$J231,$D$7:$D231,"Advance"))</f>
        <v/>
      </c>
      <c r="L231" s="266">
        <f>IF(OR($I231="",$I231="?",$B231=""),"",SUMPRODUCT((Weeks!$A$7:$A$59&lt;=$J231)*(Weeks!$X$5:$AI$5=$I231)*Weeks!$X$7:$AI$59)-SUMIFS($E$7:$E$1006,$I$7:$I$1006,$I231,$B$7:$B$1006,"&lt;="&amp;$B231))</f>
        <v/>
      </c>
      <c r="M231" s="132">
        <f>IF($B231&amp;$C231&amp;$D231&amp;$E231="","",IF($B231="","missing date",IF($C231="","missing worker",IF($I231="?","unknown worker - was the name changed on Workers?",IF($D231="","missing type",IF(N($E231)=0,"missing amount",IF(AND($E231&lt;0,$D231&lt;&gt;"Correction"),"negative amount - use a Correction to undo",IF(OR($B231&lt;Weeks!$A$7,$B231&gt;Weeks!$B$59),"date outside this workbook's year",IF(AND($D231="Advance",N($L231)&lt;0),"Warning: more than earned so far - worker now owes "&amp;TEXT(ROUND(-$L231,0),"#,##0"),"")))))))))</f>
        <v/>
      </c>
      <c r="N231" s="125" t="n"/>
      <c r="O231" s="126" t="n"/>
      <c r="P231" s="126" t="n"/>
      <c r="Q231" s="126" t="n"/>
      <c r="R231" s="126" t="n"/>
      <c r="S231" s="126" t="n"/>
      <c r="T231" s="126" t="n"/>
      <c r="U231" s="126" t="n"/>
      <c r="V231" s="126" t="n"/>
      <c r="W231" s="126" t="n"/>
      <c r="X231" s="126" t="n"/>
      <c r="Y231" s="126" t="n"/>
      <c r="Z231" s="126" t="n"/>
      <c r="AA231" s="126" t="n"/>
      <c r="AB231" s="126" t="n"/>
      <c r="AC231" s="126" t="n"/>
      <c r="AD231" s="126" t="n"/>
      <c r="AE231" s="126" t="n"/>
      <c r="AF231" s="126" t="n"/>
      <c r="AG231" s="126" t="n"/>
      <c r="AH231" s="126" t="n"/>
      <c r="AI231" s="126" t="n"/>
      <c r="AJ231" s="126" t="n"/>
      <c r="AK231" s="126" t="n"/>
      <c r="AL231" s="126" t="n"/>
      <c r="AM231" s="126" t="n"/>
      <c r="AN231" s="126" t="n"/>
    </row>
    <row r="232" ht="21" customFormat="1" customHeight="1" s="127">
      <c r="A232" s="51">
        <f>IF($B232="","",ROW()-6)</f>
        <v/>
      </c>
      <c r="B232" s="268" t="n"/>
      <c r="C232" s="133" t="n"/>
      <c r="D232" s="50" t="n"/>
      <c r="E232" s="265" t="n"/>
      <c r="F232" s="133" t="n"/>
      <c r="G232" s="133" t="n"/>
      <c r="H232" s="50" t="n"/>
      <c r="I232" s="51">
        <f>IF($C232="","",IFERROR(INDEX(WorkerIDs,MATCH($C232,WorkerNames,0)),"?"))</f>
        <v/>
      </c>
      <c r="J232" s="253">
        <f>IF($B232="","",$B232-WEEKDAY($B232,2)+1)</f>
        <v/>
      </c>
      <c r="K232" s="142">
        <f>IF(OR($I232="",$I232="?",$D232&lt;&gt;"Advance",$B232=""),"",$I232&amp;"|"&amp;$J232&amp;"|"&amp;COUNTIFS($I$7:$I232,$I232,$J$7:$J232,$J232,$D$7:$D232,"Advance"))</f>
        <v/>
      </c>
      <c r="L232" s="266">
        <f>IF(OR($I232="",$I232="?",$B232=""),"",SUMPRODUCT((Weeks!$A$7:$A$59&lt;=$J232)*(Weeks!$X$5:$AI$5=$I232)*Weeks!$X$7:$AI$59)-SUMIFS($E$7:$E$1006,$I$7:$I$1006,$I232,$B$7:$B$1006,"&lt;="&amp;$B232))</f>
        <v/>
      </c>
      <c r="M232" s="132">
        <f>IF($B232&amp;$C232&amp;$D232&amp;$E232="","",IF($B232="","missing date",IF($C232="","missing worker",IF($I232="?","unknown worker - was the name changed on Workers?",IF($D232="","missing type",IF(N($E232)=0,"missing amount",IF(AND($E232&lt;0,$D232&lt;&gt;"Correction"),"negative amount - use a Correction to undo",IF(OR($B232&lt;Weeks!$A$7,$B232&gt;Weeks!$B$59),"date outside this workbook's year",IF(AND($D232="Advance",N($L232)&lt;0),"Warning: more than earned so far - worker now owes "&amp;TEXT(ROUND(-$L232,0),"#,##0"),"")))))))))</f>
        <v/>
      </c>
      <c r="N232" s="125" t="n"/>
      <c r="O232" s="126" t="n"/>
      <c r="P232" s="126" t="n"/>
      <c r="Q232" s="126" t="n"/>
      <c r="R232" s="126" t="n"/>
      <c r="S232" s="126" t="n"/>
      <c r="T232" s="126" t="n"/>
      <c r="U232" s="126" t="n"/>
      <c r="V232" s="126" t="n"/>
      <c r="W232" s="126" t="n"/>
      <c r="X232" s="126" t="n"/>
      <c r="Y232" s="126" t="n"/>
      <c r="Z232" s="126" t="n"/>
      <c r="AA232" s="126" t="n"/>
      <c r="AB232" s="126" t="n"/>
      <c r="AC232" s="126" t="n"/>
      <c r="AD232" s="126" t="n"/>
      <c r="AE232" s="126" t="n"/>
      <c r="AF232" s="126" t="n"/>
      <c r="AG232" s="126" t="n"/>
      <c r="AH232" s="126" t="n"/>
      <c r="AI232" s="126" t="n"/>
      <c r="AJ232" s="126" t="n"/>
      <c r="AK232" s="126" t="n"/>
      <c r="AL232" s="126" t="n"/>
      <c r="AM232" s="126" t="n"/>
      <c r="AN232" s="126" t="n"/>
    </row>
    <row r="233" ht="21" customFormat="1" customHeight="1" s="127">
      <c r="A233" s="51">
        <f>IF($B233="","",ROW()-6)</f>
        <v/>
      </c>
      <c r="B233" s="268" t="n"/>
      <c r="C233" s="133" t="n"/>
      <c r="D233" s="50" t="n"/>
      <c r="E233" s="265" t="n"/>
      <c r="F233" s="133" t="n"/>
      <c r="G233" s="133" t="n"/>
      <c r="H233" s="50" t="n"/>
      <c r="I233" s="51">
        <f>IF($C233="","",IFERROR(INDEX(WorkerIDs,MATCH($C233,WorkerNames,0)),"?"))</f>
        <v/>
      </c>
      <c r="J233" s="253">
        <f>IF($B233="","",$B233-WEEKDAY($B233,2)+1)</f>
        <v/>
      </c>
      <c r="K233" s="142">
        <f>IF(OR($I233="",$I233="?",$D233&lt;&gt;"Advance",$B233=""),"",$I233&amp;"|"&amp;$J233&amp;"|"&amp;COUNTIFS($I$7:$I233,$I233,$J$7:$J233,$J233,$D$7:$D233,"Advance"))</f>
        <v/>
      </c>
      <c r="L233" s="266">
        <f>IF(OR($I233="",$I233="?",$B233=""),"",SUMPRODUCT((Weeks!$A$7:$A$59&lt;=$J233)*(Weeks!$X$5:$AI$5=$I233)*Weeks!$X$7:$AI$59)-SUMIFS($E$7:$E$1006,$I$7:$I$1006,$I233,$B$7:$B$1006,"&lt;="&amp;$B233))</f>
        <v/>
      </c>
      <c r="M233" s="132">
        <f>IF($B233&amp;$C233&amp;$D233&amp;$E233="","",IF($B233="","missing date",IF($C233="","missing worker",IF($I233="?","unknown worker - was the name changed on Workers?",IF($D233="","missing type",IF(N($E233)=0,"missing amount",IF(AND($E233&lt;0,$D233&lt;&gt;"Correction"),"negative amount - use a Correction to undo",IF(OR($B233&lt;Weeks!$A$7,$B233&gt;Weeks!$B$59),"date outside this workbook's year",IF(AND($D233="Advance",N($L233)&lt;0),"Warning: more than earned so far - worker now owes "&amp;TEXT(ROUND(-$L233,0),"#,##0"),"")))))))))</f>
        <v/>
      </c>
      <c r="N233" s="125" t="n"/>
      <c r="O233" s="126" t="n"/>
      <c r="P233" s="126" t="n"/>
      <c r="Q233" s="126" t="n"/>
      <c r="R233" s="126" t="n"/>
      <c r="S233" s="126" t="n"/>
      <c r="T233" s="126" t="n"/>
      <c r="U233" s="126" t="n"/>
      <c r="V233" s="126" t="n"/>
      <c r="W233" s="126" t="n"/>
      <c r="X233" s="126" t="n"/>
      <c r="Y233" s="126" t="n"/>
      <c r="Z233" s="126" t="n"/>
      <c r="AA233" s="126" t="n"/>
      <c r="AB233" s="126" t="n"/>
      <c r="AC233" s="126" t="n"/>
      <c r="AD233" s="126" t="n"/>
      <c r="AE233" s="126" t="n"/>
      <c r="AF233" s="126" t="n"/>
      <c r="AG233" s="126" t="n"/>
      <c r="AH233" s="126" t="n"/>
      <c r="AI233" s="126" t="n"/>
      <c r="AJ233" s="126" t="n"/>
      <c r="AK233" s="126" t="n"/>
      <c r="AL233" s="126" t="n"/>
      <c r="AM233" s="126" t="n"/>
      <c r="AN233" s="126" t="n"/>
    </row>
    <row r="234" ht="21" customFormat="1" customHeight="1" s="127">
      <c r="A234" s="51">
        <f>IF($B234="","",ROW()-6)</f>
        <v/>
      </c>
      <c r="B234" s="268" t="n"/>
      <c r="C234" s="133" t="n"/>
      <c r="D234" s="50" t="n"/>
      <c r="E234" s="265" t="n"/>
      <c r="F234" s="133" t="n"/>
      <c r="G234" s="133" t="n"/>
      <c r="H234" s="50" t="n"/>
      <c r="I234" s="51">
        <f>IF($C234="","",IFERROR(INDEX(WorkerIDs,MATCH($C234,WorkerNames,0)),"?"))</f>
        <v/>
      </c>
      <c r="J234" s="253">
        <f>IF($B234="","",$B234-WEEKDAY($B234,2)+1)</f>
        <v/>
      </c>
      <c r="K234" s="142">
        <f>IF(OR($I234="",$I234="?",$D234&lt;&gt;"Advance",$B234=""),"",$I234&amp;"|"&amp;$J234&amp;"|"&amp;COUNTIFS($I$7:$I234,$I234,$J$7:$J234,$J234,$D$7:$D234,"Advance"))</f>
        <v/>
      </c>
      <c r="L234" s="266">
        <f>IF(OR($I234="",$I234="?",$B234=""),"",SUMPRODUCT((Weeks!$A$7:$A$59&lt;=$J234)*(Weeks!$X$5:$AI$5=$I234)*Weeks!$X$7:$AI$59)-SUMIFS($E$7:$E$1006,$I$7:$I$1006,$I234,$B$7:$B$1006,"&lt;="&amp;$B234))</f>
        <v/>
      </c>
      <c r="M234" s="132">
        <f>IF($B234&amp;$C234&amp;$D234&amp;$E234="","",IF($B234="","missing date",IF($C234="","missing worker",IF($I234="?","unknown worker - was the name changed on Workers?",IF($D234="","missing type",IF(N($E234)=0,"missing amount",IF(AND($E234&lt;0,$D234&lt;&gt;"Correction"),"negative amount - use a Correction to undo",IF(OR($B234&lt;Weeks!$A$7,$B234&gt;Weeks!$B$59),"date outside this workbook's year",IF(AND($D234="Advance",N($L234)&lt;0),"Warning: more than earned so far - worker now owes "&amp;TEXT(ROUND(-$L234,0),"#,##0"),"")))))))))</f>
        <v/>
      </c>
      <c r="N234" s="125" t="n"/>
      <c r="O234" s="126" t="n"/>
      <c r="P234" s="126" t="n"/>
      <c r="Q234" s="126" t="n"/>
      <c r="R234" s="126" t="n"/>
      <c r="S234" s="126" t="n"/>
      <c r="T234" s="126" t="n"/>
      <c r="U234" s="126" t="n"/>
      <c r="V234" s="126" t="n"/>
      <c r="W234" s="126" t="n"/>
      <c r="X234" s="126" t="n"/>
      <c r="Y234" s="126" t="n"/>
      <c r="Z234" s="126" t="n"/>
      <c r="AA234" s="126" t="n"/>
      <c r="AB234" s="126" t="n"/>
      <c r="AC234" s="126" t="n"/>
      <c r="AD234" s="126" t="n"/>
      <c r="AE234" s="126" t="n"/>
      <c r="AF234" s="126" t="n"/>
      <c r="AG234" s="126" t="n"/>
      <c r="AH234" s="126" t="n"/>
      <c r="AI234" s="126" t="n"/>
      <c r="AJ234" s="126" t="n"/>
      <c r="AK234" s="126" t="n"/>
      <c r="AL234" s="126" t="n"/>
      <c r="AM234" s="126" t="n"/>
      <c r="AN234" s="126" t="n"/>
    </row>
    <row r="235" ht="21" customFormat="1" customHeight="1" s="127">
      <c r="A235" s="51">
        <f>IF($B235="","",ROW()-6)</f>
        <v/>
      </c>
      <c r="B235" s="268" t="n"/>
      <c r="C235" s="133" t="n"/>
      <c r="D235" s="50" t="n"/>
      <c r="E235" s="265" t="n"/>
      <c r="F235" s="133" t="n"/>
      <c r="G235" s="133" t="n"/>
      <c r="H235" s="50" t="n"/>
      <c r="I235" s="51">
        <f>IF($C235="","",IFERROR(INDEX(WorkerIDs,MATCH($C235,WorkerNames,0)),"?"))</f>
        <v/>
      </c>
      <c r="J235" s="253">
        <f>IF($B235="","",$B235-WEEKDAY($B235,2)+1)</f>
        <v/>
      </c>
      <c r="K235" s="142">
        <f>IF(OR($I235="",$I235="?",$D235&lt;&gt;"Advance",$B235=""),"",$I235&amp;"|"&amp;$J235&amp;"|"&amp;COUNTIFS($I$7:$I235,$I235,$J$7:$J235,$J235,$D$7:$D235,"Advance"))</f>
        <v/>
      </c>
      <c r="L235" s="266">
        <f>IF(OR($I235="",$I235="?",$B235=""),"",SUMPRODUCT((Weeks!$A$7:$A$59&lt;=$J235)*(Weeks!$X$5:$AI$5=$I235)*Weeks!$X$7:$AI$59)-SUMIFS($E$7:$E$1006,$I$7:$I$1006,$I235,$B$7:$B$1006,"&lt;="&amp;$B235))</f>
        <v/>
      </c>
      <c r="M235" s="132">
        <f>IF($B235&amp;$C235&amp;$D235&amp;$E235="","",IF($B235="","missing date",IF($C235="","missing worker",IF($I235="?","unknown worker - was the name changed on Workers?",IF($D235="","missing type",IF(N($E235)=0,"missing amount",IF(AND($E235&lt;0,$D235&lt;&gt;"Correction"),"negative amount - use a Correction to undo",IF(OR($B235&lt;Weeks!$A$7,$B235&gt;Weeks!$B$59),"date outside this workbook's year",IF(AND($D235="Advance",N($L235)&lt;0),"Warning: more than earned so far - worker now owes "&amp;TEXT(ROUND(-$L235,0),"#,##0"),"")))))))))</f>
        <v/>
      </c>
      <c r="N235" s="125" t="n"/>
      <c r="O235" s="126" t="n"/>
      <c r="P235" s="126" t="n"/>
      <c r="Q235" s="126" t="n"/>
      <c r="R235" s="126" t="n"/>
      <c r="S235" s="126" t="n"/>
      <c r="T235" s="126" t="n"/>
      <c r="U235" s="126" t="n"/>
      <c r="V235" s="126" t="n"/>
      <c r="W235" s="126" t="n"/>
      <c r="X235" s="126" t="n"/>
      <c r="Y235" s="126" t="n"/>
      <c r="Z235" s="126" t="n"/>
      <c r="AA235" s="126" t="n"/>
      <c r="AB235" s="126" t="n"/>
      <c r="AC235" s="126" t="n"/>
      <c r="AD235" s="126" t="n"/>
      <c r="AE235" s="126" t="n"/>
      <c r="AF235" s="126" t="n"/>
      <c r="AG235" s="126" t="n"/>
      <c r="AH235" s="126" t="n"/>
      <c r="AI235" s="126" t="n"/>
      <c r="AJ235" s="126" t="n"/>
      <c r="AK235" s="126" t="n"/>
      <c r="AL235" s="126" t="n"/>
      <c r="AM235" s="126" t="n"/>
      <c r="AN235" s="126" t="n"/>
    </row>
    <row r="236" ht="21" customFormat="1" customHeight="1" s="127">
      <c r="A236" s="51">
        <f>IF($B236="","",ROW()-6)</f>
        <v/>
      </c>
      <c r="B236" s="268" t="n"/>
      <c r="C236" s="133" t="n"/>
      <c r="D236" s="50" t="n"/>
      <c r="E236" s="265" t="n"/>
      <c r="F236" s="133" t="n"/>
      <c r="G236" s="133" t="n"/>
      <c r="H236" s="50" t="n"/>
      <c r="I236" s="51">
        <f>IF($C236="","",IFERROR(INDEX(WorkerIDs,MATCH($C236,WorkerNames,0)),"?"))</f>
        <v/>
      </c>
      <c r="J236" s="253">
        <f>IF($B236="","",$B236-WEEKDAY($B236,2)+1)</f>
        <v/>
      </c>
      <c r="K236" s="142">
        <f>IF(OR($I236="",$I236="?",$D236&lt;&gt;"Advance",$B236=""),"",$I236&amp;"|"&amp;$J236&amp;"|"&amp;COUNTIFS($I$7:$I236,$I236,$J$7:$J236,$J236,$D$7:$D236,"Advance"))</f>
        <v/>
      </c>
      <c r="L236" s="266">
        <f>IF(OR($I236="",$I236="?",$B236=""),"",SUMPRODUCT((Weeks!$A$7:$A$59&lt;=$J236)*(Weeks!$X$5:$AI$5=$I236)*Weeks!$X$7:$AI$59)-SUMIFS($E$7:$E$1006,$I$7:$I$1006,$I236,$B$7:$B$1006,"&lt;="&amp;$B236))</f>
        <v/>
      </c>
      <c r="M236" s="132">
        <f>IF($B236&amp;$C236&amp;$D236&amp;$E236="","",IF($B236="","missing date",IF($C236="","missing worker",IF($I236="?","unknown worker - was the name changed on Workers?",IF($D236="","missing type",IF(N($E236)=0,"missing amount",IF(AND($E236&lt;0,$D236&lt;&gt;"Correction"),"negative amount - use a Correction to undo",IF(OR($B236&lt;Weeks!$A$7,$B236&gt;Weeks!$B$59),"date outside this workbook's year",IF(AND($D236="Advance",N($L236)&lt;0),"Warning: more than earned so far - worker now owes "&amp;TEXT(ROUND(-$L236,0),"#,##0"),"")))))))))</f>
        <v/>
      </c>
      <c r="N236" s="125" t="n"/>
      <c r="O236" s="126" t="n"/>
      <c r="P236" s="126" t="n"/>
      <c r="Q236" s="126" t="n"/>
      <c r="R236" s="126" t="n"/>
      <c r="S236" s="126" t="n"/>
      <c r="T236" s="126" t="n"/>
      <c r="U236" s="126" t="n"/>
      <c r="V236" s="126" t="n"/>
      <c r="W236" s="126" t="n"/>
      <c r="X236" s="126" t="n"/>
      <c r="Y236" s="126" t="n"/>
      <c r="Z236" s="126" t="n"/>
      <c r="AA236" s="126" t="n"/>
      <c r="AB236" s="126" t="n"/>
      <c r="AC236" s="126" t="n"/>
      <c r="AD236" s="126" t="n"/>
      <c r="AE236" s="126" t="n"/>
      <c r="AF236" s="126" t="n"/>
      <c r="AG236" s="126" t="n"/>
      <c r="AH236" s="126" t="n"/>
      <c r="AI236" s="126" t="n"/>
      <c r="AJ236" s="126" t="n"/>
      <c r="AK236" s="126" t="n"/>
      <c r="AL236" s="126" t="n"/>
      <c r="AM236" s="126" t="n"/>
      <c r="AN236" s="126" t="n"/>
    </row>
    <row r="237" ht="21" customFormat="1" customHeight="1" s="127">
      <c r="A237" s="51">
        <f>IF($B237="","",ROW()-6)</f>
        <v/>
      </c>
      <c r="B237" s="268" t="n"/>
      <c r="C237" s="133" t="n"/>
      <c r="D237" s="50" t="n"/>
      <c r="E237" s="265" t="n"/>
      <c r="F237" s="133" t="n"/>
      <c r="G237" s="133" t="n"/>
      <c r="H237" s="50" t="n"/>
      <c r="I237" s="51">
        <f>IF($C237="","",IFERROR(INDEX(WorkerIDs,MATCH($C237,WorkerNames,0)),"?"))</f>
        <v/>
      </c>
      <c r="J237" s="253">
        <f>IF($B237="","",$B237-WEEKDAY($B237,2)+1)</f>
        <v/>
      </c>
      <c r="K237" s="142">
        <f>IF(OR($I237="",$I237="?",$D237&lt;&gt;"Advance",$B237=""),"",$I237&amp;"|"&amp;$J237&amp;"|"&amp;COUNTIFS($I$7:$I237,$I237,$J$7:$J237,$J237,$D$7:$D237,"Advance"))</f>
        <v/>
      </c>
      <c r="L237" s="266">
        <f>IF(OR($I237="",$I237="?",$B237=""),"",SUMPRODUCT((Weeks!$A$7:$A$59&lt;=$J237)*(Weeks!$X$5:$AI$5=$I237)*Weeks!$X$7:$AI$59)-SUMIFS($E$7:$E$1006,$I$7:$I$1006,$I237,$B$7:$B$1006,"&lt;="&amp;$B237))</f>
        <v/>
      </c>
      <c r="M237" s="132">
        <f>IF($B237&amp;$C237&amp;$D237&amp;$E237="","",IF($B237="","missing date",IF($C237="","missing worker",IF($I237="?","unknown worker - was the name changed on Workers?",IF($D237="","missing type",IF(N($E237)=0,"missing amount",IF(AND($E237&lt;0,$D237&lt;&gt;"Correction"),"negative amount - use a Correction to undo",IF(OR($B237&lt;Weeks!$A$7,$B237&gt;Weeks!$B$59),"date outside this workbook's year",IF(AND($D237="Advance",N($L237)&lt;0),"Warning: more than earned so far - worker now owes "&amp;TEXT(ROUND(-$L237,0),"#,##0"),"")))))))))</f>
        <v/>
      </c>
      <c r="N237" s="125" t="n"/>
      <c r="O237" s="126" t="n"/>
      <c r="P237" s="126" t="n"/>
      <c r="Q237" s="126" t="n"/>
      <c r="R237" s="126" t="n"/>
      <c r="S237" s="126" t="n"/>
      <c r="T237" s="126" t="n"/>
      <c r="U237" s="126" t="n"/>
      <c r="V237" s="126" t="n"/>
      <c r="W237" s="126" t="n"/>
      <c r="X237" s="126" t="n"/>
      <c r="Y237" s="126" t="n"/>
      <c r="Z237" s="126" t="n"/>
      <c r="AA237" s="126" t="n"/>
      <c r="AB237" s="126" t="n"/>
      <c r="AC237" s="126" t="n"/>
      <c r="AD237" s="126" t="n"/>
      <c r="AE237" s="126" t="n"/>
      <c r="AF237" s="126" t="n"/>
      <c r="AG237" s="126" t="n"/>
      <c r="AH237" s="126" t="n"/>
      <c r="AI237" s="126" t="n"/>
      <c r="AJ237" s="126" t="n"/>
      <c r="AK237" s="126" t="n"/>
      <c r="AL237" s="126" t="n"/>
      <c r="AM237" s="126" t="n"/>
      <c r="AN237" s="126" t="n"/>
    </row>
    <row r="238" ht="21" customFormat="1" customHeight="1" s="127">
      <c r="A238" s="51">
        <f>IF($B238="","",ROW()-6)</f>
        <v/>
      </c>
      <c r="B238" s="268" t="n"/>
      <c r="C238" s="133" t="n"/>
      <c r="D238" s="50" t="n"/>
      <c r="E238" s="265" t="n"/>
      <c r="F238" s="133" t="n"/>
      <c r="G238" s="133" t="n"/>
      <c r="H238" s="50" t="n"/>
      <c r="I238" s="51">
        <f>IF($C238="","",IFERROR(INDEX(WorkerIDs,MATCH($C238,WorkerNames,0)),"?"))</f>
        <v/>
      </c>
      <c r="J238" s="253">
        <f>IF($B238="","",$B238-WEEKDAY($B238,2)+1)</f>
        <v/>
      </c>
      <c r="K238" s="142">
        <f>IF(OR($I238="",$I238="?",$D238&lt;&gt;"Advance",$B238=""),"",$I238&amp;"|"&amp;$J238&amp;"|"&amp;COUNTIFS($I$7:$I238,$I238,$J$7:$J238,$J238,$D$7:$D238,"Advance"))</f>
        <v/>
      </c>
      <c r="L238" s="266">
        <f>IF(OR($I238="",$I238="?",$B238=""),"",SUMPRODUCT((Weeks!$A$7:$A$59&lt;=$J238)*(Weeks!$X$5:$AI$5=$I238)*Weeks!$X$7:$AI$59)-SUMIFS($E$7:$E$1006,$I$7:$I$1006,$I238,$B$7:$B$1006,"&lt;="&amp;$B238))</f>
        <v/>
      </c>
      <c r="M238" s="132">
        <f>IF($B238&amp;$C238&amp;$D238&amp;$E238="","",IF($B238="","missing date",IF($C238="","missing worker",IF($I238="?","unknown worker - was the name changed on Workers?",IF($D238="","missing type",IF(N($E238)=0,"missing amount",IF(AND($E238&lt;0,$D238&lt;&gt;"Correction"),"negative amount - use a Correction to undo",IF(OR($B238&lt;Weeks!$A$7,$B238&gt;Weeks!$B$59),"date outside this workbook's year",IF(AND($D238="Advance",N($L238)&lt;0),"Warning: more than earned so far - worker now owes "&amp;TEXT(ROUND(-$L238,0),"#,##0"),"")))))))))</f>
        <v/>
      </c>
      <c r="N238" s="125" t="n"/>
      <c r="O238" s="126" t="n"/>
      <c r="P238" s="126" t="n"/>
      <c r="Q238" s="126" t="n"/>
      <c r="R238" s="126" t="n"/>
      <c r="S238" s="126" t="n"/>
      <c r="T238" s="126" t="n"/>
      <c r="U238" s="126" t="n"/>
      <c r="V238" s="126" t="n"/>
      <c r="W238" s="126" t="n"/>
      <c r="X238" s="126" t="n"/>
      <c r="Y238" s="126" t="n"/>
      <c r="Z238" s="126" t="n"/>
      <c r="AA238" s="126" t="n"/>
      <c r="AB238" s="126" t="n"/>
      <c r="AC238" s="126" t="n"/>
      <c r="AD238" s="126" t="n"/>
      <c r="AE238" s="126" t="n"/>
      <c r="AF238" s="126" t="n"/>
      <c r="AG238" s="126" t="n"/>
      <c r="AH238" s="126" t="n"/>
      <c r="AI238" s="126" t="n"/>
      <c r="AJ238" s="126" t="n"/>
      <c r="AK238" s="126" t="n"/>
      <c r="AL238" s="126" t="n"/>
      <c r="AM238" s="126" t="n"/>
      <c r="AN238" s="126" t="n"/>
    </row>
    <row r="239" ht="21" customFormat="1" customHeight="1" s="127">
      <c r="A239" s="51">
        <f>IF($B239="","",ROW()-6)</f>
        <v/>
      </c>
      <c r="B239" s="268" t="n"/>
      <c r="C239" s="133" t="n"/>
      <c r="D239" s="50" t="n"/>
      <c r="E239" s="265" t="n"/>
      <c r="F239" s="133" t="n"/>
      <c r="G239" s="133" t="n"/>
      <c r="H239" s="50" t="n"/>
      <c r="I239" s="51">
        <f>IF($C239="","",IFERROR(INDEX(WorkerIDs,MATCH($C239,WorkerNames,0)),"?"))</f>
        <v/>
      </c>
      <c r="J239" s="253">
        <f>IF($B239="","",$B239-WEEKDAY($B239,2)+1)</f>
        <v/>
      </c>
      <c r="K239" s="142">
        <f>IF(OR($I239="",$I239="?",$D239&lt;&gt;"Advance",$B239=""),"",$I239&amp;"|"&amp;$J239&amp;"|"&amp;COUNTIFS($I$7:$I239,$I239,$J$7:$J239,$J239,$D$7:$D239,"Advance"))</f>
        <v/>
      </c>
      <c r="L239" s="266">
        <f>IF(OR($I239="",$I239="?",$B239=""),"",SUMPRODUCT((Weeks!$A$7:$A$59&lt;=$J239)*(Weeks!$X$5:$AI$5=$I239)*Weeks!$X$7:$AI$59)-SUMIFS($E$7:$E$1006,$I$7:$I$1006,$I239,$B$7:$B$1006,"&lt;="&amp;$B239))</f>
        <v/>
      </c>
      <c r="M239" s="132">
        <f>IF($B239&amp;$C239&amp;$D239&amp;$E239="","",IF($B239="","missing date",IF($C239="","missing worker",IF($I239="?","unknown worker - was the name changed on Workers?",IF($D239="","missing type",IF(N($E239)=0,"missing amount",IF(AND($E239&lt;0,$D239&lt;&gt;"Correction"),"negative amount - use a Correction to undo",IF(OR($B239&lt;Weeks!$A$7,$B239&gt;Weeks!$B$59),"date outside this workbook's year",IF(AND($D239="Advance",N($L239)&lt;0),"Warning: more than earned so far - worker now owes "&amp;TEXT(ROUND(-$L239,0),"#,##0"),"")))))))))</f>
        <v/>
      </c>
      <c r="N239" s="125" t="n"/>
      <c r="O239" s="126" t="n"/>
      <c r="P239" s="126" t="n"/>
      <c r="Q239" s="126" t="n"/>
      <c r="R239" s="126" t="n"/>
      <c r="S239" s="126" t="n"/>
      <c r="T239" s="126" t="n"/>
      <c r="U239" s="126" t="n"/>
      <c r="V239" s="126" t="n"/>
      <c r="W239" s="126" t="n"/>
      <c r="X239" s="126" t="n"/>
      <c r="Y239" s="126" t="n"/>
      <c r="Z239" s="126" t="n"/>
      <c r="AA239" s="126" t="n"/>
      <c r="AB239" s="126" t="n"/>
      <c r="AC239" s="126" t="n"/>
      <c r="AD239" s="126" t="n"/>
      <c r="AE239" s="126" t="n"/>
      <c r="AF239" s="126" t="n"/>
      <c r="AG239" s="126" t="n"/>
      <c r="AH239" s="126" t="n"/>
      <c r="AI239" s="126" t="n"/>
      <c r="AJ239" s="126" t="n"/>
      <c r="AK239" s="126" t="n"/>
      <c r="AL239" s="126" t="n"/>
      <c r="AM239" s="126" t="n"/>
      <c r="AN239" s="126" t="n"/>
    </row>
    <row r="240" ht="21" customFormat="1" customHeight="1" s="127">
      <c r="A240" s="51">
        <f>IF($B240="","",ROW()-6)</f>
        <v/>
      </c>
      <c r="B240" s="268" t="n"/>
      <c r="C240" s="133" t="n"/>
      <c r="D240" s="50" t="n"/>
      <c r="E240" s="265" t="n"/>
      <c r="F240" s="133" t="n"/>
      <c r="G240" s="133" t="n"/>
      <c r="H240" s="50" t="n"/>
      <c r="I240" s="51">
        <f>IF($C240="","",IFERROR(INDEX(WorkerIDs,MATCH($C240,WorkerNames,0)),"?"))</f>
        <v/>
      </c>
      <c r="J240" s="253">
        <f>IF($B240="","",$B240-WEEKDAY($B240,2)+1)</f>
        <v/>
      </c>
      <c r="K240" s="142">
        <f>IF(OR($I240="",$I240="?",$D240&lt;&gt;"Advance",$B240=""),"",$I240&amp;"|"&amp;$J240&amp;"|"&amp;COUNTIFS($I$7:$I240,$I240,$J$7:$J240,$J240,$D$7:$D240,"Advance"))</f>
        <v/>
      </c>
      <c r="L240" s="266">
        <f>IF(OR($I240="",$I240="?",$B240=""),"",SUMPRODUCT((Weeks!$A$7:$A$59&lt;=$J240)*(Weeks!$X$5:$AI$5=$I240)*Weeks!$X$7:$AI$59)-SUMIFS($E$7:$E$1006,$I$7:$I$1006,$I240,$B$7:$B$1006,"&lt;="&amp;$B240))</f>
        <v/>
      </c>
      <c r="M240" s="132">
        <f>IF($B240&amp;$C240&amp;$D240&amp;$E240="","",IF($B240="","missing date",IF($C240="","missing worker",IF($I240="?","unknown worker - was the name changed on Workers?",IF($D240="","missing type",IF(N($E240)=0,"missing amount",IF(AND($E240&lt;0,$D240&lt;&gt;"Correction"),"negative amount - use a Correction to undo",IF(OR($B240&lt;Weeks!$A$7,$B240&gt;Weeks!$B$59),"date outside this workbook's year",IF(AND($D240="Advance",N($L240)&lt;0),"Warning: more than earned so far - worker now owes "&amp;TEXT(ROUND(-$L240,0),"#,##0"),"")))))))))</f>
        <v/>
      </c>
      <c r="N240" s="125" t="n"/>
      <c r="O240" s="126" t="n"/>
      <c r="P240" s="126" t="n"/>
      <c r="Q240" s="126" t="n"/>
      <c r="R240" s="126" t="n"/>
      <c r="S240" s="126" t="n"/>
      <c r="T240" s="126" t="n"/>
      <c r="U240" s="126" t="n"/>
      <c r="V240" s="126" t="n"/>
      <c r="W240" s="126" t="n"/>
      <c r="X240" s="126" t="n"/>
      <c r="Y240" s="126" t="n"/>
      <c r="Z240" s="126" t="n"/>
      <c r="AA240" s="126" t="n"/>
      <c r="AB240" s="126" t="n"/>
      <c r="AC240" s="126" t="n"/>
      <c r="AD240" s="126" t="n"/>
      <c r="AE240" s="126" t="n"/>
      <c r="AF240" s="126" t="n"/>
      <c r="AG240" s="126" t="n"/>
      <c r="AH240" s="126" t="n"/>
      <c r="AI240" s="126" t="n"/>
      <c r="AJ240" s="126" t="n"/>
      <c r="AK240" s="126" t="n"/>
      <c r="AL240" s="126" t="n"/>
      <c r="AM240" s="126" t="n"/>
      <c r="AN240" s="126" t="n"/>
    </row>
    <row r="241" ht="21" customFormat="1" customHeight="1" s="127">
      <c r="A241" s="51">
        <f>IF($B241="","",ROW()-6)</f>
        <v/>
      </c>
      <c r="B241" s="268" t="n"/>
      <c r="C241" s="133" t="n"/>
      <c r="D241" s="50" t="n"/>
      <c r="E241" s="265" t="n"/>
      <c r="F241" s="133" t="n"/>
      <c r="G241" s="133" t="n"/>
      <c r="H241" s="50" t="n"/>
      <c r="I241" s="51">
        <f>IF($C241="","",IFERROR(INDEX(WorkerIDs,MATCH($C241,WorkerNames,0)),"?"))</f>
        <v/>
      </c>
      <c r="J241" s="253">
        <f>IF($B241="","",$B241-WEEKDAY($B241,2)+1)</f>
        <v/>
      </c>
      <c r="K241" s="142">
        <f>IF(OR($I241="",$I241="?",$D241&lt;&gt;"Advance",$B241=""),"",$I241&amp;"|"&amp;$J241&amp;"|"&amp;COUNTIFS($I$7:$I241,$I241,$J$7:$J241,$J241,$D$7:$D241,"Advance"))</f>
        <v/>
      </c>
      <c r="L241" s="266">
        <f>IF(OR($I241="",$I241="?",$B241=""),"",SUMPRODUCT((Weeks!$A$7:$A$59&lt;=$J241)*(Weeks!$X$5:$AI$5=$I241)*Weeks!$X$7:$AI$59)-SUMIFS($E$7:$E$1006,$I$7:$I$1006,$I241,$B$7:$B$1006,"&lt;="&amp;$B241))</f>
        <v/>
      </c>
      <c r="M241" s="132">
        <f>IF($B241&amp;$C241&amp;$D241&amp;$E241="","",IF($B241="","missing date",IF($C241="","missing worker",IF($I241="?","unknown worker - was the name changed on Workers?",IF($D241="","missing type",IF(N($E241)=0,"missing amount",IF(AND($E241&lt;0,$D241&lt;&gt;"Correction"),"negative amount - use a Correction to undo",IF(OR($B241&lt;Weeks!$A$7,$B241&gt;Weeks!$B$59),"date outside this workbook's year",IF(AND($D241="Advance",N($L241)&lt;0),"Warning: more than earned so far - worker now owes "&amp;TEXT(ROUND(-$L241,0),"#,##0"),"")))))))))</f>
        <v/>
      </c>
      <c r="N241" s="125" t="n"/>
      <c r="O241" s="126" t="n"/>
      <c r="P241" s="126" t="n"/>
      <c r="Q241" s="126" t="n"/>
      <c r="R241" s="126" t="n"/>
      <c r="S241" s="126" t="n"/>
      <c r="T241" s="126" t="n"/>
      <c r="U241" s="126" t="n"/>
      <c r="V241" s="126" t="n"/>
      <c r="W241" s="126" t="n"/>
      <c r="X241" s="126" t="n"/>
      <c r="Y241" s="126" t="n"/>
      <c r="Z241" s="126" t="n"/>
      <c r="AA241" s="126" t="n"/>
      <c r="AB241" s="126" t="n"/>
      <c r="AC241" s="126" t="n"/>
      <c r="AD241" s="126" t="n"/>
      <c r="AE241" s="126" t="n"/>
      <c r="AF241" s="126" t="n"/>
      <c r="AG241" s="126" t="n"/>
      <c r="AH241" s="126" t="n"/>
      <c r="AI241" s="126" t="n"/>
      <c r="AJ241" s="126" t="n"/>
      <c r="AK241" s="126" t="n"/>
      <c r="AL241" s="126" t="n"/>
      <c r="AM241" s="126" t="n"/>
      <c r="AN241" s="126" t="n"/>
    </row>
    <row r="242" ht="21" customFormat="1" customHeight="1" s="127">
      <c r="A242" s="51">
        <f>IF($B242="","",ROW()-6)</f>
        <v/>
      </c>
      <c r="B242" s="268" t="n"/>
      <c r="C242" s="133" t="n"/>
      <c r="D242" s="50" t="n"/>
      <c r="E242" s="265" t="n"/>
      <c r="F242" s="133" t="n"/>
      <c r="G242" s="133" t="n"/>
      <c r="H242" s="50" t="n"/>
      <c r="I242" s="51">
        <f>IF($C242="","",IFERROR(INDEX(WorkerIDs,MATCH($C242,WorkerNames,0)),"?"))</f>
        <v/>
      </c>
      <c r="J242" s="253">
        <f>IF($B242="","",$B242-WEEKDAY($B242,2)+1)</f>
        <v/>
      </c>
      <c r="K242" s="142">
        <f>IF(OR($I242="",$I242="?",$D242&lt;&gt;"Advance",$B242=""),"",$I242&amp;"|"&amp;$J242&amp;"|"&amp;COUNTIFS($I$7:$I242,$I242,$J$7:$J242,$J242,$D$7:$D242,"Advance"))</f>
        <v/>
      </c>
      <c r="L242" s="266">
        <f>IF(OR($I242="",$I242="?",$B242=""),"",SUMPRODUCT((Weeks!$A$7:$A$59&lt;=$J242)*(Weeks!$X$5:$AI$5=$I242)*Weeks!$X$7:$AI$59)-SUMIFS($E$7:$E$1006,$I$7:$I$1006,$I242,$B$7:$B$1006,"&lt;="&amp;$B242))</f>
        <v/>
      </c>
      <c r="M242" s="132">
        <f>IF($B242&amp;$C242&amp;$D242&amp;$E242="","",IF($B242="","missing date",IF($C242="","missing worker",IF($I242="?","unknown worker - was the name changed on Workers?",IF($D242="","missing type",IF(N($E242)=0,"missing amount",IF(AND($E242&lt;0,$D242&lt;&gt;"Correction"),"negative amount - use a Correction to undo",IF(OR($B242&lt;Weeks!$A$7,$B242&gt;Weeks!$B$59),"date outside this workbook's year",IF(AND($D242="Advance",N($L242)&lt;0),"Warning: more than earned so far - worker now owes "&amp;TEXT(ROUND(-$L242,0),"#,##0"),"")))))))))</f>
        <v/>
      </c>
      <c r="N242" s="125" t="n"/>
      <c r="O242" s="126" t="n"/>
      <c r="P242" s="126" t="n"/>
      <c r="Q242" s="126" t="n"/>
      <c r="R242" s="126" t="n"/>
      <c r="S242" s="126" t="n"/>
      <c r="T242" s="126" t="n"/>
      <c r="U242" s="126" t="n"/>
      <c r="V242" s="126" t="n"/>
      <c r="W242" s="126" t="n"/>
      <c r="X242" s="126" t="n"/>
      <c r="Y242" s="126" t="n"/>
      <c r="Z242" s="126" t="n"/>
      <c r="AA242" s="126" t="n"/>
      <c r="AB242" s="126" t="n"/>
      <c r="AC242" s="126" t="n"/>
      <c r="AD242" s="126" t="n"/>
      <c r="AE242" s="126" t="n"/>
      <c r="AF242" s="126" t="n"/>
      <c r="AG242" s="126" t="n"/>
      <c r="AH242" s="126" t="n"/>
      <c r="AI242" s="126" t="n"/>
      <c r="AJ242" s="126" t="n"/>
      <c r="AK242" s="126" t="n"/>
      <c r="AL242" s="126" t="n"/>
      <c r="AM242" s="126" t="n"/>
      <c r="AN242" s="126" t="n"/>
    </row>
    <row r="243" ht="21" customFormat="1" customHeight="1" s="127">
      <c r="A243" s="51">
        <f>IF($B243="","",ROW()-6)</f>
        <v/>
      </c>
      <c r="B243" s="268" t="n"/>
      <c r="C243" s="133" t="n"/>
      <c r="D243" s="50" t="n"/>
      <c r="E243" s="265" t="n"/>
      <c r="F243" s="133" t="n"/>
      <c r="G243" s="133" t="n"/>
      <c r="H243" s="50" t="n"/>
      <c r="I243" s="51">
        <f>IF($C243="","",IFERROR(INDEX(WorkerIDs,MATCH($C243,WorkerNames,0)),"?"))</f>
        <v/>
      </c>
      <c r="J243" s="253">
        <f>IF($B243="","",$B243-WEEKDAY($B243,2)+1)</f>
        <v/>
      </c>
      <c r="K243" s="142">
        <f>IF(OR($I243="",$I243="?",$D243&lt;&gt;"Advance",$B243=""),"",$I243&amp;"|"&amp;$J243&amp;"|"&amp;COUNTIFS($I$7:$I243,$I243,$J$7:$J243,$J243,$D$7:$D243,"Advance"))</f>
        <v/>
      </c>
      <c r="L243" s="266">
        <f>IF(OR($I243="",$I243="?",$B243=""),"",SUMPRODUCT((Weeks!$A$7:$A$59&lt;=$J243)*(Weeks!$X$5:$AI$5=$I243)*Weeks!$X$7:$AI$59)-SUMIFS($E$7:$E$1006,$I$7:$I$1006,$I243,$B$7:$B$1006,"&lt;="&amp;$B243))</f>
        <v/>
      </c>
      <c r="M243" s="132">
        <f>IF($B243&amp;$C243&amp;$D243&amp;$E243="","",IF($B243="","missing date",IF($C243="","missing worker",IF($I243="?","unknown worker - was the name changed on Workers?",IF($D243="","missing type",IF(N($E243)=0,"missing amount",IF(AND($E243&lt;0,$D243&lt;&gt;"Correction"),"negative amount - use a Correction to undo",IF(OR($B243&lt;Weeks!$A$7,$B243&gt;Weeks!$B$59),"date outside this workbook's year",IF(AND($D243="Advance",N($L243)&lt;0),"Warning: more than earned so far - worker now owes "&amp;TEXT(ROUND(-$L243,0),"#,##0"),"")))))))))</f>
        <v/>
      </c>
      <c r="N243" s="125" t="n"/>
      <c r="O243" s="126" t="n"/>
      <c r="P243" s="126" t="n"/>
      <c r="Q243" s="126" t="n"/>
      <c r="R243" s="126" t="n"/>
      <c r="S243" s="126" t="n"/>
      <c r="T243" s="126" t="n"/>
      <c r="U243" s="126" t="n"/>
      <c r="V243" s="126" t="n"/>
      <c r="W243" s="126" t="n"/>
      <c r="X243" s="126" t="n"/>
      <c r="Y243" s="126" t="n"/>
      <c r="Z243" s="126" t="n"/>
      <c r="AA243" s="126" t="n"/>
      <c r="AB243" s="126" t="n"/>
      <c r="AC243" s="126" t="n"/>
      <c r="AD243" s="126" t="n"/>
      <c r="AE243" s="126" t="n"/>
      <c r="AF243" s="126" t="n"/>
      <c r="AG243" s="126" t="n"/>
      <c r="AH243" s="126" t="n"/>
      <c r="AI243" s="126" t="n"/>
      <c r="AJ243" s="126" t="n"/>
      <c r="AK243" s="126" t="n"/>
      <c r="AL243" s="126" t="n"/>
      <c r="AM243" s="126" t="n"/>
      <c r="AN243" s="126" t="n"/>
    </row>
    <row r="244" ht="21" customFormat="1" customHeight="1" s="127">
      <c r="A244" s="51">
        <f>IF($B244="","",ROW()-6)</f>
        <v/>
      </c>
      <c r="B244" s="268" t="n"/>
      <c r="C244" s="133" t="n"/>
      <c r="D244" s="50" t="n"/>
      <c r="E244" s="265" t="n"/>
      <c r="F244" s="133" t="n"/>
      <c r="G244" s="133" t="n"/>
      <c r="H244" s="50" t="n"/>
      <c r="I244" s="51">
        <f>IF($C244="","",IFERROR(INDEX(WorkerIDs,MATCH($C244,WorkerNames,0)),"?"))</f>
        <v/>
      </c>
      <c r="J244" s="253">
        <f>IF($B244="","",$B244-WEEKDAY($B244,2)+1)</f>
        <v/>
      </c>
      <c r="K244" s="142">
        <f>IF(OR($I244="",$I244="?",$D244&lt;&gt;"Advance",$B244=""),"",$I244&amp;"|"&amp;$J244&amp;"|"&amp;COUNTIFS($I$7:$I244,$I244,$J$7:$J244,$J244,$D$7:$D244,"Advance"))</f>
        <v/>
      </c>
      <c r="L244" s="266">
        <f>IF(OR($I244="",$I244="?",$B244=""),"",SUMPRODUCT((Weeks!$A$7:$A$59&lt;=$J244)*(Weeks!$X$5:$AI$5=$I244)*Weeks!$X$7:$AI$59)-SUMIFS($E$7:$E$1006,$I$7:$I$1006,$I244,$B$7:$B$1006,"&lt;="&amp;$B244))</f>
        <v/>
      </c>
      <c r="M244" s="132">
        <f>IF($B244&amp;$C244&amp;$D244&amp;$E244="","",IF($B244="","missing date",IF($C244="","missing worker",IF($I244="?","unknown worker - was the name changed on Workers?",IF($D244="","missing type",IF(N($E244)=0,"missing amount",IF(AND($E244&lt;0,$D244&lt;&gt;"Correction"),"negative amount - use a Correction to undo",IF(OR($B244&lt;Weeks!$A$7,$B244&gt;Weeks!$B$59),"date outside this workbook's year",IF(AND($D244="Advance",N($L244)&lt;0),"Warning: more than earned so far - worker now owes "&amp;TEXT(ROUND(-$L244,0),"#,##0"),"")))))))))</f>
        <v/>
      </c>
      <c r="N244" s="125" t="n"/>
      <c r="O244" s="126" t="n"/>
      <c r="P244" s="126" t="n"/>
      <c r="Q244" s="126" t="n"/>
      <c r="R244" s="126" t="n"/>
      <c r="S244" s="126" t="n"/>
      <c r="T244" s="126" t="n"/>
      <c r="U244" s="126" t="n"/>
      <c r="V244" s="126" t="n"/>
      <c r="W244" s="126" t="n"/>
      <c r="X244" s="126" t="n"/>
      <c r="Y244" s="126" t="n"/>
      <c r="Z244" s="126" t="n"/>
      <c r="AA244" s="126" t="n"/>
      <c r="AB244" s="126" t="n"/>
      <c r="AC244" s="126" t="n"/>
      <c r="AD244" s="126" t="n"/>
      <c r="AE244" s="126" t="n"/>
      <c r="AF244" s="126" t="n"/>
      <c r="AG244" s="126" t="n"/>
      <c r="AH244" s="126" t="n"/>
      <c r="AI244" s="126" t="n"/>
      <c r="AJ244" s="126" t="n"/>
      <c r="AK244" s="126" t="n"/>
      <c r="AL244" s="126" t="n"/>
      <c r="AM244" s="126" t="n"/>
      <c r="AN244" s="126" t="n"/>
    </row>
    <row r="245" ht="21" customFormat="1" customHeight="1" s="127">
      <c r="A245" s="51">
        <f>IF($B245="","",ROW()-6)</f>
        <v/>
      </c>
      <c r="B245" s="268" t="n"/>
      <c r="C245" s="133" t="n"/>
      <c r="D245" s="50" t="n"/>
      <c r="E245" s="265" t="n"/>
      <c r="F245" s="133" t="n"/>
      <c r="G245" s="133" t="n"/>
      <c r="H245" s="50" t="n"/>
      <c r="I245" s="51">
        <f>IF($C245="","",IFERROR(INDEX(WorkerIDs,MATCH($C245,WorkerNames,0)),"?"))</f>
        <v/>
      </c>
      <c r="J245" s="253">
        <f>IF($B245="","",$B245-WEEKDAY($B245,2)+1)</f>
        <v/>
      </c>
      <c r="K245" s="142">
        <f>IF(OR($I245="",$I245="?",$D245&lt;&gt;"Advance",$B245=""),"",$I245&amp;"|"&amp;$J245&amp;"|"&amp;COUNTIFS($I$7:$I245,$I245,$J$7:$J245,$J245,$D$7:$D245,"Advance"))</f>
        <v/>
      </c>
      <c r="L245" s="266">
        <f>IF(OR($I245="",$I245="?",$B245=""),"",SUMPRODUCT((Weeks!$A$7:$A$59&lt;=$J245)*(Weeks!$X$5:$AI$5=$I245)*Weeks!$X$7:$AI$59)-SUMIFS($E$7:$E$1006,$I$7:$I$1006,$I245,$B$7:$B$1006,"&lt;="&amp;$B245))</f>
        <v/>
      </c>
      <c r="M245" s="132">
        <f>IF($B245&amp;$C245&amp;$D245&amp;$E245="","",IF($B245="","missing date",IF($C245="","missing worker",IF($I245="?","unknown worker - was the name changed on Workers?",IF($D245="","missing type",IF(N($E245)=0,"missing amount",IF(AND($E245&lt;0,$D245&lt;&gt;"Correction"),"negative amount - use a Correction to undo",IF(OR($B245&lt;Weeks!$A$7,$B245&gt;Weeks!$B$59),"date outside this workbook's year",IF(AND($D245="Advance",N($L245)&lt;0),"Warning: more than earned so far - worker now owes "&amp;TEXT(ROUND(-$L245,0),"#,##0"),"")))))))))</f>
        <v/>
      </c>
      <c r="N245" s="125" t="n"/>
      <c r="O245" s="126" t="n"/>
      <c r="P245" s="126" t="n"/>
      <c r="Q245" s="126" t="n"/>
      <c r="R245" s="126" t="n"/>
      <c r="S245" s="126" t="n"/>
      <c r="T245" s="126" t="n"/>
      <c r="U245" s="126" t="n"/>
      <c r="V245" s="126" t="n"/>
      <c r="W245" s="126" t="n"/>
      <c r="X245" s="126" t="n"/>
      <c r="Y245" s="126" t="n"/>
      <c r="Z245" s="126" t="n"/>
      <c r="AA245" s="126" t="n"/>
      <c r="AB245" s="126" t="n"/>
      <c r="AC245" s="126" t="n"/>
      <c r="AD245" s="126" t="n"/>
      <c r="AE245" s="126" t="n"/>
      <c r="AF245" s="126" t="n"/>
      <c r="AG245" s="126" t="n"/>
      <c r="AH245" s="126" t="n"/>
      <c r="AI245" s="126" t="n"/>
      <c r="AJ245" s="126" t="n"/>
      <c r="AK245" s="126" t="n"/>
      <c r="AL245" s="126" t="n"/>
      <c r="AM245" s="126" t="n"/>
      <c r="AN245" s="126" t="n"/>
    </row>
    <row r="246" ht="21" customFormat="1" customHeight="1" s="127">
      <c r="A246" s="51">
        <f>IF($B246="","",ROW()-6)</f>
        <v/>
      </c>
      <c r="B246" s="268" t="n"/>
      <c r="C246" s="133" t="n"/>
      <c r="D246" s="50" t="n"/>
      <c r="E246" s="265" t="n"/>
      <c r="F246" s="133" t="n"/>
      <c r="G246" s="133" t="n"/>
      <c r="H246" s="50" t="n"/>
      <c r="I246" s="51">
        <f>IF($C246="","",IFERROR(INDEX(WorkerIDs,MATCH($C246,WorkerNames,0)),"?"))</f>
        <v/>
      </c>
      <c r="J246" s="253">
        <f>IF($B246="","",$B246-WEEKDAY($B246,2)+1)</f>
        <v/>
      </c>
      <c r="K246" s="142">
        <f>IF(OR($I246="",$I246="?",$D246&lt;&gt;"Advance",$B246=""),"",$I246&amp;"|"&amp;$J246&amp;"|"&amp;COUNTIFS($I$7:$I246,$I246,$J$7:$J246,$J246,$D$7:$D246,"Advance"))</f>
        <v/>
      </c>
      <c r="L246" s="266">
        <f>IF(OR($I246="",$I246="?",$B246=""),"",SUMPRODUCT((Weeks!$A$7:$A$59&lt;=$J246)*(Weeks!$X$5:$AI$5=$I246)*Weeks!$X$7:$AI$59)-SUMIFS($E$7:$E$1006,$I$7:$I$1006,$I246,$B$7:$B$1006,"&lt;="&amp;$B246))</f>
        <v/>
      </c>
      <c r="M246" s="132">
        <f>IF($B246&amp;$C246&amp;$D246&amp;$E246="","",IF($B246="","missing date",IF($C246="","missing worker",IF($I246="?","unknown worker - was the name changed on Workers?",IF($D246="","missing type",IF(N($E246)=0,"missing amount",IF(AND($E246&lt;0,$D246&lt;&gt;"Correction"),"negative amount - use a Correction to undo",IF(OR($B246&lt;Weeks!$A$7,$B246&gt;Weeks!$B$59),"date outside this workbook's year",IF(AND($D246="Advance",N($L246)&lt;0),"Warning: more than earned so far - worker now owes "&amp;TEXT(ROUND(-$L246,0),"#,##0"),"")))))))))</f>
        <v/>
      </c>
      <c r="N246" s="125" t="n"/>
      <c r="O246" s="126" t="n"/>
      <c r="P246" s="126" t="n"/>
      <c r="Q246" s="126" t="n"/>
      <c r="R246" s="126" t="n"/>
      <c r="S246" s="126" t="n"/>
      <c r="T246" s="126" t="n"/>
      <c r="U246" s="126" t="n"/>
      <c r="V246" s="126" t="n"/>
      <c r="W246" s="126" t="n"/>
      <c r="X246" s="126" t="n"/>
      <c r="Y246" s="126" t="n"/>
      <c r="Z246" s="126" t="n"/>
      <c r="AA246" s="126" t="n"/>
      <c r="AB246" s="126" t="n"/>
      <c r="AC246" s="126" t="n"/>
      <c r="AD246" s="126" t="n"/>
      <c r="AE246" s="126" t="n"/>
      <c r="AF246" s="126" t="n"/>
      <c r="AG246" s="126" t="n"/>
      <c r="AH246" s="126" t="n"/>
      <c r="AI246" s="126" t="n"/>
      <c r="AJ246" s="126" t="n"/>
      <c r="AK246" s="126" t="n"/>
      <c r="AL246" s="126" t="n"/>
      <c r="AM246" s="126" t="n"/>
      <c r="AN246" s="126" t="n"/>
    </row>
    <row r="247" ht="21" customFormat="1" customHeight="1" s="127">
      <c r="A247" s="51">
        <f>IF($B247="","",ROW()-6)</f>
        <v/>
      </c>
      <c r="B247" s="268" t="n"/>
      <c r="C247" s="133" t="n"/>
      <c r="D247" s="50" t="n"/>
      <c r="E247" s="265" t="n"/>
      <c r="F247" s="133" t="n"/>
      <c r="G247" s="133" t="n"/>
      <c r="H247" s="50" t="n"/>
      <c r="I247" s="51">
        <f>IF($C247="","",IFERROR(INDEX(WorkerIDs,MATCH($C247,WorkerNames,0)),"?"))</f>
        <v/>
      </c>
      <c r="J247" s="253">
        <f>IF($B247="","",$B247-WEEKDAY($B247,2)+1)</f>
        <v/>
      </c>
      <c r="K247" s="142">
        <f>IF(OR($I247="",$I247="?",$D247&lt;&gt;"Advance",$B247=""),"",$I247&amp;"|"&amp;$J247&amp;"|"&amp;COUNTIFS($I$7:$I247,$I247,$J$7:$J247,$J247,$D$7:$D247,"Advance"))</f>
        <v/>
      </c>
      <c r="L247" s="266">
        <f>IF(OR($I247="",$I247="?",$B247=""),"",SUMPRODUCT((Weeks!$A$7:$A$59&lt;=$J247)*(Weeks!$X$5:$AI$5=$I247)*Weeks!$X$7:$AI$59)-SUMIFS($E$7:$E$1006,$I$7:$I$1006,$I247,$B$7:$B$1006,"&lt;="&amp;$B247))</f>
        <v/>
      </c>
      <c r="M247" s="132">
        <f>IF($B247&amp;$C247&amp;$D247&amp;$E247="","",IF($B247="","missing date",IF($C247="","missing worker",IF($I247="?","unknown worker - was the name changed on Workers?",IF($D247="","missing type",IF(N($E247)=0,"missing amount",IF(AND($E247&lt;0,$D247&lt;&gt;"Correction"),"negative amount - use a Correction to undo",IF(OR($B247&lt;Weeks!$A$7,$B247&gt;Weeks!$B$59),"date outside this workbook's year",IF(AND($D247="Advance",N($L247)&lt;0),"Warning: more than earned so far - worker now owes "&amp;TEXT(ROUND(-$L247,0),"#,##0"),"")))))))))</f>
        <v/>
      </c>
      <c r="N247" s="125" t="n"/>
      <c r="O247" s="126" t="n"/>
      <c r="P247" s="126" t="n"/>
      <c r="Q247" s="126" t="n"/>
      <c r="R247" s="126" t="n"/>
      <c r="S247" s="126" t="n"/>
      <c r="T247" s="126" t="n"/>
      <c r="U247" s="126" t="n"/>
      <c r="V247" s="126" t="n"/>
      <c r="W247" s="126" t="n"/>
      <c r="X247" s="126" t="n"/>
      <c r="Y247" s="126" t="n"/>
      <c r="Z247" s="126" t="n"/>
      <c r="AA247" s="126" t="n"/>
      <c r="AB247" s="126" t="n"/>
      <c r="AC247" s="126" t="n"/>
      <c r="AD247" s="126" t="n"/>
      <c r="AE247" s="126" t="n"/>
      <c r="AF247" s="126" t="n"/>
      <c r="AG247" s="126" t="n"/>
      <c r="AH247" s="126" t="n"/>
      <c r="AI247" s="126" t="n"/>
      <c r="AJ247" s="126" t="n"/>
      <c r="AK247" s="126" t="n"/>
      <c r="AL247" s="126" t="n"/>
      <c r="AM247" s="126" t="n"/>
      <c r="AN247" s="126" t="n"/>
    </row>
    <row r="248" ht="21" customFormat="1" customHeight="1" s="127">
      <c r="A248" s="51">
        <f>IF($B248="","",ROW()-6)</f>
        <v/>
      </c>
      <c r="B248" s="268" t="n"/>
      <c r="C248" s="133" t="n"/>
      <c r="D248" s="50" t="n"/>
      <c r="E248" s="265" t="n"/>
      <c r="F248" s="133" t="n"/>
      <c r="G248" s="133" t="n"/>
      <c r="H248" s="50" t="n"/>
      <c r="I248" s="51">
        <f>IF($C248="","",IFERROR(INDEX(WorkerIDs,MATCH($C248,WorkerNames,0)),"?"))</f>
        <v/>
      </c>
      <c r="J248" s="253">
        <f>IF($B248="","",$B248-WEEKDAY($B248,2)+1)</f>
        <v/>
      </c>
      <c r="K248" s="142">
        <f>IF(OR($I248="",$I248="?",$D248&lt;&gt;"Advance",$B248=""),"",$I248&amp;"|"&amp;$J248&amp;"|"&amp;COUNTIFS($I$7:$I248,$I248,$J$7:$J248,$J248,$D$7:$D248,"Advance"))</f>
        <v/>
      </c>
      <c r="L248" s="266">
        <f>IF(OR($I248="",$I248="?",$B248=""),"",SUMPRODUCT((Weeks!$A$7:$A$59&lt;=$J248)*(Weeks!$X$5:$AI$5=$I248)*Weeks!$X$7:$AI$59)-SUMIFS($E$7:$E$1006,$I$7:$I$1006,$I248,$B$7:$B$1006,"&lt;="&amp;$B248))</f>
        <v/>
      </c>
      <c r="M248" s="132">
        <f>IF($B248&amp;$C248&amp;$D248&amp;$E248="","",IF($B248="","missing date",IF($C248="","missing worker",IF($I248="?","unknown worker - was the name changed on Workers?",IF($D248="","missing type",IF(N($E248)=0,"missing amount",IF(AND($E248&lt;0,$D248&lt;&gt;"Correction"),"negative amount - use a Correction to undo",IF(OR($B248&lt;Weeks!$A$7,$B248&gt;Weeks!$B$59),"date outside this workbook's year",IF(AND($D248="Advance",N($L248)&lt;0),"Warning: more than earned so far - worker now owes "&amp;TEXT(ROUND(-$L248,0),"#,##0"),"")))))))))</f>
        <v/>
      </c>
      <c r="N248" s="125" t="n"/>
      <c r="O248" s="126" t="n"/>
      <c r="P248" s="126" t="n"/>
      <c r="Q248" s="126" t="n"/>
      <c r="R248" s="126" t="n"/>
      <c r="S248" s="126" t="n"/>
      <c r="T248" s="126" t="n"/>
      <c r="U248" s="126" t="n"/>
      <c r="V248" s="126" t="n"/>
      <c r="W248" s="126" t="n"/>
      <c r="X248" s="126" t="n"/>
      <c r="Y248" s="126" t="n"/>
      <c r="Z248" s="126" t="n"/>
      <c r="AA248" s="126" t="n"/>
      <c r="AB248" s="126" t="n"/>
      <c r="AC248" s="126" t="n"/>
      <c r="AD248" s="126" t="n"/>
      <c r="AE248" s="126" t="n"/>
      <c r="AF248" s="126" t="n"/>
      <c r="AG248" s="126" t="n"/>
      <c r="AH248" s="126" t="n"/>
      <c r="AI248" s="126" t="n"/>
      <c r="AJ248" s="126" t="n"/>
      <c r="AK248" s="126" t="n"/>
      <c r="AL248" s="126" t="n"/>
      <c r="AM248" s="126" t="n"/>
      <c r="AN248" s="126" t="n"/>
    </row>
    <row r="249" ht="21" customFormat="1" customHeight="1" s="127">
      <c r="A249" s="51">
        <f>IF($B249="","",ROW()-6)</f>
        <v/>
      </c>
      <c r="B249" s="268" t="n"/>
      <c r="C249" s="133" t="n"/>
      <c r="D249" s="50" t="n"/>
      <c r="E249" s="265" t="n"/>
      <c r="F249" s="133" t="n"/>
      <c r="G249" s="133" t="n"/>
      <c r="H249" s="50" t="n"/>
      <c r="I249" s="51">
        <f>IF($C249="","",IFERROR(INDEX(WorkerIDs,MATCH($C249,WorkerNames,0)),"?"))</f>
        <v/>
      </c>
      <c r="J249" s="253">
        <f>IF($B249="","",$B249-WEEKDAY($B249,2)+1)</f>
        <v/>
      </c>
      <c r="K249" s="142">
        <f>IF(OR($I249="",$I249="?",$D249&lt;&gt;"Advance",$B249=""),"",$I249&amp;"|"&amp;$J249&amp;"|"&amp;COUNTIFS($I$7:$I249,$I249,$J$7:$J249,$J249,$D$7:$D249,"Advance"))</f>
        <v/>
      </c>
      <c r="L249" s="266">
        <f>IF(OR($I249="",$I249="?",$B249=""),"",SUMPRODUCT((Weeks!$A$7:$A$59&lt;=$J249)*(Weeks!$X$5:$AI$5=$I249)*Weeks!$X$7:$AI$59)-SUMIFS($E$7:$E$1006,$I$7:$I$1006,$I249,$B$7:$B$1006,"&lt;="&amp;$B249))</f>
        <v/>
      </c>
      <c r="M249" s="132">
        <f>IF($B249&amp;$C249&amp;$D249&amp;$E249="","",IF($B249="","missing date",IF($C249="","missing worker",IF($I249="?","unknown worker - was the name changed on Workers?",IF($D249="","missing type",IF(N($E249)=0,"missing amount",IF(AND($E249&lt;0,$D249&lt;&gt;"Correction"),"negative amount - use a Correction to undo",IF(OR($B249&lt;Weeks!$A$7,$B249&gt;Weeks!$B$59),"date outside this workbook's year",IF(AND($D249="Advance",N($L249)&lt;0),"Warning: more than earned so far - worker now owes "&amp;TEXT(ROUND(-$L249,0),"#,##0"),"")))))))))</f>
        <v/>
      </c>
      <c r="N249" s="125" t="n"/>
      <c r="O249" s="126" t="n"/>
      <c r="P249" s="126" t="n"/>
      <c r="Q249" s="126" t="n"/>
      <c r="R249" s="126" t="n"/>
      <c r="S249" s="126" t="n"/>
      <c r="T249" s="126" t="n"/>
      <c r="U249" s="126" t="n"/>
      <c r="V249" s="126" t="n"/>
      <c r="W249" s="126" t="n"/>
      <c r="X249" s="126" t="n"/>
      <c r="Y249" s="126" t="n"/>
      <c r="Z249" s="126" t="n"/>
      <c r="AA249" s="126" t="n"/>
      <c r="AB249" s="126" t="n"/>
      <c r="AC249" s="126" t="n"/>
      <c r="AD249" s="126" t="n"/>
      <c r="AE249" s="126" t="n"/>
      <c r="AF249" s="126" t="n"/>
      <c r="AG249" s="126" t="n"/>
      <c r="AH249" s="126" t="n"/>
      <c r="AI249" s="126" t="n"/>
      <c r="AJ249" s="126" t="n"/>
      <c r="AK249" s="126" t="n"/>
      <c r="AL249" s="126" t="n"/>
      <c r="AM249" s="126" t="n"/>
      <c r="AN249" s="126" t="n"/>
    </row>
    <row r="250" ht="21" customFormat="1" customHeight="1" s="127">
      <c r="A250" s="51">
        <f>IF($B250="","",ROW()-6)</f>
        <v/>
      </c>
      <c r="B250" s="268" t="n"/>
      <c r="C250" s="133" t="n"/>
      <c r="D250" s="50" t="n"/>
      <c r="E250" s="265" t="n"/>
      <c r="F250" s="133" t="n"/>
      <c r="G250" s="133" t="n"/>
      <c r="H250" s="50" t="n"/>
      <c r="I250" s="51">
        <f>IF($C250="","",IFERROR(INDEX(WorkerIDs,MATCH($C250,WorkerNames,0)),"?"))</f>
        <v/>
      </c>
      <c r="J250" s="253">
        <f>IF($B250="","",$B250-WEEKDAY($B250,2)+1)</f>
        <v/>
      </c>
      <c r="K250" s="142">
        <f>IF(OR($I250="",$I250="?",$D250&lt;&gt;"Advance",$B250=""),"",$I250&amp;"|"&amp;$J250&amp;"|"&amp;COUNTIFS($I$7:$I250,$I250,$J$7:$J250,$J250,$D$7:$D250,"Advance"))</f>
        <v/>
      </c>
      <c r="L250" s="266">
        <f>IF(OR($I250="",$I250="?",$B250=""),"",SUMPRODUCT((Weeks!$A$7:$A$59&lt;=$J250)*(Weeks!$X$5:$AI$5=$I250)*Weeks!$X$7:$AI$59)-SUMIFS($E$7:$E$1006,$I$7:$I$1006,$I250,$B$7:$B$1006,"&lt;="&amp;$B250))</f>
        <v/>
      </c>
      <c r="M250" s="132">
        <f>IF($B250&amp;$C250&amp;$D250&amp;$E250="","",IF($B250="","missing date",IF($C250="","missing worker",IF($I250="?","unknown worker - was the name changed on Workers?",IF($D250="","missing type",IF(N($E250)=0,"missing amount",IF(AND($E250&lt;0,$D250&lt;&gt;"Correction"),"negative amount - use a Correction to undo",IF(OR($B250&lt;Weeks!$A$7,$B250&gt;Weeks!$B$59),"date outside this workbook's year",IF(AND($D250="Advance",N($L250)&lt;0),"Warning: more than earned so far - worker now owes "&amp;TEXT(ROUND(-$L250,0),"#,##0"),"")))))))))</f>
        <v/>
      </c>
      <c r="N250" s="125" t="n"/>
      <c r="O250" s="126" t="n"/>
      <c r="P250" s="126" t="n"/>
      <c r="Q250" s="126" t="n"/>
      <c r="R250" s="126" t="n"/>
      <c r="S250" s="126" t="n"/>
      <c r="T250" s="126" t="n"/>
      <c r="U250" s="126" t="n"/>
      <c r="V250" s="126" t="n"/>
      <c r="W250" s="126" t="n"/>
      <c r="X250" s="126" t="n"/>
      <c r="Y250" s="126" t="n"/>
      <c r="Z250" s="126" t="n"/>
      <c r="AA250" s="126" t="n"/>
      <c r="AB250" s="126" t="n"/>
      <c r="AC250" s="126" t="n"/>
      <c r="AD250" s="126" t="n"/>
      <c r="AE250" s="126" t="n"/>
      <c r="AF250" s="126" t="n"/>
      <c r="AG250" s="126" t="n"/>
      <c r="AH250" s="126" t="n"/>
      <c r="AI250" s="126" t="n"/>
      <c r="AJ250" s="126" t="n"/>
      <c r="AK250" s="126" t="n"/>
      <c r="AL250" s="126" t="n"/>
      <c r="AM250" s="126" t="n"/>
      <c r="AN250" s="126" t="n"/>
    </row>
    <row r="251" ht="21" customFormat="1" customHeight="1" s="127">
      <c r="A251" s="51">
        <f>IF($B251="","",ROW()-6)</f>
        <v/>
      </c>
      <c r="B251" s="268" t="n"/>
      <c r="C251" s="133" t="n"/>
      <c r="D251" s="50" t="n"/>
      <c r="E251" s="265" t="n"/>
      <c r="F251" s="133" t="n"/>
      <c r="G251" s="133" t="n"/>
      <c r="H251" s="50" t="n"/>
      <c r="I251" s="51">
        <f>IF($C251="","",IFERROR(INDEX(WorkerIDs,MATCH($C251,WorkerNames,0)),"?"))</f>
        <v/>
      </c>
      <c r="J251" s="253">
        <f>IF($B251="","",$B251-WEEKDAY($B251,2)+1)</f>
        <v/>
      </c>
      <c r="K251" s="142">
        <f>IF(OR($I251="",$I251="?",$D251&lt;&gt;"Advance",$B251=""),"",$I251&amp;"|"&amp;$J251&amp;"|"&amp;COUNTIFS($I$7:$I251,$I251,$J$7:$J251,$J251,$D$7:$D251,"Advance"))</f>
        <v/>
      </c>
      <c r="L251" s="266">
        <f>IF(OR($I251="",$I251="?",$B251=""),"",SUMPRODUCT((Weeks!$A$7:$A$59&lt;=$J251)*(Weeks!$X$5:$AI$5=$I251)*Weeks!$X$7:$AI$59)-SUMIFS($E$7:$E$1006,$I$7:$I$1006,$I251,$B$7:$B$1006,"&lt;="&amp;$B251))</f>
        <v/>
      </c>
      <c r="M251" s="132">
        <f>IF($B251&amp;$C251&amp;$D251&amp;$E251="","",IF($B251="","missing date",IF($C251="","missing worker",IF($I251="?","unknown worker - was the name changed on Workers?",IF($D251="","missing type",IF(N($E251)=0,"missing amount",IF(AND($E251&lt;0,$D251&lt;&gt;"Correction"),"negative amount - use a Correction to undo",IF(OR($B251&lt;Weeks!$A$7,$B251&gt;Weeks!$B$59),"date outside this workbook's year",IF(AND($D251="Advance",N($L251)&lt;0),"Warning: more than earned so far - worker now owes "&amp;TEXT(ROUND(-$L251,0),"#,##0"),"")))))))))</f>
        <v/>
      </c>
      <c r="N251" s="125" t="n"/>
      <c r="O251" s="126" t="n"/>
      <c r="P251" s="126" t="n"/>
      <c r="Q251" s="126" t="n"/>
      <c r="R251" s="126" t="n"/>
      <c r="S251" s="126" t="n"/>
      <c r="T251" s="126" t="n"/>
      <c r="U251" s="126" t="n"/>
      <c r="V251" s="126" t="n"/>
      <c r="W251" s="126" t="n"/>
      <c r="X251" s="126" t="n"/>
      <c r="Y251" s="126" t="n"/>
      <c r="Z251" s="126" t="n"/>
      <c r="AA251" s="126" t="n"/>
      <c r="AB251" s="126" t="n"/>
      <c r="AC251" s="126" t="n"/>
      <c r="AD251" s="126" t="n"/>
      <c r="AE251" s="126" t="n"/>
      <c r="AF251" s="126" t="n"/>
      <c r="AG251" s="126" t="n"/>
      <c r="AH251" s="126" t="n"/>
      <c r="AI251" s="126" t="n"/>
      <c r="AJ251" s="126" t="n"/>
      <c r="AK251" s="126" t="n"/>
      <c r="AL251" s="126" t="n"/>
      <c r="AM251" s="126" t="n"/>
      <c r="AN251" s="126" t="n"/>
    </row>
    <row r="252" ht="21" customFormat="1" customHeight="1" s="127">
      <c r="A252" s="51">
        <f>IF($B252="","",ROW()-6)</f>
        <v/>
      </c>
      <c r="B252" s="268" t="n"/>
      <c r="C252" s="133" t="n"/>
      <c r="D252" s="50" t="n"/>
      <c r="E252" s="265" t="n"/>
      <c r="F252" s="133" t="n"/>
      <c r="G252" s="133" t="n"/>
      <c r="H252" s="50" t="n"/>
      <c r="I252" s="51">
        <f>IF($C252="","",IFERROR(INDEX(WorkerIDs,MATCH($C252,WorkerNames,0)),"?"))</f>
        <v/>
      </c>
      <c r="J252" s="253">
        <f>IF($B252="","",$B252-WEEKDAY($B252,2)+1)</f>
        <v/>
      </c>
      <c r="K252" s="142">
        <f>IF(OR($I252="",$I252="?",$D252&lt;&gt;"Advance",$B252=""),"",$I252&amp;"|"&amp;$J252&amp;"|"&amp;COUNTIFS($I$7:$I252,$I252,$J$7:$J252,$J252,$D$7:$D252,"Advance"))</f>
        <v/>
      </c>
      <c r="L252" s="266">
        <f>IF(OR($I252="",$I252="?",$B252=""),"",SUMPRODUCT((Weeks!$A$7:$A$59&lt;=$J252)*(Weeks!$X$5:$AI$5=$I252)*Weeks!$X$7:$AI$59)-SUMIFS($E$7:$E$1006,$I$7:$I$1006,$I252,$B$7:$B$1006,"&lt;="&amp;$B252))</f>
        <v/>
      </c>
      <c r="M252" s="132">
        <f>IF($B252&amp;$C252&amp;$D252&amp;$E252="","",IF($B252="","missing date",IF($C252="","missing worker",IF($I252="?","unknown worker - was the name changed on Workers?",IF($D252="","missing type",IF(N($E252)=0,"missing amount",IF(AND($E252&lt;0,$D252&lt;&gt;"Correction"),"negative amount - use a Correction to undo",IF(OR($B252&lt;Weeks!$A$7,$B252&gt;Weeks!$B$59),"date outside this workbook's year",IF(AND($D252="Advance",N($L252)&lt;0),"Warning: more than earned so far - worker now owes "&amp;TEXT(ROUND(-$L252,0),"#,##0"),"")))))))))</f>
        <v/>
      </c>
      <c r="N252" s="125" t="n"/>
      <c r="O252" s="126" t="n"/>
      <c r="P252" s="126" t="n"/>
      <c r="Q252" s="126" t="n"/>
      <c r="R252" s="126" t="n"/>
      <c r="S252" s="126" t="n"/>
      <c r="T252" s="126" t="n"/>
      <c r="U252" s="126" t="n"/>
      <c r="V252" s="126" t="n"/>
      <c r="W252" s="126" t="n"/>
      <c r="X252" s="126" t="n"/>
      <c r="Y252" s="126" t="n"/>
      <c r="Z252" s="126" t="n"/>
      <c r="AA252" s="126" t="n"/>
      <c r="AB252" s="126" t="n"/>
      <c r="AC252" s="126" t="n"/>
      <c r="AD252" s="126" t="n"/>
      <c r="AE252" s="126" t="n"/>
      <c r="AF252" s="126" t="n"/>
      <c r="AG252" s="126" t="n"/>
      <c r="AH252" s="126" t="n"/>
      <c r="AI252" s="126" t="n"/>
      <c r="AJ252" s="126" t="n"/>
      <c r="AK252" s="126" t="n"/>
      <c r="AL252" s="126" t="n"/>
      <c r="AM252" s="126" t="n"/>
      <c r="AN252" s="126" t="n"/>
    </row>
    <row r="253" ht="21" customFormat="1" customHeight="1" s="127">
      <c r="A253" s="51">
        <f>IF($B253="","",ROW()-6)</f>
        <v/>
      </c>
      <c r="B253" s="268" t="n"/>
      <c r="C253" s="133" t="n"/>
      <c r="D253" s="50" t="n"/>
      <c r="E253" s="265" t="n"/>
      <c r="F253" s="133" t="n"/>
      <c r="G253" s="133" t="n"/>
      <c r="H253" s="50" t="n"/>
      <c r="I253" s="51">
        <f>IF($C253="","",IFERROR(INDEX(WorkerIDs,MATCH($C253,WorkerNames,0)),"?"))</f>
        <v/>
      </c>
      <c r="J253" s="253">
        <f>IF($B253="","",$B253-WEEKDAY($B253,2)+1)</f>
        <v/>
      </c>
      <c r="K253" s="142">
        <f>IF(OR($I253="",$I253="?",$D253&lt;&gt;"Advance",$B253=""),"",$I253&amp;"|"&amp;$J253&amp;"|"&amp;COUNTIFS($I$7:$I253,$I253,$J$7:$J253,$J253,$D$7:$D253,"Advance"))</f>
        <v/>
      </c>
      <c r="L253" s="266">
        <f>IF(OR($I253="",$I253="?",$B253=""),"",SUMPRODUCT((Weeks!$A$7:$A$59&lt;=$J253)*(Weeks!$X$5:$AI$5=$I253)*Weeks!$X$7:$AI$59)-SUMIFS($E$7:$E$1006,$I$7:$I$1006,$I253,$B$7:$B$1006,"&lt;="&amp;$B253))</f>
        <v/>
      </c>
      <c r="M253" s="132">
        <f>IF($B253&amp;$C253&amp;$D253&amp;$E253="","",IF($B253="","missing date",IF($C253="","missing worker",IF($I253="?","unknown worker - was the name changed on Workers?",IF($D253="","missing type",IF(N($E253)=0,"missing amount",IF(AND($E253&lt;0,$D253&lt;&gt;"Correction"),"negative amount - use a Correction to undo",IF(OR($B253&lt;Weeks!$A$7,$B253&gt;Weeks!$B$59),"date outside this workbook's year",IF(AND($D253="Advance",N($L253)&lt;0),"Warning: more than earned so far - worker now owes "&amp;TEXT(ROUND(-$L253,0),"#,##0"),"")))))))))</f>
        <v/>
      </c>
      <c r="N253" s="125" t="n"/>
      <c r="O253" s="126" t="n"/>
      <c r="P253" s="126" t="n"/>
      <c r="Q253" s="126" t="n"/>
      <c r="R253" s="126" t="n"/>
      <c r="S253" s="126" t="n"/>
      <c r="T253" s="126" t="n"/>
      <c r="U253" s="126" t="n"/>
      <c r="V253" s="126" t="n"/>
      <c r="W253" s="126" t="n"/>
      <c r="X253" s="126" t="n"/>
      <c r="Y253" s="126" t="n"/>
      <c r="Z253" s="126" t="n"/>
      <c r="AA253" s="126" t="n"/>
      <c r="AB253" s="126" t="n"/>
      <c r="AC253" s="126" t="n"/>
      <c r="AD253" s="126" t="n"/>
      <c r="AE253" s="126" t="n"/>
      <c r="AF253" s="126" t="n"/>
      <c r="AG253" s="126" t="n"/>
      <c r="AH253" s="126" t="n"/>
      <c r="AI253" s="126" t="n"/>
      <c r="AJ253" s="126" t="n"/>
      <c r="AK253" s="126" t="n"/>
      <c r="AL253" s="126" t="n"/>
      <c r="AM253" s="126" t="n"/>
      <c r="AN253" s="126" t="n"/>
    </row>
    <row r="254" ht="21" customFormat="1" customHeight="1" s="127">
      <c r="A254" s="51">
        <f>IF($B254="","",ROW()-6)</f>
        <v/>
      </c>
      <c r="B254" s="268" t="n"/>
      <c r="C254" s="133" t="n"/>
      <c r="D254" s="50" t="n"/>
      <c r="E254" s="265" t="n"/>
      <c r="F254" s="133" t="n"/>
      <c r="G254" s="133" t="n"/>
      <c r="H254" s="50" t="n"/>
      <c r="I254" s="51">
        <f>IF($C254="","",IFERROR(INDEX(WorkerIDs,MATCH($C254,WorkerNames,0)),"?"))</f>
        <v/>
      </c>
      <c r="J254" s="253">
        <f>IF($B254="","",$B254-WEEKDAY($B254,2)+1)</f>
        <v/>
      </c>
      <c r="K254" s="142">
        <f>IF(OR($I254="",$I254="?",$D254&lt;&gt;"Advance",$B254=""),"",$I254&amp;"|"&amp;$J254&amp;"|"&amp;COUNTIFS($I$7:$I254,$I254,$J$7:$J254,$J254,$D$7:$D254,"Advance"))</f>
        <v/>
      </c>
      <c r="L254" s="266">
        <f>IF(OR($I254="",$I254="?",$B254=""),"",SUMPRODUCT((Weeks!$A$7:$A$59&lt;=$J254)*(Weeks!$X$5:$AI$5=$I254)*Weeks!$X$7:$AI$59)-SUMIFS($E$7:$E$1006,$I$7:$I$1006,$I254,$B$7:$B$1006,"&lt;="&amp;$B254))</f>
        <v/>
      </c>
      <c r="M254" s="132">
        <f>IF($B254&amp;$C254&amp;$D254&amp;$E254="","",IF($B254="","missing date",IF($C254="","missing worker",IF($I254="?","unknown worker - was the name changed on Workers?",IF($D254="","missing type",IF(N($E254)=0,"missing amount",IF(AND($E254&lt;0,$D254&lt;&gt;"Correction"),"negative amount - use a Correction to undo",IF(OR($B254&lt;Weeks!$A$7,$B254&gt;Weeks!$B$59),"date outside this workbook's year",IF(AND($D254="Advance",N($L254)&lt;0),"Warning: more than earned so far - worker now owes "&amp;TEXT(ROUND(-$L254,0),"#,##0"),"")))))))))</f>
        <v/>
      </c>
      <c r="N254" s="125" t="n"/>
      <c r="O254" s="126" t="n"/>
      <c r="P254" s="126" t="n"/>
      <c r="Q254" s="126" t="n"/>
      <c r="R254" s="126" t="n"/>
      <c r="S254" s="126" t="n"/>
      <c r="T254" s="126" t="n"/>
      <c r="U254" s="126" t="n"/>
      <c r="V254" s="126" t="n"/>
      <c r="W254" s="126" t="n"/>
      <c r="X254" s="126" t="n"/>
      <c r="Y254" s="126" t="n"/>
      <c r="Z254" s="126" t="n"/>
      <c r="AA254" s="126" t="n"/>
      <c r="AB254" s="126" t="n"/>
      <c r="AC254" s="126" t="n"/>
      <c r="AD254" s="126" t="n"/>
      <c r="AE254" s="126" t="n"/>
      <c r="AF254" s="126" t="n"/>
      <c r="AG254" s="126" t="n"/>
      <c r="AH254" s="126" t="n"/>
      <c r="AI254" s="126" t="n"/>
      <c r="AJ254" s="126" t="n"/>
      <c r="AK254" s="126" t="n"/>
      <c r="AL254" s="126" t="n"/>
      <c r="AM254" s="126" t="n"/>
      <c r="AN254" s="126" t="n"/>
    </row>
    <row r="255" ht="21" customFormat="1" customHeight="1" s="127">
      <c r="A255" s="51">
        <f>IF($B255="","",ROW()-6)</f>
        <v/>
      </c>
      <c r="B255" s="268" t="n"/>
      <c r="C255" s="133" t="n"/>
      <c r="D255" s="50" t="n"/>
      <c r="E255" s="265" t="n"/>
      <c r="F255" s="133" t="n"/>
      <c r="G255" s="133" t="n"/>
      <c r="H255" s="50" t="n"/>
      <c r="I255" s="51">
        <f>IF($C255="","",IFERROR(INDEX(WorkerIDs,MATCH($C255,WorkerNames,0)),"?"))</f>
        <v/>
      </c>
      <c r="J255" s="253">
        <f>IF($B255="","",$B255-WEEKDAY($B255,2)+1)</f>
        <v/>
      </c>
      <c r="K255" s="142">
        <f>IF(OR($I255="",$I255="?",$D255&lt;&gt;"Advance",$B255=""),"",$I255&amp;"|"&amp;$J255&amp;"|"&amp;COUNTIFS($I$7:$I255,$I255,$J$7:$J255,$J255,$D$7:$D255,"Advance"))</f>
        <v/>
      </c>
      <c r="L255" s="266">
        <f>IF(OR($I255="",$I255="?",$B255=""),"",SUMPRODUCT((Weeks!$A$7:$A$59&lt;=$J255)*(Weeks!$X$5:$AI$5=$I255)*Weeks!$X$7:$AI$59)-SUMIFS($E$7:$E$1006,$I$7:$I$1006,$I255,$B$7:$B$1006,"&lt;="&amp;$B255))</f>
        <v/>
      </c>
      <c r="M255" s="132">
        <f>IF($B255&amp;$C255&amp;$D255&amp;$E255="","",IF($B255="","missing date",IF($C255="","missing worker",IF($I255="?","unknown worker - was the name changed on Workers?",IF($D255="","missing type",IF(N($E255)=0,"missing amount",IF(AND($E255&lt;0,$D255&lt;&gt;"Correction"),"negative amount - use a Correction to undo",IF(OR($B255&lt;Weeks!$A$7,$B255&gt;Weeks!$B$59),"date outside this workbook's year",IF(AND($D255="Advance",N($L255)&lt;0),"Warning: more than earned so far - worker now owes "&amp;TEXT(ROUND(-$L255,0),"#,##0"),"")))))))))</f>
        <v/>
      </c>
      <c r="N255" s="125" t="n"/>
      <c r="O255" s="126" t="n"/>
      <c r="P255" s="126" t="n"/>
      <c r="Q255" s="126" t="n"/>
      <c r="R255" s="126" t="n"/>
      <c r="S255" s="126" t="n"/>
      <c r="T255" s="126" t="n"/>
      <c r="U255" s="126" t="n"/>
      <c r="V255" s="126" t="n"/>
      <c r="W255" s="126" t="n"/>
      <c r="X255" s="126" t="n"/>
      <c r="Y255" s="126" t="n"/>
      <c r="Z255" s="126" t="n"/>
      <c r="AA255" s="126" t="n"/>
      <c r="AB255" s="126" t="n"/>
      <c r="AC255" s="126" t="n"/>
      <c r="AD255" s="126" t="n"/>
      <c r="AE255" s="126" t="n"/>
      <c r="AF255" s="126" t="n"/>
      <c r="AG255" s="126" t="n"/>
      <c r="AH255" s="126" t="n"/>
      <c r="AI255" s="126" t="n"/>
      <c r="AJ255" s="126" t="n"/>
      <c r="AK255" s="126" t="n"/>
      <c r="AL255" s="126" t="n"/>
      <c r="AM255" s="126" t="n"/>
      <c r="AN255" s="126" t="n"/>
    </row>
    <row r="256" ht="21" customFormat="1" customHeight="1" s="127">
      <c r="A256" s="51">
        <f>IF($B256="","",ROW()-6)</f>
        <v/>
      </c>
      <c r="B256" s="268" t="n"/>
      <c r="C256" s="133" t="n"/>
      <c r="D256" s="50" t="n"/>
      <c r="E256" s="265" t="n"/>
      <c r="F256" s="133" t="n"/>
      <c r="G256" s="133" t="n"/>
      <c r="H256" s="50" t="n"/>
      <c r="I256" s="51">
        <f>IF($C256="","",IFERROR(INDEX(WorkerIDs,MATCH($C256,WorkerNames,0)),"?"))</f>
        <v/>
      </c>
      <c r="J256" s="253">
        <f>IF($B256="","",$B256-WEEKDAY($B256,2)+1)</f>
        <v/>
      </c>
      <c r="K256" s="142">
        <f>IF(OR($I256="",$I256="?",$D256&lt;&gt;"Advance",$B256=""),"",$I256&amp;"|"&amp;$J256&amp;"|"&amp;COUNTIFS($I$7:$I256,$I256,$J$7:$J256,$J256,$D$7:$D256,"Advance"))</f>
        <v/>
      </c>
      <c r="L256" s="266">
        <f>IF(OR($I256="",$I256="?",$B256=""),"",SUMPRODUCT((Weeks!$A$7:$A$59&lt;=$J256)*(Weeks!$X$5:$AI$5=$I256)*Weeks!$X$7:$AI$59)-SUMIFS($E$7:$E$1006,$I$7:$I$1006,$I256,$B$7:$B$1006,"&lt;="&amp;$B256))</f>
        <v/>
      </c>
      <c r="M256" s="132">
        <f>IF($B256&amp;$C256&amp;$D256&amp;$E256="","",IF($B256="","missing date",IF($C256="","missing worker",IF($I256="?","unknown worker - was the name changed on Workers?",IF($D256="","missing type",IF(N($E256)=0,"missing amount",IF(AND($E256&lt;0,$D256&lt;&gt;"Correction"),"negative amount - use a Correction to undo",IF(OR($B256&lt;Weeks!$A$7,$B256&gt;Weeks!$B$59),"date outside this workbook's year",IF(AND($D256="Advance",N($L256)&lt;0),"Warning: more than earned so far - worker now owes "&amp;TEXT(ROUND(-$L256,0),"#,##0"),"")))))))))</f>
        <v/>
      </c>
      <c r="N256" s="125" t="n"/>
      <c r="O256" s="126" t="n"/>
      <c r="P256" s="126" t="n"/>
      <c r="Q256" s="126" t="n"/>
      <c r="R256" s="126" t="n"/>
      <c r="S256" s="126" t="n"/>
      <c r="T256" s="126" t="n"/>
      <c r="U256" s="126" t="n"/>
      <c r="V256" s="126" t="n"/>
      <c r="W256" s="126" t="n"/>
      <c r="X256" s="126" t="n"/>
      <c r="Y256" s="126" t="n"/>
      <c r="Z256" s="126" t="n"/>
      <c r="AA256" s="126" t="n"/>
      <c r="AB256" s="126" t="n"/>
      <c r="AC256" s="126" t="n"/>
      <c r="AD256" s="126" t="n"/>
      <c r="AE256" s="126" t="n"/>
      <c r="AF256" s="126" t="n"/>
      <c r="AG256" s="126" t="n"/>
      <c r="AH256" s="126" t="n"/>
      <c r="AI256" s="126" t="n"/>
      <c r="AJ256" s="126" t="n"/>
      <c r="AK256" s="126" t="n"/>
      <c r="AL256" s="126" t="n"/>
      <c r="AM256" s="126" t="n"/>
      <c r="AN256" s="126" t="n"/>
    </row>
    <row r="257" ht="21" customFormat="1" customHeight="1" s="127">
      <c r="A257" s="51">
        <f>IF($B257="","",ROW()-6)</f>
        <v/>
      </c>
      <c r="B257" s="268" t="n"/>
      <c r="C257" s="133" t="n"/>
      <c r="D257" s="50" t="n"/>
      <c r="E257" s="265" t="n"/>
      <c r="F257" s="133" t="n"/>
      <c r="G257" s="133" t="n"/>
      <c r="H257" s="50" t="n"/>
      <c r="I257" s="51">
        <f>IF($C257="","",IFERROR(INDEX(WorkerIDs,MATCH($C257,WorkerNames,0)),"?"))</f>
        <v/>
      </c>
      <c r="J257" s="253">
        <f>IF($B257="","",$B257-WEEKDAY($B257,2)+1)</f>
        <v/>
      </c>
      <c r="K257" s="142">
        <f>IF(OR($I257="",$I257="?",$D257&lt;&gt;"Advance",$B257=""),"",$I257&amp;"|"&amp;$J257&amp;"|"&amp;COUNTIFS($I$7:$I257,$I257,$J$7:$J257,$J257,$D$7:$D257,"Advance"))</f>
        <v/>
      </c>
      <c r="L257" s="266">
        <f>IF(OR($I257="",$I257="?",$B257=""),"",SUMPRODUCT((Weeks!$A$7:$A$59&lt;=$J257)*(Weeks!$X$5:$AI$5=$I257)*Weeks!$X$7:$AI$59)-SUMIFS($E$7:$E$1006,$I$7:$I$1006,$I257,$B$7:$B$1006,"&lt;="&amp;$B257))</f>
        <v/>
      </c>
      <c r="M257" s="132">
        <f>IF($B257&amp;$C257&amp;$D257&amp;$E257="","",IF($B257="","missing date",IF($C257="","missing worker",IF($I257="?","unknown worker - was the name changed on Workers?",IF($D257="","missing type",IF(N($E257)=0,"missing amount",IF(AND($E257&lt;0,$D257&lt;&gt;"Correction"),"negative amount - use a Correction to undo",IF(OR($B257&lt;Weeks!$A$7,$B257&gt;Weeks!$B$59),"date outside this workbook's year",IF(AND($D257="Advance",N($L257)&lt;0),"Warning: more than earned so far - worker now owes "&amp;TEXT(ROUND(-$L257,0),"#,##0"),"")))))))))</f>
        <v/>
      </c>
      <c r="N257" s="125" t="n"/>
      <c r="O257" s="126" t="n"/>
      <c r="P257" s="126" t="n"/>
      <c r="Q257" s="126" t="n"/>
      <c r="R257" s="126" t="n"/>
      <c r="S257" s="126" t="n"/>
      <c r="T257" s="126" t="n"/>
      <c r="U257" s="126" t="n"/>
      <c r="V257" s="126" t="n"/>
      <c r="W257" s="126" t="n"/>
      <c r="X257" s="126" t="n"/>
      <c r="Y257" s="126" t="n"/>
      <c r="Z257" s="126" t="n"/>
      <c r="AA257" s="126" t="n"/>
      <c r="AB257" s="126" t="n"/>
      <c r="AC257" s="126" t="n"/>
      <c r="AD257" s="126" t="n"/>
      <c r="AE257" s="126" t="n"/>
      <c r="AF257" s="126" t="n"/>
      <c r="AG257" s="126" t="n"/>
      <c r="AH257" s="126" t="n"/>
      <c r="AI257" s="126" t="n"/>
      <c r="AJ257" s="126" t="n"/>
      <c r="AK257" s="126" t="n"/>
      <c r="AL257" s="126" t="n"/>
      <c r="AM257" s="126" t="n"/>
      <c r="AN257" s="126" t="n"/>
    </row>
    <row r="258" ht="21" customFormat="1" customHeight="1" s="127">
      <c r="A258" s="51">
        <f>IF($B258="","",ROW()-6)</f>
        <v/>
      </c>
      <c r="B258" s="268" t="n"/>
      <c r="C258" s="133" t="n"/>
      <c r="D258" s="50" t="n"/>
      <c r="E258" s="265" t="n"/>
      <c r="F258" s="133" t="n"/>
      <c r="G258" s="133" t="n"/>
      <c r="H258" s="50" t="n"/>
      <c r="I258" s="51">
        <f>IF($C258="","",IFERROR(INDEX(WorkerIDs,MATCH($C258,WorkerNames,0)),"?"))</f>
        <v/>
      </c>
      <c r="J258" s="253">
        <f>IF($B258="","",$B258-WEEKDAY($B258,2)+1)</f>
        <v/>
      </c>
      <c r="K258" s="142">
        <f>IF(OR($I258="",$I258="?",$D258&lt;&gt;"Advance",$B258=""),"",$I258&amp;"|"&amp;$J258&amp;"|"&amp;COUNTIFS($I$7:$I258,$I258,$J$7:$J258,$J258,$D$7:$D258,"Advance"))</f>
        <v/>
      </c>
      <c r="L258" s="266">
        <f>IF(OR($I258="",$I258="?",$B258=""),"",SUMPRODUCT((Weeks!$A$7:$A$59&lt;=$J258)*(Weeks!$X$5:$AI$5=$I258)*Weeks!$X$7:$AI$59)-SUMIFS($E$7:$E$1006,$I$7:$I$1006,$I258,$B$7:$B$1006,"&lt;="&amp;$B258))</f>
        <v/>
      </c>
      <c r="M258" s="132">
        <f>IF($B258&amp;$C258&amp;$D258&amp;$E258="","",IF($B258="","missing date",IF($C258="","missing worker",IF($I258="?","unknown worker - was the name changed on Workers?",IF($D258="","missing type",IF(N($E258)=0,"missing amount",IF(AND($E258&lt;0,$D258&lt;&gt;"Correction"),"negative amount - use a Correction to undo",IF(OR($B258&lt;Weeks!$A$7,$B258&gt;Weeks!$B$59),"date outside this workbook's year",IF(AND($D258="Advance",N($L258)&lt;0),"Warning: more than earned so far - worker now owes "&amp;TEXT(ROUND(-$L258,0),"#,##0"),"")))))))))</f>
        <v/>
      </c>
      <c r="N258" s="125" t="n"/>
      <c r="O258" s="126" t="n"/>
      <c r="P258" s="126" t="n"/>
      <c r="Q258" s="126" t="n"/>
      <c r="R258" s="126" t="n"/>
      <c r="S258" s="126" t="n"/>
      <c r="T258" s="126" t="n"/>
      <c r="U258" s="126" t="n"/>
      <c r="V258" s="126" t="n"/>
      <c r="W258" s="126" t="n"/>
      <c r="X258" s="126" t="n"/>
      <c r="Y258" s="126" t="n"/>
      <c r="Z258" s="126" t="n"/>
      <c r="AA258" s="126" t="n"/>
      <c r="AB258" s="126" t="n"/>
      <c r="AC258" s="126" t="n"/>
      <c r="AD258" s="126" t="n"/>
      <c r="AE258" s="126" t="n"/>
      <c r="AF258" s="126" t="n"/>
      <c r="AG258" s="126" t="n"/>
      <c r="AH258" s="126" t="n"/>
      <c r="AI258" s="126" t="n"/>
      <c r="AJ258" s="126" t="n"/>
      <c r="AK258" s="126" t="n"/>
      <c r="AL258" s="126" t="n"/>
      <c r="AM258" s="126" t="n"/>
      <c r="AN258" s="126" t="n"/>
    </row>
    <row r="259" ht="21" customFormat="1" customHeight="1" s="127">
      <c r="A259" s="51">
        <f>IF($B259="","",ROW()-6)</f>
        <v/>
      </c>
      <c r="B259" s="268" t="n"/>
      <c r="C259" s="133" t="n"/>
      <c r="D259" s="50" t="n"/>
      <c r="E259" s="265" t="n"/>
      <c r="F259" s="133" t="n"/>
      <c r="G259" s="133" t="n"/>
      <c r="H259" s="50" t="n"/>
      <c r="I259" s="51">
        <f>IF($C259="","",IFERROR(INDEX(WorkerIDs,MATCH($C259,WorkerNames,0)),"?"))</f>
        <v/>
      </c>
      <c r="J259" s="253">
        <f>IF($B259="","",$B259-WEEKDAY($B259,2)+1)</f>
        <v/>
      </c>
      <c r="K259" s="142">
        <f>IF(OR($I259="",$I259="?",$D259&lt;&gt;"Advance",$B259=""),"",$I259&amp;"|"&amp;$J259&amp;"|"&amp;COUNTIFS($I$7:$I259,$I259,$J$7:$J259,$J259,$D$7:$D259,"Advance"))</f>
        <v/>
      </c>
      <c r="L259" s="266">
        <f>IF(OR($I259="",$I259="?",$B259=""),"",SUMPRODUCT((Weeks!$A$7:$A$59&lt;=$J259)*(Weeks!$X$5:$AI$5=$I259)*Weeks!$X$7:$AI$59)-SUMIFS($E$7:$E$1006,$I$7:$I$1006,$I259,$B$7:$B$1006,"&lt;="&amp;$B259))</f>
        <v/>
      </c>
      <c r="M259" s="132">
        <f>IF($B259&amp;$C259&amp;$D259&amp;$E259="","",IF($B259="","missing date",IF($C259="","missing worker",IF($I259="?","unknown worker - was the name changed on Workers?",IF($D259="","missing type",IF(N($E259)=0,"missing amount",IF(AND($E259&lt;0,$D259&lt;&gt;"Correction"),"negative amount - use a Correction to undo",IF(OR($B259&lt;Weeks!$A$7,$B259&gt;Weeks!$B$59),"date outside this workbook's year",IF(AND($D259="Advance",N($L259)&lt;0),"Warning: more than earned so far - worker now owes "&amp;TEXT(ROUND(-$L259,0),"#,##0"),"")))))))))</f>
        <v/>
      </c>
      <c r="N259" s="125" t="n"/>
      <c r="O259" s="126" t="n"/>
      <c r="P259" s="126" t="n"/>
      <c r="Q259" s="126" t="n"/>
      <c r="R259" s="126" t="n"/>
      <c r="S259" s="126" t="n"/>
      <c r="T259" s="126" t="n"/>
      <c r="U259" s="126" t="n"/>
      <c r="V259" s="126" t="n"/>
      <c r="W259" s="126" t="n"/>
      <c r="X259" s="126" t="n"/>
      <c r="Y259" s="126" t="n"/>
      <c r="Z259" s="126" t="n"/>
      <c r="AA259" s="126" t="n"/>
      <c r="AB259" s="126" t="n"/>
      <c r="AC259" s="126" t="n"/>
      <c r="AD259" s="126" t="n"/>
      <c r="AE259" s="126" t="n"/>
      <c r="AF259" s="126" t="n"/>
      <c r="AG259" s="126" t="n"/>
      <c r="AH259" s="126" t="n"/>
      <c r="AI259" s="126" t="n"/>
      <c r="AJ259" s="126" t="n"/>
      <c r="AK259" s="126" t="n"/>
      <c r="AL259" s="126" t="n"/>
      <c r="AM259" s="126" t="n"/>
      <c r="AN259" s="126" t="n"/>
    </row>
    <row r="260" ht="21" customFormat="1" customHeight="1" s="127">
      <c r="A260" s="51">
        <f>IF($B260="","",ROW()-6)</f>
        <v/>
      </c>
      <c r="B260" s="268" t="n"/>
      <c r="C260" s="133" t="n"/>
      <c r="D260" s="50" t="n"/>
      <c r="E260" s="265" t="n"/>
      <c r="F260" s="133" t="n"/>
      <c r="G260" s="133" t="n"/>
      <c r="H260" s="50" t="n"/>
      <c r="I260" s="51">
        <f>IF($C260="","",IFERROR(INDEX(WorkerIDs,MATCH($C260,WorkerNames,0)),"?"))</f>
        <v/>
      </c>
      <c r="J260" s="253">
        <f>IF($B260="","",$B260-WEEKDAY($B260,2)+1)</f>
        <v/>
      </c>
      <c r="K260" s="142">
        <f>IF(OR($I260="",$I260="?",$D260&lt;&gt;"Advance",$B260=""),"",$I260&amp;"|"&amp;$J260&amp;"|"&amp;COUNTIFS($I$7:$I260,$I260,$J$7:$J260,$J260,$D$7:$D260,"Advance"))</f>
        <v/>
      </c>
      <c r="L260" s="266">
        <f>IF(OR($I260="",$I260="?",$B260=""),"",SUMPRODUCT((Weeks!$A$7:$A$59&lt;=$J260)*(Weeks!$X$5:$AI$5=$I260)*Weeks!$X$7:$AI$59)-SUMIFS($E$7:$E$1006,$I$7:$I$1006,$I260,$B$7:$B$1006,"&lt;="&amp;$B260))</f>
        <v/>
      </c>
      <c r="M260" s="132">
        <f>IF($B260&amp;$C260&amp;$D260&amp;$E260="","",IF($B260="","missing date",IF($C260="","missing worker",IF($I260="?","unknown worker - was the name changed on Workers?",IF($D260="","missing type",IF(N($E260)=0,"missing amount",IF(AND($E260&lt;0,$D260&lt;&gt;"Correction"),"negative amount - use a Correction to undo",IF(OR($B260&lt;Weeks!$A$7,$B260&gt;Weeks!$B$59),"date outside this workbook's year",IF(AND($D260="Advance",N($L260)&lt;0),"Warning: more than earned so far - worker now owes "&amp;TEXT(ROUND(-$L260,0),"#,##0"),"")))))))))</f>
        <v/>
      </c>
      <c r="N260" s="125" t="n"/>
      <c r="O260" s="126" t="n"/>
      <c r="P260" s="126" t="n"/>
      <c r="Q260" s="126" t="n"/>
      <c r="R260" s="126" t="n"/>
      <c r="S260" s="126" t="n"/>
      <c r="T260" s="126" t="n"/>
      <c r="U260" s="126" t="n"/>
      <c r="V260" s="126" t="n"/>
      <c r="W260" s="126" t="n"/>
      <c r="X260" s="126" t="n"/>
      <c r="Y260" s="126" t="n"/>
      <c r="Z260" s="126" t="n"/>
      <c r="AA260" s="126" t="n"/>
      <c r="AB260" s="126" t="n"/>
      <c r="AC260" s="126" t="n"/>
      <c r="AD260" s="126" t="n"/>
      <c r="AE260" s="126" t="n"/>
      <c r="AF260" s="126" t="n"/>
      <c r="AG260" s="126" t="n"/>
      <c r="AH260" s="126" t="n"/>
      <c r="AI260" s="126" t="n"/>
      <c r="AJ260" s="126" t="n"/>
      <c r="AK260" s="126" t="n"/>
      <c r="AL260" s="126" t="n"/>
      <c r="AM260" s="126" t="n"/>
      <c r="AN260" s="126" t="n"/>
    </row>
    <row r="261" ht="21" customFormat="1" customHeight="1" s="127">
      <c r="A261" s="51">
        <f>IF($B261="","",ROW()-6)</f>
        <v/>
      </c>
      <c r="B261" s="268" t="n"/>
      <c r="C261" s="133" t="n"/>
      <c r="D261" s="50" t="n"/>
      <c r="E261" s="265" t="n"/>
      <c r="F261" s="133" t="n"/>
      <c r="G261" s="133" t="n"/>
      <c r="H261" s="50" t="n"/>
      <c r="I261" s="51">
        <f>IF($C261="","",IFERROR(INDEX(WorkerIDs,MATCH($C261,WorkerNames,0)),"?"))</f>
        <v/>
      </c>
      <c r="J261" s="253">
        <f>IF($B261="","",$B261-WEEKDAY($B261,2)+1)</f>
        <v/>
      </c>
      <c r="K261" s="142">
        <f>IF(OR($I261="",$I261="?",$D261&lt;&gt;"Advance",$B261=""),"",$I261&amp;"|"&amp;$J261&amp;"|"&amp;COUNTIFS($I$7:$I261,$I261,$J$7:$J261,$J261,$D$7:$D261,"Advance"))</f>
        <v/>
      </c>
      <c r="L261" s="266">
        <f>IF(OR($I261="",$I261="?",$B261=""),"",SUMPRODUCT((Weeks!$A$7:$A$59&lt;=$J261)*(Weeks!$X$5:$AI$5=$I261)*Weeks!$X$7:$AI$59)-SUMIFS($E$7:$E$1006,$I$7:$I$1006,$I261,$B$7:$B$1006,"&lt;="&amp;$B261))</f>
        <v/>
      </c>
      <c r="M261" s="132">
        <f>IF($B261&amp;$C261&amp;$D261&amp;$E261="","",IF($B261="","missing date",IF($C261="","missing worker",IF($I261="?","unknown worker - was the name changed on Workers?",IF($D261="","missing type",IF(N($E261)=0,"missing amount",IF(AND($E261&lt;0,$D261&lt;&gt;"Correction"),"negative amount - use a Correction to undo",IF(OR($B261&lt;Weeks!$A$7,$B261&gt;Weeks!$B$59),"date outside this workbook's year",IF(AND($D261="Advance",N($L261)&lt;0),"Warning: more than earned so far - worker now owes "&amp;TEXT(ROUND(-$L261,0),"#,##0"),"")))))))))</f>
        <v/>
      </c>
      <c r="N261" s="125" t="n"/>
      <c r="O261" s="126" t="n"/>
      <c r="P261" s="126" t="n"/>
      <c r="Q261" s="126" t="n"/>
      <c r="R261" s="126" t="n"/>
      <c r="S261" s="126" t="n"/>
      <c r="T261" s="126" t="n"/>
      <c r="U261" s="126" t="n"/>
      <c r="V261" s="126" t="n"/>
      <c r="W261" s="126" t="n"/>
      <c r="X261" s="126" t="n"/>
      <c r="Y261" s="126" t="n"/>
      <c r="Z261" s="126" t="n"/>
      <c r="AA261" s="126" t="n"/>
      <c r="AB261" s="126" t="n"/>
      <c r="AC261" s="126" t="n"/>
      <c r="AD261" s="126" t="n"/>
      <c r="AE261" s="126" t="n"/>
      <c r="AF261" s="126" t="n"/>
      <c r="AG261" s="126" t="n"/>
      <c r="AH261" s="126" t="n"/>
      <c r="AI261" s="126" t="n"/>
      <c r="AJ261" s="126" t="n"/>
      <c r="AK261" s="126" t="n"/>
      <c r="AL261" s="126" t="n"/>
      <c r="AM261" s="126" t="n"/>
      <c r="AN261" s="126" t="n"/>
    </row>
    <row r="262" ht="21" customFormat="1" customHeight="1" s="127">
      <c r="A262" s="51">
        <f>IF($B262="","",ROW()-6)</f>
        <v/>
      </c>
      <c r="B262" s="268" t="n"/>
      <c r="C262" s="133" t="n"/>
      <c r="D262" s="50" t="n"/>
      <c r="E262" s="265" t="n"/>
      <c r="F262" s="133" t="n"/>
      <c r="G262" s="133" t="n"/>
      <c r="H262" s="50" t="n"/>
      <c r="I262" s="51">
        <f>IF($C262="","",IFERROR(INDEX(WorkerIDs,MATCH($C262,WorkerNames,0)),"?"))</f>
        <v/>
      </c>
      <c r="J262" s="253">
        <f>IF($B262="","",$B262-WEEKDAY($B262,2)+1)</f>
        <v/>
      </c>
      <c r="K262" s="142">
        <f>IF(OR($I262="",$I262="?",$D262&lt;&gt;"Advance",$B262=""),"",$I262&amp;"|"&amp;$J262&amp;"|"&amp;COUNTIFS($I$7:$I262,$I262,$J$7:$J262,$J262,$D$7:$D262,"Advance"))</f>
        <v/>
      </c>
      <c r="L262" s="266">
        <f>IF(OR($I262="",$I262="?",$B262=""),"",SUMPRODUCT((Weeks!$A$7:$A$59&lt;=$J262)*(Weeks!$X$5:$AI$5=$I262)*Weeks!$X$7:$AI$59)-SUMIFS($E$7:$E$1006,$I$7:$I$1006,$I262,$B$7:$B$1006,"&lt;="&amp;$B262))</f>
        <v/>
      </c>
      <c r="M262" s="132">
        <f>IF($B262&amp;$C262&amp;$D262&amp;$E262="","",IF($B262="","missing date",IF($C262="","missing worker",IF($I262="?","unknown worker - was the name changed on Workers?",IF($D262="","missing type",IF(N($E262)=0,"missing amount",IF(AND($E262&lt;0,$D262&lt;&gt;"Correction"),"negative amount - use a Correction to undo",IF(OR($B262&lt;Weeks!$A$7,$B262&gt;Weeks!$B$59),"date outside this workbook's year",IF(AND($D262="Advance",N($L262)&lt;0),"Warning: more than earned so far - worker now owes "&amp;TEXT(ROUND(-$L262,0),"#,##0"),"")))))))))</f>
        <v/>
      </c>
      <c r="N262" s="125" t="n"/>
      <c r="O262" s="126" t="n"/>
      <c r="P262" s="126" t="n"/>
      <c r="Q262" s="126" t="n"/>
      <c r="R262" s="126" t="n"/>
      <c r="S262" s="126" t="n"/>
      <c r="T262" s="126" t="n"/>
      <c r="U262" s="126" t="n"/>
      <c r="V262" s="126" t="n"/>
      <c r="W262" s="126" t="n"/>
      <c r="X262" s="126" t="n"/>
      <c r="Y262" s="126" t="n"/>
      <c r="Z262" s="126" t="n"/>
      <c r="AA262" s="126" t="n"/>
      <c r="AB262" s="126" t="n"/>
      <c r="AC262" s="126" t="n"/>
      <c r="AD262" s="126" t="n"/>
      <c r="AE262" s="126" t="n"/>
      <c r="AF262" s="126" t="n"/>
      <c r="AG262" s="126" t="n"/>
      <c r="AH262" s="126" t="n"/>
      <c r="AI262" s="126" t="n"/>
      <c r="AJ262" s="126" t="n"/>
      <c r="AK262" s="126" t="n"/>
      <c r="AL262" s="126" t="n"/>
      <c r="AM262" s="126" t="n"/>
      <c r="AN262" s="126" t="n"/>
    </row>
    <row r="263" ht="21" customFormat="1" customHeight="1" s="127">
      <c r="A263" s="51">
        <f>IF($B263="","",ROW()-6)</f>
        <v/>
      </c>
      <c r="B263" s="268" t="n"/>
      <c r="C263" s="133" t="n"/>
      <c r="D263" s="50" t="n"/>
      <c r="E263" s="265" t="n"/>
      <c r="F263" s="133" t="n"/>
      <c r="G263" s="133" t="n"/>
      <c r="H263" s="50" t="n"/>
      <c r="I263" s="51">
        <f>IF($C263="","",IFERROR(INDEX(WorkerIDs,MATCH($C263,WorkerNames,0)),"?"))</f>
        <v/>
      </c>
      <c r="J263" s="253">
        <f>IF($B263="","",$B263-WEEKDAY($B263,2)+1)</f>
        <v/>
      </c>
      <c r="K263" s="142">
        <f>IF(OR($I263="",$I263="?",$D263&lt;&gt;"Advance",$B263=""),"",$I263&amp;"|"&amp;$J263&amp;"|"&amp;COUNTIFS($I$7:$I263,$I263,$J$7:$J263,$J263,$D$7:$D263,"Advance"))</f>
        <v/>
      </c>
      <c r="L263" s="266">
        <f>IF(OR($I263="",$I263="?",$B263=""),"",SUMPRODUCT((Weeks!$A$7:$A$59&lt;=$J263)*(Weeks!$X$5:$AI$5=$I263)*Weeks!$X$7:$AI$59)-SUMIFS($E$7:$E$1006,$I$7:$I$1006,$I263,$B$7:$B$1006,"&lt;="&amp;$B263))</f>
        <v/>
      </c>
      <c r="M263" s="132">
        <f>IF($B263&amp;$C263&amp;$D263&amp;$E263="","",IF($B263="","missing date",IF($C263="","missing worker",IF($I263="?","unknown worker - was the name changed on Workers?",IF($D263="","missing type",IF(N($E263)=0,"missing amount",IF(AND($E263&lt;0,$D263&lt;&gt;"Correction"),"negative amount - use a Correction to undo",IF(OR($B263&lt;Weeks!$A$7,$B263&gt;Weeks!$B$59),"date outside this workbook's year",IF(AND($D263="Advance",N($L263)&lt;0),"Warning: more than earned so far - worker now owes "&amp;TEXT(ROUND(-$L263,0),"#,##0"),"")))))))))</f>
        <v/>
      </c>
      <c r="N263" s="125" t="n"/>
      <c r="O263" s="126" t="n"/>
      <c r="P263" s="126" t="n"/>
      <c r="Q263" s="126" t="n"/>
      <c r="R263" s="126" t="n"/>
      <c r="S263" s="126" t="n"/>
      <c r="T263" s="126" t="n"/>
      <c r="U263" s="126" t="n"/>
      <c r="V263" s="126" t="n"/>
      <c r="W263" s="126" t="n"/>
      <c r="X263" s="126" t="n"/>
      <c r="Y263" s="126" t="n"/>
      <c r="Z263" s="126" t="n"/>
      <c r="AA263" s="126" t="n"/>
      <c r="AB263" s="126" t="n"/>
      <c r="AC263" s="126" t="n"/>
      <c r="AD263" s="126" t="n"/>
      <c r="AE263" s="126" t="n"/>
      <c r="AF263" s="126" t="n"/>
      <c r="AG263" s="126" t="n"/>
      <c r="AH263" s="126" t="n"/>
      <c r="AI263" s="126" t="n"/>
      <c r="AJ263" s="126" t="n"/>
      <c r="AK263" s="126" t="n"/>
      <c r="AL263" s="126" t="n"/>
      <c r="AM263" s="126" t="n"/>
      <c r="AN263" s="126" t="n"/>
    </row>
    <row r="264" ht="21" customFormat="1" customHeight="1" s="127">
      <c r="A264" s="51">
        <f>IF($B264="","",ROW()-6)</f>
        <v/>
      </c>
      <c r="B264" s="268" t="n"/>
      <c r="C264" s="133" t="n"/>
      <c r="D264" s="50" t="n"/>
      <c r="E264" s="265" t="n"/>
      <c r="F264" s="133" t="n"/>
      <c r="G264" s="133" t="n"/>
      <c r="H264" s="50" t="n"/>
      <c r="I264" s="51">
        <f>IF($C264="","",IFERROR(INDEX(WorkerIDs,MATCH($C264,WorkerNames,0)),"?"))</f>
        <v/>
      </c>
      <c r="J264" s="253">
        <f>IF($B264="","",$B264-WEEKDAY($B264,2)+1)</f>
        <v/>
      </c>
      <c r="K264" s="142">
        <f>IF(OR($I264="",$I264="?",$D264&lt;&gt;"Advance",$B264=""),"",$I264&amp;"|"&amp;$J264&amp;"|"&amp;COUNTIFS($I$7:$I264,$I264,$J$7:$J264,$J264,$D$7:$D264,"Advance"))</f>
        <v/>
      </c>
      <c r="L264" s="266">
        <f>IF(OR($I264="",$I264="?",$B264=""),"",SUMPRODUCT((Weeks!$A$7:$A$59&lt;=$J264)*(Weeks!$X$5:$AI$5=$I264)*Weeks!$X$7:$AI$59)-SUMIFS($E$7:$E$1006,$I$7:$I$1006,$I264,$B$7:$B$1006,"&lt;="&amp;$B264))</f>
        <v/>
      </c>
      <c r="M264" s="132">
        <f>IF($B264&amp;$C264&amp;$D264&amp;$E264="","",IF($B264="","missing date",IF($C264="","missing worker",IF($I264="?","unknown worker - was the name changed on Workers?",IF($D264="","missing type",IF(N($E264)=0,"missing amount",IF(AND($E264&lt;0,$D264&lt;&gt;"Correction"),"negative amount - use a Correction to undo",IF(OR($B264&lt;Weeks!$A$7,$B264&gt;Weeks!$B$59),"date outside this workbook's year",IF(AND($D264="Advance",N($L264)&lt;0),"Warning: more than earned so far - worker now owes "&amp;TEXT(ROUND(-$L264,0),"#,##0"),"")))))))))</f>
        <v/>
      </c>
      <c r="N264" s="125" t="n"/>
      <c r="O264" s="126" t="n"/>
      <c r="P264" s="126" t="n"/>
      <c r="Q264" s="126" t="n"/>
      <c r="R264" s="126" t="n"/>
      <c r="S264" s="126" t="n"/>
      <c r="T264" s="126" t="n"/>
      <c r="U264" s="126" t="n"/>
      <c r="V264" s="126" t="n"/>
      <c r="W264" s="126" t="n"/>
      <c r="X264" s="126" t="n"/>
      <c r="Y264" s="126" t="n"/>
      <c r="Z264" s="126" t="n"/>
      <c r="AA264" s="126" t="n"/>
      <c r="AB264" s="126" t="n"/>
      <c r="AC264" s="126" t="n"/>
      <c r="AD264" s="126" t="n"/>
      <c r="AE264" s="126" t="n"/>
      <c r="AF264" s="126" t="n"/>
      <c r="AG264" s="126" t="n"/>
      <c r="AH264" s="126" t="n"/>
      <c r="AI264" s="126" t="n"/>
      <c r="AJ264" s="126" t="n"/>
      <c r="AK264" s="126" t="n"/>
      <c r="AL264" s="126" t="n"/>
      <c r="AM264" s="126" t="n"/>
      <c r="AN264" s="126" t="n"/>
    </row>
    <row r="265" ht="21" customFormat="1" customHeight="1" s="127">
      <c r="A265" s="51">
        <f>IF($B265="","",ROW()-6)</f>
        <v/>
      </c>
      <c r="B265" s="268" t="n"/>
      <c r="C265" s="133" t="n"/>
      <c r="D265" s="50" t="n"/>
      <c r="E265" s="265" t="n"/>
      <c r="F265" s="133" t="n"/>
      <c r="G265" s="133" t="n"/>
      <c r="H265" s="50" t="n"/>
      <c r="I265" s="51">
        <f>IF($C265="","",IFERROR(INDEX(WorkerIDs,MATCH($C265,WorkerNames,0)),"?"))</f>
        <v/>
      </c>
      <c r="J265" s="253">
        <f>IF($B265="","",$B265-WEEKDAY($B265,2)+1)</f>
        <v/>
      </c>
      <c r="K265" s="142">
        <f>IF(OR($I265="",$I265="?",$D265&lt;&gt;"Advance",$B265=""),"",$I265&amp;"|"&amp;$J265&amp;"|"&amp;COUNTIFS($I$7:$I265,$I265,$J$7:$J265,$J265,$D$7:$D265,"Advance"))</f>
        <v/>
      </c>
      <c r="L265" s="266">
        <f>IF(OR($I265="",$I265="?",$B265=""),"",SUMPRODUCT((Weeks!$A$7:$A$59&lt;=$J265)*(Weeks!$X$5:$AI$5=$I265)*Weeks!$X$7:$AI$59)-SUMIFS($E$7:$E$1006,$I$7:$I$1006,$I265,$B$7:$B$1006,"&lt;="&amp;$B265))</f>
        <v/>
      </c>
      <c r="M265" s="132">
        <f>IF($B265&amp;$C265&amp;$D265&amp;$E265="","",IF($B265="","missing date",IF($C265="","missing worker",IF($I265="?","unknown worker - was the name changed on Workers?",IF($D265="","missing type",IF(N($E265)=0,"missing amount",IF(AND($E265&lt;0,$D265&lt;&gt;"Correction"),"negative amount - use a Correction to undo",IF(OR($B265&lt;Weeks!$A$7,$B265&gt;Weeks!$B$59),"date outside this workbook's year",IF(AND($D265="Advance",N($L265)&lt;0),"Warning: more than earned so far - worker now owes "&amp;TEXT(ROUND(-$L265,0),"#,##0"),"")))))))))</f>
        <v/>
      </c>
      <c r="N265" s="125" t="n"/>
      <c r="O265" s="126" t="n"/>
      <c r="P265" s="126" t="n"/>
      <c r="Q265" s="126" t="n"/>
      <c r="R265" s="126" t="n"/>
      <c r="S265" s="126" t="n"/>
      <c r="T265" s="126" t="n"/>
      <c r="U265" s="126" t="n"/>
      <c r="V265" s="126" t="n"/>
      <c r="W265" s="126" t="n"/>
      <c r="X265" s="126" t="n"/>
      <c r="Y265" s="126" t="n"/>
      <c r="Z265" s="126" t="n"/>
      <c r="AA265" s="126" t="n"/>
      <c r="AB265" s="126" t="n"/>
      <c r="AC265" s="126" t="n"/>
      <c r="AD265" s="126" t="n"/>
      <c r="AE265" s="126" t="n"/>
      <c r="AF265" s="126" t="n"/>
      <c r="AG265" s="126" t="n"/>
      <c r="AH265" s="126" t="n"/>
      <c r="AI265" s="126" t="n"/>
      <c r="AJ265" s="126" t="n"/>
      <c r="AK265" s="126" t="n"/>
      <c r="AL265" s="126" t="n"/>
      <c r="AM265" s="126" t="n"/>
      <c r="AN265" s="126" t="n"/>
    </row>
    <row r="266" ht="21" customFormat="1" customHeight="1" s="127">
      <c r="A266" s="51">
        <f>IF($B266="","",ROW()-6)</f>
        <v/>
      </c>
      <c r="B266" s="268" t="n"/>
      <c r="C266" s="133" t="n"/>
      <c r="D266" s="50" t="n"/>
      <c r="E266" s="265" t="n"/>
      <c r="F266" s="133" t="n"/>
      <c r="G266" s="133" t="n"/>
      <c r="H266" s="50" t="n"/>
      <c r="I266" s="51">
        <f>IF($C266="","",IFERROR(INDEX(WorkerIDs,MATCH($C266,WorkerNames,0)),"?"))</f>
        <v/>
      </c>
      <c r="J266" s="253">
        <f>IF($B266="","",$B266-WEEKDAY($B266,2)+1)</f>
        <v/>
      </c>
      <c r="K266" s="142">
        <f>IF(OR($I266="",$I266="?",$D266&lt;&gt;"Advance",$B266=""),"",$I266&amp;"|"&amp;$J266&amp;"|"&amp;COUNTIFS($I$7:$I266,$I266,$J$7:$J266,$J266,$D$7:$D266,"Advance"))</f>
        <v/>
      </c>
      <c r="L266" s="266">
        <f>IF(OR($I266="",$I266="?",$B266=""),"",SUMPRODUCT((Weeks!$A$7:$A$59&lt;=$J266)*(Weeks!$X$5:$AI$5=$I266)*Weeks!$X$7:$AI$59)-SUMIFS($E$7:$E$1006,$I$7:$I$1006,$I266,$B$7:$B$1006,"&lt;="&amp;$B266))</f>
        <v/>
      </c>
      <c r="M266" s="132">
        <f>IF($B266&amp;$C266&amp;$D266&amp;$E266="","",IF($B266="","missing date",IF($C266="","missing worker",IF($I266="?","unknown worker - was the name changed on Workers?",IF($D266="","missing type",IF(N($E266)=0,"missing amount",IF(AND($E266&lt;0,$D266&lt;&gt;"Correction"),"negative amount - use a Correction to undo",IF(OR($B266&lt;Weeks!$A$7,$B266&gt;Weeks!$B$59),"date outside this workbook's year",IF(AND($D266="Advance",N($L266)&lt;0),"Warning: more than earned so far - worker now owes "&amp;TEXT(ROUND(-$L266,0),"#,##0"),"")))))))))</f>
        <v/>
      </c>
      <c r="N266" s="125" t="n"/>
      <c r="O266" s="126" t="n"/>
      <c r="P266" s="126" t="n"/>
      <c r="Q266" s="126" t="n"/>
      <c r="R266" s="126" t="n"/>
      <c r="S266" s="126" t="n"/>
      <c r="T266" s="126" t="n"/>
      <c r="U266" s="126" t="n"/>
      <c r="V266" s="126" t="n"/>
      <c r="W266" s="126" t="n"/>
      <c r="X266" s="126" t="n"/>
      <c r="Y266" s="126" t="n"/>
      <c r="Z266" s="126" t="n"/>
      <c r="AA266" s="126" t="n"/>
      <c r="AB266" s="126" t="n"/>
      <c r="AC266" s="126" t="n"/>
      <c r="AD266" s="126" t="n"/>
      <c r="AE266" s="126" t="n"/>
      <c r="AF266" s="126" t="n"/>
      <c r="AG266" s="126" t="n"/>
      <c r="AH266" s="126" t="n"/>
      <c r="AI266" s="126" t="n"/>
      <c r="AJ266" s="126" t="n"/>
      <c r="AK266" s="126" t="n"/>
      <c r="AL266" s="126" t="n"/>
      <c r="AM266" s="126" t="n"/>
      <c r="AN266" s="126" t="n"/>
    </row>
    <row r="267" ht="21" customFormat="1" customHeight="1" s="127">
      <c r="A267" s="51">
        <f>IF($B267="","",ROW()-6)</f>
        <v/>
      </c>
      <c r="B267" s="268" t="n"/>
      <c r="C267" s="133" t="n"/>
      <c r="D267" s="50" t="n"/>
      <c r="E267" s="265" t="n"/>
      <c r="F267" s="133" t="n"/>
      <c r="G267" s="133" t="n"/>
      <c r="H267" s="50" t="n"/>
      <c r="I267" s="51">
        <f>IF($C267="","",IFERROR(INDEX(WorkerIDs,MATCH($C267,WorkerNames,0)),"?"))</f>
        <v/>
      </c>
      <c r="J267" s="253">
        <f>IF($B267="","",$B267-WEEKDAY($B267,2)+1)</f>
        <v/>
      </c>
      <c r="K267" s="142">
        <f>IF(OR($I267="",$I267="?",$D267&lt;&gt;"Advance",$B267=""),"",$I267&amp;"|"&amp;$J267&amp;"|"&amp;COUNTIFS($I$7:$I267,$I267,$J$7:$J267,$J267,$D$7:$D267,"Advance"))</f>
        <v/>
      </c>
      <c r="L267" s="266">
        <f>IF(OR($I267="",$I267="?",$B267=""),"",SUMPRODUCT((Weeks!$A$7:$A$59&lt;=$J267)*(Weeks!$X$5:$AI$5=$I267)*Weeks!$X$7:$AI$59)-SUMIFS($E$7:$E$1006,$I$7:$I$1006,$I267,$B$7:$B$1006,"&lt;="&amp;$B267))</f>
        <v/>
      </c>
      <c r="M267" s="132">
        <f>IF($B267&amp;$C267&amp;$D267&amp;$E267="","",IF($B267="","missing date",IF($C267="","missing worker",IF($I267="?","unknown worker - was the name changed on Workers?",IF($D267="","missing type",IF(N($E267)=0,"missing amount",IF(AND($E267&lt;0,$D267&lt;&gt;"Correction"),"negative amount - use a Correction to undo",IF(OR($B267&lt;Weeks!$A$7,$B267&gt;Weeks!$B$59),"date outside this workbook's year",IF(AND($D267="Advance",N($L267)&lt;0),"Warning: more than earned so far - worker now owes "&amp;TEXT(ROUND(-$L267,0),"#,##0"),"")))))))))</f>
        <v/>
      </c>
      <c r="N267" s="125" t="n"/>
      <c r="O267" s="126" t="n"/>
      <c r="P267" s="126" t="n"/>
      <c r="Q267" s="126" t="n"/>
      <c r="R267" s="126" t="n"/>
      <c r="S267" s="126" t="n"/>
      <c r="T267" s="126" t="n"/>
      <c r="U267" s="126" t="n"/>
      <c r="V267" s="126" t="n"/>
      <c r="W267" s="126" t="n"/>
      <c r="X267" s="126" t="n"/>
      <c r="Y267" s="126" t="n"/>
      <c r="Z267" s="126" t="n"/>
      <c r="AA267" s="126" t="n"/>
      <c r="AB267" s="126" t="n"/>
      <c r="AC267" s="126" t="n"/>
      <c r="AD267" s="126" t="n"/>
      <c r="AE267" s="126" t="n"/>
      <c r="AF267" s="126" t="n"/>
      <c r="AG267" s="126" t="n"/>
      <c r="AH267" s="126" t="n"/>
      <c r="AI267" s="126" t="n"/>
      <c r="AJ267" s="126" t="n"/>
      <c r="AK267" s="126" t="n"/>
      <c r="AL267" s="126" t="n"/>
      <c r="AM267" s="126" t="n"/>
      <c r="AN267" s="126" t="n"/>
    </row>
    <row r="268" ht="21" customFormat="1" customHeight="1" s="127">
      <c r="A268" s="51">
        <f>IF($B268="","",ROW()-6)</f>
        <v/>
      </c>
      <c r="B268" s="268" t="n"/>
      <c r="C268" s="133" t="n"/>
      <c r="D268" s="50" t="n"/>
      <c r="E268" s="265" t="n"/>
      <c r="F268" s="133" t="n"/>
      <c r="G268" s="133" t="n"/>
      <c r="H268" s="50" t="n"/>
      <c r="I268" s="51">
        <f>IF($C268="","",IFERROR(INDEX(WorkerIDs,MATCH($C268,WorkerNames,0)),"?"))</f>
        <v/>
      </c>
      <c r="J268" s="253">
        <f>IF($B268="","",$B268-WEEKDAY($B268,2)+1)</f>
        <v/>
      </c>
      <c r="K268" s="142">
        <f>IF(OR($I268="",$I268="?",$D268&lt;&gt;"Advance",$B268=""),"",$I268&amp;"|"&amp;$J268&amp;"|"&amp;COUNTIFS($I$7:$I268,$I268,$J$7:$J268,$J268,$D$7:$D268,"Advance"))</f>
        <v/>
      </c>
      <c r="L268" s="266">
        <f>IF(OR($I268="",$I268="?",$B268=""),"",SUMPRODUCT((Weeks!$A$7:$A$59&lt;=$J268)*(Weeks!$X$5:$AI$5=$I268)*Weeks!$X$7:$AI$59)-SUMIFS($E$7:$E$1006,$I$7:$I$1006,$I268,$B$7:$B$1006,"&lt;="&amp;$B268))</f>
        <v/>
      </c>
      <c r="M268" s="132">
        <f>IF($B268&amp;$C268&amp;$D268&amp;$E268="","",IF($B268="","missing date",IF($C268="","missing worker",IF($I268="?","unknown worker - was the name changed on Workers?",IF($D268="","missing type",IF(N($E268)=0,"missing amount",IF(AND($E268&lt;0,$D268&lt;&gt;"Correction"),"negative amount - use a Correction to undo",IF(OR($B268&lt;Weeks!$A$7,$B268&gt;Weeks!$B$59),"date outside this workbook's year",IF(AND($D268="Advance",N($L268)&lt;0),"Warning: more than earned so far - worker now owes "&amp;TEXT(ROUND(-$L268,0),"#,##0"),"")))))))))</f>
        <v/>
      </c>
      <c r="N268" s="125" t="n"/>
      <c r="O268" s="126" t="n"/>
      <c r="P268" s="126" t="n"/>
      <c r="Q268" s="126" t="n"/>
      <c r="R268" s="126" t="n"/>
      <c r="S268" s="126" t="n"/>
      <c r="T268" s="126" t="n"/>
      <c r="U268" s="126" t="n"/>
      <c r="V268" s="126" t="n"/>
      <c r="W268" s="126" t="n"/>
      <c r="X268" s="126" t="n"/>
      <c r="Y268" s="126" t="n"/>
      <c r="Z268" s="126" t="n"/>
      <c r="AA268" s="126" t="n"/>
      <c r="AB268" s="126" t="n"/>
      <c r="AC268" s="126" t="n"/>
      <c r="AD268" s="126" t="n"/>
      <c r="AE268" s="126" t="n"/>
      <c r="AF268" s="126" t="n"/>
      <c r="AG268" s="126" t="n"/>
      <c r="AH268" s="126" t="n"/>
      <c r="AI268" s="126" t="n"/>
      <c r="AJ268" s="126" t="n"/>
      <c r="AK268" s="126" t="n"/>
      <c r="AL268" s="126" t="n"/>
      <c r="AM268" s="126" t="n"/>
      <c r="AN268" s="126" t="n"/>
    </row>
    <row r="269" ht="21" customFormat="1" customHeight="1" s="127">
      <c r="A269" s="51">
        <f>IF($B269="","",ROW()-6)</f>
        <v/>
      </c>
      <c r="B269" s="268" t="n"/>
      <c r="C269" s="133" t="n"/>
      <c r="D269" s="50" t="n"/>
      <c r="E269" s="265" t="n"/>
      <c r="F269" s="133" t="n"/>
      <c r="G269" s="133" t="n"/>
      <c r="H269" s="50" t="n"/>
      <c r="I269" s="51">
        <f>IF($C269="","",IFERROR(INDEX(WorkerIDs,MATCH($C269,WorkerNames,0)),"?"))</f>
        <v/>
      </c>
      <c r="J269" s="253">
        <f>IF($B269="","",$B269-WEEKDAY($B269,2)+1)</f>
        <v/>
      </c>
      <c r="K269" s="142">
        <f>IF(OR($I269="",$I269="?",$D269&lt;&gt;"Advance",$B269=""),"",$I269&amp;"|"&amp;$J269&amp;"|"&amp;COUNTIFS($I$7:$I269,$I269,$J$7:$J269,$J269,$D$7:$D269,"Advance"))</f>
        <v/>
      </c>
      <c r="L269" s="266">
        <f>IF(OR($I269="",$I269="?",$B269=""),"",SUMPRODUCT((Weeks!$A$7:$A$59&lt;=$J269)*(Weeks!$X$5:$AI$5=$I269)*Weeks!$X$7:$AI$59)-SUMIFS($E$7:$E$1006,$I$7:$I$1006,$I269,$B$7:$B$1006,"&lt;="&amp;$B269))</f>
        <v/>
      </c>
      <c r="M269" s="132">
        <f>IF($B269&amp;$C269&amp;$D269&amp;$E269="","",IF($B269="","missing date",IF($C269="","missing worker",IF($I269="?","unknown worker - was the name changed on Workers?",IF($D269="","missing type",IF(N($E269)=0,"missing amount",IF(AND($E269&lt;0,$D269&lt;&gt;"Correction"),"negative amount - use a Correction to undo",IF(OR($B269&lt;Weeks!$A$7,$B269&gt;Weeks!$B$59),"date outside this workbook's year",IF(AND($D269="Advance",N($L269)&lt;0),"Warning: more than earned so far - worker now owes "&amp;TEXT(ROUND(-$L269,0),"#,##0"),"")))))))))</f>
        <v/>
      </c>
      <c r="N269" s="125" t="n"/>
      <c r="O269" s="126" t="n"/>
      <c r="P269" s="126" t="n"/>
      <c r="Q269" s="126" t="n"/>
      <c r="R269" s="126" t="n"/>
      <c r="S269" s="126" t="n"/>
      <c r="T269" s="126" t="n"/>
      <c r="U269" s="126" t="n"/>
      <c r="V269" s="126" t="n"/>
      <c r="W269" s="126" t="n"/>
      <c r="X269" s="126" t="n"/>
      <c r="Y269" s="126" t="n"/>
      <c r="Z269" s="126" t="n"/>
      <c r="AA269" s="126" t="n"/>
      <c r="AB269" s="126" t="n"/>
      <c r="AC269" s="126" t="n"/>
      <c r="AD269" s="126" t="n"/>
      <c r="AE269" s="126" t="n"/>
      <c r="AF269" s="126" t="n"/>
      <c r="AG269" s="126" t="n"/>
      <c r="AH269" s="126" t="n"/>
      <c r="AI269" s="126" t="n"/>
      <c r="AJ269" s="126" t="n"/>
      <c r="AK269" s="126" t="n"/>
      <c r="AL269" s="126" t="n"/>
      <c r="AM269" s="126" t="n"/>
      <c r="AN269" s="126" t="n"/>
    </row>
    <row r="270" ht="21" customFormat="1" customHeight="1" s="127">
      <c r="A270" s="51">
        <f>IF($B270="","",ROW()-6)</f>
        <v/>
      </c>
      <c r="B270" s="268" t="n"/>
      <c r="C270" s="133" t="n"/>
      <c r="D270" s="50" t="n"/>
      <c r="E270" s="265" t="n"/>
      <c r="F270" s="133" t="n"/>
      <c r="G270" s="133" t="n"/>
      <c r="H270" s="50" t="n"/>
      <c r="I270" s="51">
        <f>IF($C270="","",IFERROR(INDEX(WorkerIDs,MATCH($C270,WorkerNames,0)),"?"))</f>
        <v/>
      </c>
      <c r="J270" s="253">
        <f>IF($B270="","",$B270-WEEKDAY($B270,2)+1)</f>
        <v/>
      </c>
      <c r="K270" s="142">
        <f>IF(OR($I270="",$I270="?",$D270&lt;&gt;"Advance",$B270=""),"",$I270&amp;"|"&amp;$J270&amp;"|"&amp;COUNTIFS($I$7:$I270,$I270,$J$7:$J270,$J270,$D$7:$D270,"Advance"))</f>
        <v/>
      </c>
      <c r="L270" s="266">
        <f>IF(OR($I270="",$I270="?",$B270=""),"",SUMPRODUCT((Weeks!$A$7:$A$59&lt;=$J270)*(Weeks!$X$5:$AI$5=$I270)*Weeks!$X$7:$AI$59)-SUMIFS($E$7:$E$1006,$I$7:$I$1006,$I270,$B$7:$B$1006,"&lt;="&amp;$B270))</f>
        <v/>
      </c>
      <c r="M270" s="132">
        <f>IF($B270&amp;$C270&amp;$D270&amp;$E270="","",IF($B270="","missing date",IF($C270="","missing worker",IF($I270="?","unknown worker - was the name changed on Workers?",IF($D270="","missing type",IF(N($E270)=0,"missing amount",IF(AND($E270&lt;0,$D270&lt;&gt;"Correction"),"negative amount - use a Correction to undo",IF(OR($B270&lt;Weeks!$A$7,$B270&gt;Weeks!$B$59),"date outside this workbook's year",IF(AND($D270="Advance",N($L270)&lt;0),"Warning: more than earned so far - worker now owes "&amp;TEXT(ROUND(-$L270,0),"#,##0"),"")))))))))</f>
        <v/>
      </c>
      <c r="N270" s="125" t="n"/>
      <c r="O270" s="126" t="n"/>
      <c r="P270" s="126" t="n"/>
      <c r="Q270" s="126" t="n"/>
      <c r="R270" s="126" t="n"/>
      <c r="S270" s="126" t="n"/>
      <c r="T270" s="126" t="n"/>
      <c r="U270" s="126" t="n"/>
      <c r="V270" s="126" t="n"/>
      <c r="W270" s="126" t="n"/>
      <c r="X270" s="126" t="n"/>
      <c r="Y270" s="126" t="n"/>
      <c r="Z270" s="126" t="n"/>
      <c r="AA270" s="126" t="n"/>
      <c r="AB270" s="126" t="n"/>
      <c r="AC270" s="126" t="n"/>
      <c r="AD270" s="126" t="n"/>
      <c r="AE270" s="126" t="n"/>
      <c r="AF270" s="126" t="n"/>
      <c r="AG270" s="126" t="n"/>
      <c r="AH270" s="126" t="n"/>
      <c r="AI270" s="126" t="n"/>
      <c r="AJ270" s="126" t="n"/>
      <c r="AK270" s="126" t="n"/>
      <c r="AL270" s="126" t="n"/>
      <c r="AM270" s="126" t="n"/>
      <c r="AN270" s="126" t="n"/>
    </row>
    <row r="271" ht="21" customFormat="1" customHeight="1" s="127">
      <c r="A271" s="51">
        <f>IF($B271="","",ROW()-6)</f>
        <v/>
      </c>
      <c r="B271" s="268" t="n"/>
      <c r="C271" s="133" t="n"/>
      <c r="D271" s="50" t="n"/>
      <c r="E271" s="265" t="n"/>
      <c r="F271" s="133" t="n"/>
      <c r="G271" s="133" t="n"/>
      <c r="H271" s="50" t="n"/>
      <c r="I271" s="51">
        <f>IF($C271="","",IFERROR(INDEX(WorkerIDs,MATCH($C271,WorkerNames,0)),"?"))</f>
        <v/>
      </c>
      <c r="J271" s="253">
        <f>IF($B271="","",$B271-WEEKDAY($B271,2)+1)</f>
        <v/>
      </c>
      <c r="K271" s="142">
        <f>IF(OR($I271="",$I271="?",$D271&lt;&gt;"Advance",$B271=""),"",$I271&amp;"|"&amp;$J271&amp;"|"&amp;COUNTIFS($I$7:$I271,$I271,$J$7:$J271,$J271,$D$7:$D271,"Advance"))</f>
        <v/>
      </c>
      <c r="L271" s="266">
        <f>IF(OR($I271="",$I271="?",$B271=""),"",SUMPRODUCT((Weeks!$A$7:$A$59&lt;=$J271)*(Weeks!$X$5:$AI$5=$I271)*Weeks!$X$7:$AI$59)-SUMIFS($E$7:$E$1006,$I$7:$I$1006,$I271,$B$7:$B$1006,"&lt;="&amp;$B271))</f>
        <v/>
      </c>
      <c r="M271" s="132">
        <f>IF($B271&amp;$C271&amp;$D271&amp;$E271="","",IF($B271="","missing date",IF($C271="","missing worker",IF($I271="?","unknown worker - was the name changed on Workers?",IF($D271="","missing type",IF(N($E271)=0,"missing amount",IF(AND($E271&lt;0,$D271&lt;&gt;"Correction"),"negative amount - use a Correction to undo",IF(OR($B271&lt;Weeks!$A$7,$B271&gt;Weeks!$B$59),"date outside this workbook's year",IF(AND($D271="Advance",N($L271)&lt;0),"Warning: more than earned so far - worker now owes "&amp;TEXT(ROUND(-$L271,0),"#,##0"),"")))))))))</f>
        <v/>
      </c>
      <c r="N271" s="125" t="n"/>
      <c r="O271" s="126" t="n"/>
      <c r="P271" s="126" t="n"/>
      <c r="Q271" s="126" t="n"/>
      <c r="R271" s="126" t="n"/>
      <c r="S271" s="126" t="n"/>
      <c r="T271" s="126" t="n"/>
      <c r="U271" s="126" t="n"/>
      <c r="V271" s="126" t="n"/>
      <c r="W271" s="126" t="n"/>
      <c r="X271" s="126" t="n"/>
      <c r="Y271" s="126" t="n"/>
      <c r="Z271" s="126" t="n"/>
      <c r="AA271" s="126" t="n"/>
      <c r="AB271" s="126" t="n"/>
      <c r="AC271" s="126" t="n"/>
      <c r="AD271" s="126" t="n"/>
      <c r="AE271" s="126" t="n"/>
      <c r="AF271" s="126" t="n"/>
      <c r="AG271" s="126" t="n"/>
      <c r="AH271" s="126" t="n"/>
      <c r="AI271" s="126" t="n"/>
      <c r="AJ271" s="126" t="n"/>
      <c r="AK271" s="126" t="n"/>
      <c r="AL271" s="126" t="n"/>
      <c r="AM271" s="126" t="n"/>
      <c r="AN271" s="126" t="n"/>
    </row>
    <row r="272" ht="21" customFormat="1" customHeight="1" s="127">
      <c r="A272" s="51">
        <f>IF($B272="","",ROW()-6)</f>
        <v/>
      </c>
      <c r="B272" s="268" t="n"/>
      <c r="C272" s="133" t="n"/>
      <c r="D272" s="50" t="n"/>
      <c r="E272" s="265" t="n"/>
      <c r="F272" s="133" t="n"/>
      <c r="G272" s="133" t="n"/>
      <c r="H272" s="50" t="n"/>
      <c r="I272" s="51">
        <f>IF($C272="","",IFERROR(INDEX(WorkerIDs,MATCH($C272,WorkerNames,0)),"?"))</f>
        <v/>
      </c>
      <c r="J272" s="253">
        <f>IF($B272="","",$B272-WEEKDAY($B272,2)+1)</f>
        <v/>
      </c>
      <c r="K272" s="142">
        <f>IF(OR($I272="",$I272="?",$D272&lt;&gt;"Advance",$B272=""),"",$I272&amp;"|"&amp;$J272&amp;"|"&amp;COUNTIFS($I$7:$I272,$I272,$J$7:$J272,$J272,$D$7:$D272,"Advance"))</f>
        <v/>
      </c>
      <c r="L272" s="266">
        <f>IF(OR($I272="",$I272="?",$B272=""),"",SUMPRODUCT((Weeks!$A$7:$A$59&lt;=$J272)*(Weeks!$X$5:$AI$5=$I272)*Weeks!$X$7:$AI$59)-SUMIFS($E$7:$E$1006,$I$7:$I$1006,$I272,$B$7:$B$1006,"&lt;="&amp;$B272))</f>
        <v/>
      </c>
      <c r="M272" s="132">
        <f>IF($B272&amp;$C272&amp;$D272&amp;$E272="","",IF($B272="","missing date",IF($C272="","missing worker",IF($I272="?","unknown worker - was the name changed on Workers?",IF($D272="","missing type",IF(N($E272)=0,"missing amount",IF(AND($E272&lt;0,$D272&lt;&gt;"Correction"),"negative amount - use a Correction to undo",IF(OR($B272&lt;Weeks!$A$7,$B272&gt;Weeks!$B$59),"date outside this workbook's year",IF(AND($D272="Advance",N($L272)&lt;0),"Warning: more than earned so far - worker now owes "&amp;TEXT(ROUND(-$L272,0),"#,##0"),"")))))))))</f>
        <v/>
      </c>
      <c r="N272" s="125" t="n"/>
      <c r="O272" s="126" t="n"/>
      <c r="P272" s="126" t="n"/>
      <c r="Q272" s="126" t="n"/>
      <c r="R272" s="126" t="n"/>
      <c r="S272" s="126" t="n"/>
      <c r="T272" s="126" t="n"/>
      <c r="U272" s="126" t="n"/>
      <c r="V272" s="126" t="n"/>
      <c r="W272" s="126" t="n"/>
      <c r="X272" s="126" t="n"/>
      <c r="Y272" s="126" t="n"/>
      <c r="Z272" s="126" t="n"/>
      <c r="AA272" s="126" t="n"/>
      <c r="AB272" s="126" t="n"/>
      <c r="AC272" s="126" t="n"/>
      <c r="AD272" s="126" t="n"/>
      <c r="AE272" s="126" t="n"/>
      <c r="AF272" s="126" t="n"/>
      <c r="AG272" s="126" t="n"/>
      <c r="AH272" s="126" t="n"/>
      <c r="AI272" s="126" t="n"/>
      <c r="AJ272" s="126" t="n"/>
      <c r="AK272" s="126" t="n"/>
      <c r="AL272" s="126" t="n"/>
      <c r="AM272" s="126" t="n"/>
      <c r="AN272" s="126" t="n"/>
    </row>
    <row r="273" ht="21" customFormat="1" customHeight="1" s="127">
      <c r="A273" s="51">
        <f>IF($B273="","",ROW()-6)</f>
        <v/>
      </c>
      <c r="B273" s="268" t="n"/>
      <c r="C273" s="133" t="n"/>
      <c r="D273" s="50" t="n"/>
      <c r="E273" s="265" t="n"/>
      <c r="F273" s="133" t="n"/>
      <c r="G273" s="133" t="n"/>
      <c r="H273" s="50" t="n"/>
      <c r="I273" s="51">
        <f>IF($C273="","",IFERROR(INDEX(WorkerIDs,MATCH($C273,WorkerNames,0)),"?"))</f>
        <v/>
      </c>
      <c r="J273" s="253">
        <f>IF($B273="","",$B273-WEEKDAY($B273,2)+1)</f>
        <v/>
      </c>
      <c r="K273" s="142">
        <f>IF(OR($I273="",$I273="?",$D273&lt;&gt;"Advance",$B273=""),"",$I273&amp;"|"&amp;$J273&amp;"|"&amp;COUNTIFS($I$7:$I273,$I273,$J$7:$J273,$J273,$D$7:$D273,"Advance"))</f>
        <v/>
      </c>
      <c r="L273" s="266">
        <f>IF(OR($I273="",$I273="?",$B273=""),"",SUMPRODUCT((Weeks!$A$7:$A$59&lt;=$J273)*(Weeks!$X$5:$AI$5=$I273)*Weeks!$X$7:$AI$59)-SUMIFS($E$7:$E$1006,$I$7:$I$1006,$I273,$B$7:$B$1006,"&lt;="&amp;$B273))</f>
        <v/>
      </c>
      <c r="M273" s="132">
        <f>IF($B273&amp;$C273&amp;$D273&amp;$E273="","",IF($B273="","missing date",IF($C273="","missing worker",IF($I273="?","unknown worker - was the name changed on Workers?",IF($D273="","missing type",IF(N($E273)=0,"missing amount",IF(AND($E273&lt;0,$D273&lt;&gt;"Correction"),"negative amount - use a Correction to undo",IF(OR($B273&lt;Weeks!$A$7,$B273&gt;Weeks!$B$59),"date outside this workbook's year",IF(AND($D273="Advance",N($L273)&lt;0),"Warning: more than earned so far - worker now owes "&amp;TEXT(ROUND(-$L273,0),"#,##0"),"")))))))))</f>
        <v/>
      </c>
      <c r="N273" s="125" t="n"/>
      <c r="O273" s="126" t="n"/>
      <c r="P273" s="126" t="n"/>
      <c r="Q273" s="126" t="n"/>
      <c r="R273" s="126" t="n"/>
      <c r="S273" s="126" t="n"/>
      <c r="T273" s="126" t="n"/>
      <c r="U273" s="126" t="n"/>
      <c r="V273" s="126" t="n"/>
      <c r="W273" s="126" t="n"/>
      <c r="X273" s="126" t="n"/>
      <c r="Y273" s="126" t="n"/>
      <c r="Z273" s="126" t="n"/>
      <c r="AA273" s="126" t="n"/>
      <c r="AB273" s="126" t="n"/>
      <c r="AC273" s="126" t="n"/>
      <c r="AD273" s="126" t="n"/>
      <c r="AE273" s="126" t="n"/>
      <c r="AF273" s="126" t="n"/>
      <c r="AG273" s="126" t="n"/>
      <c r="AH273" s="126" t="n"/>
      <c r="AI273" s="126" t="n"/>
      <c r="AJ273" s="126" t="n"/>
      <c r="AK273" s="126" t="n"/>
      <c r="AL273" s="126" t="n"/>
      <c r="AM273" s="126" t="n"/>
      <c r="AN273" s="126" t="n"/>
    </row>
    <row r="274" ht="21" customFormat="1" customHeight="1" s="127">
      <c r="A274" s="51">
        <f>IF($B274="","",ROW()-6)</f>
        <v/>
      </c>
      <c r="B274" s="268" t="n"/>
      <c r="C274" s="133" t="n"/>
      <c r="D274" s="50" t="n"/>
      <c r="E274" s="265" t="n"/>
      <c r="F274" s="133" t="n"/>
      <c r="G274" s="133" t="n"/>
      <c r="H274" s="50" t="n"/>
      <c r="I274" s="51">
        <f>IF($C274="","",IFERROR(INDEX(WorkerIDs,MATCH($C274,WorkerNames,0)),"?"))</f>
        <v/>
      </c>
      <c r="J274" s="253">
        <f>IF($B274="","",$B274-WEEKDAY($B274,2)+1)</f>
        <v/>
      </c>
      <c r="K274" s="142">
        <f>IF(OR($I274="",$I274="?",$D274&lt;&gt;"Advance",$B274=""),"",$I274&amp;"|"&amp;$J274&amp;"|"&amp;COUNTIFS($I$7:$I274,$I274,$J$7:$J274,$J274,$D$7:$D274,"Advance"))</f>
        <v/>
      </c>
      <c r="L274" s="266">
        <f>IF(OR($I274="",$I274="?",$B274=""),"",SUMPRODUCT((Weeks!$A$7:$A$59&lt;=$J274)*(Weeks!$X$5:$AI$5=$I274)*Weeks!$X$7:$AI$59)-SUMIFS($E$7:$E$1006,$I$7:$I$1006,$I274,$B$7:$B$1006,"&lt;="&amp;$B274))</f>
        <v/>
      </c>
      <c r="M274" s="132">
        <f>IF($B274&amp;$C274&amp;$D274&amp;$E274="","",IF($B274="","missing date",IF($C274="","missing worker",IF($I274="?","unknown worker - was the name changed on Workers?",IF($D274="","missing type",IF(N($E274)=0,"missing amount",IF(AND($E274&lt;0,$D274&lt;&gt;"Correction"),"negative amount - use a Correction to undo",IF(OR($B274&lt;Weeks!$A$7,$B274&gt;Weeks!$B$59),"date outside this workbook's year",IF(AND($D274="Advance",N($L274)&lt;0),"Warning: more than earned so far - worker now owes "&amp;TEXT(ROUND(-$L274,0),"#,##0"),"")))))))))</f>
        <v/>
      </c>
      <c r="N274" s="125" t="n"/>
      <c r="O274" s="126" t="n"/>
      <c r="P274" s="126" t="n"/>
      <c r="Q274" s="126" t="n"/>
      <c r="R274" s="126" t="n"/>
      <c r="S274" s="126" t="n"/>
      <c r="T274" s="126" t="n"/>
      <c r="U274" s="126" t="n"/>
      <c r="V274" s="126" t="n"/>
      <c r="W274" s="126" t="n"/>
      <c r="X274" s="126" t="n"/>
      <c r="Y274" s="126" t="n"/>
      <c r="Z274" s="126" t="n"/>
      <c r="AA274" s="126" t="n"/>
      <c r="AB274" s="126" t="n"/>
      <c r="AC274" s="126" t="n"/>
      <c r="AD274" s="126" t="n"/>
      <c r="AE274" s="126" t="n"/>
      <c r="AF274" s="126" t="n"/>
      <c r="AG274" s="126" t="n"/>
      <c r="AH274" s="126" t="n"/>
      <c r="AI274" s="126" t="n"/>
      <c r="AJ274" s="126" t="n"/>
      <c r="AK274" s="126" t="n"/>
      <c r="AL274" s="126" t="n"/>
      <c r="AM274" s="126" t="n"/>
      <c r="AN274" s="126" t="n"/>
    </row>
    <row r="275" ht="21" customFormat="1" customHeight="1" s="127">
      <c r="A275" s="51">
        <f>IF($B275="","",ROW()-6)</f>
        <v/>
      </c>
      <c r="B275" s="268" t="n"/>
      <c r="C275" s="133" t="n"/>
      <c r="D275" s="50" t="n"/>
      <c r="E275" s="265" t="n"/>
      <c r="F275" s="133" t="n"/>
      <c r="G275" s="133" t="n"/>
      <c r="H275" s="50" t="n"/>
      <c r="I275" s="51">
        <f>IF($C275="","",IFERROR(INDEX(WorkerIDs,MATCH($C275,WorkerNames,0)),"?"))</f>
        <v/>
      </c>
      <c r="J275" s="253">
        <f>IF($B275="","",$B275-WEEKDAY($B275,2)+1)</f>
        <v/>
      </c>
      <c r="K275" s="142">
        <f>IF(OR($I275="",$I275="?",$D275&lt;&gt;"Advance",$B275=""),"",$I275&amp;"|"&amp;$J275&amp;"|"&amp;COUNTIFS($I$7:$I275,$I275,$J$7:$J275,$J275,$D$7:$D275,"Advance"))</f>
        <v/>
      </c>
      <c r="L275" s="266">
        <f>IF(OR($I275="",$I275="?",$B275=""),"",SUMPRODUCT((Weeks!$A$7:$A$59&lt;=$J275)*(Weeks!$X$5:$AI$5=$I275)*Weeks!$X$7:$AI$59)-SUMIFS($E$7:$E$1006,$I$7:$I$1006,$I275,$B$7:$B$1006,"&lt;="&amp;$B275))</f>
        <v/>
      </c>
      <c r="M275" s="132">
        <f>IF($B275&amp;$C275&amp;$D275&amp;$E275="","",IF($B275="","missing date",IF($C275="","missing worker",IF($I275="?","unknown worker - was the name changed on Workers?",IF($D275="","missing type",IF(N($E275)=0,"missing amount",IF(AND($E275&lt;0,$D275&lt;&gt;"Correction"),"negative amount - use a Correction to undo",IF(OR($B275&lt;Weeks!$A$7,$B275&gt;Weeks!$B$59),"date outside this workbook's year",IF(AND($D275="Advance",N($L275)&lt;0),"Warning: more than earned so far - worker now owes "&amp;TEXT(ROUND(-$L275,0),"#,##0"),"")))))))))</f>
        <v/>
      </c>
      <c r="N275" s="125" t="n"/>
      <c r="O275" s="126" t="n"/>
      <c r="P275" s="126" t="n"/>
      <c r="Q275" s="126" t="n"/>
      <c r="R275" s="126" t="n"/>
      <c r="S275" s="126" t="n"/>
      <c r="T275" s="126" t="n"/>
      <c r="U275" s="126" t="n"/>
      <c r="V275" s="126" t="n"/>
      <c r="W275" s="126" t="n"/>
      <c r="X275" s="126" t="n"/>
      <c r="Y275" s="126" t="n"/>
      <c r="Z275" s="126" t="n"/>
      <c r="AA275" s="126" t="n"/>
      <c r="AB275" s="126" t="n"/>
      <c r="AC275" s="126" t="n"/>
      <c r="AD275" s="126" t="n"/>
      <c r="AE275" s="126" t="n"/>
      <c r="AF275" s="126" t="n"/>
      <c r="AG275" s="126" t="n"/>
      <c r="AH275" s="126" t="n"/>
      <c r="AI275" s="126" t="n"/>
      <c r="AJ275" s="126" t="n"/>
      <c r="AK275" s="126" t="n"/>
      <c r="AL275" s="126" t="n"/>
      <c r="AM275" s="126" t="n"/>
      <c r="AN275" s="126" t="n"/>
    </row>
    <row r="276" ht="21" customFormat="1" customHeight="1" s="127">
      <c r="A276" s="51">
        <f>IF($B276="","",ROW()-6)</f>
        <v/>
      </c>
      <c r="B276" s="268" t="n"/>
      <c r="C276" s="133" t="n"/>
      <c r="D276" s="50" t="n"/>
      <c r="E276" s="265" t="n"/>
      <c r="F276" s="133" t="n"/>
      <c r="G276" s="133" t="n"/>
      <c r="H276" s="50" t="n"/>
      <c r="I276" s="51">
        <f>IF($C276="","",IFERROR(INDEX(WorkerIDs,MATCH($C276,WorkerNames,0)),"?"))</f>
        <v/>
      </c>
      <c r="J276" s="253">
        <f>IF($B276="","",$B276-WEEKDAY($B276,2)+1)</f>
        <v/>
      </c>
      <c r="K276" s="142">
        <f>IF(OR($I276="",$I276="?",$D276&lt;&gt;"Advance",$B276=""),"",$I276&amp;"|"&amp;$J276&amp;"|"&amp;COUNTIFS($I$7:$I276,$I276,$J$7:$J276,$J276,$D$7:$D276,"Advance"))</f>
        <v/>
      </c>
      <c r="L276" s="266">
        <f>IF(OR($I276="",$I276="?",$B276=""),"",SUMPRODUCT((Weeks!$A$7:$A$59&lt;=$J276)*(Weeks!$X$5:$AI$5=$I276)*Weeks!$X$7:$AI$59)-SUMIFS($E$7:$E$1006,$I$7:$I$1006,$I276,$B$7:$B$1006,"&lt;="&amp;$B276))</f>
        <v/>
      </c>
      <c r="M276" s="132">
        <f>IF($B276&amp;$C276&amp;$D276&amp;$E276="","",IF($B276="","missing date",IF($C276="","missing worker",IF($I276="?","unknown worker - was the name changed on Workers?",IF($D276="","missing type",IF(N($E276)=0,"missing amount",IF(AND($E276&lt;0,$D276&lt;&gt;"Correction"),"negative amount - use a Correction to undo",IF(OR($B276&lt;Weeks!$A$7,$B276&gt;Weeks!$B$59),"date outside this workbook's year",IF(AND($D276="Advance",N($L276)&lt;0),"Warning: more than earned so far - worker now owes "&amp;TEXT(ROUND(-$L276,0),"#,##0"),"")))))))))</f>
        <v/>
      </c>
      <c r="N276" s="125" t="n"/>
      <c r="O276" s="126" t="n"/>
      <c r="P276" s="126" t="n"/>
      <c r="Q276" s="126" t="n"/>
      <c r="R276" s="126" t="n"/>
      <c r="S276" s="126" t="n"/>
      <c r="T276" s="126" t="n"/>
      <c r="U276" s="126" t="n"/>
      <c r="V276" s="126" t="n"/>
      <c r="W276" s="126" t="n"/>
      <c r="X276" s="126" t="n"/>
      <c r="Y276" s="126" t="n"/>
      <c r="Z276" s="126" t="n"/>
      <c r="AA276" s="126" t="n"/>
      <c r="AB276" s="126" t="n"/>
      <c r="AC276" s="126" t="n"/>
      <c r="AD276" s="126" t="n"/>
      <c r="AE276" s="126" t="n"/>
      <c r="AF276" s="126" t="n"/>
      <c r="AG276" s="126" t="n"/>
      <c r="AH276" s="126" t="n"/>
      <c r="AI276" s="126" t="n"/>
      <c r="AJ276" s="126" t="n"/>
      <c r="AK276" s="126" t="n"/>
      <c r="AL276" s="126" t="n"/>
      <c r="AM276" s="126" t="n"/>
      <c r="AN276" s="126" t="n"/>
    </row>
    <row r="277" ht="21" customFormat="1" customHeight="1" s="127">
      <c r="A277" s="51">
        <f>IF($B277="","",ROW()-6)</f>
        <v/>
      </c>
      <c r="B277" s="268" t="n"/>
      <c r="C277" s="133" t="n"/>
      <c r="D277" s="50" t="n"/>
      <c r="E277" s="265" t="n"/>
      <c r="F277" s="133" t="n"/>
      <c r="G277" s="133" t="n"/>
      <c r="H277" s="50" t="n"/>
      <c r="I277" s="51">
        <f>IF($C277="","",IFERROR(INDEX(WorkerIDs,MATCH($C277,WorkerNames,0)),"?"))</f>
        <v/>
      </c>
      <c r="J277" s="253">
        <f>IF($B277="","",$B277-WEEKDAY($B277,2)+1)</f>
        <v/>
      </c>
      <c r="K277" s="142">
        <f>IF(OR($I277="",$I277="?",$D277&lt;&gt;"Advance",$B277=""),"",$I277&amp;"|"&amp;$J277&amp;"|"&amp;COUNTIFS($I$7:$I277,$I277,$J$7:$J277,$J277,$D$7:$D277,"Advance"))</f>
        <v/>
      </c>
      <c r="L277" s="266">
        <f>IF(OR($I277="",$I277="?",$B277=""),"",SUMPRODUCT((Weeks!$A$7:$A$59&lt;=$J277)*(Weeks!$X$5:$AI$5=$I277)*Weeks!$X$7:$AI$59)-SUMIFS($E$7:$E$1006,$I$7:$I$1006,$I277,$B$7:$B$1006,"&lt;="&amp;$B277))</f>
        <v/>
      </c>
      <c r="M277" s="132">
        <f>IF($B277&amp;$C277&amp;$D277&amp;$E277="","",IF($B277="","missing date",IF($C277="","missing worker",IF($I277="?","unknown worker - was the name changed on Workers?",IF($D277="","missing type",IF(N($E277)=0,"missing amount",IF(AND($E277&lt;0,$D277&lt;&gt;"Correction"),"negative amount - use a Correction to undo",IF(OR($B277&lt;Weeks!$A$7,$B277&gt;Weeks!$B$59),"date outside this workbook's year",IF(AND($D277="Advance",N($L277)&lt;0),"Warning: more than earned so far - worker now owes "&amp;TEXT(ROUND(-$L277,0),"#,##0"),"")))))))))</f>
        <v/>
      </c>
      <c r="N277" s="125" t="n"/>
      <c r="O277" s="126" t="n"/>
      <c r="P277" s="126" t="n"/>
      <c r="Q277" s="126" t="n"/>
      <c r="R277" s="126" t="n"/>
      <c r="S277" s="126" t="n"/>
      <c r="T277" s="126" t="n"/>
      <c r="U277" s="126" t="n"/>
      <c r="V277" s="126" t="n"/>
      <c r="W277" s="126" t="n"/>
      <c r="X277" s="126" t="n"/>
      <c r="Y277" s="126" t="n"/>
      <c r="Z277" s="126" t="n"/>
      <c r="AA277" s="126" t="n"/>
      <c r="AB277" s="126" t="n"/>
      <c r="AC277" s="126" t="n"/>
      <c r="AD277" s="126" t="n"/>
      <c r="AE277" s="126" t="n"/>
      <c r="AF277" s="126" t="n"/>
      <c r="AG277" s="126" t="n"/>
      <c r="AH277" s="126" t="n"/>
      <c r="AI277" s="126" t="n"/>
      <c r="AJ277" s="126" t="n"/>
      <c r="AK277" s="126" t="n"/>
      <c r="AL277" s="126" t="n"/>
      <c r="AM277" s="126" t="n"/>
      <c r="AN277" s="126" t="n"/>
    </row>
    <row r="278" ht="21" customFormat="1" customHeight="1" s="127">
      <c r="A278" s="51">
        <f>IF($B278="","",ROW()-6)</f>
        <v/>
      </c>
      <c r="B278" s="268" t="n"/>
      <c r="C278" s="133" t="n"/>
      <c r="D278" s="50" t="n"/>
      <c r="E278" s="265" t="n"/>
      <c r="F278" s="133" t="n"/>
      <c r="G278" s="133" t="n"/>
      <c r="H278" s="50" t="n"/>
      <c r="I278" s="51">
        <f>IF($C278="","",IFERROR(INDEX(WorkerIDs,MATCH($C278,WorkerNames,0)),"?"))</f>
        <v/>
      </c>
      <c r="J278" s="253">
        <f>IF($B278="","",$B278-WEEKDAY($B278,2)+1)</f>
        <v/>
      </c>
      <c r="K278" s="142">
        <f>IF(OR($I278="",$I278="?",$D278&lt;&gt;"Advance",$B278=""),"",$I278&amp;"|"&amp;$J278&amp;"|"&amp;COUNTIFS($I$7:$I278,$I278,$J$7:$J278,$J278,$D$7:$D278,"Advance"))</f>
        <v/>
      </c>
      <c r="L278" s="266">
        <f>IF(OR($I278="",$I278="?",$B278=""),"",SUMPRODUCT((Weeks!$A$7:$A$59&lt;=$J278)*(Weeks!$X$5:$AI$5=$I278)*Weeks!$X$7:$AI$59)-SUMIFS($E$7:$E$1006,$I$7:$I$1006,$I278,$B$7:$B$1006,"&lt;="&amp;$B278))</f>
        <v/>
      </c>
      <c r="M278" s="132">
        <f>IF($B278&amp;$C278&amp;$D278&amp;$E278="","",IF($B278="","missing date",IF($C278="","missing worker",IF($I278="?","unknown worker - was the name changed on Workers?",IF($D278="","missing type",IF(N($E278)=0,"missing amount",IF(AND($E278&lt;0,$D278&lt;&gt;"Correction"),"negative amount - use a Correction to undo",IF(OR($B278&lt;Weeks!$A$7,$B278&gt;Weeks!$B$59),"date outside this workbook's year",IF(AND($D278="Advance",N($L278)&lt;0),"Warning: more than earned so far - worker now owes "&amp;TEXT(ROUND(-$L278,0),"#,##0"),"")))))))))</f>
        <v/>
      </c>
      <c r="N278" s="125" t="n"/>
      <c r="O278" s="126" t="n"/>
      <c r="P278" s="126" t="n"/>
      <c r="Q278" s="126" t="n"/>
      <c r="R278" s="126" t="n"/>
      <c r="S278" s="126" t="n"/>
      <c r="T278" s="126" t="n"/>
      <c r="U278" s="126" t="n"/>
      <c r="V278" s="126" t="n"/>
      <c r="W278" s="126" t="n"/>
      <c r="X278" s="126" t="n"/>
      <c r="Y278" s="126" t="n"/>
      <c r="Z278" s="126" t="n"/>
      <c r="AA278" s="126" t="n"/>
      <c r="AB278" s="126" t="n"/>
      <c r="AC278" s="126" t="n"/>
      <c r="AD278" s="126" t="n"/>
      <c r="AE278" s="126" t="n"/>
      <c r="AF278" s="126" t="n"/>
      <c r="AG278" s="126" t="n"/>
      <c r="AH278" s="126" t="n"/>
      <c r="AI278" s="126" t="n"/>
      <c r="AJ278" s="126" t="n"/>
      <c r="AK278" s="126" t="n"/>
      <c r="AL278" s="126" t="n"/>
      <c r="AM278" s="126" t="n"/>
      <c r="AN278" s="126" t="n"/>
    </row>
    <row r="279" ht="21" customFormat="1" customHeight="1" s="127">
      <c r="A279" s="51">
        <f>IF($B279="","",ROW()-6)</f>
        <v/>
      </c>
      <c r="B279" s="268" t="n"/>
      <c r="C279" s="133" t="n"/>
      <c r="D279" s="50" t="n"/>
      <c r="E279" s="265" t="n"/>
      <c r="F279" s="133" t="n"/>
      <c r="G279" s="133" t="n"/>
      <c r="H279" s="50" t="n"/>
      <c r="I279" s="51">
        <f>IF($C279="","",IFERROR(INDEX(WorkerIDs,MATCH($C279,WorkerNames,0)),"?"))</f>
        <v/>
      </c>
      <c r="J279" s="253">
        <f>IF($B279="","",$B279-WEEKDAY($B279,2)+1)</f>
        <v/>
      </c>
      <c r="K279" s="142">
        <f>IF(OR($I279="",$I279="?",$D279&lt;&gt;"Advance",$B279=""),"",$I279&amp;"|"&amp;$J279&amp;"|"&amp;COUNTIFS($I$7:$I279,$I279,$J$7:$J279,$J279,$D$7:$D279,"Advance"))</f>
        <v/>
      </c>
      <c r="L279" s="266">
        <f>IF(OR($I279="",$I279="?",$B279=""),"",SUMPRODUCT((Weeks!$A$7:$A$59&lt;=$J279)*(Weeks!$X$5:$AI$5=$I279)*Weeks!$X$7:$AI$59)-SUMIFS($E$7:$E$1006,$I$7:$I$1006,$I279,$B$7:$B$1006,"&lt;="&amp;$B279))</f>
        <v/>
      </c>
      <c r="M279" s="132">
        <f>IF($B279&amp;$C279&amp;$D279&amp;$E279="","",IF($B279="","missing date",IF($C279="","missing worker",IF($I279="?","unknown worker - was the name changed on Workers?",IF($D279="","missing type",IF(N($E279)=0,"missing amount",IF(AND($E279&lt;0,$D279&lt;&gt;"Correction"),"negative amount - use a Correction to undo",IF(OR($B279&lt;Weeks!$A$7,$B279&gt;Weeks!$B$59),"date outside this workbook's year",IF(AND($D279="Advance",N($L279)&lt;0),"Warning: more than earned so far - worker now owes "&amp;TEXT(ROUND(-$L279,0),"#,##0"),"")))))))))</f>
        <v/>
      </c>
      <c r="N279" s="125" t="n"/>
      <c r="O279" s="126" t="n"/>
      <c r="P279" s="126" t="n"/>
      <c r="Q279" s="126" t="n"/>
      <c r="R279" s="126" t="n"/>
      <c r="S279" s="126" t="n"/>
      <c r="T279" s="126" t="n"/>
      <c r="U279" s="126" t="n"/>
      <c r="V279" s="126" t="n"/>
      <c r="W279" s="126" t="n"/>
      <c r="X279" s="126" t="n"/>
      <c r="Y279" s="126" t="n"/>
      <c r="Z279" s="126" t="n"/>
      <c r="AA279" s="126" t="n"/>
      <c r="AB279" s="126" t="n"/>
      <c r="AC279" s="126" t="n"/>
      <c r="AD279" s="126" t="n"/>
      <c r="AE279" s="126" t="n"/>
      <c r="AF279" s="126" t="n"/>
      <c r="AG279" s="126" t="n"/>
      <c r="AH279" s="126" t="n"/>
      <c r="AI279" s="126" t="n"/>
      <c r="AJ279" s="126" t="n"/>
      <c r="AK279" s="126" t="n"/>
      <c r="AL279" s="126" t="n"/>
      <c r="AM279" s="126" t="n"/>
      <c r="AN279" s="126" t="n"/>
    </row>
    <row r="280" ht="21" customFormat="1" customHeight="1" s="127">
      <c r="A280" s="51">
        <f>IF($B280="","",ROW()-6)</f>
        <v/>
      </c>
      <c r="B280" s="268" t="n"/>
      <c r="C280" s="133" t="n"/>
      <c r="D280" s="50" t="n"/>
      <c r="E280" s="265" t="n"/>
      <c r="F280" s="133" t="n"/>
      <c r="G280" s="133" t="n"/>
      <c r="H280" s="50" t="n"/>
      <c r="I280" s="51">
        <f>IF($C280="","",IFERROR(INDEX(WorkerIDs,MATCH($C280,WorkerNames,0)),"?"))</f>
        <v/>
      </c>
      <c r="J280" s="253">
        <f>IF($B280="","",$B280-WEEKDAY($B280,2)+1)</f>
        <v/>
      </c>
      <c r="K280" s="142">
        <f>IF(OR($I280="",$I280="?",$D280&lt;&gt;"Advance",$B280=""),"",$I280&amp;"|"&amp;$J280&amp;"|"&amp;COUNTIFS($I$7:$I280,$I280,$J$7:$J280,$J280,$D$7:$D280,"Advance"))</f>
        <v/>
      </c>
      <c r="L280" s="266">
        <f>IF(OR($I280="",$I280="?",$B280=""),"",SUMPRODUCT((Weeks!$A$7:$A$59&lt;=$J280)*(Weeks!$X$5:$AI$5=$I280)*Weeks!$X$7:$AI$59)-SUMIFS($E$7:$E$1006,$I$7:$I$1006,$I280,$B$7:$B$1006,"&lt;="&amp;$B280))</f>
        <v/>
      </c>
      <c r="M280" s="132">
        <f>IF($B280&amp;$C280&amp;$D280&amp;$E280="","",IF($B280="","missing date",IF($C280="","missing worker",IF($I280="?","unknown worker - was the name changed on Workers?",IF($D280="","missing type",IF(N($E280)=0,"missing amount",IF(AND($E280&lt;0,$D280&lt;&gt;"Correction"),"negative amount - use a Correction to undo",IF(OR($B280&lt;Weeks!$A$7,$B280&gt;Weeks!$B$59),"date outside this workbook's year",IF(AND($D280="Advance",N($L280)&lt;0),"Warning: more than earned so far - worker now owes "&amp;TEXT(ROUND(-$L280,0),"#,##0"),"")))))))))</f>
        <v/>
      </c>
      <c r="N280" s="125" t="n"/>
      <c r="O280" s="126" t="n"/>
      <c r="P280" s="126" t="n"/>
      <c r="Q280" s="126" t="n"/>
      <c r="R280" s="126" t="n"/>
      <c r="S280" s="126" t="n"/>
      <c r="T280" s="126" t="n"/>
      <c r="U280" s="126" t="n"/>
      <c r="V280" s="126" t="n"/>
      <c r="W280" s="126" t="n"/>
      <c r="X280" s="126" t="n"/>
      <c r="Y280" s="126" t="n"/>
      <c r="Z280" s="126" t="n"/>
      <c r="AA280" s="126" t="n"/>
      <c r="AB280" s="126" t="n"/>
      <c r="AC280" s="126" t="n"/>
      <c r="AD280" s="126" t="n"/>
      <c r="AE280" s="126" t="n"/>
      <c r="AF280" s="126" t="n"/>
      <c r="AG280" s="126" t="n"/>
      <c r="AH280" s="126" t="n"/>
      <c r="AI280" s="126" t="n"/>
      <c r="AJ280" s="126" t="n"/>
      <c r="AK280" s="126" t="n"/>
      <c r="AL280" s="126" t="n"/>
      <c r="AM280" s="126" t="n"/>
      <c r="AN280" s="126" t="n"/>
    </row>
    <row r="281" ht="21" customFormat="1" customHeight="1" s="127">
      <c r="A281" s="51">
        <f>IF($B281="","",ROW()-6)</f>
        <v/>
      </c>
      <c r="B281" s="268" t="n"/>
      <c r="C281" s="133" t="n"/>
      <c r="D281" s="50" t="n"/>
      <c r="E281" s="265" t="n"/>
      <c r="F281" s="133" t="n"/>
      <c r="G281" s="133" t="n"/>
      <c r="H281" s="50" t="n"/>
      <c r="I281" s="51">
        <f>IF($C281="","",IFERROR(INDEX(WorkerIDs,MATCH($C281,WorkerNames,0)),"?"))</f>
        <v/>
      </c>
      <c r="J281" s="253">
        <f>IF($B281="","",$B281-WEEKDAY($B281,2)+1)</f>
        <v/>
      </c>
      <c r="K281" s="142">
        <f>IF(OR($I281="",$I281="?",$D281&lt;&gt;"Advance",$B281=""),"",$I281&amp;"|"&amp;$J281&amp;"|"&amp;COUNTIFS($I$7:$I281,$I281,$J$7:$J281,$J281,$D$7:$D281,"Advance"))</f>
        <v/>
      </c>
      <c r="L281" s="266">
        <f>IF(OR($I281="",$I281="?",$B281=""),"",SUMPRODUCT((Weeks!$A$7:$A$59&lt;=$J281)*(Weeks!$X$5:$AI$5=$I281)*Weeks!$X$7:$AI$59)-SUMIFS($E$7:$E$1006,$I$7:$I$1006,$I281,$B$7:$B$1006,"&lt;="&amp;$B281))</f>
        <v/>
      </c>
      <c r="M281" s="132">
        <f>IF($B281&amp;$C281&amp;$D281&amp;$E281="","",IF($B281="","missing date",IF($C281="","missing worker",IF($I281="?","unknown worker - was the name changed on Workers?",IF($D281="","missing type",IF(N($E281)=0,"missing amount",IF(AND($E281&lt;0,$D281&lt;&gt;"Correction"),"negative amount - use a Correction to undo",IF(OR($B281&lt;Weeks!$A$7,$B281&gt;Weeks!$B$59),"date outside this workbook's year",IF(AND($D281="Advance",N($L281)&lt;0),"Warning: more than earned so far - worker now owes "&amp;TEXT(ROUND(-$L281,0),"#,##0"),"")))))))))</f>
        <v/>
      </c>
      <c r="N281" s="125" t="n"/>
      <c r="O281" s="126" t="n"/>
      <c r="P281" s="126" t="n"/>
      <c r="Q281" s="126" t="n"/>
      <c r="R281" s="126" t="n"/>
      <c r="S281" s="126" t="n"/>
      <c r="T281" s="126" t="n"/>
      <c r="U281" s="126" t="n"/>
      <c r="V281" s="126" t="n"/>
      <c r="W281" s="126" t="n"/>
      <c r="X281" s="126" t="n"/>
      <c r="Y281" s="126" t="n"/>
      <c r="Z281" s="126" t="n"/>
      <c r="AA281" s="126" t="n"/>
      <c r="AB281" s="126" t="n"/>
      <c r="AC281" s="126" t="n"/>
      <c r="AD281" s="126" t="n"/>
      <c r="AE281" s="126" t="n"/>
      <c r="AF281" s="126" t="n"/>
      <c r="AG281" s="126" t="n"/>
      <c r="AH281" s="126" t="n"/>
      <c r="AI281" s="126" t="n"/>
      <c r="AJ281" s="126" t="n"/>
      <c r="AK281" s="126" t="n"/>
      <c r="AL281" s="126" t="n"/>
      <c r="AM281" s="126" t="n"/>
      <c r="AN281" s="126" t="n"/>
    </row>
    <row r="282" ht="21" customFormat="1" customHeight="1" s="127">
      <c r="A282" s="51">
        <f>IF($B282="","",ROW()-6)</f>
        <v/>
      </c>
      <c r="B282" s="268" t="n"/>
      <c r="C282" s="133" t="n"/>
      <c r="D282" s="50" t="n"/>
      <c r="E282" s="265" t="n"/>
      <c r="F282" s="133" t="n"/>
      <c r="G282" s="133" t="n"/>
      <c r="H282" s="50" t="n"/>
      <c r="I282" s="51">
        <f>IF($C282="","",IFERROR(INDEX(WorkerIDs,MATCH($C282,WorkerNames,0)),"?"))</f>
        <v/>
      </c>
      <c r="J282" s="253">
        <f>IF($B282="","",$B282-WEEKDAY($B282,2)+1)</f>
        <v/>
      </c>
      <c r="K282" s="142">
        <f>IF(OR($I282="",$I282="?",$D282&lt;&gt;"Advance",$B282=""),"",$I282&amp;"|"&amp;$J282&amp;"|"&amp;COUNTIFS($I$7:$I282,$I282,$J$7:$J282,$J282,$D$7:$D282,"Advance"))</f>
        <v/>
      </c>
      <c r="L282" s="266">
        <f>IF(OR($I282="",$I282="?",$B282=""),"",SUMPRODUCT((Weeks!$A$7:$A$59&lt;=$J282)*(Weeks!$X$5:$AI$5=$I282)*Weeks!$X$7:$AI$59)-SUMIFS($E$7:$E$1006,$I$7:$I$1006,$I282,$B$7:$B$1006,"&lt;="&amp;$B282))</f>
        <v/>
      </c>
      <c r="M282" s="132">
        <f>IF($B282&amp;$C282&amp;$D282&amp;$E282="","",IF($B282="","missing date",IF($C282="","missing worker",IF($I282="?","unknown worker - was the name changed on Workers?",IF($D282="","missing type",IF(N($E282)=0,"missing amount",IF(AND($E282&lt;0,$D282&lt;&gt;"Correction"),"negative amount - use a Correction to undo",IF(OR($B282&lt;Weeks!$A$7,$B282&gt;Weeks!$B$59),"date outside this workbook's year",IF(AND($D282="Advance",N($L282)&lt;0),"Warning: more than earned so far - worker now owes "&amp;TEXT(ROUND(-$L282,0),"#,##0"),"")))))))))</f>
        <v/>
      </c>
      <c r="N282" s="125" t="n"/>
      <c r="O282" s="126" t="n"/>
      <c r="P282" s="126" t="n"/>
      <c r="Q282" s="126" t="n"/>
      <c r="R282" s="126" t="n"/>
      <c r="S282" s="126" t="n"/>
      <c r="T282" s="126" t="n"/>
      <c r="U282" s="126" t="n"/>
      <c r="V282" s="126" t="n"/>
      <c r="W282" s="126" t="n"/>
      <c r="X282" s="126" t="n"/>
      <c r="Y282" s="126" t="n"/>
      <c r="Z282" s="126" t="n"/>
      <c r="AA282" s="126" t="n"/>
      <c r="AB282" s="126" t="n"/>
      <c r="AC282" s="126" t="n"/>
      <c r="AD282" s="126" t="n"/>
      <c r="AE282" s="126" t="n"/>
      <c r="AF282" s="126" t="n"/>
      <c r="AG282" s="126" t="n"/>
      <c r="AH282" s="126" t="n"/>
      <c r="AI282" s="126" t="n"/>
      <c r="AJ282" s="126" t="n"/>
      <c r="AK282" s="126" t="n"/>
      <c r="AL282" s="126" t="n"/>
      <c r="AM282" s="126" t="n"/>
      <c r="AN282" s="126" t="n"/>
    </row>
    <row r="283" ht="21" customFormat="1" customHeight="1" s="127">
      <c r="A283" s="51">
        <f>IF($B283="","",ROW()-6)</f>
        <v/>
      </c>
      <c r="B283" s="268" t="n"/>
      <c r="C283" s="133" t="n"/>
      <c r="D283" s="50" t="n"/>
      <c r="E283" s="265" t="n"/>
      <c r="F283" s="133" t="n"/>
      <c r="G283" s="133" t="n"/>
      <c r="H283" s="50" t="n"/>
      <c r="I283" s="51">
        <f>IF($C283="","",IFERROR(INDEX(WorkerIDs,MATCH($C283,WorkerNames,0)),"?"))</f>
        <v/>
      </c>
      <c r="J283" s="253">
        <f>IF($B283="","",$B283-WEEKDAY($B283,2)+1)</f>
        <v/>
      </c>
      <c r="K283" s="142">
        <f>IF(OR($I283="",$I283="?",$D283&lt;&gt;"Advance",$B283=""),"",$I283&amp;"|"&amp;$J283&amp;"|"&amp;COUNTIFS($I$7:$I283,$I283,$J$7:$J283,$J283,$D$7:$D283,"Advance"))</f>
        <v/>
      </c>
      <c r="L283" s="266">
        <f>IF(OR($I283="",$I283="?",$B283=""),"",SUMPRODUCT((Weeks!$A$7:$A$59&lt;=$J283)*(Weeks!$X$5:$AI$5=$I283)*Weeks!$X$7:$AI$59)-SUMIFS($E$7:$E$1006,$I$7:$I$1006,$I283,$B$7:$B$1006,"&lt;="&amp;$B283))</f>
        <v/>
      </c>
      <c r="M283" s="132">
        <f>IF($B283&amp;$C283&amp;$D283&amp;$E283="","",IF($B283="","missing date",IF($C283="","missing worker",IF($I283="?","unknown worker - was the name changed on Workers?",IF($D283="","missing type",IF(N($E283)=0,"missing amount",IF(AND($E283&lt;0,$D283&lt;&gt;"Correction"),"negative amount - use a Correction to undo",IF(OR($B283&lt;Weeks!$A$7,$B283&gt;Weeks!$B$59),"date outside this workbook's year",IF(AND($D283="Advance",N($L283)&lt;0),"Warning: more than earned so far - worker now owes "&amp;TEXT(ROUND(-$L283,0),"#,##0"),"")))))))))</f>
        <v/>
      </c>
      <c r="N283" s="125" t="n"/>
      <c r="O283" s="126" t="n"/>
      <c r="P283" s="126" t="n"/>
      <c r="Q283" s="126" t="n"/>
      <c r="R283" s="126" t="n"/>
      <c r="S283" s="126" t="n"/>
      <c r="T283" s="126" t="n"/>
      <c r="U283" s="126" t="n"/>
      <c r="V283" s="126" t="n"/>
      <c r="W283" s="126" t="n"/>
      <c r="X283" s="126" t="n"/>
      <c r="Y283" s="126" t="n"/>
      <c r="Z283" s="126" t="n"/>
      <c r="AA283" s="126" t="n"/>
      <c r="AB283" s="126" t="n"/>
      <c r="AC283" s="126" t="n"/>
      <c r="AD283" s="126" t="n"/>
      <c r="AE283" s="126" t="n"/>
      <c r="AF283" s="126" t="n"/>
      <c r="AG283" s="126" t="n"/>
      <c r="AH283" s="126" t="n"/>
      <c r="AI283" s="126" t="n"/>
      <c r="AJ283" s="126" t="n"/>
      <c r="AK283" s="126" t="n"/>
      <c r="AL283" s="126" t="n"/>
      <c r="AM283" s="126" t="n"/>
      <c r="AN283" s="126" t="n"/>
    </row>
    <row r="284" ht="21" customFormat="1" customHeight="1" s="127">
      <c r="A284" s="51">
        <f>IF($B284="","",ROW()-6)</f>
        <v/>
      </c>
      <c r="B284" s="268" t="n"/>
      <c r="C284" s="133" t="n"/>
      <c r="D284" s="50" t="n"/>
      <c r="E284" s="265" t="n"/>
      <c r="F284" s="133" t="n"/>
      <c r="G284" s="133" t="n"/>
      <c r="H284" s="50" t="n"/>
      <c r="I284" s="51">
        <f>IF($C284="","",IFERROR(INDEX(WorkerIDs,MATCH($C284,WorkerNames,0)),"?"))</f>
        <v/>
      </c>
      <c r="J284" s="253">
        <f>IF($B284="","",$B284-WEEKDAY($B284,2)+1)</f>
        <v/>
      </c>
      <c r="K284" s="142">
        <f>IF(OR($I284="",$I284="?",$D284&lt;&gt;"Advance",$B284=""),"",$I284&amp;"|"&amp;$J284&amp;"|"&amp;COUNTIFS($I$7:$I284,$I284,$J$7:$J284,$J284,$D$7:$D284,"Advance"))</f>
        <v/>
      </c>
      <c r="L284" s="266">
        <f>IF(OR($I284="",$I284="?",$B284=""),"",SUMPRODUCT((Weeks!$A$7:$A$59&lt;=$J284)*(Weeks!$X$5:$AI$5=$I284)*Weeks!$X$7:$AI$59)-SUMIFS($E$7:$E$1006,$I$7:$I$1006,$I284,$B$7:$B$1006,"&lt;="&amp;$B284))</f>
        <v/>
      </c>
      <c r="M284" s="132">
        <f>IF($B284&amp;$C284&amp;$D284&amp;$E284="","",IF($B284="","missing date",IF($C284="","missing worker",IF($I284="?","unknown worker - was the name changed on Workers?",IF($D284="","missing type",IF(N($E284)=0,"missing amount",IF(AND($E284&lt;0,$D284&lt;&gt;"Correction"),"negative amount - use a Correction to undo",IF(OR($B284&lt;Weeks!$A$7,$B284&gt;Weeks!$B$59),"date outside this workbook's year",IF(AND($D284="Advance",N($L284)&lt;0),"Warning: more than earned so far - worker now owes "&amp;TEXT(ROUND(-$L284,0),"#,##0"),"")))))))))</f>
        <v/>
      </c>
      <c r="N284" s="125" t="n"/>
      <c r="O284" s="126" t="n"/>
      <c r="P284" s="126" t="n"/>
      <c r="Q284" s="126" t="n"/>
      <c r="R284" s="126" t="n"/>
      <c r="S284" s="126" t="n"/>
      <c r="T284" s="126" t="n"/>
      <c r="U284" s="126" t="n"/>
      <c r="V284" s="126" t="n"/>
      <c r="W284" s="126" t="n"/>
      <c r="X284" s="126" t="n"/>
      <c r="Y284" s="126" t="n"/>
      <c r="Z284" s="126" t="n"/>
      <c r="AA284" s="126" t="n"/>
      <c r="AB284" s="126" t="n"/>
      <c r="AC284" s="126" t="n"/>
      <c r="AD284" s="126" t="n"/>
      <c r="AE284" s="126" t="n"/>
      <c r="AF284" s="126" t="n"/>
      <c r="AG284" s="126" t="n"/>
      <c r="AH284" s="126" t="n"/>
      <c r="AI284" s="126" t="n"/>
      <c r="AJ284" s="126" t="n"/>
      <c r="AK284" s="126" t="n"/>
      <c r="AL284" s="126" t="n"/>
      <c r="AM284" s="126" t="n"/>
      <c r="AN284" s="126" t="n"/>
    </row>
    <row r="285" ht="21" customFormat="1" customHeight="1" s="127">
      <c r="A285" s="51">
        <f>IF($B285="","",ROW()-6)</f>
        <v/>
      </c>
      <c r="B285" s="268" t="n"/>
      <c r="C285" s="133" t="n"/>
      <c r="D285" s="50" t="n"/>
      <c r="E285" s="265" t="n"/>
      <c r="F285" s="133" t="n"/>
      <c r="G285" s="133" t="n"/>
      <c r="H285" s="50" t="n"/>
      <c r="I285" s="51">
        <f>IF($C285="","",IFERROR(INDEX(WorkerIDs,MATCH($C285,WorkerNames,0)),"?"))</f>
        <v/>
      </c>
      <c r="J285" s="253">
        <f>IF($B285="","",$B285-WEEKDAY($B285,2)+1)</f>
        <v/>
      </c>
      <c r="K285" s="142">
        <f>IF(OR($I285="",$I285="?",$D285&lt;&gt;"Advance",$B285=""),"",$I285&amp;"|"&amp;$J285&amp;"|"&amp;COUNTIFS($I$7:$I285,$I285,$J$7:$J285,$J285,$D$7:$D285,"Advance"))</f>
        <v/>
      </c>
      <c r="L285" s="266">
        <f>IF(OR($I285="",$I285="?",$B285=""),"",SUMPRODUCT((Weeks!$A$7:$A$59&lt;=$J285)*(Weeks!$X$5:$AI$5=$I285)*Weeks!$X$7:$AI$59)-SUMIFS($E$7:$E$1006,$I$7:$I$1006,$I285,$B$7:$B$1006,"&lt;="&amp;$B285))</f>
        <v/>
      </c>
      <c r="M285" s="132">
        <f>IF($B285&amp;$C285&amp;$D285&amp;$E285="","",IF($B285="","missing date",IF($C285="","missing worker",IF($I285="?","unknown worker - was the name changed on Workers?",IF($D285="","missing type",IF(N($E285)=0,"missing amount",IF(AND($E285&lt;0,$D285&lt;&gt;"Correction"),"negative amount - use a Correction to undo",IF(OR($B285&lt;Weeks!$A$7,$B285&gt;Weeks!$B$59),"date outside this workbook's year",IF(AND($D285="Advance",N($L285)&lt;0),"Warning: more than earned so far - worker now owes "&amp;TEXT(ROUND(-$L285,0),"#,##0"),"")))))))))</f>
        <v/>
      </c>
      <c r="N285" s="125" t="n"/>
      <c r="O285" s="126" t="n"/>
      <c r="P285" s="126" t="n"/>
      <c r="Q285" s="126" t="n"/>
      <c r="R285" s="126" t="n"/>
      <c r="S285" s="126" t="n"/>
      <c r="T285" s="126" t="n"/>
      <c r="U285" s="126" t="n"/>
      <c r="V285" s="126" t="n"/>
      <c r="W285" s="126" t="n"/>
      <c r="X285" s="126" t="n"/>
      <c r="Y285" s="126" t="n"/>
      <c r="Z285" s="126" t="n"/>
      <c r="AA285" s="126" t="n"/>
      <c r="AB285" s="126" t="n"/>
      <c r="AC285" s="126" t="n"/>
      <c r="AD285" s="126" t="n"/>
      <c r="AE285" s="126" t="n"/>
      <c r="AF285" s="126" t="n"/>
      <c r="AG285" s="126" t="n"/>
      <c r="AH285" s="126" t="n"/>
      <c r="AI285" s="126" t="n"/>
      <c r="AJ285" s="126" t="n"/>
      <c r="AK285" s="126" t="n"/>
      <c r="AL285" s="126" t="n"/>
      <c r="AM285" s="126" t="n"/>
      <c r="AN285" s="126" t="n"/>
    </row>
    <row r="286" ht="21" customFormat="1" customHeight="1" s="127">
      <c r="A286" s="51">
        <f>IF($B286="","",ROW()-6)</f>
        <v/>
      </c>
      <c r="B286" s="268" t="n"/>
      <c r="C286" s="133" t="n"/>
      <c r="D286" s="50" t="n"/>
      <c r="E286" s="265" t="n"/>
      <c r="F286" s="133" t="n"/>
      <c r="G286" s="133" t="n"/>
      <c r="H286" s="50" t="n"/>
      <c r="I286" s="51">
        <f>IF($C286="","",IFERROR(INDEX(WorkerIDs,MATCH($C286,WorkerNames,0)),"?"))</f>
        <v/>
      </c>
      <c r="J286" s="253">
        <f>IF($B286="","",$B286-WEEKDAY($B286,2)+1)</f>
        <v/>
      </c>
      <c r="K286" s="142">
        <f>IF(OR($I286="",$I286="?",$D286&lt;&gt;"Advance",$B286=""),"",$I286&amp;"|"&amp;$J286&amp;"|"&amp;COUNTIFS($I$7:$I286,$I286,$J$7:$J286,$J286,$D$7:$D286,"Advance"))</f>
        <v/>
      </c>
      <c r="L286" s="266">
        <f>IF(OR($I286="",$I286="?",$B286=""),"",SUMPRODUCT((Weeks!$A$7:$A$59&lt;=$J286)*(Weeks!$X$5:$AI$5=$I286)*Weeks!$X$7:$AI$59)-SUMIFS($E$7:$E$1006,$I$7:$I$1006,$I286,$B$7:$B$1006,"&lt;="&amp;$B286))</f>
        <v/>
      </c>
      <c r="M286" s="132">
        <f>IF($B286&amp;$C286&amp;$D286&amp;$E286="","",IF($B286="","missing date",IF($C286="","missing worker",IF($I286="?","unknown worker - was the name changed on Workers?",IF($D286="","missing type",IF(N($E286)=0,"missing amount",IF(AND($E286&lt;0,$D286&lt;&gt;"Correction"),"negative amount - use a Correction to undo",IF(OR($B286&lt;Weeks!$A$7,$B286&gt;Weeks!$B$59),"date outside this workbook's year",IF(AND($D286="Advance",N($L286)&lt;0),"Warning: more than earned so far - worker now owes "&amp;TEXT(ROUND(-$L286,0),"#,##0"),"")))))))))</f>
        <v/>
      </c>
      <c r="N286" s="125" t="n"/>
      <c r="O286" s="126" t="n"/>
      <c r="P286" s="126" t="n"/>
      <c r="Q286" s="126" t="n"/>
      <c r="R286" s="126" t="n"/>
      <c r="S286" s="126" t="n"/>
      <c r="T286" s="126" t="n"/>
      <c r="U286" s="126" t="n"/>
      <c r="V286" s="126" t="n"/>
      <c r="W286" s="126" t="n"/>
      <c r="X286" s="126" t="n"/>
      <c r="Y286" s="126" t="n"/>
      <c r="Z286" s="126" t="n"/>
      <c r="AA286" s="126" t="n"/>
      <c r="AB286" s="126" t="n"/>
      <c r="AC286" s="126" t="n"/>
      <c r="AD286" s="126" t="n"/>
      <c r="AE286" s="126" t="n"/>
      <c r="AF286" s="126" t="n"/>
      <c r="AG286" s="126" t="n"/>
      <c r="AH286" s="126" t="n"/>
      <c r="AI286" s="126" t="n"/>
      <c r="AJ286" s="126" t="n"/>
      <c r="AK286" s="126" t="n"/>
      <c r="AL286" s="126" t="n"/>
      <c r="AM286" s="126" t="n"/>
      <c r="AN286" s="126" t="n"/>
    </row>
    <row r="287" ht="21" customFormat="1" customHeight="1" s="127">
      <c r="A287" s="51">
        <f>IF($B287="","",ROW()-6)</f>
        <v/>
      </c>
      <c r="B287" s="268" t="n"/>
      <c r="C287" s="133" t="n"/>
      <c r="D287" s="50" t="n"/>
      <c r="E287" s="265" t="n"/>
      <c r="F287" s="133" t="n"/>
      <c r="G287" s="133" t="n"/>
      <c r="H287" s="50" t="n"/>
      <c r="I287" s="51">
        <f>IF($C287="","",IFERROR(INDEX(WorkerIDs,MATCH($C287,WorkerNames,0)),"?"))</f>
        <v/>
      </c>
      <c r="J287" s="253">
        <f>IF($B287="","",$B287-WEEKDAY($B287,2)+1)</f>
        <v/>
      </c>
      <c r="K287" s="142">
        <f>IF(OR($I287="",$I287="?",$D287&lt;&gt;"Advance",$B287=""),"",$I287&amp;"|"&amp;$J287&amp;"|"&amp;COUNTIFS($I$7:$I287,$I287,$J$7:$J287,$J287,$D$7:$D287,"Advance"))</f>
        <v/>
      </c>
      <c r="L287" s="266">
        <f>IF(OR($I287="",$I287="?",$B287=""),"",SUMPRODUCT((Weeks!$A$7:$A$59&lt;=$J287)*(Weeks!$X$5:$AI$5=$I287)*Weeks!$X$7:$AI$59)-SUMIFS($E$7:$E$1006,$I$7:$I$1006,$I287,$B$7:$B$1006,"&lt;="&amp;$B287))</f>
        <v/>
      </c>
      <c r="M287" s="132">
        <f>IF($B287&amp;$C287&amp;$D287&amp;$E287="","",IF($B287="","missing date",IF($C287="","missing worker",IF($I287="?","unknown worker - was the name changed on Workers?",IF($D287="","missing type",IF(N($E287)=0,"missing amount",IF(AND($E287&lt;0,$D287&lt;&gt;"Correction"),"negative amount - use a Correction to undo",IF(OR($B287&lt;Weeks!$A$7,$B287&gt;Weeks!$B$59),"date outside this workbook's year",IF(AND($D287="Advance",N($L287)&lt;0),"Warning: more than earned so far - worker now owes "&amp;TEXT(ROUND(-$L287,0),"#,##0"),"")))))))))</f>
        <v/>
      </c>
      <c r="N287" s="125" t="n"/>
      <c r="O287" s="126" t="n"/>
      <c r="P287" s="126" t="n"/>
      <c r="Q287" s="126" t="n"/>
      <c r="R287" s="126" t="n"/>
      <c r="S287" s="126" t="n"/>
      <c r="T287" s="126" t="n"/>
      <c r="U287" s="126" t="n"/>
      <c r="V287" s="126" t="n"/>
      <c r="W287" s="126" t="n"/>
      <c r="X287" s="126" t="n"/>
      <c r="Y287" s="126" t="n"/>
      <c r="Z287" s="126" t="n"/>
      <c r="AA287" s="126" t="n"/>
      <c r="AB287" s="126" t="n"/>
      <c r="AC287" s="126" t="n"/>
      <c r="AD287" s="126" t="n"/>
      <c r="AE287" s="126" t="n"/>
      <c r="AF287" s="126" t="n"/>
      <c r="AG287" s="126" t="n"/>
      <c r="AH287" s="126" t="n"/>
      <c r="AI287" s="126" t="n"/>
      <c r="AJ287" s="126" t="n"/>
      <c r="AK287" s="126" t="n"/>
      <c r="AL287" s="126" t="n"/>
      <c r="AM287" s="126" t="n"/>
      <c r="AN287" s="126" t="n"/>
    </row>
    <row r="288" ht="21" customFormat="1" customHeight="1" s="127">
      <c r="A288" s="51">
        <f>IF($B288="","",ROW()-6)</f>
        <v/>
      </c>
      <c r="B288" s="268" t="n"/>
      <c r="C288" s="133" t="n"/>
      <c r="D288" s="50" t="n"/>
      <c r="E288" s="265" t="n"/>
      <c r="F288" s="133" t="n"/>
      <c r="G288" s="133" t="n"/>
      <c r="H288" s="50" t="n"/>
      <c r="I288" s="51">
        <f>IF($C288="","",IFERROR(INDEX(WorkerIDs,MATCH($C288,WorkerNames,0)),"?"))</f>
        <v/>
      </c>
      <c r="J288" s="253">
        <f>IF($B288="","",$B288-WEEKDAY($B288,2)+1)</f>
        <v/>
      </c>
      <c r="K288" s="142">
        <f>IF(OR($I288="",$I288="?",$D288&lt;&gt;"Advance",$B288=""),"",$I288&amp;"|"&amp;$J288&amp;"|"&amp;COUNTIFS($I$7:$I288,$I288,$J$7:$J288,$J288,$D$7:$D288,"Advance"))</f>
        <v/>
      </c>
      <c r="L288" s="266">
        <f>IF(OR($I288="",$I288="?",$B288=""),"",SUMPRODUCT((Weeks!$A$7:$A$59&lt;=$J288)*(Weeks!$X$5:$AI$5=$I288)*Weeks!$X$7:$AI$59)-SUMIFS($E$7:$E$1006,$I$7:$I$1006,$I288,$B$7:$B$1006,"&lt;="&amp;$B288))</f>
        <v/>
      </c>
      <c r="M288" s="132">
        <f>IF($B288&amp;$C288&amp;$D288&amp;$E288="","",IF($B288="","missing date",IF($C288="","missing worker",IF($I288="?","unknown worker - was the name changed on Workers?",IF($D288="","missing type",IF(N($E288)=0,"missing amount",IF(AND($E288&lt;0,$D288&lt;&gt;"Correction"),"negative amount - use a Correction to undo",IF(OR($B288&lt;Weeks!$A$7,$B288&gt;Weeks!$B$59),"date outside this workbook's year",IF(AND($D288="Advance",N($L288)&lt;0),"Warning: more than earned so far - worker now owes "&amp;TEXT(ROUND(-$L288,0),"#,##0"),"")))))))))</f>
        <v/>
      </c>
      <c r="N288" s="125" t="n"/>
      <c r="O288" s="126" t="n"/>
      <c r="P288" s="126" t="n"/>
      <c r="Q288" s="126" t="n"/>
      <c r="R288" s="126" t="n"/>
      <c r="S288" s="126" t="n"/>
      <c r="T288" s="126" t="n"/>
      <c r="U288" s="126" t="n"/>
      <c r="V288" s="126" t="n"/>
      <c r="W288" s="126" t="n"/>
      <c r="X288" s="126" t="n"/>
      <c r="Y288" s="126" t="n"/>
      <c r="Z288" s="126" t="n"/>
      <c r="AA288" s="126" t="n"/>
      <c r="AB288" s="126" t="n"/>
      <c r="AC288" s="126" t="n"/>
      <c r="AD288" s="126" t="n"/>
      <c r="AE288" s="126" t="n"/>
      <c r="AF288" s="126" t="n"/>
      <c r="AG288" s="126" t="n"/>
      <c r="AH288" s="126" t="n"/>
      <c r="AI288" s="126" t="n"/>
      <c r="AJ288" s="126" t="n"/>
      <c r="AK288" s="126" t="n"/>
      <c r="AL288" s="126" t="n"/>
      <c r="AM288" s="126" t="n"/>
      <c r="AN288" s="126" t="n"/>
    </row>
    <row r="289" ht="21" customFormat="1" customHeight="1" s="127">
      <c r="A289" s="51">
        <f>IF($B289="","",ROW()-6)</f>
        <v/>
      </c>
      <c r="B289" s="268" t="n"/>
      <c r="C289" s="133" t="n"/>
      <c r="D289" s="50" t="n"/>
      <c r="E289" s="265" t="n"/>
      <c r="F289" s="133" t="n"/>
      <c r="G289" s="133" t="n"/>
      <c r="H289" s="50" t="n"/>
      <c r="I289" s="51">
        <f>IF($C289="","",IFERROR(INDEX(WorkerIDs,MATCH($C289,WorkerNames,0)),"?"))</f>
        <v/>
      </c>
      <c r="J289" s="253">
        <f>IF($B289="","",$B289-WEEKDAY($B289,2)+1)</f>
        <v/>
      </c>
      <c r="K289" s="142">
        <f>IF(OR($I289="",$I289="?",$D289&lt;&gt;"Advance",$B289=""),"",$I289&amp;"|"&amp;$J289&amp;"|"&amp;COUNTIFS($I$7:$I289,$I289,$J$7:$J289,$J289,$D$7:$D289,"Advance"))</f>
        <v/>
      </c>
      <c r="L289" s="266">
        <f>IF(OR($I289="",$I289="?",$B289=""),"",SUMPRODUCT((Weeks!$A$7:$A$59&lt;=$J289)*(Weeks!$X$5:$AI$5=$I289)*Weeks!$X$7:$AI$59)-SUMIFS($E$7:$E$1006,$I$7:$I$1006,$I289,$B$7:$B$1006,"&lt;="&amp;$B289))</f>
        <v/>
      </c>
      <c r="M289" s="132">
        <f>IF($B289&amp;$C289&amp;$D289&amp;$E289="","",IF($B289="","missing date",IF($C289="","missing worker",IF($I289="?","unknown worker - was the name changed on Workers?",IF($D289="","missing type",IF(N($E289)=0,"missing amount",IF(AND($E289&lt;0,$D289&lt;&gt;"Correction"),"negative amount - use a Correction to undo",IF(OR($B289&lt;Weeks!$A$7,$B289&gt;Weeks!$B$59),"date outside this workbook's year",IF(AND($D289="Advance",N($L289)&lt;0),"Warning: more than earned so far - worker now owes "&amp;TEXT(ROUND(-$L289,0),"#,##0"),"")))))))))</f>
        <v/>
      </c>
      <c r="N289" s="125" t="n"/>
      <c r="O289" s="126" t="n"/>
      <c r="P289" s="126" t="n"/>
      <c r="Q289" s="126" t="n"/>
      <c r="R289" s="126" t="n"/>
      <c r="S289" s="126" t="n"/>
      <c r="T289" s="126" t="n"/>
      <c r="U289" s="126" t="n"/>
      <c r="V289" s="126" t="n"/>
      <c r="W289" s="126" t="n"/>
      <c r="X289" s="126" t="n"/>
      <c r="Y289" s="126" t="n"/>
      <c r="Z289" s="126" t="n"/>
      <c r="AA289" s="126" t="n"/>
      <c r="AB289" s="126" t="n"/>
      <c r="AC289" s="126" t="n"/>
      <c r="AD289" s="126" t="n"/>
      <c r="AE289" s="126" t="n"/>
      <c r="AF289" s="126" t="n"/>
      <c r="AG289" s="126" t="n"/>
      <c r="AH289" s="126" t="n"/>
      <c r="AI289" s="126" t="n"/>
      <c r="AJ289" s="126" t="n"/>
      <c r="AK289" s="126" t="n"/>
      <c r="AL289" s="126" t="n"/>
      <c r="AM289" s="126" t="n"/>
      <c r="AN289" s="126" t="n"/>
    </row>
    <row r="290" ht="21" customFormat="1" customHeight="1" s="127">
      <c r="A290" s="51">
        <f>IF($B290="","",ROW()-6)</f>
        <v/>
      </c>
      <c r="B290" s="268" t="n"/>
      <c r="C290" s="133" t="n"/>
      <c r="D290" s="50" t="n"/>
      <c r="E290" s="265" t="n"/>
      <c r="F290" s="133" t="n"/>
      <c r="G290" s="133" t="n"/>
      <c r="H290" s="50" t="n"/>
      <c r="I290" s="51">
        <f>IF($C290="","",IFERROR(INDEX(WorkerIDs,MATCH($C290,WorkerNames,0)),"?"))</f>
        <v/>
      </c>
      <c r="J290" s="253">
        <f>IF($B290="","",$B290-WEEKDAY($B290,2)+1)</f>
        <v/>
      </c>
      <c r="K290" s="142">
        <f>IF(OR($I290="",$I290="?",$D290&lt;&gt;"Advance",$B290=""),"",$I290&amp;"|"&amp;$J290&amp;"|"&amp;COUNTIFS($I$7:$I290,$I290,$J$7:$J290,$J290,$D$7:$D290,"Advance"))</f>
        <v/>
      </c>
      <c r="L290" s="266">
        <f>IF(OR($I290="",$I290="?",$B290=""),"",SUMPRODUCT((Weeks!$A$7:$A$59&lt;=$J290)*(Weeks!$X$5:$AI$5=$I290)*Weeks!$X$7:$AI$59)-SUMIFS($E$7:$E$1006,$I$7:$I$1006,$I290,$B$7:$B$1006,"&lt;="&amp;$B290))</f>
        <v/>
      </c>
      <c r="M290" s="132">
        <f>IF($B290&amp;$C290&amp;$D290&amp;$E290="","",IF($B290="","missing date",IF($C290="","missing worker",IF($I290="?","unknown worker - was the name changed on Workers?",IF($D290="","missing type",IF(N($E290)=0,"missing amount",IF(AND($E290&lt;0,$D290&lt;&gt;"Correction"),"negative amount - use a Correction to undo",IF(OR($B290&lt;Weeks!$A$7,$B290&gt;Weeks!$B$59),"date outside this workbook's year",IF(AND($D290="Advance",N($L290)&lt;0),"Warning: more than earned so far - worker now owes "&amp;TEXT(ROUND(-$L290,0),"#,##0"),"")))))))))</f>
        <v/>
      </c>
      <c r="N290" s="125" t="n"/>
      <c r="O290" s="126" t="n"/>
      <c r="P290" s="126" t="n"/>
      <c r="Q290" s="126" t="n"/>
      <c r="R290" s="126" t="n"/>
      <c r="S290" s="126" t="n"/>
      <c r="T290" s="126" t="n"/>
      <c r="U290" s="126" t="n"/>
      <c r="V290" s="126" t="n"/>
      <c r="W290" s="126" t="n"/>
      <c r="X290" s="126" t="n"/>
      <c r="Y290" s="126" t="n"/>
      <c r="Z290" s="126" t="n"/>
      <c r="AA290" s="126" t="n"/>
      <c r="AB290" s="126" t="n"/>
      <c r="AC290" s="126" t="n"/>
      <c r="AD290" s="126" t="n"/>
      <c r="AE290" s="126" t="n"/>
      <c r="AF290" s="126" t="n"/>
      <c r="AG290" s="126" t="n"/>
      <c r="AH290" s="126" t="n"/>
      <c r="AI290" s="126" t="n"/>
      <c r="AJ290" s="126" t="n"/>
      <c r="AK290" s="126" t="n"/>
      <c r="AL290" s="126" t="n"/>
      <c r="AM290" s="126" t="n"/>
      <c r="AN290" s="126" t="n"/>
    </row>
    <row r="291" ht="21" customFormat="1" customHeight="1" s="127">
      <c r="A291" s="51">
        <f>IF($B291="","",ROW()-6)</f>
        <v/>
      </c>
      <c r="B291" s="268" t="n"/>
      <c r="C291" s="133" t="n"/>
      <c r="D291" s="50" t="n"/>
      <c r="E291" s="265" t="n"/>
      <c r="F291" s="133" t="n"/>
      <c r="G291" s="133" t="n"/>
      <c r="H291" s="50" t="n"/>
      <c r="I291" s="51">
        <f>IF($C291="","",IFERROR(INDEX(WorkerIDs,MATCH($C291,WorkerNames,0)),"?"))</f>
        <v/>
      </c>
      <c r="J291" s="253">
        <f>IF($B291="","",$B291-WEEKDAY($B291,2)+1)</f>
        <v/>
      </c>
      <c r="K291" s="142">
        <f>IF(OR($I291="",$I291="?",$D291&lt;&gt;"Advance",$B291=""),"",$I291&amp;"|"&amp;$J291&amp;"|"&amp;COUNTIFS($I$7:$I291,$I291,$J$7:$J291,$J291,$D$7:$D291,"Advance"))</f>
        <v/>
      </c>
      <c r="L291" s="266">
        <f>IF(OR($I291="",$I291="?",$B291=""),"",SUMPRODUCT((Weeks!$A$7:$A$59&lt;=$J291)*(Weeks!$X$5:$AI$5=$I291)*Weeks!$X$7:$AI$59)-SUMIFS($E$7:$E$1006,$I$7:$I$1006,$I291,$B$7:$B$1006,"&lt;="&amp;$B291))</f>
        <v/>
      </c>
      <c r="M291" s="132">
        <f>IF($B291&amp;$C291&amp;$D291&amp;$E291="","",IF($B291="","missing date",IF($C291="","missing worker",IF($I291="?","unknown worker - was the name changed on Workers?",IF($D291="","missing type",IF(N($E291)=0,"missing amount",IF(AND($E291&lt;0,$D291&lt;&gt;"Correction"),"negative amount - use a Correction to undo",IF(OR($B291&lt;Weeks!$A$7,$B291&gt;Weeks!$B$59),"date outside this workbook's year",IF(AND($D291="Advance",N($L291)&lt;0),"Warning: more than earned so far - worker now owes "&amp;TEXT(ROUND(-$L291,0),"#,##0"),"")))))))))</f>
        <v/>
      </c>
      <c r="N291" s="125" t="n"/>
      <c r="O291" s="126" t="n"/>
      <c r="P291" s="126" t="n"/>
      <c r="Q291" s="126" t="n"/>
      <c r="R291" s="126" t="n"/>
      <c r="S291" s="126" t="n"/>
      <c r="T291" s="126" t="n"/>
      <c r="U291" s="126" t="n"/>
      <c r="V291" s="126" t="n"/>
      <c r="W291" s="126" t="n"/>
      <c r="X291" s="126" t="n"/>
      <c r="Y291" s="126" t="n"/>
      <c r="Z291" s="126" t="n"/>
      <c r="AA291" s="126" t="n"/>
      <c r="AB291" s="126" t="n"/>
      <c r="AC291" s="126" t="n"/>
      <c r="AD291" s="126" t="n"/>
      <c r="AE291" s="126" t="n"/>
      <c r="AF291" s="126" t="n"/>
      <c r="AG291" s="126" t="n"/>
      <c r="AH291" s="126" t="n"/>
      <c r="AI291" s="126" t="n"/>
      <c r="AJ291" s="126" t="n"/>
      <c r="AK291" s="126" t="n"/>
      <c r="AL291" s="126" t="n"/>
      <c r="AM291" s="126" t="n"/>
      <c r="AN291" s="126" t="n"/>
    </row>
    <row r="292" ht="21" customFormat="1" customHeight="1" s="127">
      <c r="A292" s="51">
        <f>IF($B292="","",ROW()-6)</f>
        <v/>
      </c>
      <c r="B292" s="268" t="n"/>
      <c r="C292" s="133" t="n"/>
      <c r="D292" s="50" t="n"/>
      <c r="E292" s="265" t="n"/>
      <c r="F292" s="133" t="n"/>
      <c r="G292" s="133" t="n"/>
      <c r="H292" s="50" t="n"/>
      <c r="I292" s="51">
        <f>IF($C292="","",IFERROR(INDEX(WorkerIDs,MATCH($C292,WorkerNames,0)),"?"))</f>
        <v/>
      </c>
      <c r="J292" s="253">
        <f>IF($B292="","",$B292-WEEKDAY($B292,2)+1)</f>
        <v/>
      </c>
      <c r="K292" s="142">
        <f>IF(OR($I292="",$I292="?",$D292&lt;&gt;"Advance",$B292=""),"",$I292&amp;"|"&amp;$J292&amp;"|"&amp;COUNTIFS($I$7:$I292,$I292,$J$7:$J292,$J292,$D$7:$D292,"Advance"))</f>
        <v/>
      </c>
      <c r="L292" s="266">
        <f>IF(OR($I292="",$I292="?",$B292=""),"",SUMPRODUCT((Weeks!$A$7:$A$59&lt;=$J292)*(Weeks!$X$5:$AI$5=$I292)*Weeks!$X$7:$AI$59)-SUMIFS($E$7:$E$1006,$I$7:$I$1006,$I292,$B$7:$B$1006,"&lt;="&amp;$B292))</f>
        <v/>
      </c>
      <c r="M292" s="132">
        <f>IF($B292&amp;$C292&amp;$D292&amp;$E292="","",IF($B292="","missing date",IF($C292="","missing worker",IF($I292="?","unknown worker - was the name changed on Workers?",IF($D292="","missing type",IF(N($E292)=0,"missing amount",IF(AND($E292&lt;0,$D292&lt;&gt;"Correction"),"negative amount - use a Correction to undo",IF(OR($B292&lt;Weeks!$A$7,$B292&gt;Weeks!$B$59),"date outside this workbook's year",IF(AND($D292="Advance",N($L292)&lt;0),"Warning: more than earned so far - worker now owes "&amp;TEXT(ROUND(-$L292,0),"#,##0"),"")))))))))</f>
        <v/>
      </c>
      <c r="N292" s="125" t="n"/>
      <c r="O292" s="126" t="n"/>
      <c r="P292" s="126" t="n"/>
      <c r="Q292" s="126" t="n"/>
      <c r="R292" s="126" t="n"/>
      <c r="S292" s="126" t="n"/>
      <c r="T292" s="126" t="n"/>
      <c r="U292" s="126" t="n"/>
      <c r="V292" s="126" t="n"/>
      <c r="W292" s="126" t="n"/>
      <c r="X292" s="126" t="n"/>
      <c r="Y292" s="126" t="n"/>
      <c r="Z292" s="126" t="n"/>
      <c r="AA292" s="126" t="n"/>
      <c r="AB292" s="126" t="n"/>
      <c r="AC292" s="126" t="n"/>
      <c r="AD292" s="126" t="n"/>
      <c r="AE292" s="126" t="n"/>
      <c r="AF292" s="126" t="n"/>
      <c r="AG292" s="126" t="n"/>
      <c r="AH292" s="126" t="n"/>
      <c r="AI292" s="126" t="n"/>
      <c r="AJ292" s="126" t="n"/>
      <c r="AK292" s="126" t="n"/>
      <c r="AL292" s="126" t="n"/>
      <c r="AM292" s="126" t="n"/>
      <c r="AN292" s="126" t="n"/>
    </row>
    <row r="293" ht="21" customFormat="1" customHeight="1" s="127">
      <c r="A293" s="51">
        <f>IF($B293="","",ROW()-6)</f>
        <v/>
      </c>
      <c r="B293" s="268" t="n"/>
      <c r="C293" s="133" t="n"/>
      <c r="D293" s="50" t="n"/>
      <c r="E293" s="265" t="n"/>
      <c r="F293" s="133" t="n"/>
      <c r="G293" s="133" t="n"/>
      <c r="H293" s="50" t="n"/>
      <c r="I293" s="51">
        <f>IF($C293="","",IFERROR(INDEX(WorkerIDs,MATCH($C293,WorkerNames,0)),"?"))</f>
        <v/>
      </c>
      <c r="J293" s="253">
        <f>IF($B293="","",$B293-WEEKDAY($B293,2)+1)</f>
        <v/>
      </c>
      <c r="K293" s="142">
        <f>IF(OR($I293="",$I293="?",$D293&lt;&gt;"Advance",$B293=""),"",$I293&amp;"|"&amp;$J293&amp;"|"&amp;COUNTIFS($I$7:$I293,$I293,$J$7:$J293,$J293,$D$7:$D293,"Advance"))</f>
        <v/>
      </c>
      <c r="L293" s="266">
        <f>IF(OR($I293="",$I293="?",$B293=""),"",SUMPRODUCT((Weeks!$A$7:$A$59&lt;=$J293)*(Weeks!$X$5:$AI$5=$I293)*Weeks!$X$7:$AI$59)-SUMIFS($E$7:$E$1006,$I$7:$I$1006,$I293,$B$7:$B$1006,"&lt;="&amp;$B293))</f>
        <v/>
      </c>
      <c r="M293" s="132">
        <f>IF($B293&amp;$C293&amp;$D293&amp;$E293="","",IF($B293="","missing date",IF($C293="","missing worker",IF($I293="?","unknown worker - was the name changed on Workers?",IF($D293="","missing type",IF(N($E293)=0,"missing amount",IF(AND($E293&lt;0,$D293&lt;&gt;"Correction"),"negative amount - use a Correction to undo",IF(OR($B293&lt;Weeks!$A$7,$B293&gt;Weeks!$B$59),"date outside this workbook's year",IF(AND($D293="Advance",N($L293)&lt;0),"Warning: more than earned so far - worker now owes "&amp;TEXT(ROUND(-$L293,0),"#,##0"),"")))))))))</f>
        <v/>
      </c>
      <c r="N293" s="125" t="n"/>
      <c r="O293" s="126" t="n"/>
      <c r="P293" s="126" t="n"/>
      <c r="Q293" s="126" t="n"/>
      <c r="R293" s="126" t="n"/>
      <c r="S293" s="126" t="n"/>
      <c r="T293" s="126" t="n"/>
      <c r="U293" s="126" t="n"/>
      <c r="V293" s="126" t="n"/>
      <c r="W293" s="126" t="n"/>
      <c r="X293" s="126" t="n"/>
      <c r="Y293" s="126" t="n"/>
      <c r="Z293" s="126" t="n"/>
      <c r="AA293" s="126" t="n"/>
      <c r="AB293" s="126" t="n"/>
      <c r="AC293" s="126" t="n"/>
      <c r="AD293" s="126" t="n"/>
      <c r="AE293" s="126" t="n"/>
      <c r="AF293" s="126" t="n"/>
      <c r="AG293" s="126" t="n"/>
      <c r="AH293" s="126" t="n"/>
      <c r="AI293" s="126" t="n"/>
      <c r="AJ293" s="126" t="n"/>
      <c r="AK293" s="126" t="n"/>
      <c r="AL293" s="126" t="n"/>
      <c r="AM293" s="126" t="n"/>
      <c r="AN293" s="126" t="n"/>
    </row>
    <row r="294" ht="21" customFormat="1" customHeight="1" s="127">
      <c r="A294" s="51">
        <f>IF($B294="","",ROW()-6)</f>
        <v/>
      </c>
      <c r="B294" s="268" t="n"/>
      <c r="C294" s="133" t="n"/>
      <c r="D294" s="50" t="n"/>
      <c r="E294" s="265" t="n"/>
      <c r="F294" s="133" t="n"/>
      <c r="G294" s="133" t="n"/>
      <c r="H294" s="50" t="n"/>
      <c r="I294" s="51">
        <f>IF($C294="","",IFERROR(INDEX(WorkerIDs,MATCH($C294,WorkerNames,0)),"?"))</f>
        <v/>
      </c>
      <c r="J294" s="253">
        <f>IF($B294="","",$B294-WEEKDAY($B294,2)+1)</f>
        <v/>
      </c>
      <c r="K294" s="142">
        <f>IF(OR($I294="",$I294="?",$D294&lt;&gt;"Advance",$B294=""),"",$I294&amp;"|"&amp;$J294&amp;"|"&amp;COUNTIFS($I$7:$I294,$I294,$J$7:$J294,$J294,$D$7:$D294,"Advance"))</f>
        <v/>
      </c>
      <c r="L294" s="266">
        <f>IF(OR($I294="",$I294="?",$B294=""),"",SUMPRODUCT((Weeks!$A$7:$A$59&lt;=$J294)*(Weeks!$X$5:$AI$5=$I294)*Weeks!$X$7:$AI$59)-SUMIFS($E$7:$E$1006,$I$7:$I$1006,$I294,$B$7:$B$1006,"&lt;="&amp;$B294))</f>
        <v/>
      </c>
      <c r="M294" s="132">
        <f>IF($B294&amp;$C294&amp;$D294&amp;$E294="","",IF($B294="","missing date",IF($C294="","missing worker",IF($I294="?","unknown worker - was the name changed on Workers?",IF($D294="","missing type",IF(N($E294)=0,"missing amount",IF(AND($E294&lt;0,$D294&lt;&gt;"Correction"),"negative amount - use a Correction to undo",IF(OR($B294&lt;Weeks!$A$7,$B294&gt;Weeks!$B$59),"date outside this workbook's year",IF(AND($D294="Advance",N($L294)&lt;0),"Warning: more than earned so far - worker now owes "&amp;TEXT(ROUND(-$L294,0),"#,##0"),"")))))))))</f>
        <v/>
      </c>
      <c r="N294" s="125" t="n"/>
      <c r="O294" s="126" t="n"/>
      <c r="P294" s="126" t="n"/>
      <c r="Q294" s="126" t="n"/>
      <c r="R294" s="126" t="n"/>
      <c r="S294" s="126" t="n"/>
      <c r="T294" s="126" t="n"/>
      <c r="U294" s="126" t="n"/>
      <c r="V294" s="126" t="n"/>
      <c r="W294" s="126" t="n"/>
      <c r="X294" s="126" t="n"/>
      <c r="Y294" s="126" t="n"/>
      <c r="Z294" s="126" t="n"/>
      <c r="AA294" s="126" t="n"/>
      <c r="AB294" s="126" t="n"/>
      <c r="AC294" s="126" t="n"/>
      <c r="AD294" s="126" t="n"/>
      <c r="AE294" s="126" t="n"/>
      <c r="AF294" s="126" t="n"/>
      <c r="AG294" s="126" t="n"/>
      <c r="AH294" s="126" t="n"/>
      <c r="AI294" s="126" t="n"/>
      <c r="AJ294" s="126" t="n"/>
      <c r="AK294" s="126" t="n"/>
      <c r="AL294" s="126" t="n"/>
      <c r="AM294" s="126" t="n"/>
      <c r="AN294" s="126" t="n"/>
    </row>
    <row r="295" ht="21" customFormat="1" customHeight="1" s="127">
      <c r="A295" s="51">
        <f>IF($B295="","",ROW()-6)</f>
        <v/>
      </c>
      <c r="B295" s="268" t="n"/>
      <c r="C295" s="133" t="n"/>
      <c r="D295" s="50" t="n"/>
      <c r="E295" s="265" t="n"/>
      <c r="F295" s="133" t="n"/>
      <c r="G295" s="133" t="n"/>
      <c r="H295" s="50" t="n"/>
      <c r="I295" s="51">
        <f>IF($C295="","",IFERROR(INDEX(WorkerIDs,MATCH($C295,WorkerNames,0)),"?"))</f>
        <v/>
      </c>
      <c r="J295" s="253">
        <f>IF($B295="","",$B295-WEEKDAY($B295,2)+1)</f>
        <v/>
      </c>
      <c r="K295" s="142">
        <f>IF(OR($I295="",$I295="?",$D295&lt;&gt;"Advance",$B295=""),"",$I295&amp;"|"&amp;$J295&amp;"|"&amp;COUNTIFS($I$7:$I295,$I295,$J$7:$J295,$J295,$D$7:$D295,"Advance"))</f>
        <v/>
      </c>
      <c r="L295" s="266">
        <f>IF(OR($I295="",$I295="?",$B295=""),"",SUMPRODUCT((Weeks!$A$7:$A$59&lt;=$J295)*(Weeks!$X$5:$AI$5=$I295)*Weeks!$X$7:$AI$59)-SUMIFS($E$7:$E$1006,$I$7:$I$1006,$I295,$B$7:$B$1006,"&lt;="&amp;$B295))</f>
        <v/>
      </c>
      <c r="M295" s="132">
        <f>IF($B295&amp;$C295&amp;$D295&amp;$E295="","",IF($B295="","missing date",IF($C295="","missing worker",IF($I295="?","unknown worker - was the name changed on Workers?",IF($D295="","missing type",IF(N($E295)=0,"missing amount",IF(AND($E295&lt;0,$D295&lt;&gt;"Correction"),"negative amount - use a Correction to undo",IF(OR($B295&lt;Weeks!$A$7,$B295&gt;Weeks!$B$59),"date outside this workbook's year",IF(AND($D295="Advance",N($L295)&lt;0),"Warning: more than earned so far - worker now owes "&amp;TEXT(ROUND(-$L295,0),"#,##0"),"")))))))))</f>
        <v/>
      </c>
      <c r="N295" s="125" t="n"/>
      <c r="O295" s="126" t="n"/>
      <c r="P295" s="126" t="n"/>
      <c r="Q295" s="126" t="n"/>
      <c r="R295" s="126" t="n"/>
      <c r="S295" s="126" t="n"/>
      <c r="T295" s="126" t="n"/>
      <c r="U295" s="126" t="n"/>
      <c r="V295" s="126" t="n"/>
      <c r="W295" s="126" t="n"/>
      <c r="X295" s="126" t="n"/>
      <c r="Y295" s="126" t="n"/>
      <c r="Z295" s="126" t="n"/>
      <c r="AA295" s="126" t="n"/>
      <c r="AB295" s="126" t="n"/>
      <c r="AC295" s="126" t="n"/>
      <c r="AD295" s="126" t="n"/>
      <c r="AE295" s="126" t="n"/>
      <c r="AF295" s="126" t="n"/>
      <c r="AG295" s="126" t="n"/>
      <c r="AH295" s="126" t="n"/>
      <c r="AI295" s="126" t="n"/>
      <c r="AJ295" s="126" t="n"/>
      <c r="AK295" s="126" t="n"/>
      <c r="AL295" s="126" t="n"/>
      <c r="AM295" s="126" t="n"/>
      <c r="AN295" s="126" t="n"/>
    </row>
    <row r="296" ht="21" customFormat="1" customHeight="1" s="127">
      <c r="A296" s="51">
        <f>IF($B296="","",ROW()-6)</f>
        <v/>
      </c>
      <c r="B296" s="268" t="n"/>
      <c r="C296" s="133" t="n"/>
      <c r="D296" s="50" t="n"/>
      <c r="E296" s="265" t="n"/>
      <c r="F296" s="133" t="n"/>
      <c r="G296" s="133" t="n"/>
      <c r="H296" s="50" t="n"/>
      <c r="I296" s="51">
        <f>IF($C296="","",IFERROR(INDEX(WorkerIDs,MATCH($C296,WorkerNames,0)),"?"))</f>
        <v/>
      </c>
      <c r="J296" s="253">
        <f>IF($B296="","",$B296-WEEKDAY($B296,2)+1)</f>
        <v/>
      </c>
      <c r="K296" s="142">
        <f>IF(OR($I296="",$I296="?",$D296&lt;&gt;"Advance",$B296=""),"",$I296&amp;"|"&amp;$J296&amp;"|"&amp;COUNTIFS($I$7:$I296,$I296,$J$7:$J296,$J296,$D$7:$D296,"Advance"))</f>
        <v/>
      </c>
      <c r="L296" s="266">
        <f>IF(OR($I296="",$I296="?",$B296=""),"",SUMPRODUCT((Weeks!$A$7:$A$59&lt;=$J296)*(Weeks!$X$5:$AI$5=$I296)*Weeks!$X$7:$AI$59)-SUMIFS($E$7:$E$1006,$I$7:$I$1006,$I296,$B$7:$B$1006,"&lt;="&amp;$B296))</f>
        <v/>
      </c>
      <c r="M296" s="132">
        <f>IF($B296&amp;$C296&amp;$D296&amp;$E296="","",IF($B296="","missing date",IF($C296="","missing worker",IF($I296="?","unknown worker - was the name changed on Workers?",IF($D296="","missing type",IF(N($E296)=0,"missing amount",IF(AND($E296&lt;0,$D296&lt;&gt;"Correction"),"negative amount - use a Correction to undo",IF(OR($B296&lt;Weeks!$A$7,$B296&gt;Weeks!$B$59),"date outside this workbook's year",IF(AND($D296="Advance",N($L296)&lt;0),"Warning: more than earned so far - worker now owes "&amp;TEXT(ROUND(-$L296,0),"#,##0"),"")))))))))</f>
        <v/>
      </c>
      <c r="N296" s="125" t="n"/>
      <c r="O296" s="126" t="n"/>
      <c r="P296" s="126" t="n"/>
      <c r="Q296" s="126" t="n"/>
      <c r="R296" s="126" t="n"/>
      <c r="S296" s="126" t="n"/>
      <c r="T296" s="126" t="n"/>
      <c r="U296" s="126" t="n"/>
      <c r="V296" s="126" t="n"/>
      <c r="W296" s="126" t="n"/>
      <c r="X296" s="126" t="n"/>
      <c r="Y296" s="126" t="n"/>
      <c r="Z296" s="126" t="n"/>
      <c r="AA296" s="126" t="n"/>
      <c r="AB296" s="126" t="n"/>
      <c r="AC296" s="126" t="n"/>
      <c r="AD296" s="126" t="n"/>
      <c r="AE296" s="126" t="n"/>
      <c r="AF296" s="126" t="n"/>
      <c r="AG296" s="126" t="n"/>
      <c r="AH296" s="126" t="n"/>
      <c r="AI296" s="126" t="n"/>
      <c r="AJ296" s="126" t="n"/>
      <c r="AK296" s="126" t="n"/>
      <c r="AL296" s="126" t="n"/>
      <c r="AM296" s="126" t="n"/>
      <c r="AN296" s="126" t="n"/>
    </row>
    <row r="297" ht="21" customFormat="1" customHeight="1" s="127">
      <c r="A297" s="51">
        <f>IF($B297="","",ROW()-6)</f>
        <v/>
      </c>
      <c r="B297" s="268" t="n"/>
      <c r="C297" s="133" t="n"/>
      <c r="D297" s="50" t="n"/>
      <c r="E297" s="265" t="n"/>
      <c r="F297" s="133" t="n"/>
      <c r="G297" s="133" t="n"/>
      <c r="H297" s="50" t="n"/>
      <c r="I297" s="51">
        <f>IF($C297="","",IFERROR(INDEX(WorkerIDs,MATCH($C297,WorkerNames,0)),"?"))</f>
        <v/>
      </c>
      <c r="J297" s="253">
        <f>IF($B297="","",$B297-WEEKDAY($B297,2)+1)</f>
        <v/>
      </c>
      <c r="K297" s="142">
        <f>IF(OR($I297="",$I297="?",$D297&lt;&gt;"Advance",$B297=""),"",$I297&amp;"|"&amp;$J297&amp;"|"&amp;COUNTIFS($I$7:$I297,$I297,$J$7:$J297,$J297,$D$7:$D297,"Advance"))</f>
        <v/>
      </c>
      <c r="L297" s="266">
        <f>IF(OR($I297="",$I297="?",$B297=""),"",SUMPRODUCT((Weeks!$A$7:$A$59&lt;=$J297)*(Weeks!$X$5:$AI$5=$I297)*Weeks!$X$7:$AI$59)-SUMIFS($E$7:$E$1006,$I$7:$I$1006,$I297,$B$7:$B$1006,"&lt;="&amp;$B297))</f>
        <v/>
      </c>
      <c r="M297" s="132">
        <f>IF($B297&amp;$C297&amp;$D297&amp;$E297="","",IF($B297="","missing date",IF($C297="","missing worker",IF($I297="?","unknown worker - was the name changed on Workers?",IF($D297="","missing type",IF(N($E297)=0,"missing amount",IF(AND($E297&lt;0,$D297&lt;&gt;"Correction"),"negative amount - use a Correction to undo",IF(OR($B297&lt;Weeks!$A$7,$B297&gt;Weeks!$B$59),"date outside this workbook's year",IF(AND($D297="Advance",N($L297)&lt;0),"Warning: more than earned so far - worker now owes "&amp;TEXT(ROUND(-$L297,0),"#,##0"),"")))))))))</f>
        <v/>
      </c>
      <c r="N297" s="125" t="n"/>
      <c r="O297" s="126" t="n"/>
      <c r="P297" s="126" t="n"/>
      <c r="Q297" s="126" t="n"/>
      <c r="R297" s="126" t="n"/>
      <c r="S297" s="126" t="n"/>
      <c r="T297" s="126" t="n"/>
      <c r="U297" s="126" t="n"/>
      <c r="V297" s="126" t="n"/>
      <c r="W297" s="126" t="n"/>
      <c r="X297" s="126" t="n"/>
      <c r="Y297" s="126" t="n"/>
      <c r="Z297" s="126" t="n"/>
      <c r="AA297" s="126" t="n"/>
      <c r="AB297" s="126" t="n"/>
      <c r="AC297" s="126" t="n"/>
      <c r="AD297" s="126" t="n"/>
      <c r="AE297" s="126" t="n"/>
      <c r="AF297" s="126" t="n"/>
      <c r="AG297" s="126" t="n"/>
      <c r="AH297" s="126" t="n"/>
      <c r="AI297" s="126" t="n"/>
      <c r="AJ297" s="126" t="n"/>
      <c r="AK297" s="126" t="n"/>
      <c r="AL297" s="126" t="n"/>
      <c r="AM297" s="126" t="n"/>
      <c r="AN297" s="126" t="n"/>
    </row>
    <row r="298" ht="21" customFormat="1" customHeight="1" s="127">
      <c r="A298" s="51">
        <f>IF($B298="","",ROW()-6)</f>
        <v/>
      </c>
      <c r="B298" s="268" t="n"/>
      <c r="C298" s="133" t="n"/>
      <c r="D298" s="50" t="n"/>
      <c r="E298" s="265" t="n"/>
      <c r="F298" s="133" t="n"/>
      <c r="G298" s="133" t="n"/>
      <c r="H298" s="50" t="n"/>
      <c r="I298" s="51">
        <f>IF($C298="","",IFERROR(INDEX(WorkerIDs,MATCH($C298,WorkerNames,0)),"?"))</f>
        <v/>
      </c>
      <c r="J298" s="253">
        <f>IF($B298="","",$B298-WEEKDAY($B298,2)+1)</f>
        <v/>
      </c>
      <c r="K298" s="142">
        <f>IF(OR($I298="",$I298="?",$D298&lt;&gt;"Advance",$B298=""),"",$I298&amp;"|"&amp;$J298&amp;"|"&amp;COUNTIFS($I$7:$I298,$I298,$J$7:$J298,$J298,$D$7:$D298,"Advance"))</f>
        <v/>
      </c>
      <c r="L298" s="266">
        <f>IF(OR($I298="",$I298="?",$B298=""),"",SUMPRODUCT((Weeks!$A$7:$A$59&lt;=$J298)*(Weeks!$X$5:$AI$5=$I298)*Weeks!$X$7:$AI$59)-SUMIFS($E$7:$E$1006,$I$7:$I$1006,$I298,$B$7:$B$1006,"&lt;="&amp;$B298))</f>
        <v/>
      </c>
      <c r="M298" s="132">
        <f>IF($B298&amp;$C298&amp;$D298&amp;$E298="","",IF($B298="","missing date",IF($C298="","missing worker",IF($I298="?","unknown worker - was the name changed on Workers?",IF($D298="","missing type",IF(N($E298)=0,"missing amount",IF(AND($E298&lt;0,$D298&lt;&gt;"Correction"),"negative amount - use a Correction to undo",IF(OR($B298&lt;Weeks!$A$7,$B298&gt;Weeks!$B$59),"date outside this workbook's year",IF(AND($D298="Advance",N($L298)&lt;0),"Warning: more than earned so far - worker now owes "&amp;TEXT(ROUND(-$L298,0),"#,##0"),"")))))))))</f>
        <v/>
      </c>
      <c r="N298" s="125" t="n"/>
      <c r="O298" s="126" t="n"/>
      <c r="P298" s="126" t="n"/>
      <c r="Q298" s="126" t="n"/>
      <c r="R298" s="126" t="n"/>
      <c r="S298" s="126" t="n"/>
      <c r="T298" s="126" t="n"/>
      <c r="U298" s="126" t="n"/>
      <c r="V298" s="126" t="n"/>
      <c r="W298" s="126" t="n"/>
      <c r="X298" s="126" t="n"/>
      <c r="Y298" s="126" t="n"/>
      <c r="Z298" s="126" t="n"/>
      <c r="AA298" s="126" t="n"/>
      <c r="AB298" s="126" t="n"/>
      <c r="AC298" s="126" t="n"/>
      <c r="AD298" s="126" t="n"/>
      <c r="AE298" s="126" t="n"/>
      <c r="AF298" s="126" t="n"/>
      <c r="AG298" s="126" t="n"/>
      <c r="AH298" s="126" t="n"/>
      <c r="AI298" s="126" t="n"/>
      <c r="AJ298" s="126" t="n"/>
      <c r="AK298" s="126" t="n"/>
      <c r="AL298" s="126" t="n"/>
      <c r="AM298" s="126" t="n"/>
      <c r="AN298" s="126" t="n"/>
    </row>
    <row r="299" ht="21" customFormat="1" customHeight="1" s="127">
      <c r="A299" s="51">
        <f>IF($B299="","",ROW()-6)</f>
        <v/>
      </c>
      <c r="B299" s="268" t="n"/>
      <c r="C299" s="133" t="n"/>
      <c r="D299" s="50" t="n"/>
      <c r="E299" s="265" t="n"/>
      <c r="F299" s="133" t="n"/>
      <c r="G299" s="133" t="n"/>
      <c r="H299" s="50" t="n"/>
      <c r="I299" s="51">
        <f>IF($C299="","",IFERROR(INDEX(WorkerIDs,MATCH($C299,WorkerNames,0)),"?"))</f>
        <v/>
      </c>
      <c r="J299" s="253">
        <f>IF($B299="","",$B299-WEEKDAY($B299,2)+1)</f>
        <v/>
      </c>
      <c r="K299" s="142">
        <f>IF(OR($I299="",$I299="?",$D299&lt;&gt;"Advance",$B299=""),"",$I299&amp;"|"&amp;$J299&amp;"|"&amp;COUNTIFS($I$7:$I299,$I299,$J$7:$J299,$J299,$D$7:$D299,"Advance"))</f>
        <v/>
      </c>
      <c r="L299" s="266">
        <f>IF(OR($I299="",$I299="?",$B299=""),"",SUMPRODUCT((Weeks!$A$7:$A$59&lt;=$J299)*(Weeks!$X$5:$AI$5=$I299)*Weeks!$X$7:$AI$59)-SUMIFS($E$7:$E$1006,$I$7:$I$1006,$I299,$B$7:$B$1006,"&lt;="&amp;$B299))</f>
        <v/>
      </c>
      <c r="M299" s="132">
        <f>IF($B299&amp;$C299&amp;$D299&amp;$E299="","",IF($B299="","missing date",IF($C299="","missing worker",IF($I299="?","unknown worker - was the name changed on Workers?",IF($D299="","missing type",IF(N($E299)=0,"missing amount",IF(AND($E299&lt;0,$D299&lt;&gt;"Correction"),"negative amount - use a Correction to undo",IF(OR($B299&lt;Weeks!$A$7,$B299&gt;Weeks!$B$59),"date outside this workbook's year",IF(AND($D299="Advance",N($L299)&lt;0),"Warning: more than earned so far - worker now owes "&amp;TEXT(ROUND(-$L299,0),"#,##0"),"")))))))))</f>
        <v/>
      </c>
      <c r="N299" s="125" t="n"/>
      <c r="O299" s="126" t="n"/>
      <c r="P299" s="126" t="n"/>
      <c r="Q299" s="126" t="n"/>
      <c r="R299" s="126" t="n"/>
      <c r="S299" s="126" t="n"/>
      <c r="T299" s="126" t="n"/>
      <c r="U299" s="126" t="n"/>
      <c r="V299" s="126" t="n"/>
      <c r="W299" s="126" t="n"/>
      <c r="X299" s="126" t="n"/>
      <c r="Y299" s="126" t="n"/>
      <c r="Z299" s="126" t="n"/>
      <c r="AA299" s="126" t="n"/>
      <c r="AB299" s="126" t="n"/>
      <c r="AC299" s="126" t="n"/>
      <c r="AD299" s="126" t="n"/>
      <c r="AE299" s="126" t="n"/>
      <c r="AF299" s="126" t="n"/>
      <c r="AG299" s="126" t="n"/>
      <c r="AH299" s="126" t="n"/>
      <c r="AI299" s="126" t="n"/>
      <c r="AJ299" s="126" t="n"/>
      <c r="AK299" s="126" t="n"/>
      <c r="AL299" s="126" t="n"/>
      <c r="AM299" s="126" t="n"/>
      <c r="AN299" s="126" t="n"/>
    </row>
    <row r="300" ht="21" customFormat="1" customHeight="1" s="127">
      <c r="A300" s="51">
        <f>IF($B300="","",ROW()-6)</f>
        <v/>
      </c>
      <c r="B300" s="268" t="n"/>
      <c r="C300" s="133" t="n"/>
      <c r="D300" s="50" t="n"/>
      <c r="E300" s="265" t="n"/>
      <c r="F300" s="133" t="n"/>
      <c r="G300" s="133" t="n"/>
      <c r="H300" s="50" t="n"/>
      <c r="I300" s="51">
        <f>IF($C300="","",IFERROR(INDEX(WorkerIDs,MATCH($C300,WorkerNames,0)),"?"))</f>
        <v/>
      </c>
      <c r="J300" s="253">
        <f>IF($B300="","",$B300-WEEKDAY($B300,2)+1)</f>
        <v/>
      </c>
      <c r="K300" s="142">
        <f>IF(OR($I300="",$I300="?",$D300&lt;&gt;"Advance",$B300=""),"",$I300&amp;"|"&amp;$J300&amp;"|"&amp;COUNTIFS($I$7:$I300,$I300,$J$7:$J300,$J300,$D$7:$D300,"Advance"))</f>
        <v/>
      </c>
      <c r="L300" s="266">
        <f>IF(OR($I300="",$I300="?",$B300=""),"",SUMPRODUCT((Weeks!$A$7:$A$59&lt;=$J300)*(Weeks!$X$5:$AI$5=$I300)*Weeks!$X$7:$AI$59)-SUMIFS($E$7:$E$1006,$I$7:$I$1006,$I300,$B$7:$B$1006,"&lt;="&amp;$B300))</f>
        <v/>
      </c>
      <c r="M300" s="132">
        <f>IF($B300&amp;$C300&amp;$D300&amp;$E300="","",IF($B300="","missing date",IF($C300="","missing worker",IF($I300="?","unknown worker - was the name changed on Workers?",IF($D300="","missing type",IF(N($E300)=0,"missing amount",IF(AND($E300&lt;0,$D300&lt;&gt;"Correction"),"negative amount - use a Correction to undo",IF(OR($B300&lt;Weeks!$A$7,$B300&gt;Weeks!$B$59),"date outside this workbook's year",IF(AND($D300="Advance",N($L300)&lt;0),"Warning: more than earned so far - worker now owes "&amp;TEXT(ROUND(-$L300,0),"#,##0"),"")))))))))</f>
        <v/>
      </c>
      <c r="N300" s="125" t="n"/>
      <c r="O300" s="126" t="n"/>
      <c r="P300" s="126" t="n"/>
      <c r="Q300" s="126" t="n"/>
      <c r="R300" s="126" t="n"/>
      <c r="S300" s="126" t="n"/>
      <c r="T300" s="126" t="n"/>
      <c r="U300" s="126" t="n"/>
      <c r="V300" s="126" t="n"/>
      <c r="W300" s="126" t="n"/>
      <c r="X300" s="126" t="n"/>
      <c r="Y300" s="126" t="n"/>
      <c r="Z300" s="126" t="n"/>
      <c r="AA300" s="126" t="n"/>
      <c r="AB300" s="126" t="n"/>
      <c r="AC300" s="126" t="n"/>
      <c r="AD300" s="126" t="n"/>
      <c r="AE300" s="126" t="n"/>
      <c r="AF300" s="126" t="n"/>
      <c r="AG300" s="126" t="n"/>
      <c r="AH300" s="126" t="n"/>
      <c r="AI300" s="126" t="n"/>
      <c r="AJ300" s="126" t="n"/>
      <c r="AK300" s="126" t="n"/>
      <c r="AL300" s="126" t="n"/>
      <c r="AM300" s="126" t="n"/>
      <c r="AN300" s="126" t="n"/>
    </row>
    <row r="301" ht="21" customFormat="1" customHeight="1" s="127">
      <c r="A301" s="51">
        <f>IF($B301="","",ROW()-6)</f>
        <v/>
      </c>
      <c r="B301" s="268" t="n"/>
      <c r="C301" s="133" t="n"/>
      <c r="D301" s="50" t="n"/>
      <c r="E301" s="265" t="n"/>
      <c r="F301" s="133" t="n"/>
      <c r="G301" s="133" t="n"/>
      <c r="H301" s="50" t="n"/>
      <c r="I301" s="51">
        <f>IF($C301="","",IFERROR(INDEX(WorkerIDs,MATCH($C301,WorkerNames,0)),"?"))</f>
        <v/>
      </c>
      <c r="J301" s="253">
        <f>IF($B301="","",$B301-WEEKDAY($B301,2)+1)</f>
        <v/>
      </c>
      <c r="K301" s="142">
        <f>IF(OR($I301="",$I301="?",$D301&lt;&gt;"Advance",$B301=""),"",$I301&amp;"|"&amp;$J301&amp;"|"&amp;COUNTIFS($I$7:$I301,$I301,$J$7:$J301,$J301,$D$7:$D301,"Advance"))</f>
        <v/>
      </c>
      <c r="L301" s="266">
        <f>IF(OR($I301="",$I301="?",$B301=""),"",SUMPRODUCT((Weeks!$A$7:$A$59&lt;=$J301)*(Weeks!$X$5:$AI$5=$I301)*Weeks!$X$7:$AI$59)-SUMIFS($E$7:$E$1006,$I$7:$I$1006,$I301,$B$7:$B$1006,"&lt;="&amp;$B301))</f>
        <v/>
      </c>
      <c r="M301" s="132">
        <f>IF($B301&amp;$C301&amp;$D301&amp;$E301="","",IF($B301="","missing date",IF($C301="","missing worker",IF($I301="?","unknown worker - was the name changed on Workers?",IF($D301="","missing type",IF(N($E301)=0,"missing amount",IF(AND($E301&lt;0,$D301&lt;&gt;"Correction"),"negative amount - use a Correction to undo",IF(OR($B301&lt;Weeks!$A$7,$B301&gt;Weeks!$B$59),"date outside this workbook's year",IF(AND($D301="Advance",N($L301)&lt;0),"Warning: more than earned so far - worker now owes "&amp;TEXT(ROUND(-$L301,0),"#,##0"),"")))))))))</f>
        <v/>
      </c>
      <c r="N301" s="125" t="n"/>
      <c r="O301" s="126" t="n"/>
      <c r="P301" s="126" t="n"/>
      <c r="Q301" s="126" t="n"/>
      <c r="R301" s="126" t="n"/>
      <c r="S301" s="126" t="n"/>
      <c r="T301" s="126" t="n"/>
      <c r="U301" s="126" t="n"/>
      <c r="V301" s="126" t="n"/>
      <c r="W301" s="126" t="n"/>
      <c r="X301" s="126" t="n"/>
      <c r="Y301" s="126" t="n"/>
      <c r="Z301" s="126" t="n"/>
      <c r="AA301" s="126" t="n"/>
      <c r="AB301" s="126" t="n"/>
      <c r="AC301" s="126" t="n"/>
      <c r="AD301" s="126" t="n"/>
      <c r="AE301" s="126" t="n"/>
      <c r="AF301" s="126" t="n"/>
      <c r="AG301" s="126" t="n"/>
      <c r="AH301" s="126" t="n"/>
      <c r="AI301" s="126" t="n"/>
      <c r="AJ301" s="126" t="n"/>
      <c r="AK301" s="126" t="n"/>
      <c r="AL301" s="126" t="n"/>
      <c r="AM301" s="126" t="n"/>
      <c r="AN301" s="126" t="n"/>
    </row>
    <row r="302" ht="21" customFormat="1" customHeight="1" s="127">
      <c r="A302" s="51">
        <f>IF($B302="","",ROW()-6)</f>
        <v/>
      </c>
      <c r="B302" s="268" t="n"/>
      <c r="C302" s="133" t="n"/>
      <c r="D302" s="50" t="n"/>
      <c r="E302" s="265" t="n"/>
      <c r="F302" s="133" t="n"/>
      <c r="G302" s="133" t="n"/>
      <c r="H302" s="50" t="n"/>
      <c r="I302" s="51">
        <f>IF($C302="","",IFERROR(INDEX(WorkerIDs,MATCH($C302,WorkerNames,0)),"?"))</f>
        <v/>
      </c>
      <c r="J302" s="253">
        <f>IF($B302="","",$B302-WEEKDAY($B302,2)+1)</f>
        <v/>
      </c>
      <c r="K302" s="142">
        <f>IF(OR($I302="",$I302="?",$D302&lt;&gt;"Advance",$B302=""),"",$I302&amp;"|"&amp;$J302&amp;"|"&amp;COUNTIFS($I$7:$I302,$I302,$J$7:$J302,$J302,$D$7:$D302,"Advance"))</f>
        <v/>
      </c>
      <c r="L302" s="266">
        <f>IF(OR($I302="",$I302="?",$B302=""),"",SUMPRODUCT((Weeks!$A$7:$A$59&lt;=$J302)*(Weeks!$X$5:$AI$5=$I302)*Weeks!$X$7:$AI$59)-SUMIFS($E$7:$E$1006,$I$7:$I$1006,$I302,$B$7:$B$1006,"&lt;="&amp;$B302))</f>
        <v/>
      </c>
      <c r="M302" s="132">
        <f>IF($B302&amp;$C302&amp;$D302&amp;$E302="","",IF($B302="","missing date",IF($C302="","missing worker",IF($I302="?","unknown worker - was the name changed on Workers?",IF($D302="","missing type",IF(N($E302)=0,"missing amount",IF(AND($E302&lt;0,$D302&lt;&gt;"Correction"),"negative amount - use a Correction to undo",IF(OR($B302&lt;Weeks!$A$7,$B302&gt;Weeks!$B$59),"date outside this workbook's year",IF(AND($D302="Advance",N($L302)&lt;0),"Warning: more than earned so far - worker now owes "&amp;TEXT(ROUND(-$L302,0),"#,##0"),"")))))))))</f>
        <v/>
      </c>
      <c r="N302" s="125" t="n"/>
      <c r="O302" s="126" t="n"/>
      <c r="P302" s="126" t="n"/>
      <c r="Q302" s="126" t="n"/>
      <c r="R302" s="126" t="n"/>
      <c r="S302" s="126" t="n"/>
      <c r="T302" s="126" t="n"/>
      <c r="U302" s="126" t="n"/>
      <c r="V302" s="126" t="n"/>
      <c r="W302" s="126" t="n"/>
      <c r="X302" s="126" t="n"/>
      <c r="Y302" s="126" t="n"/>
      <c r="Z302" s="126" t="n"/>
      <c r="AA302" s="126" t="n"/>
      <c r="AB302" s="126" t="n"/>
      <c r="AC302" s="126" t="n"/>
      <c r="AD302" s="126" t="n"/>
      <c r="AE302" s="126" t="n"/>
      <c r="AF302" s="126" t="n"/>
      <c r="AG302" s="126" t="n"/>
      <c r="AH302" s="126" t="n"/>
      <c r="AI302" s="126" t="n"/>
      <c r="AJ302" s="126" t="n"/>
      <c r="AK302" s="126" t="n"/>
      <c r="AL302" s="126" t="n"/>
      <c r="AM302" s="126" t="n"/>
      <c r="AN302" s="126" t="n"/>
    </row>
    <row r="303" ht="21" customFormat="1" customHeight="1" s="127">
      <c r="A303" s="51">
        <f>IF($B303="","",ROW()-6)</f>
        <v/>
      </c>
      <c r="B303" s="268" t="n"/>
      <c r="C303" s="133" t="n"/>
      <c r="D303" s="50" t="n"/>
      <c r="E303" s="265" t="n"/>
      <c r="F303" s="133" t="n"/>
      <c r="G303" s="133" t="n"/>
      <c r="H303" s="50" t="n"/>
      <c r="I303" s="51">
        <f>IF($C303="","",IFERROR(INDEX(WorkerIDs,MATCH($C303,WorkerNames,0)),"?"))</f>
        <v/>
      </c>
      <c r="J303" s="253">
        <f>IF($B303="","",$B303-WEEKDAY($B303,2)+1)</f>
        <v/>
      </c>
      <c r="K303" s="142">
        <f>IF(OR($I303="",$I303="?",$D303&lt;&gt;"Advance",$B303=""),"",$I303&amp;"|"&amp;$J303&amp;"|"&amp;COUNTIFS($I$7:$I303,$I303,$J$7:$J303,$J303,$D$7:$D303,"Advance"))</f>
        <v/>
      </c>
      <c r="L303" s="266">
        <f>IF(OR($I303="",$I303="?",$B303=""),"",SUMPRODUCT((Weeks!$A$7:$A$59&lt;=$J303)*(Weeks!$X$5:$AI$5=$I303)*Weeks!$X$7:$AI$59)-SUMIFS($E$7:$E$1006,$I$7:$I$1006,$I303,$B$7:$B$1006,"&lt;="&amp;$B303))</f>
        <v/>
      </c>
      <c r="M303" s="132">
        <f>IF($B303&amp;$C303&amp;$D303&amp;$E303="","",IF($B303="","missing date",IF($C303="","missing worker",IF($I303="?","unknown worker - was the name changed on Workers?",IF($D303="","missing type",IF(N($E303)=0,"missing amount",IF(AND($E303&lt;0,$D303&lt;&gt;"Correction"),"negative amount - use a Correction to undo",IF(OR($B303&lt;Weeks!$A$7,$B303&gt;Weeks!$B$59),"date outside this workbook's year",IF(AND($D303="Advance",N($L303)&lt;0),"Warning: more than earned so far - worker now owes "&amp;TEXT(ROUND(-$L303,0),"#,##0"),"")))))))))</f>
        <v/>
      </c>
      <c r="N303" s="125" t="n"/>
      <c r="O303" s="126" t="n"/>
      <c r="P303" s="126" t="n"/>
      <c r="Q303" s="126" t="n"/>
      <c r="R303" s="126" t="n"/>
      <c r="S303" s="126" t="n"/>
      <c r="T303" s="126" t="n"/>
      <c r="U303" s="126" t="n"/>
      <c r="V303" s="126" t="n"/>
      <c r="W303" s="126" t="n"/>
      <c r="X303" s="126" t="n"/>
      <c r="Y303" s="126" t="n"/>
      <c r="Z303" s="126" t="n"/>
      <c r="AA303" s="126" t="n"/>
      <c r="AB303" s="126" t="n"/>
      <c r="AC303" s="126" t="n"/>
      <c r="AD303" s="126" t="n"/>
      <c r="AE303" s="126" t="n"/>
      <c r="AF303" s="126" t="n"/>
      <c r="AG303" s="126" t="n"/>
      <c r="AH303" s="126" t="n"/>
      <c r="AI303" s="126" t="n"/>
      <c r="AJ303" s="126" t="n"/>
      <c r="AK303" s="126" t="n"/>
      <c r="AL303" s="126" t="n"/>
      <c r="AM303" s="126" t="n"/>
      <c r="AN303" s="126" t="n"/>
    </row>
    <row r="304" ht="21" customFormat="1" customHeight="1" s="127">
      <c r="A304" s="51">
        <f>IF($B304="","",ROW()-6)</f>
        <v/>
      </c>
      <c r="B304" s="268" t="n"/>
      <c r="C304" s="133" t="n"/>
      <c r="D304" s="50" t="n"/>
      <c r="E304" s="265" t="n"/>
      <c r="F304" s="133" t="n"/>
      <c r="G304" s="133" t="n"/>
      <c r="H304" s="50" t="n"/>
      <c r="I304" s="51">
        <f>IF($C304="","",IFERROR(INDEX(WorkerIDs,MATCH($C304,WorkerNames,0)),"?"))</f>
        <v/>
      </c>
      <c r="J304" s="253">
        <f>IF($B304="","",$B304-WEEKDAY($B304,2)+1)</f>
        <v/>
      </c>
      <c r="K304" s="142">
        <f>IF(OR($I304="",$I304="?",$D304&lt;&gt;"Advance",$B304=""),"",$I304&amp;"|"&amp;$J304&amp;"|"&amp;COUNTIFS($I$7:$I304,$I304,$J$7:$J304,$J304,$D$7:$D304,"Advance"))</f>
        <v/>
      </c>
      <c r="L304" s="266">
        <f>IF(OR($I304="",$I304="?",$B304=""),"",SUMPRODUCT((Weeks!$A$7:$A$59&lt;=$J304)*(Weeks!$X$5:$AI$5=$I304)*Weeks!$X$7:$AI$59)-SUMIFS($E$7:$E$1006,$I$7:$I$1006,$I304,$B$7:$B$1006,"&lt;="&amp;$B304))</f>
        <v/>
      </c>
      <c r="M304" s="132">
        <f>IF($B304&amp;$C304&amp;$D304&amp;$E304="","",IF($B304="","missing date",IF($C304="","missing worker",IF($I304="?","unknown worker - was the name changed on Workers?",IF($D304="","missing type",IF(N($E304)=0,"missing amount",IF(AND($E304&lt;0,$D304&lt;&gt;"Correction"),"negative amount - use a Correction to undo",IF(OR($B304&lt;Weeks!$A$7,$B304&gt;Weeks!$B$59),"date outside this workbook's year",IF(AND($D304="Advance",N($L304)&lt;0),"Warning: more than earned so far - worker now owes "&amp;TEXT(ROUND(-$L304,0),"#,##0"),"")))))))))</f>
        <v/>
      </c>
      <c r="N304" s="125" t="n"/>
      <c r="O304" s="126" t="n"/>
      <c r="P304" s="126" t="n"/>
      <c r="Q304" s="126" t="n"/>
      <c r="R304" s="126" t="n"/>
      <c r="S304" s="126" t="n"/>
      <c r="T304" s="126" t="n"/>
      <c r="U304" s="126" t="n"/>
      <c r="V304" s="126" t="n"/>
      <c r="W304" s="126" t="n"/>
      <c r="X304" s="126" t="n"/>
      <c r="Y304" s="126" t="n"/>
      <c r="Z304" s="126" t="n"/>
      <c r="AA304" s="126" t="n"/>
      <c r="AB304" s="126" t="n"/>
      <c r="AC304" s="126" t="n"/>
      <c r="AD304" s="126" t="n"/>
      <c r="AE304" s="126" t="n"/>
      <c r="AF304" s="126" t="n"/>
      <c r="AG304" s="126" t="n"/>
      <c r="AH304" s="126" t="n"/>
      <c r="AI304" s="126" t="n"/>
      <c r="AJ304" s="126" t="n"/>
      <c r="AK304" s="126" t="n"/>
      <c r="AL304" s="126" t="n"/>
      <c r="AM304" s="126" t="n"/>
      <c r="AN304" s="126" t="n"/>
    </row>
    <row r="305" ht="21" customFormat="1" customHeight="1" s="127">
      <c r="A305" s="51">
        <f>IF($B305="","",ROW()-6)</f>
        <v/>
      </c>
      <c r="B305" s="268" t="n"/>
      <c r="C305" s="133" t="n"/>
      <c r="D305" s="50" t="n"/>
      <c r="E305" s="265" t="n"/>
      <c r="F305" s="133" t="n"/>
      <c r="G305" s="133" t="n"/>
      <c r="H305" s="50" t="n"/>
      <c r="I305" s="51">
        <f>IF($C305="","",IFERROR(INDEX(WorkerIDs,MATCH($C305,WorkerNames,0)),"?"))</f>
        <v/>
      </c>
      <c r="J305" s="253">
        <f>IF($B305="","",$B305-WEEKDAY($B305,2)+1)</f>
        <v/>
      </c>
      <c r="K305" s="142">
        <f>IF(OR($I305="",$I305="?",$D305&lt;&gt;"Advance",$B305=""),"",$I305&amp;"|"&amp;$J305&amp;"|"&amp;COUNTIFS($I$7:$I305,$I305,$J$7:$J305,$J305,$D$7:$D305,"Advance"))</f>
        <v/>
      </c>
      <c r="L305" s="266">
        <f>IF(OR($I305="",$I305="?",$B305=""),"",SUMPRODUCT((Weeks!$A$7:$A$59&lt;=$J305)*(Weeks!$X$5:$AI$5=$I305)*Weeks!$X$7:$AI$59)-SUMIFS($E$7:$E$1006,$I$7:$I$1006,$I305,$B$7:$B$1006,"&lt;="&amp;$B305))</f>
        <v/>
      </c>
      <c r="M305" s="132">
        <f>IF($B305&amp;$C305&amp;$D305&amp;$E305="","",IF($B305="","missing date",IF($C305="","missing worker",IF($I305="?","unknown worker - was the name changed on Workers?",IF($D305="","missing type",IF(N($E305)=0,"missing amount",IF(AND($E305&lt;0,$D305&lt;&gt;"Correction"),"negative amount - use a Correction to undo",IF(OR($B305&lt;Weeks!$A$7,$B305&gt;Weeks!$B$59),"date outside this workbook's year",IF(AND($D305="Advance",N($L305)&lt;0),"Warning: more than earned so far - worker now owes "&amp;TEXT(ROUND(-$L305,0),"#,##0"),"")))))))))</f>
        <v/>
      </c>
      <c r="N305" s="125" t="n"/>
      <c r="O305" s="126" t="n"/>
      <c r="P305" s="126" t="n"/>
      <c r="Q305" s="126" t="n"/>
      <c r="R305" s="126" t="n"/>
      <c r="S305" s="126" t="n"/>
      <c r="T305" s="126" t="n"/>
      <c r="U305" s="126" t="n"/>
      <c r="V305" s="126" t="n"/>
      <c r="W305" s="126" t="n"/>
      <c r="X305" s="126" t="n"/>
      <c r="Y305" s="126" t="n"/>
      <c r="Z305" s="126" t="n"/>
      <c r="AA305" s="126" t="n"/>
      <c r="AB305" s="126" t="n"/>
      <c r="AC305" s="126" t="n"/>
      <c r="AD305" s="126" t="n"/>
      <c r="AE305" s="126" t="n"/>
      <c r="AF305" s="126" t="n"/>
      <c r="AG305" s="126" t="n"/>
      <c r="AH305" s="126" t="n"/>
      <c r="AI305" s="126" t="n"/>
      <c r="AJ305" s="126" t="n"/>
      <c r="AK305" s="126" t="n"/>
      <c r="AL305" s="126" t="n"/>
      <c r="AM305" s="126" t="n"/>
      <c r="AN305" s="126" t="n"/>
    </row>
    <row r="306" ht="21" customFormat="1" customHeight="1" s="127">
      <c r="A306" s="51">
        <f>IF($B306="","",ROW()-6)</f>
        <v/>
      </c>
      <c r="B306" s="268" t="n"/>
      <c r="C306" s="133" t="n"/>
      <c r="D306" s="50" t="n"/>
      <c r="E306" s="265" t="n"/>
      <c r="F306" s="133" t="n"/>
      <c r="G306" s="133" t="n"/>
      <c r="H306" s="50" t="n"/>
      <c r="I306" s="51">
        <f>IF($C306="","",IFERROR(INDEX(WorkerIDs,MATCH($C306,WorkerNames,0)),"?"))</f>
        <v/>
      </c>
      <c r="J306" s="253">
        <f>IF($B306="","",$B306-WEEKDAY($B306,2)+1)</f>
        <v/>
      </c>
      <c r="K306" s="142">
        <f>IF(OR($I306="",$I306="?",$D306&lt;&gt;"Advance",$B306=""),"",$I306&amp;"|"&amp;$J306&amp;"|"&amp;COUNTIFS($I$7:$I306,$I306,$J$7:$J306,$J306,$D$7:$D306,"Advance"))</f>
        <v/>
      </c>
      <c r="L306" s="266">
        <f>IF(OR($I306="",$I306="?",$B306=""),"",SUMPRODUCT((Weeks!$A$7:$A$59&lt;=$J306)*(Weeks!$X$5:$AI$5=$I306)*Weeks!$X$7:$AI$59)-SUMIFS($E$7:$E$1006,$I$7:$I$1006,$I306,$B$7:$B$1006,"&lt;="&amp;$B306))</f>
        <v/>
      </c>
      <c r="M306" s="132">
        <f>IF($B306&amp;$C306&amp;$D306&amp;$E306="","",IF($B306="","missing date",IF($C306="","missing worker",IF($I306="?","unknown worker - was the name changed on Workers?",IF($D306="","missing type",IF(N($E306)=0,"missing amount",IF(AND($E306&lt;0,$D306&lt;&gt;"Correction"),"negative amount - use a Correction to undo",IF(OR($B306&lt;Weeks!$A$7,$B306&gt;Weeks!$B$59),"date outside this workbook's year",IF(AND($D306="Advance",N($L306)&lt;0),"Warning: more than earned so far - worker now owes "&amp;TEXT(ROUND(-$L306,0),"#,##0"),"")))))))))</f>
        <v/>
      </c>
      <c r="N306" s="125" t="n"/>
      <c r="O306" s="126" t="n"/>
      <c r="P306" s="126" t="n"/>
      <c r="Q306" s="126" t="n"/>
      <c r="R306" s="126" t="n"/>
      <c r="S306" s="126" t="n"/>
      <c r="T306" s="126" t="n"/>
      <c r="U306" s="126" t="n"/>
      <c r="V306" s="126" t="n"/>
      <c r="W306" s="126" t="n"/>
      <c r="X306" s="126" t="n"/>
      <c r="Y306" s="126" t="n"/>
      <c r="Z306" s="126" t="n"/>
      <c r="AA306" s="126" t="n"/>
      <c r="AB306" s="126" t="n"/>
      <c r="AC306" s="126" t="n"/>
      <c r="AD306" s="126" t="n"/>
      <c r="AE306" s="126" t="n"/>
      <c r="AF306" s="126" t="n"/>
      <c r="AG306" s="126" t="n"/>
      <c r="AH306" s="126" t="n"/>
      <c r="AI306" s="126" t="n"/>
      <c r="AJ306" s="126" t="n"/>
      <c r="AK306" s="126" t="n"/>
      <c r="AL306" s="126" t="n"/>
      <c r="AM306" s="126" t="n"/>
      <c r="AN306" s="126" t="n"/>
    </row>
    <row r="307" ht="21" customFormat="1" customHeight="1" s="127">
      <c r="A307" s="51">
        <f>IF($B307="","",ROW()-6)</f>
        <v/>
      </c>
      <c r="B307" s="268" t="n"/>
      <c r="C307" s="133" t="n"/>
      <c r="D307" s="50" t="n"/>
      <c r="E307" s="265" t="n"/>
      <c r="F307" s="133" t="n"/>
      <c r="G307" s="133" t="n"/>
      <c r="H307" s="50" t="n"/>
      <c r="I307" s="51">
        <f>IF($C307="","",IFERROR(INDEX(WorkerIDs,MATCH($C307,WorkerNames,0)),"?"))</f>
        <v/>
      </c>
      <c r="J307" s="253">
        <f>IF($B307="","",$B307-WEEKDAY($B307,2)+1)</f>
        <v/>
      </c>
      <c r="K307" s="142">
        <f>IF(OR($I307="",$I307="?",$D307&lt;&gt;"Advance",$B307=""),"",$I307&amp;"|"&amp;$J307&amp;"|"&amp;COUNTIFS($I$7:$I307,$I307,$J$7:$J307,$J307,$D$7:$D307,"Advance"))</f>
        <v/>
      </c>
      <c r="L307" s="266">
        <f>IF(OR($I307="",$I307="?",$B307=""),"",SUMPRODUCT((Weeks!$A$7:$A$59&lt;=$J307)*(Weeks!$X$5:$AI$5=$I307)*Weeks!$X$7:$AI$59)-SUMIFS($E$7:$E$1006,$I$7:$I$1006,$I307,$B$7:$B$1006,"&lt;="&amp;$B307))</f>
        <v/>
      </c>
      <c r="M307" s="132">
        <f>IF($B307&amp;$C307&amp;$D307&amp;$E307="","",IF($B307="","missing date",IF($C307="","missing worker",IF($I307="?","unknown worker - was the name changed on Workers?",IF($D307="","missing type",IF(N($E307)=0,"missing amount",IF(AND($E307&lt;0,$D307&lt;&gt;"Correction"),"negative amount - use a Correction to undo",IF(OR($B307&lt;Weeks!$A$7,$B307&gt;Weeks!$B$59),"date outside this workbook's year",IF(AND($D307="Advance",N($L307)&lt;0),"Warning: more than earned so far - worker now owes "&amp;TEXT(ROUND(-$L307,0),"#,##0"),"")))))))))</f>
        <v/>
      </c>
      <c r="N307" s="125" t="n"/>
      <c r="O307" s="126" t="n"/>
      <c r="P307" s="126" t="n"/>
      <c r="Q307" s="126" t="n"/>
      <c r="R307" s="126" t="n"/>
      <c r="S307" s="126" t="n"/>
      <c r="T307" s="126" t="n"/>
      <c r="U307" s="126" t="n"/>
      <c r="V307" s="126" t="n"/>
      <c r="W307" s="126" t="n"/>
      <c r="X307" s="126" t="n"/>
      <c r="Y307" s="126" t="n"/>
      <c r="Z307" s="126" t="n"/>
      <c r="AA307" s="126" t="n"/>
      <c r="AB307" s="126" t="n"/>
      <c r="AC307" s="126" t="n"/>
      <c r="AD307" s="126" t="n"/>
      <c r="AE307" s="126" t="n"/>
      <c r="AF307" s="126" t="n"/>
      <c r="AG307" s="126" t="n"/>
      <c r="AH307" s="126" t="n"/>
      <c r="AI307" s="126" t="n"/>
      <c r="AJ307" s="126" t="n"/>
      <c r="AK307" s="126" t="n"/>
      <c r="AL307" s="126" t="n"/>
      <c r="AM307" s="126" t="n"/>
      <c r="AN307" s="126" t="n"/>
    </row>
    <row r="308" ht="21" customFormat="1" customHeight="1" s="127">
      <c r="A308" s="51">
        <f>IF($B308="","",ROW()-6)</f>
        <v/>
      </c>
      <c r="B308" s="268" t="n"/>
      <c r="C308" s="133" t="n"/>
      <c r="D308" s="50" t="n"/>
      <c r="E308" s="265" t="n"/>
      <c r="F308" s="133" t="n"/>
      <c r="G308" s="133" t="n"/>
      <c r="H308" s="50" t="n"/>
      <c r="I308" s="51">
        <f>IF($C308="","",IFERROR(INDEX(WorkerIDs,MATCH($C308,WorkerNames,0)),"?"))</f>
        <v/>
      </c>
      <c r="J308" s="253">
        <f>IF($B308="","",$B308-WEEKDAY($B308,2)+1)</f>
        <v/>
      </c>
      <c r="K308" s="142">
        <f>IF(OR($I308="",$I308="?",$D308&lt;&gt;"Advance",$B308=""),"",$I308&amp;"|"&amp;$J308&amp;"|"&amp;COUNTIFS($I$7:$I308,$I308,$J$7:$J308,$J308,$D$7:$D308,"Advance"))</f>
        <v/>
      </c>
      <c r="L308" s="266">
        <f>IF(OR($I308="",$I308="?",$B308=""),"",SUMPRODUCT((Weeks!$A$7:$A$59&lt;=$J308)*(Weeks!$X$5:$AI$5=$I308)*Weeks!$X$7:$AI$59)-SUMIFS($E$7:$E$1006,$I$7:$I$1006,$I308,$B$7:$B$1006,"&lt;="&amp;$B308))</f>
        <v/>
      </c>
      <c r="M308" s="132">
        <f>IF($B308&amp;$C308&amp;$D308&amp;$E308="","",IF($B308="","missing date",IF($C308="","missing worker",IF($I308="?","unknown worker - was the name changed on Workers?",IF($D308="","missing type",IF(N($E308)=0,"missing amount",IF(AND($E308&lt;0,$D308&lt;&gt;"Correction"),"negative amount - use a Correction to undo",IF(OR($B308&lt;Weeks!$A$7,$B308&gt;Weeks!$B$59),"date outside this workbook's year",IF(AND($D308="Advance",N($L308)&lt;0),"Warning: more than earned so far - worker now owes "&amp;TEXT(ROUND(-$L308,0),"#,##0"),"")))))))))</f>
        <v/>
      </c>
      <c r="N308" s="125" t="n"/>
      <c r="O308" s="126" t="n"/>
      <c r="P308" s="126" t="n"/>
      <c r="Q308" s="126" t="n"/>
      <c r="R308" s="126" t="n"/>
      <c r="S308" s="126" t="n"/>
      <c r="T308" s="126" t="n"/>
      <c r="U308" s="126" t="n"/>
      <c r="V308" s="126" t="n"/>
      <c r="W308" s="126" t="n"/>
      <c r="X308" s="126" t="n"/>
      <c r="Y308" s="126" t="n"/>
      <c r="Z308" s="126" t="n"/>
      <c r="AA308" s="126" t="n"/>
      <c r="AB308" s="126" t="n"/>
      <c r="AC308" s="126" t="n"/>
      <c r="AD308" s="126" t="n"/>
      <c r="AE308" s="126" t="n"/>
      <c r="AF308" s="126" t="n"/>
      <c r="AG308" s="126" t="n"/>
      <c r="AH308" s="126" t="n"/>
      <c r="AI308" s="126" t="n"/>
      <c r="AJ308" s="126" t="n"/>
      <c r="AK308" s="126" t="n"/>
      <c r="AL308" s="126" t="n"/>
      <c r="AM308" s="126" t="n"/>
      <c r="AN308" s="126" t="n"/>
    </row>
    <row r="309" ht="21" customFormat="1" customHeight="1" s="127">
      <c r="A309" s="51">
        <f>IF($B309="","",ROW()-6)</f>
        <v/>
      </c>
      <c r="B309" s="268" t="n"/>
      <c r="C309" s="133" t="n"/>
      <c r="D309" s="50" t="n"/>
      <c r="E309" s="265" t="n"/>
      <c r="F309" s="133" t="n"/>
      <c r="G309" s="133" t="n"/>
      <c r="H309" s="50" t="n"/>
      <c r="I309" s="51">
        <f>IF($C309="","",IFERROR(INDEX(WorkerIDs,MATCH($C309,WorkerNames,0)),"?"))</f>
        <v/>
      </c>
      <c r="J309" s="253">
        <f>IF($B309="","",$B309-WEEKDAY($B309,2)+1)</f>
        <v/>
      </c>
      <c r="K309" s="142">
        <f>IF(OR($I309="",$I309="?",$D309&lt;&gt;"Advance",$B309=""),"",$I309&amp;"|"&amp;$J309&amp;"|"&amp;COUNTIFS($I$7:$I309,$I309,$J$7:$J309,$J309,$D$7:$D309,"Advance"))</f>
        <v/>
      </c>
      <c r="L309" s="266">
        <f>IF(OR($I309="",$I309="?",$B309=""),"",SUMPRODUCT((Weeks!$A$7:$A$59&lt;=$J309)*(Weeks!$X$5:$AI$5=$I309)*Weeks!$X$7:$AI$59)-SUMIFS($E$7:$E$1006,$I$7:$I$1006,$I309,$B$7:$B$1006,"&lt;="&amp;$B309))</f>
        <v/>
      </c>
      <c r="M309" s="132">
        <f>IF($B309&amp;$C309&amp;$D309&amp;$E309="","",IF($B309="","missing date",IF($C309="","missing worker",IF($I309="?","unknown worker - was the name changed on Workers?",IF($D309="","missing type",IF(N($E309)=0,"missing amount",IF(AND($E309&lt;0,$D309&lt;&gt;"Correction"),"negative amount - use a Correction to undo",IF(OR($B309&lt;Weeks!$A$7,$B309&gt;Weeks!$B$59),"date outside this workbook's year",IF(AND($D309="Advance",N($L309)&lt;0),"Warning: more than earned so far - worker now owes "&amp;TEXT(ROUND(-$L309,0),"#,##0"),"")))))))))</f>
        <v/>
      </c>
      <c r="N309" s="125" t="n"/>
      <c r="O309" s="126" t="n"/>
      <c r="P309" s="126" t="n"/>
      <c r="Q309" s="126" t="n"/>
      <c r="R309" s="126" t="n"/>
      <c r="S309" s="126" t="n"/>
      <c r="T309" s="126" t="n"/>
      <c r="U309" s="126" t="n"/>
      <c r="V309" s="126" t="n"/>
      <c r="W309" s="126" t="n"/>
      <c r="X309" s="126" t="n"/>
      <c r="Y309" s="126" t="n"/>
      <c r="Z309" s="126" t="n"/>
      <c r="AA309" s="126" t="n"/>
      <c r="AB309" s="126" t="n"/>
      <c r="AC309" s="126" t="n"/>
      <c r="AD309" s="126" t="n"/>
      <c r="AE309" s="126" t="n"/>
      <c r="AF309" s="126" t="n"/>
      <c r="AG309" s="126" t="n"/>
      <c r="AH309" s="126" t="n"/>
      <c r="AI309" s="126" t="n"/>
      <c r="AJ309" s="126" t="n"/>
      <c r="AK309" s="126" t="n"/>
      <c r="AL309" s="126" t="n"/>
      <c r="AM309" s="126" t="n"/>
      <c r="AN309" s="126" t="n"/>
    </row>
    <row r="310" ht="21" customFormat="1" customHeight="1" s="127">
      <c r="A310" s="51">
        <f>IF($B310="","",ROW()-6)</f>
        <v/>
      </c>
      <c r="B310" s="268" t="n"/>
      <c r="C310" s="133" t="n"/>
      <c r="D310" s="50" t="n"/>
      <c r="E310" s="265" t="n"/>
      <c r="F310" s="133" t="n"/>
      <c r="G310" s="133" t="n"/>
      <c r="H310" s="50" t="n"/>
      <c r="I310" s="51">
        <f>IF($C310="","",IFERROR(INDEX(WorkerIDs,MATCH($C310,WorkerNames,0)),"?"))</f>
        <v/>
      </c>
      <c r="J310" s="253">
        <f>IF($B310="","",$B310-WEEKDAY($B310,2)+1)</f>
        <v/>
      </c>
      <c r="K310" s="142">
        <f>IF(OR($I310="",$I310="?",$D310&lt;&gt;"Advance",$B310=""),"",$I310&amp;"|"&amp;$J310&amp;"|"&amp;COUNTIFS($I$7:$I310,$I310,$J$7:$J310,$J310,$D$7:$D310,"Advance"))</f>
        <v/>
      </c>
      <c r="L310" s="266">
        <f>IF(OR($I310="",$I310="?",$B310=""),"",SUMPRODUCT((Weeks!$A$7:$A$59&lt;=$J310)*(Weeks!$X$5:$AI$5=$I310)*Weeks!$X$7:$AI$59)-SUMIFS($E$7:$E$1006,$I$7:$I$1006,$I310,$B$7:$B$1006,"&lt;="&amp;$B310))</f>
        <v/>
      </c>
      <c r="M310" s="132">
        <f>IF($B310&amp;$C310&amp;$D310&amp;$E310="","",IF($B310="","missing date",IF($C310="","missing worker",IF($I310="?","unknown worker - was the name changed on Workers?",IF($D310="","missing type",IF(N($E310)=0,"missing amount",IF(AND($E310&lt;0,$D310&lt;&gt;"Correction"),"negative amount - use a Correction to undo",IF(OR($B310&lt;Weeks!$A$7,$B310&gt;Weeks!$B$59),"date outside this workbook's year",IF(AND($D310="Advance",N($L310)&lt;0),"Warning: more than earned so far - worker now owes "&amp;TEXT(ROUND(-$L310,0),"#,##0"),"")))))))))</f>
        <v/>
      </c>
      <c r="N310" s="125" t="n"/>
      <c r="O310" s="126" t="n"/>
      <c r="P310" s="126" t="n"/>
      <c r="Q310" s="126" t="n"/>
      <c r="R310" s="126" t="n"/>
      <c r="S310" s="126" t="n"/>
      <c r="T310" s="126" t="n"/>
      <c r="U310" s="126" t="n"/>
      <c r="V310" s="126" t="n"/>
      <c r="W310" s="126" t="n"/>
      <c r="X310" s="126" t="n"/>
      <c r="Y310" s="126" t="n"/>
      <c r="Z310" s="126" t="n"/>
      <c r="AA310" s="126" t="n"/>
      <c r="AB310" s="126" t="n"/>
      <c r="AC310" s="126" t="n"/>
      <c r="AD310" s="126" t="n"/>
      <c r="AE310" s="126" t="n"/>
      <c r="AF310" s="126" t="n"/>
      <c r="AG310" s="126" t="n"/>
      <c r="AH310" s="126" t="n"/>
      <c r="AI310" s="126" t="n"/>
      <c r="AJ310" s="126" t="n"/>
      <c r="AK310" s="126" t="n"/>
      <c r="AL310" s="126" t="n"/>
      <c r="AM310" s="126" t="n"/>
      <c r="AN310" s="126" t="n"/>
    </row>
    <row r="311" ht="21" customFormat="1" customHeight="1" s="127">
      <c r="A311" s="51">
        <f>IF($B311="","",ROW()-6)</f>
        <v/>
      </c>
      <c r="B311" s="268" t="n"/>
      <c r="C311" s="133" t="n"/>
      <c r="D311" s="50" t="n"/>
      <c r="E311" s="265" t="n"/>
      <c r="F311" s="133" t="n"/>
      <c r="G311" s="133" t="n"/>
      <c r="H311" s="50" t="n"/>
      <c r="I311" s="51">
        <f>IF($C311="","",IFERROR(INDEX(WorkerIDs,MATCH($C311,WorkerNames,0)),"?"))</f>
        <v/>
      </c>
      <c r="J311" s="253">
        <f>IF($B311="","",$B311-WEEKDAY($B311,2)+1)</f>
        <v/>
      </c>
      <c r="K311" s="142">
        <f>IF(OR($I311="",$I311="?",$D311&lt;&gt;"Advance",$B311=""),"",$I311&amp;"|"&amp;$J311&amp;"|"&amp;COUNTIFS($I$7:$I311,$I311,$J$7:$J311,$J311,$D$7:$D311,"Advance"))</f>
        <v/>
      </c>
      <c r="L311" s="266">
        <f>IF(OR($I311="",$I311="?",$B311=""),"",SUMPRODUCT((Weeks!$A$7:$A$59&lt;=$J311)*(Weeks!$X$5:$AI$5=$I311)*Weeks!$X$7:$AI$59)-SUMIFS($E$7:$E$1006,$I$7:$I$1006,$I311,$B$7:$B$1006,"&lt;="&amp;$B311))</f>
        <v/>
      </c>
      <c r="M311" s="132">
        <f>IF($B311&amp;$C311&amp;$D311&amp;$E311="","",IF($B311="","missing date",IF($C311="","missing worker",IF($I311="?","unknown worker - was the name changed on Workers?",IF($D311="","missing type",IF(N($E311)=0,"missing amount",IF(AND($E311&lt;0,$D311&lt;&gt;"Correction"),"negative amount - use a Correction to undo",IF(OR($B311&lt;Weeks!$A$7,$B311&gt;Weeks!$B$59),"date outside this workbook's year",IF(AND($D311="Advance",N($L311)&lt;0),"Warning: more than earned so far - worker now owes "&amp;TEXT(ROUND(-$L311,0),"#,##0"),"")))))))))</f>
        <v/>
      </c>
      <c r="N311" s="125" t="n"/>
      <c r="O311" s="126" t="n"/>
      <c r="P311" s="126" t="n"/>
      <c r="Q311" s="126" t="n"/>
      <c r="R311" s="126" t="n"/>
      <c r="S311" s="126" t="n"/>
      <c r="T311" s="126" t="n"/>
      <c r="U311" s="126" t="n"/>
      <c r="V311" s="126" t="n"/>
      <c r="W311" s="126" t="n"/>
      <c r="X311" s="126" t="n"/>
      <c r="Y311" s="126" t="n"/>
      <c r="Z311" s="126" t="n"/>
      <c r="AA311" s="126" t="n"/>
      <c r="AB311" s="126" t="n"/>
      <c r="AC311" s="126" t="n"/>
      <c r="AD311" s="126" t="n"/>
      <c r="AE311" s="126" t="n"/>
      <c r="AF311" s="126" t="n"/>
      <c r="AG311" s="126" t="n"/>
      <c r="AH311" s="126" t="n"/>
      <c r="AI311" s="126" t="n"/>
      <c r="AJ311" s="126" t="n"/>
      <c r="AK311" s="126" t="n"/>
      <c r="AL311" s="126" t="n"/>
      <c r="AM311" s="126" t="n"/>
      <c r="AN311" s="126" t="n"/>
    </row>
    <row r="312" ht="21" customFormat="1" customHeight="1" s="127">
      <c r="A312" s="51">
        <f>IF($B312="","",ROW()-6)</f>
        <v/>
      </c>
      <c r="B312" s="268" t="n"/>
      <c r="C312" s="133" t="n"/>
      <c r="D312" s="50" t="n"/>
      <c r="E312" s="265" t="n"/>
      <c r="F312" s="133" t="n"/>
      <c r="G312" s="133" t="n"/>
      <c r="H312" s="50" t="n"/>
      <c r="I312" s="51">
        <f>IF($C312="","",IFERROR(INDEX(WorkerIDs,MATCH($C312,WorkerNames,0)),"?"))</f>
        <v/>
      </c>
      <c r="J312" s="253">
        <f>IF($B312="","",$B312-WEEKDAY($B312,2)+1)</f>
        <v/>
      </c>
      <c r="K312" s="142">
        <f>IF(OR($I312="",$I312="?",$D312&lt;&gt;"Advance",$B312=""),"",$I312&amp;"|"&amp;$J312&amp;"|"&amp;COUNTIFS($I$7:$I312,$I312,$J$7:$J312,$J312,$D$7:$D312,"Advance"))</f>
        <v/>
      </c>
      <c r="L312" s="266">
        <f>IF(OR($I312="",$I312="?",$B312=""),"",SUMPRODUCT((Weeks!$A$7:$A$59&lt;=$J312)*(Weeks!$X$5:$AI$5=$I312)*Weeks!$X$7:$AI$59)-SUMIFS($E$7:$E$1006,$I$7:$I$1006,$I312,$B$7:$B$1006,"&lt;="&amp;$B312))</f>
        <v/>
      </c>
      <c r="M312" s="132">
        <f>IF($B312&amp;$C312&amp;$D312&amp;$E312="","",IF($B312="","missing date",IF($C312="","missing worker",IF($I312="?","unknown worker - was the name changed on Workers?",IF($D312="","missing type",IF(N($E312)=0,"missing amount",IF(AND($E312&lt;0,$D312&lt;&gt;"Correction"),"negative amount - use a Correction to undo",IF(OR($B312&lt;Weeks!$A$7,$B312&gt;Weeks!$B$59),"date outside this workbook's year",IF(AND($D312="Advance",N($L312)&lt;0),"Warning: more than earned so far - worker now owes "&amp;TEXT(ROUND(-$L312,0),"#,##0"),"")))))))))</f>
        <v/>
      </c>
      <c r="N312" s="125" t="n"/>
      <c r="O312" s="126" t="n"/>
      <c r="P312" s="126" t="n"/>
      <c r="Q312" s="126" t="n"/>
      <c r="R312" s="126" t="n"/>
      <c r="S312" s="126" t="n"/>
      <c r="T312" s="126" t="n"/>
      <c r="U312" s="126" t="n"/>
      <c r="V312" s="126" t="n"/>
      <c r="W312" s="126" t="n"/>
      <c r="X312" s="126" t="n"/>
      <c r="Y312" s="126" t="n"/>
      <c r="Z312" s="126" t="n"/>
      <c r="AA312" s="126" t="n"/>
      <c r="AB312" s="126" t="n"/>
      <c r="AC312" s="126" t="n"/>
      <c r="AD312" s="126" t="n"/>
      <c r="AE312" s="126" t="n"/>
      <c r="AF312" s="126" t="n"/>
      <c r="AG312" s="126" t="n"/>
      <c r="AH312" s="126" t="n"/>
      <c r="AI312" s="126" t="n"/>
      <c r="AJ312" s="126" t="n"/>
      <c r="AK312" s="126" t="n"/>
      <c r="AL312" s="126" t="n"/>
      <c r="AM312" s="126" t="n"/>
      <c r="AN312" s="126" t="n"/>
    </row>
    <row r="313" ht="21" customFormat="1" customHeight="1" s="127">
      <c r="A313" s="51">
        <f>IF($B313="","",ROW()-6)</f>
        <v/>
      </c>
      <c r="B313" s="268" t="n"/>
      <c r="C313" s="133" t="n"/>
      <c r="D313" s="50" t="n"/>
      <c r="E313" s="265" t="n"/>
      <c r="F313" s="133" t="n"/>
      <c r="G313" s="133" t="n"/>
      <c r="H313" s="50" t="n"/>
      <c r="I313" s="51">
        <f>IF($C313="","",IFERROR(INDEX(WorkerIDs,MATCH($C313,WorkerNames,0)),"?"))</f>
        <v/>
      </c>
      <c r="J313" s="253">
        <f>IF($B313="","",$B313-WEEKDAY($B313,2)+1)</f>
        <v/>
      </c>
      <c r="K313" s="142">
        <f>IF(OR($I313="",$I313="?",$D313&lt;&gt;"Advance",$B313=""),"",$I313&amp;"|"&amp;$J313&amp;"|"&amp;COUNTIFS($I$7:$I313,$I313,$J$7:$J313,$J313,$D$7:$D313,"Advance"))</f>
        <v/>
      </c>
      <c r="L313" s="266">
        <f>IF(OR($I313="",$I313="?",$B313=""),"",SUMPRODUCT((Weeks!$A$7:$A$59&lt;=$J313)*(Weeks!$X$5:$AI$5=$I313)*Weeks!$X$7:$AI$59)-SUMIFS($E$7:$E$1006,$I$7:$I$1006,$I313,$B$7:$B$1006,"&lt;="&amp;$B313))</f>
        <v/>
      </c>
      <c r="M313" s="132">
        <f>IF($B313&amp;$C313&amp;$D313&amp;$E313="","",IF($B313="","missing date",IF($C313="","missing worker",IF($I313="?","unknown worker - was the name changed on Workers?",IF($D313="","missing type",IF(N($E313)=0,"missing amount",IF(AND($E313&lt;0,$D313&lt;&gt;"Correction"),"negative amount - use a Correction to undo",IF(OR($B313&lt;Weeks!$A$7,$B313&gt;Weeks!$B$59),"date outside this workbook's year",IF(AND($D313="Advance",N($L313)&lt;0),"Warning: more than earned so far - worker now owes "&amp;TEXT(ROUND(-$L313,0),"#,##0"),"")))))))))</f>
        <v/>
      </c>
      <c r="N313" s="125" t="n"/>
      <c r="O313" s="126" t="n"/>
      <c r="P313" s="126" t="n"/>
      <c r="Q313" s="126" t="n"/>
      <c r="R313" s="126" t="n"/>
      <c r="S313" s="126" t="n"/>
      <c r="T313" s="126" t="n"/>
      <c r="U313" s="126" t="n"/>
      <c r="V313" s="126" t="n"/>
      <c r="W313" s="126" t="n"/>
      <c r="X313" s="126" t="n"/>
      <c r="Y313" s="126" t="n"/>
      <c r="Z313" s="126" t="n"/>
      <c r="AA313" s="126" t="n"/>
      <c r="AB313" s="126" t="n"/>
      <c r="AC313" s="126" t="n"/>
      <c r="AD313" s="126" t="n"/>
      <c r="AE313" s="126" t="n"/>
      <c r="AF313" s="126" t="n"/>
      <c r="AG313" s="126" t="n"/>
      <c r="AH313" s="126" t="n"/>
      <c r="AI313" s="126" t="n"/>
      <c r="AJ313" s="126" t="n"/>
      <c r="AK313" s="126" t="n"/>
      <c r="AL313" s="126" t="n"/>
      <c r="AM313" s="126" t="n"/>
      <c r="AN313" s="126" t="n"/>
    </row>
    <row r="314" ht="21" customFormat="1" customHeight="1" s="127">
      <c r="A314" s="51">
        <f>IF($B314="","",ROW()-6)</f>
        <v/>
      </c>
      <c r="B314" s="268" t="n"/>
      <c r="C314" s="133" t="n"/>
      <c r="D314" s="50" t="n"/>
      <c r="E314" s="265" t="n"/>
      <c r="F314" s="133" t="n"/>
      <c r="G314" s="133" t="n"/>
      <c r="H314" s="50" t="n"/>
      <c r="I314" s="51">
        <f>IF($C314="","",IFERROR(INDEX(WorkerIDs,MATCH($C314,WorkerNames,0)),"?"))</f>
        <v/>
      </c>
      <c r="J314" s="253">
        <f>IF($B314="","",$B314-WEEKDAY($B314,2)+1)</f>
        <v/>
      </c>
      <c r="K314" s="142">
        <f>IF(OR($I314="",$I314="?",$D314&lt;&gt;"Advance",$B314=""),"",$I314&amp;"|"&amp;$J314&amp;"|"&amp;COUNTIFS($I$7:$I314,$I314,$J$7:$J314,$J314,$D$7:$D314,"Advance"))</f>
        <v/>
      </c>
      <c r="L314" s="266">
        <f>IF(OR($I314="",$I314="?",$B314=""),"",SUMPRODUCT((Weeks!$A$7:$A$59&lt;=$J314)*(Weeks!$X$5:$AI$5=$I314)*Weeks!$X$7:$AI$59)-SUMIFS($E$7:$E$1006,$I$7:$I$1006,$I314,$B$7:$B$1006,"&lt;="&amp;$B314))</f>
        <v/>
      </c>
      <c r="M314" s="132">
        <f>IF($B314&amp;$C314&amp;$D314&amp;$E314="","",IF($B314="","missing date",IF($C314="","missing worker",IF($I314="?","unknown worker - was the name changed on Workers?",IF($D314="","missing type",IF(N($E314)=0,"missing amount",IF(AND($E314&lt;0,$D314&lt;&gt;"Correction"),"negative amount - use a Correction to undo",IF(OR($B314&lt;Weeks!$A$7,$B314&gt;Weeks!$B$59),"date outside this workbook's year",IF(AND($D314="Advance",N($L314)&lt;0),"Warning: more than earned so far - worker now owes "&amp;TEXT(ROUND(-$L314,0),"#,##0"),"")))))))))</f>
        <v/>
      </c>
      <c r="N314" s="125" t="n"/>
      <c r="O314" s="126" t="n"/>
      <c r="P314" s="126" t="n"/>
      <c r="Q314" s="126" t="n"/>
      <c r="R314" s="126" t="n"/>
      <c r="S314" s="126" t="n"/>
      <c r="T314" s="126" t="n"/>
      <c r="U314" s="126" t="n"/>
      <c r="V314" s="126" t="n"/>
      <c r="W314" s="126" t="n"/>
      <c r="X314" s="126" t="n"/>
      <c r="Y314" s="126" t="n"/>
      <c r="Z314" s="126" t="n"/>
      <c r="AA314" s="126" t="n"/>
      <c r="AB314" s="126" t="n"/>
      <c r="AC314" s="126" t="n"/>
      <c r="AD314" s="126" t="n"/>
      <c r="AE314" s="126" t="n"/>
      <c r="AF314" s="126" t="n"/>
      <c r="AG314" s="126" t="n"/>
      <c r="AH314" s="126" t="n"/>
      <c r="AI314" s="126" t="n"/>
      <c r="AJ314" s="126" t="n"/>
      <c r="AK314" s="126" t="n"/>
      <c r="AL314" s="126" t="n"/>
      <c r="AM314" s="126" t="n"/>
      <c r="AN314" s="126" t="n"/>
    </row>
    <row r="315" ht="21" customFormat="1" customHeight="1" s="127">
      <c r="A315" s="51">
        <f>IF($B315="","",ROW()-6)</f>
        <v/>
      </c>
      <c r="B315" s="268" t="n"/>
      <c r="C315" s="133" t="n"/>
      <c r="D315" s="50" t="n"/>
      <c r="E315" s="265" t="n"/>
      <c r="F315" s="133" t="n"/>
      <c r="G315" s="133" t="n"/>
      <c r="H315" s="50" t="n"/>
      <c r="I315" s="51">
        <f>IF($C315="","",IFERROR(INDEX(WorkerIDs,MATCH($C315,WorkerNames,0)),"?"))</f>
        <v/>
      </c>
      <c r="J315" s="253">
        <f>IF($B315="","",$B315-WEEKDAY($B315,2)+1)</f>
        <v/>
      </c>
      <c r="K315" s="142">
        <f>IF(OR($I315="",$I315="?",$D315&lt;&gt;"Advance",$B315=""),"",$I315&amp;"|"&amp;$J315&amp;"|"&amp;COUNTIFS($I$7:$I315,$I315,$J$7:$J315,$J315,$D$7:$D315,"Advance"))</f>
        <v/>
      </c>
      <c r="L315" s="266">
        <f>IF(OR($I315="",$I315="?",$B315=""),"",SUMPRODUCT((Weeks!$A$7:$A$59&lt;=$J315)*(Weeks!$X$5:$AI$5=$I315)*Weeks!$X$7:$AI$59)-SUMIFS($E$7:$E$1006,$I$7:$I$1006,$I315,$B$7:$B$1006,"&lt;="&amp;$B315))</f>
        <v/>
      </c>
      <c r="M315" s="132">
        <f>IF($B315&amp;$C315&amp;$D315&amp;$E315="","",IF($B315="","missing date",IF($C315="","missing worker",IF($I315="?","unknown worker - was the name changed on Workers?",IF($D315="","missing type",IF(N($E315)=0,"missing amount",IF(AND($E315&lt;0,$D315&lt;&gt;"Correction"),"negative amount - use a Correction to undo",IF(OR($B315&lt;Weeks!$A$7,$B315&gt;Weeks!$B$59),"date outside this workbook's year",IF(AND($D315="Advance",N($L315)&lt;0),"Warning: more than earned so far - worker now owes "&amp;TEXT(ROUND(-$L315,0),"#,##0"),"")))))))))</f>
        <v/>
      </c>
      <c r="N315" s="125" t="n"/>
      <c r="O315" s="126" t="n"/>
      <c r="P315" s="126" t="n"/>
      <c r="Q315" s="126" t="n"/>
      <c r="R315" s="126" t="n"/>
      <c r="S315" s="126" t="n"/>
      <c r="T315" s="126" t="n"/>
      <c r="U315" s="126" t="n"/>
      <c r="V315" s="126" t="n"/>
      <c r="W315" s="126" t="n"/>
      <c r="X315" s="126" t="n"/>
      <c r="Y315" s="126" t="n"/>
      <c r="Z315" s="126" t="n"/>
      <c r="AA315" s="126" t="n"/>
      <c r="AB315" s="126" t="n"/>
      <c r="AC315" s="126" t="n"/>
      <c r="AD315" s="126" t="n"/>
      <c r="AE315" s="126" t="n"/>
      <c r="AF315" s="126" t="n"/>
      <c r="AG315" s="126" t="n"/>
      <c r="AH315" s="126" t="n"/>
      <c r="AI315" s="126" t="n"/>
      <c r="AJ315" s="126" t="n"/>
      <c r="AK315" s="126" t="n"/>
      <c r="AL315" s="126" t="n"/>
      <c r="AM315" s="126" t="n"/>
      <c r="AN315" s="126" t="n"/>
    </row>
    <row r="316" ht="21" customFormat="1" customHeight="1" s="127">
      <c r="A316" s="51">
        <f>IF($B316="","",ROW()-6)</f>
        <v/>
      </c>
      <c r="B316" s="268" t="n"/>
      <c r="C316" s="133" t="n"/>
      <c r="D316" s="50" t="n"/>
      <c r="E316" s="265" t="n"/>
      <c r="F316" s="133" t="n"/>
      <c r="G316" s="133" t="n"/>
      <c r="H316" s="50" t="n"/>
      <c r="I316" s="51">
        <f>IF($C316="","",IFERROR(INDEX(WorkerIDs,MATCH($C316,WorkerNames,0)),"?"))</f>
        <v/>
      </c>
      <c r="J316" s="253">
        <f>IF($B316="","",$B316-WEEKDAY($B316,2)+1)</f>
        <v/>
      </c>
      <c r="K316" s="142">
        <f>IF(OR($I316="",$I316="?",$D316&lt;&gt;"Advance",$B316=""),"",$I316&amp;"|"&amp;$J316&amp;"|"&amp;COUNTIFS($I$7:$I316,$I316,$J$7:$J316,$J316,$D$7:$D316,"Advance"))</f>
        <v/>
      </c>
      <c r="L316" s="266">
        <f>IF(OR($I316="",$I316="?",$B316=""),"",SUMPRODUCT((Weeks!$A$7:$A$59&lt;=$J316)*(Weeks!$X$5:$AI$5=$I316)*Weeks!$X$7:$AI$59)-SUMIFS($E$7:$E$1006,$I$7:$I$1006,$I316,$B$7:$B$1006,"&lt;="&amp;$B316))</f>
        <v/>
      </c>
      <c r="M316" s="132">
        <f>IF($B316&amp;$C316&amp;$D316&amp;$E316="","",IF($B316="","missing date",IF($C316="","missing worker",IF($I316="?","unknown worker - was the name changed on Workers?",IF($D316="","missing type",IF(N($E316)=0,"missing amount",IF(AND($E316&lt;0,$D316&lt;&gt;"Correction"),"negative amount - use a Correction to undo",IF(OR($B316&lt;Weeks!$A$7,$B316&gt;Weeks!$B$59),"date outside this workbook's year",IF(AND($D316="Advance",N($L316)&lt;0),"Warning: more than earned so far - worker now owes "&amp;TEXT(ROUND(-$L316,0),"#,##0"),"")))))))))</f>
        <v/>
      </c>
      <c r="N316" s="125" t="n"/>
      <c r="O316" s="126" t="n"/>
      <c r="P316" s="126" t="n"/>
      <c r="Q316" s="126" t="n"/>
      <c r="R316" s="126" t="n"/>
      <c r="S316" s="126" t="n"/>
      <c r="T316" s="126" t="n"/>
      <c r="U316" s="126" t="n"/>
      <c r="V316" s="126" t="n"/>
      <c r="W316" s="126" t="n"/>
      <c r="X316" s="126" t="n"/>
      <c r="Y316" s="126" t="n"/>
      <c r="Z316" s="126" t="n"/>
      <c r="AA316" s="126" t="n"/>
      <c r="AB316" s="126" t="n"/>
      <c r="AC316" s="126" t="n"/>
      <c r="AD316" s="126" t="n"/>
      <c r="AE316" s="126" t="n"/>
      <c r="AF316" s="126" t="n"/>
      <c r="AG316" s="126" t="n"/>
      <c r="AH316" s="126" t="n"/>
      <c r="AI316" s="126" t="n"/>
      <c r="AJ316" s="126" t="n"/>
      <c r="AK316" s="126" t="n"/>
      <c r="AL316" s="126" t="n"/>
      <c r="AM316" s="126" t="n"/>
      <c r="AN316" s="126" t="n"/>
    </row>
    <row r="317" ht="21" customFormat="1" customHeight="1" s="127">
      <c r="A317" s="51">
        <f>IF($B317="","",ROW()-6)</f>
        <v/>
      </c>
      <c r="B317" s="268" t="n"/>
      <c r="C317" s="133" t="n"/>
      <c r="D317" s="50" t="n"/>
      <c r="E317" s="265" t="n"/>
      <c r="F317" s="133" t="n"/>
      <c r="G317" s="133" t="n"/>
      <c r="H317" s="50" t="n"/>
      <c r="I317" s="51">
        <f>IF($C317="","",IFERROR(INDEX(WorkerIDs,MATCH($C317,WorkerNames,0)),"?"))</f>
        <v/>
      </c>
      <c r="J317" s="253">
        <f>IF($B317="","",$B317-WEEKDAY($B317,2)+1)</f>
        <v/>
      </c>
      <c r="K317" s="142">
        <f>IF(OR($I317="",$I317="?",$D317&lt;&gt;"Advance",$B317=""),"",$I317&amp;"|"&amp;$J317&amp;"|"&amp;COUNTIFS($I$7:$I317,$I317,$J$7:$J317,$J317,$D$7:$D317,"Advance"))</f>
        <v/>
      </c>
      <c r="L317" s="266">
        <f>IF(OR($I317="",$I317="?",$B317=""),"",SUMPRODUCT((Weeks!$A$7:$A$59&lt;=$J317)*(Weeks!$X$5:$AI$5=$I317)*Weeks!$X$7:$AI$59)-SUMIFS($E$7:$E$1006,$I$7:$I$1006,$I317,$B$7:$B$1006,"&lt;="&amp;$B317))</f>
        <v/>
      </c>
      <c r="M317" s="132">
        <f>IF($B317&amp;$C317&amp;$D317&amp;$E317="","",IF($B317="","missing date",IF($C317="","missing worker",IF($I317="?","unknown worker - was the name changed on Workers?",IF($D317="","missing type",IF(N($E317)=0,"missing amount",IF(AND($E317&lt;0,$D317&lt;&gt;"Correction"),"negative amount - use a Correction to undo",IF(OR($B317&lt;Weeks!$A$7,$B317&gt;Weeks!$B$59),"date outside this workbook's year",IF(AND($D317="Advance",N($L317)&lt;0),"Warning: more than earned so far - worker now owes "&amp;TEXT(ROUND(-$L317,0),"#,##0"),"")))))))))</f>
        <v/>
      </c>
      <c r="N317" s="125" t="n"/>
      <c r="O317" s="126" t="n"/>
      <c r="P317" s="126" t="n"/>
      <c r="Q317" s="126" t="n"/>
      <c r="R317" s="126" t="n"/>
      <c r="S317" s="126" t="n"/>
      <c r="T317" s="126" t="n"/>
      <c r="U317" s="126" t="n"/>
      <c r="V317" s="126" t="n"/>
      <c r="W317" s="126" t="n"/>
      <c r="X317" s="126" t="n"/>
      <c r="Y317" s="126" t="n"/>
      <c r="Z317" s="126" t="n"/>
      <c r="AA317" s="126" t="n"/>
      <c r="AB317" s="126" t="n"/>
      <c r="AC317" s="126" t="n"/>
      <c r="AD317" s="126" t="n"/>
      <c r="AE317" s="126" t="n"/>
      <c r="AF317" s="126" t="n"/>
      <c r="AG317" s="126" t="n"/>
      <c r="AH317" s="126" t="n"/>
      <c r="AI317" s="126" t="n"/>
      <c r="AJ317" s="126" t="n"/>
      <c r="AK317" s="126" t="n"/>
      <c r="AL317" s="126" t="n"/>
      <c r="AM317" s="126" t="n"/>
      <c r="AN317" s="126" t="n"/>
    </row>
    <row r="318" ht="21" customFormat="1" customHeight="1" s="127">
      <c r="A318" s="51">
        <f>IF($B318="","",ROW()-6)</f>
        <v/>
      </c>
      <c r="B318" s="268" t="n"/>
      <c r="C318" s="133" t="n"/>
      <c r="D318" s="50" t="n"/>
      <c r="E318" s="265" t="n"/>
      <c r="F318" s="133" t="n"/>
      <c r="G318" s="133" t="n"/>
      <c r="H318" s="50" t="n"/>
      <c r="I318" s="51">
        <f>IF($C318="","",IFERROR(INDEX(WorkerIDs,MATCH($C318,WorkerNames,0)),"?"))</f>
        <v/>
      </c>
      <c r="J318" s="253">
        <f>IF($B318="","",$B318-WEEKDAY($B318,2)+1)</f>
        <v/>
      </c>
      <c r="K318" s="142">
        <f>IF(OR($I318="",$I318="?",$D318&lt;&gt;"Advance",$B318=""),"",$I318&amp;"|"&amp;$J318&amp;"|"&amp;COUNTIFS($I$7:$I318,$I318,$J$7:$J318,$J318,$D$7:$D318,"Advance"))</f>
        <v/>
      </c>
      <c r="L318" s="266">
        <f>IF(OR($I318="",$I318="?",$B318=""),"",SUMPRODUCT((Weeks!$A$7:$A$59&lt;=$J318)*(Weeks!$X$5:$AI$5=$I318)*Weeks!$X$7:$AI$59)-SUMIFS($E$7:$E$1006,$I$7:$I$1006,$I318,$B$7:$B$1006,"&lt;="&amp;$B318))</f>
        <v/>
      </c>
      <c r="M318" s="132">
        <f>IF($B318&amp;$C318&amp;$D318&amp;$E318="","",IF($B318="","missing date",IF($C318="","missing worker",IF($I318="?","unknown worker - was the name changed on Workers?",IF($D318="","missing type",IF(N($E318)=0,"missing amount",IF(AND($E318&lt;0,$D318&lt;&gt;"Correction"),"negative amount - use a Correction to undo",IF(OR($B318&lt;Weeks!$A$7,$B318&gt;Weeks!$B$59),"date outside this workbook's year",IF(AND($D318="Advance",N($L318)&lt;0),"Warning: more than earned so far - worker now owes "&amp;TEXT(ROUND(-$L318,0),"#,##0"),"")))))))))</f>
        <v/>
      </c>
      <c r="N318" s="125" t="n"/>
      <c r="O318" s="126" t="n"/>
      <c r="P318" s="126" t="n"/>
      <c r="Q318" s="126" t="n"/>
      <c r="R318" s="126" t="n"/>
      <c r="S318" s="126" t="n"/>
      <c r="T318" s="126" t="n"/>
      <c r="U318" s="126" t="n"/>
      <c r="V318" s="126" t="n"/>
      <c r="W318" s="126" t="n"/>
      <c r="X318" s="126" t="n"/>
      <c r="Y318" s="126" t="n"/>
      <c r="Z318" s="126" t="n"/>
      <c r="AA318" s="126" t="n"/>
      <c r="AB318" s="126" t="n"/>
      <c r="AC318" s="126" t="n"/>
      <c r="AD318" s="126" t="n"/>
      <c r="AE318" s="126" t="n"/>
      <c r="AF318" s="126" t="n"/>
      <c r="AG318" s="126" t="n"/>
      <c r="AH318" s="126" t="n"/>
      <c r="AI318" s="126" t="n"/>
      <c r="AJ318" s="126" t="n"/>
      <c r="AK318" s="126" t="n"/>
      <c r="AL318" s="126" t="n"/>
      <c r="AM318" s="126" t="n"/>
      <c r="AN318" s="126" t="n"/>
    </row>
    <row r="319" ht="21" customFormat="1" customHeight="1" s="127">
      <c r="A319" s="51">
        <f>IF($B319="","",ROW()-6)</f>
        <v/>
      </c>
      <c r="B319" s="268" t="n"/>
      <c r="C319" s="133" t="n"/>
      <c r="D319" s="50" t="n"/>
      <c r="E319" s="265" t="n"/>
      <c r="F319" s="133" t="n"/>
      <c r="G319" s="133" t="n"/>
      <c r="H319" s="50" t="n"/>
      <c r="I319" s="51">
        <f>IF($C319="","",IFERROR(INDEX(WorkerIDs,MATCH($C319,WorkerNames,0)),"?"))</f>
        <v/>
      </c>
      <c r="J319" s="253">
        <f>IF($B319="","",$B319-WEEKDAY($B319,2)+1)</f>
        <v/>
      </c>
      <c r="K319" s="142">
        <f>IF(OR($I319="",$I319="?",$D319&lt;&gt;"Advance",$B319=""),"",$I319&amp;"|"&amp;$J319&amp;"|"&amp;COUNTIFS($I$7:$I319,$I319,$J$7:$J319,$J319,$D$7:$D319,"Advance"))</f>
        <v/>
      </c>
      <c r="L319" s="266">
        <f>IF(OR($I319="",$I319="?",$B319=""),"",SUMPRODUCT((Weeks!$A$7:$A$59&lt;=$J319)*(Weeks!$X$5:$AI$5=$I319)*Weeks!$X$7:$AI$59)-SUMIFS($E$7:$E$1006,$I$7:$I$1006,$I319,$B$7:$B$1006,"&lt;="&amp;$B319))</f>
        <v/>
      </c>
      <c r="M319" s="132">
        <f>IF($B319&amp;$C319&amp;$D319&amp;$E319="","",IF($B319="","missing date",IF($C319="","missing worker",IF($I319="?","unknown worker - was the name changed on Workers?",IF($D319="","missing type",IF(N($E319)=0,"missing amount",IF(AND($E319&lt;0,$D319&lt;&gt;"Correction"),"negative amount - use a Correction to undo",IF(OR($B319&lt;Weeks!$A$7,$B319&gt;Weeks!$B$59),"date outside this workbook's year",IF(AND($D319="Advance",N($L319)&lt;0),"Warning: more than earned so far - worker now owes "&amp;TEXT(ROUND(-$L319,0),"#,##0"),"")))))))))</f>
        <v/>
      </c>
      <c r="N319" s="125" t="n"/>
      <c r="O319" s="126" t="n"/>
      <c r="P319" s="126" t="n"/>
      <c r="Q319" s="126" t="n"/>
      <c r="R319" s="126" t="n"/>
      <c r="S319" s="126" t="n"/>
      <c r="T319" s="126" t="n"/>
      <c r="U319" s="126" t="n"/>
      <c r="V319" s="126" t="n"/>
      <c r="W319" s="126" t="n"/>
      <c r="X319" s="126" t="n"/>
      <c r="Y319" s="126" t="n"/>
      <c r="Z319" s="126" t="n"/>
      <c r="AA319" s="126" t="n"/>
      <c r="AB319" s="126" t="n"/>
      <c r="AC319" s="126" t="n"/>
      <c r="AD319" s="126" t="n"/>
      <c r="AE319" s="126" t="n"/>
      <c r="AF319" s="126" t="n"/>
      <c r="AG319" s="126" t="n"/>
      <c r="AH319" s="126" t="n"/>
      <c r="AI319" s="126" t="n"/>
      <c r="AJ319" s="126" t="n"/>
      <c r="AK319" s="126" t="n"/>
      <c r="AL319" s="126" t="n"/>
      <c r="AM319" s="126" t="n"/>
      <c r="AN319" s="126" t="n"/>
    </row>
    <row r="320" ht="21" customFormat="1" customHeight="1" s="127">
      <c r="A320" s="51">
        <f>IF($B320="","",ROW()-6)</f>
        <v/>
      </c>
      <c r="B320" s="268" t="n"/>
      <c r="C320" s="133" t="n"/>
      <c r="D320" s="50" t="n"/>
      <c r="E320" s="265" t="n"/>
      <c r="F320" s="133" t="n"/>
      <c r="G320" s="133" t="n"/>
      <c r="H320" s="50" t="n"/>
      <c r="I320" s="51">
        <f>IF($C320="","",IFERROR(INDEX(WorkerIDs,MATCH($C320,WorkerNames,0)),"?"))</f>
        <v/>
      </c>
      <c r="J320" s="253">
        <f>IF($B320="","",$B320-WEEKDAY($B320,2)+1)</f>
        <v/>
      </c>
      <c r="K320" s="142">
        <f>IF(OR($I320="",$I320="?",$D320&lt;&gt;"Advance",$B320=""),"",$I320&amp;"|"&amp;$J320&amp;"|"&amp;COUNTIFS($I$7:$I320,$I320,$J$7:$J320,$J320,$D$7:$D320,"Advance"))</f>
        <v/>
      </c>
      <c r="L320" s="266">
        <f>IF(OR($I320="",$I320="?",$B320=""),"",SUMPRODUCT((Weeks!$A$7:$A$59&lt;=$J320)*(Weeks!$X$5:$AI$5=$I320)*Weeks!$X$7:$AI$59)-SUMIFS($E$7:$E$1006,$I$7:$I$1006,$I320,$B$7:$B$1006,"&lt;="&amp;$B320))</f>
        <v/>
      </c>
      <c r="M320" s="132">
        <f>IF($B320&amp;$C320&amp;$D320&amp;$E320="","",IF($B320="","missing date",IF($C320="","missing worker",IF($I320="?","unknown worker - was the name changed on Workers?",IF($D320="","missing type",IF(N($E320)=0,"missing amount",IF(AND($E320&lt;0,$D320&lt;&gt;"Correction"),"negative amount - use a Correction to undo",IF(OR($B320&lt;Weeks!$A$7,$B320&gt;Weeks!$B$59),"date outside this workbook's year",IF(AND($D320="Advance",N($L320)&lt;0),"Warning: more than earned so far - worker now owes "&amp;TEXT(ROUND(-$L320,0),"#,##0"),"")))))))))</f>
        <v/>
      </c>
      <c r="N320" s="125" t="n"/>
      <c r="O320" s="126" t="n"/>
      <c r="P320" s="126" t="n"/>
      <c r="Q320" s="126" t="n"/>
      <c r="R320" s="126" t="n"/>
      <c r="S320" s="126" t="n"/>
      <c r="T320" s="126" t="n"/>
      <c r="U320" s="126" t="n"/>
      <c r="V320" s="126" t="n"/>
      <c r="W320" s="126" t="n"/>
      <c r="X320" s="126" t="n"/>
      <c r="Y320" s="126" t="n"/>
      <c r="Z320" s="126" t="n"/>
      <c r="AA320" s="126" t="n"/>
      <c r="AB320" s="126" t="n"/>
      <c r="AC320" s="126" t="n"/>
      <c r="AD320" s="126" t="n"/>
      <c r="AE320" s="126" t="n"/>
      <c r="AF320" s="126" t="n"/>
      <c r="AG320" s="126" t="n"/>
      <c r="AH320" s="126" t="n"/>
      <c r="AI320" s="126" t="n"/>
      <c r="AJ320" s="126" t="n"/>
      <c r="AK320" s="126" t="n"/>
      <c r="AL320" s="126" t="n"/>
      <c r="AM320" s="126" t="n"/>
      <c r="AN320" s="126" t="n"/>
    </row>
    <row r="321" ht="21" customFormat="1" customHeight="1" s="127">
      <c r="A321" s="51">
        <f>IF($B321="","",ROW()-6)</f>
        <v/>
      </c>
      <c r="B321" s="268" t="n"/>
      <c r="C321" s="133" t="n"/>
      <c r="D321" s="50" t="n"/>
      <c r="E321" s="265" t="n"/>
      <c r="F321" s="133" t="n"/>
      <c r="G321" s="133" t="n"/>
      <c r="H321" s="50" t="n"/>
      <c r="I321" s="51">
        <f>IF($C321="","",IFERROR(INDEX(WorkerIDs,MATCH($C321,WorkerNames,0)),"?"))</f>
        <v/>
      </c>
      <c r="J321" s="253">
        <f>IF($B321="","",$B321-WEEKDAY($B321,2)+1)</f>
        <v/>
      </c>
      <c r="K321" s="142">
        <f>IF(OR($I321="",$I321="?",$D321&lt;&gt;"Advance",$B321=""),"",$I321&amp;"|"&amp;$J321&amp;"|"&amp;COUNTIFS($I$7:$I321,$I321,$J$7:$J321,$J321,$D$7:$D321,"Advance"))</f>
        <v/>
      </c>
      <c r="L321" s="266">
        <f>IF(OR($I321="",$I321="?",$B321=""),"",SUMPRODUCT((Weeks!$A$7:$A$59&lt;=$J321)*(Weeks!$X$5:$AI$5=$I321)*Weeks!$X$7:$AI$59)-SUMIFS($E$7:$E$1006,$I$7:$I$1006,$I321,$B$7:$B$1006,"&lt;="&amp;$B321))</f>
        <v/>
      </c>
      <c r="M321" s="132">
        <f>IF($B321&amp;$C321&amp;$D321&amp;$E321="","",IF($B321="","missing date",IF($C321="","missing worker",IF($I321="?","unknown worker - was the name changed on Workers?",IF($D321="","missing type",IF(N($E321)=0,"missing amount",IF(AND($E321&lt;0,$D321&lt;&gt;"Correction"),"negative amount - use a Correction to undo",IF(OR($B321&lt;Weeks!$A$7,$B321&gt;Weeks!$B$59),"date outside this workbook's year",IF(AND($D321="Advance",N($L321)&lt;0),"Warning: more than earned so far - worker now owes "&amp;TEXT(ROUND(-$L321,0),"#,##0"),"")))))))))</f>
        <v/>
      </c>
      <c r="N321" s="125" t="n"/>
      <c r="O321" s="126" t="n"/>
      <c r="P321" s="126" t="n"/>
      <c r="Q321" s="126" t="n"/>
      <c r="R321" s="126" t="n"/>
      <c r="S321" s="126" t="n"/>
      <c r="T321" s="126" t="n"/>
      <c r="U321" s="126" t="n"/>
      <c r="V321" s="126" t="n"/>
      <c r="W321" s="126" t="n"/>
      <c r="X321" s="126" t="n"/>
      <c r="Y321" s="126" t="n"/>
      <c r="Z321" s="126" t="n"/>
      <c r="AA321" s="126" t="n"/>
      <c r="AB321" s="126" t="n"/>
      <c r="AC321" s="126" t="n"/>
      <c r="AD321" s="126" t="n"/>
      <c r="AE321" s="126" t="n"/>
      <c r="AF321" s="126" t="n"/>
      <c r="AG321" s="126" t="n"/>
      <c r="AH321" s="126" t="n"/>
      <c r="AI321" s="126" t="n"/>
      <c r="AJ321" s="126" t="n"/>
      <c r="AK321" s="126" t="n"/>
      <c r="AL321" s="126" t="n"/>
      <c r="AM321" s="126" t="n"/>
      <c r="AN321" s="126" t="n"/>
    </row>
    <row r="322" ht="21" customFormat="1" customHeight="1" s="127">
      <c r="A322" s="51">
        <f>IF($B322="","",ROW()-6)</f>
        <v/>
      </c>
      <c r="B322" s="268" t="n"/>
      <c r="C322" s="133" t="n"/>
      <c r="D322" s="50" t="n"/>
      <c r="E322" s="265" t="n"/>
      <c r="F322" s="133" t="n"/>
      <c r="G322" s="133" t="n"/>
      <c r="H322" s="50" t="n"/>
      <c r="I322" s="51">
        <f>IF($C322="","",IFERROR(INDEX(WorkerIDs,MATCH($C322,WorkerNames,0)),"?"))</f>
        <v/>
      </c>
      <c r="J322" s="253">
        <f>IF($B322="","",$B322-WEEKDAY($B322,2)+1)</f>
        <v/>
      </c>
      <c r="K322" s="142">
        <f>IF(OR($I322="",$I322="?",$D322&lt;&gt;"Advance",$B322=""),"",$I322&amp;"|"&amp;$J322&amp;"|"&amp;COUNTIFS($I$7:$I322,$I322,$J$7:$J322,$J322,$D$7:$D322,"Advance"))</f>
        <v/>
      </c>
      <c r="L322" s="266">
        <f>IF(OR($I322="",$I322="?",$B322=""),"",SUMPRODUCT((Weeks!$A$7:$A$59&lt;=$J322)*(Weeks!$X$5:$AI$5=$I322)*Weeks!$X$7:$AI$59)-SUMIFS($E$7:$E$1006,$I$7:$I$1006,$I322,$B$7:$B$1006,"&lt;="&amp;$B322))</f>
        <v/>
      </c>
      <c r="M322" s="132">
        <f>IF($B322&amp;$C322&amp;$D322&amp;$E322="","",IF($B322="","missing date",IF($C322="","missing worker",IF($I322="?","unknown worker - was the name changed on Workers?",IF($D322="","missing type",IF(N($E322)=0,"missing amount",IF(AND($E322&lt;0,$D322&lt;&gt;"Correction"),"negative amount - use a Correction to undo",IF(OR($B322&lt;Weeks!$A$7,$B322&gt;Weeks!$B$59),"date outside this workbook's year",IF(AND($D322="Advance",N($L322)&lt;0),"Warning: more than earned so far - worker now owes "&amp;TEXT(ROUND(-$L322,0),"#,##0"),"")))))))))</f>
        <v/>
      </c>
      <c r="N322" s="125" t="n"/>
      <c r="O322" s="126" t="n"/>
      <c r="P322" s="126" t="n"/>
      <c r="Q322" s="126" t="n"/>
      <c r="R322" s="126" t="n"/>
      <c r="S322" s="126" t="n"/>
      <c r="T322" s="126" t="n"/>
      <c r="U322" s="126" t="n"/>
      <c r="V322" s="126" t="n"/>
      <c r="W322" s="126" t="n"/>
      <c r="X322" s="126" t="n"/>
      <c r="Y322" s="126" t="n"/>
      <c r="Z322" s="126" t="n"/>
      <c r="AA322" s="126" t="n"/>
      <c r="AB322" s="126" t="n"/>
      <c r="AC322" s="126" t="n"/>
      <c r="AD322" s="126" t="n"/>
      <c r="AE322" s="126" t="n"/>
      <c r="AF322" s="126" t="n"/>
      <c r="AG322" s="126" t="n"/>
      <c r="AH322" s="126" t="n"/>
      <c r="AI322" s="126" t="n"/>
      <c r="AJ322" s="126" t="n"/>
      <c r="AK322" s="126" t="n"/>
      <c r="AL322" s="126" t="n"/>
      <c r="AM322" s="126" t="n"/>
      <c r="AN322" s="126" t="n"/>
    </row>
    <row r="323" ht="21" customFormat="1" customHeight="1" s="127">
      <c r="A323" s="51">
        <f>IF($B323="","",ROW()-6)</f>
        <v/>
      </c>
      <c r="B323" s="268" t="n"/>
      <c r="C323" s="133" t="n"/>
      <c r="D323" s="50" t="n"/>
      <c r="E323" s="265" t="n"/>
      <c r="F323" s="133" t="n"/>
      <c r="G323" s="133" t="n"/>
      <c r="H323" s="50" t="n"/>
      <c r="I323" s="51">
        <f>IF($C323="","",IFERROR(INDEX(WorkerIDs,MATCH($C323,WorkerNames,0)),"?"))</f>
        <v/>
      </c>
      <c r="J323" s="253">
        <f>IF($B323="","",$B323-WEEKDAY($B323,2)+1)</f>
        <v/>
      </c>
      <c r="K323" s="142">
        <f>IF(OR($I323="",$I323="?",$D323&lt;&gt;"Advance",$B323=""),"",$I323&amp;"|"&amp;$J323&amp;"|"&amp;COUNTIFS($I$7:$I323,$I323,$J$7:$J323,$J323,$D$7:$D323,"Advance"))</f>
        <v/>
      </c>
      <c r="L323" s="266">
        <f>IF(OR($I323="",$I323="?",$B323=""),"",SUMPRODUCT((Weeks!$A$7:$A$59&lt;=$J323)*(Weeks!$X$5:$AI$5=$I323)*Weeks!$X$7:$AI$59)-SUMIFS($E$7:$E$1006,$I$7:$I$1006,$I323,$B$7:$B$1006,"&lt;="&amp;$B323))</f>
        <v/>
      </c>
      <c r="M323" s="132">
        <f>IF($B323&amp;$C323&amp;$D323&amp;$E323="","",IF($B323="","missing date",IF($C323="","missing worker",IF($I323="?","unknown worker - was the name changed on Workers?",IF($D323="","missing type",IF(N($E323)=0,"missing amount",IF(AND($E323&lt;0,$D323&lt;&gt;"Correction"),"negative amount - use a Correction to undo",IF(OR($B323&lt;Weeks!$A$7,$B323&gt;Weeks!$B$59),"date outside this workbook's year",IF(AND($D323="Advance",N($L323)&lt;0),"Warning: more than earned so far - worker now owes "&amp;TEXT(ROUND(-$L323,0),"#,##0"),"")))))))))</f>
        <v/>
      </c>
      <c r="N323" s="125" t="n"/>
      <c r="O323" s="126" t="n"/>
      <c r="P323" s="126" t="n"/>
      <c r="Q323" s="126" t="n"/>
      <c r="R323" s="126" t="n"/>
      <c r="S323" s="126" t="n"/>
      <c r="T323" s="126" t="n"/>
      <c r="U323" s="126" t="n"/>
      <c r="V323" s="126" t="n"/>
      <c r="W323" s="126" t="n"/>
      <c r="X323" s="126" t="n"/>
      <c r="Y323" s="126" t="n"/>
      <c r="Z323" s="126" t="n"/>
      <c r="AA323" s="126" t="n"/>
      <c r="AB323" s="126" t="n"/>
      <c r="AC323" s="126" t="n"/>
      <c r="AD323" s="126" t="n"/>
      <c r="AE323" s="126" t="n"/>
      <c r="AF323" s="126" t="n"/>
      <c r="AG323" s="126" t="n"/>
      <c r="AH323" s="126" t="n"/>
      <c r="AI323" s="126" t="n"/>
      <c r="AJ323" s="126" t="n"/>
      <c r="AK323" s="126" t="n"/>
      <c r="AL323" s="126" t="n"/>
      <c r="AM323" s="126" t="n"/>
      <c r="AN323" s="126" t="n"/>
    </row>
    <row r="324" ht="21" customFormat="1" customHeight="1" s="127">
      <c r="A324" s="51">
        <f>IF($B324="","",ROW()-6)</f>
        <v/>
      </c>
      <c r="B324" s="268" t="n"/>
      <c r="C324" s="133" t="n"/>
      <c r="D324" s="50" t="n"/>
      <c r="E324" s="265" t="n"/>
      <c r="F324" s="133" t="n"/>
      <c r="G324" s="133" t="n"/>
      <c r="H324" s="50" t="n"/>
      <c r="I324" s="51">
        <f>IF($C324="","",IFERROR(INDEX(WorkerIDs,MATCH($C324,WorkerNames,0)),"?"))</f>
        <v/>
      </c>
      <c r="J324" s="253">
        <f>IF($B324="","",$B324-WEEKDAY($B324,2)+1)</f>
        <v/>
      </c>
      <c r="K324" s="142">
        <f>IF(OR($I324="",$I324="?",$D324&lt;&gt;"Advance",$B324=""),"",$I324&amp;"|"&amp;$J324&amp;"|"&amp;COUNTIFS($I$7:$I324,$I324,$J$7:$J324,$J324,$D$7:$D324,"Advance"))</f>
        <v/>
      </c>
      <c r="L324" s="266">
        <f>IF(OR($I324="",$I324="?",$B324=""),"",SUMPRODUCT((Weeks!$A$7:$A$59&lt;=$J324)*(Weeks!$X$5:$AI$5=$I324)*Weeks!$X$7:$AI$59)-SUMIFS($E$7:$E$1006,$I$7:$I$1006,$I324,$B$7:$B$1006,"&lt;="&amp;$B324))</f>
        <v/>
      </c>
      <c r="M324" s="132">
        <f>IF($B324&amp;$C324&amp;$D324&amp;$E324="","",IF($B324="","missing date",IF($C324="","missing worker",IF($I324="?","unknown worker - was the name changed on Workers?",IF($D324="","missing type",IF(N($E324)=0,"missing amount",IF(AND($E324&lt;0,$D324&lt;&gt;"Correction"),"negative amount - use a Correction to undo",IF(OR($B324&lt;Weeks!$A$7,$B324&gt;Weeks!$B$59),"date outside this workbook's year",IF(AND($D324="Advance",N($L324)&lt;0),"Warning: more than earned so far - worker now owes "&amp;TEXT(ROUND(-$L324,0),"#,##0"),"")))))))))</f>
        <v/>
      </c>
      <c r="N324" s="125" t="n"/>
      <c r="O324" s="126" t="n"/>
      <c r="P324" s="126" t="n"/>
      <c r="Q324" s="126" t="n"/>
      <c r="R324" s="126" t="n"/>
      <c r="S324" s="126" t="n"/>
      <c r="T324" s="126" t="n"/>
      <c r="U324" s="126" t="n"/>
      <c r="V324" s="126" t="n"/>
      <c r="W324" s="126" t="n"/>
      <c r="X324" s="126" t="n"/>
      <c r="Y324" s="126" t="n"/>
      <c r="Z324" s="126" t="n"/>
      <c r="AA324" s="126" t="n"/>
      <c r="AB324" s="126" t="n"/>
      <c r="AC324" s="126" t="n"/>
      <c r="AD324" s="126" t="n"/>
      <c r="AE324" s="126" t="n"/>
      <c r="AF324" s="126" t="n"/>
      <c r="AG324" s="126" t="n"/>
      <c r="AH324" s="126" t="n"/>
      <c r="AI324" s="126" t="n"/>
      <c r="AJ324" s="126" t="n"/>
      <c r="AK324" s="126" t="n"/>
      <c r="AL324" s="126" t="n"/>
      <c r="AM324" s="126" t="n"/>
      <c r="AN324" s="126" t="n"/>
    </row>
    <row r="325" ht="21" customFormat="1" customHeight="1" s="127">
      <c r="A325" s="51">
        <f>IF($B325="","",ROW()-6)</f>
        <v/>
      </c>
      <c r="B325" s="268" t="n"/>
      <c r="C325" s="133" t="n"/>
      <c r="D325" s="50" t="n"/>
      <c r="E325" s="265" t="n"/>
      <c r="F325" s="133" t="n"/>
      <c r="G325" s="133" t="n"/>
      <c r="H325" s="50" t="n"/>
      <c r="I325" s="51">
        <f>IF($C325="","",IFERROR(INDEX(WorkerIDs,MATCH($C325,WorkerNames,0)),"?"))</f>
        <v/>
      </c>
      <c r="J325" s="253">
        <f>IF($B325="","",$B325-WEEKDAY($B325,2)+1)</f>
        <v/>
      </c>
      <c r="K325" s="142">
        <f>IF(OR($I325="",$I325="?",$D325&lt;&gt;"Advance",$B325=""),"",$I325&amp;"|"&amp;$J325&amp;"|"&amp;COUNTIFS($I$7:$I325,$I325,$J$7:$J325,$J325,$D$7:$D325,"Advance"))</f>
        <v/>
      </c>
      <c r="L325" s="266">
        <f>IF(OR($I325="",$I325="?",$B325=""),"",SUMPRODUCT((Weeks!$A$7:$A$59&lt;=$J325)*(Weeks!$X$5:$AI$5=$I325)*Weeks!$X$7:$AI$59)-SUMIFS($E$7:$E$1006,$I$7:$I$1006,$I325,$B$7:$B$1006,"&lt;="&amp;$B325))</f>
        <v/>
      </c>
      <c r="M325" s="132">
        <f>IF($B325&amp;$C325&amp;$D325&amp;$E325="","",IF($B325="","missing date",IF($C325="","missing worker",IF($I325="?","unknown worker - was the name changed on Workers?",IF($D325="","missing type",IF(N($E325)=0,"missing amount",IF(AND($E325&lt;0,$D325&lt;&gt;"Correction"),"negative amount - use a Correction to undo",IF(OR($B325&lt;Weeks!$A$7,$B325&gt;Weeks!$B$59),"date outside this workbook's year",IF(AND($D325="Advance",N($L325)&lt;0),"Warning: more than earned so far - worker now owes "&amp;TEXT(ROUND(-$L325,0),"#,##0"),"")))))))))</f>
        <v/>
      </c>
      <c r="N325" s="125" t="n"/>
      <c r="O325" s="126" t="n"/>
      <c r="P325" s="126" t="n"/>
      <c r="Q325" s="126" t="n"/>
      <c r="R325" s="126" t="n"/>
      <c r="S325" s="126" t="n"/>
      <c r="T325" s="126" t="n"/>
      <c r="U325" s="126" t="n"/>
      <c r="V325" s="126" t="n"/>
      <c r="W325" s="126" t="n"/>
      <c r="X325" s="126" t="n"/>
      <c r="Y325" s="126" t="n"/>
      <c r="Z325" s="126" t="n"/>
      <c r="AA325" s="126" t="n"/>
      <c r="AB325" s="126" t="n"/>
      <c r="AC325" s="126" t="n"/>
      <c r="AD325" s="126" t="n"/>
      <c r="AE325" s="126" t="n"/>
      <c r="AF325" s="126" t="n"/>
      <c r="AG325" s="126" t="n"/>
      <c r="AH325" s="126" t="n"/>
      <c r="AI325" s="126" t="n"/>
      <c r="AJ325" s="126" t="n"/>
      <c r="AK325" s="126" t="n"/>
      <c r="AL325" s="126" t="n"/>
      <c r="AM325" s="126" t="n"/>
      <c r="AN325" s="126" t="n"/>
    </row>
    <row r="326" ht="21" customFormat="1" customHeight="1" s="127">
      <c r="A326" s="51">
        <f>IF($B326="","",ROW()-6)</f>
        <v/>
      </c>
      <c r="B326" s="268" t="n"/>
      <c r="C326" s="133" t="n"/>
      <c r="D326" s="50" t="n"/>
      <c r="E326" s="265" t="n"/>
      <c r="F326" s="133" t="n"/>
      <c r="G326" s="133" t="n"/>
      <c r="H326" s="50" t="n"/>
      <c r="I326" s="51">
        <f>IF($C326="","",IFERROR(INDEX(WorkerIDs,MATCH($C326,WorkerNames,0)),"?"))</f>
        <v/>
      </c>
      <c r="J326" s="253">
        <f>IF($B326="","",$B326-WEEKDAY($B326,2)+1)</f>
        <v/>
      </c>
      <c r="K326" s="142">
        <f>IF(OR($I326="",$I326="?",$D326&lt;&gt;"Advance",$B326=""),"",$I326&amp;"|"&amp;$J326&amp;"|"&amp;COUNTIFS($I$7:$I326,$I326,$J$7:$J326,$J326,$D$7:$D326,"Advance"))</f>
        <v/>
      </c>
      <c r="L326" s="266">
        <f>IF(OR($I326="",$I326="?",$B326=""),"",SUMPRODUCT((Weeks!$A$7:$A$59&lt;=$J326)*(Weeks!$X$5:$AI$5=$I326)*Weeks!$X$7:$AI$59)-SUMIFS($E$7:$E$1006,$I$7:$I$1006,$I326,$B$7:$B$1006,"&lt;="&amp;$B326))</f>
        <v/>
      </c>
      <c r="M326" s="132">
        <f>IF($B326&amp;$C326&amp;$D326&amp;$E326="","",IF($B326="","missing date",IF($C326="","missing worker",IF($I326="?","unknown worker - was the name changed on Workers?",IF($D326="","missing type",IF(N($E326)=0,"missing amount",IF(AND($E326&lt;0,$D326&lt;&gt;"Correction"),"negative amount - use a Correction to undo",IF(OR($B326&lt;Weeks!$A$7,$B326&gt;Weeks!$B$59),"date outside this workbook's year",IF(AND($D326="Advance",N($L326)&lt;0),"Warning: more than earned so far - worker now owes "&amp;TEXT(ROUND(-$L326,0),"#,##0"),"")))))))))</f>
        <v/>
      </c>
      <c r="N326" s="125" t="n"/>
      <c r="O326" s="126" t="n"/>
      <c r="P326" s="126" t="n"/>
      <c r="Q326" s="126" t="n"/>
      <c r="R326" s="126" t="n"/>
      <c r="S326" s="126" t="n"/>
      <c r="T326" s="126" t="n"/>
      <c r="U326" s="126" t="n"/>
      <c r="V326" s="126" t="n"/>
      <c r="W326" s="126" t="n"/>
      <c r="X326" s="126" t="n"/>
      <c r="Y326" s="126" t="n"/>
      <c r="Z326" s="126" t="n"/>
      <c r="AA326" s="126" t="n"/>
      <c r="AB326" s="126" t="n"/>
      <c r="AC326" s="126" t="n"/>
      <c r="AD326" s="126" t="n"/>
      <c r="AE326" s="126" t="n"/>
      <c r="AF326" s="126" t="n"/>
      <c r="AG326" s="126" t="n"/>
      <c r="AH326" s="126" t="n"/>
      <c r="AI326" s="126" t="n"/>
      <c r="AJ326" s="126" t="n"/>
      <c r="AK326" s="126" t="n"/>
      <c r="AL326" s="126" t="n"/>
      <c r="AM326" s="126" t="n"/>
      <c r="AN326" s="126" t="n"/>
    </row>
    <row r="327" ht="21" customFormat="1" customHeight="1" s="127">
      <c r="A327" s="51">
        <f>IF($B327="","",ROW()-6)</f>
        <v/>
      </c>
      <c r="B327" s="268" t="n"/>
      <c r="C327" s="133" t="n"/>
      <c r="D327" s="50" t="n"/>
      <c r="E327" s="265" t="n"/>
      <c r="F327" s="133" t="n"/>
      <c r="G327" s="133" t="n"/>
      <c r="H327" s="50" t="n"/>
      <c r="I327" s="51">
        <f>IF($C327="","",IFERROR(INDEX(WorkerIDs,MATCH($C327,WorkerNames,0)),"?"))</f>
        <v/>
      </c>
      <c r="J327" s="253">
        <f>IF($B327="","",$B327-WEEKDAY($B327,2)+1)</f>
        <v/>
      </c>
      <c r="K327" s="142">
        <f>IF(OR($I327="",$I327="?",$D327&lt;&gt;"Advance",$B327=""),"",$I327&amp;"|"&amp;$J327&amp;"|"&amp;COUNTIFS($I$7:$I327,$I327,$J$7:$J327,$J327,$D$7:$D327,"Advance"))</f>
        <v/>
      </c>
      <c r="L327" s="266">
        <f>IF(OR($I327="",$I327="?",$B327=""),"",SUMPRODUCT((Weeks!$A$7:$A$59&lt;=$J327)*(Weeks!$X$5:$AI$5=$I327)*Weeks!$X$7:$AI$59)-SUMIFS($E$7:$E$1006,$I$7:$I$1006,$I327,$B$7:$B$1006,"&lt;="&amp;$B327))</f>
        <v/>
      </c>
      <c r="M327" s="132">
        <f>IF($B327&amp;$C327&amp;$D327&amp;$E327="","",IF($B327="","missing date",IF($C327="","missing worker",IF($I327="?","unknown worker - was the name changed on Workers?",IF($D327="","missing type",IF(N($E327)=0,"missing amount",IF(AND($E327&lt;0,$D327&lt;&gt;"Correction"),"negative amount - use a Correction to undo",IF(OR($B327&lt;Weeks!$A$7,$B327&gt;Weeks!$B$59),"date outside this workbook's year",IF(AND($D327="Advance",N($L327)&lt;0),"Warning: more than earned so far - worker now owes "&amp;TEXT(ROUND(-$L327,0),"#,##0"),"")))))))))</f>
        <v/>
      </c>
      <c r="N327" s="125" t="n"/>
      <c r="O327" s="126" t="n"/>
      <c r="P327" s="126" t="n"/>
      <c r="Q327" s="126" t="n"/>
      <c r="R327" s="126" t="n"/>
      <c r="S327" s="126" t="n"/>
      <c r="T327" s="126" t="n"/>
      <c r="U327" s="126" t="n"/>
      <c r="V327" s="126" t="n"/>
      <c r="W327" s="126" t="n"/>
      <c r="X327" s="126" t="n"/>
      <c r="Y327" s="126" t="n"/>
      <c r="Z327" s="126" t="n"/>
      <c r="AA327" s="126" t="n"/>
      <c r="AB327" s="126" t="n"/>
      <c r="AC327" s="126" t="n"/>
      <c r="AD327" s="126" t="n"/>
      <c r="AE327" s="126" t="n"/>
      <c r="AF327" s="126" t="n"/>
      <c r="AG327" s="126" t="n"/>
      <c r="AH327" s="126" t="n"/>
      <c r="AI327" s="126" t="n"/>
      <c r="AJ327" s="126" t="n"/>
      <c r="AK327" s="126" t="n"/>
      <c r="AL327" s="126" t="n"/>
      <c r="AM327" s="126" t="n"/>
      <c r="AN327" s="126" t="n"/>
    </row>
    <row r="328" ht="21" customFormat="1" customHeight="1" s="127">
      <c r="A328" s="51">
        <f>IF($B328="","",ROW()-6)</f>
        <v/>
      </c>
      <c r="B328" s="268" t="n"/>
      <c r="C328" s="133" t="n"/>
      <c r="D328" s="50" t="n"/>
      <c r="E328" s="265" t="n"/>
      <c r="F328" s="133" t="n"/>
      <c r="G328" s="133" t="n"/>
      <c r="H328" s="50" t="n"/>
      <c r="I328" s="51">
        <f>IF($C328="","",IFERROR(INDEX(WorkerIDs,MATCH($C328,WorkerNames,0)),"?"))</f>
        <v/>
      </c>
      <c r="J328" s="253">
        <f>IF($B328="","",$B328-WEEKDAY($B328,2)+1)</f>
        <v/>
      </c>
      <c r="K328" s="142">
        <f>IF(OR($I328="",$I328="?",$D328&lt;&gt;"Advance",$B328=""),"",$I328&amp;"|"&amp;$J328&amp;"|"&amp;COUNTIFS($I$7:$I328,$I328,$J$7:$J328,$J328,$D$7:$D328,"Advance"))</f>
        <v/>
      </c>
      <c r="L328" s="266">
        <f>IF(OR($I328="",$I328="?",$B328=""),"",SUMPRODUCT((Weeks!$A$7:$A$59&lt;=$J328)*(Weeks!$X$5:$AI$5=$I328)*Weeks!$X$7:$AI$59)-SUMIFS($E$7:$E$1006,$I$7:$I$1006,$I328,$B$7:$B$1006,"&lt;="&amp;$B328))</f>
        <v/>
      </c>
      <c r="M328" s="132">
        <f>IF($B328&amp;$C328&amp;$D328&amp;$E328="","",IF($B328="","missing date",IF($C328="","missing worker",IF($I328="?","unknown worker - was the name changed on Workers?",IF($D328="","missing type",IF(N($E328)=0,"missing amount",IF(AND($E328&lt;0,$D328&lt;&gt;"Correction"),"negative amount - use a Correction to undo",IF(OR($B328&lt;Weeks!$A$7,$B328&gt;Weeks!$B$59),"date outside this workbook's year",IF(AND($D328="Advance",N($L328)&lt;0),"Warning: more than earned so far - worker now owes "&amp;TEXT(ROUND(-$L328,0),"#,##0"),"")))))))))</f>
        <v/>
      </c>
      <c r="N328" s="125" t="n"/>
      <c r="O328" s="126" t="n"/>
      <c r="P328" s="126" t="n"/>
      <c r="Q328" s="126" t="n"/>
      <c r="R328" s="126" t="n"/>
      <c r="S328" s="126" t="n"/>
      <c r="T328" s="126" t="n"/>
      <c r="U328" s="126" t="n"/>
      <c r="V328" s="126" t="n"/>
      <c r="W328" s="126" t="n"/>
      <c r="X328" s="126" t="n"/>
      <c r="Y328" s="126" t="n"/>
      <c r="Z328" s="126" t="n"/>
      <c r="AA328" s="126" t="n"/>
      <c r="AB328" s="126" t="n"/>
      <c r="AC328" s="126" t="n"/>
      <c r="AD328" s="126" t="n"/>
      <c r="AE328" s="126" t="n"/>
      <c r="AF328" s="126" t="n"/>
      <c r="AG328" s="126" t="n"/>
      <c r="AH328" s="126" t="n"/>
      <c r="AI328" s="126" t="n"/>
      <c r="AJ328" s="126" t="n"/>
      <c r="AK328" s="126" t="n"/>
      <c r="AL328" s="126" t="n"/>
      <c r="AM328" s="126" t="n"/>
      <c r="AN328" s="126" t="n"/>
    </row>
    <row r="329" ht="21" customFormat="1" customHeight="1" s="127">
      <c r="A329" s="51">
        <f>IF($B329="","",ROW()-6)</f>
        <v/>
      </c>
      <c r="B329" s="268" t="n"/>
      <c r="C329" s="133" t="n"/>
      <c r="D329" s="50" t="n"/>
      <c r="E329" s="265" t="n"/>
      <c r="F329" s="133" t="n"/>
      <c r="G329" s="133" t="n"/>
      <c r="H329" s="50" t="n"/>
      <c r="I329" s="51">
        <f>IF($C329="","",IFERROR(INDEX(WorkerIDs,MATCH($C329,WorkerNames,0)),"?"))</f>
        <v/>
      </c>
      <c r="J329" s="253">
        <f>IF($B329="","",$B329-WEEKDAY($B329,2)+1)</f>
        <v/>
      </c>
      <c r="K329" s="142">
        <f>IF(OR($I329="",$I329="?",$D329&lt;&gt;"Advance",$B329=""),"",$I329&amp;"|"&amp;$J329&amp;"|"&amp;COUNTIFS($I$7:$I329,$I329,$J$7:$J329,$J329,$D$7:$D329,"Advance"))</f>
        <v/>
      </c>
      <c r="L329" s="266">
        <f>IF(OR($I329="",$I329="?",$B329=""),"",SUMPRODUCT((Weeks!$A$7:$A$59&lt;=$J329)*(Weeks!$X$5:$AI$5=$I329)*Weeks!$X$7:$AI$59)-SUMIFS($E$7:$E$1006,$I$7:$I$1006,$I329,$B$7:$B$1006,"&lt;="&amp;$B329))</f>
        <v/>
      </c>
      <c r="M329" s="132">
        <f>IF($B329&amp;$C329&amp;$D329&amp;$E329="","",IF($B329="","missing date",IF($C329="","missing worker",IF($I329="?","unknown worker - was the name changed on Workers?",IF($D329="","missing type",IF(N($E329)=0,"missing amount",IF(AND($E329&lt;0,$D329&lt;&gt;"Correction"),"negative amount - use a Correction to undo",IF(OR($B329&lt;Weeks!$A$7,$B329&gt;Weeks!$B$59),"date outside this workbook's year",IF(AND($D329="Advance",N($L329)&lt;0),"Warning: more than earned so far - worker now owes "&amp;TEXT(ROUND(-$L329,0),"#,##0"),"")))))))))</f>
        <v/>
      </c>
      <c r="N329" s="125" t="n"/>
      <c r="O329" s="126" t="n"/>
      <c r="P329" s="126" t="n"/>
      <c r="Q329" s="126" t="n"/>
      <c r="R329" s="126" t="n"/>
      <c r="S329" s="126" t="n"/>
      <c r="T329" s="126" t="n"/>
      <c r="U329" s="126" t="n"/>
      <c r="V329" s="126" t="n"/>
      <c r="W329" s="126" t="n"/>
      <c r="X329" s="126" t="n"/>
      <c r="Y329" s="126" t="n"/>
      <c r="Z329" s="126" t="n"/>
      <c r="AA329" s="126" t="n"/>
      <c r="AB329" s="126" t="n"/>
      <c r="AC329" s="126" t="n"/>
      <c r="AD329" s="126" t="n"/>
      <c r="AE329" s="126" t="n"/>
      <c r="AF329" s="126" t="n"/>
      <c r="AG329" s="126" t="n"/>
      <c r="AH329" s="126" t="n"/>
      <c r="AI329" s="126" t="n"/>
      <c r="AJ329" s="126" t="n"/>
      <c r="AK329" s="126" t="n"/>
      <c r="AL329" s="126" t="n"/>
      <c r="AM329" s="126" t="n"/>
      <c r="AN329" s="126" t="n"/>
    </row>
    <row r="330" ht="21" customFormat="1" customHeight="1" s="127">
      <c r="A330" s="51">
        <f>IF($B330="","",ROW()-6)</f>
        <v/>
      </c>
      <c r="B330" s="268" t="n"/>
      <c r="C330" s="133" t="n"/>
      <c r="D330" s="50" t="n"/>
      <c r="E330" s="265" t="n"/>
      <c r="F330" s="133" t="n"/>
      <c r="G330" s="133" t="n"/>
      <c r="H330" s="50" t="n"/>
      <c r="I330" s="51">
        <f>IF($C330="","",IFERROR(INDEX(WorkerIDs,MATCH($C330,WorkerNames,0)),"?"))</f>
        <v/>
      </c>
      <c r="J330" s="253">
        <f>IF($B330="","",$B330-WEEKDAY($B330,2)+1)</f>
        <v/>
      </c>
      <c r="K330" s="142">
        <f>IF(OR($I330="",$I330="?",$D330&lt;&gt;"Advance",$B330=""),"",$I330&amp;"|"&amp;$J330&amp;"|"&amp;COUNTIFS($I$7:$I330,$I330,$J$7:$J330,$J330,$D$7:$D330,"Advance"))</f>
        <v/>
      </c>
      <c r="L330" s="266">
        <f>IF(OR($I330="",$I330="?",$B330=""),"",SUMPRODUCT((Weeks!$A$7:$A$59&lt;=$J330)*(Weeks!$X$5:$AI$5=$I330)*Weeks!$X$7:$AI$59)-SUMIFS($E$7:$E$1006,$I$7:$I$1006,$I330,$B$7:$B$1006,"&lt;="&amp;$B330))</f>
        <v/>
      </c>
      <c r="M330" s="132">
        <f>IF($B330&amp;$C330&amp;$D330&amp;$E330="","",IF($B330="","missing date",IF($C330="","missing worker",IF($I330="?","unknown worker - was the name changed on Workers?",IF($D330="","missing type",IF(N($E330)=0,"missing amount",IF(AND($E330&lt;0,$D330&lt;&gt;"Correction"),"negative amount - use a Correction to undo",IF(OR($B330&lt;Weeks!$A$7,$B330&gt;Weeks!$B$59),"date outside this workbook's year",IF(AND($D330="Advance",N($L330)&lt;0),"Warning: more than earned so far - worker now owes "&amp;TEXT(ROUND(-$L330,0),"#,##0"),"")))))))))</f>
        <v/>
      </c>
      <c r="N330" s="125" t="n"/>
      <c r="O330" s="126" t="n"/>
      <c r="P330" s="126" t="n"/>
      <c r="Q330" s="126" t="n"/>
      <c r="R330" s="126" t="n"/>
      <c r="S330" s="126" t="n"/>
      <c r="T330" s="126" t="n"/>
      <c r="U330" s="126" t="n"/>
      <c r="V330" s="126" t="n"/>
      <c r="W330" s="126" t="n"/>
      <c r="X330" s="126" t="n"/>
      <c r="Y330" s="126" t="n"/>
      <c r="Z330" s="126" t="n"/>
      <c r="AA330" s="126" t="n"/>
      <c r="AB330" s="126" t="n"/>
      <c r="AC330" s="126" t="n"/>
      <c r="AD330" s="126" t="n"/>
      <c r="AE330" s="126" t="n"/>
      <c r="AF330" s="126" t="n"/>
      <c r="AG330" s="126" t="n"/>
      <c r="AH330" s="126" t="n"/>
      <c r="AI330" s="126" t="n"/>
      <c r="AJ330" s="126" t="n"/>
      <c r="AK330" s="126" t="n"/>
      <c r="AL330" s="126" t="n"/>
      <c r="AM330" s="126" t="n"/>
      <c r="AN330" s="126" t="n"/>
    </row>
    <row r="331" ht="21" customFormat="1" customHeight="1" s="127">
      <c r="A331" s="51">
        <f>IF($B331="","",ROW()-6)</f>
        <v/>
      </c>
      <c r="B331" s="268" t="n"/>
      <c r="C331" s="133" t="n"/>
      <c r="D331" s="50" t="n"/>
      <c r="E331" s="265" t="n"/>
      <c r="F331" s="133" t="n"/>
      <c r="G331" s="133" t="n"/>
      <c r="H331" s="50" t="n"/>
      <c r="I331" s="51">
        <f>IF($C331="","",IFERROR(INDEX(WorkerIDs,MATCH($C331,WorkerNames,0)),"?"))</f>
        <v/>
      </c>
      <c r="J331" s="253">
        <f>IF($B331="","",$B331-WEEKDAY($B331,2)+1)</f>
        <v/>
      </c>
      <c r="K331" s="142">
        <f>IF(OR($I331="",$I331="?",$D331&lt;&gt;"Advance",$B331=""),"",$I331&amp;"|"&amp;$J331&amp;"|"&amp;COUNTIFS($I$7:$I331,$I331,$J$7:$J331,$J331,$D$7:$D331,"Advance"))</f>
        <v/>
      </c>
      <c r="L331" s="266">
        <f>IF(OR($I331="",$I331="?",$B331=""),"",SUMPRODUCT((Weeks!$A$7:$A$59&lt;=$J331)*(Weeks!$X$5:$AI$5=$I331)*Weeks!$X$7:$AI$59)-SUMIFS($E$7:$E$1006,$I$7:$I$1006,$I331,$B$7:$B$1006,"&lt;="&amp;$B331))</f>
        <v/>
      </c>
      <c r="M331" s="132">
        <f>IF($B331&amp;$C331&amp;$D331&amp;$E331="","",IF($B331="","missing date",IF($C331="","missing worker",IF($I331="?","unknown worker - was the name changed on Workers?",IF($D331="","missing type",IF(N($E331)=0,"missing amount",IF(AND($E331&lt;0,$D331&lt;&gt;"Correction"),"negative amount - use a Correction to undo",IF(OR($B331&lt;Weeks!$A$7,$B331&gt;Weeks!$B$59),"date outside this workbook's year",IF(AND($D331="Advance",N($L331)&lt;0),"Warning: more than earned so far - worker now owes "&amp;TEXT(ROUND(-$L331,0),"#,##0"),"")))))))))</f>
        <v/>
      </c>
      <c r="N331" s="125" t="n"/>
      <c r="O331" s="126" t="n"/>
      <c r="P331" s="126" t="n"/>
      <c r="Q331" s="126" t="n"/>
      <c r="R331" s="126" t="n"/>
      <c r="S331" s="126" t="n"/>
      <c r="T331" s="126" t="n"/>
      <c r="U331" s="126" t="n"/>
      <c r="V331" s="126" t="n"/>
      <c r="W331" s="126" t="n"/>
      <c r="X331" s="126" t="n"/>
      <c r="Y331" s="126" t="n"/>
      <c r="Z331" s="126" t="n"/>
      <c r="AA331" s="126" t="n"/>
      <c r="AB331" s="126" t="n"/>
      <c r="AC331" s="126" t="n"/>
      <c r="AD331" s="126" t="n"/>
      <c r="AE331" s="126" t="n"/>
      <c r="AF331" s="126" t="n"/>
      <c r="AG331" s="126" t="n"/>
      <c r="AH331" s="126" t="n"/>
      <c r="AI331" s="126" t="n"/>
      <c r="AJ331" s="126" t="n"/>
      <c r="AK331" s="126" t="n"/>
      <c r="AL331" s="126" t="n"/>
      <c r="AM331" s="126" t="n"/>
      <c r="AN331" s="126" t="n"/>
    </row>
    <row r="332" ht="21" customFormat="1" customHeight="1" s="127">
      <c r="A332" s="51">
        <f>IF($B332="","",ROW()-6)</f>
        <v/>
      </c>
      <c r="B332" s="268" t="n"/>
      <c r="C332" s="133" t="n"/>
      <c r="D332" s="50" t="n"/>
      <c r="E332" s="265" t="n"/>
      <c r="F332" s="133" t="n"/>
      <c r="G332" s="133" t="n"/>
      <c r="H332" s="50" t="n"/>
      <c r="I332" s="51">
        <f>IF($C332="","",IFERROR(INDEX(WorkerIDs,MATCH($C332,WorkerNames,0)),"?"))</f>
        <v/>
      </c>
      <c r="J332" s="253">
        <f>IF($B332="","",$B332-WEEKDAY($B332,2)+1)</f>
        <v/>
      </c>
      <c r="K332" s="142">
        <f>IF(OR($I332="",$I332="?",$D332&lt;&gt;"Advance",$B332=""),"",$I332&amp;"|"&amp;$J332&amp;"|"&amp;COUNTIFS($I$7:$I332,$I332,$J$7:$J332,$J332,$D$7:$D332,"Advance"))</f>
        <v/>
      </c>
      <c r="L332" s="266">
        <f>IF(OR($I332="",$I332="?",$B332=""),"",SUMPRODUCT((Weeks!$A$7:$A$59&lt;=$J332)*(Weeks!$X$5:$AI$5=$I332)*Weeks!$X$7:$AI$59)-SUMIFS($E$7:$E$1006,$I$7:$I$1006,$I332,$B$7:$B$1006,"&lt;="&amp;$B332))</f>
        <v/>
      </c>
      <c r="M332" s="132">
        <f>IF($B332&amp;$C332&amp;$D332&amp;$E332="","",IF($B332="","missing date",IF($C332="","missing worker",IF($I332="?","unknown worker - was the name changed on Workers?",IF($D332="","missing type",IF(N($E332)=0,"missing amount",IF(AND($E332&lt;0,$D332&lt;&gt;"Correction"),"negative amount - use a Correction to undo",IF(OR($B332&lt;Weeks!$A$7,$B332&gt;Weeks!$B$59),"date outside this workbook's year",IF(AND($D332="Advance",N($L332)&lt;0),"Warning: more than earned so far - worker now owes "&amp;TEXT(ROUND(-$L332,0),"#,##0"),"")))))))))</f>
        <v/>
      </c>
      <c r="N332" s="125" t="n"/>
      <c r="O332" s="126" t="n"/>
      <c r="P332" s="126" t="n"/>
      <c r="Q332" s="126" t="n"/>
      <c r="R332" s="126" t="n"/>
      <c r="S332" s="126" t="n"/>
      <c r="T332" s="126" t="n"/>
      <c r="U332" s="126" t="n"/>
      <c r="V332" s="126" t="n"/>
      <c r="W332" s="126" t="n"/>
      <c r="X332" s="126" t="n"/>
      <c r="Y332" s="126" t="n"/>
      <c r="Z332" s="126" t="n"/>
      <c r="AA332" s="126" t="n"/>
      <c r="AB332" s="126" t="n"/>
      <c r="AC332" s="126" t="n"/>
      <c r="AD332" s="126" t="n"/>
      <c r="AE332" s="126" t="n"/>
      <c r="AF332" s="126" t="n"/>
      <c r="AG332" s="126" t="n"/>
      <c r="AH332" s="126" t="n"/>
      <c r="AI332" s="126" t="n"/>
      <c r="AJ332" s="126" t="n"/>
      <c r="AK332" s="126" t="n"/>
      <c r="AL332" s="126" t="n"/>
      <c r="AM332" s="126" t="n"/>
      <c r="AN332" s="126" t="n"/>
    </row>
    <row r="333" ht="21" customFormat="1" customHeight="1" s="127">
      <c r="A333" s="51">
        <f>IF($B333="","",ROW()-6)</f>
        <v/>
      </c>
      <c r="B333" s="268" t="n"/>
      <c r="C333" s="133" t="n"/>
      <c r="D333" s="50" t="n"/>
      <c r="E333" s="265" t="n"/>
      <c r="F333" s="133" t="n"/>
      <c r="G333" s="133" t="n"/>
      <c r="H333" s="50" t="n"/>
      <c r="I333" s="51">
        <f>IF($C333="","",IFERROR(INDEX(WorkerIDs,MATCH($C333,WorkerNames,0)),"?"))</f>
        <v/>
      </c>
      <c r="J333" s="253">
        <f>IF($B333="","",$B333-WEEKDAY($B333,2)+1)</f>
        <v/>
      </c>
      <c r="K333" s="142">
        <f>IF(OR($I333="",$I333="?",$D333&lt;&gt;"Advance",$B333=""),"",$I333&amp;"|"&amp;$J333&amp;"|"&amp;COUNTIFS($I$7:$I333,$I333,$J$7:$J333,$J333,$D$7:$D333,"Advance"))</f>
        <v/>
      </c>
      <c r="L333" s="266">
        <f>IF(OR($I333="",$I333="?",$B333=""),"",SUMPRODUCT((Weeks!$A$7:$A$59&lt;=$J333)*(Weeks!$X$5:$AI$5=$I333)*Weeks!$X$7:$AI$59)-SUMIFS($E$7:$E$1006,$I$7:$I$1006,$I333,$B$7:$B$1006,"&lt;="&amp;$B333))</f>
        <v/>
      </c>
      <c r="M333" s="132">
        <f>IF($B333&amp;$C333&amp;$D333&amp;$E333="","",IF($B333="","missing date",IF($C333="","missing worker",IF($I333="?","unknown worker - was the name changed on Workers?",IF($D333="","missing type",IF(N($E333)=0,"missing amount",IF(AND($E333&lt;0,$D333&lt;&gt;"Correction"),"negative amount - use a Correction to undo",IF(OR($B333&lt;Weeks!$A$7,$B333&gt;Weeks!$B$59),"date outside this workbook's year",IF(AND($D333="Advance",N($L333)&lt;0),"Warning: more than earned so far - worker now owes "&amp;TEXT(ROUND(-$L333,0),"#,##0"),"")))))))))</f>
        <v/>
      </c>
      <c r="N333" s="125" t="n"/>
      <c r="O333" s="126" t="n"/>
      <c r="P333" s="126" t="n"/>
      <c r="Q333" s="126" t="n"/>
      <c r="R333" s="126" t="n"/>
      <c r="S333" s="126" t="n"/>
      <c r="T333" s="126" t="n"/>
      <c r="U333" s="126" t="n"/>
      <c r="V333" s="126" t="n"/>
      <c r="W333" s="126" t="n"/>
      <c r="X333" s="126" t="n"/>
      <c r="Y333" s="126" t="n"/>
      <c r="Z333" s="126" t="n"/>
      <c r="AA333" s="126" t="n"/>
      <c r="AB333" s="126" t="n"/>
      <c r="AC333" s="126" t="n"/>
      <c r="AD333" s="126" t="n"/>
      <c r="AE333" s="126" t="n"/>
      <c r="AF333" s="126" t="n"/>
      <c r="AG333" s="126" t="n"/>
      <c r="AH333" s="126" t="n"/>
      <c r="AI333" s="126" t="n"/>
      <c r="AJ333" s="126" t="n"/>
      <c r="AK333" s="126" t="n"/>
      <c r="AL333" s="126" t="n"/>
      <c r="AM333" s="126" t="n"/>
      <c r="AN333" s="126" t="n"/>
    </row>
    <row r="334" ht="21" customFormat="1" customHeight="1" s="127">
      <c r="A334" s="51">
        <f>IF($B334="","",ROW()-6)</f>
        <v/>
      </c>
      <c r="B334" s="268" t="n"/>
      <c r="C334" s="133" t="n"/>
      <c r="D334" s="50" t="n"/>
      <c r="E334" s="265" t="n"/>
      <c r="F334" s="133" t="n"/>
      <c r="G334" s="133" t="n"/>
      <c r="H334" s="50" t="n"/>
      <c r="I334" s="51">
        <f>IF($C334="","",IFERROR(INDEX(WorkerIDs,MATCH($C334,WorkerNames,0)),"?"))</f>
        <v/>
      </c>
      <c r="J334" s="253">
        <f>IF($B334="","",$B334-WEEKDAY($B334,2)+1)</f>
        <v/>
      </c>
      <c r="K334" s="142">
        <f>IF(OR($I334="",$I334="?",$D334&lt;&gt;"Advance",$B334=""),"",$I334&amp;"|"&amp;$J334&amp;"|"&amp;COUNTIFS($I$7:$I334,$I334,$J$7:$J334,$J334,$D$7:$D334,"Advance"))</f>
        <v/>
      </c>
      <c r="L334" s="266">
        <f>IF(OR($I334="",$I334="?",$B334=""),"",SUMPRODUCT((Weeks!$A$7:$A$59&lt;=$J334)*(Weeks!$X$5:$AI$5=$I334)*Weeks!$X$7:$AI$59)-SUMIFS($E$7:$E$1006,$I$7:$I$1006,$I334,$B$7:$B$1006,"&lt;="&amp;$B334))</f>
        <v/>
      </c>
      <c r="M334" s="132">
        <f>IF($B334&amp;$C334&amp;$D334&amp;$E334="","",IF($B334="","missing date",IF($C334="","missing worker",IF($I334="?","unknown worker - was the name changed on Workers?",IF($D334="","missing type",IF(N($E334)=0,"missing amount",IF(AND($E334&lt;0,$D334&lt;&gt;"Correction"),"negative amount - use a Correction to undo",IF(OR($B334&lt;Weeks!$A$7,$B334&gt;Weeks!$B$59),"date outside this workbook's year",IF(AND($D334="Advance",N($L334)&lt;0),"Warning: more than earned so far - worker now owes "&amp;TEXT(ROUND(-$L334,0),"#,##0"),"")))))))))</f>
        <v/>
      </c>
      <c r="N334" s="125" t="n"/>
      <c r="O334" s="126" t="n"/>
      <c r="P334" s="126" t="n"/>
      <c r="Q334" s="126" t="n"/>
      <c r="R334" s="126" t="n"/>
      <c r="S334" s="126" t="n"/>
      <c r="T334" s="126" t="n"/>
      <c r="U334" s="126" t="n"/>
      <c r="V334" s="126" t="n"/>
      <c r="W334" s="126" t="n"/>
      <c r="X334" s="126" t="n"/>
      <c r="Y334" s="126" t="n"/>
      <c r="Z334" s="126" t="n"/>
      <c r="AA334" s="126" t="n"/>
      <c r="AB334" s="126" t="n"/>
      <c r="AC334" s="126" t="n"/>
      <c r="AD334" s="126" t="n"/>
      <c r="AE334" s="126" t="n"/>
      <c r="AF334" s="126" t="n"/>
      <c r="AG334" s="126" t="n"/>
      <c r="AH334" s="126" t="n"/>
      <c r="AI334" s="126" t="n"/>
      <c r="AJ334" s="126" t="n"/>
      <c r="AK334" s="126" t="n"/>
      <c r="AL334" s="126" t="n"/>
      <c r="AM334" s="126" t="n"/>
      <c r="AN334" s="126" t="n"/>
    </row>
    <row r="335" ht="21" customFormat="1" customHeight="1" s="127">
      <c r="A335" s="51">
        <f>IF($B335="","",ROW()-6)</f>
        <v/>
      </c>
      <c r="B335" s="268" t="n"/>
      <c r="C335" s="133" t="n"/>
      <c r="D335" s="50" t="n"/>
      <c r="E335" s="265" t="n"/>
      <c r="F335" s="133" t="n"/>
      <c r="G335" s="133" t="n"/>
      <c r="H335" s="50" t="n"/>
      <c r="I335" s="51">
        <f>IF($C335="","",IFERROR(INDEX(WorkerIDs,MATCH($C335,WorkerNames,0)),"?"))</f>
        <v/>
      </c>
      <c r="J335" s="253">
        <f>IF($B335="","",$B335-WEEKDAY($B335,2)+1)</f>
        <v/>
      </c>
      <c r="K335" s="142">
        <f>IF(OR($I335="",$I335="?",$D335&lt;&gt;"Advance",$B335=""),"",$I335&amp;"|"&amp;$J335&amp;"|"&amp;COUNTIFS($I$7:$I335,$I335,$J$7:$J335,$J335,$D$7:$D335,"Advance"))</f>
        <v/>
      </c>
      <c r="L335" s="266">
        <f>IF(OR($I335="",$I335="?",$B335=""),"",SUMPRODUCT((Weeks!$A$7:$A$59&lt;=$J335)*(Weeks!$X$5:$AI$5=$I335)*Weeks!$X$7:$AI$59)-SUMIFS($E$7:$E$1006,$I$7:$I$1006,$I335,$B$7:$B$1006,"&lt;="&amp;$B335))</f>
        <v/>
      </c>
      <c r="M335" s="132">
        <f>IF($B335&amp;$C335&amp;$D335&amp;$E335="","",IF($B335="","missing date",IF($C335="","missing worker",IF($I335="?","unknown worker - was the name changed on Workers?",IF($D335="","missing type",IF(N($E335)=0,"missing amount",IF(AND($E335&lt;0,$D335&lt;&gt;"Correction"),"negative amount - use a Correction to undo",IF(OR($B335&lt;Weeks!$A$7,$B335&gt;Weeks!$B$59),"date outside this workbook's year",IF(AND($D335="Advance",N($L335)&lt;0),"Warning: more than earned so far - worker now owes "&amp;TEXT(ROUND(-$L335,0),"#,##0"),"")))))))))</f>
        <v/>
      </c>
      <c r="N335" s="125" t="n"/>
      <c r="O335" s="126" t="n"/>
      <c r="P335" s="126" t="n"/>
      <c r="Q335" s="126" t="n"/>
      <c r="R335" s="126" t="n"/>
      <c r="S335" s="126" t="n"/>
      <c r="T335" s="126" t="n"/>
      <c r="U335" s="126" t="n"/>
      <c r="V335" s="126" t="n"/>
      <c r="W335" s="126" t="n"/>
      <c r="X335" s="126" t="n"/>
      <c r="Y335" s="126" t="n"/>
      <c r="Z335" s="126" t="n"/>
      <c r="AA335" s="126" t="n"/>
      <c r="AB335" s="126" t="n"/>
      <c r="AC335" s="126" t="n"/>
      <c r="AD335" s="126" t="n"/>
      <c r="AE335" s="126" t="n"/>
      <c r="AF335" s="126" t="n"/>
      <c r="AG335" s="126" t="n"/>
      <c r="AH335" s="126" t="n"/>
      <c r="AI335" s="126" t="n"/>
      <c r="AJ335" s="126" t="n"/>
      <c r="AK335" s="126" t="n"/>
      <c r="AL335" s="126" t="n"/>
      <c r="AM335" s="126" t="n"/>
      <c r="AN335" s="126" t="n"/>
    </row>
    <row r="336" ht="21" customFormat="1" customHeight="1" s="127">
      <c r="A336" s="51">
        <f>IF($B336="","",ROW()-6)</f>
        <v/>
      </c>
      <c r="B336" s="268" t="n"/>
      <c r="C336" s="133" t="n"/>
      <c r="D336" s="50" t="n"/>
      <c r="E336" s="265" t="n"/>
      <c r="F336" s="133" t="n"/>
      <c r="G336" s="133" t="n"/>
      <c r="H336" s="50" t="n"/>
      <c r="I336" s="51">
        <f>IF($C336="","",IFERROR(INDEX(WorkerIDs,MATCH($C336,WorkerNames,0)),"?"))</f>
        <v/>
      </c>
      <c r="J336" s="253">
        <f>IF($B336="","",$B336-WEEKDAY($B336,2)+1)</f>
        <v/>
      </c>
      <c r="K336" s="142">
        <f>IF(OR($I336="",$I336="?",$D336&lt;&gt;"Advance",$B336=""),"",$I336&amp;"|"&amp;$J336&amp;"|"&amp;COUNTIFS($I$7:$I336,$I336,$J$7:$J336,$J336,$D$7:$D336,"Advance"))</f>
        <v/>
      </c>
      <c r="L336" s="266">
        <f>IF(OR($I336="",$I336="?",$B336=""),"",SUMPRODUCT((Weeks!$A$7:$A$59&lt;=$J336)*(Weeks!$X$5:$AI$5=$I336)*Weeks!$X$7:$AI$59)-SUMIFS($E$7:$E$1006,$I$7:$I$1006,$I336,$B$7:$B$1006,"&lt;="&amp;$B336))</f>
        <v/>
      </c>
      <c r="M336" s="132">
        <f>IF($B336&amp;$C336&amp;$D336&amp;$E336="","",IF($B336="","missing date",IF($C336="","missing worker",IF($I336="?","unknown worker - was the name changed on Workers?",IF($D336="","missing type",IF(N($E336)=0,"missing amount",IF(AND($E336&lt;0,$D336&lt;&gt;"Correction"),"negative amount - use a Correction to undo",IF(OR($B336&lt;Weeks!$A$7,$B336&gt;Weeks!$B$59),"date outside this workbook's year",IF(AND($D336="Advance",N($L336)&lt;0),"Warning: more than earned so far - worker now owes "&amp;TEXT(ROUND(-$L336,0),"#,##0"),"")))))))))</f>
        <v/>
      </c>
      <c r="N336" s="125" t="n"/>
      <c r="O336" s="126" t="n"/>
      <c r="P336" s="126" t="n"/>
      <c r="Q336" s="126" t="n"/>
      <c r="R336" s="126" t="n"/>
      <c r="S336" s="126" t="n"/>
      <c r="T336" s="126" t="n"/>
      <c r="U336" s="126" t="n"/>
      <c r="V336" s="126" t="n"/>
      <c r="W336" s="126" t="n"/>
      <c r="X336" s="126" t="n"/>
      <c r="Y336" s="126" t="n"/>
      <c r="Z336" s="126" t="n"/>
      <c r="AA336" s="126" t="n"/>
      <c r="AB336" s="126" t="n"/>
      <c r="AC336" s="126" t="n"/>
      <c r="AD336" s="126" t="n"/>
      <c r="AE336" s="126" t="n"/>
      <c r="AF336" s="126" t="n"/>
      <c r="AG336" s="126" t="n"/>
      <c r="AH336" s="126" t="n"/>
      <c r="AI336" s="126" t="n"/>
      <c r="AJ336" s="126" t="n"/>
      <c r="AK336" s="126" t="n"/>
      <c r="AL336" s="126" t="n"/>
      <c r="AM336" s="126" t="n"/>
      <c r="AN336" s="126" t="n"/>
    </row>
    <row r="337" ht="21" customFormat="1" customHeight="1" s="127">
      <c r="A337" s="51">
        <f>IF($B337="","",ROW()-6)</f>
        <v/>
      </c>
      <c r="B337" s="268" t="n"/>
      <c r="C337" s="133" t="n"/>
      <c r="D337" s="50" t="n"/>
      <c r="E337" s="265" t="n"/>
      <c r="F337" s="133" t="n"/>
      <c r="G337" s="133" t="n"/>
      <c r="H337" s="50" t="n"/>
      <c r="I337" s="51">
        <f>IF($C337="","",IFERROR(INDEX(WorkerIDs,MATCH($C337,WorkerNames,0)),"?"))</f>
        <v/>
      </c>
      <c r="J337" s="253">
        <f>IF($B337="","",$B337-WEEKDAY($B337,2)+1)</f>
        <v/>
      </c>
      <c r="K337" s="142">
        <f>IF(OR($I337="",$I337="?",$D337&lt;&gt;"Advance",$B337=""),"",$I337&amp;"|"&amp;$J337&amp;"|"&amp;COUNTIFS($I$7:$I337,$I337,$J$7:$J337,$J337,$D$7:$D337,"Advance"))</f>
        <v/>
      </c>
      <c r="L337" s="266">
        <f>IF(OR($I337="",$I337="?",$B337=""),"",SUMPRODUCT((Weeks!$A$7:$A$59&lt;=$J337)*(Weeks!$X$5:$AI$5=$I337)*Weeks!$X$7:$AI$59)-SUMIFS($E$7:$E$1006,$I$7:$I$1006,$I337,$B$7:$B$1006,"&lt;="&amp;$B337))</f>
        <v/>
      </c>
      <c r="M337" s="132">
        <f>IF($B337&amp;$C337&amp;$D337&amp;$E337="","",IF($B337="","missing date",IF($C337="","missing worker",IF($I337="?","unknown worker - was the name changed on Workers?",IF($D337="","missing type",IF(N($E337)=0,"missing amount",IF(AND($E337&lt;0,$D337&lt;&gt;"Correction"),"negative amount - use a Correction to undo",IF(OR($B337&lt;Weeks!$A$7,$B337&gt;Weeks!$B$59),"date outside this workbook's year",IF(AND($D337="Advance",N($L337)&lt;0),"Warning: more than earned so far - worker now owes "&amp;TEXT(ROUND(-$L337,0),"#,##0"),"")))))))))</f>
        <v/>
      </c>
      <c r="N337" s="125" t="n"/>
      <c r="O337" s="126" t="n"/>
      <c r="P337" s="126" t="n"/>
      <c r="Q337" s="126" t="n"/>
      <c r="R337" s="126" t="n"/>
      <c r="S337" s="126" t="n"/>
      <c r="T337" s="126" t="n"/>
      <c r="U337" s="126" t="n"/>
      <c r="V337" s="126" t="n"/>
      <c r="W337" s="126" t="n"/>
      <c r="X337" s="126" t="n"/>
      <c r="Y337" s="126" t="n"/>
      <c r="Z337" s="126" t="n"/>
      <c r="AA337" s="126" t="n"/>
      <c r="AB337" s="126" t="n"/>
      <c r="AC337" s="126" t="n"/>
      <c r="AD337" s="126" t="n"/>
      <c r="AE337" s="126" t="n"/>
      <c r="AF337" s="126" t="n"/>
      <c r="AG337" s="126" t="n"/>
      <c r="AH337" s="126" t="n"/>
      <c r="AI337" s="126" t="n"/>
      <c r="AJ337" s="126" t="n"/>
      <c r="AK337" s="126" t="n"/>
      <c r="AL337" s="126" t="n"/>
      <c r="AM337" s="126" t="n"/>
      <c r="AN337" s="126" t="n"/>
    </row>
    <row r="338" ht="21" customFormat="1" customHeight="1" s="127">
      <c r="A338" s="51">
        <f>IF($B338="","",ROW()-6)</f>
        <v/>
      </c>
      <c r="B338" s="268" t="n"/>
      <c r="C338" s="133" t="n"/>
      <c r="D338" s="50" t="n"/>
      <c r="E338" s="265" t="n"/>
      <c r="F338" s="133" t="n"/>
      <c r="G338" s="133" t="n"/>
      <c r="H338" s="50" t="n"/>
      <c r="I338" s="51">
        <f>IF($C338="","",IFERROR(INDEX(WorkerIDs,MATCH($C338,WorkerNames,0)),"?"))</f>
        <v/>
      </c>
      <c r="J338" s="253">
        <f>IF($B338="","",$B338-WEEKDAY($B338,2)+1)</f>
        <v/>
      </c>
      <c r="K338" s="142">
        <f>IF(OR($I338="",$I338="?",$D338&lt;&gt;"Advance",$B338=""),"",$I338&amp;"|"&amp;$J338&amp;"|"&amp;COUNTIFS($I$7:$I338,$I338,$J$7:$J338,$J338,$D$7:$D338,"Advance"))</f>
        <v/>
      </c>
      <c r="L338" s="266">
        <f>IF(OR($I338="",$I338="?",$B338=""),"",SUMPRODUCT((Weeks!$A$7:$A$59&lt;=$J338)*(Weeks!$X$5:$AI$5=$I338)*Weeks!$X$7:$AI$59)-SUMIFS($E$7:$E$1006,$I$7:$I$1006,$I338,$B$7:$B$1006,"&lt;="&amp;$B338))</f>
        <v/>
      </c>
      <c r="M338" s="132">
        <f>IF($B338&amp;$C338&amp;$D338&amp;$E338="","",IF($B338="","missing date",IF($C338="","missing worker",IF($I338="?","unknown worker - was the name changed on Workers?",IF($D338="","missing type",IF(N($E338)=0,"missing amount",IF(AND($E338&lt;0,$D338&lt;&gt;"Correction"),"negative amount - use a Correction to undo",IF(OR($B338&lt;Weeks!$A$7,$B338&gt;Weeks!$B$59),"date outside this workbook's year",IF(AND($D338="Advance",N($L338)&lt;0),"Warning: more than earned so far - worker now owes "&amp;TEXT(ROUND(-$L338,0),"#,##0"),"")))))))))</f>
        <v/>
      </c>
      <c r="N338" s="125" t="n"/>
      <c r="O338" s="126" t="n"/>
      <c r="P338" s="126" t="n"/>
      <c r="Q338" s="126" t="n"/>
      <c r="R338" s="126" t="n"/>
      <c r="S338" s="126" t="n"/>
      <c r="T338" s="126" t="n"/>
      <c r="U338" s="126" t="n"/>
      <c r="V338" s="126" t="n"/>
      <c r="W338" s="126" t="n"/>
      <c r="X338" s="126" t="n"/>
      <c r="Y338" s="126" t="n"/>
      <c r="Z338" s="126" t="n"/>
      <c r="AA338" s="126" t="n"/>
      <c r="AB338" s="126" t="n"/>
      <c r="AC338" s="126" t="n"/>
      <c r="AD338" s="126" t="n"/>
      <c r="AE338" s="126" t="n"/>
      <c r="AF338" s="126" t="n"/>
      <c r="AG338" s="126" t="n"/>
      <c r="AH338" s="126" t="n"/>
      <c r="AI338" s="126" t="n"/>
      <c r="AJ338" s="126" t="n"/>
      <c r="AK338" s="126" t="n"/>
      <c r="AL338" s="126" t="n"/>
      <c r="AM338" s="126" t="n"/>
      <c r="AN338" s="126" t="n"/>
    </row>
    <row r="339" ht="21" customFormat="1" customHeight="1" s="127">
      <c r="A339" s="51">
        <f>IF($B339="","",ROW()-6)</f>
        <v/>
      </c>
      <c r="B339" s="268" t="n"/>
      <c r="C339" s="133" t="n"/>
      <c r="D339" s="50" t="n"/>
      <c r="E339" s="265" t="n"/>
      <c r="F339" s="133" t="n"/>
      <c r="G339" s="133" t="n"/>
      <c r="H339" s="50" t="n"/>
      <c r="I339" s="51">
        <f>IF($C339="","",IFERROR(INDEX(WorkerIDs,MATCH($C339,WorkerNames,0)),"?"))</f>
        <v/>
      </c>
      <c r="J339" s="253">
        <f>IF($B339="","",$B339-WEEKDAY($B339,2)+1)</f>
        <v/>
      </c>
      <c r="K339" s="142">
        <f>IF(OR($I339="",$I339="?",$D339&lt;&gt;"Advance",$B339=""),"",$I339&amp;"|"&amp;$J339&amp;"|"&amp;COUNTIFS($I$7:$I339,$I339,$J$7:$J339,$J339,$D$7:$D339,"Advance"))</f>
        <v/>
      </c>
      <c r="L339" s="266">
        <f>IF(OR($I339="",$I339="?",$B339=""),"",SUMPRODUCT((Weeks!$A$7:$A$59&lt;=$J339)*(Weeks!$X$5:$AI$5=$I339)*Weeks!$X$7:$AI$59)-SUMIFS($E$7:$E$1006,$I$7:$I$1006,$I339,$B$7:$B$1006,"&lt;="&amp;$B339))</f>
        <v/>
      </c>
      <c r="M339" s="132">
        <f>IF($B339&amp;$C339&amp;$D339&amp;$E339="","",IF($B339="","missing date",IF($C339="","missing worker",IF($I339="?","unknown worker - was the name changed on Workers?",IF($D339="","missing type",IF(N($E339)=0,"missing amount",IF(AND($E339&lt;0,$D339&lt;&gt;"Correction"),"negative amount - use a Correction to undo",IF(OR($B339&lt;Weeks!$A$7,$B339&gt;Weeks!$B$59),"date outside this workbook's year",IF(AND($D339="Advance",N($L339)&lt;0),"Warning: more than earned so far - worker now owes "&amp;TEXT(ROUND(-$L339,0),"#,##0"),"")))))))))</f>
        <v/>
      </c>
      <c r="N339" s="125" t="n"/>
      <c r="O339" s="126" t="n"/>
      <c r="P339" s="126" t="n"/>
      <c r="Q339" s="126" t="n"/>
      <c r="R339" s="126" t="n"/>
      <c r="S339" s="126" t="n"/>
      <c r="T339" s="126" t="n"/>
      <c r="U339" s="126" t="n"/>
      <c r="V339" s="126" t="n"/>
      <c r="W339" s="126" t="n"/>
      <c r="X339" s="126" t="n"/>
      <c r="Y339" s="126" t="n"/>
      <c r="Z339" s="126" t="n"/>
      <c r="AA339" s="126" t="n"/>
      <c r="AB339" s="126" t="n"/>
      <c r="AC339" s="126" t="n"/>
      <c r="AD339" s="126" t="n"/>
      <c r="AE339" s="126" t="n"/>
      <c r="AF339" s="126" t="n"/>
      <c r="AG339" s="126" t="n"/>
      <c r="AH339" s="126" t="n"/>
      <c r="AI339" s="126" t="n"/>
      <c r="AJ339" s="126" t="n"/>
      <c r="AK339" s="126" t="n"/>
      <c r="AL339" s="126" t="n"/>
      <c r="AM339" s="126" t="n"/>
      <c r="AN339" s="126" t="n"/>
    </row>
    <row r="340" ht="21" customFormat="1" customHeight="1" s="127">
      <c r="A340" s="51">
        <f>IF($B340="","",ROW()-6)</f>
        <v/>
      </c>
      <c r="B340" s="268" t="n"/>
      <c r="C340" s="133" t="n"/>
      <c r="D340" s="50" t="n"/>
      <c r="E340" s="265" t="n"/>
      <c r="F340" s="133" t="n"/>
      <c r="G340" s="133" t="n"/>
      <c r="H340" s="50" t="n"/>
      <c r="I340" s="51">
        <f>IF($C340="","",IFERROR(INDEX(WorkerIDs,MATCH($C340,WorkerNames,0)),"?"))</f>
        <v/>
      </c>
      <c r="J340" s="253">
        <f>IF($B340="","",$B340-WEEKDAY($B340,2)+1)</f>
        <v/>
      </c>
      <c r="K340" s="142">
        <f>IF(OR($I340="",$I340="?",$D340&lt;&gt;"Advance",$B340=""),"",$I340&amp;"|"&amp;$J340&amp;"|"&amp;COUNTIFS($I$7:$I340,$I340,$J$7:$J340,$J340,$D$7:$D340,"Advance"))</f>
        <v/>
      </c>
      <c r="L340" s="266">
        <f>IF(OR($I340="",$I340="?",$B340=""),"",SUMPRODUCT((Weeks!$A$7:$A$59&lt;=$J340)*(Weeks!$X$5:$AI$5=$I340)*Weeks!$X$7:$AI$59)-SUMIFS($E$7:$E$1006,$I$7:$I$1006,$I340,$B$7:$B$1006,"&lt;="&amp;$B340))</f>
        <v/>
      </c>
      <c r="M340" s="132">
        <f>IF($B340&amp;$C340&amp;$D340&amp;$E340="","",IF($B340="","missing date",IF($C340="","missing worker",IF($I340="?","unknown worker - was the name changed on Workers?",IF($D340="","missing type",IF(N($E340)=0,"missing amount",IF(AND($E340&lt;0,$D340&lt;&gt;"Correction"),"negative amount - use a Correction to undo",IF(OR($B340&lt;Weeks!$A$7,$B340&gt;Weeks!$B$59),"date outside this workbook's year",IF(AND($D340="Advance",N($L340)&lt;0),"Warning: more than earned so far - worker now owes "&amp;TEXT(ROUND(-$L340,0),"#,##0"),"")))))))))</f>
        <v/>
      </c>
      <c r="N340" s="125" t="n"/>
      <c r="O340" s="126" t="n"/>
      <c r="P340" s="126" t="n"/>
      <c r="Q340" s="126" t="n"/>
      <c r="R340" s="126" t="n"/>
      <c r="S340" s="126" t="n"/>
      <c r="T340" s="126" t="n"/>
      <c r="U340" s="126" t="n"/>
      <c r="V340" s="126" t="n"/>
      <c r="W340" s="126" t="n"/>
      <c r="X340" s="126" t="n"/>
      <c r="Y340" s="126" t="n"/>
      <c r="Z340" s="126" t="n"/>
      <c r="AA340" s="126" t="n"/>
      <c r="AB340" s="126" t="n"/>
      <c r="AC340" s="126" t="n"/>
      <c r="AD340" s="126" t="n"/>
      <c r="AE340" s="126" t="n"/>
      <c r="AF340" s="126" t="n"/>
      <c r="AG340" s="126" t="n"/>
      <c r="AH340" s="126" t="n"/>
      <c r="AI340" s="126" t="n"/>
      <c r="AJ340" s="126" t="n"/>
      <c r="AK340" s="126" t="n"/>
      <c r="AL340" s="126" t="n"/>
      <c r="AM340" s="126" t="n"/>
      <c r="AN340" s="126" t="n"/>
    </row>
    <row r="341" ht="21" customFormat="1" customHeight="1" s="127">
      <c r="A341" s="51">
        <f>IF($B341="","",ROW()-6)</f>
        <v/>
      </c>
      <c r="B341" s="268" t="n"/>
      <c r="C341" s="133" t="n"/>
      <c r="D341" s="50" t="n"/>
      <c r="E341" s="265" t="n"/>
      <c r="F341" s="133" t="n"/>
      <c r="G341" s="133" t="n"/>
      <c r="H341" s="50" t="n"/>
      <c r="I341" s="51">
        <f>IF($C341="","",IFERROR(INDEX(WorkerIDs,MATCH($C341,WorkerNames,0)),"?"))</f>
        <v/>
      </c>
      <c r="J341" s="253">
        <f>IF($B341="","",$B341-WEEKDAY($B341,2)+1)</f>
        <v/>
      </c>
      <c r="K341" s="142">
        <f>IF(OR($I341="",$I341="?",$D341&lt;&gt;"Advance",$B341=""),"",$I341&amp;"|"&amp;$J341&amp;"|"&amp;COUNTIFS($I$7:$I341,$I341,$J$7:$J341,$J341,$D$7:$D341,"Advance"))</f>
        <v/>
      </c>
      <c r="L341" s="266">
        <f>IF(OR($I341="",$I341="?",$B341=""),"",SUMPRODUCT((Weeks!$A$7:$A$59&lt;=$J341)*(Weeks!$X$5:$AI$5=$I341)*Weeks!$X$7:$AI$59)-SUMIFS($E$7:$E$1006,$I$7:$I$1006,$I341,$B$7:$B$1006,"&lt;="&amp;$B341))</f>
        <v/>
      </c>
      <c r="M341" s="132">
        <f>IF($B341&amp;$C341&amp;$D341&amp;$E341="","",IF($B341="","missing date",IF($C341="","missing worker",IF($I341="?","unknown worker - was the name changed on Workers?",IF($D341="","missing type",IF(N($E341)=0,"missing amount",IF(AND($E341&lt;0,$D341&lt;&gt;"Correction"),"negative amount - use a Correction to undo",IF(OR($B341&lt;Weeks!$A$7,$B341&gt;Weeks!$B$59),"date outside this workbook's year",IF(AND($D341="Advance",N($L341)&lt;0),"Warning: more than earned so far - worker now owes "&amp;TEXT(ROUND(-$L341,0),"#,##0"),"")))))))))</f>
        <v/>
      </c>
      <c r="N341" s="125" t="n"/>
      <c r="O341" s="126" t="n"/>
      <c r="P341" s="126" t="n"/>
      <c r="Q341" s="126" t="n"/>
      <c r="R341" s="126" t="n"/>
      <c r="S341" s="126" t="n"/>
      <c r="T341" s="126" t="n"/>
      <c r="U341" s="126" t="n"/>
      <c r="V341" s="126" t="n"/>
      <c r="W341" s="126" t="n"/>
      <c r="X341" s="126" t="n"/>
      <c r="Y341" s="126" t="n"/>
      <c r="Z341" s="126" t="n"/>
      <c r="AA341" s="126" t="n"/>
      <c r="AB341" s="126" t="n"/>
      <c r="AC341" s="126" t="n"/>
      <c r="AD341" s="126" t="n"/>
      <c r="AE341" s="126" t="n"/>
      <c r="AF341" s="126" t="n"/>
      <c r="AG341" s="126" t="n"/>
      <c r="AH341" s="126" t="n"/>
      <c r="AI341" s="126" t="n"/>
      <c r="AJ341" s="126" t="n"/>
      <c r="AK341" s="126" t="n"/>
      <c r="AL341" s="126" t="n"/>
      <c r="AM341" s="126" t="n"/>
      <c r="AN341" s="126" t="n"/>
    </row>
    <row r="342" ht="21" customFormat="1" customHeight="1" s="127">
      <c r="A342" s="51">
        <f>IF($B342="","",ROW()-6)</f>
        <v/>
      </c>
      <c r="B342" s="268" t="n"/>
      <c r="C342" s="133" t="n"/>
      <c r="D342" s="50" t="n"/>
      <c r="E342" s="265" t="n"/>
      <c r="F342" s="133" t="n"/>
      <c r="G342" s="133" t="n"/>
      <c r="H342" s="50" t="n"/>
      <c r="I342" s="51">
        <f>IF($C342="","",IFERROR(INDEX(WorkerIDs,MATCH($C342,WorkerNames,0)),"?"))</f>
        <v/>
      </c>
      <c r="J342" s="253">
        <f>IF($B342="","",$B342-WEEKDAY($B342,2)+1)</f>
        <v/>
      </c>
      <c r="K342" s="142">
        <f>IF(OR($I342="",$I342="?",$D342&lt;&gt;"Advance",$B342=""),"",$I342&amp;"|"&amp;$J342&amp;"|"&amp;COUNTIFS($I$7:$I342,$I342,$J$7:$J342,$J342,$D$7:$D342,"Advance"))</f>
        <v/>
      </c>
      <c r="L342" s="266">
        <f>IF(OR($I342="",$I342="?",$B342=""),"",SUMPRODUCT((Weeks!$A$7:$A$59&lt;=$J342)*(Weeks!$X$5:$AI$5=$I342)*Weeks!$X$7:$AI$59)-SUMIFS($E$7:$E$1006,$I$7:$I$1006,$I342,$B$7:$B$1006,"&lt;="&amp;$B342))</f>
        <v/>
      </c>
      <c r="M342" s="132">
        <f>IF($B342&amp;$C342&amp;$D342&amp;$E342="","",IF($B342="","missing date",IF($C342="","missing worker",IF($I342="?","unknown worker - was the name changed on Workers?",IF($D342="","missing type",IF(N($E342)=0,"missing amount",IF(AND($E342&lt;0,$D342&lt;&gt;"Correction"),"negative amount - use a Correction to undo",IF(OR($B342&lt;Weeks!$A$7,$B342&gt;Weeks!$B$59),"date outside this workbook's year",IF(AND($D342="Advance",N($L342)&lt;0),"Warning: more than earned so far - worker now owes "&amp;TEXT(ROUND(-$L342,0),"#,##0"),"")))))))))</f>
        <v/>
      </c>
      <c r="N342" s="125" t="n"/>
      <c r="O342" s="126" t="n"/>
      <c r="P342" s="126" t="n"/>
      <c r="Q342" s="126" t="n"/>
      <c r="R342" s="126" t="n"/>
      <c r="S342" s="126" t="n"/>
      <c r="T342" s="126" t="n"/>
      <c r="U342" s="126" t="n"/>
      <c r="V342" s="126" t="n"/>
      <c r="W342" s="126" t="n"/>
      <c r="X342" s="126" t="n"/>
      <c r="Y342" s="126" t="n"/>
      <c r="Z342" s="126" t="n"/>
      <c r="AA342" s="126" t="n"/>
      <c r="AB342" s="126" t="n"/>
      <c r="AC342" s="126" t="n"/>
      <c r="AD342" s="126" t="n"/>
      <c r="AE342" s="126" t="n"/>
      <c r="AF342" s="126" t="n"/>
      <c r="AG342" s="126" t="n"/>
      <c r="AH342" s="126" t="n"/>
      <c r="AI342" s="126" t="n"/>
      <c r="AJ342" s="126" t="n"/>
      <c r="AK342" s="126" t="n"/>
      <c r="AL342" s="126" t="n"/>
      <c r="AM342" s="126" t="n"/>
      <c r="AN342" s="126" t="n"/>
    </row>
    <row r="343" ht="21" customFormat="1" customHeight="1" s="127">
      <c r="A343" s="51">
        <f>IF($B343="","",ROW()-6)</f>
        <v/>
      </c>
      <c r="B343" s="268" t="n"/>
      <c r="C343" s="133" t="n"/>
      <c r="D343" s="50" t="n"/>
      <c r="E343" s="265" t="n"/>
      <c r="F343" s="133" t="n"/>
      <c r="G343" s="133" t="n"/>
      <c r="H343" s="50" t="n"/>
      <c r="I343" s="51">
        <f>IF($C343="","",IFERROR(INDEX(WorkerIDs,MATCH($C343,WorkerNames,0)),"?"))</f>
        <v/>
      </c>
      <c r="J343" s="253">
        <f>IF($B343="","",$B343-WEEKDAY($B343,2)+1)</f>
        <v/>
      </c>
      <c r="K343" s="142">
        <f>IF(OR($I343="",$I343="?",$D343&lt;&gt;"Advance",$B343=""),"",$I343&amp;"|"&amp;$J343&amp;"|"&amp;COUNTIFS($I$7:$I343,$I343,$J$7:$J343,$J343,$D$7:$D343,"Advance"))</f>
        <v/>
      </c>
      <c r="L343" s="266">
        <f>IF(OR($I343="",$I343="?",$B343=""),"",SUMPRODUCT((Weeks!$A$7:$A$59&lt;=$J343)*(Weeks!$X$5:$AI$5=$I343)*Weeks!$X$7:$AI$59)-SUMIFS($E$7:$E$1006,$I$7:$I$1006,$I343,$B$7:$B$1006,"&lt;="&amp;$B343))</f>
        <v/>
      </c>
      <c r="M343" s="132">
        <f>IF($B343&amp;$C343&amp;$D343&amp;$E343="","",IF($B343="","missing date",IF($C343="","missing worker",IF($I343="?","unknown worker - was the name changed on Workers?",IF($D343="","missing type",IF(N($E343)=0,"missing amount",IF(AND($E343&lt;0,$D343&lt;&gt;"Correction"),"negative amount - use a Correction to undo",IF(OR($B343&lt;Weeks!$A$7,$B343&gt;Weeks!$B$59),"date outside this workbook's year",IF(AND($D343="Advance",N($L343)&lt;0),"Warning: more than earned so far - worker now owes "&amp;TEXT(ROUND(-$L343,0),"#,##0"),"")))))))))</f>
        <v/>
      </c>
      <c r="N343" s="125" t="n"/>
      <c r="O343" s="126" t="n"/>
      <c r="P343" s="126" t="n"/>
      <c r="Q343" s="126" t="n"/>
      <c r="R343" s="126" t="n"/>
      <c r="S343" s="126" t="n"/>
      <c r="T343" s="126" t="n"/>
      <c r="U343" s="126" t="n"/>
      <c r="V343" s="126" t="n"/>
      <c r="W343" s="126" t="n"/>
      <c r="X343" s="126" t="n"/>
      <c r="Y343" s="126" t="n"/>
      <c r="Z343" s="126" t="n"/>
      <c r="AA343" s="126" t="n"/>
      <c r="AB343" s="126" t="n"/>
      <c r="AC343" s="126" t="n"/>
      <c r="AD343" s="126" t="n"/>
      <c r="AE343" s="126" t="n"/>
      <c r="AF343" s="126" t="n"/>
      <c r="AG343" s="126" t="n"/>
      <c r="AH343" s="126" t="n"/>
      <c r="AI343" s="126" t="n"/>
      <c r="AJ343" s="126" t="n"/>
      <c r="AK343" s="126" t="n"/>
      <c r="AL343" s="126" t="n"/>
      <c r="AM343" s="126" t="n"/>
      <c r="AN343" s="126" t="n"/>
    </row>
    <row r="344" ht="21" customFormat="1" customHeight="1" s="127">
      <c r="A344" s="51">
        <f>IF($B344="","",ROW()-6)</f>
        <v/>
      </c>
      <c r="B344" s="268" t="n"/>
      <c r="C344" s="133" t="n"/>
      <c r="D344" s="50" t="n"/>
      <c r="E344" s="265" t="n"/>
      <c r="F344" s="133" t="n"/>
      <c r="G344" s="133" t="n"/>
      <c r="H344" s="50" t="n"/>
      <c r="I344" s="51">
        <f>IF($C344="","",IFERROR(INDEX(WorkerIDs,MATCH($C344,WorkerNames,0)),"?"))</f>
        <v/>
      </c>
      <c r="J344" s="253">
        <f>IF($B344="","",$B344-WEEKDAY($B344,2)+1)</f>
        <v/>
      </c>
      <c r="K344" s="142">
        <f>IF(OR($I344="",$I344="?",$D344&lt;&gt;"Advance",$B344=""),"",$I344&amp;"|"&amp;$J344&amp;"|"&amp;COUNTIFS($I$7:$I344,$I344,$J$7:$J344,$J344,$D$7:$D344,"Advance"))</f>
        <v/>
      </c>
      <c r="L344" s="266">
        <f>IF(OR($I344="",$I344="?",$B344=""),"",SUMPRODUCT((Weeks!$A$7:$A$59&lt;=$J344)*(Weeks!$X$5:$AI$5=$I344)*Weeks!$X$7:$AI$59)-SUMIFS($E$7:$E$1006,$I$7:$I$1006,$I344,$B$7:$B$1006,"&lt;="&amp;$B344))</f>
        <v/>
      </c>
      <c r="M344" s="132">
        <f>IF($B344&amp;$C344&amp;$D344&amp;$E344="","",IF($B344="","missing date",IF($C344="","missing worker",IF($I344="?","unknown worker - was the name changed on Workers?",IF($D344="","missing type",IF(N($E344)=0,"missing amount",IF(AND($E344&lt;0,$D344&lt;&gt;"Correction"),"negative amount - use a Correction to undo",IF(OR($B344&lt;Weeks!$A$7,$B344&gt;Weeks!$B$59),"date outside this workbook's year",IF(AND($D344="Advance",N($L344)&lt;0),"Warning: more than earned so far - worker now owes "&amp;TEXT(ROUND(-$L344,0),"#,##0"),"")))))))))</f>
        <v/>
      </c>
      <c r="N344" s="125" t="n"/>
      <c r="O344" s="126" t="n"/>
      <c r="P344" s="126" t="n"/>
      <c r="Q344" s="126" t="n"/>
      <c r="R344" s="126" t="n"/>
      <c r="S344" s="126" t="n"/>
      <c r="T344" s="126" t="n"/>
      <c r="U344" s="126" t="n"/>
      <c r="V344" s="126" t="n"/>
      <c r="W344" s="126" t="n"/>
      <c r="X344" s="126" t="n"/>
      <c r="Y344" s="126" t="n"/>
      <c r="Z344" s="126" t="n"/>
      <c r="AA344" s="126" t="n"/>
      <c r="AB344" s="126" t="n"/>
      <c r="AC344" s="126" t="n"/>
      <c r="AD344" s="126" t="n"/>
      <c r="AE344" s="126" t="n"/>
      <c r="AF344" s="126" t="n"/>
      <c r="AG344" s="126" t="n"/>
      <c r="AH344" s="126" t="n"/>
      <c r="AI344" s="126" t="n"/>
      <c r="AJ344" s="126" t="n"/>
      <c r="AK344" s="126" t="n"/>
      <c r="AL344" s="126" t="n"/>
      <c r="AM344" s="126" t="n"/>
      <c r="AN344" s="126" t="n"/>
    </row>
    <row r="345" ht="21" customFormat="1" customHeight="1" s="127">
      <c r="A345" s="51">
        <f>IF($B345="","",ROW()-6)</f>
        <v/>
      </c>
      <c r="B345" s="268" t="n"/>
      <c r="C345" s="133" t="n"/>
      <c r="D345" s="50" t="n"/>
      <c r="E345" s="265" t="n"/>
      <c r="F345" s="133" t="n"/>
      <c r="G345" s="133" t="n"/>
      <c r="H345" s="50" t="n"/>
      <c r="I345" s="51">
        <f>IF($C345="","",IFERROR(INDEX(WorkerIDs,MATCH($C345,WorkerNames,0)),"?"))</f>
        <v/>
      </c>
      <c r="J345" s="253">
        <f>IF($B345="","",$B345-WEEKDAY($B345,2)+1)</f>
        <v/>
      </c>
      <c r="K345" s="142">
        <f>IF(OR($I345="",$I345="?",$D345&lt;&gt;"Advance",$B345=""),"",$I345&amp;"|"&amp;$J345&amp;"|"&amp;COUNTIFS($I$7:$I345,$I345,$J$7:$J345,$J345,$D$7:$D345,"Advance"))</f>
        <v/>
      </c>
      <c r="L345" s="266">
        <f>IF(OR($I345="",$I345="?",$B345=""),"",SUMPRODUCT((Weeks!$A$7:$A$59&lt;=$J345)*(Weeks!$X$5:$AI$5=$I345)*Weeks!$X$7:$AI$59)-SUMIFS($E$7:$E$1006,$I$7:$I$1006,$I345,$B$7:$B$1006,"&lt;="&amp;$B345))</f>
        <v/>
      </c>
      <c r="M345" s="132">
        <f>IF($B345&amp;$C345&amp;$D345&amp;$E345="","",IF($B345="","missing date",IF($C345="","missing worker",IF($I345="?","unknown worker - was the name changed on Workers?",IF($D345="","missing type",IF(N($E345)=0,"missing amount",IF(AND($E345&lt;0,$D345&lt;&gt;"Correction"),"negative amount - use a Correction to undo",IF(OR($B345&lt;Weeks!$A$7,$B345&gt;Weeks!$B$59),"date outside this workbook's year",IF(AND($D345="Advance",N($L345)&lt;0),"Warning: more than earned so far - worker now owes "&amp;TEXT(ROUND(-$L345,0),"#,##0"),"")))))))))</f>
        <v/>
      </c>
      <c r="N345" s="125" t="n"/>
      <c r="O345" s="126" t="n"/>
      <c r="P345" s="126" t="n"/>
      <c r="Q345" s="126" t="n"/>
      <c r="R345" s="126" t="n"/>
      <c r="S345" s="126" t="n"/>
      <c r="T345" s="126" t="n"/>
      <c r="U345" s="126" t="n"/>
      <c r="V345" s="126" t="n"/>
      <c r="W345" s="126" t="n"/>
      <c r="X345" s="126" t="n"/>
      <c r="Y345" s="126" t="n"/>
      <c r="Z345" s="126" t="n"/>
      <c r="AA345" s="126" t="n"/>
      <c r="AB345" s="126" t="n"/>
      <c r="AC345" s="126" t="n"/>
      <c r="AD345" s="126" t="n"/>
      <c r="AE345" s="126" t="n"/>
      <c r="AF345" s="126" t="n"/>
      <c r="AG345" s="126" t="n"/>
      <c r="AH345" s="126" t="n"/>
      <c r="AI345" s="126" t="n"/>
      <c r="AJ345" s="126" t="n"/>
      <c r="AK345" s="126" t="n"/>
      <c r="AL345" s="126" t="n"/>
      <c r="AM345" s="126" t="n"/>
      <c r="AN345" s="126" t="n"/>
    </row>
    <row r="346" ht="21" customFormat="1" customHeight="1" s="127">
      <c r="A346" s="51">
        <f>IF($B346="","",ROW()-6)</f>
        <v/>
      </c>
      <c r="B346" s="268" t="n"/>
      <c r="C346" s="133" t="n"/>
      <c r="D346" s="50" t="n"/>
      <c r="E346" s="265" t="n"/>
      <c r="F346" s="133" t="n"/>
      <c r="G346" s="133" t="n"/>
      <c r="H346" s="50" t="n"/>
      <c r="I346" s="51">
        <f>IF($C346="","",IFERROR(INDEX(WorkerIDs,MATCH($C346,WorkerNames,0)),"?"))</f>
        <v/>
      </c>
      <c r="J346" s="253">
        <f>IF($B346="","",$B346-WEEKDAY($B346,2)+1)</f>
        <v/>
      </c>
      <c r="K346" s="142">
        <f>IF(OR($I346="",$I346="?",$D346&lt;&gt;"Advance",$B346=""),"",$I346&amp;"|"&amp;$J346&amp;"|"&amp;COUNTIFS($I$7:$I346,$I346,$J$7:$J346,$J346,$D$7:$D346,"Advance"))</f>
        <v/>
      </c>
      <c r="L346" s="266">
        <f>IF(OR($I346="",$I346="?",$B346=""),"",SUMPRODUCT((Weeks!$A$7:$A$59&lt;=$J346)*(Weeks!$X$5:$AI$5=$I346)*Weeks!$X$7:$AI$59)-SUMIFS($E$7:$E$1006,$I$7:$I$1006,$I346,$B$7:$B$1006,"&lt;="&amp;$B346))</f>
        <v/>
      </c>
      <c r="M346" s="132">
        <f>IF($B346&amp;$C346&amp;$D346&amp;$E346="","",IF($B346="","missing date",IF($C346="","missing worker",IF($I346="?","unknown worker - was the name changed on Workers?",IF($D346="","missing type",IF(N($E346)=0,"missing amount",IF(AND($E346&lt;0,$D346&lt;&gt;"Correction"),"negative amount - use a Correction to undo",IF(OR($B346&lt;Weeks!$A$7,$B346&gt;Weeks!$B$59),"date outside this workbook's year",IF(AND($D346="Advance",N($L346)&lt;0),"Warning: more than earned so far - worker now owes "&amp;TEXT(ROUND(-$L346,0),"#,##0"),"")))))))))</f>
        <v/>
      </c>
      <c r="N346" s="125" t="n"/>
      <c r="O346" s="126" t="n"/>
      <c r="P346" s="126" t="n"/>
      <c r="Q346" s="126" t="n"/>
      <c r="R346" s="126" t="n"/>
      <c r="S346" s="126" t="n"/>
      <c r="T346" s="126" t="n"/>
      <c r="U346" s="126" t="n"/>
      <c r="V346" s="126" t="n"/>
      <c r="W346" s="126" t="n"/>
      <c r="X346" s="126" t="n"/>
      <c r="Y346" s="126" t="n"/>
      <c r="Z346" s="126" t="n"/>
      <c r="AA346" s="126" t="n"/>
      <c r="AB346" s="126" t="n"/>
      <c r="AC346" s="126" t="n"/>
      <c r="AD346" s="126" t="n"/>
      <c r="AE346" s="126" t="n"/>
      <c r="AF346" s="126" t="n"/>
      <c r="AG346" s="126" t="n"/>
      <c r="AH346" s="126" t="n"/>
      <c r="AI346" s="126" t="n"/>
      <c r="AJ346" s="126" t="n"/>
      <c r="AK346" s="126" t="n"/>
      <c r="AL346" s="126" t="n"/>
      <c r="AM346" s="126" t="n"/>
      <c r="AN346" s="126" t="n"/>
    </row>
    <row r="347" ht="21" customFormat="1" customHeight="1" s="127">
      <c r="A347" s="51">
        <f>IF($B347="","",ROW()-6)</f>
        <v/>
      </c>
      <c r="B347" s="268" t="n"/>
      <c r="C347" s="133" t="n"/>
      <c r="D347" s="50" t="n"/>
      <c r="E347" s="265" t="n"/>
      <c r="F347" s="133" t="n"/>
      <c r="G347" s="133" t="n"/>
      <c r="H347" s="50" t="n"/>
      <c r="I347" s="51">
        <f>IF($C347="","",IFERROR(INDEX(WorkerIDs,MATCH($C347,WorkerNames,0)),"?"))</f>
        <v/>
      </c>
      <c r="J347" s="253">
        <f>IF($B347="","",$B347-WEEKDAY($B347,2)+1)</f>
        <v/>
      </c>
      <c r="K347" s="142">
        <f>IF(OR($I347="",$I347="?",$D347&lt;&gt;"Advance",$B347=""),"",$I347&amp;"|"&amp;$J347&amp;"|"&amp;COUNTIFS($I$7:$I347,$I347,$J$7:$J347,$J347,$D$7:$D347,"Advance"))</f>
        <v/>
      </c>
      <c r="L347" s="266">
        <f>IF(OR($I347="",$I347="?",$B347=""),"",SUMPRODUCT((Weeks!$A$7:$A$59&lt;=$J347)*(Weeks!$X$5:$AI$5=$I347)*Weeks!$X$7:$AI$59)-SUMIFS($E$7:$E$1006,$I$7:$I$1006,$I347,$B$7:$B$1006,"&lt;="&amp;$B347))</f>
        <v/>
      </c>
      <c r="M347" s="132">
        <f>IF($B347&amp;$C347&amp;$D347&amp;$E347="","",IF($B347="","missing date",IF($C347="","missing worker",IF($I347="?","unknown worker - was the name changed on Workers?",IF($D347="","missing type",IF(N($E347)=0,"missing amount",IF(AND($E347&lt;0,$D347&lt;&gt;"Correction"),"negative amount - use a Correction to undo",IF(OR($B347&lt;Weeks!$A$7,$B347&gt;Weeks!$B$59),"date outside this workbook's year",IF(AND($D347="Advance",N($L347)&lt;0),"Warning: more than earned so far - worker now owes "&amp;TEXT(ROUND(-$L347,0),"#,##0"),"")))))))))</f>
        <v/>
      </c>
      <c r="N347" s="125" t="n"/>
      <c r="O347" s="126" t="n"/>
      <c r="P347" s="126" t="n"/>
      <c r="Q347" s="126" t="n"/>
      <c r="R347" s="126" t="n"/>
      <c r="S347" s="126" t="n"/>
      <c r="T347" s="126" t="n"/>
      <c r="U347" s="126" t="n"/>
      <c r="V347" s="126" t="n"/>
      <c r="W347" s="126" t="n"/>
      <c r="X347" s="126" t="n"/>
      <c r="Y347" s="126" t="n"/>
      <c r="Z347" s="126" t="n"/>
      <c r="AA347" s="126" t="n"/>
      <c r="AB347" s="126" t="n"/>
      <c r="AC347" s="126" t="n"/>
      <c r="AD347" s="126" t="n"/>
      <c r="AE347" s="126" t="n"/>
      <c r="AF347" s="126" t="n"/>
      <c r="AG347" s="126" t="n"/>
      <c r="AH347" s="126" t="n"/>
      <c r="AI347" s="126" t="n"/>
      <c r="AJ347" s="126" t="n"/>
      <c r="AK347" s="126" t="n"/>
      <c r="AL347" s="126" t="n"/>
      <c r="AM347" s="126" t="n"/>
      <c r="AN347" s="126" t="n"/>
    </row>
    <row r="348" ht="21" customFormat="1" customHeight="1" s="127">
      <c r="A348" s="51">
        <f>IF($B348="","",ROW()-6)</f>
        <v/>
      </c>
      <c r="B348" s="268" t="n"/>
      <c r="C348" s="133" t="n"/>
      <c r="D348" s="50" t="n"/>
      <c r="E348" s="265" t="n"/>
      <c r="F348" s="133" t="n"/>
      <c r="G348" s="133" t="n"/>
      <c r="H348" s="50" t="n"/>
      <c r="I348" s="51">
        <f>IF($C348="","",IFERROR(INDEX(WorkerIDs,MATCH($C348,WorkerNames,0)),"?"))</f>
        <v/>
      </c>
      <c r="J348" s="253">
        <f>IF($B348="","",$B348-WEEKDAY($B348,2)+1)</f>
        <v/>
      </c>
      <c r="K348" s="142">
        <f>IF(OR($I348="",$I348="?",$D348&lt;&gt;"Advance",$B348=""),"",$I348&amp;"|"&amp;$J348&amp;"|"&amp;COUNTIFS($I$7:$I348,$I348,$J$7:$J348,$J348,$D$7:$D348,"Advance"))</f>
        <v/>
      </c>
      <c r="L348" s="266">
        <f>IF(OR($I348="",$I348="?",$B348=""),"",SUMPRODUCT((Weeks!$A$7:$A$59&lt;=$J348)*(Weeks!$X$5:$AI$5=$I348)*Weeks!$X$7:$AI$59)-SUMIFS($E$7:$E$1006,$I$7:$I$1006,$I348,$B$7:$B$1006,"&lt;="&amp;$B348))</f>
        <v/>
      </c>
      <c r="M348" s="132">
        <f>IF($B348&amp;$C348&amp;$D348&amp;$E348="","",IF($B348="","missing date",IF($C348="","missing worker",IF($I348="?","unknown worker - was the name changed on Workers?",IF($D348="","missing type",IF(N($E348)=0,"missing amount",IF(AND($E348&lt;0,$D348&lt;&gt;"Correction"),"negative amount - use a Correction to undo",IF(OR($B348&lt;Weeks!$A$7,$B348&gt;Weeks!$B$59),"date outside this workbook's year",IF(AND($D348="Advance",N($L348)&lt;0),"Warning: more than earned so far - worker now owes "&amp;TEXT(ROUND(-$L348,0),"#,##0"),"")))))))))</f>
        <v/>
      </c>
      <c r="N348" s="125" t="n"/>
      <c r="O348" s="126" t="n"/>
      <c r="P348" s="126" t="n"/>
      <c r="Q348" s="126" t="n"/>
      <c r="R348" s="126" t="n"/>
      <c r="S348" s="126" t="n"/>
      <c r="T348" s="126" t="n"/>
      <c r="U348" s="126" t="n"/>
      <c r="V348" s="126" t="n"/>
      <c r="W348" s="126" t="n"/>
      <c r="X348" s="126" t="n"/>
      <c r="Y348" s="126" t="n"/>
      <c r="Z348" s="126" t="n"/>
      <c r="AA348" s="126" t="n"/>
      <c r="AB348" s="126" t="n"/>
      <c r="AC348" s="126" t="n"/>
      <c r="AD348" s="126" t="n"/>
      <c r="AE348" s="126" t="n"/>
      <c r="AF348" s="126" t="n"/>
      <c r="AG348" s="126" t="n"/>
      <c r="AH348" s="126" t="n"/>
      <c r="AI348" s="126" t="n"/>
      <c r="AJ348" s="126" t="n"/>
      <c r="AK348" s="126" t="n"/>
      <c r="AL348" s="126" t="n"/>
      <c r="AM348" s="126" t="n"/>
      <c r="AN348" s="126" t="n"/>
    </row>
    <row r="349" ht="21" customFormat="1" customHeight="1" s="127">
      <c r="A349" s="51">
        <f>IF($B349="","",ROW()-6)</f>
        <v/>
      </c>
      <c r="B349" s="268" t="n"/>
      <c r="C349" s="133" t="n"/>
      <c r="D349" s="50" t="n"/>
      <c r="E349" s="265" t="n"/>
      <c r="F349" s="133" t="n"/>
      <c r="G349" s="133" t="n"/>
      <c r="H349" s="50" t="n"/>
      <c r="I349" s="51">
        <f>IF($C349="","",IFERROR(INDEX(WorkerIDs,MATCH($C349,WorkerNames,0)),"?"))</f>
        <v/>
      </c>
      <c r="J349" s="253">
        <f>IF($B349="","",$B349-WEEKDAY($B349,2)+1)</f>
        <v/>
      </c>
      <c r="K349" s="142">
        <f>IF(OR($I349="",$I349="?",$D349&lt;&gt;"Advance",$B349=""),"",$I349&amp;"|"&amp;$J349&amp;"|"&amp;COUNTIFS($I$7:$I349,$I349,$J$7:$J349,$J349,$D$7:$D349,"Advance"))</f>
        <v/>
      </c>
      <c r="L349" s="266">
        <f>IF(OR($I349="",$I349="?",$B349=""),"",SUMPRODUCT((Weeks!$A$7:$A$59&lt;=$J349)*(Weeks!$X$5:$AI$5=$I349)*Weeks!$X$7:$AI$59)-SUMIFS($E$7:$E$1006,$I$7:$I$1006,$I349,$B$7:$B$1006,"&lt;="&amp;$B349))</f>
        <v/>
      </c>
      <c r="M349" s="132">
        <f>IF($B349&amp;$C349&amp;$D349&amp;$E349="","",IF($B349="","missing date",IF($C349="","missing worker",IF($I349="?","unknown worker - was the name changed on Workers?",IF($D349="","missing type",IF(N($E349)=0,"missing amount",IF(AND($E349&lt;0,$D349&lt;&gt;"Correction"),"negative amount - use a Correction to undo",IF(OR($B349&lt;Weeks!$A$7,$B349&gt;Weeks!$B$59),"date outside this workbook's year",IF(AND($D349="Advance",N($L349)&lt;0),"Warning: more than earned so far - worker now owes "&amp;TEXT(ROUND(-$L349,0),"#,##0"),"")))))))))</f>
        <v/>
      </c>
      <c r="N349" s="125" t="n"/>
      <c r="O349" s="126" t="n"/>
      <c r="P349" s="126" t="n"/>
      <c r="Q349" s="126" t="n"/>
      <c r="R349" s="126" t="n"/>
      <c r="S349" s="126" t="n"/>
      <c r="T349" s="126" t="n"/>
      <c r="U349" s="126" t="n"/>
      <c r="V349" s="126" t="n"/>
      <c r="W349" s="126" t="n"/>
      <c r="X349" s="126" t="n"/>
      <c r="Y349" s="126" t="n"/>
      <c r="Z349" s="126" t="n"/>
      <c r="AA349" s="126" t="n"/>
      <c r="AB349" s="126" t="n"/>
      <c r="AC349" s="126" t="n"/>
      <c r="AD349" s="126" t="n"/>
      <c r="AE349" s="126" t="n"/>
      <c r="AF349" s="126" t="n"/>
      <c r="AG349" s="126" t="n"/>
      <c r="AH349" s="126" t="n"/>
      <c r="AI349" s="126" t="n"/>
      <c r="AJ349" s="126" t="n"/>
      <c r="AK349" s="126" t="n"/>
      <c r="AL349" s="126" t="n"/>
      <c r="AM349" s="126" t="n"/>
      <c r="AN349" s="126" t="n"/>
    </row>
    <row r="350" ht="21" customFormat="1" customHeight="1" s="127">
      <c r="A350" s="51">
        <f>IF($B350="","",ROW()-6)</f>
        <v/>
      </c>
      <c r="B350" s="268" t="n"/>
      <c r="C350" s="133" t="n"/>
      <c r="D350" s="50" t="n"/>
      <c r="E350" s="265" t="n"/>
      <c r="F350" s="133" t="n"/>
      <c r="G350" s="133" t="n"/>
      <c r="H350" s="50" t="n"/>
      <c r="I350" s="51">
        <f>IF($C350="","",IFERROR(INDEX(WorkerIDs,MATCH($C350,WorkerNames,0)),"?"))</f>
        <v/>
      </c>
      <c r="J350" s="253">
        <f>IF($B350="","",$B350-WEEKDAY($B350,2)+1)</f>
        <v/>
      </c>
      <c r="K350" s="142">
        <f>IF(OR($I350="",$I350="?",$D350&lt;&gt;"Advance",$B350=""),"",$I350&amp;"|"&amp;$J350&amp;"|"&amp;COUNTIFS($I$7:$I350,$I350,$J$7:$J350,$J350,$D$7:$D350,"Advance"))</f>
        <v/>
      </c>
      <c r="L350" s="266">
        <f>IF(OR($I350="",$I350="?",$B350=""),"",SUMPRODUCT((Weeks!$A$7:$A$59&lt;=$J350)*(Weeks!$X$5:$AI$5=$I350)*Weeks!$X$7:$AI$59)-SUMIFS($E$7:$E$1006,$I$7:$I$1006,$I350,$B$7:$B$1006,"&lt;="&amp;$B350))</f>
        <v/>
      </c>
      <c r="M350" s="132">
        <f>IF($B350&amp;$C350&amp;$D350&amp;$E350="","",IF($B350="","missing date",IF($C350="","missing worker",IF($I350="?","unknown worker - was the name changed on Workers?",IF($D350="","missing type",IF(N($E350)=0,"missing amount",IF(AND($E350&lt;0,$D350&lt;&gt;"Correction"),"negative amount - use a Correction to undo",IF(OR($B350&lt;Weeks!$A$7,$B350&gt;Weeks!$B$59),"date outside this workbook's year",IF(AND($D350="Advance",N($L350)&lt;0),"Warning: more than earned so far - worker now owes "&amp;TEXT(ROUND(-$L350,0),"#,##0"),"")))))))))</f>
        <v/>
      </c>
      <c r="N350" s="125" t="n"/>
      <c r="O350" s="126" t="n"/>
      <c r="P350" s="126" t="n"/>
      <c r="Q350" s="126" t="n"/>
      <c r="R350" s="126" t="n"/>
      <c r="S350" s="126" t="n"/>
      <c r="T350" s="126" t="n"/>
      <c r="U350" s="126" t="n"/>
      <c r="V350" s="126" t="n"/>
      <c r="W350" s="126" t="n"/>
      <c r="X350" s="126" t="n"/>
      <c r="Y350" s="126" t="n"/>
      <c r="Z350" s="126" t="n"/>
      <c r="AA350" s="126" t="n"/>
      <c r="AB350" s="126" t="n"/>
      <c r="AC350" s="126" t="n"/>
      <c r="AD350" s="126" t="n"/>
      <c r="AE350" s="126" t="n"/>
      <c r="AF350" s="126" t="n"/>
      <c r="AG350" s="126" t="n"/>
      <c r="AH350" s="126" t="n"/>
      <c r="AI350" s="126" t="n"/>
      <c r="AJ350" s="126" t="n"/>
      <c r="AK350" s="126" t="n"/>
      <c r="AL350" s="126" t="n"/>
      <c r="AM350" s="126" t="n"/>
      <c r="AN350" s="126" t="n"/>
    </row>
    <row r="351" ht="21" customFormat="1" customHeight="1" s="127">
      <c r="A351" s="51">
        <f>IF($B351="","",ROW()-6)</f>
        <v/>
      </c>
      <c r="B351" s="268" t="n"/>
      <c r="C351" s="133" t="n"/>
      <c r="D351" s="50" t="n"/>
      <c r="E351" s="265" t="n"/>
      <c r="F351" s="133" t="n"/>
      <c r="G351" s="133" t="n"/>
      <c r="H351" s="50" t="n"/>
      <c r="I351" s="51">
        <f>IF($C351="","",IFERROR(INDEX(WorkerIDs,MATCH($C351,WorkerNames,0)),"?"))</f>
        <v/>
      </c>
      <c r="J351" s="253">
        <f>IF($B351="","",$B351-WEEKDAY($B351,2)+1)</f>
        <v/>
      </c>
      <c r="K351" s="142">
        <f>IF(OR($I351="",$I351="?",$D351&lt;&gt;"Advance",$B351=""),"",$I351&amp;"|"&amp;$J351&amp;"|"&amp;COUNTIFS($I$7:$I351,$I351,$J$7:$J351,$J351,$D$7:$D351,"Advance"))</f>
        <v/>
      </c>
      <c r="L351" s="266">
        <f>IF(OR($I351="",$I351="?",$B351=""),"",SUMPRODUCT((Weeks!$A$7:$A$59&lt;=$J351)*(Weeks!$X$5:$AI$5=$I351)*Weeks!$X$7:$AI$59)-SUMIFS($E$7:$E$1006,$I$7:$I$1006,$I351,$B$7:$B$1006,"&lt;="&amp;$B351))</f>
        <v/>
      </c>
      <c r="M351" s="132">
        <f>IF($B351&amp;$C351&amp;$D351&amp;$E351="","",IF($B351="","missing date",IF($C351="","missing worker",IF($I351="?","unknown worker - was the name changed on Workers?",IF($D351="","missing type",IF(N($E351)=0,"missing amount",IF(AND($E351&lt;0,$D351&lt;&gt;"Correction"),"negative amount - use a Correction to undo",IF(OR($B351&lt;Weeks!$A$7,$B351&gt;Weeks!$B$59),"date outside this workbook's year",IF(AND($D351="Advance",N($L351)&lt;0),"Warning: more than earned so far - worker now owes "&amp;TEXT(ROUND(-$L351,0),"#,##0"),"")))))))))</f>
        <v/>
      </c>
      <c r="N351" s="125" t="n"/>
      <c r="O351" s="126" t="n"/>
      <c r="P351" s="126" t="n"/>
      <c r="Q351" s="126" t="n"/>
      <c r="R351" s="126" t="n"/>
      <c r="S351" s="126" t="n"/>
      <c r="T351" s="126" t="n"/>
      <c r="U351" s="126" t="n"/>
      <c r="V351" s="126" t="n"/>
      <c r="W351" s="126" t="n"/>
      <c r="X351" s="126" t="n"/>
      <c r="Y351" s="126" t="n"/>
      <c r="Z351" s="126" t="n"/>
      <c r="AA351" s="126" t="n"/>
      <c r="AB351" s="126" t="n"/>
      <c r="AC351" s="126" t="n"/>
      <c r="AD351" s="126" t="n"/>
      <c r="AE351" s="126" t="n"/>
      <c r="AF351" s="126" t="n"/>
      <c r="AG351" s="126" t="n"/>
      <c r="AH351" s="126" t="n"/>
      <c r="AI351" s="126" t="n"/>
      <c r="AJ351" s="126" t="n"/>
      <c r="AK351" s="126" t="n"/>
      <c r="AL351" s="126" t="n"/>
      <c r="AM351" s="126" t="n"/>
      <c r="AN351" s="126" t="n"/>
    </row>
    <row r="352" ht="21" customFormat="1" customHeight="1" s="127">
      <c r="A352" s="51">
        <f>IF($B352="","",ROW()-6)</f>
        <v/>
      </c>
      <c r="B352" s="268" t="n"/>
      <c r="C352" s="133" t="n"/>
      <c r="D352" s="50" t="n"/>
      <c r="E352" s="265" t="n"/>
      <c r="F352" s="133" t="n"/>
      <c r="G352" s="133" t="n"/>
      <c r="H352" s="50" t="n"/>
      <c r="I352" s="51">
        <f>IF($C352="","",IFERROR(INDEX(WorkerIDs,MATCH($C352,WorkerNames,0)),"?"))</f>
        <v/>
      </c>
      <c r="J352" s="253">
        <f>IF($B352="","",$B352-WEEKDAY($B352,2)+1)</f>
        <v/>
      </c>
      <c r="K352" s="142">
        <f>IF(OR($I352="",$I352="?",$D352&lt;&gt;"Advance",$B352=""),"",$I352&amp;"|"&amp;$J352&amp;"|"&amp;COUNTIFS($I$7:$I352,$I352,$J$7:$J352,$J352,$D$7:$D352,"Advance"))</f>
        <v/>
      </c>
      <c r="L352" s="266">
        <f>IF(OR($I352="",$I352="?",$B352=""),"",SUMPRODUCT((Weeks!$A$7:$A$59&lt;=$J352)*(Weeks!$X$5:$AI$5=$I352)*Weeks!$X$7:$AI$59)-SUMIFS($E$7:$E$1006,$I$7:$I$1006,$I352,$B$7:$B$1006,"&lt;="&amp;$B352))</f>
        <v/>
      </c>
      <c r="M352" s="132">
        <f>IF($B352&amp;$C352&amp;$D352&amp;$E352="","",IF($B352="","missing date",IF($C352="","missing worker",IF($I352="?","unknown worker - was the name changed on Workers?",IF($D352="","missing type",IF(N($E352)=0,"missing amount",IF(AND($E352&lt;0,$D352&lt;&gt;"Correction"),"negative amount - use a Correction to undo",IF(OR($B352&lt;Weeks!$A$7,$B352&gt;Weeks!$B$59),"date outside this workbook's year",IF(AND($D352="Advance",N($L352)&lt;0),"Warning: more than earned so far - worker now owes "&amp;TEXT(ROUND(-$L352,0),"#,##0"),"")))))))))</f>
        <v/>
      </c>
      <c r="N352" s="125" t="n"/>
      <c r="O352" s="126" t="n"/>
      <c r="P352" s="126" t="n"/>
      <c r="Q352" s="126" t="n"/>
      <c r="R352" s="126" t="n"/>
      <c r="S352" s="126" t="n"/>
      <c r="T352" s="126" t="n"/>
      <c r="U352" s="126" t="n"/>
      <c r="V352" s="126" t="n"/>
      <c r="W352" s="126" t="n"/>
      <c r="X352" s="126" t="n"/>
      <c r="Y352" s="126" t="n"/>
      <c r="Z352" s="126" t="n"/>
      <c r="AA352" s="126" t="n"/>
      <c r="AB352" s="126" t="n"/>
      <c r="AC352" s="126" t="n"/>
      <c r="AD352" s="126" t="n"/>
      <c r="AE352" s="126" t="n"/>
      <c r="AF352" s="126" t="n"/>
      <c r="AG352" s="126" t="n"/>
      <c r="AH352" s="126" t="n"/>
      <c r="AI352" s="126" t="n"/>
      <c r="AJ352" s="126" t="n"/>
      <c r="AK352" s="126" t="n"/>
      <c r="AL352" s="126" t="n"/>
      <c r="AM352" s="126" t="n"/>
      <c r="AN352" s="126" t="n"/>
    </row>
    <row r="353" ht="21" customFormat="1" customHeight="1" s="127">
      <c r="A353" s="51">
        <f>IF($B353="","",ROW()-6)</f>
        <v/>
      </c>
      <c r="B353" s="268" t="n"/>
      <c r="C353" s="133" t="n"/>
      <c r="D353" s="50" t="n"/>
      <c r="E353" s="265" t="n"/>
      <c r="F353" s="133" t="n"/>
      <c r="G353" s="133" t="n"/>
      <c r="H353" s="50" t="n"/>
      <c r="I353" s="51">
        <f>IF($C353="","",IFERROR(INDEX(WorkerIDs,MATCH($C353,WorkerNames,0)),"?"))</f>
        <v/>
      </c>
      <c r="J353" s="253">
        <f>IF($B353="","",$B353-WEEKDAY($B353,2)+1)</f>
        <v/>
      </c>
      <c r="K353" s="142">
        <f>IF(OR($I353="",$I353="?",$D353&lt;&gt;"Advance",$B353=""),"",$I353&amp;"|"&amp;$J353&amp;"|"&amp;COUNTIFS($I$7:$I353,$I353,$J$7:$J353,$J353,$D$7:$D353,"Advance"))</f>
        <v/>
      </c>
      <c r="L353" s="266">
        <f>IF(OR($I353="",$I353="?",$B353=""),"",SUMPRODUCT((Weeks!$A$7:$A$59&lt;=$J353)*(Weeks!$X$5:$AI$5=$I353)*Weeks!$X$7:$AI$59)-SUMIFS($E$7:$E$1006,$I$7:$I$1006,$I353,$B$7:$B$1006,"&lt;="&amp;$B353))</f>
        <v/>
      </c>
      <c r="M353" s="132">
        <f>IF($B353&amp;$C353&amp;$D353&amp;$E353="","",IF($B353="","missing date",IF($C353="","missing worker",IF($I353="?","unknown worker - was the name changed on Workers?",IF($D353="","missing type",IF(N($E353)=0,"missing amount",IF(AND($E353&lt;0,$D353&lt;&gt;"Correction"),"negative amount - use a Correction to undo",IF(OR($B353&lt;Weeks!$A$7,$B353&gt;Weeks!$B$59),"date outside this workbook's year",IF(AND($D353="Advance",N($L353)&lt;0),"Warning: more than earned so far - worker now owes "&amp;TEXT(ROUND(-$L353,0),"#,##0"),"")))))))))</f>
        <v/>
      </c>
      <c r="N353" s="125" t="n"/>
      <c r="O353" s="126" t="n"/>
      <c r="P353" s="126" t="n"/>
      <c r="Q353" s="126" t="n"/>
      <c r="R353" s="126" t="n"/>
      <c r="S353" s="126" t="n"/>
      <c r="T353" s="126" t="n"/>
      <c r="U353" s="126" t="n"/>
      <c r="V353" s="126" t="n"/>
      <c r="W353" s="126" t="n"/>
      <c r="X353" s="126" t="n"/>
      <c r="Y353" s="126" t="n"/>
      <c r="Z353" s="126" t="n"/>
      <c r="AA353" s="126" t="n"/>
      <c r="AB353" s="126" t="n"/>
      <c r="AC353" s="126" t="n"/>
      <c r="AD353" s="126" t="n"/>
      <c r="AE353" s="126" t="n"/>
      <c r="AF353" s="126" t="n"/>
      <c r="AG353" s="126" t="n"/>
      <c r="AH353" s="126" t="n"/>
      <c r="AI353" s="126" t="n"/>
      <c r="AJ353" s="126" t="n"/>
      <c r="AK353" s="126" t="n"/>
      <c r="AL353" s="126" t="n"/>
      <c r="AM353" s="126" t="n"/>
      <c r="AN353" s="126" t="n"/>
    </row>
    <row r="354" ht="21" customFormat="1" customHeight="1" s="127">
      <c r="A354" s="51">
        <f>IF($B354="","",ROW()-6)</f>
        <v/>
      </c>
      <c r="B354" s="268" t="n"/>
      <c r="C354" s="133" t="n"/>
      <c r="D354" s="50" t="n"/>
      <c r="E354" s="265" t="n"/>
      <c r="F354" s="133" t="n"/>
      <c r="G354" s="133" t="n"/>
      <c r="H354" s="50" t="n"/>
      <c r="I354" s="51">
        <f>IF($C354="","",IFERROR(INDEX(WorkerIDs,MATCH($C354,WorkerNames,0)),"?"))</f>
        <v/>
      </c>
      <c r="J354" s="253">
        <f>IF($B354="","",$B354-WEEKDAY($B354,2)+1)</f>
        <v/>
      </c>
      <c r="K354" s="142">
        <f>IF(OR($I354="",$I354="?",$D354&lt;&gt;"Advance",$B354=""),"",$I354&amp;"|"&amp;$J354&amp;"|"&amp;COUNTIFS($I$7:$I354,$I354,$J$7:$J354,$J354,$D$7:$D354,"Advance"))</f>
        <v/>
      </c>
      <c r="L354" s="266">
        <f>IF(OR($I354="",$I354="?",$B354=""),"",SUMPRODUCT((Weeks!$A$7:$A$59&lt;=$J354)*(Weeks!$X$5:$AI$5=$I354)*Weeks!$X$7:$AI$59)-SUMIFS($E$7:$E$1006,$I$7:$I$1006,$I354,$B$7:$B$1006,"&lt;="&amp;$B354))</f>
        <v/>
      </c>
      <c r="M354" s="132">
        <f>IF($B354&amp;$C354&amp;$D354&amp;$E354="","",IF($B354="","missing date",IF($C354="","missing worker",IF($I354="?","unknown worker - was the name changed on Workers?",IF($D354="","missing type",IF(N($E354)=0,"missing amount",IF(AND($E354&lt;0,$D354&lt;&gt;"Correction"),"negative amount - use a Correction to undo",IF(OR($B354&lt;Weeks!$A$7,$B354&gt;Weeks!$B$59),"date outside this workbook's year",IF(AND($D354="Advance",N($L354)&lt;0),"Warning: more than earned so far - worker now owes "&amp;TEXT(ROUND(-$L354,0),"#,##0"),"")))))))))</f>
        <v/>
      </c>
      <c r="N354" s="125" t="n"/>
      <c r="O354" s="126" t="n"/>
      <c r="P354" s="126" t="n"/>
      <c r="Q354" s="126" t="n"/>
      <c r="R354" s="126" t="n"/>
      <c r="S354" s="126" t="n"/>
      <c r="T354" s="126" t="n"/>
      <c r="U354" s="126" t="n"/>
      <c r="V354" s="126" t="n"/>
      <c r="W354" s="126" t="n"/>
      <c r="X354" s="126" t="n"/>
      <c r="Y354" s="126" t="n"/>
      <c r="Z354" s="126" t="n"/>
      <c r="AA354" s="126" t="n"/>
      <c r="AB354" s="126" t="n"/>
      <c r="AC354" s="126" t="n"/>
      <c r="AD354" s="126" t="n"/>
      <c r="AE354" s="126" t="n"/>
      <c r="AF354" s="126" t="n"/>
      <c r="AG354" s="126" t="n"/>
      <c r="AH354" s="126" t="n"/>
      <c r="AI354" s="126" t="n"/>
      <c r="AJ354" s="126" t="n"/>
      <c r="AK354" s="126" t="n"/>
      <c r="AL354" s="126" t="n"/>
      <c r="AM354" s="126" t="n"/>
      <c r="AN354" s="126" t="n"/>
    </row>
    <row r="355" ht="21" customFormat="1" customHeight="1" s="127">
      <c r="A355" s="51">
        <f>IF($B355="","",ROW()-6)</f>
        <v/>
      </c>
      <c r="B355" s="268" t="n"/>
      <c r="C355" s="133" t="n"/>
      <c r="D355" s="50" t="n"/>
      <c r="E355" s="265" t="n"/>
      <c r="F355" s="133" t="n"/>
      <c r="G355" s="133" t="n"/>
      <c r="H355" s="50" t="n"/>
      <c r="I355" s="51">
        <f>IF($C355="","",IFERROR(INDEX(WorkerIDs,MATCH($C355,WorkerNames,0)),"?"))</f>
        <v/>
      </c>
      <c r="J355" s="253">
        <f>IF($B355="","",$B355-WEEKDAY($B355,2)+1)</f>
        <v/>
      </c>
      <c r="K355" s="142">
        <f>IF(OR($I355="",$I355="?",$D355&lt;&gt;"Advance",$B355=""),"",$I355&amp;"|"&amp;$J355&amp;"|"&amp;COUNTIFS($I$7:$I355,$I355,$J$7:$J355,$J355,$D$7:$D355,"Advance"))</f>
        <v/>
      </c>
      <c r="L355" s="266">
        <f>IF(OR($I355="",$I355="?",$B355=""),"",SUMPRODUCT((Weeks!$A$7:$A$59&lt;=$J355)*(Weeks!$X$5:$AI$5=$I355)*Weeks!$X$7:$AI$59)-SUMIFS($E$7:$E$1006,$I$7:$I$1006,$I355,$B$7:$B$1006,"&lt;="&amp;$B355))</f>
        <v/>
      </c>
      <c r="M355" s="132">
        <f>IF($B355&amp;$C355&amp;$D355&amp;$E355="","",IF($B355="","missing date",IF($C355="","missing worker",IF($I355="?","unknown worker - was the name changed on Workers?",IF($D355="","missing type",IF(N($E355)=0,"missing amount",IF(AND($E355&lt;0,$D355&lt;&gt;"Correction"),"negative amount - use a Correction to undo",IF(OR($B355&lt;Weeks!$A$7,$B355&gt;Weeks!$B$59),"date outside this workbook's year",IF(AND($D355="Advance",N($L355)&lt;0),"Warning: more than earned so far - worker now owes "&amp;TEXT(ROUND(-$L355,0),"#,##0"),"")))))))))</f>
        <v/>
      </c>
      <c r="N355" s="125" t="n"/>
      <c r="O355" s="126" t="n"/>
      <c r="P355" s="126" t="n"/>
      <c r="Q355" s="126" t="n"/>
      <c r="R355" s="126" t="n"/>
      <c r="S355" s="126" t="n"/>
      <c r="T355" s="126" t="n"/>
      <c r="U355" s="126" t="n"/>
      <c r="V355" s="126" t="n"/>
      <c r="W355" s="126" t="n"/>
      <c r="X355" s="126" t="n"/>
      <c r="Y355" s="126" t="n"/>
      <c r="Z355" s="126" t="n"/>
      <c r="AA355" s="126" t="n"/>
      <c r="AB355" s="126" t="n"/>
      <c r="AC355" s="126" t="n"/>
      <c r="AD355" s="126" t="n"/>
      <c r="AE355" s="126" t="n"/>
      <c r="AF355" s="126" t="n"/>
      <c r="AG355" s="126" t="n"/>
      <c r="AH355" s="126" t="n"/>
      <c r="AI355" s="126" t="n"/>
      <c r="AJ355" s="126" t="n"/>
      <c r="AK355" s="126" t="n"/>
      <c r="AL355" s="126" t="n"/>
      <c r="AM355" s="126" t="n"/>
      <c r="AN355" s="126" t="n"/>
    </row>
    <row r="356" ht="21" customFormat="1" customHeight="1" s="127">
      <c r="A356" s="51">
        <f>IF($B356="","",ROW()-6)</f>
        <v/>
      </c>
      <c r="B356" s="268" t="n"/>
      <c r="C356" s="133" t="n"/>
      <c r="D356" s="50" t="n"/>
      <c r="E356" s="265" t="n"/>
      <c r="F356" s="133" t="n"/>
      <c r="G356" s="133" t="n"/>
      <c r="H356" s="50" t="n"/>
      <c r="I356" s="51">
        <f>IF($C356="","",IFERROR(INDEX(WorkerIDs,MATCH($C356,WorkerNames,0)),"?"))</f>
        <v/>
      </c>
      <c r="J356" s="253">
        <f>IF($B356="","",$B356-WEEKDAY($B356,2)+1)</f>
        <v/>
      </c>
      <c r="K356" s="142">
        <f>IF(OR($I356="",$I356="?",$D356&lt;&gt;"Advance",$B356=""),"",$I356&amp;"|"&amp;$J356&amp;"|"&amp;COUNTIFS($I$7:$I356,$I356,$J$7:$J356,$J356,$D$7:$D356,"Advance"))</f>
        <v/>
      </c>
      <c r="L356" s="266">
        <f>IF(OR($I356="",$I356="?",$B356=""),"",SUMPRODUCT((Weeks!$A$7:$A$59&lt;=$J356)*(Weeks!$X$5:$AI$5=$I356)*Weeks!$X$7:$AI$59)-SUMIFS($E$7:$E$1006,$I$7:$I$1006,$I356,$B$7:$B$1006,"&lt;="&amp;$B356))</f>
        <v/>
      </c>
      <c r="M356" s="132">
        <f>IF($B356&amp;$C356&amp;$D356&amp;$E356="","",IF($B356="","missing date",IF($C356="","missing worker",IF($I356="?","unknown worker - was the name changed on Workers?",IF($D356="","missing type",IF(N($E356)=0,"missing amount",IF(AND($E356&lt;0,$D356&lt;&gt;"Correction"),"negative amount - use a Correction to undo",IF(OR($B356&lt;Weeks!$A$7,$B356&gt;Weeks!$B$59),"date outside this workbook's year",IF(AND($D356="Advance",N($L356)&lt;0),"Warning: more than earned so far - worker now owes "&amp;TEXT(ROUND(-$L356,0),"#,##0"),"")))))))))</f>
        <v/>
      </c>
      <c r="N356" s="125" t="n"/>
      <c r="O356" s="126" t="n"/>
      <c r="P356" s="126" t="n"/>
      <c r="Q356" s="126" t="n"/>
      <c r="R356" s="126" t="n"/>
      <c r="S356" s="126" t="n"/>
      <c r="T356" s="126" t="n"/>
      <c r="U356" s="126" t="n"/>
      <c r="V356" s="126" t="n"/>
      <c r="W356" s="126" t="n"/>
      <c r="X356" s="126" t="n"/>
      <c r="Y356" s="126" t="n"/>
      <c r="Z356" s="126" t="n"/>
      <c r="AA356" s="126" t="n"/>
      <c r="AB356" s="126" t="n"/>
      <c r="AC356" s="126" t="n"/>
      <c r="AD356" s="126" t="n"/>
      <c r="AE356" s="126" t="n"/>
      <c r="AF356" s="126" t="n"/>
      <c r="AG356" s="126" t="n"/>
      <c r="AH356" s="126" t="n"/>
      <c r="AI356" s="126" t="n"/>
      <c r="AJ356" s="126" t="n"/>
      <c r="AK356" s="126" t="n"/>
      <c r="AL356" s="126" t="n"/>
      <c r="AM356" s="126" t="n"/>
      <c r="AN356" s="126" t="n"/>
    </row>
    <row r="357" ht="21" customFormat="1" customHeight="1" s="127">
      <c r="A357" s="51">
        <f>IF($B357="","",ROW()-6)</f>
        <v/>
      </c>
      <c r="B357" s="268" t="n"/>
      <c r="C357" s="133" t="n"/>
      <c r="D357" s="50" t="n"/>
      <c r="E357" s="265" t="n"/>
      <c r="F357" s="133" t="n"/>
      <c r="G357" s="133" t="n"/>
      <c r="H357" s="50" t="n"/>
      <c r="I357" s="51">
        <f>IF($C357="","",IFERROR(INDEX(WorkerIDs,MATCH($C357,WorkerNames,0)),"?"))</f>
        <v/>
      </c>
      <c r="J357" s="253">
        <f>IF($B357="","",$B357-WEEKDAY($B357,2)+1)</f>
        <v/>
      </c>
      <c r="K357" s="142">
        <f>IF(OR($I357="",$I357="?",$D357&lt;&gt;"Advance",$B357=""),"",$I357&amp;"|"&amp;$J357&amp;"|"&amp;COUNTIFS($I$7:$I357,$I357,$J$7:$J357,$J357,$D$7:$D357,"Advance"))</f>
        <v/>
      </c>
      <c r="L357" s="266">
        <f>IF(OR($I357="",$I357="?",$B357=""),"",SUMPRODUCT((Weeks!$A$7:$A$59&lt;=$J357)*(Weeks!$X$5:$AI$5=$I357)*Weeks!$X$7:$AI$59)-SUMIFS($E$7:$E$1006,$I$7:$I$1006,$I357,$B$7:$B$1006,"&lt;="&amp;$B357))</f>
        <v/>
      </c>
      <c r="M357" s="132">
        <f>IF($B357&amp;$C357&amp;$D357&amp;$E357="","",IF($B357="","missing date",IF($C357="","missing worker",IF($I357="?","unknown worker - was the name changed on Workers?",IF($D357="","missing type",IF(N($E357)=0,"missing amount",IF(AND($E357&lt;0,$D357&lt;&gt;"Correction"),"negative amount - use a Correction to undo",IF(OR($B357&lt;Weeks!$A$7,$B357&gt;Weeks!$B$59),"date outside this workbook's year",IF(AND($D357="Advance",N($L357)&lt;0),"Warning: more than earned so far - worker now owes "&amp;TEXT(ROUND(-$L357,0),"#,##0"),"")))))))))</f>
        <v/>
      </c>
      <c r="N357" s="125" t="n"/>
      <c r="O357" s="126" t="n"/>
      <c r="P357" s="126" t="n"/>
      <c r="Q357" s="126" t="n"/>
      <c r="R357" s="126" t="n"/>
      <c r="S357" s="126" t="n"/>
      <c r="T357" s="126" t="n"/>
      <c r="U357" s="126" t="n"/>
      <c r="V357" s="126" t="n"/>
      <c r="W357" s="126" t="n"/>
      <c r="X357" s="126" t="n"/>
      <c r="Y357" s="126" t="n"/>
      <c r="Z357" s="126" t="n"/>
      <c r="AA357" s="126" t="n"/>
      <c r="AB357" s="126" t="n"/>
      <c r="AC357" s="126" t="n"/>
      <c r="AD357" s="126" t="n"/>
      <c r="AE357" s="126" t="n"/>
      <c r="AF357" s="126" t="n"/>
      <c r="AG357" s="126" t="n"/>
      <c r="AH357" s="126" t="n"/>
      <c r="AI357" s="126" t="n"/>
      <c r="AJ357" s="126" t="n"/>
      <c r="AK357" s="126" t="n"/>
      <c r="AL357" s="126" t="n"/>
      <c r="AM357" s="126" t="n"/>
      <c r="AN357" s="126" t="n"/>
    </row>
    <row r="358" ht="21" customFormat="1" customHeight="1" s="127">
      <c r="A358" s="51">
        <f>IF($B358="","",ROW()-6)</f>
        <v/>
      </c>
      <c r="B358" s="268" t="n"/>
      <c r="C358" s="133" t="n"/>
      <c r="D358" s="50" t="n"/>
      <c r="E358" s="265" t="n"/>
      <c r="F358" s="133" t="n"/>
      <c r="G358" s="133" t="n"/>
      <c r="H358" s="50" t="n"/>
      <c r="I358" s="51">
        <f>IF($C358="","",IFERROR(INDEX(WorkerIDs,MATCH($C358,WorkerNames,0)),"?"))</f>
        <v/>
      </c>
      <c r="J358" s="253">
        <f>IF($B358="","",$B358-WEEKDAY($B358,2)+1)</f>
        <v/>
      </c>
      <c r="K358" s="142">
        <f>IF(OR($I358="",$I358="?",$D358&lt;&gt;"Advance",$B358=""),"",$I358&amp;"|"&amp;$J358&amp;"|"&amp;COUNTIFS($I$7:$I358,$I358,$J$7:$J358,$J358,$D$7:$D358,"Advance"))</f>
        <v/>
      </c>
      <c r="L358" s="266">
        <f>IF(OR($I358="",$I358="?",$B358=""),"",SUMPRODUCT((Weeks!$A$7:$A$59&lt;=$J358)*(Weeks!$X$5:$AI$5=$I358)*Weeks!$X$7:$AI$59)-SUMIFS($E$7:$E$1006,$I$7:$I$1006,$I358,$B$7:$B$1006,"&lt;="&amp;$B358))</f>
        <v/>
      </c>
      <c r="M358" s="132">
        <f>IF($B358&amp;$C358&amp;$D358&amp;$E358="","",IF($B358="","missing date",IF($C358="","missing worker",IF($I358="?","unknown worker - was the name changed on Workers?",IF($D358="","missing type",IF(N($E358)=0,"missing amount",IF(AND($E358&lt;0,$D358&lt;&gt;"Correction"),"negative amount - use a Correction to undo",IF(OR($B358&lt;Weeks!$A$7,$B358&gt;Weeks!$B$59),"date outside this workbook's year",IF(AND($D358="Advance",N($L358)&lt;0),"Warning: more than earned so far - worker now owes "&amp;TEXT(ROUND(-$L358,0),"#,##0"),"")))))))))</f>
        <v/>
      </c>
      <c r="N358" s="125" t="n"/>
      <c r="O358" s="126" t="n"/>
      <c r="P358" s="126" t="n"/>
      <c r="Q358" s="126" t="n"/>
      <c r="R358" s="126" t="n"/>
      <c r="S358" s="126" t="n"/>
      <c r="T358" s="126" t="n"/>
      <c r="U358" s="126" t="n"/>
      <c r="V358" s="126" t="n"/>
      <c r="W358" s="126" t="n"/>
      <c r="X358" s="126" t="n"/>
      <c r="Y358" s="126" t="n"/>
      <c r="Z358" s="126" t="n"/>
      <c r="AA358" s="126" t="n"/>
      <c r="AB358" s="126" t="n"/>
      <c r="AC358" s="126" t="n"/>
      <c r="AD358" s="126" t="n"/>
      <c r="AE358" s="126" t="n"/>
      <c r="AF358" s="126" t="n"/>
      <c r="AG358" s="126" t="n"/>
      <c r="AH358" s="126" t="n"/>
      <c r="AI358" s="126" t="n"/>
      <c r="AJ358" s="126" t="n"/>
      <c r="AK358" s="126" t="n"/>
      <c r="AL358" s="126" t="n"/>
      <c r="AM358" s="126" t="n"/>
      <c r="AN358" s="126" t="n"/>
    </row>
    <row r="359" ht="21" customFormat="1" customHeight="1" s="127">
      <c r="A359" s="51">
        <f>IF($B359="","",ROW()-6)</f>
        <v/>
      </c>
      <c r="B359" s="268" t="n"/>
      <c r="C359" s="133" t="n"/>
      <c r="D359" s="50" t="n"/>
      <c r="E359" s="265" t="n"/>
      <c r="F359" s="133" t="n"/>
      <c r="G359" s="133" t="n"/>
      <c r="H359" s="50" t="n"/>
      <c r="I359" s="51">
        <f>IF($C359="","",IFERROR(INDEX(WorkerIDs,MATCH($C359,WorkerNames,0)),"?"))</f>
        <v/>
      </c>
      <c r="J359" s="253">
        <f>IF($B359="","",$B359-WEEKDAY($B359,2)+1)</f>
        <v/>
      </c>
      <c r="K359" s="142">
        <f>IF(OR($I359="",$I359="?",$D359&lt;&gt;"Advance",$B359=""),"",$I359&amp;"|"&amp;$J359&amp;"|"&amp;COUNTIFS($I$7:$I359,$I359,$J$7:$J359,$J359,$D$7:$D359,"Advance"))</f>
        <v/>
      </c>
      <c r="L359" s="266">
        <f>IF(OR($I359="",$I359="?",$B359=""),"",SUMPRODUCT((Weeks!$A$7:$A$59&lt;=$J359)*(Weeks!$X$5:$AI$5=$I359)*Weeks!$X$7:$AI$59)-SUMIFS($E$7:$E$1006,$I$7:$I$1006,$I359,$B$7:$B$1006,"&lt;="&amp;$B359))</f>
        <v/>
      </c>
      <c r="M359" s="132">
        <f>IF($B359&amp;$C359&amp;$D359&amp;$E359="","",IF($B359="","missing date",IF($C359="","missing worker",IF($I359="?","unknown worker - was the name changed on Workers?",IF($D359="","missing type",IF(N($E359)=0,"missing amount",IF(AND($E359&lt;0,$D359&lt;&gt;"Correction"),"negative amount - use a Correction to undo",IF(OR($B359&lt;Weeks!$A$7,$B359&gt;Weeks!$B$59),"date outside this workbook's year",IF(AND($D359="Advance",N($L359)&lt;0),"Warning: more than earned so far - worker now owes "&amp;TEXT(ROUND(-$L359,0),"#,##0"),"")))))))))</f>
        <v/>
      </c>
      <c r="N359" s="125" t="n"/>
      <c r="O359" s="126" t="n"/>
      <c r="P359" s="126" t="n"/>
      <c r="Q359" s="126" t="n"/>
      <c r="R359" s="126" t="n"/>
      <c r="S359" s="126" t="n"/>
      <c r="T359" s="126" t="n"/>
      <c r="U359" s="126" t="n"/>
      <c r="V359" s="126" t="n"/>
      <c r="W359" s="126" t="n"/>
      <c r="X359" s="126" t="n"/>
      <c r="Y359" s="126" t="n"/>
      <c r="Z359" s="126" t="n"/>
      <c r="AA359" s="126" t="n"/>
      <c r="AB359" s="126" t="n"/>
      <c r="AC359" s="126" t="n"/>
      <c r="AD359" s="126" t="n"/>
      <c r="AE359" s="126" t="n"/>
      <c r="AF359" s="126" t="n"/>
      <c r="AG359" s="126" t="n"/>
      <c r="AH359" s="126" t="n"/>
      <c r="AI359" s="126" t="n"/>
      <c r="AJ359" s="126" t="n"/>
      <c r="AK359" s="126" t="n"/>
      <c r="AL359" s="126" t="n"/>
      <c r="AM359" s="126" t="n"/>
      <c r="AN359" s="126" t="n"/>
    </row>
    <row r="360" ht="21" customFormat="1" customHeight="1" s="127">
      <c r="A360" s="51">
        <f>IF($B360="","",ROW()-6)</f>
        <v/>
      </c>
      <c r="B360" s="268" t="n"/>
      <c r="C360" s="133" t="n"/>
      <c r="D360" s="50" t="n"/>
      <c r="E360" s="265" t="n"/>
      <c r="F360" s="133" t="n"/>
      <c r="G360" s="133" t="n"/>
      <c r="H360" s="50" t="n"/>
      <c r="I360" s="51">
        <f>IF($C360="","",IFERROR(INDEX(WorkerIDs,MATCH($C360,WorkerNames,0)),"?"))</f>
        <v/>
      </c>
      <c r="J360" s="253">
        <f>IF($B360="","",$B360-WEEKDAY($B360,2)+1)</f>
        <v/>
      </c>
      <c r="K360" s="142">
        <f>IF(OR($I360="",$I360="?",$D360&lt;&gt;"Advance",$B360=""),"",$I360&amp;"|"&amp;$J360&amp;"|"&amp;COUNTIFS($I$7:$I360,$I360,$J$7:$J360,$J360,$D$7:$D360,"Advance"))</f>
        <v/>
      </c>
      <c r="L360" s="266">
        <f>IF(OR($I360="",$I360="?",$B360=""),"",SUMPRODUCT((Weeks!$A$7:$A$59&lt;=$J360)*(Weeks!$X$5:$AI$5=$I360)*Weeks!$X$7:$AI$59)-SUMIFS($E$7:$E$1006,$I$7:$I$1006,$I360,$B$7:$B$1006,"&lt;="&amp;$B360))</f>
        <v/>
      </c>
      <c r="M360" s="132">
        <f>IF($B360&amp;$C360&amp;$D360&amp;$E360="","",IF($B360="","missing date",IF($C360="","missing worker",IF($I360="?","unknown worker - was the name changed on Workers?",IF($D360="","missing type",IF(N($E360)=0,"missing amount",IF(AND($E360&lt;0,$D360&lt;&gt;"Correction"),"negative amount - use a Correction to undo",IF(OR($B360&lt;Weeks!$A$7,$B360&gt;Weeks!$B$59),"date outside this workbook's year",IF(AND($D360="Advance",N($L360)&lt;0),"Warning: more than earned so far - worker now owes "&amp;TEXT(ROUND(-$L360,0),"#,##0"),"")))))))))</f>
        <v/>
      </c>
      <c r="N360" s="125" t="n"/>
      <c r="O360" s="126" t="n"/>
      <c r="P360" s="126" t="n"/>
      <c r="Q360" s="126" t="n"/>
      <c r="R360" s="126" t="n"/>
      <c r="S360" s="126" t="n"/>
      <c r="T360" s="126" t="n"/>
      <c r="U360" s="126" t="n"/>
      <c r="V360" s="126" t="n"/>
      <c r="W360" s="126" t="n"/>
      <c r="X360" s="126" t="n"/>
      <c r="Y360" s="126" t="n"/>
      <c r="Z360" s="126" t="n"/>
      <c r="AA360" s="126" t="n"/>
      <c r="AB360" s="126" t="n"/>
      <c r="AC360" s="126" t="n"/>
      <c r="AD360" s="126" t="n"/>
      <c r="AE360" s="126" t="n"/>
      <c r="AF360" s="126" t="n"/>
      <c r="AG360" s="126" t="n"/>
      <c r="AH360" s="126" t="n"/>
      <c r="AI360" s="126" t="n"/>
      <c r="AJ360" s="126" t="n"/>
      <c r="AK360" s="126" t="n"/>
      <c r="AL360" s="126" t="n"/>
      <c r="AM360" s="126" t="n"/>
      <c r="AN360" s="126" t="n"/>
    </row>
    <row r="361" ht="21" customFormat="1" customHeight="1" s="127">
      <c r="A361" s="51">
        <f>IF($B361="","",ROW()-6)</f>
        <v/>
      </c>
      <c r="B361" s="268" t="n"/>
      <c r="C361" s="133" t="n"/>
      <c r="D361" s="50" t="n"/>
      <c r="E361" s="265" t="n"/>
      <c r="F361" s="133" t="n"/>
      <c r="G361" s="133" t="n"/>
      <c r="H361" s="50" t="n"/>
      <c r="I361" s="51">
        <f>IF($C361="","",IFERROR(INDEX(WorkerIDs,MATCH($C361,WorkerNames,0)),"?"))</f>
        <v/>
      </c>
      <c r="J361" s="253">
        <f>IF($B361="","",$B361-WEEKDAY($B361,2)+1)</f>
        <v/>
      </c>
      <c r="K361" s="142">
        <f>IF(OR($I361="",$I361="?",$D361&lt;&gt;"Advance",$B361=""),"",$I361&amp;"|"&amp;$J361&amp;"|"&amp;COUNTIFS($I$7:$I361,$I361,$J$7:$J361,$J361,$D$7:$D361,"Advance"))</f>
        <v/>
      </c>
      <c r="L361" s="266">
        <f>IF(OR($I361="",$I361="?",$B361=""),"",SUMPRODUCT((Weeks!$A$7:$A$59&lt;=$J361)*(Weeks!$X$5:$AI$5=$I361)*Weeks!$X$7:$AI$59)-SUMIFS($E$7:$E$1006,$I$7:$I$1006,$I361,$B$7:$B$1006,"&lt;="&amp;$B361))</f>
        <v/>
      </c>
      <c r="M361" s="132">
        <f>IF($B361&amp;$C361&amp;$D361&amp;$E361="","",IF($B361="","missing date",IF($C361="","missing worker",IF($I361="?","unknown worker - was the name changed on Workers?",IF($D361="","missing type",IF(N($E361)=0,"missing amount",IF(AND($E361&lt;0,$D361&lt;&gt;"Correction"),"negative amount - use a Correction to undo",IF(OR($B361&lt;Weeks!$A$7,$B361&gt;Weeks!$B$59),"date outside this workbook's year",IF(AND($D361="Advance",N($L361)&lt;0),"Warning: more than earned so far - worker now owes "&amp;TEXT(ROUND(-$L361,0),"#,##0"),"")))))))))</f>
        <v/>
      </c>
      <c r="N361" s="125" t="n"/>
      <c r="O361" s="126" t="n"/>
      <c r="P361" s="126" t="n"/>
      <c r="Q361" s="126" t="n"/>
      <c r="R361" s="126" t="n"/>
      <c r="S361" s="126" t="n"/>
      <c r="T361" s="126" t="n"/>
      <c r="U361" s="126" t="n"/>
      <c r="V361" s="126" t="n"/>
      <c r="W361" s="126" t="n"/>
      <c r="X361" s="126" t="n"/>
      <c r="Y361" s="126" t="n"/>
      <c r="Z361" s="126" t="n"/>
      <c r="AA361" s="126" t="n"/>
      <c r="AB361" s="126" t="n"/>
      <c r="AC361" s="126" t="n"/>
      <c r="AD361" s="126" t="n"/>
      <c r="AE361" s="126" t="n"/>
      <c r="AF361" s="126" t="n"/>
      <c r="AG361" s="126" t="n"/>
      <c r="AH361" s="126" t="n"/>
      <c r="AI361" s="126" t="n"/>
      <c r="AJ361" s="126" t="n"/>
      <c r="AK361" s="126" t="n"/>
      <c r="AL361" s="126" t="n"/>
      <c r="AM361" s="126" t="n"/>
      <c r="AN361" s="126" t="n"/>
    </row>
    <row r="362" ht="21" customFormat="1" customHeight="1" s="127">
      <c r="A362" s="51">
        <f>IF($B362="","",ROW()-6)</f>
        <v/>
      </c>
      <c r="B362" s="268" t="n"/>
      <c r="C362" s="133" t="n"/>
      <c r="D362" s="50" t="n"/>
      <c r="E362" s="265" t="n"/>
      <c r="F362" s="133" t="n"/>
      <c r="G362" s="133" t="n"/>
      <c r="H362" s="50" t="n"/>
      <c r="I362" s="51">
        <f>IF($C362="","",IFERROR(INDEX(WorkerIDs,MATCH($C362,WorkerNames,0)),"?"))</f>
        <v/>
      </c>
      <c r="J362" s="253">
        <f>IF($B362="","",$B362-WEEKDAY($B362,2)+1)</f>
        <v/>
      </c>
      <c r="K362" s="142">
        <f>IF(OR($I362="",$I362="?",$D362&lt;&gt;"Advance",$B362=""),"",$I362&amp;"|"&amp;$J362&amp;"|"&amp;COUNTIFS($I$7:$I362,$I362,$J$7:$J362,$J362,$D$7:$D362,"Advance"))</f>
        <v/>
      </c>
      <c r="L362" s="266">
        <f>IF(OR($I362="",$I362="?",$B362=""),"",SUMPRODUCT((Weeks!$A$7:$A$59&lt;=$J362)*(Weeks!$X$5:$AI$5=$I362)*Weeks!$X$7:$AI$59)-SUMIFS($E$7:$E$1006,$I$7:$I$1006,$I362,$B$7:$B$1006,"&lt;="&amp;$B362))</f>
        <v/>
      </c>
      <c r="M362" s="132">
        <f>IF($B362&amp;$C362&amp;$D362&amp;$E362="","",IF($B362="","missing date",IF($C362="","missing worker",IF($I362="?","unknown worker - was the name changed on Workers?",IF($D362="","missing type",IF(N($E362)=0,"missing amount",IF(AND($E362&lt;0,$D362&lt;&gt;"Correction"),"negative amount - use a Correction to undo",IF(OR($B362&lt;Weeks!$A$7,$B362&gt;Weeks!$B$59),"date outside this workbook's year",IF(AND($D362="Advance",N($L362)&lt;0),"Warning: more than earned so far - worker now owes "&amp;TEXT(ROUND(-$L362,0),"#,##0"),"")))))))))</f>
        <v/>
      </c>
      <c r="N362" s="125" t="n"/>
      <c r="O362" s="126" t="n"/>
      <c r="P362" s="126" t="n"/>
      <c r="Q362" s="126" t="n"/>
      <c r="R362" s="126" t="n"/>
      <c r="S362" s="126" t="n"/>
      <c r="T362" s="126" t="n"/>
      <c r="U362" s="126" t="n"/>
      <c r="V362" s="126" t="n"/>
      <c r="W362" s="126" t="n"/>
      <c r="X362" s="126" t="n"/>
      <c r="Y362" s="126" t="n"/>
      <c r="Z362" s="126" t="n"/>
      <c r="AA362" s="126" t="n"/>
      <c r="AB362" s="126" t="n"/>
      <c r="AC362" s="126" t="n"/>
      <c r="AD362" s="126" t="n"/>
      <c r="AE362" s="126" t="n"/>
      <c r="AF362" s="126" t="n"/>
      <c r="AG362" s="126" t="n"/>
      <c r="AH362" s="126" t="n"/>
      <c r="AI362" s="126" t="n"/>
      <c r="AJ362" s="126" t="n"/>
      <c r="AK362" s="126" t="n"/>
      <c r="AL362" s="126" t="n"/>
      <c r="AM362" s="126" t="n"/>
      <c r="AN362" s="126" t="n"/>
    </row>
    <row r="363" ht="21" customFormat="1" customHeight="1" s="127">
      <c r="A363" s="51">
        <f>IF($B363="","",ROW()-6)</f>
        <v/>
      </c>
      <c r="B363" s="268" t="n"/>
      <c r="C363" s="133" t="n"/>
      <c r="D363" s="50" t="n"/>
      <c r="E363" s="265" t="n"/>
      <c r="F363" s="133" t="n"/>
      <c r="G363" s="133" t="n"/>
      <c r="H363" s="50" t="n"/>
      <c r="I363" s="51">
        <f>IF($C363="","",IFERROR(INDEX(WorkerIDs,MATCH($C363,WorkerNames,0)),"?"))</f>
        <v/>
      </c>
      <c r="J363" s="253">
        <f>IF($B363="","",$B363-WEEKDAY($B363,2)+1)</f>
        <v/>
      </c>
      <c r="K363" s="142">
        <f>IF(OR($I363="",$I363="?",$D363&lt;&gt;"Advance",$B363=""),"",$I363&amp;"|"&amp;$J363&amp;"|"&amp;COUNTIFS($I$7:$I363,$I363,$J$7:$J363,$J363,$D$7:$D363,"Advance"))</f>
        <v/>
      </c>
      <c r="L363" s="266">
        <f>IF(OR($I363="",$I363="?",$B363=""),"",SUMPRODUCT((Weeks!$A$7:$A$59&lt;=$J363)*(Weeks!$X$5:$AI$5=$I363)*Weeks!$X$7:$AI$59)-SUMIFS($E$7:$E$1006,$I$7:$I$1006,$I363,$B$7:$B$1006,"&lt;="&amp;$B363))</f>
        <v/>
      </c>
      <c r="M363" s="132">
        <f>IF($B363&amp;$C363&amp;$D363&amp;$E363="","",IF($B363="","missing date",IF($C363="","missing worker",IF($I363="?","unknown worker - was the name changed on Workers?",IF($D363="","missing type",IF(N($E363)=0,"missing amount",IF(AND($E363&lt;0,$D363&lt;&gt;"Correction"),"negative amount - use a Correction to undo",IF(OR($B363&lt;Weeks!$A$7,$B363&gt;Weeks!$B$59),"date outside this workbook's year",IF(AND($D363="Advance",N($L363)&lt;0),"Warning: more than earned so far - worker now owes "&amp;TEXT(ROUND(-$L363,0),"#,##0"),"")))))))))</f>
        <v/>
      </c>
      <c r="N363" s="125" t="n"/>
      <c r="O363" s="126" t="n"/>
      <c r="P363" s="126" t="n"/>
      <c r="Q363" s="126" t="n"/>
      <c r="R363" s="126" t="n"/>
      <c r="S363" s="126" t="n"/>
      <c r="T363" s="126" t="n"/>
      <c r="U363" s="126" t="n"/>
      <c r="V363" s="126" t="n"/>
      <c r="W363" s="126" t="n"/>
      <c r="X363" s="126" t="n"/>
      <c r="Y363" s="126" t="n"/>
      <c r="Z363" s="126" t="n"/>
      <c r="AA363" s="126" t="n"/>
      <c r="AB363" s="126" t="n"/>
      <c r="AC363" s="126" t="n"/>
      <c r="AD363" s="126" t="n"/>
      <c r="AE363" s="126" t="n"/>
      <c r="AF363" s="126" t="n"/>
      <c r="AG363" s="126" t="n"/>
      <c r="AH363" s="126" t="n"/>
      <c r="AI363" s="126" t="n"/>
      <c r="AJ363" s="126" t="n"/>
      <c r="AK363" s="126" t="n"/>
      <c r="AL363" s="126" t="n"/>
      <c r="AM363" s="126" t="n"/>
      <c r="AN363" s="126" t="n"/>
    </row>
    <row r="364" ht="21" customFormat="1" customHeight="1" s="127">
      <c r="A364" s="51">
        <f>IF($B364="","",ROW()-6)</f>
        <v/>
      </c>
      <c r="B364" s="268" t="n"/>
      <c r="C364" s="133" t="n"/>
      <c r="D364" s="50" t="n"/>
      <c r="E364" s="265" t="n"/>
      <c r="F364" s="133" t="n"/>
      <c r="G364" s="133" t="n"/>
      <c r="H364" s="50" t="n"/>
      <c r="I364" s="51">
        <f>IF($C364="","",IFERROR(INDEX(WorkerIDs,MATCH($C364,WorkerNames,0)),"?"))</f>
        <v/>
      </c>
      <c r="J364" s="253">
        <f>IF($B364="","",$B364-WEEKDAY($B364,2)+1)</f>
        <v/>
      </c>
      <c r="K364" s="142">
        <f>IF(OR($I364="",$I364="?",$D364&lt;&gt;"Advance",$B364=""),"",$I364&amp;"|"&amp;$J364&amp;"|"&amp;COUNTIFS($I$7:$I364,$I364,$J$7:$J364,$J364,$D$7:$D364,"Advance"))</f>
        <v/>
      </c>
      <c r="L364" s="266">
        <f>IF(OR($I364="",$I364="?",$B364=""),"",SUMPRODUCT((Weeks!$A$7:$A$59&lt;=$J364)*(Weeks!$X$5:$AI$5=$I364)*Weeks!$X$7:$AI$59)-SUMIFS($E$7:$E$1006,$I$7:$I$1006,$I364,$B$7:$B$1006,"&lt;="&amp;$B364))</f>
        <v/>
      </c>
      <c r="M364" s="132">
        <f>IF($B364&amp;$C364&amp;$D364&amp;$E364="","",IF($B364="","missing date",IF($C364="","missing worker",IF($I364="?","unknown worker - was the name changed on Workers?",IF($D364="","missing type",IF(N($E364)=0,"missing amount",IF(AND($E364&lt;0,$D364&lt;&gt;"Correction"),"negative amount - use a Correction to undo",IF(OR($B364&lt;Weeks!$A$7,$B364&gt;Weeks!$B$59),"date outside this workbook's year",IF(AND($D364="Advance",N($L364)&lt;0),"Warning: more than earned so far - worker now owes "&amp;TEXT(ROUND(-$L364,0),"#,##0"),"")))))))))</f>
        <v/>
      </c>
      <c r="N364" s="125" t="n"/>
      <c r="O364" s="126" t="n"/>
      <c r="P364" s="126" t="n"/>
      <c r="Q364" s="126" t="n"/>
      <c r="R364" s="126" t="n"/>
      <c r="S364" s="126" t="n"/>
      <c r="T364" s="126" t="n"/>
      <c r="U364" s="126" t="n"/>
      <c r="V364" s="126" t="n"/>
      <c r="W364" s="126" t="n"/>
      <c r="X364" s="126" t="n"/>
      <c r="Y364" s="126" t="n"/>
      <c r="Z364" s="126" t="n"/>
      <c r="AA364" s="126" t="n"/>
      <c r="AB364" s="126" t="n"/>
      <c r="AC364" s="126" t="n"/>
      <c r="AD364" s="126" t="n"/>
      <c r="AE364" s="126" t="n"/>
      <c r="AF364" s="126" t="n"/>
      <c r="AG364" s="126" t="n"/>
      <c r="AH364" s="126" t="n"/>
      <c r="AI364" s="126" t="n"/>
      <c r="AJ364" s="126" t="n"/>
      <c r="AK364" s="126" t="n"/>
      <c r="AL364" s="126" t="n"/>
      <c r="AM364" s="126" t="n"/>
      <c r="AN364" s="126" t="n"/>
    </row>
    <row r="365" ht="21" customFormat="1" customHeight="1" s="127">
      <c r="A365" s="51">
        <f>IF($B365="","",ROW()-6)</f>
        <v/>
      </c>
      <c r="B365" s="268" t="n"/>
      <c r="C365" s="133" t="n"/>
      <c r="D365" s="50" t="n"/>
      <c r="E365" s="265" t="n"/>
      <c r="F365" s="133" t="n"/>
      <c r="G365" s="133" t="n"/>
      <c r="H365" s="50" t="n"/>
      <c r="I365" s="51">
        <f>IF($C365="","",IFERROR(INDEX(WorkerIDs,MATCH($C365,WorkerNames,0)),"?"))</f>
        <v/>
      </c>
      <c r="J365" s="253">
        <f>IF($B365="","",$B365-WEEKDAY($B365,2)+1)</f>
        <v/>
      </c>
      <c r="K365" s="142">
        <f>IF(OR($I365="",$I365="?",$D365&lt;&gt;"Advance",$B365=""),"",$I365&amp;"|"&amp;$J365&amp;"|"&amp;COUNTIFS($I$7:$I365,$I365,$J$7:$J365,$J365,$D$7:$D365,"Advance"))</f>
        <v/>
      </c>
      <c r="L365" s="266">
        <f>IF(OR($I365="",$I365="?",$B365=""),"",SUMPRODUCT((Weeks!$A$7:$A$59&lt;=$J365)*(Weeks!$X$5:$AI$5=$I365)*Weeks!$X$7:$AI$59)-SUMIFS($E$7:$E$1006,$I$7:$I$1006,$I365,$B$7:$B$1006,"&lt;="&amp;$B365))</f>
        <v/>
      </c>
      <c r="M365" s="132">
        <f>IF($B365&amp;$C365&amp;$D365&amp;$E365="","",IF($B365="","missing date",IF($C365="","missing worker",IF($I365="?","unknown worker - was the name changed on Workers?",IF($D365="","missing type",IF(N($E365)=0,"missing amount",IF(AND($E365&lt;0,$D365&lt;&gt;"Correction"),"negative amount - use a Correction to undo",IF(OR($B365&lt;Weeks!$A$7,$B365&gt;Weeks!$B$59),"date outside this workbook's year",IF(AND($D365="Advance",N($L365)&lt;0),"Warning: more than earned so far - worker now owes "&amp;TEXT(ROUND(-$L365,0),"#,##0"),"")))))))))</f>
        <v/>
      </c>
      <c r="N365" s="125" t="n"/>
      <c r="O365" s="126" t="n"/>
      <c r="P365" s="126" t="n"/>
      <c r="Q365" s="126" t="n"/>
      <c r="R365" s="126" t="n"/>
      <c r="S365" s="126" t="n"/>
      <c r="T365" s="126" t="n"/>
      <c r="U365" s="126" t="n"/>
      <c r="V365" s="126" t="n"/>
      <c r="W365" s="126" t="n"/>
      <c r="X365" s="126" t="n"/>
      <c r="Y365" s="126" t="n"/>
      <c r="Z365" s="126" t="n"/>
      <c r="AA365" s="126" t="n"/>
      <c r="AB365" s="126" t="n"/>
      <c r="AC365" s="126" t="n"/>
      <c r="AD365" s="126" t="n"/>
      <c r="AE365" s="126" t="n"/>
      <c r="AF365" s="126" t="n"/>
      <c r="AG365" s="126" t="n"/>
      <c r="AH365" s="126" t="n"/>
      <c r="AI365" s="126" t="n"/>
      <c r="AJ365" s="126" t="n"/>
      <c r="AK365" s="126" t="n"/>
      <c r="AL365" s="126" t="n"/>
      <c r="AM365" s="126" t="n"/>
      <c r="AN365" s="126" t="n"/>
    </row>
    <row r="366" ht="21" customFormat="1" customHeight="1" s="127">
      <c r="A366" s="51">
        <f>IF($B366="","",ROW()-6)</f>
        <v/>
      </c>
      <c r="B366" s="268" t="n"/>
      <c r="C366" s="133" t="n"/>
      <c r="D366" s="50" t="n"/>
      <c r="E366" s="265" t="n"/>
      <c r="F366" s="133" t="n"/>
      <c r="G366" s="133" t="n"/>
      <c r="H366" s="50" t="n"/>
      <c r="I366" s="51">
        <f>IF($C366="","",IFERROR(INDEX(WorkerIDs,MATCH($C366,WorkerNames,0)),"?"))</f>
        <v/>
      </c>
      <c r="J366" s="253">
        <f>IF($B366="","",$B366-WEEKDAY($B366,2)+1)</f>
        <v/>
      </c>
      <c r="K366" s="142">
        <f>IF(OR($I366="",$I366="?",$D366&lt;&gt;"Advance",$B366=""),"",$I366&amp;"|"&amp;$J366&amp;"|"&amp;COUNTIFS($I$7:$I366,$I366,$J$7:$J366,$J366,$D$7:$D366,"Advance"))</f>
        <v/>
      </c>
      <c r="L366" s="266">
        <f>IF(OR($I366="",$I366="?",$B366=""),"",SUMPRODUCT((Weeks!$A$7:$A$59&lt;=$J366)*(Weeks!$X$5:$AI$5=$I366)*Weeks!$X$7:$AI$59)-SUMIFS($E$7:$E$1006,$I$7:$I$1006,$I366,$B$7:$B$1006,"&lt;="&amp;$B366))</f>
        <v/>
      </c>
      <c r="M366" s="132">
        <f>IF($B366&amp;$C366&amp;$D366&amp;$E366="","",IF($B366="","missing date",IF($C366="","missing worker",IF($I366="?","unknown worker - was the name changed on Workers?",IF($D366="","missing type",IF(N($E366)=0,"missing amount",IF(AND($E366&lt;0,$D366&lt;&gt;"Correction"),"negative amount - use a Correction to undo",IF(OR($B366&lt;Weeks!$A$7,$B366&gt;Weeks!$B$59),"date outside this workbook's year",IF(AND($D366="Advance",N($L366)&lt;0),"Warning: more than earned so far - worker now owes "&amp;TEXT(ROUND(-$L366,0),"#,##0"),"")))))))))</f>
        <v/>
      </c>
      <c r="N366" s="125" t="n"/>
      <c r="O366" s="126" t="n"/>
      <c r="P366" s="126" t="n"/>
      <c r="Q366" s="126" t="n"/>
      <c r="R366" s="126" t="n"/>
      <c r="S366" s="126" t="n"/>
      <c r="T366" s="126" t="n"/>
      <c r="U366" s="126" t="n"/>
      <c r="V366" s="126" t="n"/>
      <c r="W366" s="126" t="n"/>
      <c r="X366" s="126" t="n"/>
      <c r="Y366" s="126" t="n"/>
      <c r="Z366" s="126" t="n"/>
      <c r="AA366" s="126" t="n"/>
      <c r="AB366" s="126" t="n"/>
      <c r="AC366" s="126" t="n"/>
      <c r="AD366" s="126" t="n"/>
      <c r="AE366" s="126" t="n"/>
      <c r="AF366" s="126" t="n"/>
      <c r="AG366" s="126" t="n"/>
      <c r="AH366" s="126" t="n"/>
      <c r="AI366" s="126" t="n"/>
      <c r="AJ366" s="126" t="n"/>
      <c r="AK366" s="126" t="n"/>
      <c r="AL366" s="126" t="n"/>
      <c r="AM366" s="126" t="n"/>
      <c r="AN366" s="126" t="n"/>
    </row>
    <row r="367" ht="21" customFormat="1" customHeight="1" s="127">
      <c r="A367" s="51">
        <f>IF($B367="","",ROW()-6)</f>
        <v/>
      </c>
      <c r="B367" s="268" t="n"/>
      <c r="C367" s="133" t="n"/>
      <c r="D367" s="50" t="n"/>
      <c r="E367" s="265" t="n"/>
      <c r="F367" s="133" t="n"/>
      <c r="G367" s="133" t="n"/>
      <c r="H367" s="50" t="n"/>
      <c r="I367" s="51">
        <f>IF($C367="","",IFERROR(INDEX(WorkerIDs,MATCH($C367,WorkerNames,0)),"?"))</f>
        <v/>
      </c>
      <c r="J367" s="253">
        <f>IF($B367="","",$B367-WEEKDAY($B367,2)+1)</f>
        <v/>
      </c>
      <c r="K367" s="142">
        <f>IF(OR($I367="",$I367="?",$D367&lt;&gt;"Advance",$B367=""),"",$I367&amp;"|"&amp;$J367&amp;"|"&amp;COUNTIFS($I$7:$I367,$I367,$J$7:$J367,$J367,$D$7:$D367,"Advance"))</f>
        <v/>
      </c>
      <c r="L367" s="266">
        <f>IF(OR($I367="",$I367="?",$B367=""),"",SUMPRODUCT((Weeks!$A$7:$A$59&lt;=$J367)*(Weeks!$X$5:$AI$5=$I367)*Weeks!$X$7:$AI$59)-SUMIFS($E$7:$E$1006,$I$7:$I$1006,$I367,$B$7:$B$1006,"&lt;="&amp;$B367))</f>
        <v/>
      </c>
      <c r="M367" s="132">
        <f>IF($B367&amp;$C367&amp;$D367&amp;$E367="","",IF($B367="","missing date",IF($C367="","missing worker",IF($I367="?","unknown worker - was the name changed on Workers?",IF($D367="","missing type",IF(N($E367)=0,"missing amount",IF(AND($E367&lt;0,$D367&lt;&gt;"Correction"),"negative amount - use a Correction to undo",IF(OR($B367&lt;Weeks!$A$7,$B367&gt;Weeks!$B$59),"date outside this workbook's year",IF(AND($D367="Advance",N($L367)&lt;0),"Warning: more than earned so far - worker now owes "&amp;TEXT(ROUND(-$L367,0),"#,##0"),"")))))))))</f>
        <v/>
      </c>
      <c r="N367" s="125" t="n"/>
      <c r="O367" s="126" t="n"/>
      <c r="P367" s="126" t="n"/>
      <c r="Q367" s="126" t="n"/>
      <c r="R367" s="126" t="n"/>
      <c r="S367" s="126" t="n"/>
      <c r="T367" s="126" t="n"/>
      <c r="U367" s="126" t="n"/>
      <c r="V367" s="126" t="n"/>
      <c r="W367" s="126" t="n"/>
      <c r="X367" s="126" t="n"/>
      <c r="Y367" s="126" t="n"/>
      <c r="Z367" s="126" t="n"/>
      <c r="AA367" s="126" t="n"/>
      <c r="AB367" s="126" t="n"/>
      <c r="AC367" s="126" t="n"/>
      <c r="AD367" s="126" t="n"/>
      <c r="AE367" s="126" t="n"/>
      <c r="AF367" s="126" t="n"/>
      <c r="AG367" s="126" t="n"/>
      <c r="AH367" s="126" t="n"/>
      <c r="AI367" s="126" t="n"/>
      <c r="AJ367" s="126" t="n"/>
      <c r="AK367" s="126" t="n"/>
      <c r="AL367" s="126" t="n"/>
      <c r="AM367" s="126" t="n"/>
      <c r="AN367" s="126" t="n"/>
    </row>
    <row r="368" ht="21" customFormat="1" customHeight="1" s="127">
      <c r="A368" s="51">
        <f>IF($B368="","",ROW()-6)</f>
        <v/>
      </c>
      <c r="B368" s="268" t="n"/>
      <c r="C368" s="133" t="n"/>
      <c r="D368" s="50" t="n"/>
      <c r="E368" s="265" t="n"/>
      <c r="F368" s="133" t="n"/>
      <c r="G368" s="133" t="n"/>
      <c r="H368" s="50" t="n"/>
      <c r="I368" s="51">
        <f>IF($C368="","",IFERROR(INDEX(WorkerIDs,MATCH($C368,WorkerNames,0)),"?"))</f>
        <v/>
      </c>
      <c r="J368" s="253">
        <f>IF($B368="","",$B368-WEEKDAY($B368,2)+1)</f>
        <v/>
      </c>
      <c r="K368" s="142">
        <f>IF(OR($I368="",$I368="?",$D368&lt;&gt;"Advance",$B368=""),"",$I368&amp;"|"&amp;$J368&amp;"|"&amp;COUNTIFS($I$7:$I368,$I368,$J$7:$J368,$J368,$D$7:$D368,"Advance"))</f>
        <v/>
      </c>
      <c r="L368" s="266">
        <f>IF(OR($I368="",$I368="?",$B368=""),"",SUMPRODUCT((Weeks!$A$7:$A$59&lt;=$J368)*(Weeks!$X$5:$AI$5=$I368)*Weeks!$X$7:$AI$59)-SUMIFS($E$7:$E$1006,$I$7:$I$1006,$I368,$B$7:$B$1006,"&lt;="&amp;$B368))</f>
        <v/>
      </c>
      <c r="M368" s="132">
        <f>IF($B368&amp;$C368&amp;$D368&amp;$E368="","",IF($B368="","missing date",IF($C368="","missing worker",IF($I368="?","unknown worker - was the name changed on Workers?",IF($D368="","missing type",IF(N($E368)=0,"missing amount",IF(AND($E368&lt;0,$D368&lt;&gt;"Correction"),"negative amount - use a Correction to undo",IF(OR($B368&lt;Weeks!$A$7,$B368&gt;Weeks!$B$59),"date outside this workbook's year",IF(AND($D368="Advance",N($L368)&lt;0),"Warning: more than earned so far - worker now owes "&amp;TEXT(ROUND(-$L368,0),"#,##0"),"")))))))))</f>
        <v/>
      </c>
      <c r="N368" s="125" t="n"/>
      <c r="O368" s="126" t="n"/>
      <c r="P368" s="126" t="n"/>
      <c r="Q368" s="126" t="n"/>
      <c r="R368" s="126" t="n"/>
      <c r="S368" s="126" t="n"/>
      <c r="T368" s="126" t="n"/>
      <c r="U368" s="126" t="n"/>
      <c r="V368" s="126" t="n"/>
      <c r="W368" s="126" t="n"/>
      <c r="X368" s="126" t="n"/>
      <c r="Y368" s="126" t="n"/>
      <c r="Z368" s="126" t="n"/>
      <c r="AA368" s="126" t="n"/>
      <c r="AB368" s="126" t="n"/>
      <c r="AC368" s="126" t="n"/>
      <c r="AD368" s="126" t="n"/>
      <c r="AE368" s="126" t="n"/>
      <c r="AF368" s="126" t="n"/>
      <c r="AG368" s="126" t="n"/>
      <c r="AH368" s="126" t="n"/>
      <c r="AI368" s="126" t="n"/>
      <c r="AJ368" s="126" t="n"/>
      <c r="AK368" s="126" t="n"/>
      <c r="AL368" s="126" t="n"/>
      <c r="AM368" s="126" t="n"/>
      <c r="AN368" s="126" t="n"/>
    </row>
    <row r="369" ht="21" customFormat="1" customHeight="1" s="127">
      <c r="A369" s="51">
        <f>IF($B369="","",ROW()-6)</f>
        <v/>
      </c>
      <c r="B369" s="268" t="n"/>
      <c r="C369" s="133" t="n"/>
      <c r="D369" s="50" t="n"/>
      <c r="E369" s="265" t="n"/>
      <c r="F369" s="133" t="n"/>
      <c r="G369" s="133" t="n"/>
      <c r="H369" s="50" t="n"/>
      <c r="I369" s="51">
        <f>IF($C369="","",IFERROR(INDEX(WorkerIDs,MATCH($C369,WorkerNames,0)),"?"))</f>
        <v/>
      </c>
      <c r="J369" s="253">
        <f>IF($B369="","",$B369-WEEKDAY($B369,2)+1)</f>
        <v/>
      </c>
      <c r="K369" s="142">
        <f>IF(OR($I369="",$I369="?",$D369&lt;&gt;"Advance",$B369=""),"",$I369&amp;"|"&amp;$J369&amp;"|"&amp;COUNTIFS($I$7:$I369,$I369,$J$7:$J369,$J369,$D$7:$D369,"Advance"))</f>
        <v/>
      </c>
      <c r="L369" s="266">
        <f>IF(OR($I369="",$I369="?",$B369=""),"",SUMPRODUCT((Weeks!$A$7:$A$59&lt;=$J369)*(Weeks!$X$5:$AI$5=$I369)*Weeks!$X$7:$AI$59)-SUMIFS($E$7:$E$1006,$I$7:$I$1006,$I369,$B$7:$B$1006,"&lt;="&amp;$B369))</f>
        <v/>
      </c>
      <c r="M369" s="132">
        <f>IF($B369&amp;$C369&amp;$D369&amp;$E369="","",IF($B369="","missing date",IF($C369="","missing worker",IF($I369="?","unknown worker - was the name changed on Workers?",IF($D369="","missing type",IF(N($E369)=0,"missing amount",IF(AND($E369&lt;0,$D369&lt;&gt;"Correction"),"negative amount - use a Correction to undo",IF(OR($B369&lt;Weeks!$A$7,$B369&gt;Weeks!$B$59),"date outside this workbook's year",IF(AND($D369="Advance",N($L369)&lt;0),"Warning: more than earned so far - worker now owes "&amp;TEXT(ROUND(-$L369,0),"#,##0"),"")))))))))</f>
        <v/>
      </c>
      <c r="N369" s="125" t="n"/>
      <c r="O369" s="126" t="n"/>
      <c r="P369" s="126" t="n"/>
      <c r="Q369" s="126" t="n"/>
      <c r="R369" s="126" t="n"/>
      <c r="S369" s="126" t="n"/>
      <c r="T369" s="126" t="n"/>
      <c r="U369" s="126" t="n"/>
      <c r="V369" s="126" t="n"/>
      <c r="W369" s="126" t="n"/>
      <c r="X369" s="126" t="n"/>
      <c r="Y369" s="126" t="n"/>
      <c r="Z369" s="126" t="n"/>
      <c r="AA369" s="126" t="n"/>
      <c r="AB369" s="126" t="n"/>
      <c r="AC369" s="126" t="n"/>
      <c r="AD369" s="126" t="n"/>
      <c r="AE369" s="126" t="n"/>
      <c r="AF369" s="126" t="n"/>
      <c r="AG369" s="126" t="n"/>
      <c r="AH369" s="126" t="n"/>
      <c r="AI369" s="126" t="n"/>
      <c r="AJ369" s="126" t="n"/>
      <c r="AK369" s="126" t="n"/>
      <c r="AL369" s="126" t="n"/>
      <c r="AM369" s="126" t="n"/>
      <c r="AN369" s="126" t="n"/>
    </row>
    <row r="370" ht="21" customFormat="1" customHeight="1" s="127">
      <c r="A370" s="51">
        <f>IF($B370="","",ROW()-6)</f>
        <v/>
      </c>
      <c r="B370" s="268" t="n"/>
      <c r="C370" s="133" t="n"/>
      <c r="D370" s="50" t="n"/>
      <c r="E370" s="265" t="n"/>
      <c r="F370" s="133" t="n"/>
      <c r="G370" s="133" t="n"/>
      <c r="H370" s="50" t="n"/>
      <c r="I370" s="51">
        <f>IF($C370="","",IFERROR(INDEX(WorkerIDs,MATCH($C370,WorkerNames,0)),"?"))</f>
        <v/>
      </c>
      <c r="J370" s="253">
        <f>IF($B370="","",$B370-WEEKDAY($B370,2)+1)</f>
        <v/>
      </c>
      <c r="K370" s="142">
        <f>IF(OR($I370="",$I370="?",$D370&lt;&gt;"Advance",$B370=""),"",$I370&amp;"|"&amp;$J370&amp;"|"&amp;COUNTIFS($I$7:$I370,$I370,$J$7:$J370,$J370,$D$7:$D370,"Advance"))</f>
        <v/>
      </c>
      <c r="L370" s="266">
        <f>IF(OR($I370="",$I370="?",$B370=""),"",SUMPRODUCT((Weeks!$A$7:$A$59&lt;=$J370)*(Weeks!$X$5:$AI$5=$I370)*Weeks!$X$7:$AI$59)-SUMIFS($E$7:$E$1006,$I$7:$I$1006,$I370,$B$7:$B$1006,"&lt;="&amp;$B370))</f>
        <v/>
      </c>
      <c r="M370" s="132">
        <f>IF($B370&amp;$C370&amp;$D370&amp;$E370="","",IF($B370="","missing date",IF($C370="","missing worker",IF($I370="?","unknown worker - was the name changed on Workers?",IF($D370="","missing type",IF(N($E370)=0,"missing amount",IF(AND($E370&lt;0,$D370&lt;&gt;"Correction"),"negative amount - use a Correction to undo",IF(OR($B370&lt;Weeks!$A$7,$B370&gt;Weeks!$B$59),"date outside this workbook's year",IF(AND($D370="Advance",N($L370)&lt;0),"Warning: more than earned so far - worker now owes "&amp;TEXT(ROUND(-$L370,0),"#,##0"),"")))))))))</f>
        <v/>
      </c>
      <c r="N370" s="125" t="n"/>
      <c r="O370" s="126" t="n"/>
      <c r="P370" s="126" t="n"/>
      <c r="Q370" s="126" t="n"/>
      <c r="R370" s="126" t="n"/>
      <c r="S370" s="126" t="n"/>
      <c r="T370" s="126" t="n"/>
      <c r="U370" s="126" t="n"/>
      <c r="V370" s="126" t="n"/>
      <c r="W370" s="126" t="n"/>
      <c r="X370" s="126" t="n"/>
      <c r="Y370" s="126" t="n"/>
      <c r="Z370" s="126" t="n"/>
      <c r="AA370" s="126" t="n"/>
      <c r="AB370" s="126" t="n"/>
      <c r="AC370" s="126" t="n"/>
      <c r="AD370" s="126" t="n"/>
      <c r="AE370" s="126" t="n"/>
      <c r="AF370" s="126" t="n"/>
      <c r="AG370" s="126" t="n"/>
      <c r="AH370" s="126" t="n"/>
      <c r="AI370" s="126" t="n"/>
      <c r="AJ370" s="126" t="n"/>
      <c r="AK370" s="126" t="n"/>
      <c r="AL370" s="126" t="n"/>
      <c r="AM370" s="126" t="n"/>
      <c r="AN370" s="126" t="n"/>
    </row>
    <row r="371" ht="21" customFormat="1" customHeight="1" s="127">
      <c r="A371" s="51">
        <f>IF($B371="","",ROW()-6)</f>
        <v/>
      </c>
      <c r="B371" s="268" t="n"/>
      <c r="C371" s="133" t="n"/>
      <c r="D371" s="50" t="n"/>
      <c r="E371" s="265" t="n"/>
      <c r="F371" s="133" t="n"/>
      <c r="G371" s="133" t="n"/>
      <c r="H371" s="50" t="n"/>
      <c r="I371" s="51">
        <f>IF($C371="","",IFERROR(INDEX(WorkerIDs,MATCH($C371,WorkerNames,0)),"?"))</f>
        <v/>
      </c>
      <c r="J371" s="253">
        <f>IF($B371="","",$B371-WEEKDAY($B371,2)+1)</f>
        <v/>
      </c>
      <c r="K371" s="142">
        <f>IF(OR($I371="",$I371="?",$D371&lt;&gt;"Advance",$B371=""),"",$I371&amp;"|"&amp;$J371&amp;"|"&amp;COUNTIFS($I$7:$I371,$I371,$J$7:$J371,$J371,$D$7:$D371,"Advance"))</f>
        <v/>
      </c>
      <c r="L371" s="266">
        <f>IF(OR($I371="",$I371="?",$B371=""),"",SUMPRODUCT((Weeks!$A$7:$A$59&lt;=$J371)*(Weeks!$X$5:$AI$5=$I371)*Weeks!$X$7:$AI$59)-SUMIFS($E$7:$E$1006,$I$7:$I$1006,$I371,$B$7:$B$1006,"&lt;="&amp;$B371))</f>
        <v/>
      </c>
      <c r="M371" s="132">
        <f>IF($B371&amp;$C371&amp;$D371&amp;$E371="","",IF($B371="","missing date",IF($C371="","missing worker",IF($I371="?","unknown worker - was the name changed on Workers?",IF($D371="","missing type",IF(N($E371)=0,"missing amount",IF(AND($E371&lt;0,$D371&lt;&gt;"Correction"),"negative amount - use a Correction to undo",IF(OR($B371&lt;Weeks!$A$7,$B371&gt;Weeks!$B$59),"date outside this workbook's year",IF(AND($D371="Advance",N($L371)&lt;0),"Warning: more than earned so far - worker now owes "&amp;TEXT(ROUND(-$L371,0),"#,##0"),"")))))))))</f>
        <v/>
      </c>
      <c r="N371" s="125" t="n"/>
      <c r="O371" s="126" t="n"/>
      <c r="P371" s="126" t="n"/>
      <c r="Q371" s="126" t="n"/>
      <c r="R371" s="126" t="n"/>
      <c r="S371" s="126" t="n"/>
      <c r="T371" s="126" t="n"/>
      <c r="U371" s="126" t="n"/>
      <c r="V371" s="126" t="n"/>
      <c r="W371" s="126" t="n"/>
      <c r="X371" s="126" t="n"/>
      <c r="Y371" s="126" t="n"/>
      <c r="Z371" s="126" t="n"/>
      <c r="AA371" s="126" t="n"/>
      <c r="AB371" s="126" t="n"/>
      <c r="AC371" s="126" t="n"/>
      <c r="AD371" s="126" t="n"/>
      <c r="AE371" s="126" t="n"/>
      <c r="AF371" s="126" t="n"/>
      <c r="AG371" s="126" t="n"/>
      <c r="AH371" s="126" t="n"/>
      <c r="AI371" s="126" t="n"/>
      <c r="AJ371" s="126" t="n"/>
      <c r="AK371" s="126" t="n"/>
      <c r="AL371" s="126" t="n"/>
      <c r="AM371" s="126" t="n"/>
      <c r="AN371" s="126" t="n"/>
    </row>
    <row r="372" ht="21" customFormat="1" customHeight="1" s="127">
      <c r="A372" s="51">
        <f>IF($B372="","",ROW()-6)</f>
        <v/>
      </c>
      <c r="B372" s="268" t="n"/>
      <c r="C372" s="133" t="n"/>
      <c r="D372" s="50" t="n"/>
      <c r="E372" s="265" t="n"/>
      <c r="F372" s="133" t="n"/>
      <c r="G372" s="133" t="n"/>
      <c r="H372" s="50" t="n"/>
      <c r="I372" s="51">
        <f>IF($C372="","",IFERROR(INDEX(WorkerIDs,MATCH($C372,WorkerNames,0)),"?"))</f>
        <v/>
      </c>
      <c r="J372" s="253">
        <f>IF($B372="","",$B372-WEEKDAY($B372,2)+1)</f>
        <v/>
      </c>
      <c r="K372" s="142">
        <f>IF(OR($I372="",$I372="?",$D372&lt;&gt;"Advance",$B372=""),"",$I372&amp;"|"&amp;$J372&amp;"|"&amp;COUNTIFS($I$7:$I372,$I372,$J$7:$J372,$J372,$D$7:$D372,"Advance"))</f>
        <v/>
      </c>
      <c r="L372" s="266">
        <f>IF(OR($I372="",$I372="?",$B372=""),"",SUMPRODUCT((Weeks!$A$7:$A$59&lt;=$J372)*(Weeks!$X$5:$AI$5=$I372)*Weeks!$X$7:$AI$59)-SUMIFS($E$7:$E$1006,$I$7:$I$1006,$I372,$B$7:$B$1006,"&lt;="&amp;$B372))</f>
        <v/>
      </c>
      <c r="M372" s="132">
        <f>IF($B372&amp;$C372&amp;$D372&amp;$E372="","",IF($B372="","missing date",IF($C372="","missing worker",IF($I372="?","unknown worker - was the name changed on Workers?",IF($D372="","missing type",IF(N($E372)=0,"missing amount",IF(AND($E372&lt;0,$D372&lt;&gt;"Correction"),"negative amount - use a Correction to undo",IF(OR($B372&lt;Weeks!$A$7,$B372&gt;Weeks!$B$59),"date outside this workbook's year",IF(AND($D372="Advance",N($L372)&lt;0),"Warning: more than earned so far - worker now owes "&amp;TEXT(ROUND(-$L372,0),"#,##0"),"")))))))))</f>
        <v/>
      </c>
      <c r="N372" s="125" t="n"/>
      <c r="O372" s="126" t="n"/>
      <c r="P372" s="126" t="n"/>
      <c r="Q372" s="126" t="n"/>
      <c r="R372" s="126" t="n"/>
      <c r="S372" s="126" t="n"/>
      <c r="T372" s="126" t="n"/>
      <c r="U372" s="126" t="n"/>
      <c r="V372" s="126" t="n"/>
      <c r="W372" s="126" t="n"/>
      <c r="X372" s="126" t="n"/>
      <c r="Y372" s="126" t="n"/>
      <c r="Z372" s="126" t="n"/>
      <c r="AA372" s="126" t="n"/>
      <c r="AB372" s="126" t="n"/>
      <c r="AC372" s="126" t="n"/>
      <c r="AD372" s="126" t="n"/>
      <c r="AE372" s="126" t="n"/>
      <c r="AF372" s="126" t="n"/>
      <c r="AG372" s="126" t="n"/>
      <c r="AH372" s="126" t="n"/>
      <c r="AI372" s="126" t="n"/>
      <c r="AJ372" s="126" t="n"/>
      <c r="AK372" s="126" t="n"/>
      <c r="AL372" s="126" t="n"/>
      <c r="AM372" s="126" t="n"/>
      <c r="AN372" s="126" t="n"/>
    </row>
    <row r="373" ht="21" customFormat="1" customHeight="1" s="127">
      <c r="A373" s="51">
        <f>IF($B373="","",ROW()-6)</f>
        <v/>
      </c>
      <c r="B373" s="268" t="n"/>
      <c r="C373" s="133" t="n"/>
      <c r="D373" s="50" t="n"/>
      <c r="E373" s="265" t="n"/>
      <c r="F373" s="133" t="n"/>
      <c r="G373" s="133" t="n"/>
      <c r="H373" s="50" t="n"/>
      <c r="I373" s="51">
        <f>IF($C373="","",IFERROR(INDEX(WorkerIDs,MATCH($C373,WorkerNames,0)),"?"))</f>
        <v/>
      </c>
      <c r="J373" s="253">
        <f>IF($B373="","",$B373-WEEKDAY($B373,2)+1)</f>
        <v/>
      </c>
      <c r="K373" s="142">
        <f>IF(OR($I373="",$I373="?",$D373&lt;&gt;"Advance",$B373=""),"",$I373&amp;"|"&amp;$J373&amp;"|"&amp;COUNTIFS($I$7:$I373,$I373,$J$7:$J373,$J373,$D$7:$D373,"Advance"))</f>
        <v/>
      </c>
      <c r="L373" s="266">
        <f>IF(OR($I373="",$I373="?",$B373=""),"",SUMPRODUCT((Weeks!$A$7:$A$59&lt;=$J373)*(Weeks!$X$5:$AI$5=$I373)*Weeks!$X$7:$AI$59)-SUMIFS($E$7:$E$1006,$I$7:$I$1006,$I373,$B$7:$B$1006,"&lt;="&amp;$B373))</f>
        <v/>
      </c>
      <c r="M373" s="132">
        <f>IF($B373&amp;$C373&amp;$D373&amp;$E373="","",IF($B373="","missing date",IF($C373="","missing worker",IF($I373="?","unknown worker - was the name changed on Workers?",IF($D373="","missing type",IF(N($E373)=0,"missing amount",IF(AND($E373&lt;0,$D373&lt;&gt;"Correction"),"negative amount - use a Correction to undo",IF(OR($B373&lt;Weeks!$A$7,$B373&gt;Weeks!$B$59),"date outside this workbook's year",IF(AND($D373="Advance",N($L373)&lt;0),"Warning: more than earned so far - worker now owes "&amp;TEXT(ROUND(-$L373,0),"#,##0"),"")))))))))</f>
        <v/>
      </c>
      <c r="N373" s="125" t="n"/>
      <c r="O373" s="126" t="n"/>
      <c r="P373" s="126" t="n"/>
      <c r="Q373" s="126" t="n"/>
      <c r="R373" s="126" t="n"/>
      <c r="S373" s="126" t="n"/>
      <c r="T373" s="126" t="n"/>
      <c r="U373" s="126" t="n"/>
      <c r="V373" s="126" t="n"/>
      <c r="W373" s="126" t="n"/>
      <c r="X373" s="126" t="n"/>
      <c r="Y373" s="126" t="n"/>
      <c r="Z373" s="126" t="n"/>
      <c r="AA373" s="126" t="n"/>
      <c r="AB373" s="126" t="n"/>
      <c r="AC373" s="126" t="n"/>
      <c r="AD373" s="126" t="n"/>
      <c r="AE373" s="126" t="n"/>
      <c r="AF373" s="126" t="n"/>
      <c r="AG373" s="126" t="n"/>
      <c r="AH373" s="126" t="n"/>
      <c r="AI373" s="126" t="n"/>
      <c r="AJ373" s="126" t="n"/>
      <c r="AK373" s="126" t="n"/>
      <c r="AL373" s="126" t="n"/>
      <c r="AM373" s="126" t="n"/>
      <c r="AN373" s="126" t="n"/>
    </row>
    <row r="374" ht="21" customFormat="1" customHeight="1" s="127">
      <c r="A374" s="51">
        <f>IF($B374="","",ROW()-6)</f>
        <v/>
      </c>
      <c r="B374" s="268" t="n"/>
      <c r="C374" s="133" t="n"/>
      <c r="D374" s="50" t="n"/>
      <c r="E374" s="265" t="n"/>
      <c r="F374" s="133" t="n"/>
      <c r="G374" s="133" t="n"/>
      <c r="H374" s="50" t="n"/>
      <c r="I374" s="51">
        <f>IF($C374="","",IFERROR(INDEX(WorkerIDs,MATCH($C374,WorkerNames,0)),"?"))</f>
        <v/>
      </c>
      <c r="J374" s="253">
        <f>IF($B374="","",$B374-WEEKDAY($B374,2)+1)</f>
        <v/>
      </c>
      <c r="K374" s="142">
        <f>IF(OR($I374="",$I374="?",$D374&lt;&gt;"Advance",$B374=""),"",$I374&amp;"|"&amp;$J374&amp;"|"&amp;COUNTIFS($I$7:$I374,$I374,$J$7:$J374,$J374,$D$7:$D374,"Advance"))</f>
        <v/>
      </c>
      <c r="L374" s="266">
        <f>IF(OR($I374="",$I374="?",$B374=""),"",SUMPRODUCT((Weeks!$A$7:$A$59&lt;=$J374)*(Weeks!$X$5:$AI$5=$I374)*Weeks!$X$7:$AI$59)-SUMIFS($E$7:$E$1006,$I$7:$I$1006,$I374,$B$7:$B$1006,"&lt;="&amp;$B374))</f>
        <v/>
      </c>
      <c r="M374" s="132">
        <f>IF($B374&amp;$C374&amp;$D374&amp;$E374="","",IF($B374="","missing date",IF($C374="","missing worker",IF($I374="?","unknown worker - was the name changed on Workers?",IF($D374="","missing type",IF(N($E374)=0,"missing amount",IF(AND($E374&lt;0,$D374&lt;&gt;"Correction"),"negative amount - use a Correction to undo",IF(OR($B374&lt;Weeks!$A$7,$B374&gt;Weeks!$B$59),"date outside this workbook's year",IF(AND($D374="Advance",N($L374)&lt;0),"Warning: more than earned so far - worker now owes "&amp;TEXT(ROUND(-$L374,0),"#,##0"),"")))))))))</f>
        <v/>
      </c>
      <c r="N374" s="125" t="n"/>
      <c r="O374" s="126" t="n"/>
      <c r="P374" s="126" t="n"/>
      <c r="Q374" s="126" t="n"/>
      <c r="R374" s="126" t="n"/>
      <c r="S374" s="126" t="n"/>
      <c r="T374" s="126" t="n"/>
      <c r="U374" s="126" t="n"/>
      <c r="V374" s="126" t="n"/>
      <c r="W374" s="126" t="n"/>
      <c r="X374" s="126" t="n"/>
      <c r="Y374" s="126" t="n"/>
      <c r="Z374" s="126" t="n"/>
      <c r="AA374" s="126" t="n"/>
      <c r="AB374" s="126" t="n"/>
      <c r="AC374" s="126" t="n"/>
      <c r="AD374" s="126" t="n"/>
      <c r="AE374" s="126" t="n"/>
      <c r="AF374" s="126" t="n"/>
      <c r="AG374" s="126" t="n"/>
      <c r="AH374" s="126" t="n"/>
      <c r="AI374" s="126" t="n"/>
      <c r="AJ374" s="126" t="n"/>
      <c r="AK374" s="126" t="n"/>
      <c r="AL374" s="126" t="n"/>
      <c r="AM374" s="126" t="n"/>
      <c r="AN374" s="126" t="n"/>
    </row>
    <row r="375" ht="21" customFormat="1" customHeight="1" s="127">
      <c r="A375" s="51">
        <f>IF($B375="","",ROW()-6)</f>
        <v/>
      </c>
      <c r="B375" s="268" t="n"/>
      <c r="C375" s="133" t="n"/>
      <c r="D375" s="50" t="n"/>
      <c r="E375" s="265" t="n"/>
      <c r="F375" s="133" t="n"/>
      <c r="G375" s="133" t="n"/>
      <c r="H375" s="50" t="n"/>
      <c r="I375" s="51">
        <f>IF($C375="","",IFERROR(INDEX(WorkerIDs,MATCH($C375,WorkerNames,0)),"?"))</f>
        <v/>
      </c>
      <c r="J375" s="253">
        <f>IF($B375="","",$B375-WEEKDAY($B375,2)+1)</f>
        <v/>
      </c>
      <c r="K375" s="142">
        <f>IF(OR($I375="",$I375="?",$D375&lt;&gt;"Advance",$B375=""),"",$I375&amp;"|"&amp;$J375&amp;"|"&amp;COUNTIFS($I$7:$I375,$I375,$J$7:$J375,$J375,$D$7:$D375,"Advance"))</f>
        <v/>
      </c>
      <c r="L375" s="266">
        <f>IF(OR($I375="",$I375="?",$B375=""),"",SUMPRODUCT((Weeks!$A$7:$A$59&lt;=$J375)*(Weeks!$X$5:$AI$5=$I375)*Weeks!$X$7:$AI$59)-SUMIFS($E$7:$E$1006,$I$7:$I$1006,$I375,$B$7:$B$1006,"&lt;="&amp;$B375))</f>
        <v/>
      </c>
      <c r="M375" s="132">
        <f>IF($B375&amp;$C375&amp;$D375&amp;$E375="","",IF($B375="","missing date",IF($C375="","missing worker",IF($I375="?","unknown worker - was the name changed on Workers?",IF($D375="","missing type",IF(N($E375)=0,"missing amount",IF(AND($E375&lt;0,$D375&lt;&gt;"Correction"),"negative amount - use a Correction to undo",IF(OR($B375&lt;Weeks!$A$7,$B375&gt;Weeks!$B$59),"date outside this workbook's year",IF(AND($D375="Advance",N($L375)&lt;0),"Warning: more than earned so far - worker now owes "&amp;TEXT(ROUND(-$L375,0),"#,##0"),"")))))))))</f>
        <v/>
      </c>
      <c r="N375" s="125" t="n"/>
      <c r="O375" s="126" t="n"/>
      <c r="P375" s="126" t="n"/>
      <c r="Q375" s="126" t="n"/>
      <c r="R375" s="126" t="n"/>
      <c r="S375" s="126" t="n"/>
      <c r="T375" s="126" t="n"/>
      <c r="U375" s="126" t="n"/>
      <c r="V375" s="126" t="n"/>
      <c r="W375" s="126" t="n"/>
      <c r="X375" s="126" t="n"/>
      <c r="Y375" s="126" t="n"/>
      <c r="Z375" s="126" t="n"/>
      <c r="AA375" s="126" t="n"/>
      <c r="AB375" s="126" t="n"/>
      <c r="AC375" s="126" t="n"/>
      <c r="AD375" s="126" t="n"/>
      <c r="AE375" s="126" t="n"/>
      <c r="AF375" s="126" t="n"/>
      <c r="AG375" s="126" t="n"/>
      <c r="AH375" s="126" t="n"/>
      <c r="AI375" s="126" t="n"/>
      <c r="AJ375" s="126" t="n"/>
      <c r="AK375" s="126" t="n"/>
      <c r="AL375" s="126" t="n"/>
      <c r="AM375" s="126" t="n"/>
      <c r="AN375" s="126" t="n"/>
    </row>
    <row r="376" ht="21" customFormat="1" customHeight="1" s="127">
      <c r="A376" s="51">
        <f>IF($B376="","",ROW()-6)</f>
        <v/>
      </c>
      <c r="B376" s="268" t="n"/>
      <c r="C376" s="133" t="n"/>
      <c r="D376" s="50" t="n"/>
      <c r="E376" s="265" t="n"/>
      <c r="F376" s="133" t="n"/>
      <c r="G376" s="133" t="n"/>
      <c r="H376" s="50" t="n"/>
      <c r="I376" s="51">
        <f>IF($C376="","",IFERROR(INDEX(WorkerIDs,MATCH($C376,WorkerNames,0)),"?"))</f>
        <v/>
      </c>
      <c r="J376" s="253">
        <f>IF($B376="","",$B376-WEEKDAY($B376,2)+1)</f>
        <v/>
      </c>
      <c r="K376" s="142">
        <f>IF(OR($I376="",$I376="?",$D376&lt;&gt;"Advance",$B376=""),"",$I376&amp;"|"&amp;$J376&amp;"|"&amp;COUNTIFS($I$7:$I376,$I376,$J$7:$J376,$J376,$D$7:$D376,"Advance"))</f>
        <v/>
      </c>
      <c r="L376" s="266">
        <f>IF(OR($I376="",$I376="?",$B376=""),"",SUMPRODUCT((Weeks!$A$7:$A$59&lt;=$J376)*(Weeks!$X$5:$AI$5=$I376)*Weeks!$X$7:$AI$59)-SUMIFS($E$7:$E$1006,$I$7:$I$1006,$I376,$B$7:$B$1006,"&lt;="&amp;$B376))</f>
        <v/>
      </c>
      <c r="M376" s="132">
        <f>IF($B376&amp;$C376&amp;$D376&amp;$E376="","",IF($B376="","missing date",IF($C376="","missing worker",IF($I376="?","unknown worker - was the name changed on Workers?",IF($D376="","missing type",IF(N($E376)=0,"missing amount",IF(AND($E376&lt;0,$D376&lt;&gt;"Correction"),"negative amount - use a Correction to undo",IF(OR($B376&lt;Weeks!$A$7,$B376&gt;Weeks!$B$59),"date outside this workbook's year",IF(AND($D376="Advance",N($L376)&lt;0),"Warning: more than earned so far - worker now owes "&amp;TEXT(ROUND(-$L376,0),"#,##0"),"")))))))))</f>
        <v/>
      </c>
      <c r="N376" s="125" t="n"/>
      <c r="O376" s="126" t="n"/>
      <c r="P376" s="126" t="n"/>
      <c r="Q376" s="126" t="n"/>
      <c r="R376" s="126" t="n"/>
      <c r="S376" s="126" t="n"/>
      <c r="T376" s="126" t="n"/>
      <c r="U376" s="126" t="n"/>
      <c r="V376" s="126" t="n"/>
      <c r="W376" s="126" t="n"/>
      <c r="X376" s="126" t="n"/>
      <c r="Y376" s="126" t="n"/>
      <c r="Z376" s="126" t="n"/>
      <c r="AA376" s="126" t="n"/>
      <c r="AB376" s="126" t="n"/>
      <c r="AC376" s="126" t="n"/>
      <c r="AD376" s="126" t="n"/>
      <c r="AE376" s="126" t="n"/>
      <c r="AF376" s="126" t="n"/>
      <c r="AG376" s="126" t="n"/>
      <c r="AH376" s="126" t="n"/>
      <c r="AI376" s="126" t="n"/>
      <c r="AJ376" s="126" t="n"/>
      <c r="AK376" s="126" t="n"/>
      <c r="AL376" s="126" t="n"/>
      <c r="AM376" s="126" t="n"/>
      <c r="AN376" s="126" t="n"/>
    </row>
    <row r="377" ht="21" customFormat="1" customHeight="1" s="127">
      <c r="A377" s="51">
        <f>IF($B377="","",ROW()-6)</f>
        <v/>
      </c>
      <c r="B377" s="268" t="n"/>
      <c r="C377" s="133" t="n"/>
      <c r="D377" s="50" t="n"/>
      <c r="E377" s="265" t="n"/>
      <c r="F377" s="133" t="n"/>
      <c r="G377" s="133" t="n"/>
      <c r="H377" s="50" t="n"/>
      <c r="I377" s="51">
        <f>IF($C377="","",IFERROR(INDEX(WorkerIDs,MATCH($C377,WorkerNames,0)),"?"))</f>
        <v/>
      </c>
      <c r="J377" s="253">
        <f>IF($B377="","",$B377-WEEKDAY($B377,2)+1)</f>
        <v/>
      </c>
      <c r="K377" s="142">
        <f>IF(OR($I377="",$I377="?",$D377&lt;&gt;"Advance",$B377=""),"",$I377&amp;"|"&amp;$J377&amp;"|"&amp;COUNTIFS($I$7:$I377,$I377,$J$7:$J377,$J377,$D$7:$D377,"Advance"))</f>
        <v/>
      </c>
      <c r="L377" s="266">
        <f>IF(OR($I377="",$I377="?",$B377=""),"",SUMPRODUCT((Weeks!$A$7:$A$59&lt;=$J377)*(Weeks!$X$5:$AI$5=$I377)*Weeks!$X$7:$AI$59)-SUMIFS($E$7:$E$1006,$I$7:$I$1006,$I377,$B$7:$B$1006,"&lt;="&amp;$B377))</f>
        <v/>
      </c>
      <c r="M377" s="132">
        <f>IF($B377&amp;$C377&amp;$D377&amp;$E377="","",IF($B377="","missing date",IF($C377="","missing worker",IF($I377="?","unknown worker - was the name changed on Workers?",IF($D377="","missing type",IF(N($E377)=0,"missing amount",IF(AND($E377&lt;0,$D377&lt;&gt;"Correction"),"negative amount - use a Correction to undo",IF(OR($B377&lt;Weeks!$A$7,$B377&gt;Weeks!$B$59),"date outside this workbook's year",IF(AND($D377="Advance",N($L377)&lt;0),"Warning: more than earned so far - worker now owes "&amp;TEXT(ROUND(-$L377,0),"#,##0"),"")))))))))</f>
        <v/>
      </c>
      <c r="N377" s="125" t="n"/>
      <c r="O377" s="126" t="n"/>
      <c r="P377" s="126" t="n"/>
      <c r="Q377" s="126" t="n"/>
      <c r="R377" s="126" t="n"/>
      <c r="S377" s="126" t="n"/>
      <c r="T377" s="126" t="n"/>
      <c r="U377" s="126" t="n"/>
      <c r="V377" s="126" t="n"/>
      <c r="W377" s="126" t="n"/>
      <c r="X377" s="126" t="n"/>
      <c r="Y377" s="126" t="n"/>
      <c r="Z377" s="126" t="n"/>
      <c r="AA377" s="126" t="n"/>
      <c r="AB377" s="126" t="n"/>
      <c r="AC377" s="126" t="n"/>
      <c r="AD377" s="126" t="n"/>
      <c r="AE377" s="126" t="n"/>
      <c r="AF377" s="126" t="n"/>
      <c r="AG377" s="126" t="n"/>
      <c r="AH377" s="126" t="n"/>
      <c r="AI377" s="126" t="n"/>
      <c r="AJ377" s="126" t="n"/>
      <c r="AK377" s="126" t="n"/>
      <c r="AL377" s="126" t="n"/>
      <c r="AM377" s="126" t="n"/>
      <c r="AN377" s="126" t="n"/>
    </row>
    <row r="378" ht="21" customFormat="1" customHeight="1" s="127">
      <c r="A378" s="51">
        <f>IF($B378="","",ROW()-6)</f>
        <v/>
      </c>
      <c r="B378" s="268" t="n"/>
      <c r="C378" s="133" t="n"/>
      <c r="D378" s="50" t="n"/>
      <c r="E378" s="265" t="n"/>
      <c r="F378" s="133" t="n"/>
      <c r="G378" s="133" t="n"/>
      <c r="H378" s="50" t="n"/>
      <c r="I378" s="51">
        <f>IF($C378="","",IFERROR(INDEX(WorkerIDs,MATCH($C378,WorkerNames,0)),"?"))</f>
        <v/>
      </c>
      <c r="J378" s="253">
        <f>IF($B378="","",$B378-WEEKDAY($B378,2)+1)</f>
        <v/>
      </c>
      <c r="K378" s="142">
        <f>IF(OR($I378="",$I378="?",$D378&lt;&gt;"Advance",$B378=""),"",$I378&amp;"|"&amp;$J378&amp;"|"&amp;COUNTIFS($I$7:$I378,$I378,$J$7:$J378,$J378,$D$7:$D378,"Advance"))</f>
        <v/>
      </c>
      <c r="L378" s="266">
        <f>IF(OR($I378="",$I378="?",$B378=""),"",SUMPRODUCT((Weeks!$A$7:$A$59&lt;=$J378)*(Weeks!$X$5:$AI$5=$I378)*Weeks!$X$7:$AI$59)-SUMIFS($E$7:$E$1006,$I$7:$I$1006,$I378,$B$7:$B$1006,"&lt;="&amp;$B378))</f>
        <v/>
      </c>
      <c r="M378" s="132">
        <f>IF($B378&amp;$C378&amp;$D378&amp;$E378="","",IF($B378="","missing date",IF($C378="","missing worker",IF($I378="?","unknown worker - was the name changed on Workers?",IF($D378="","missing type",IF(N($E378)=0,"missing amount",IF(AND($E378&lt;0,$D378&lt;&gt;"Correction"),"negative amount - use a Correction to undo",IF(OR($B378&lt;Weeks!$A$7,$B378&gt;Weeks!$B$59),"date outside this workbook's year",IF(AND($D378="Advance",N($L378)&lt;0),"Warning: more than earned so far - worker now owes "&amp;TEXT(ROUND(-$L378,0),"#,##0"),"")))))))))</f>
        <v/>
      </c>
      <c r="N378" s="125" t="n"/>
      <c r="O378" s="126" t="n"/>
      <c r="P378" s="126" t="n"/>
      <c r="Q378" s="126" t="n"/>
      <c r="R378" s="126" t="n"/>
      <c r="S378" s="126" t="n"/>
      <c r="T378" s="126" t="n"/>
      <c r="U378" s="126" t="n"/>
      <c r="V378" s="126" t="n"/>
      <c r="W378" s="126" t="n"/>
      <c r="X378" s="126" t="n"/>
      <c r="Y378" s="126" t="n"/>
      <c r="Z378" s="126" t="n"/>
      <c r="AA378" s="126" t="n"/>
      <c r="AB378" s="126" t="n"/>
      <c r="AC378" s="126" t="n"/>
      <c r="AD378" s="126" t="n"/>
      <c r="AE378" s="126" t="n"/>
      <c r="AF378" s="126" t="n"/>
      <c r="AG378" s="126" t="n"/>
      <c r="AH378" s="126" t="n"/>
      <c r="AI378" s="126" t="n"/>
      <c r="AJ378" s="126" t="n"/>
      <c r="AK378" s="126" t="n"/>
      <c r="AL378" s="126" t="n"/>
      <c r="AM378" s="126" t="n"/>
      <c r="AN378" s="126" t="n"/>
    </row>
    <row r="379" ht="21" customFormat="1" customHeight="1" s="127">
      <c r="A379" s="51">
        <f>IF($B379="","",ROW()-6)</f>
        <v/>
      </c>
      <c r="B379" s="268" t="n"/>
      <c r="C379" s="133" t="n"/>
      <c r="D379" s="50" t="n"/>
      <c r="E379" s="265" t="n"/>
      <c r="F379" s="133" t="n"/>
      <c r="G379" s="133" t="n"/>
      <c r="H379" s="50" t="n"/>
      <c r="I379" s="51">
        <f>IF($C379="","",IFERROR(INDEX(WorkerIDs,MATCH($C379,WorkerNames,0)),"?"))</f>
        <v/>
      </c>
      <c r="J379" s="253">
        <f>IF($B379="","",$B379-WEEKDAY($B379,2)+1)</f>
        <v/>
      </c>
      <c r="K379" s="142">
        <f>IF(OR($I379="",$I379="?",$D379&lt;&gt;"Advance",$B379=""),"",$I379&amp;"|"&amp;$J379&amp;"|"&amp;COUNTIFS($I$7:$I379,$I379,$J$7:$J379,$J379,$D$7:$D379,"Advance"))</f>
        <v/>
      </c>
      <c r="L379" s="266">
        <f>IF(OR($I379="",$I379="?",$B379=""),"",SUMPRODUCT((Weeks!$A$7:$A$59&lt;=$J379)*(Weeks!$X$5:$AI$5=$I379)*Weeks!$X$7:$AI$59)-SUMIFS($E$7:$E$1006,$I$7:$I$1006,$I379,$B$7:$B$1006,"&lt;="&amp;$B379))</f>
        <v/>
      </c>
      <c r="M379" s="132">
        <f>IF($B379&amp;$C379&amp;$D379&amp;$E379="","",IF($B379="","missing date",IF($C379="","missing worker",IF($I379="?","unknown worker - was the name changed on Workers?",IF($D379="","missing type",IF(N($E379)=0,"missing amount",IF(AND($E379&lt;0,$D379&lt;&gt;"Correction"),"negative amount - use a Correction to undo",IF(OR($B379&lt;Weeks!$A$7,$B379&gt;Weeks!$B$59),"date outside this workbook's year",IF(AND($D379="Advance",N($L379)&lt;0),"Warning: more than earned so far - worker now owes "&amp;TEXT(ROUND(-$L379,0),"#,##0"),"")))))))))</f>
        <v/>
      </c>
      <c r="N379" s="125" t="n"/>
      <c r="O379" s="126" t="n"/>
      <c r="P379" s="126" t="n"/>
      <c r="Q379" s="126" t="n"/>
      <c r="R379" s="126" t="n"/>
      <c r="S379" s="126" t="n"/>
      <c r="T379" s="126" t="n"/>
      <c r="U379" s="126" t="n"/>
      <c r="V379" s="126" t="n"/>
      <c r="W379" s="126" t="n"/>
      <c r="X379" s="126" t="n"/>
      <c r="Y379" s="126" t="n"/>
      <c r="Z379" s="126" t="n"/>
      <c r="AA379" s="126" t="n"/>
      <c r="AB379" s="126" t="n"/>
      <c r="AC379" s="126" t="n"/>
      <c r="AD379" s="126" t="n"/>
      <c r="AE379" s="126" t="n"/>
      <c r="AF379" s="126" t="n"/>
      <c r="AG379" s="126" t="n"/>
      <c r="AH379" s="126" t="n"/>
      <c r="AI379" s="126" t="n"/>
      <c r="AJ379" s="126" t="n"/>
      <c r="AK379" s="126" t="n"/>
      <c r="AL379" s="126" t="n"/>
      <c r="AM379" s="126" t="n"/>
      <c r="AN379" s="126" t="n"/>
    </row>
    <row r="380" ht="21" customFormat="1" customHeight="1" s="127">
      <c r="A380" s="51">
        <f>IF($B380="","",ROW()-6)</f>
        <v/>
      </c>
      <c r="B380" s="268" t="n"/>
      <c r="C380" s="133" t="n"/>
      <c r="D380" s="50" t="n"/>
      <c r="E380" s="265" t="n"/>
      <c r="F380" s="133" t="n"/>
      <c r="G380" s="133" t="n"/>
      <c r="H380" s="50" t="n"/>
      <c r="I380" s="51">
        <f>IF($C380="","",IFERROR(INDEX(WorkerIDs,MATCH($C380,WorkerNames,0)),"?"))</f>
        <v/>
      </c>
      <c r="J380" s="253">
        <f>IF($B380="","",$B380-WEEKDAY($B380,2)+1)</f>
        <v/>
      </c>
      <c r="K380" s="142">
        <f>IF(OR($I380="",$I380="?",$D380&lt;&gt;"Advance",$B380=""),"",$I380&amp;"|"&amp;$J380&amp;"|"&amp;COUNTIFS($I$7:$I380,$I380,$J$7:$J380,$J380,$D$7:$D380,"Advance"))</f>
        <v/>
      </c>
      <c r="L380" s="266">
        <f>IF(OR($I380="",$I380="?",$B380=""),"",SUMPRODUCT((Weeks!$A$7:$A$59&lt;=$J380)*(Weeks!$X$5:$AI$5=$I380)*Weeks!$X$7:$AI$59)-SUMIFS($E$7:$E$1006,$I$7:$I$1006,$I380,$B$7:$B$1006,"&lt;="&amp;$B380))</f>
        <v/>
      </c>
      <c r="M380" s="132">
        <f>IF($B380&amp;$C380&amp;$D380&amp;$E380="","",IF($B380="","missing date",IF($C380="","missing worker",IF($I380="?","unknown worker - was the name changed on Workers?",IF($D380="","missing type",IF(N($E380)=0,"missing amount",IF(AND($E380&lt;0,$D380&lt;&gt;"Correction"),"negative amount - use a Correction to undo",IF(OR($B380&lt;Weeks!$A$7,$B380&gt;Weeks!$B$59),"date outside this workbook's year",IF(AND($D380="Advance",N($L380)&lt;0),"Warning: more than earned so far - worker now owes "&amp;TEXT(ROUND(-$L380,0),"#,##0"),"")))))))))</f>
        <v/>
      </c>
      <c r="N380" s="125" t="n"/>
      <c r="O380" s="126" t="n"/>
      <c r="P380" s="126" t="n"/>
      <c r="Q380" s="126" t="n"/>
      <c r="R380" s="126" t="n"/>
      <c r="S380" s="126" t="n"/>
      <c r="T380" s="126" t="n"/>
      <c r="U380" s="126" t="n"/>
      <c r="V380" s="126" t="n"/>
      <c r="W380" s="126" t="n"/>
      <c r="X380" s="126" t="n"/>
      <c r="Y380" s="126" t="n"/>
      <c r="Z380" s="126" t="n"/>
      <c r="AA380" s="126" t="n"/>
      <c r="AB380" s="126" t="n"/>
      <c r="AC380" s="126" t="n"/>
      <c r="AD380" s="126" t="n"/>
      <c r="AE380" s="126" t="n"/>
      <c r="AF380" s="126" t="n"/>
      <c r="AG380" s="126" t="n"/>
      <c r="AH380" s="126" t="n"/>
      <c r="AI380" s="126" t="n"/>
      <c r="AJ380" s="126" t="n"/>
      <c r="AK380" s="126" t="n"/>
      <c r="AL380" s="126" t="n"/>
      <c r="AM380" s="126" t="n"/>
      <c r="AN380" s="126" t="n"/>
    </row>
    <row r="381" ht="21" customFormat="1" customHeight="1" s="127">
      <c r="A381" s="51">
        <f>IF($B381="","",ROW()-6)</f>
        <v/>
      </c>
      <c r="B381" s="268" t="n"/>
      <c r="C381" s="133" t="n"/>
      <c r="D381" s="50" t="n"/>
      <c r="E381" s="265" t="n"/>
      <c r="F381" s="133" t="n"/>
      <c r="G381" s="133" t="n"/>
      <c r="H381" s="50" t="n"/>
      <c r="I381" s="51">
        <f>IF($C381="","",IFERROR(INDEX(WorkerIDs,MATCH($C381,WorkerNames,0)),"?"))</f>
        <v/>
      </c>
      <c r="J381" s="253">
        <f>IF($B381="","",$B381-WEEKDAY($B381,2)+1)</f>
        <v/>
      </c>
      <c r="K381" s="142">
        <f>IF(OR($I381="",$I381="?",$D381&lt;&gt;"Advance",$B381=""),"",$I381&amp;"|"&amp;$J381&amp;"|"&amp;COUNTIFS($I$7:$I381,$I381,$J$7:$J381,$J381,$D$7:$D381,"Advance"))</f>
        <v/>
      </c>
      <c r="L381" s="266">
        <f>IF(OR($I381="",$I381="?",$B381=""),"",SUMPRODUCT((Weeks!$A$7:$A$59&lt;=$J381)*(Weeks!$X$5:$AI$5=$I381)*Weeks!$X$7:$AI$59)-SUMIFS($E$7:$E$1006,$I$7:$I$1006,$I381,$B$7:$B$1006,"&lt;="&amp;$B381))</f>
        <v/>
      </c>
      <c r="M381" s="132">
        <f>IF($B381&amp;$C381&amp;$D381&amp;$E381="","",IF($B381="","missing date",IF($C381="","missing worker",IF($I381="?","unknown worker - was the name changed on Workers?",IF($D381="","missing type",IF(N($E381)=0,"missing amount",IF(AND($E381&lt;0,$D381&lt;&gt;"Correction"),"negative amount - use a Correction to undo",IF(OR($B381&lt;Weeks!$A$7,$B381&gt;Weeks!$B$59),"date outside this workbook's year",IF(AND($D381="Advance",N($L381)&lt;0),"Warning: more than earned so far - worker now owes "&amp;TEXT(ROUND(-$L381,0),"#,##0"),"")))))))))</f>
        <v/>
      </c>
      <c r="N381" s="125" t="n"/>
      <c r="O381" s="126" t="n"/>
      <c r="P381" s="126" t="n"/>
      <c r="Q381" s="126" t="n"/>
      <c r="R381" s="126" t="n"/>
      <c r="S381" s="126" t="n"/>
      <c r="T381" s="126" t="n"/>
      <c r="U381" s="126" t="n"/>
      <c r="V381" s="126" t="n"/>
      <c r="W381" s="126" t="n"/>
      <c r="X381" s="126" t="n"/>
      <c r="Y381" s="126" t="n"/>
      <c r="Z381" s="126" t="n"/>
      <c r="AA381" s="126" t="n"/>
      <c r="AB381" s="126" t="n"/>
      <c r="AC381" s="126" t="n"/>
      <c r="AD381" s="126" t="n"/>
      <c r="AE381" s="126" t="n"/>
      <c r="AF381" s="126" t="n"/>
      <c r="AG381" s="126" t="n"/>
      <c r="AH381" s="126" t="n"/>
      <c r="AI381" s="126" t="n"/>
      <c r="AJ381" s="126" t="n"/>
      <c r="AK381" s="126" t="n"/>
      <c r="AL381" s="126" t="n"/>
      <c r="AM381" s="126" t="n"/>
      <c r="AN381" s="126" t="n"/>
    </row>
    <row r="382" ht="21" customFormat="1" customHeight="1" s="127">
      <c r="A382" s="51">
        <f>IF($B382="","",ROW()-6)</f>
        <v/>
      </c>
      <c r="B382" s="268" t="n"/>
      <c r="C382" s="133" t="n"/>
      <c r="D382" s="50" t="n"/>
      <c r="E382" s="265" t="n"/>
      <c r="F382" s="133" t="n"/>
      <c r="G382" s="133" t="n"/>
      <c r="H382" s="50" t="n"/>
      <c r="I382" s="51">
        <f>IF($C382="","",IFERROR(INDEX(WorkerIDs,MATCH($C382,WorkerNames,0)),"?"))</f>
        <v/>
      </c>
      <c r="J382" s="253">
        <f>IF($B382="","",$B382-WEEKDAY($B382,2)+1)</f>
        <v/>
      </c>
      <c r="K382" s="142">
        <f>IF(OR($I382="",$I382="?",$D382&lt;&gt;"Advance",$B382=""),"",$I382&amp;"|"&amp;$J382&amp;"|"&amp;COUNTIFS($I$7:$I382,$I382,$J$7:$J382,$J382,$D$7:$D382,"Advance"))</f>
        <v/>
      </c>
      <c r="L382" s="266">
        <f>IF(OR($I382="",$I382="?",$B382=""),"",SUMPRODUCT((Weeks!$A$7:$A$59&lt;=$J382)*(Weeks!$X$5:$AI$5=$I382)*Weeks!$X$7:$AI$59)-SUMIFS($E$7:$E$1006,$I$7:$I$1006,$I382,$B$7:$B$1006,"&lt;="&amp;$B382))</f>
        <v/>
      </c>
      <c r="M382" s="132">
        <f>IF($B382&amp;$C382&amp;$D382&amp;$E382="","",IF($B382="","missing date",IF($C382="","missing worker",IF($I382="?","unknown worker - was the name changed on Workers?",IF($D382="","missing type",IF(N($E382)=0,"missing amount",IF(AND($E382&lt;0,$D382&lt;&gt;"Correction"),"negative amount - use a Correction to undo",IF(OR($B382&lt;Weeks!$A$7,$B382&gt;Weeks!$B$59),"date outside this workbook's year",IF(AND($D382="Advance",N($L382)&lt;0),"Warning: more than earned so far - worker now owes "&amp;TEXT(ROUND(-$L382,0),"#,##0"),"")))))))))</f>
        <v/>
      </c>
      <c r="N382" s="125" t="n"/>
      <c r="O382" s="126" t="n"/>
      <c r="P382" s="126" t="n"/>
      <c r="Q382" s="126" t="n"/>
      <c r="R382" s="126" t="n"/>
      <c r="S382" s="126" t="n"/>
      <c r="T382" s="126" t="n"/>
      <c r="U382" s="126" t="n"/>
      <c r="V382" s="126" t="n"/>
      <c r="W382" s="126" t="n"/>
      <c r="X382" s="126" t="n"/>
      <c r="Y382" s="126" t="n"/>
      <c r="Z382" s="126" t="n"/>
      <c r="AA382" s="126" t="n"/>
      <c r="AB382" s="126" t="n"/>
      <c r="AC382" s="126" t="n"/>
      <c r="AD382" s="126" t="n"/>
      <c r="AE382" s="126" t="n"/>
      <c r="AF382" s="126" t="n"/>
      <c r="AG382" s="126" t="n"/>
      <c r="AH382" s="126" t="n"/>
      <c r="AI382" s="126" t="n"/>
      <c r="AJ382" s="126" t="n"/>
      <c r="AK382" s="126" t="n"/>
      <c r="AL382" s="126" t="n"/>
      <c r="AM382" s="126" t="n"/>
      <c r="AN382" s="126" t="n"/>
    </row>
    <row r="383" ht="21" customFormat="1" customHeight="1" s="127">
      <c r="A383" s="51">
        <f>IF($B383="","",ROW()-6)</f>
        <v/>
      </c>
      <c r="B383" s="268" t="n"/>
      <c r="C383" s="133" t="n"/>
      <c r="D383" s="50" t="n"/>
      <c r="E383" s="265" t="n"/>
      <c r="F383" s="133" t="n"/>
      <c r="G383" s="133" t="n"/>
      <c r="H383" s="50" t="n"/>
      <c r="I383" s="51">
        <f>IF($C383="","",IFERROR(INDEX(WorkerIDs,MATCH($C383,WorkerNames,0)),"?"))</f>
        <v/>
      </c>
      <c r="J383" s="253">
        <f>IF($B383="","",$B383-WEEKDAY($B383,2)+1)</f>
        <v/>
      </c>
      <c r="K383" s="142">
        <f>IF(OR($I383="",$I383="?",$D383&lt;&gt;"Advance",$B383=""),"",$I383&amp;"|"&amp;$J383&amp;"|"&amp;COUNTIFS($I$7:$I383,$I383,$J$7:$J383,$J383,$D$7:$D383,"Advance"))</f>
        <v/>
      </c>
      <c r="L383" s="266">
        <f>IF(OR($I383="",$I383="?",$B383=""),"",SUMPRODUCT((Weeks!$A$7:$A$59&lt;=$J383)*(Weeks!$X$5:$AI$5=$I383)*Weeks!$X$7:$AI$59)-SUMIFS($E$7:$E$1006,$I$7:$I$1006,$I383,$B$7:$B$1006,"&lt;="&amp;$B383))</f>
        <v/>
      </c>
      <c r="M383" s="132">
        <f>IF($B383&amp;$C383&amp;$D383&amp;$E383="","",IF($B383="","missing date",IF($C383="","missing worker",IF($I383="?","unknown worker - was the name changed on Workers?",IF($D383="","missing type",IF(N($E383)=0,"missing amount",IF(AND($E383&lt;0,$D383&lt;&gt;"Correction"),"negative amount - use a Correction to undo",IF(OR($B383&lt;Weeks!$A$7,$B383&gt;Weeks!$B$59),"date outside this workbook's year",IF(AND($D383="Advance",N($L383)&lt;0),"Warning: more than earned so far - worker now owes "&amp;TEXT(ROUND(-$L383,0),"#,##0"),"")))))))))</f>
        <v/>
      </c>
      <c r="N383" s="125" t="n"/>
      <c r="O383" s="126" t="n"/>
      <c r="P383" s="126" t="n"/>
      <c r="Q383" s="126" t="n"/>
      <c r="R383" s="126" t="n"/>
      <c r="S383" s="126" t="n"/>
      <c r="T383" s="126" t="n"/>
      <c r="U383" s="126" t="n"/>
      <c r="V383" s="126" t="n"/>
      <c r="W383" s="126" t="n"/>
      <c r="X383" s="126" t="n"/>
      <c r="Y383" s="126" t="n"/>
      <c r="Z383" s="126" t="n"/>
      <c r="AA383" s="126" t="n"/>
      <c r="AB383" s="126" t="n"/>
      <c r="AC383" s="126" t="n"/>
      <c r="AD383" s="126" t="n"/>
      <c r="AE383" s="126" t="n"/>
      <c r="AF383" s="126" t="n"/>
      <c r="AG383" s="126" t="n"/>
      <c r="AH383" s="126" t="n"/>
      <c r="AI383" s="126" t="n"/>
      <c r="AJ383" s="126" t="n"/>
      <c r="AK383" s="126" t="n"/>
      <c r="AL383" s="126" t="n"/>
      <c r="AM383" s="126" t="n"/>
      <c r="AN383" s="126" t="n"/>
    </row>
    <row r="384" ht="21" customFormat="1" customHeight="1" s="127">
      <c r="A384" s="51">
        <f>IF($B384="","",ROW()-6)</f>
        <v/>
      </c>
      <c r="B384" s="268" t="n"/>
      <c r="C384" s="133" t="n"/>
      <c r="D384" s="50" t="n"/>
      <c r="E384" s="265" t="n"/>
      <c r="F384" s="133" t="n"/>
      <c r="G384" s="133" t="n"/>
      <c r="H384" s="50" t="n"/>
      <c r="I384" s="51">
        <f>IF($C384="","",IFERROR(INDEX(WorkerIDs,MATCH($C384,WorkerNames,0)),"?"))</f>
        <v/>
      </c>
      <c r="J384" s="253">
        <f>IF($B384="","",$B384-WEEKDAY($B384,2)+1)</f>
        <v/>
      </c>
      <c r="K384" s="142">
        <f>IF(OR($I384="",$I384="?",$D384&lt;&gt;"Advance",$B384=""),"",$I384&amp;"|"&amp;$J384&amp;"|"&amp;COUNTIFS($I$7:$I384,$I384,$J$7:$J384,$J384,$D$7:$D384,"Advance"))</f>
        <v/>
      </c>
      <c r="L384" s="266">
        <f>IF(OR($I384="",$I384="?",$B384=""),"",SUMPRODUCT((Weeks!$A$7:$A$59&lt;=$J384)*(Weeks!$X$5:$AI$5=$I384)*Weeks!$X$7:$AI$59)-SUMIFS($E$7:$E$1006,$I$7:$I$1006,$I384,$B$7:$B$1006,"&lt;="&amp;$B384))</f>
        <v/>
      </c>
      <c r="M384" s="132">
        <f>IF($B384&amp;$C384&amp;$D384&amp;$E384="","",IF($B384="","missing date",IF($C384="","missing worker",IF($I384="?","unknown worker - was the name changed on Workers?",IF($D384="","missing type",IF(N($E384)=0,"missing amount",IF(AND($E384&lt;0,$D384&lt;&gt;"Correction"),"negative amount - use a Correction to undo",IF(OR($B384&lt;Weeks!$A$7,$B384&gt;Weeks!$B$59),"date outside this workbook's year",IF(AND($D384="Advance",N($L384)&lt;0),"Warning: more than earned so far - worker now owes "&amp;TEXT(ROUND(-$L384,0),"#,##0"),"")))))))))</f>
        <v/>
      </c>
      <c r="N384" s="125" t="n"/>
      <c r="O384" s="126" t="n"/>
      <c r="P384" s="126" t="n"/>
      <c r="Q384" s="126" t="n"/>
      <c r="R384" s="126" t="n"/>
      <c r="S384" s="126" t="n"/>
      <c r="T384" s="126" t="n"/>
      <c r="U384" s="126" t="n"/>
      <c r="V384" s="126" t="n"/>
      <c r="W384" s="126" t="n"/>
      <c r="X384" s="126" t="n"/>
      <c r="Y384" s="126" t="n"/>
      <c r="Z384" s="126" t="n"/>
      <c r="AA384" s="126" t="n"/>
      <c r="AB384" s="126" t="n"/>
      <c r="AC384" s="126" t="n"/>
      <c r="AD384" s="126" t="n"/>
      <c r="AE384" s="126" t="n"/>
      <c r="AF384" s="126" t="n"/>
      <c r="AG384" s="126" t="n"/>
      <c r="AH384" s="126" t="n"/>
      <c r="AI384" s="126" t="n"/>
      <c r="AJ384" s="126" t="n"/>
      <c r="AK384" s="126" t="n"/>
      <c r="AL384" s="126" t="n"/>
      <c r="AM384" s="126" t="n"/>
      <c r="AN384" s="126" t="n"/>
    </row>
    <row r="385" ht="21" customFormat="1" customHeight="1" s="127">
      <c r="A385" s="51">
        <f>IF($B385="","",ROW()-6)</f>
        <v/>
      </c>
      <c r="B385" s="268" t="n"/>
      <c r="C385" s="133" t="n"/>
      <c r="D385" s="50" t="n"/>
      <c r="E385" s="265" t="n"/>
      <c r="F385" s="133" t="n"/>
      <c r="G385" s="133" t="n"/>
      <c r="H385" s="50" t="n"/>
      <c r="I385" s="51">
        <f>IF($C385="","",IFERROR(INDEX(WorkerIDs,MATCH($C385,WorkerNames,0)),"?"))</f>
        <v/>
      </c>
      <c r="J385" s="253">
        <f>IF($B385="","",$B385-WEEKDAY($B385,2)+1)</f>
        <v/>
      </c>
      <c r="K385" s="142">
        <f>IF(OR($I385="",$I385="?",$D385&lt;&gt;"Advance",$B385=""),"",$I385&amp;"|"&amp;$J385&amp;"|"&amp;COUNTIFS($I$7:$I385,$I385,$J$7:$J385,$J385,$D$7:$D385,"Advance"))</f>
        <v/>
      </c>
      <c r="L385" s="266">
        <f>IF(OR($I385="",$I385="?",$B385=""),"",SUMPRODUCT((Weeks!$A$7:$A$59&lt;=$J385)*(Weeks!$X$5:$AI$5=$I385)*Weeks!$X$7:$AI$59)-SUMIFS($E$7:$E$1006,$I$7:$I$1006,$I385,$B$7:$B$1006,"&lt;="&amp;$B385))</f>
        <v/>
      </c>
      <c r="M385" s="132">
        <f>IF($B385&amp;$C385&amp;$D385&amp;$E385="","",IF($B385="","missing date",IF($C385="","missing worker",IF($I385="?","unknown worker - was the name changed on Workers?",IF($D385="","missing type",IF(N($E385)=0,"missing amount",IF(AND($E385&lt;0,$D385&lt;&gt;"Correction"),"negative amount - use a Correction to undo",IF(OR($B385&lt;Weeks!$A$7,$B385&gt;Weeks!$B$59),"date outside this workbook's year",IF(AND($D385="Advance",N($L385)&lt;0),"Warning: more than earned so far - worker now owes "&amp;TEXT(ROUND(-$L385,0),"#,##0"),"")))))))))</f>
        <v/>
      </c>
      <c r="N385" s="125" t="n"/>
      <c r="O385" s="126" t="n"/>
      <c r="P385" s="126" t="n"/>
      <c r="Q385" s="126" t="n"/>
      <c r="R385" s="126" t="n"/>
      <c r="S385" s="126" t="n"/>
      <c r="T385" s="126" t="n"/>
      <c r="U385" s="126" t="n"/>
      <c r="V385" s="126" t="n"/>
      <c r="W385" s="126" t="n"/>
      <c r="X385" s="126" t="n"/>
      <c r="Y385" s="126" t="n"/>
      <c r="Z385" s="126" t="n"/>
      <c r="AA385" s="126" t="n"/>
      <c r="AB385" s="126" t="n"/>
      <c r="AC385" s="126" t="n"/>
      <c r="AD385" s="126" t="n"/>
      <c r="AE385" s="126" t="n"/>
      <c r="AF385" s="126" t="n"/>
      <c r="AG385" s="126" t="n"/>
      <c r="AH385" s="126" t="n"/>
      <c r="AI385" s="126" t="n"/>
      <c r="AJ385" s="126" t="n"/>
      <c r="AK385" s="126" t="n"/>
      <c r="AL385" s="126" t="n"/>
      <c r="AM385" s="126" t="n"/>
      <c r="AN385" s="126" t="n"/>
    </row>
    <row r="386" ht="21" customFormat="1" customHeight="1" s="127">
      <c r="A386" s="51">
        <f>IF($B386="","",ROW()-6)</f>
        <v/>
      </c>
      <c r="B386" s="268" t="n"/>
      <c r="C386" s="133" t="n"/>
      <c r="D386" s="50" t="n"/>
      <c r="E386" s="265" t="n"/>
      <c r="F386" s="133" t="n"/>
      <c r="G386" s="133" t="n"/>
      <c r="H386" s="50" t="n"/>
      <c r="I386" s="51">
        <f>IF($C386="","",IFERROR(INDEX(WorkerIDs,MATCH($C386,WorkerNames,0)),"?"))</f>
        <v/>
      </c>
      <c r="J386" s="253">
        <f>IF($B386="","",$B386-WEEKDAY($B386,2)+1)</f>
        <v/>
      </c>
      <c r="K386" s="142">
        <f>IF(OR($I386="",$I386="?",$D386&lt;&gt;"Advance",$B386=""),"",$I386&amp;"|"&amp;$J386&amp;"|"&amp;COUNTIFS($I$7:$I386,$I386,$J$7:$J386,$J386,$D$7:$D386,"Advance"))</f>
        <v/>
      </c>
      <c r="L386" s="266">
        <f>IF(OR($I386="",$I386="?",$B386=""),"",SUMPRODUCT((Weeks!$A$7:$A$59&lt;=$J386)*(Weeks!$X$5:$AI$5=$I386)*Weeks!$X$7:$AI$59)-SUMIFS($E$7:$E$1006,$I$7:$I$1006,$I386,$B$7:$B$1006,"&lt;="&amp;$B386))</f>
        <v/>
      </c>
      <c r="M386" s="132">
        <f>IF($B386&amp;$C386&amp;$D386&amp;$E386="","",IF($B386="","missing date",IF($C386="","missing worker",IF($I386="?","unknown worker - was the name changed on Workers?",IF($D386="","missing type",IF(N($E386)=0,"missing amount",IF(AND($E386&lt;0,$D386&lt;&gt;"Correction"),"negative amount - use a Correction to undo",IF(OR($B386&lt;Weeks!$A$7,$B386&gt;Weeks!$B$59),"date outside this workbook's year",IF(AND($D386="Advance",N($L386)&lt;0),"Warning: more than earned so far - worker now owes "&amp;TEXT(ROUND(-$L386,0),"#,##0"),"")))))))))</f>
        <v/>
      </c>
      <c r="N386" s="125" t="n"/>
      <c r="O386" s="126" t="n"/>
      <c r="P386" s="126" t="n"/>
      <c r="Q386" s="126" t="n"/>
      <c r="R386" s="126" t="n"/>
      <c r="S386" s="126" t="n"/>
      <c r="T386" s="126" t="n"/>
      <c r="U386" s="126" t="n"/>
      <c r="V386" s="126" t="n"/>
      <c r="W386" s="126" t="n"/>
      <c r="X386" s="126" t="n"/>
      <c r="Y386" s="126" t="n"/>
      <c r="Z386" s="126" t="n"/>
      <c r="AA386" s="126" t="n"/>
      <c r="AB386" s="126" t="n"/>
      <c r="AC386" s="126" t="n"/>
      <c r="AD386" s="126" t="n"/>
      <c r="AE386" s="126" t="n"/>
      <c r="AF386" s="126" t="n"/>
      <c r="AG386" s="126" t="n"/>
      <c r="AH386" s="126" t="n"/>
      <c r="AI386" s="126" t="n"/>
      <c r="AJ386" s="126" t="n"/>
      <c r="AK386" s="126" t="n"/>
      <c r="AL386" s="126" t="n"/>
      <c r="AM386" s="126" t="n"/>
      <c r="AN386" s="126" t="n"/>
    </row>
    <row r="387" ht="21" customFormat="1" customHeight="1" s="127">
      <c r="A387" s="51">
        <f>IF($B387="","",ROW()-6)</f>
        <v/>
      </c>
      <c r="B387" s="268" t="n"/>
      <c r="C387" s="133" t="n"/>
      <c r="D387" s="50" t="n"/>
      <c r="E387" s="265" t="n"/>
      <c r="F387" s="133" t="n"/>
      <c r="G387" s="133" t="n"/>
      <c r="H387" s="50" t="n"/>
      <c r="I387" s="51">
        <f>IF($C387="","",IFERROR(INDEX(WorkerIDs,MATCH($C387,WorkerNames,0)),"?"))</f>
        <v/>
      </c>
      <c r="J387" s="253">
        <f>IF($B387="","",$B387-WEEKDAY($B387,2)+1)</f>
        <v/>
      </c>
      <c r="K387" s="142">
        <f>IF(OR($I387="",$I387="?",$D387&lt;&gt;"Advance",$B387=""),"",$I387&amp;"|"&amp;$J387&amp;"|"&amp;COUNTIFS($I$7:$I387,$I387,$J$7:$J387,$J387,$D$7:$D387,"Advance"))</f>
        <v/>
      </c>
      <c r="L387" s="266">
        <f>IF(OR($I387="",$I387="?",$B387=""),"",SUMPRODUCT((Weeks!$A$7:$A$59&lt;=$J387)*(Weeks!$X$5:$AI$5=$I387)*Weeks!$X$7:$AI$59)-SUMIFS($E$7:$E$1006,$I$7:$I$1006,$I387,$B$7:$B$1006,"&lt;="&amp;$B387))</f>
        <v/>
      </c>
      <c r="M387" s="132">
        <f>IF($B387&amp;$C387&amp;$D387&amp;$E387="","",IF($B387="","missing date",IF($C387="","missing worker",IF($I387="?","unknown worker - was the name changed on Workers?",IF($D387="","missing type",IF(N($E387)=0,"missing amount",IF(AND($E387&lt;0,$D387&lt;&gt;"Correction"),"negative amount - use a Correction to undo",IF(OR($B387&lt;Weeks!$A$7,$B387&gt;Weeks!$B$59),"date outside this workbook's year",IF(AND($D387="Advance",N($L387)&lt;0),"Warning: more than earned so far - worker now owes "&amp;TEXT(ROUND(-$L387,0),"#,##0"),"")))))))))</f>
        <v/>
      </c>
      <c r="N387" s="125" t="n"/>
      <c r="O387" s="126" t="n"/>
      <c r="P387" s="126" t="n"/>
      <c r="Q387" s="126" t="n"/>
      <c r="R387" s="126" t="n"/>
      <c r="S387" s="126" t="n"/>
      <c r="T387" s="126" t="n"/>
      <c r="U387" s="126" t="n"/>
      <c r="V387" s="126" t="n"/>
      <c r="W387" s="126" t="n"/>
      <c r="X387" s="126" t="n"/>
      <c r="Y387" s="126" t="n"/>
      <c r="Z387" s="126" t="n"/>
      <c r="AA387" s="126" t="n"/>
      <c r="AB387" s="126" t="n"/>
      <c r="AC387" s="126" t="n"/>
      <c r="AD387" s="126" t="n"/>
      <c r="AE387" s="126" t="n"/>
      <c r="AF387" s="126" t="n"/>
      <c r="AG387" s="126" t="n"/>
      <c r="AH387" s="126" t="n"/>
      <c r="AI387" s="126" t="n"/>
      <c r="AJ387" s="126" t="n"/>
      <c r="AK387" s="126" t="n"/>
      <c r="AL387" s="126" t="n"/>
      <c r="AM387" s="126" t="n"/>
      <c r="AN387" s="126" t="n"/>
    </row>
    <row r="388" ht="21" customFormat="1" customHeight="1" s="127">
      <c r="A388" s="51">
        <f>IF($B388="","",ROW()-6)</f>
        <v/>
      </c>
      <c r="B388" s="268" t="n"/>
      <c r="C388" s="133" t="n"/>
      <c r="D388" s="50" t="n"/>
      <c r="E388" s="265" t="n"/>
      <c r="F388" s="133" t="n"/>
      <c r="G388" s="133" t="n"/>
      <c r="H388" s="50" t="n"/>
      <c r="I388" s="51">
        <f>IF($C388="","",IFERROR(INDEX(WorkerIDs,MATCH($C388,WorkerNames,0)),"?"))</f>
        <v/>
      </c>
      <c r="J388" s="253">
        <f>IF($B388="","",$B388-WEEKDAY($B388,2)+1)</f>
        <v/>
      </c>
      <c r="K388" s="142">
        <f>IF(OR($I388="",$I388="?",$D388&lt;&gt;"Advance",$B388=""),"",$I388&amp;"|"&amp;$J388&amp;"|"&amp;COUNTIFS($I$7:$I388,$I388,$J$7:$J388,$J388,$D$7:$D388,"Advance"))</f>
        <v/>
      </c>
      <c r="L388" s="266">
        <f>IF(OR($I388="",$I388="?",$B388=""),"",SUMPRODUCT((Weeks!$A$7:$A$59&lt;=$J388)*(Weeks!$X$5:$AI$5=$I388)*Weeks!$X$7:$AI$59)-SUMIFS($E$7:$E$1006,$I$7:$I$1006,$I388,$B$7:$B$1006,"&lt;="&amp;$B388))</f>
        <v/>
      </c>
      <c r="M388" s="132">
        <f>IF($B388&amp;$C388&amp;$D388&amp;$E388="","",IF($B388="","missing date",IF($C388="","missing worker",IF($I388="?","unknown worker - was the name changed on Workers?",IF($D388="","missing type",IF(N($E388)=0,"missing amount",IF(AND($E388&lt;0,$D388&lt;&gt;"Correction"),"negative amount - use a Correction to undo",IF(OR($B388&lt;Weeks!$A$7,$B388&gt;Weeks!$B$59),"date outside this workbook's year",IF(AND($D388="Advance",N($L388)&lt;0),"Warning: more than earned so far - worker now owes "&amp;TEXT(ROUND(-$L388,0),"#,##0"),"")))))))))</f>
        <v/>
      </c>
      <c r="N388" s="125" t="n"/>
      <c r="O388" s="126" t="n"/>
      <c r="P388" s="126" t="n"/>
      <c r="Q388" s="126" t="n"/>
      <c r="R388" s="126" t="n"/>
      <c r="S388" s="126" t="n"/>
      <c r="T388" s="126" t="n"/>
      <c r="U388" s="126" t="n"/>
      <c r="V388" s="126" t="n"/>
      <c r="W388" s="126" t="n"/>
      <c r="X388" s="126" t="n"/>
      <c r="Y388" s="126" t="n"/>
      <c r="Z388" s="126" t="n"/>
      <c r="AA388" s="126" t="n"/>
      <c r="AB388" s="126" t="n"/>
      <c r="AC388" s="126" t="n"/>
      <c r="AD388" s="126" t="n"/>
      <c r="AE388" s="126" t="n"/>
      <c r="AF388" s="126" t="n"/>
      <c r="AG388" s="126" t="n"/>
      <c r="AH388" s="126" t="n"/>
      <c r="AI388" s="126" t="n"/>
      <c r="AJ388" s="126" t="n"/>
      <c r="AK388" s="126" t="n"/>
      <c r="AL388" s="126" t="n"/>
      <c r="AM388" s="126" t="n"/>
      <c r="AN388" s="126" t="n"/>
    </row>
    <row r="389" ht="21" customFormat="1" customHeight="1" s="127">
      <c r="A389" s="51">
        <f>IF($B389="","",ROW()-6)</f>
        <v/>
      </c>
      <c r="B389" s="268" t="n"/>
      <c r="C389" s="133" t="n"/>
      <c r="D389" s="50" t="n"/>
      <c r="E389" s="265" t="n"/>
      <c r="F389" s="133" t="n"/>
      <c r="G389" s="133" t="n"/>
      <c r="H389" s="50" t="n"/>
      <c r="I389" s="51">
        <f>IF($C389="","",IFERROR(INDEX(WorkerIDs,MATCH($C389,WorkerNames,0)),"?"))</f>
        <v/>
      </c>
      <c r="J389" s="253">
        <f>IF($B389="","",$B389-WEEKDAY($B389,2)+1)</f>
        <v/>
      </c>
      <c r="K389" s="142">
        <f>IF(OR($I389="",$I389="?",$D389&lt;&gt;"Advance",$B389=""),"",$I389&amp;"|"&amp;$J389&amp;"|"&amp;COUNTIFS($I$7:$I389,$I389,$J$7:$J389,$J389,$D$7:$D389,"Advance"))</f>
        <v/>
      </c>
      <c r="L389" s="266">
        <f>IF(OR($I389="",$I389="?",$B389=""),"",SUMPRODUCT((Weeks!$A$7:$A$59&lt;=$J389)*(Weeks!$X$5:$AI$5=$I389)*Weeks!$X$7:$AI$59)-SUMIFS($E$7:$E$1006,$I$7:$I$1006,$I389,$B$7:$B$1006,"&lt;="&amp;$B389))</f>
        <v/>
      </c>
      <c r="M389" s="132">
        <f>IF($B389&amp;$C389&amp;$D389&amp;$E389="","",IF($B389="","missing date",IF($C389="","missing worker",IF($I389="?","unknown worker - was the name changed on Workers?",IF($D389="","missing type",IF(N($E389)=0,"missing amount",IF(AND($E389&lt;0,$D389&lt;&gt;"Correction"),"negative amount - use a Correction to undo",IF(OR($B389&lt;Weeks!$A$7,$B389&gt;Weeks!$B$59),"date outside this workbook's year",IF(AND($D389="Advance",N($L389)&lt;0),"Warning: more than earned so far - worker now owes "&amp;TEXT(ROUND(-$L389,0),"#,##0"),"")))))))))</f>
        <v/>
      </c>
      <c r="N389" s="125" t="n"/>
      <c r="O389" s="126" t="n"/>
      <c r="P389" s="126" t="n"/>
      <c r="Q389" s="126" t="n"/>
      <c r="R389" s="126" t="n"/>
      <c r="S389" s="126" t="n"/>
      <c r="T389" s="126" t="n"/>
      <c r="U389" s="126" t="n"/>
      <c r="V389" s="126" t="n"/>
      <c r="W389" s="126" t="n"/>
      <c r="X389" s="126" t="n"/>
      <c r="Y389" s="126" t="n"/>
      <c r="Z389" s="126" t="n"/>
      <c r="AA389" s="126" t="n"/>
      <c r="AB389" s="126" t="n"/>
      <c r="AC389" s="126" t="n"/>
      <c r="AD389" s="126" t="n"/>
      <c r="AE389" s="126" t="n"/>
      <c r="AF389" s="126" t="n"/>
      <c r="AG389" s="126" t="n"/>
      <c r="AH389" s="126" t="n"/>
      <c r="AI389" s="126" t="n"/>
      <c r="AJ389" s="126" t="n"/>
      <c r="AK389" s="126" t="n"/>
      <c r="AL389" s="126" t="n"/>
      <c r="AM389" s="126" t="n"/>
      <c r="AN389" s="126" t="n"/>
    </row>
    <row r="390" ht="21" customFormat="1" customHeight="1" s="127">
      <c r="A390" s="51">
        <f>IF($B390="","",ROW()-6)</f>
        <v/>
      </c>
      <c r="B390" s="268" t="n"/>
      <c r="C390" s="133" t="n"/>
      <c r="D390" s="50" t="n"/>
      <c r="E390" s="265" t="n"/>
      <c r="F390" s="133" t="n"/>
      <c r="G390" s="133" t="n"/>
      <c r="H390" s="50" t="n"/>
      <c r="I390" s="51">
        <f>IF($C390="","",IFERROR(INDEX(WorkerIDs,MATCH($C390,WorkerNames,0)),"?"))</f>
        <v/>
      </c>
      <c r="J390" s="253">
        <f>IF($B390="","",$B390-WEEKDAY($B390,2)+1)</f>
        <v/>
      </c>
      <c r="K390" s="142">
        <f>IF(OR($I390="",$I390="?",$D390&lt;&gt;"Advance",$B390=""),"",$I390&amp;"|"&amp;$J390&amp;"|"&amp;COUNTIFS($I$7:$I390,$I390,$J$7:$J390,$J390,$D$7:$D390,"Advance"))</f>
        <v/>
      </c>
      <c r="L390" s="266">
        <f>IF(OR($I390="",$I390="?",$B390=""),"",SUMPRODUCT((Weeks!$A$7:$A$59&lt;=$J390)*(Weeks!$X$5:$AI$5=$I390)*Weeks!$X$7:$AI$59)-SUMIFS($E$7:$E$1006,$I$7:$I$1006,$I390,$B$7:$B$1006,"&lt;="&amp;$B390))</f>
        <v/>
      </c>
      <c r="M390" s="132">
        <f>IF($B390&amp;$C390&amp;$D390&amp;$E390="","",IF($B390="","missing date",IF($C390="","missing worker",IF($I390="?","unknown worker - was the name changed on Workers?",IF($D390="","missing type",IF(N($E390)=0,"missing amount",IF(AND($E390&lt;0,$D390&lt;&gt;"Correction"),"negative amount - use a Correction to undo",IF(OR($B390&lt;Weeks!$A$7,$B390&gt;Weeks!$B$59),"date outside this workbook's year",IF(AND($D390="Advance",N($L390)&lt;0),"Warning: more than earned so far - worker now owes "&amp;TEXT(ROUND(-$L390,0),"#,##0"),"")))))))))</f>
        <v/>
      </c>
      <c r="N390" s="125" t="n"/>
      <c r="O390" s="126" t="n"/>
      <c r="P390" s="126" t="n"/>
      <c r="Q390" s="126" t="n"/>
      <c r="R390" s="126" t="n"/>
      <c r="S390" s="126" t="n"/>
      <c r="T390" s="126" t="n"/>
      <c r="U390" s="126" t="n"/>
      <c r="V390" s="126" t="n"/>
      <c r="W390" s="126" t="n"/>
      <c r="X390" s="126" t="n"/>
      <c r="Y390" s="126" t="n"/>
      <c r="Z390" s="126" t="n"/>
      <c r="AA390" s="126" t="n"/>
      <c r="AB390" s="126" t="n"/>
      <c r="AC390" s="126" t="n"/>
      <c r="AD390" s="126" t="n"/>
      <c r="AE390" s="126" t="n"/>
      <c r="AF390" s="126" t="n"/>
      <c r="AG390" s="126" t="n"/>
      <c r="AH390" s="126" t="n"/>
      <c r="AI390" s="126" t="n"/>
      <c r="AJ390" s="126" t="n"/>
      <c r="AK390" s="126" t="n"/>
      <c r="AL390" s="126" t="n"/>
      <c r="AM390" s="126" t="n"/>
      <c r="AN390" s="126" t="n"/>
    </row>
    <row r="391" ht="21" customFormat="1" customHeight="1" s="127">
      <c r="A391" s="51">
        <f>IF($B391="","",ROW()-6)</f>
        <v/>
      </c>
      <c r="B391" s="268" t="n"/>
      <c r="C391" s="133" t="n"/>
      <c r="D391" s="50" t="n"/>
      <c r="E391" s="265" t="n"/>
      <c r="F391" s="133" t="n"/>
      <c r="G391" s="133" t="n"/>
      <c r="H391" s="50" t="n"/>
      <c r="I391" s="51">
        <f>IF($C391="","",IFERROR(INDEX(WorkerIDs,MATCH($C391,WorkerNames,0)),"?"))</f>
        <v/>
      </c>
      <c r="J391" s="253">
        <f>IF($B391="","",$B391-WEEKDAY($B391,2)+1)</f>
        <v/>
      </c>
      <c r="K391" s="142">
        <f>IF(OR($I391="",$I391="?",$D391&lt;&gt;"Advance",$B391=""),"",$I391&amp;"|"&amp;$J391&amp;"|"&amp;COUNTIFS($I$7:$I391,$I391,$J$7:$J391,$J391,$D$7:$D391,"Advance"))</f>
        <v/>
      </c>
      <c r="L391" s="266">
        <f>IF(OR($I391="",$I391="?",$B391=""),"",SUMPRODUCT((Weeks!$A$7:$A$59&lt;=$J391)*(Weeks!$X$5:$AI$5=$I391)*Weeks!$X$7:$AI$59)-SUMIFS($E$7:$E$1006,$I$7:$I$1006,$I391,$B$7:$B$1006,"&lt;="&amp;$B391))</f>
        <v/>
      </c>
      <c r="M391" s="132">
        <f>IF($B391&amp;$C391&amp;$D391&amp;$E391="","",IF($B391="","missing date",IF($C391="","missing worker",IF($I391="?","unknown worker - was the name changed on Workers?",IF($D391="","missing type",IF(N($E391)=0,"missing amount",IF(AND($E391&lt;0,$D391&lt;&gt;"Correction"),"negative amount - use a Correction to undo",IF(OR($B391&lt;Weeks!$A$7,$B391&gt;Weeks!$B$59),"date outside this workbook's year",IF(AND($D391="Advance",N($L391)&lt;0),"Warning: more than earned so far - worker now owes "&amp;TEXT(ROUND(-$L391,0),"#,##0"),"")))))))))</f>
        <v/>
      </c>
      <c r="N391" s="125" t="n"/>
      <c r="O391" s="126" t="n"/>
      <c r="P391" s="126" t="n"/>
      <c r="Q391" s="126" t="n"/>
      <c r="R391" s="126" t="n"/>
      <c r="S391" s="126" t="n"/>
      <c r="T391" s="126" t="n"/>
      <c r="U391" s="126" t="n"/>
      <c r="V391" s="126" t="n"/>
      <c r="W391" s="126" t="n"/>
      <c r="X391" s="126" t="n"/>
      <c r="Y391" s="126" t="n"/>
      <c r="Z391" s="126" t="n"/>
      <c r="AA391" s="126" t="n"/>
      <c r="AB391" s="126" t="n"/>
      <c r="AC391" s="126" t="n"/>
      <c r="AD391" s="126" t="n"/>
      <c r="AE391" s="126" t="n"/>
      <c r="AF391" s="126" t="n"/>
      <c r="AG391" s="126" t="n"/>
      <c r="AH391" s="126" t="n"/>
      <c r="AI391" s="126" t="n"/>
      <c r="AJ391" s="126" t="n"/>
      <c r="AK391" s="126" t="n"/>
      <c r="AL391" s="126" t="n"/>
      <c r="AM391" s="126" t="n"/>
      <c r="AN391" s="126" t="n"/>
    </row>
    <row r="392" ht="21" customFormat="1" customHeight="1" s="127">
      <c r="A392" s="51">
        <f>IF($B392="","",ROW()-6)</f>
        <v/>
      </c>
      <c r="B392" s="268" t="n"/>
      <c r="C392" s="133" t="n"/>
      <c r="D392" s="50" t="n"/>
      <c r="E392" s="265" t="n"/>
      <c r="F392" s="133" t="n"/>
      <c r="G392" s="133" t="n"/>
      <c r="H392" s="50" t="n"/>
      <c r="I392" s="51">
        <f>IF($C392="","",IFERROR(INDEX(WorkerIDs,MATCH($C392,WorkerNames,0)),"?"))</f>
        <v/>
      </c>
      <c r="J392" s="253">
        <f>IF($B392="","",$B392-WEEKDAY($B392,2)+1)</f>
        <v/>
      </c>
      <c r="K392" s="142">
        <f>IF(OR($I392="",$I392="?",$D392&lt;&gt;"Advance",$B392=""),"",$I392&amp;"|"&amp;$J392&amp;"|"&amp;COUNTIFS($I$7:$I392,$I392,$J$7:$J392,$J392,$D$7:$D392,"Advance"))</f>
        <v/>
      </c>
      <c r="L392" s="266">
        <f>IF(OR($I392="",$I392="?",$B392=""),"",SUMPRODUCT((Weeks!$A$7:$A$59&lt;=$J392)*(Weeks!$X$5:$AI$5=$I392)*Weeks!$X$7:$AI$59)-SUMIFS($E$7:$E$1006,$I$7:$I$1006,$I392,$B$7:$B$1006,"&lt;="&amp;$B392))</f>
        <v/>
      </c>
      <c r="M392" s="132">
        <f>IF($B392&amp;$C392&amp;$D392&amp;$E392="","",IF($B392="","missing date",IF($C392="","missing worker",IF($I392="?","unknown worker - was the name changed on Workers?",IF($D392="","missing type",IF(N($E392)=0,"missing amount",IF(AND($E392&lt;0,$D392&lt;&gt;"Correction"),"negative amount - use a Correction to undo",IF(OR($B392&lt;Weeks!$A$7,$B392&gt;Weeks!$B$59),"date outside this workbook's year",IF(AND($D392="Advance",N($L392)&lt;0),"Warning: more than earned so far - worker now owes "&amp;TEXT(ROUND(-$L392,0),"#,##0"),"")))))))))</f>
        <v/>
      </c>
      <c r="N392" s="125" t="n"/>
      <c r="O392" s="126" t="n"/>
      <c r="P392" s="126" t="n"/>
      <c r="Q392" s="126" t="n"/>
      <c r="R392" s="126" t="n"/>
      <c r="S392" s="126" t="n"/>
      <c r="T392" s="126" t="n"/>
      <c r="U392" s="126" t="n"/>
      <c r="V392" s="126" t="n"/>
      <c r="W392" s="126" t="n"/>
      <c r="X392" s="126" t="n"/>
      <c r="Y392" s="126" t="n"/>
      <c r="Z392" s="126" t="n"/>
      <c r="AA392" s="126" t="n"/>
      <c r="AB392" s="126" t="n"/>
      <c r="AC392" s="126" t="n"/>
      <c r="AD392" s="126" t="n"/>
      <c r="AE392" s="126" t="n"/>
      <c r="AF392" s="126" t="n"/>
      <c r="AG392" s="126" t="n"/>
      <c r="AH392" s="126" t="n"/>
      <c r="AI392" s="126" t="n"/>
      <c r="AJ392" s="126" t="n"/>
      <c r="AK392" s="126" t="n"/>
      <c r="AL392" s="126" t="n"/>
      <c r="AM392" s="126" t="n"/>
      <c r="AN392" s="126" t="n"/>
    </row>
    <row r="393" ht="21" customFormat="1" customHeight="1" s="127">
      <c r="A393" s="51">
        <f>IF($B393="","",ROW()-6)</f>
        <v/>
      </c>
      <c r="B393" s="268" t="n"/>
      <c r="C393" s="133" t="n"/>
      <c r="D393" s="50" t="n"/>
      <c r="E393" s="265" t="n"/>
      <c r="F393" s="133" t="n"/>
      <c r="G393" s="133" t="n"/>
      <c r="H393" s="50" t="n"/>
      <c r="I393" s="51">
        <f>IF($C393="","",IFERROR(INDEX(WorkerIDs,MATCH($C393,WorkerNames,0)),"?"))</f>
        <v/>
      </c>
      <c r="J393" s="253">
        <f>IF($B393="","",$B393-WEEKDAY($B393,2)+1)</f>
        <v/>
      </c>
      <c r="K393" s="142">
        <f>IF(OR($I393="",$I393="?",$D393&lt;&gt;"Advance",$B393=""),"",$I393&amp;"|"&amp;$J393&amp;"|"&amp;COUNTIFS($I$7:$I393,$I393,$J$7:$J393,$J393,$D$7:$D393,"Advance"))</f>
        <v/>
      </c>
      <c r="L393" s="266">
        <f>IF(OR($I393="",$I393="?",$B393=""),"",SUMPRODUCT((Weeks!$A$7:$A$59&lt;=$J393)*(Weeks!$X$5:$AI$5=$I393)*Weeks!$X$7:$AI$59)-SUMIFS($E$7:$E$1006,$I$7:$I$1006,$I393,$B$7:$B$1006,"&lt;="&amp;$B393))</f>
        <v/>
      </c>
      <c r="M393" s="132">
        <f>IF($B393&amp;$C393&amp;$D393&amp;$E393="","",IF($B393="","missing date",IF($C393="","missing worker",IF($I393="?","unknown worker - was the name changed on Workers?",IF($D393="","missing type",IF(N($E393)=0,"missing amount",IF(AND($E393&lt;0,$D393&lt;&gt;"Correction"),"negative amount - use a Correction to undo",IF(OR($B393&lt;Weeks!$A$7,$B393&gt;Weeks!$B$59),"date outside this workbook's year",IF(AND($D393="Advance",N($L393)&lt;0),"Warning: more than earned so far - worker now owes "&amp;TEXT(ROUND(-$L393,0),"#,##0"),"")))))))))</f>
        <v/>
      </c>
      <c r="N393" s="125" t="n"/>
      <c r="O393" s="126" t="n"/>
      <c r="P393" s="126" t="n"/>
      <c r="Q393" s="126" t="n"/>
      <c r="R393" s="126" t="n"/>
      <c r="S393" s="126" t="n"/>
      <c r="T393" s="126" t="n"/>
      <c r="U393" s="126" t="n"/>
      <c r="V393" s="126" t="n"/>
      <c r="W393" s="126" t="n"/>
      <c r="X393" s="126" t="n"/>
      <c r="Y393" s="126" t="n"/>
      <c r="Z393" s="126" t="n"/>
      <c r="AA393" s="126" t="n"/>
      <c r="AB393" s="126" t="n"/>
      <c r="AC393" s="126" t="n"/>
      <c r="AD393" s="126" t="n"/>
      <c r="AE393" s="126" t="n"/>
      <c r="AF393" s="126" t="n"/>
      <c r="AG393" s="126" t="n"/>
      <c r="AH393" s="126" t="n"/>
      <c r="AI393" s="126" t="n"/>
      <c r="AJ393" s="126" t="n"/>
      <c r="AK393" s="126" t="n"/>
      <c r="AL393" s="126" t="n"/>
      <c r="AM393" s="126" t="n"/>
      <c r="AN393" s="126" t="n"/>
    </row>
    <row r="394" ht="21" customFormat="1" customHeight="1" s="127">
      <c r="A394" s="51">
        <f>IF($B394="","",ROW()-6)</f>
        <v/>
      </c>
      <c r="B394" s="268" t="n"/>
      <c r="C394" s="133" t="n"/>
      <c r="D394" s="50" t="n"/>
      <c r="E394" s="265" t="n"/>
      <c r="F394" s="133" t="n"/>
      <c r="G394" s="133" t="n"/>
      <c r="H394" s="50" t="n"/>
      <c r="I394" s="51">
        <f>IF($C394="","",IFERROR(INDEX(WorkerIDs,MATCH($C394,WorkerNames,0)),"?"))</f>
        <v/>
      </c>
      <c r="J394" s="253">
        <f>IF($B394="","",$B394-WEEKDAY($B394,2)+1)</f>
        <v/>
      </c>
      <c r="K394" s="142">
        <f>IF(OR($I394="",$I394="?",$D394&lt;&gt;"Advance",$B394=""),"",$I394&amp;"|"&amp;$J394&amp;"|"&amp;COUNTIFS($I$7:$I394,$I394,$J$7:$J394,$J394,$D$7:$D394,"Advance"))</f>
        <v/>
      </c>
      <c r="L394" s="266">
        <f>IF(OR($I394="",$I394="?",$B394=""),"",SUMPRODUCT((Weeks!$A$7:$A$59&lt;=$J394)*(Weeks!$X$5:$AI$5=$I394)*Weeks!$X$7:$AI$59)-SUMIFS($E$7:$E$1006,$I$7:$I$1006,$I394,$B$7:$B$1006,"&lt;="&amp;$B394))</f>
        <v/>
      </c>
      <c r="M394" s="132">
        <f>IF($B394&amp;$C394&amp;$D394&amp;$E394="","",IF($B394="","missing date",IF($C394="","missing worker",IF($I394="?","unknown worker - was the name changed on Workers?",IF($D394="","missing type",IF(N($E394)=0,"missing amount",IF(AND($E394&lt;0,$D394&lt;&gt;"Correction"),"negative amount - use a Correction to undo",IF(OR($B394&lt;Weeks!$A$7,$B394&gt;Weeks!$B$59),"date outside this workbook's year",IF(AND($D394="Advance",N($L394)&lt;0),"Warning: more than earned so far - worker now owes "&amp;TEXT(ROUND(-$L394,0),"#,##0"),"")))))))))</f>
        <v/>
      </c>
      <c r="N394" s="125" t="n"/>
      <c r="O394" s="126" t="n"/>
      <c r="P394" s="126" t="n"/>
      <c r="Q394" s="126" t="n"/>
      <c r="R394" s="126" t="n"/>
      <c r="S394" s="126" t="n"/>
      <c r="T394" s="126" t="n"/>
      <c r="U394" s="126" t="n"/>
      <c r="V394" s="126" t="n"/>
      <c r="W394" s="126" t="n"/>
      <c r="X394" s="126" t="n"/>
      <c r="Y394" s="126" t="n"/>
      <c r="Z394" s="126" t="n"/>
      <c r="AA394" s="126" t="n"/>
      <c r="AB394" s="126" t="n"/>
      <c r="AC394" s="126" t="n"/>
      <c r="AD394" s="126" t="n"/>
      <c r="AE394" s="126" t="n"/>
      <c r="AF394" s="126" t="n"/>
      <c r="AG394" s="126" t="n"/>
      <c r="AH394" s="126" t="n"/>
      <c r="AI394" s="126" t="n"/>
      <c r="AJ394" s="126" t="n"/>
      <c r="AK394" s="126" t="n"/>
      <c r="AL394" s="126" t="n"/>
      <c r="AM394" s="126" t="n"/>
      <c r="AN394" s="126" t="n"/>
    </row>
    <row r="395" ht="21" customFormat="1" customHeight="1" s="127">
      <c r="A395" s="51">
        <f>IF($B395="","",ROW()-6)</f>
        <v/>
      </c>
      <c r="B395" s="268" t="n"/>
      <c r="C395" s="133" t="n"/>
      <c r="D395" s="50" t="n"/>
      <c r="E395" s="265" t="n"/>
      <c r="F395" s="133" t="n"/>
      <c r="G395" s="133" t="n"/>
      <c r="H395" s="50" t="n"/>
      <c r="I395" s="51">
        <f>IF($C395="","",IFERROR(INDEX(WorkerIDs,MATCH($C395,WorkerNames,0)),"?"))</f>
        <v/>
      </c>
      <c r="J395" s="253">
        <f>IF($B395="","",$B395-WEEKDAY($B395,2)+1)</f>
        <v/>
      </c>
      <c r="K395" s="142">
        <f>IF(OR($I395="",$I395="?",$D395&lt;&gt;"Advance",$B395=""),"",$I395&amp;"|"&amp;$J395&amp;"|"&amp;COUNTIFS($I$7:$I395,$I395,$J$7:$J395,$J395,$D$7:$D395,"Advance"))</f>
        <v/>
      </c>
      <c r="L395" s="266">
        <f>IF(OR($I395="",$I395="?",$B395=""),"",SUMPRODUCT((Weeks!$A$7:$A$59&lt;=$J395)*(Weeks!$X$5:$AI$5=$I395)*Weeks!$X$7:$AI$59)-SUMIFS($E$7:$E$1006,$I$7:$I$1006,$I395,$B$7:$B$1006,"&lt;="&amp;$B395))</f>
        <v/>
      </c>
      <c r="M395" s="132">
        <f>IF($B395&amp;$C395&amp;$D395&amp;$E395="","",IF($B395="","missing date",IF($C395="","missing worker",IF($I395="?","unknown worker - was the name changed on Workers?",IF($D395="","missing type",IF(N($E395)=0,"missing amount",IF(AND($E395&lt;0,$D395&lt;&gt;"Correction"),"negative amount - use a Correction to undo",IF(OR($B395&lt;Weeks!$A$7,$B395&gt;Weeks!$B$59),"date outside this workbook's year",IF(AND($D395="Advance",N($L395)&lt;0),"Warning: more than earned so far - worker now owes "&amp;TEXT(ROUND(-$L395,0),"#,##0"),"")))))))))</f>
        <v/>
      </c>
      <c r="N395" s="125" t="n"/>
      <c r="O395" s="126" t="n"/>
      <c r="P395" s="126" t="n"/>
      <c r="Q395" s="126" t="n"/>
      <c r="R395" s="126" t="n"/>
      <c r="S395" s="126" t="n"/>
      <c r="T395" s="126" t="n"/>
      <c r="U395" s="126" t="n"/>
      <c r="V395" s="126" t="n"/>
      <c r="W395" s="126" t="n"/>
      <c r="X395" s="126" t="n"/>
      <c r="Y395" s="126" t="n"/>
      <c r="Z395" s="126" t="n"/>
      <c r="AA395" s="126" t="n"/>
      <c r="AB395" s="126" t="n"/>
      <c r="AC395" s="126" t="n"/>
      <c r="AD395" s="126" t="n"/>
      <c r="AE395" s="126" t="n"/>
      <c r="AF395" s="126" t="n"/>
      <c r="AG395" s="126" t="n"/>
      <c r="AH395" s="126" t="n"/>
      <c r="AI395" s="126" t="n"/>
      <c r="AJ395" s="126" t="n"/>
      <c r="AK395" s="126" t="n"/>
      <c r="AL395" s="126" t="n"/>
      <c r="AM395" s="126" t="n"/>
      <c r="AN395" s="126" t="n"/>
    </row>
    <row r="396" ht="21" customFormat="1" customHeight="1" s="127">
      <c r="A396" s="51">
        <f>IF($B396="","",ROW()-6)</f>
        <v/>
      </c>
      <c r="B396" s="268" t="n"/>
      <c r="C396" s="133" t="n"/>
      <c r="D396" s="50" t="n"/>
      <c r="E396" s="265" t="n"/>
      <c r="F396" s="133" t="n"/>
      <c r="G396" s="133" t="n"/>
      <c r="H396" s="50" t="n"/>
      <c r="I396" s="51">
        <f>IF($C396="","",IFERROR(INDEX(WorkerIDs,MATCH($C396,WorkerNames,0)),"?"))</f>
        <v/>
      </c>
      <c r="J396" s="253">
        <f>IF($B396="","",$B396-WEEKDAY($B396,2)+1)</f>
        <v/>
      </c>
      <c r="K396" s="142">
        <f>IF(OR($I396="",$I396="?",$D396&lt;&gt;"Advance",$B396=""),"",$I396&amp;"|"&amp;$J396&amp;"|"&amp;COUNTIFS($I$7:$I396,$I396,$J$7:$J396,$J396,$D$7:$D396,"Advance"))</f>
        <v/>
      </c>
      <c r="L396" s="266">
        <f>IF(OR($I396="",$I396="?",$B396=""),"",SUMPRODUCT((Weeks!$A$7:$A$59&lt;=$J396)*(Weeks!$X$5:$AI$5=$I396)*Weeks!$X$7:$AI$59)-SUMIFS($E$7:$E$1006,$I$7:$I$1006,$I396,$B$7:$B$1006,"&lt;="&amp;$B396))</f>
        <v/>
      </c>
      <c r="M396" s="132">
        <f>IF($B396&amp;$C396&amp;$D396&amp;$E396="","",IF($B396="","missing date",IF($C396="","missing worker",IF($I396="?","unknown worker - was the name changed on Workers?",IF($D396="","missing type",IF(N($E396)=0,"missing amount",IF(AND($E396&lt;0,$D396&lt;&gt;"Correction"),"negative amount - use a Correction to undo",IF(OR($B396&lt;Weeks!$A$7,$B396&gt;Weeks!$B$59),"date outside this workbook's year",IF(AND($D396="Advance",N($L396)&lt;0),"Warning: more than earned so far - worker now owes "&amp;TEXT(ROUND(-$L396,0),"#,##0"),"")))))))))</f>
        <v/>
      </c>
      <c r="N396" s="125" t="n"/>
      <c r="O396" s="126" t="n"/>
      <c r="P396" s="126" t="n"/>
      <c r="Q396" s="126" t="n"/>
      <c r="R396" s="126" t="n"/>
      <c r="S396" s="126" t="n"/>
      <c r="T396" s="126" t="n"/>
      <c r="U396" s="126" t="n"/>
      <c r="V396" s="126" t="n"/>
      <c r="W396" s="126" t="n"/>
      <c r="X396" s="126" t="n"/>
      <c r="Y396" s="126" t="n"/>
      <c r="Z396" s="126" t="n"/>
      <c r="AA396" s="126" t="n"/>
      <c r="AB396" s="126" t="n"/>
      <c r="AC396" s="126" t="n"/>
      <c r="AD396" s="126" t="n"/>
      <c r="AE396" s="126" t="n"/>
      <c r="AF396" s="126" t="n"/>
      <c r="AG396" s="126" t="n"/>
      <c r="AH396" s="126" t="n"/>
      <c r="AI396" s="126" t="n"/>
      <c r="AJ396" s="126" t="n"/>
      <c r="AK396" s="126" t="n"/>
      <c r="AL396" s="126" t="n"/>
      <c r="AM396" s="126" t="n"/>
      <c r="AN396" s="126" t="n"/>
    </row>
    <row r="397" ht="21" customFormat="1" customHeight="1" s="127">
      <c r="A397" s="51">
        <f>IF($B397="","",ROW()-6)</f>
        <v/>
      </c>
      <c r="B397" s="268" t="n"/>
      <c r="C397" s="133" t="n"/>
      <c r="D397" s="50" t="n"/>
      <c r="E397" s="265" t="n"/>
      <c r="F397" s="133" t="n"/>
      <c r="G397" s="133" t="n"/>
      <c r="H397" s="50" t="n"/>
      <c r="I397" s="51">
        <f>IF($C397="","",IFERROR(INDEX(WorkerIDs,MATCH($C397,WorkerNames,0)),"?"))</f>
        <v/>
      </c>
      <c r="J397" s="253">
        <f>IF($B397="","",$B397-WEEKDAY($B397,2)+1)</f>
        <v/>
      </c>
      <c r="K397" s="142">
        <f>IF(OR($I397="",$I397="?",$D397&lt;&gt;"Advance",$B397=""),"",$I397&amp;"|"&amp;$J397&amp;"|"&amp;COUNTIFS($I$7:$I397,$I397,$J$7:$J397,$J397,$D$7:$D397,"Advance"))</f>
        <v/>
      </c>
      <c r="L397" s="266">
        <f>IF(OR($I397="",$I397="?",$B397=""),"",SUMPRODUCT((Weeks!$A$7:$A$59&lt;=$J397)*(Weeks!$X$5:$AI$5=$I397)*Weeks!$X$7:$AI$59)-SUMIFS($E$7:$E$1006,$I$7:$I$1006,$I397,$B$7:$B$1006,"&lt;="&amp;$B397))</f>
        <v/>
      </c>
      <c r="M397" s="132">
        <f>IF($B397&amp;$C397&amp;$D397&amp;$E397="","",IF($B397="","missing date",IF($C397="","missing worker",IF($I397="?","unknown worker - was the name changed on Workers?",IF($D397="","missing type",IF(N($E397)=0,"missing amount",IF(AND($E397&lt;0,$D397&lt;&gt;"Correction"),"negative amount - use a Correction to undo",IF(OR($B397&lt;Weeks!$A$7,$B397&gt;Weeks!$B$59),"date outside this workbook's year",IF(AND($D397="Advance",N($L397)&lt;0),"Warning: more than earned so far - worker now owes "&amp;TEXT(ROUND(-$L397,0),"#,##0"),"")))))))))</f>
        <v/>
      </c>
      <c r="N397" s="125" t="n"/>
      <c r="O397" s="126" t="n"/>
      <c r="P397" s="126" t="n"/>
      <c r="Q397" s="126" t="n"/>
      <c r="R397" s="126" t="n"/>
      <c r="S397" s="126" t="n"/>
      <c r="T397" s="126" t="n"/>
      <c r="U397" s="126" t="n"/>
      <c r="V397" s="126" t="n"/>
      <c r="W397" s="126" t="n"/>
      <c r="X397" s="126" t="n"/>
      <c r="Y397" s="126" t="n"/>
      <c r="Z397" s="126" t="n"/>
      <c r="AA397" s="126" t="n"/>
      <c r="AB397" s="126" t="n"/>
      <c r="AC397" s="126" t="n"/>
      <c r="AD397" s="126" t="n"/>
      <c r="AE397" s="126" t="n"/>
      <c r="AF397" s="126" t="n"/>
      <c r="AG397" s="126" t="n"/>
      <c r="AH397" s="126" t="n"/>
      <c r="AI397" s="126" t="n"/>
      <c r="AJ397" s="126" t="n"/>
      <c r="AK397" s="126" t="n"/>
      <c r="AL397" s="126" t="n"/>
      <c r="AM397" s="126" t="n"/>
      <c r="AN397" s="126" t="n"/>
    </row>
    <row r="398" ht="21" customFormat="1" customHeight="1" s="127">
      <c r="A398" s="51">
        <f>IF($B398="","",ROW()-6)</f>
        <v/>
      </c>
      <c r="B398" s="268" t="n"/>
      <c r="C398" s="133" t="n"/>
      <c r="D398" s="50" t="n"/>
      <c r="E398" s="265" t="n"/>
      <c r="F398" s="133" t="n"/>
      <c r="G398" s="133" t="n"/>
      <c r="H398" s="50" t="n"/>
      <c r="I398" s="51">
        <f>IF($C398="","",IFERROR(INDEX(WorkerIDs,MATCH($C398,WorkerNames,0)),"?"))</f>
        <v/>
      </c>
      <c r="J398" s="253">
        <f>IF($B398="","",$B398-WEEKDAY($B398,2)+1)</f>
        <v/>
      </c>
      <c r="K398" s="142">
        <f>IF(OR($I398="",$I398="?",$D398&lt;&gt;"Advance",$B398=""),"",$I398&amp;"|"&amp;$J398&amp;"|"&amp;COUNTIFS($I$7:$I398,$I398,$J$7:$J398,$J398,$D$7:$D398,"Advance"))</f>
        <v/>
      </c>
      <c r="L398" s="266">
        <f>IF(OR($I398="",$I398="?",$B398=""),"",SUMPRODUCT((Weeks!$A$7:$A$59&lt;=$J398)*(Weeks!$X$5:$AI$5=$I398)*Weeks!$X$7:$AI$59)-SUMIFS($E$7:$E$1006,$I$7:$I$1006,$I398,$B$7:$B$1006,"&lt;="&amp;$B398))</f>
        <v/>
      </c>
      <c r="M398" s="132">
        <f>IF($B398&amp;$C398&amp;$D398&amp;$E398="","",IF($B398="","missing date",IF($C398="","missing worker",IF($I398="?","unknown worker - was the name changed on Workers?",IF($D398="","missing type",IF(N($E398)=0,"missing amount",IF(AND($E398&lt;0,$D398&lt;&gt;"Correction"),"negative amount - use a Correction to undo",IF(OR($B398&lt;Weeks!$A$7,$B398&gt;Weeks!$B$59),"date outside this workbook's year",IF(AND($D398="Advance",N($L398)&lt;0),"Warning: more than earned so far - worker now owes "&amp;TEXT(ROUND(-$L398,0),"#,##0"),"")))))))))</f>
        <v/>
      </c>
      <c r="N398" s="125" t="n"/>
      <c r="O398" s="126" t="n"/>
      <c r="P398" s="126" t="n"/>
      <c r="Q398" s="126" t="n"/>
      <c r="R398" s="126" t="n"/>
      <c r="S398" s="126" t="n"/>
      <c r="T398" s="126" t="n"/>
      <c r="U398" s="126" t="n"/>
      <c r="V398" s="126" t="n"/>
      <c r="W398" s="126" t="n"/>
      <c r="X398" s="126" t="n"/>
      <c r="Y398" s="126" t="n"/>
      <c r="Z398" s="126" t="n"/>
      <c r="AA398" s="126" t="n"/>
      <c r="AB398" s="126" t="n"/>
      <c r="AC398" s="126" t="n"/>
      <c r="AD398" s="126" t="n"/>
      <c r="AE398" s="126" t="n"/>
      <c r="AF398" s="126" t="n"/>
      <c r="AG398" s="126" t="n"/>
      <c r="AH398" s="126" t="n"/>
      <c r="AI398" s="126" t="n"/>
      <c r="AJ398" s="126" t="n"/>
      <c r="AK398" s="126" t="n"/>
      <c r="AL398" s="126" t="n"/>
      <c r="AM398" s="126" t="n"/>
      <c r="AN398" s="126" t="n"/>
    </row>
    <row r="399" ht="21" customFormat="1" customHeight="1" s="127">
      <c r="A399" s="51">
        <f>IF($B399="","",ROW()-6)</f>
        <v/>
      </c>
      <c r="B399" s="268" t="n"/>
      <c r="C399" s="133" t="n"/>
      <c r="D399" s="50" t="n"/>
      <c r="E399" s="265" t="n"/>
      <c r="F399" s="133" t="n"/>
      <c r="G399" s="133" t="n"/>
      <c r="H399" s="50" t="n"/>
      <c r="I399" s="51">
        <f>IF($C399="","",IFERROR(INDEX(WorkerIDs,MATCH($C399,WorkerNames,0)),"?"))</f>
        <v/>
      </c>
      <c r="J399" s="253">
        <f>IF($B399="","",$B399-WEEKDAY($B399,2)+1)</f>
        <v/>
      </c>
      <c r="K399" s="142">
        <f>IF(OR($I399="",$I399="?",$D399&lt;&gt;"Advance",$B399=""),"",$I399&amp;"|"&amp;$J399&amp;"|"&amp;COUNTIFS($I$7:$I399,$I399,$J$7:$J399,$J399,$D$7:$D399,"Advance"))</f>
        <v/>
      </c>
      <c r="L399" s="266">
        <f>IF(OR($I399="",$I399="?",$B399=""),"",SUMPRODUCT((Weeks!$A$7:$A$59&lt;=$J399)*(Weeks!$X$5:$AI$5=$I399)*Weeks!$X$7:$AI$59)-SUMIFS($E$7:$E$1006,$I$7:$I$1006,$I399,$B$7:$B$1006,"&lt;="&amp;$B399))</f>
        <v/>
      </c>
      <c r="M399" s="132">
        <f>IF($B399&amp;$C399&amp;$D399&amp;$E399="","",IF($B399="","missing date",IF($C399="","missing worker",IF($I399="?","unknown worker - was the name changed on Workers?",IF($D399="","missing type",IF(N($E399)=0,"missing amount",IF(AND($E399&lt;0,$D399&lt;&gt;"Correction"),"negative amount - use a Correction to undo",IF(OR($B399&lt;Weeks!$A$7,$B399&gt;Weeks!$B$59),"date outside this workbook's year",IF(AND($D399="Advance",N($L399)&lt;0),"Warning: more than earned so far - worker now owes "&amp;TEXT(ROUND(-$L399,0),"#,##0"),"")))))))))</f>
        <v/>
      </c>
      <c r="N399" s="125" t="n"/>
      <c r="O399" s="126" t="n"/>
      <c r="P399" s="126" t="n"/>
      <c r="Q399" s="126" t="n"/>
      <c r="R399" s="126" t="n"/>
      <c r="S399" s="126" t="n"/>
      <c r="T399" s="126" t="n"/>
      <c r="U399" s="126" t="n"/>
      <c r="V399" s="126" t="n"/>
      <c r="W399" s="126" t="n"/>
      <c r="X399" s="126" t="n"/>
      <c r="Y399" s="126" t="n"/>
      <c r="Z399" s="126" t="n"/>
      <c r="AA399" s="126" t="n"/>
      <c r="AB399" s="126" t="n"/>
      <c r="AC399" s="126" t="n"/>
      <c r="AD399" s="126" t="n"/>
      <c r="AE399" s="126" t="n"/>
      <c r="AF399" s="126" t="n"/>
      <c r="AG399" s="126" t="n"/>
      <c r="AH399" s="126" t="n"/>
      <c r="AI399" s="126" t="n"/>
      <c r="AJ399" s="126" t="n"/>
      <c r="AK399" s="126" t="n"/>
      <c r="AL399" s="126" t="n"/>
      <c r="AM399" s="126" t="n"/>
      <c r="AN399" s="126" t="n"/>
    </row>
    <row r="400" ht="21" customFormat="1" customHeight="1" s="127">
      <c r="A400" s="51">
        <f>IF($B400="","",ROW()-6)</f>
        <v/>
      </c>
      <c r="B400" s="268" t="n"/>
      <c r="C400" s="133" t="n"/>
      <c r="D400" s="50" t="n"/>
      <c r="E400" s="265" t="n"/>
      <c r="F400" s="133" t="n"/>
      <c r="G400" s="133" t="n"/>
      <c r="H400" s="50" t="n"/>
      <c r="I400" s="51">
        <f>IF($C400="","",IFERROR(INDEX(WorkerIDs,MATCH($C400,WorkerNames,0)),"?"))</f>
        <v/>
      </c>
      <c r="J400" s="253">
        <f>IF($B400="","",$B400-WEEKDAY($B400,2)+1)</f>
        <v/>
      </c>
      <c r="K400" s="142">
        <f>IF(OR($I400="",$I400="?",$D400&lt;&gt;"Advance",$B400=""),"",$I400&amp;"|"&amp;$J400&amp;"|"&amp;COUNTIFS($I$7:$I400,$I400,$J$7:$J400,$J400,$D$7:$D400,"Advance"))</f>
        <v/>
      </c>
      <c r="L400" s="266">
        <f>IF(OR($I400="",$I400="?",$B400=""),"",SUMPRODUCT((Weeks!$A$7:$A$59&lt;=$J400)*(Weeks!$X$5:$AI$5=$I400)*Weeks!$X$7:$AI$59)-SUMIFS($E$7:$E$1006,$I$7:$I$1006,$I400,$B$7:$B$1006,"&lt;="&amp;$B400))</f>
        <v/>
      </c>
      <c r="M400" s="132">
        <f>IF($B400&amp;$C400&amp;$D400&amp;$E400="","",IF($B400="","missing date",IF($C400="","missing worker",IF($I400="?","unknown worker - was the name changed on Workers?",IF($D400="","missing type",IF(N($E400)=0,"missing amount",IF(AND($E400&lt;0,$D400&lt;&gt;"Correction"),"negative amount - use a Correction to undo",IF(OR($B400&lt;Weeks!$A$7,$B400&gt;Weeks!$B$59),"date outside this workbook's year",IF(AND($D400="Advance",N($L400)&lt;0),"Warning: more than earned so far - worker now owes "&amp;TEXT(ROUND(-$L400,0),"#,##0"),"")))))))))</f>
        <v/>
      </c>
      <c r="N400" s="125" t="n"/>
      <c r="O400" s="126" t="n"/>
      <c r="P400" s="126" t="n"/>
      <c r="Q400" s="126" t="n"/>
      <c r="R400" s="126" t="n"/>
      <c r="S400" s="126" t="n"/>
      <c r="T400" s="126" t="n"/>
      <c r="U400" s="126" t="n"/>
      <c r="V400" s="126" t="n"/>
      <c r="W400" s="126" t="n"/>
      <c r="X400" s="126" t="n"/>
      <c r="Y400" s="126" t="n"/>
      <c r="Z400" s="126" t="n"/>
      <c r="AA400" s="126" t="n"/>
      <c r="AB400" s="126" t="n"/>
      <c r="AC400" s="126" t="n"/>
      <c r="AD400" s="126" t="n"/>
      <c r="AE400" s="126" t="n"/>
      <c r="AF400" s="126" t="n"/>
      <c r="AG400" s="126" t="n"/>
      <c r="AH400" s="126" t="n"/>
      <c r="AI400" s="126" t="n"/>
      <c r="AJ400" s="126" t="n"/>
      <c r="AK400" s="126" t="n"/>
      <c r="AL400" s="126" t="n"/>
      <c r="AM400" s="126" t="n"/>
      <c r="AN400" s="126" t="n"/>
    </row>
    <row r="401" ht="21" customFormat="1" customHeight="1" s="127">
      <c r="A401" s="51">
        <f>IF($B401="","",ROW()-6)</f>
        <v/>
      </c>
      <c r="B401" s="268" t="n"/>
      <c r="C401" s="133" t="n"/>
      <c r="D401" s="50" t="n"/>
      <c r="E401" s="265" t="n"/>
      <c r="F401" s="133" t="n"/>
      <c r="G401" s="133" t="n"/>
      <c r="H401" s="50" t="n"/>
      <c r="I401" s="51">
        <f>IF($C401="","",IFERROR(INDEX(WorkerIDs,MATCH($C401,WorkerNames,0)),"?"))</f>
        <v/>
      </c>
      <c r="J401" s="253">
        <f>IF($B401="","",$B401-WEEKDAY($B401,2)+1)</f>
        <v/>
      </c>
      <c r="K401" s="142">
        <f>IF(OR($I401="",$I401="?",$D401&lt;&gt;"Advance",$B401=""),"",$I401&amp;"|"&amp;$J401&amp;"|"&amp;COUNTIFS($I$7:$I401,$I401,$J$7:$J401,$J401,$D$7:$D401,"Advance"))</f>
        <v/>
      </c>
      <c r="L401" s="266">
        <f>IF(OR($I401="",$I401="?",$B401=""),"",SUMPRODUCT((Weeks!$A$7:$A$59&lt;=$J401)*(Weeks!$X$5:$AI$5=$I401)*Weeks!$X$7:$AI$59)-SUMIFS($E$7:$E$1006,$I$7:$I$1006,$I401,$B$7:$B$1006,"&lt;="&amp;$B401))</f>
        <v/>
      </c>
      <c r="M401" s="132">
        <f>IF($B401&amp;$C401&amp;$D401&amp;$E401="","",IF($B401="","missing date",IF($C401="","missing worker",IF($I401="?","unknown worker - was the name changed on Workers?",IF($D401="","missing type",IF(N($E401)=0,"missing amount",IF(AND($E401&lt;0,$D401&lt;&gt;"Correction"),"negative amount - use a Correction to undo",IF(OR($B401&lt;Weeks!$A$7,$B401&gt;Weeks!$B$59),"date outside this workbook's year",IF(AND($D401="Advance",N($L401)&lt;0),"Warning: more than earned so far - worker now owes "&amp;TEXT(ROUND(-$L401,0),"#,##0"),"")))))))))</f>
        <v/>
      </c>
      <c r="N401" s="125" t="n"/>
      <c r="O401" s="126" t="n"/>
      <c r="P401" s="126" t="n"/>
      <c r="Q401" s="126" t="n"/>
      <c r="R401" s="126" t="n"/>
      <c r="S401" s="126" t="n"/>
      <c r="T401" s="126" t="n"/>
      <c r="U401" s="126" t="n"/>
      <c r="V401" s="126" t="n"/>
      <c r="W401" s="126" t="n"/>
      <c r="X401" s="126" t="n"/>
      <c r="Y401" s="126" t="n"/>
      <c r="Z401" s="126" t="n"/>
      <c r="AA401" s="126" t="n"/>
      <c r="AB401" s="126" t="n"/>
      <c r="AC401" s="126" t="n"/>
      <c r="AD401" s="126" t="n"/>
      <c r="AE401" s="126" t="n"/>
      <c r="AF401" s="126" t="n"/>
      <c r="AG401" s="126" t="n"/>
      <c r="AH401" s="126" t="n"/>
      <c r="AI401" s="126" t="n"/>
      <c r="AJ401" s="126" t="n"/>
      <c r="AK401" s="126" t="n"/>
      <c r="AL401" s="126" t="n"/>
      <c r="AM401" s="126" t="n"/>
      <c r="AN401" s="126" t="n"/>
    </row>
    <row r="402" ht="21" customFormat="1" customHeight="1" s="127">
      <c r="A402" s="51">
        <f>IF($B402="","",ROW()-6)</f>
        <v/>
      </c>
      <c r="B402" s="268" t="n"/>
      <c r="C402" s="133" t="n"/>
      <c r="D402" s="50" t="n"/>
      <c r="E402" s="265" t="n"/>
      <c r="F402" s="133" t="n"/>
      <c r="G402" s="133" t="n"/>
      <c r="H402" s="50" t="n"/>
      <c r="I402" s="51">
        <f>IF($C402="","",IFERROR(INDEX(WorkerIDs,MATCH($C402,WorkerNames,0)),"?"))</f>
        <v/>
      </c>
      <c r="J402" s="253">
        <f>IF($B402="","",$B402-WEEKDAY($B402,2)+1)</f>
        <v/>
      </c>
      <c r="K402" s="142">
        <f>IF(OR($I402="",$I402="?",$D402&lt;&gt;"Advance",$B402=""),"",$I402&amp;"|"&amp;$J402&amp;"|"&amp;COUNTIFS($I$7:$I402,$I402,$J$7:$J402,$J402,$D$7:$D402,"Advance"))</f>
        <v/>
      </c>
      <c r="L402" s="266">
        <f>IF(OR($I402="",$I402="?",$B402=""),"",SUMPRODUCT((Weeks!$A$7:$A$59&lt;=$J402)*(Weeks!$X$5:$AI$5=$I402)*Weeks!$X$7:$AI$59)-SUMIFS($E$7:$E$1006,$I$7:$I$1006,$I402,$B$7:$B$1006,"&lt;="&amp;$B402))</f>
        <v/>
      </c>
      <c r="M402" s="132">
        <f>IF($B402&amp;$C402&amp;$D402&amp;$E402="","",IF($B402="","missing date",IF($C402="","missing worker",IF($I402="?","unknown worker - was the name changed on Workers?",IF($D402="","missing type",IF(N($E402)=0,"missing amount",IF(AND($E402&lt;0,$D402&lt;&gt;"Correction"),"negative amount - use a Correction to undo",IF(OR($B402&lt;Weeks!$A$7,$B402&gt;Weeks!$B$59),"date outside this workbook's year",IF(AND($D402="Advance",N($L402)&lt;0),"Warning: more than earned so far - worker now owes "&amp;TEXT(ROUND(-$L402,0),"#,##0"),"")))))))))</f>
        <v/>
      </c>
      <c r="N402" s="125" t="n"/>
      <c r="O402" s="126" t="n"/>
      <c r="P402" s="126" t="n"/>
      <c r="Q402" s="126" t="n"/>
      <c r="R402" s="126" t="n"/>
      <c r="S402" s="126" t="n"/>
      <c r="T402" s="126" t="n"/>
      <c r="U402" s="126" t="n"/>
      <c r="V402" s="126" t="n"/>
      <c r="W402" s="126" t="n"/>
      <c r="X402" s="126" t="n"/>
      <c r="Y402" s="126" t="n"/>
      <c r="Z402" s="126" t="n"/>
      <c r="AA402" s="126" t="n"/>
      <c r="AB402" s="126" t="n"/>
      <c r="AC402" s="126" t="n"/>
      <c r="AD402" s="126" t="n"/>
      <c r="AE402" s="126" t="n"/>
      <c r="AF402" s="126" t="n"/>
      <c r="AG402" s="126" t="n"/>
      <c r="AH402" s="126" t="n"/>
      <c r="AI402" s="126" t="n"/>
      <c r="AJ402" s="126" t="n"/>
      <c r="AK402" s="126" t="n"/>
      <c r="AL402" s="126" t="n"/>
      <c r="AM402" s="126" t="n"/>
      <c r="AN402" s="126" t="n"/>
    </row>
    <row r="403" ht="21" customFormat="1" customHeight="1" s="127">
      <c r="A403" s="51">
        <f>IF($B403="","",ROW()-6)</f>
        <v/>
      </c>
      <c r="B403" s="268" t="n"/>
      <c r="C403" s="133" t="n"/>
      <c r="D403" s="50" t="n"/>
      <c r="E403" s="265" t="n"/>
      <c r="F403" s="133" t="n"/>
      <c r="G403" s="133" t="n"/>
      <c r="H403" s="50" t="n"/>
      <c r="I403" s="51">
        <f>IF($C403="","",IFERROR(INDEX(WorkerIDs,MATCH($C403,WorkerNames,0)),"?"))</f>
        <v/>
      </c>
      <c r="J403" s="253">
        <f>IF($B403="","",$B403-WEEKDAY($B403,2)+1)</f>
        <v/>
      </c>
      <c r="K403" s="142">
        <f>IF(OR($I403="",$I403="?",$D403&lt;&gt;"Advance",$B403=""),"",$I403&amp;"|"&amp;$J403&amp;"|"&amp;COUNTIFS($I$7:$I403,$I403,$J$7:$J403,$J403,$D$7:$D403,"Advance"))</f>
        <v/>
      </c>
      <c r="L403" s="266">
        <f>IF(OR($I403="",$I403="?",$B403=""),"",SUMPRODUCT((Weeks!$A$7:$A$59&lt;=$J403)*(Weeks!$X$5:$AI$5=$I403)*Weeks!$X$7:$AI$59)-SUMIFS($E$7:$E$1006,$I$7:$I$1006,$I403,$B$7:$B$1006,"&lt;="&amp;$B403))</f>
        <v/>
      </c>
      <c r="M403" s="132">
        <f>IF($B403&amp;$C403&amp;$D403&amp;$E403="","",IF($B403="","missing date",IF($C403="","missing worker",IF($I403="?","unknown worker - was the name changed on Workers?",IF($D403="","missing type",IF(N($E403)=0,"missing amount",IF(AND($E403&lt;0,$D403&lt;&gt;"Correction"),"negative amount - use a Correction to undo",IF(OR($B403&lt;Weeks!$A$7,$B403&gt;Weeks!$B$59),"date outside this workbook's year",IF(AND($D403="Advance",N($L403)&lt;0),"Warning: more than earned so far - worker now owes "&amp;TEXT(ROUND(-$L403,0),"#,##0"),"")))))))))</f>
        <v/>
      </c>
      <c r="N403" s="125" t="n"/>
      <c r="O403" s="126" t="n"/>
      <c r="P403" s="126" t="n"/>
      <c r="Q403" s="126" t="n"/>
      <c r="R403" s="126" t="n"/>
      <c r="S403" s="126" t="n"/>
      <c r="T403" s="126" t="n"/>
      <c r="U403" s="126" t="n"/>
      <c r="V403" s="126" t="n"/>
      <c r="W403" s="126" t="n"/>
      <c r="X403" s="126" t="n"/>
      <c r="Y403" s="126" t="n"/>
      <c r="Z403" s="126" t="n"/>
      <c r="AA403" s="126" t="n"/>
      <c r="AB403" s="126" t="n"/>
      <c r="AC403" s="126" t="n"/>
      <c r="AD403" s="126" t="n"/>
      <c r="AE403" s="126" t="n"/>
      <c r="AF403" s="126" t="n"/>
      <c r="AG403" s="126" t="n"/>
      <c r="AH403" s="126" t="n"/>
      <c r="AI403" s="126" t="n"/>
      <c r="AJ403" s="126" t="n"/>
      <c r="AK403" s="126" t="n"/>
      <c r="AL403" s="126" t="n"/>
      <c r="AM403" s="126" t="n"/>
      <c r="AN403" s="126" t="n"/>
    </row>
    <row r="404" ht="21" customFormat="1" customHeight="1" s="127">
      <c r="A404" s="51">
        <f>IF($B404="","",ROW()-6)</f>
        <v/>
      </c>
      <c r="B404" s="268" t="n"/>
      <c r="C404" s="133" t="n"/>
      <c r="D404" s="50" t="n"/>
      <c r="E404" s="265" t="n"/>
      <c r="F404" s="133" t="n"/>
      <c r="G404" s="133" t="n"/>
      <c r="H404" s="50" t="n"/>
      <c r="I404" s="51">
        <f>IF($C404="","",IFERROR(INDEX(WorkerIDs,MATCH($C404,WorkerNames,0)),"?"))</f>
        <v/>
      </c>
      <c r="J404" s="253">
        <f>IF($B404="","",$B404-WEEKDAY($B404,2)+1)</f>
        <v/>
      </c>
      <c r="K404" s="142">
        <f>IF(OR($I404="",$I404="?",$D404&lt;&gt;"Advance",$B404=""),"",$I404&amp;"|"&amp;$J404&amp;"|"&amp;COUNTIFS($I$7:$I404,$I404,$J$7:$J404,$J404,$D$7:$D404,"Advance"))</f>
        <v/>
      </c>
      <c r="L404" s="266">
        <f>IF(OR($I404="",$I404="?",$B404=""),"",SUMPRODUCT((Weeks!$A$7:$A$59&lt;=$J404)*(Weeks!$X$5:$AI$5=$I404)*Weeks!$X$7:$AI$59)-SUMIFS($E$7:$E$1006,$I$7:$I$1006,$I404,$B$7:$B$1006,"&lt;="&amp;$B404))</f>
        <v/>
      </c>
      <c r="M404" s="132">
        <f>IF($B404&amp;$C404&amp;$D404&amp;$E404="","",IF($B404="","missing date",IF($C404="","missing worker",IF($I404="?","unknown worker - was the name changed on Workers?",IF($D404="","missing type",IF(N($E404)=0,"missing amount",IF(AND($E404&lt;0,$D404&lt;&gt;"Correction"),"negative amount - use a Correction to undo",IF(OR($B404&lt;Weeks!$A$7,$B404&gt;Weeks!$B$59),"date outside this workbook's year",IF(AND($D404="Advance",N($L404)&lt;0),"Warning: more than earned so far - worker now owes "&amp;TEXT(ROUND(-$L404,0),"#,##0"),"")))))))))</f>
        <v/>
      </c>
      <c r="N404" s="125" t="n"/>
      <c r="O404" s="126" t="n"/>
      <c r="P404" s="126" t="n"/>
      <c r="Q404" s="126" t="n"/>
      <c r="R404" s="126" t="n"/>
      <c r="S404" s="126" t="n"/>
      <c r="T404" s="126" t="n"/>
      <c r="U404" s="126" t="n"/>
      <c r="V404" s="126" t="n"/>
      <c r="W404" s="126" t="n"/>
      <c r="X404" s="126" t="n"/>
      <c r="Y404" s="126" t="n"/>
      <c r="Z404" s="126" t="n"/>
      <c r="AA404" s="126" t="n"/>
      <c r="AB404" s="126" t="n"/>
      <c r="AC404" s="126" t="n"/>
      <c r="AD404" s="126" t="n"/>
      <c r="AE404" s="126" t="n"/>
      <c r="AF404" s="126" t="n"/>
      <c r="AG404" s="126" t="n"/>
      <c r="AH404" s="126" t="n"/>
      <c r="AI404" s="126" t="n"/>
      <c r="AJ404" s="126" t="n"/>
      <c r="AK404" s="126" t="n"/>
      <c r="AL404" s="126" t="n"/>
      <c r="AM404" s="126" t="n"/>
      <c r="AN404" s="126" t="n"/>
    </row>
    <row r="405" ht="21" customFormat="1" customHeight="1" s="127">
      <c r="A405" s="51">
        <f>IF($B405="","",ROW()-6)</f>
        <v/>
      </c>
      <c r="B405" s="268" t="n"/>
      <c r="C405" s="133" t="n"/>
      <c r="D405" s="50" t="n"/>
      <c r="E405" s="265" t="n"/>
      <c r="F405" s="133" t="n"/>
      <c r="G405" s="133" t="n"/>
      <c r="H405" s="50" t="n"/>
      <c r="I405" s="51">
        <f>IF($C405="","",IFERROR(INDEX(WorkerIDs,MATCH($C405,WorkerNames,0)),"?"))</f>
        <v/>
      </c>
      <c r="J405" s="253">
        <f>IF($B405="","",$B405-WEEKDAY($B405,2)+1)</f>
        <v/>
      </c>
      <c r="K405" s="142">
        <f>IF(OR($I405="",$I405="?",$D405&lt;&gt;"Advance",$B405=""),"",$I405&amp;"|"&amp;$J405&amp;"|"&amp;COUNTIFS($I$7:$I405,$I405,$J$7:$J405,$J405,$D$7:$D405,"Advance"))</f>
        <v/>
      </c>
      <c r="L405" s="266">
        <f>IF(OR($I405="",$I405="?",$B405=""),"",SUMPRODUCT((Weeks!$A$7:$A$59&lt;=$J405)*(Weeks!$X$5:$AI$5=$I405)*Weeks!$X$7:$AI$59)-SUMIFS($E$7:$E$1006,$I$7:$I$1006,$I405,$B$7:$B$1006,"&lt;="&amp;$B405))</f>
        <v/>
      </c>
      <c r="M405" s="132">
        <f>IF($B405&amp;$C405&amp;$D405&amp;$E405="","",IF($B405="","missing date",IF($C405="","missing worker",IF($I405="?","unknown worker - was the name changed on Workers?",IF($D405="","missing type",IF(N($E405)=0,"missing amount",IF(AND($E405&lt;0,$D405&lt;&gt;"Correction"),"negative amount - use a Correction to undo",IF(OR($B405&lt;Weeks!$A$7,$B405&gt;Weeks!$B$59),"date outside this workbook's year",IF(AND($D405="Advance",N($L405)&lt;0),"Warning: more than earned so far - worker now owes "&amp;TEXT(ROUND(-$L405,0),"#,##0"),"")))))))))</f>
        <v/>
      </c>
      <c r="N405" s="125" t="n"/>
      <c r="O405" s="126" t="n"/>
      <c r="P405" s="126" t="n"/>
      <c r="Q405" s="126" t="n"/>
      <c r="R405" s="126" t="n"/>
      <c r="S405" s="126" t="n"/>
      <c r="T405" s="126" t="n"/>
      <c r="U405" s="126" t="n"/>
      <c r="V405" s="126" t="n"/>
      <c r="W405" s="126" t="n"/>
      <c r="X405" s="126" t="n"/>
      <c r="Y405" s="126" t="n"/>
      <c r="Z405" s="126" t="n"/>
      <c r="AA405" s="126" t="n"/>
      <c r="AB405" s="126" t="n"/>
      <c r="AC405" s="126" t="n"/>
      <c r="AD405" s="126" t="n"/>
      <c r="AE405" s="126" t="n"/>
      <c r="AF405" s="126" t="n"/>
      <c r="AG405" s="126" t="n"/>
      <c r="AH405" s="126" t="n"/>
      <c r="AI405" s="126" t="n"/>
      <c r="AJ405" s="126" t="n"/>
      <c r="AK405" s="126" t="n"/>
      <c r="AL405" s="126" t="n"/>
      <c r="AM405" s="126" t="n"/>
      <c r="AN405" s="126" t="n"/>
    </row>
    <row r="406" ht="21" customFormat="1" customHeight="1" s="127">
      <c r="A406" s="51">
        <f>IF($B406="","",ROW()-6)</f>
        <v/>
      </c>
      <c r="B406" s="268" t="n"/>
      <c r="C406" s="133" t="n"/>
      <c r="D406" s="50" t="n"/>
      <c r="E406" s="265" t="n"/>
      <c r="F406" s="133" t="n"/>
      <c r="G406" s="133" t="n"/>
      <c r="H406" s="50" t="n"/>
      <c r="I406" s="51">
        <f>IF($C406="","",IFERROR(INDEX(WorkerIDs,MATCH($C406,WorkerNames,0)),"?"))</f>
        <v/>
      </c>
      <c r="J406" s="253">
        <f>IF($B406="","",$B406-WEEKDAY($B406,2)+1)</f>
        <v/>
      </c>
      <c r="K406" s="142">
        <f>IF(OR($I406="",$I406="?",$D406&lt;&gt;"Advance",$B406=""),"",$I406&amp;"|"&amp;$J406&amp;"|"&amp;COUNTIFS($I$7:$I406,$I406,$J$7:$J406,$J406,$D$7:$D406,"Advance"))</f>
        <v/>
      </c>
      <c r="L406" s="266">
        <f>IF(OR($I406="",$I406="?",$B406=""),"",SUMPRODUCT((Weeks!$A$7:$A$59&lt;=$J406)*(Weeks!$X$5:$AI$5=$I406)*Weeks!$X$7:$AI$59)-SUMIFS($E$7:$E$1006,$I$7:$I$1006,$I406,$B$7:$B$1006,"&lt;="&amp;$B406))</f>
        <v/>
      </c>
      <c r="M406" s="132">
        <f>IF($B406&amp;$C406&amp;$D406&amp;$E406="","",IF($B406="","missing date",IF($C406="","missing worker",IF($I406="?","unknown worker - was the name changed on Workers?",IF($D406="","missing type",IF(N($E406)=0,"missing amount",IF(AND($E406&lt;0,$D406&lt;&gt;"Correction"),"negative amount - use a Correction to undo",IF(OR($B406&lt;Weeks!$A$7,$B406&gt;Weeks!$B$59),"date outside this workbook's year",IF(AND($D406="Advance",N($L406)&lt;0),"Warning: more than earned so far - worker now owes "&amp;TEXT(ROUND(-$L406,0),"#,##0"),"")))))))))</f>
        <v/>
      </c>
      <c r="N406" s="125" t="n"/>
      <c r="O406" s="126" t="n"/>
      <c r="P406" s="126" t="n"/>
      <c r="Q406" s="126" t="n"/>
      <c r="R406" s="126" t="n"/>
      <c r="S406" s="126" t="n"/>
      <c r="T406" s="126" t="n"/>
      <c r="U406" s="126" t="n"/>
      <c r="V406" s="126" t="n"/>
      <c r="W406" s="126" t="n"/>
      <c r="X406" s="126" t="n"/>
      <c r="Y406" s="126" t="n"/>
      <c r="Z406" s="126" t="n"/>
      <c r="AA406" s="126" t="n"/>
      <c r="AB406" s="126" t="n"/>
      <c r="AC406" s="126" t="n"/>
      <c r="AD406" s="126" t="n"/>
      <c r="AE406" s="126" t="n"/>
      <c r="AF406" s="126" t="n"/>
      <c r="AG406" s="126" t="n"/>
      <c r="AH406" s="126" t="n"/>
      <c r="AI406" s="126" t="n"/>
      <c r="AJ406" s="126" t="n"/>
      <c r="AK406" s="126" t="n"/>
      <c r="AL406" s="126" t="n"/>
      <c r="AM406" s="126" t="n"/>
      <c r="AN406" s="126" t="n"/>
    </row>
    <row r="407" ht="21" customFormat="1" customHeight="1" s="127">
      <c r="A407" s="51">
        <f>IF($B407="","",ROW()-6)</f>
        <v/>
      </c>
      <c r="B407" s="268" t="n"/>
      <c r="C407" s="133" t="n"/>
      <c r="D407" s="50" t="n"/>
      <c r="E407" s="265" t="n"/>
      <c r="F407" s="133" t="n"/>
      <c r="G407" s="133" t="n"/>
      <c r="H407" s="50" t="n"/>
      <c r="I407" s="51">
        <f>IF($C407="","",IFERROR(INDEX(WorkerIDs,MATCH($C407,WorkerNames,0)),"?"))</f>
        <v/>
      </c>
      <c r="J407" s="253">
        <f>IF($B407="","",$B407-WEEKDAY($B407,2)+1)</f>
        <v/>
      </c>
      <c r="K407" s="142">
        <f>IF(OR($I407="",$I407="?",$D407&lt;&gt;"Advance",$B407=""),"",$I407&amp;"|"&amp;$J407&amp;"|"&amp;COUNTIFS($I$7:$I407,$I407,$J$7:$J407,$J407,$D$7:$D407,"Advance"))</f>
        <v/>
      </c>
      <c r="L407" s="266">
        <f>IF(OR($I407="",$I407="?",$B407=""),"",SUMPRODUCT((Weeks!$A$7:$A$59&lt;=$J407)*(Weeks!$X$5:$AI$5=$I407)*Weeks!$X$7:$AI$59)-SUMIFS($E$7:$E$1006,$I$7:$I$1006,$I407,$B$7:$B$1006,"&lt;="&amp;$B407))</f>
        <v/>
      </c>
      <c r="M407" s="132">
        <f>IF($B407&amp;$C407&amp;$D407&amp;$E407="","",IF($B407="","missing date",IF($C407="","missing worker",IF($I407="?","unknown worker - was the name changed on Workers?",IF($D407="","missing type",IF(N($E407)=0,"missing amount",IF(AND($E407&lt;0,$D407&lt;&gt;"Correction"),"negative amount - use a Correction to undo",IF(OR($B407&lt;Weeks!$A$7,$B407&gt;Weeks!$B$59),"date outside this workbook's year",IF(AND($D407="Advance",N($L407)&lt;0),"Warning: more than earned so far - worker now owes "&amp;TEXT(ROUND(-$L407,0),"#,##0"),"")))))))))</f>
        <v/>
      </c>
      <c r="N407" s="125" t="n"/>
      <c r="O407" s="126" t="n"/>
      <c r="P407" s="126" t="n"/>
      <c r="Q407" s="126" t="n"/>
      <c r="R407" s="126" t="n"/>
      <c r="S407" s="126" t="n"/>
      <c r="T407" s="126" t="n"/>
      <c r="U407" s="126" t="n"/>
      <c r="V407" s="126" t="n"/>
      <c r="W407" s="126" t="n"/>
      <c r="X407" s="126" t="n"/>
      <c r="Y407" s="126" t="n"/>
      <c r="Z407" s="126" t="n"/>
      <c r="AA407" s="126" t="n"/>
      <c r="AB407" s="126" t="n"/>
      <c r="AC407" s="126" t="n"/>
      <c r="AD407" s="126" t="n"/>
      <c r="AE407" s="126" t="n"/>
      <c r="AF407" s="126" t="n"/>
      <c r="AG407" s="126" t="n"/>
      <c r="AH407" s="126" t="n"/>
      <c r="AI407" s="126" t="n"/>
      <c r="AJ407" s="126" t="n"/>
      <c r="AK407" s="126" t="n"/>
      <c r="AL407" s="126" t="n"/>
      <c r="AM407" s="126" t="n"/>
      <c r="AN407" s="126" t="n"/>
    </row>
    <row r="408" ht="21" customFormat="1" customHeight="1" s="127">
      <c r="A408" s="51">
        <f>IF($B408="","",ROW()-6)</f>
        <v/>
      </c>
      <c r="B408" s="268" t="n"/>
      <c r="C408" s="133" t="n"/>
      <c r="D408" s="50" t="n"/>
      <c r="E408" s="265" t="n"/>
      <c r="F408" s="133" t="n"/>
      <c r="G408" s="133" t="n"/>
      <c r="H408" s="50" t="n"/>
      <c r="I408" s="51">
        <f>IF($C408="","",IFERROR(INDEX(WorkerIDs,MATCH($C408,WorkerNames,0)),"?"))</f>
        <v/>
      </c>
      <c r="J408" s="253">
        <f>IF($B408="","",$B408-WEEKDAY($B408,2)+1)</f>
        <v/>
      </c>
      <c r="K408" s="142">
        <f>IF(OR($I408="",$I408="?",$D408&lt;&gt;"Advance",$B408=""),"",$I408&amp;"|"&amp;$J408&amp;"|"&amp;COUNTIFS($I$7:$I408,$I408,$J$7:$J408,$J408,$D$7:$D408,"Advance"))</f>
        <v/>
      </c>
      <c r="L408" s="266">
        <f>IF(OR($I408="",$I408="?",$B408=""),"",SUMPRODUCT((Weeks!$A$7:$A$59&lt;=$J408)*(Weeks!$X$5:$AI$5=$I408)*Weeks!$X$7:$AI$59)-SUMIFS($E$7:$E$1006,$I$7:$I$1006,$I408,$B$7:$B$1006,"&lt;="&amp;$B408))</f>
        <v/>
      </c>
      <c r="M408" s="132">
        <f>IF($B408&amp;$C408&amp;$D408&amp;$E408="","",IF($B408="","missing date",IF($C408="","missing worker",IF($I408="?","unknown worker - was the name changed on Workers?",IF($D408="","missing type",IF(N($E408)=0,"missing amount",IF(AND($E408&lt;0,$D408&lt;&gt;"Correction"),"negative amount - use a Correction to undo",IF(OR($B408&lt;Weeks!$A$7,$B408&gt;Weeks!$B$59),"date outside this workbook's year",IF(AND($D408="Advance",N($L408)&lt;0),"Warning: more than earned so far - worker now owes "&amp;TEXT(ROUND(-$L408,0),"#,##0"),"")))))))))</f>
        <v/>
      </c>
      <c r="N408" s="125" t="n"/>
      <c r="O408" s="126" t="n"/>
      <c r="P408" s="126" t="n"/>
      <c r="Q408" s="126" t="n"/>
      <c r="R408" s="126" t="n"/>
      <c r="S408" s="126" t="n"/>
      <c r="T408" s="126" t="n"/>
      <c r="U408" s="126" t="n"/>
      <c r="V408" s="126" t="n"/>
      <c r="W408" s="126" t="n"/>
      <c r="X408" s="126" t="n"/>
      <c r="Y408" s="126" t="n"/>
      <c r="Z408" s="126" t="n"/>
      <c r="AA408" s="126" t="n"/>
      <c r="AB408" s="126" t="n"/>
      <c r="AC408" s="126" t="n"/>
      <c r="AD408" s="126" t="n"/>
      <c r="AE408" s="126" t="n"/>
      <c r="AF408" s="126" t="n"/>
      <c r="AG408" s="126" t="n"/>
      <c r="AH408" s="126" t="n"/>
      <c r="AI408" s="126" t="n"/>
      <c r="AJ408" s="126" t="n"/>
      <c r="AK408" s="126" t="n"/>
      <c r="AL408" s="126" t="n"/>
      <c r="AM408" s="126" t="n"/>
      <c r="AN408" s="126" t="n"/>
    </row>
    <row r="409" ht="21" customFormat="1" customHeight="1" s="127">
      <c r="A409" s="51">
        <f>IF($B409="","",ROW()-6)</f>
        <v/>
      </c>
      <c r="B409" s="268" t="n"/>
      <c r="C409" s="133" t="n"/>
      <c r="D409" s="50" t="n"/>
      <c r="E409" s="265" t="n"/>
      <c r="F409" s="133" t="n"/>
      <c r="G409" s="133" t="n"/>
      <c r="H409" s="50" t="n"/>
      <c r="I409" s="51">
        <f>IF($C409="","",IFERROR(INDEX(WorkerIDs,MATCH($C409,WorkerNames,0)),"?"))</f>
        <v/>
      </c>
      <c r="J409" s="253">
        <f>IF($B409="","",$B409-WEEKDAY($B409,2)+1)</f>
        <v/>
      </c>
      <c r="K409" s="142">
        <f>IF(OR($I409="",$I409="?",$D409&lt;&gt;"Advance",$B409=""),"",$I409&amp;"|"&amp;$J409&amp;"|"&amp;COUNTIFS($I$7:$I409,$I409,$J$7:$J409,$J409,$D$7:$D409,"Advance"))</f>
        <v/>
      </c>
      <c r="L409" s="266">
        <f>IF(OR($I409="",$I409="?",$B409=""),"",SUMPRODUCT((Weeks!$A$7:$A$59&lt;=$J409)*(Weeks!$X$5:$AI$5=$I409)*Weeks!$X$7:$AI$59)-SUMIFS($E$7:$E$1006,$I$7:$I$1006,$I409,$B$7:$B$1006,"&lt;="&amp;$B409))</f>
        <v/>
      </c>
      <c r="M409" s="132">
        <f>IF($B409&amp;$C409&amp;$D409&amp;$E409="","",IF($B409="","missing date",IF($C409="","missing worker",IF($I409="?","unknown worker - was the name changed on Workers?",IF($D409="","missing type",IF(N($E409)=0,"missing amount",IF(AND($E409&lt;0,$D409&lt;&gt;"Correction"),"negative amount - use a Correction to undo",IF(OR($B409&lt;Weeks!$A$7,$B409&gt;Weeks!$B$59),"date outside this workbook's year",IF(AND($D409="Advance",N($L409)&lt;0),"Warning: more than earned so far - worker now owes "&amp;TEXT(ROUND(-$L409,0),"#,##0"),"")))))))))</f>
        <v/>
      </c>
      <c r="N409" s="125" t="n"/>
      <c r="O409" s="126" t="n"/>
      <c r="P409" s="126" t="n"/>
      <c r="Q409" s="126" t="n"/>
      <c r="R409" s="126" t="n"/>
      <c r="S409" s="126" t="n"/>
      <c r="T409" s="126" t="n"/>
      <c r="U409" s="126" t="n"/>
      <c r="V409" s="126" t="n"/>
      <c r="W409" s="126" t="n"/>
      <c r="X409" s="126" t="n"/>
      <c r="Y409" s="126" t="n"/>
      <c r="Z409" s="126" t="n"/>
      <c r="AA409" s="126" t="n"/>
      <c r="AB409" s="126" t="n"/>
      <c r="AC409" s="126" t="n"/>
      <c r="AD409" s="126" t="n"/>
      <c r="AE409" s="126" t="n"/>
      <c r="AF409" s="126" t="n"/>
      <c r="AG409" s="126" t="n"/>
      <c r="AH409" s="126" t="n"/>
      <c r="AI409" s="126" t="n"/>
      <c r="AJ409" s="126" t="n"/>
      <c r="AK409" s="126" t="n"/>
      <c r="AL409" s="126" t="n"/>
      <c r="AM409" s="126" t="n"/>
      <c r="AN409" s="126" t="n"/>
    </row>
    <row r="410" ht="21" customFormat="1" customHeight="1" s="127">
      <c r="A410" s="51">
        <f>IF($B410="","",ROW()-6)</f>
        <v/>
      </c>
      <c r="B410" s="268" t="n"/>
      <c r="C410" s="133" t="n"/>
      <c r="D410" s="50" t="n"/>
      <c r="E410" s="265" t="n"/>
      <c r="F410" s="133" t="n"/>
      <c r="G410" s="133" t="n"/>
      <c r="H410" s="50" t="n"/>
      <c r="I410" s="51">
        <f>IF($C410="","",IFERROR(INDEX(WorkerIDs,MATCH($C410,WorkerNames,0)),"?"))</f>
        <v/>
      </c>
      <c r="J410" s="253">
        <f>IF($B410="","",$B410-WEEKDAY($B410,2)+1)</f>
        <v/>
      </c>
      <c r="K410" s="142">
        <f>IF(OR($I410="",$I410="?",$D410&lt;&gt;"Advance",$B410=""),"",$I410&amp;"|"&amp;$J410&amp;"|"&amp;COUNTIFS($I$7:$I410,$I410,$J$7:$J410,$J410,$D$7:$D410,"Advance"))</f>
        <v/>
      </c>
      <c r="L410" s="266">
        <f>IF(OR($I410="",$I410="?",$B410=""),"",SUMPRODUCT((Weeks!$A$7:$A$59&lt;=$J410)*(Weeks!$X$5:$AI$5=$I410)*Weeks!$X$7:$AI$59)-SUMIFS($E$7:$E$1006,$I$7:$I$1006,$I410,$B$7:$B$1006,"&lt;="&amp;$B410))</f>
        <v/>
      </c>
      <c r="M410" s="132">
        <f>IF($B410&amp;$C410&amp;$D410&amp;$E410="","",IF($B410="","missing date",IF($C410="","missing worker",IF($I410="?","unknown worker - was the name changed on Workers?",IF($D410="","missing type",IF(N($E410)=0,"missing amount",IF(AND($E410&lt;0,$D410&lt;&gt;"Correction"),"negative amount - use a Correction to undo",IF(OR($B410&lt;Weeks!$A$7,$B410&gt;Weeks!$B$59),"date outside this workbook's year",IF(AND($D410="Advance",N($L410)&lt;0),"Warning: more than earned so far - worker now owes "&amp;TEXT(ROUND(-$L410,0),"#,##0"),"")))))))))</f>
        <v/>
      </c>
      <c r="N410" s="125" t="n"/>
      <c r="O410" s="126" t="n"/>
      <c r="P410" s="126" t="n"/>
      <c r="Q410" s="126" t="n"/>
      <c r="R410" s="126" t="n"/>
      <c r="S410" s="126" t="n"/>
      <c r="T410" s="126" t="n"/>
      <c r="U410" s="126" t="n"/>
      <c r="V410" s="126" t="n"/>
      <c r="W410" s="126" t="n"/>
      <c r="X410" s="126" t="n"/>
      <c r="Y410" s="126" t="n"/>
      <c r="Z410" s="126" t="n"/>
      <c r="AA410" s="126" t="n"/>
      <c r="AB410" s="126" t="n"/>
      <c r="AC410" s="126" t="n"/>
      <c r="AD410" s="126" t="n"/>
      <c r="AE410" s="126" t="n"/>
      <c r="AF410" s="126" t="n"/>
      <c r="AG410" s="126" t="n"/>
      <c r="AH410" s="126" t="n"/>
      <c r="AI410" s="126" t="n"/>
      <c r="AJ410" s="126" t="n"/>
      <c r="AK410" s="126" t="n"/>
      <c r="AL410" s="126" t="n"/>
      <c r="AM410" s="126" t="n"/>
      <c r="AN410" s="126" t="n"/>
    </row>
    <row r="411" ht="21" customFormat="1" customHeight="1" s="127">
      <c r="A411" s="51">
        <f>IF($B411="","",ROW()-6)</f>
        <v/>
      </c>
      <c r="B411" s="268" t="n"/>
      <c r="C411" s="133" t="n"/>
      <c r="D411" s="50" t="n"/>
      <c r="E411" s="265" t="n"/>
      <c r="F411" s="133" t="n"/>
      <c r="G411" s="133" t="n"/>
      <c r="H411" s="50" t="n"/>
      <c r="I411" s="51">
        <f>IF($C411="","",IFERROR(INDEX(WorkerIDs,MATCH($C411,WorkerNames,0)),"?"))</f>
        <v/>
      </c>
      <c r="J411" s="253">
        <f>IF($B411="","",$B411-WEEKDAY($B411,2)+1)</f>
        <v/>
      </c>
      <c r="K411" s="142">
        <f>IF(OR($I411="",$I411="?",$D411&lt;&gt;"Advance",$B411=""),"",$I411&amp;"|"&amp;$J411&amp;"|"&amp;COUNTIFS($I$7:$I411,$I411,$J$7:$J411,$J411,$D$7:$D411,"Advance"))</f>
        <v/>
      </c>
      <c r="L411" s="266">
        <f>IF(OR($I411="",$I411="?",$B411=""),"",SUMPRODUCT((Weeks!$A$7:$A$59&lt;=$J411)*(Weeks!$X$5:$AI$5=$I411)*Weeks!$X$7:$AI$59)-SUMIFS($E$7:$E$1006,$I$7:$I$1006,$I411,$B$7:$B$1006,"&lt;="&amp;$B411))</f>
        <v/>
      </c>
      <c r="M411" s="132">
        <f>IF($B411&amp;$C411&amp;$D411&amp;$E411="","",IF($B411="","missing date",IF($C411="","missing worker",IF($I411="?","unknown worker - was the name changed on Workers?",IF($D411="","missing type",IF(N($E411)=0,"missing amount",IF(AND($E411&lt;0,$D411&lt;&gt;"Correction"),"negative amount - use a Correction to undo",IF(OR($B411&lt;Weeks!$A$7,$B411&gt;Weeks!$B$59),"date outside this workbook's year",IF(AND($D411="Advance",N($L411)&lt;0),"Warning: more than earned so far - worker now owes "&amp;TEXT(ROUND(-$L411,0),"#,##0"),"")))))))))</f>
        <v/>
      </c>
      <c r="N411" s="125" t="n"/>
      <c r="O411" s="126" t="n"/>
      <c r="P411" s="126" t="n"/>
      <c r="Q411" s="126" t="n"/>
      <c r="R411" s="126" t="n"/>
      <c r="S411" s="126" t="n"/>
      <c r="T411" s="126" t="n"/>
      <c r="U411" s="126" t="n"/>
      <c r="V411" s="126" t="n"/>
      <c r="W411" s="126" t="n"/>
      <c r="X411" s="126" t="n"/>
      <c r="Y411" s="126" t="n"/>
      <c r="Z411" s="126" t="n"/>
      <c r="AA411" s="126" t="n"/>
      <c r="AB411" s="126" t="n"/>
      <c r="AC411" s="126" t="n"/>
      <c r="AD411" s="126" t="n"/>
      <c r="AE411" s="126" t="n"/>
      <c r="AF411" s="126" t="n"/>
      <c r="AG411" s="126" t="n"/>
      <c r="AH411" s="126" t="n"/>
      <c r="AI411" s="126" t="n"/>
      <c r="AJ411" s="126" t="n"/>
      <c r="AK411" s="126" t="n"/>
      <c r="AL411" s="126" t="n"/>
      <c r="AM411" s="126" t="n"/>
      <c r="AN411" s="126" t="n"/>
    </row>
    <row r="412" ht="21" customFormat="1" customHeight="1" s="127">
      <c r="A412" s="51">
        <f>IF($B412="","",ROW()-6)</f>
        <v/>
      </c>
      <c r="B412" s="268" t="n"/>
      <c r="C412" s="133" t="n"/>
      <c r="D412" s="50" t="n"/>
      <c r="E412" s="265" t="n"/>
      <c r="F412" s="133" t="n"/>
      <c r="G412" s="133" t="n"/>
      <c r="H412" s="50" t="n"/>
      <c r="I412" s="51">
        <f>IF($C412="","",IFERROR(INDEX(WorkerIDs,MATCH($C412,WorkerNames,0)),"?"))</f>
        <v/>
      </c>
      <c r="J412" s="253">
        <f>IF($B412="","",$B412-WEEKDAY($B412,2)+1)</f>
        <v/>
      </c>
      <c r="K412" s="142">
        <f>IF(OR($I412="",$I412="?",$D412&lt;&gt;"Advance",$B412=""),"",$I412&amp;"|"&amp;$J412&amp;"|"&amp;COUNTIFS($I$7:$I412,$I412,$J$7:$J412,$J412,$D$7:$D412,"Advance"))</f>
        <v/>
      </c>
      <c r="L412" s="266">
        <f>IF(OR($I412="",$I412="?",$B412=""),"",SUMPRODUCT((Weeks!$A$7:$A$59&lt;=$J412)*(Weeks!$X$5:$AI$5=$I412)*Weeks!$X$7:$AI$59)-SUMIFS($E$7:$E$1006,$I$7:$I$1006,$I412,$B$7:$B$1006,"&lt;="&amp;$B412))</f>
        <v/>
      </c>
      <c r="M412" s="132">
        <f>IF($B412&amp;$C412&amp;$D412&amp;$E412="","",IF($B412="","missing date",IF($C412="","missing worker",IF($I412="?","unknown worker - was the name changed on Workers?",IF($D412="","missing type",IF(N($E412)=0,"missing amount",IF(AND($E412&lt;0,$D412&lt;&gt;"Correction"),"negative amount - use a Correction to undo",IF(OR($B412&lt;Weeks!$A$7,$B412&gt;Weeks!$B$59),"date outside this workbook's year",IF(AND($D412="Advance",N($L412)&lt;0),"Warning: more than earned so far - worker now owes "&amp;TEXT(ROUND(-$L412,0),"#,##0"),"")))))))))</f>
        <v/>
      </c>
      <c r="N412" s="125" t="n"/>
      <c r="O412" s="126" t="n"/>
      <c r="P412" s="126" t="n"/>
      <c r="Q412" s="126" t="n"/>
      <c r="R412" s="126" t="n"/>
      <c r="S412" s="126" t="n"/>
      <c r="T412" s="126" t="n"/>
      <c r="U412" s="126" t="n"/>
      <c r="V412" s="126" t="n"/>
      <c r="W412" s="126" t="n"/>
      <c r="X412" s="126" t="n"/>
      <c r="Y412" s="126" t="n"/>
      <c r="Z412" s="126" t="n"/>
      <c r="AA412" s="126" t="n"/>
      <c r="AB412" s="126" t="n"/>
      <c r="AC412" s="126" t="n"/>
      <c r="AD412" s="126" t="n"/>
      <c r="AE412" s="126" t="n"/>
      <c r="AF412" s="126" t="n"/>
      <c r="AG412" s="126" t="n"/>
      <c r="AH412" s="126" t="n"/>
      <c r="AI412" s="126" t="n"/>
      <c r="AJ412" s="126" t="n"/>
      <c r="AK412" s="126" t="n"/>
      <c r="AL412" s="126" t="n"/>
      <c r="AM412" s="126" t="n"/>
      <c r="AN412" s="126" t="n"/>
    </row>
    <row r="413" ht="21" customFormat="1" customHeight="1" s="127">
      <c r="A413" s="51">
        <f>IF($B413="","",ROW()-6)</f>
        <v/>
      </c>
      <c r="B413" s="268" t="n"/>
      <c r="C413" s="133" t="n"/>
      <c r="D413" s="50" t="n"/>
      <c r="E413" s="265" t="n"/>
      <c r="F413" s="133" t="n"/>
      <c r="G413" s="133" t="n"/>
      <c r="H413" s="50" t="n"/>
      <c r="I413" s="51">
        <f>IF($C413="","",IFERROR(INDEX(WorkerIDs,MATCH($C413,WorkerNames,0)),"?"))</f>
        <v/>
      </c>
      <c r="J413" s="253">
        <f>IF($B413="","",$B413-WEEKDAY($B413,2)+1)</f>
        <v/>
      </c>
      <c r="K413" s="142">
        <f>IF(OR($I413="",$I413="?",$D413&lt;&gt;"Advance",$B413=""),"",$I413&amp;"|"&amp;$J413&amp;"|"&amp;COUNTIFS($I$7:$I413,$I413,$J$7:$J413,$J413,$D$7:$D413,"Advance"))</f>
        <v/>
      </c>
      <c r="L413" s="266">
        <f>IF(OR($I413="",$I413="?",$B413=""),"",SUMPRODUCT((Weeks!$A$7:$A$59&lt;=$J413)*(Weeks!$X$5:$AI$5=$I413)*Weeks!$X$7:$AI$59)-SUMIFS($E$7:$E$1006,$I$7:$I$1006,$I413,$B$7:$B$1006,"&lt;="&amp;$B413))</f>
        <v/>
      </c>
      <c r="M413" s="132">
        <f>IF($B413&amp;$C413&amp;$D413&amp;$E413="","",IF($B413="","missing date",IF($C413="","missing worker",IF($I413="?","unknown worker - was the name changed on Workers?",IF($D413="","missing type",IF(N($E413)=0,"missing amount",IF(AND($E413&lt;0,$D413&lt;&gt;"Correction"),"negative amount - use a Correction to undo",IF(OR($B413&lt;Weeks!$A$7,$B413&gt;Weeks!$B$59),"date outside this workbook's year",IF(AND($D413="Advance",N($L413)&lt;0),"Warning: more than earned so far - worker now owes "&amp;TEXT(ROUND(-$L413,0),"#,##0"),"")))))))))</f>
        <v/>
      </c>
      <c r="N413" s="125" t="n"/>
      <c r="O413" s="126" t="n"/>
      <c r="P413" s="126" t="n"/>
      <c r="Q413" s="126" t="n"/>
      <c r="R413" s="126" t="n"/>
      <c r="S413" s="126" t="n"/>
      <c r="T413" s="126" t="n"/>
      <c r="U413" s="126" t="n"/>
      <c r="V413" s="126" t="n"/>
      <c r="W413" s="126" t="n"/>
      <c r="X413" s="126" t="n"/>
      <c r="Y413" s="126" t="n"/>
      <c r="Z413" s="126" t="n"/>
      <c r="AA413" s="126" t="n"/>
      <c r="AB413" s="126" t="n"/>
      <c r="AC413" s="126" t="n"/>
      <c r="AD413" s="126" t="n"/>
      <c r="AE413" s="126" t="n"/>
      <c r="AF413" s="126" t="n"/>
      <c r="AG413" s="126" t="n"/>
      <c r="AH413" s="126" t="n"/>
      <c r="AI413" s="126" t="n"/>
      <c r="AJ413" s="126" t="n"/>
      <c r="AK413" s="126" t="n"/>
      <c r="AL413" s="126" t="n"/>
      <c r="AM413" s="126" t="n"/>
      <c r="AN413" s="126" t="n"/>
    </row>
    <row r="414" ht="21" customFormat="1" customHeight="1" s="127">
      <c r="A414" s="51">
        <f>IF($B414="","",ROW()-6)</f>
        <v/>
      </c>
      <c r="B414" s="268" t="n"/>
      <c r="C414" s="133" t="n"/>
      <c r="D414" s="50" t="n"/>
      <c r="E414" s="265" t="n"/>
      <c r="F414" s="133" t="n"/>
      <c r="G414" s="133" t="n"/>
      <c r="H414" s="50" t="n"/>
      <c r="I414" s="51">
        <f>IF($C414="","",IFERROR(INDEX(WorkerIDs,MATCH($C414,WorkerNames,0)),"?"))</f>
        <v/>
      </c>
      <c r="J414" s="253">
        <f>IF($B414="","",$B414-WEEKDAY($B414,2)+1)</f>
        <v/>
      </c>
      <c r="K414" s="142">
        <f>IF(OR($I414="",$I414="?",$D414&lt;&gt;"Advance",$B414=""),"",$I414&amp;"|"&amp;$J414&amp;"|"&amp;COUNTIFS($I$7:$I414,$I414,$J$7:$J414,$J414,$D$7:$D414,"Advance"))</f>
        <v/>
      </c>
      <c r="L414" s="266">
        <f>IF(OR($I414="",$I414="?",$B414=""),"",SUMPRODUCT((Weeks!$A$7:$A$59&lt;=$J414)*(Weeks!$X$5:$AI$5=$I414)*Weeks!$X$7:$AI$59)-SUMIFS($E$7:$E$1006,$I$7:$I$1006,$I414,$B$7:$B$1006,"&lt;="&amp;$B414))</f>
        <v/>
      </c>
      <c r="M414" s="132">
        <f>IF($B414&amp;$C414&amp;$D414&amp;$E414="","",IF($B414="","missing date",IF($C414="","missing worker",IF($I414="?","unknown worker - was the name changed on Workers?",IF($D414="","missing type",IF(N($E414)=0,"missing amount",IF(AND($E414&lt;0,$D414&lt;&gt;"Correction"),"negative amount - use a Correction to undo",IF(OR($B414&lt;Weeks!$A$7,$B414&gt;Weeks!$B$59),"date outside this workbook's year",IF(AND($D414="Advance",N($L414)&lt;0),"Warning: more than earned so far - worker now owes "&amp;TEXT(ROUND(-$L414,0),"#,##0"),"")))))))))</f>
        <v/>
      </c>
      <c r="N414" s="125" t="n"/>
      <c r="O414" s="126" t="n"/>
      <c r="P414" s="126" t="n"/>
      <c r="Q414" s="126" t="n"/>
      <c r="R414" s="126" t="n"/>
      <c r="S414" s="126" t="n"/>
      <c r="T414" s="126" t="n"/>
      <c r="U414" s="126" t="n"/>
      <c r="V414" s="126" t="n"/>
      <c r="W414" s="126" t="n"/>
      <c r="X414" s="126" t="n"/>
      <c r="Y414" s="126" t="n"/>
      <c r="Z414" s="126" t="n"/>
      <c r="AA414" s="126" t="n"/>
      <c r="AB414" s="126" t="n"/>
      <c r="AC414" s="126" t="n"/>
      <c r="AD414" s="126" t="n"/>
      <c r="AE414" s="126" t="n"/>
      <c r="AF414" s="126" t="n"/>
      <c r="AG414" s="126" t="n"/>
      <c r="AH414" s="126" t="n"/>
      <c r="AI414" s="126" t="n"/>
      <c r="AJ414" s="126" t="n"/>
      <c r="AK414" s="126" t="n"/>
      <c r="AL414" s="126" t="n"/>
      <c r="AM414" s="126" t="n"/>
      <c r="AN414" s="126" t="n"/>
    </row>
    <row r="415" ht="21" customFormat="1" customHeight="1" s="127">
      <c r="A415" s="51">
        <f>IF($B415="","",ROW()-6)</f>
        <v/>
      </c>
      <c r="B415" s="268" t="n"/>
      <c r="C415" s="133" t="n"/>
      <c r="D415" s="50" t="n"/>
      <c r="E415" s="265" t="n"/>
      <c r="F415" s="133" t="n"/>
      <c r="G415" s="133" t="n"/>
      <c r="H415" s="50" t="n"/>
      <c r="I415" s="51">
        <f>IF($C415="","",IFERROR(INDEX(WorkerIDs,MATCH($C415,WorkerNames,0)),"?"))</f>
        <v/>
      </c>
      <c r="J415" s="253">
        <f>IF($B415="","",$B415-WEEKDAY($B415,2)+1)</f>
        <v/>
      </c>
      <c r="K415" s="142">
        <f>IF(OR($I415="",$I415="?",$D415&lt;&gt;"Advance",$B415=""),"",$I415&amp;"|"&amp;$J415&amp;"|"&amp;COUNTIFS($I$7:$I415,$I415,$J$7:$J415,$J415,$D$7:$D415,"Advance"))</f>
        <v/>
      </c>
      <c r="L415" s="266">
        <f>IF(OR($I415="",$I415="?",$B415=""),"",SUMPRODUCT((Weeks!$A$7:$A$59&lt;=$J415)*(Weeks!$X$5:$AI$5=$I415)*Weeks!$X$7:$AI$59)-SUMIFS($E$7:$E$1006,$I$7:$I$1006,$I415,$B$7:$B$1006,"&lt;="&amp;$B415))</f>
        <v/>
      </c>
      <c r="M415" s="132">
        <f>IF($B415&amp;$C415&amp;$D415&amp;$E415="","",IF($B415="","missing date",IF($C415="","missing worker",IF($I415="?","unknown worker - was the name changed on Workers?",IF($D415="","missing type",IF(N($E415)=0,"missing amount",IF(AND($E415&lt;0,$D415&lt;&gt;"Correction"),"negative amount - use a Correction to undo",IF(OR($B415&lt;Weeks!$A$7,$B415&gt;Weeks!$B$59),"date outside this workbook's year",IF(AND($D415="Advance",N($L415)&lt;0),"Warning: more than earned so far - worker now owes "&amp;TEXT(ROUND(-$L415,0),"#,##0"),"")))))))))</f>
        <v/>
      </c>
      <c r="N415" s="125" t="n"/>
      <c r="O415" s="126" t="n"/>
      <c r="P415" s="126" t="n"/>
      <c r="Q415" s="126" t="n"/>
      <c r="R415" s="126" t="n"/>
      <c r="S415" s="126" t="n"/>
      <c r="T415" s="126" t="n"/>
      <c r="U415" s="126" t="n"/>
      <c r="V415" s="126" t="n"/>
      <c r="W415" s="126" t="n"/>
      <c r="X415" s="126" t="n"/>
      <c r="Y415" s="126" t="n"/>
      <c r="Z415" s="126" t="n"/>
      <c r="AA415" s="126" t="n"/>
      <c r="AB415" s="126" t="n"/>
      <c r="AC415" s="126" t="n"/>
      <c r="AD415" s="126" t="n"/>
      <c r="AE415" s="126" t="n"/>
      <c r="AF415" s="126" t="n"/>
      <c r="AG415" s="126" t="n"/>
      <c r="AH415" s="126" t="n"/>
      <c r="AI415" s="126" t="n"/>
      <c r="AJ415" s="126" t="n"/>
      <c r="AK415" s="126" t="n"/>
      <c r="AL415" s="126" t="n"/>
      <c r="AM415" s="126" t="n"/>
      <c r="AN415" s="126" t="n"/>
    </row>
    <row r="416" ht="21" customFormat="1" customHeight="1" s="127">
      <c r="A416" s="51">
        <f>IF($B416="","",ROW()-6)</f>
        <v/>
      </c>
      <c r="B416" s="268" t="n"/>
      <c r="C416" s="133" t="n"/>
      <c r="D416" s="50" t="n"/>
      <c r="E416" s="265" t="n"/>
      <c r="F416" s="133" t="n"/>
      <c r="G416" s="133" t="n"/>
      <c r="H416" s="50" t="n"/>
      <c r="I416" s="51">
        <f>IF($C416="","",IFERROR(INDEX(WorkerIDs,MATCH($C416,WorkerNames,0)),"?"))</f>
        <v/>
      </c>
      <c r="J416" s="253">
        <f>IF($B416="","",$B416-WEEKDAY($B416,2)+1)</f>
        <v/>
      </c>
      <c r="K416" s="142">
        <f>IF(OR($I416="",$I416="?",$D416&lt;&gt;"Advance",$B416=""),"",$I416&amp;"|"&amp;$J416&amp;"|"&amp;COUNTIFS($I$7:$I416,$I416,$J$7:$J416,$J416,$D$7:$D416,"Advance"))</f>
        <v/>
      </c>
      <c r="L416" s="266">
        <f>IF(OR($I416="",$I416="?",$B416=""),"",SUMPRODUCT((Weeks!$A$7:$A$59&lt;=$J416)*(Weeks!$X$5:$AI$5=$I416)*Weeks!$X$7:$AI$59)-SUMIFS($E$7:$E$1006,$I$7:$I$1006,$I416,$B$7:$B$1006,"&lt;="&amp;$B416))</f>
        <v/>
      </c>
      <c r="M416" s="132">
        <f>IF($B416&amp;$C416&amp;$D416&amp;$E416="","",IF($B416="","missing date",IF($C416="","missing worker",IF($I416="?","unknown worker - was the name changed on Workers?",IF($D416="","missing type",IF(N($E416)=0,"missing amount",IF(AND($E416&lt;0,$D416&lt;&gt;"Correction"),"negative amount - use a Correction to undo",IF(OR($B416&lt;Weeks!$A$7,$B416&gt;Weeks!$B$59),"date outside this workbook's year",IF(AND($D416="Advance",N($L416)&lt;0),"Warning: more than earned so far - worker now owes "&amp;TEXT(ROUND(-$L416,0),"#,##0"),"")))))))))</f>
        <v/>
      </c>
      <c r="N416" s="125" t="n"/>
      <c r="O416" s="126" t="n"/>
      <c r="P416" s="126" t="n"/>
      <c r="Q416" s="126" t="n"/>
      <c r="R416" s="126" t="n"/>
      <c r="S416" s="126" t="n"/>
      <c r="T416" s="126" t="n"/>
      <c r="U416" s="126" t="n"/>
      <c r="V416" s="126" t="n"/>
      <c r="W416" s="126" t="n"/>
      <c r="X416" s="126" t="n"/>
      <c r="Y416" s="126" t="n"/>
      <c r="Z416" s="126" t="n"/>
      <c r="AA416" s="126" t="n"/>
      <c r="AB416" s="126" t="n"/>
      <c r="AC416" s="126" t="n"/>
      <c r="AD416" s="126" t="n"/>
      <c r="AE416" s="126" t="n"/>
      <c r="AF416" s="126" t="n"/>
      <c r="AG416" s="126" t="n"/>
      <c r="AH416" s="126" t="n"/>
      <c r="AI416" s="126" t="n"/>
      <c r="AJ416" s="126" t="n"/>
      <c r="AK416" s="126" t="n"/>
      <c r="AL416" s="126" t="n"/>
      <c r="AM416" s="126" t="n"/>
      <c r="AN416" s="126" t="n"/>
    </row>
    <row r="417" ht="21" customFormat="1" customHeight="1" s="127">
      <c r="A417" s="51">
        <f>IF($B417="","",ROW()-6)</f>
        <v/>
      </c>
      <c r="B417" s="268" t="n"/>
      <c r="C417" s="133" t="n"/>
      <c r="D417" s="50" t="n"/>
      <c r="E417" s="265" t="n"/>
      <c r="F417" s="133" t="n"/>
      <c r="G417" s="133" t="n"/>
      <c r="H417" s="50" t="n"/>
      <c r="I417" s="51">
        <f>IF($C417="","",IFERROR(INDEX(WorkerIDs,MATCH($C417,WorkerNames,0)),"?"))</f>
        <v/>
      </c>
      <c r="J417" s="253">
        <f>IF($B417="","",$B417-WEEKDAY($B417,2)+1)</f>
        <v/>
      </c>
      <c r="K417" s="142">
        <f>IF(OR($I417="",$I417="?",$D417&lt;&gt;"Advance",$B417=""),"",$I417&amp;"|"&amp;$J417&amp;"|"&amp;COUNTIFS($I$7:$I417,$I417,$J$7:$J417,$J417,$D$7:$D417,"Advance"))</f>
        <v/>
      </c>
      <c r="L417" s="266">
        <f>IF(OR($I417="",$I417="?",$B417=""),"",SUMPRODUCT((Weeks!$A$7:$A$59&lt;=$J417)*(Weeks!$X$5:$AI$5=$I417)*Weeks!$X$7:$AI$59)-SUMIFS($E$7:$E$1006,$I$7:$I$1006,$I417,$B$7:$B$1006,"&lt;="&amp;$B417))</f>
        <v/>
      </c>
      <c r="M417" s="132">
        <f>IF($B417&amp;$C417&amp;$D417&amp;$E417="","",IF($B417="","missing date",IF($C417="","missing worker",IF($I417="?","unknown worker - was the name changed on Workers?",IF($D417="","missing type",IF(N($E417)=0,"missing amount",IF(AND($E417&lt;0,$D417&lt;&gt;"Correction"),"negative amount - use a Correction to undo",IF(OR($B417&lt;Weeks!$A$7,$B417&gt;Weeks!$B$59),"date outside this workbook's year",IF(AND($D417="Advance",N($L417)&lt;0),"Warning: more than earned so far - worker now owes "&amp;TEXT(ROUND(-$L417,0),"#,##0"),"")))))))))</f>
        <v/>
      </c>
      <c r="N417" s="125" t="n"/>
      <c r="O417" s="126" t="n"/>
      <c r="P417" s="126" t="n"/>
      <c r="Q417" s="126" t="n"/>
      <c r="R417" s="126" t="n"/>
      <c r="S417" s="126" t="n"/>
      <c r="T417" s="126" t="n"/>
      <c r="U417" s="126" t="n"/>
      <c r="V417" s="126" t="n"/>
      <c r="W417" s="126" t="n"/>
      <c r="X417" s="126" t="n"/>
      <c r="Y417" s="126" t="n"/>
      <c r="Z417" s="126" t="n"/>
      <c r="AA417" s="126" t="n"/>
      <c r="AB417" s="126" t="n"/>
      <c r="AC417" s="126" t="n"/>
      <c r="AD417" s="126" t="n"/>
      <c r="AE417" s="126" t="n"/>
      <c r="AF417" s="126" t="n"/>
      <c r="AG417" s="126" t="n"/>
      <c r="AH417" s="126" t="n"/>
      <c r="AI417" s="126" t="n"/>
      <c r="AJ417" s="126" t="n"/>
      <c r="AK417" s="126" t="n"/>
      <c r="AL417" s="126" t="n"/>
      <c r="AM417" s="126" t="n"/>
      <c r="AN417" s="126" t="n"/>
    </row>
    <row r="418" ht="21" customFormat="1" customHeight="1" s="127">
      <c r="A418" s="51">
        <f>IF($B418="","",ROW()-6)</f>
        <v/>
      </c>
      <c r="B418" s="268" t="n"/>
      <c r="C418" s="133" t="n"/>
      <c r="D418" s="50" t="n"/>
      <c r="E418" s="265" t="n"/>
      <c r="F418" s="133" t="n"/>
      <c r="G418" s="133" t="n"/>
      <c r="H418" s="50" t="n"/>
      <c r="I418" s="51">
        <f>IF($C418="","",IFERROR(INDEX(WorkerIDs,MATCH($C418,WorkerNames,0)),"?"))</f>
        <v/>
      </c>
      <c r="J418" s="253">
        <f>IF($B418="","",$B418-WEEKDAY($B418,2)+1)</f>
        <v/>
      </c>
      <c r="K418" s="142">
        <f>IF(OR($I418="",$I418="?",$D418&lt;&gt;"Advance",$B418=""),"",$I418&amp;"|"&amp;$J418&amp;"|"&amp;COUNTIFS($I$7:$I418,$I418,$J$7:$J418,$J418,$D$7:$D418,"Advance"))</f>
        <v/>
      </c>
      <c r="L418" s="266">
        <f>IF(OR($I418="",$I418="?",$B418=""),"",SUMPRODUCT((Weeks!$A$7:$A$59&lt;=$J418)*(Weeks!$X$5:$AI$5=$I418)*Weeks!$X$7:$AI$59)-SUMIFS($E$7:$E$1006,$I$7:$I$1006,$I418,$B$7:$B$1006,"&lt;="&amp;$B418))</f>
        <v/>
      </c>
      <c r="M418" s="132">
        <f>IF($B418&amp;$C418&amp;$D418&amp;$E418="","",IF($B418="","missing date",IF($C418="","missing worker",IF($I418="?","unknown worker - was the name changed on Workers?",IF($D418="","missing type",IF(N($E418)=0,"missing amount",IF(AND($E418&lt;0,$D418&lt;&gt;"Correction"),"negative amount - use a Correction to undo",IF(OR($B418&lt;Weeks!$A$7,$B418&gt;Weeks!$B$59),"date outside this workbook's year",IF(AND($D418="Advance",N($L418)&lt;0),"Warning: more than earned so far - worker now owes "&amp;TEXT(ROUND(-$L418,0),"#,##0"),"")))))))))</f>
        <v/>
      </c>
      <c r="N418" s="125" t="n"/>
      <c r="O418" s="126" t="n"/>
      <c r="P418" s="126" t="n"/>
      <c r="Q418" s="126" t="n"/>
      <c r="R418" s="126" t="n"/>
      <c r="S418" s="126" t="n"/>
      <c r="T418" s="126" t="n"/>
      <c r="U418" s="126" t="n"/>
      <c r="V418" s="126" t="n"/>
      <c r="W418" s="126" t="n"/>
      <c r="X418" s="126" t="n"/>
      <c r="Y418" s="126" t="n"/>
      <c r="Z418" s="126" t="n"/>
      <c r="AA418" s="126" t="n"/>
      <c r="AB418" s="126" t="n"/>
      <c r="AC418" s="126" t="n"/>
      <c r="AD418" s="126" t="n"/>
      <c r="AE418" s="126" t="n"/>
      <c r="AF418" s="126" t="n"/>
      <c r="AG418" s="126" t="n"/>
      <c r="AH418" s="126" t="n"/>
      <c r="AI418" s="126" t="n"/>
      <c r="AJ418" s="126" t="n"/>
      <c r="AK418" s="126" t="n"/>
      <c r="AL418" s="126" t="n"/>
      <c r="AM418" s="126" t="n"/>
      <c r="AN418" s="126" t="n"/>
    </row>
    <row r="419" ht="21" customFormat="1" customHeight="1" s="127">
      <c r="A419" s="51">
        <f>IF($B419="","",ROW()-6)</f>
        <v/>
      </c>
      <c r="B419" s="268" t="n"/>
      <c r="C419" s="133" t="n"/>
      <c r="D419" s="50" t="n"/>
      <c r="E419" s="265" t="n"/>
      <c r="F419" s="133" t="n"/>
      <c r="G419" s="133" t="n"/>
      <c r="H419" s="50" t="n"/>
      <c r="I419" s="51">
        <f>IF($C419="","",IFERROR(INDEX(WorkerIDs,MATCH($C419,WorkerNames,0)),"?"))</f>
        <v/>
      </c>
      <c r="J419" s="253">
        <f>IF($B419="","",$B419-WEEKDAY($B419,2)+1)</f>
        <v/>
      </c>
      <c r="K419" s="142">
        <f>IF(OR($I419="",$I419="?",$D419&lt;&gt;"Advance",$B419=""),"",$I419&amp;"|"&amp;$J419&amp;"|"&amp;COUNTIFS($I$7:$I419,$I419,$J$7:$J419,$J419,$D$7:$D419,"Advance"))</f>
        <v/>
      </c>
      <c r="L419" s="266">
        <f>IF(OR($I419="",$I419="?",$B419=""),"",SUMPRODUCT((Weeks!$A$7:$A$59&lt;=$J419)*(Weeks!$X$5:$AI$5=$I419)*Weeks!$X$7:$AI$59)-SUMIFS($E$7:$E$1006,$I$7:$I$1006,$I419,$B$7:$B$1006,"&lt;="&amp;$B419))</f>
        <v/>
      </c>
      <c r="M419" s="132">
        <f>IF($B419&amp;$C419&amp;$D419&amp;$E419="","",IF($B419="","missing date",IF($C419="","missing worker",IF($I419="?","unknown worker - was the name changed on Workers?",IF($D419="","missing type",IF(N($E419)=0,"missing amount",IF(AND($E419&lt;0,$D419&lt;&gt;"Correction"),"negative amount - use a Correction to undo",IF(OR($B419&lt;Weeks!$A$7,$B419&gt;Weeks!$B$59),"date outside this workbook's year",IF(AND($D419="Advance",N($L419)&lt;0),"Warning: more than earned so far - worker now owes "&amp;TEXT(ROUND(-$L419,0),"#,##0"),"")))))))))</f>
        <v/>
      </c>
      <c r="N419" s="125" t="n"/>
      <c r="O419" s="126" t="n"/>
      <c r="P419" s="126" t="n"/>
      <c r="Q419" s="126" t="n"/>
      <c r="R419" s="126" t="n"/>
      <c r="S419" s="126" t="n"/>
      <c r="T419" s="126" t="n"/>
      <c r="U419" s="126" t="n"/>
      <c r="V419" s="126" t="n"/>
      <c r="W419" s="126" t="n"/>
      <c r="X419" s="126" t="n"/>
      <c r="Y419" s="126" t="n"/>
      <c r="Z419" s="126" t="n"/>
      <c r="AA419" s="126" t="n"/>
      <c r="AB419" s="126" t="n"/>
      <c r="AC419" s="126" t="n"/>
      <c r="AD419" s="126" t="n"/>
      <c r="AE419" s="126" t="n"/>
      <c r="AF419" s="126" t="n"/>
      <c r="AG419" s="126" t="n"/>
      <c r="AH419" s="126" t="n"/>
      <c r="AI419" s="126" t="n"/>
      <c r="AJ419" s="126" t="n"/>
      <c r="AK419" s="126" t="n"/>
      <c r="AL419" s="126" t="n"/>
      <c r="AM419" s="126" t="n"/>
      <c r="AN419" s="126" t="n"/>
    </row>
    <row r="420" ht="21" customFormat="1" customHeight="1" s="127">
      <c r="A420" s="51">
        <f>IF($B420="","",ROW()-6)</f>
        <v/>
      </c>
      <c r="B420" s="268" t="n"/>
      <c r="C420" s="133" t="n"/>
      <c r="D420" s="50" t="n"/>
      <c r="E420" s="265" t="n"/>
      <c r="F420" s="133" t="n"/>
      <c r="G420" s="133" t="n"/>
      <c r="H420" s="50" t="n"/>
      <c r="I420" s="51">
        <f>IF($C420="","",IFERROR(INDEX(WorkerIDs,MATCH($C420,WorkerNames,0)),"?"))</f>
        <v/>
      </c>
      <c r="J420" s="253">
        <f>IF($B420="","",$B420-WEEKDAY($B420,2)+1)</f>
        <v/>
      </c>
      <c r="K420" s="142">
        <f>IF(OR($I420="",$I420="?",$D420&lt;&gt;"Advance",$B420=""),"",$I420&amp;"|"&amp;$J420&amp;"|"&amp;COUNTIFS($I$7:$I420,$I420,$J$7:$J420,$J420,$D$7:$D420,"Advance"))</f>
        <v/>
      </c>
      <c r="L420" s="266">
        <f>IF(OR($I420="",$I420="?",$B420=""),"",SUMPRODUCT((Weeks!$A$7:$A$59&lt;=$J420)*(Weeks!$X$5:$AI$5=$I420)*Weeks!$X$7:$AI$59)-SUMIFS($E$7:$E$1006,$I$7:$I$1006,$I420,$B$7:$B$1006,"&lt;="&amp;$B420))</f>
        <v/>
      </c>
      <c r="M420" s="132">
        <f>IF($B420&amp;$C420&amp;$D420&amp;$E420="","",IF($B420="","missing date",IF($C420="","missing worker",IF($I420="?","unknown worker - was the name changed on Workers?",IF($D420="","missing type",IF(N($E420)=0,"missing amount",IF(AND($E420&lt;0,$D420&lt;&gt;"Correction"),"negative amount - use a Correction to undo",IF(OR($B420&lt;Weeks!$A$7,$B420&gt;Weeks!$B$59),"date outside this workbook's year",IF(AND($D420="Advance",N($L420)&lt;0),"Warning: more than earned so far - worker now owes "&amp;TEXT(ROUND(-$L420,0),"#,##0"),"")))))))))</f>
        <v/>
      </c>
      <c r="N420" s="125" t="n"/>
      <c r="O420" s="126" t="n"/>
      <c r="P420" s="126" t="n"/>
      <c r="Q420" s="126" t="n"/>
      <c r="R420" s="126" t="n"/>
      <c r="S420" s="126" t="n"/>
      <c r="T420" s="126" t="n"/>
      <c r="U420" s="126" t="n"/>
      <c r="V420" s="126" t="n"/>
      <c r="W420" s="126" t="n"/>
      <c r="X420" s="126" t="n"/>
      <c r="Y420" s="126" t="n"/>
      <c r="Z420" s="126" t="n"/>
      <c r="AA420" s="126" t="n"/>
      <c r="AB420" s="126" t="n"/>
      <c r="AC420" s="126" t="n"/>
      <c r="AD420" s="126" t="n"/>
      <c r="AE420" s="126" t="n"/>
      <c r="AF420" s="126" t="n"/>
      <c r="AG420" s="126" t="n"/>
      <c r="AH420" s="126" t="n"/>
      <c r="AI420" s="126" t="n"/>
      <c r="AJ420" s="126" t="n"/>
      <c r="AK420" s="126" t="n"/>
      <c r="AL420" s="126" t="n"/>
      <c r="AM420" s="126" t="n"/>
      <c r="AN420" s="126" t="n"/>
    </row>
    <row r="421" ht="21" customFormat="1" customHeight="1" s="127">
      <c r="A421" s="51">
        <f>IF($B421="","",ROW()-6)</f>
        <v/>
      </c>
      <c r="B421" s="268" t="n"/>
      <c r="C421" s="133" t="n"/>
      <c r="D421" s="50" t="n"/>
      <c r="E421" s="265" t="n"/>
      <c r="F421" s="133" t="n"/>
      <c r="G421" s="133" t="n"/>
      <c r="H421" s="50" t="n"/>
      <c r="I421" s="51">
        <f>IF($C421="","",IFERROR(INDEX(WorkerIDs,MATCH($C421,WorkerNames,0)),"?"))</f>
        <v/>
      </c>
      <c r="J421" s="253">
        <f>IF($B421="","",$B421-WEEKDAY($B421,2)+1)</f>
        <v/>
      </c>
      <c r="K421" s="142">
        <f>IF(OR($I421="",$I421="?",$D421&lt;&gt;"Advance",$B421=""),"",$I421&amp;"|"&amp;$J421&amp;"|"&amp;COUNTIFS($I$7:$I421,$I421,$J$7:$J421,$J421,$D$7:$D421,"Advance"))</f>
        <v/>
      </c>
      <c r="L421" s="266">
        <f>IF(OR($I421="",$I421="?",$B421=""),"",SUMPRODUCT((Weeks!$A$7:$A$59&lt;=$J421)*(Weeks!$X$5:$AI$5=$I421)*Weeks!$X$7:$AI$59)-SUMIFS($E$7:$E$1006,$I$7:$I$1006,$I421,$B$7:$B$1006,"&lt;="&amp;$B421))</f>
        <v/>
      </c>
      <c r="M421" s="132">
        <f>IF($B421&amp;$C421&amp;$D421&amp;$E421="","",IF($B421="","missing date",IF($C421="","missing worker",IF($I421="?","unknown worker - was the name changed on Workers?",IF($D421="","missing type",IF(N($E421)=0,"missing amount",IF(AND($E421&lt;0,$D421&lt;&gt;"Correction"),"negative amount - use a Correction to undo",IF(OR($B421&lt;Weeks!$A$7,$B421&gt;Weeks!$B$59),"date outside this workbook's year",IF(AND($D421="Advance",N($L421)&lt;0),"Warning: more than earned so far - worker now owes "&amp;TEXT(ROUND(-$L421,0),"#,##0"),"")))))))))</f>
        <v/>
      </c>
      <c r="N421" s="125" t="n"/>
      <c r="O421" s="126" t="n"/>
      <c r="P421" s="126" t="n"/>
      <c r="Q421" s="126" t="n"/>
      <c r="R421" s="126" t="n"/>
      <c r="S421" s="126" t="n"/>
      <c r="T421" s="126" t="n"/>
      <c r="U421" s="126" t="n"/>
      <c r="V421" s="126" t="n"/>
      <c r="W421" s="126" t="n"/>
      <c r="X421" s="126" t="n"/>
      <c r="Y421" s="126" t="n"/>
      <c r="Z421" s="126" t="n"/>
      <c r="AA421" s="126" t="n"/>
      <c r="AB421" s="126" t="n"/>
      <c r="AC421" s="126" t="n"/>
      <c r="AD421" s="126" t="n"/>
      <c r="AE421" s="126" t="n"/>
      <c r="AF421" s="126" t="n"/>
      <c r="AG421" s="126" t="n"/>
      <c r="AH421" s="126" t="n"/>
      <c r="AI421" s="126" t="n"/>
      <c r="AJ421" s="126" t="n"/>
      <c r="AK421" s="126" t="n"/>
      <c r="AL421" s="126" t="n"/>
      <c r="AM421" s="126" t="n"/>
      <c r="AN421" s="126" t="n"/>
    </row>
    <row r="422" ht="21" customFormat="1" customHeight="1" s="127">
      <c r="A422" s="51">
        <f>IF($B422="","",ROW()-6)</f>
        <v/>
      </c>
      <c r="B422" s="268" t="n"/>
      <c r="C422" s="133" t="n"/>
      <c r="D422" s="50" t="n"/>
      <c r="E422" s="265" t="n"/>
      <c r="F422" s="133" t="n"/>
      <c r="G422" s="133" t="n"/>
      <c r="H422" s="50" t="n"/>
      <c r="I422" s="51">
        <f>IF($C422="","",IFERROR(INDEX(WorkerIDs,MATCH($C422,WorkerNames,0)),"?"))</f>
        <v/>
      </c>
      <c r="J422" s="253">
        <f>IF($B422="","",$B422-WEEKDAY($B422,2)+1)</f>
        <v/>
      </c>
      <c r="K422" s="142">
        <f>IF(OR($I422="",$I422="?",$D422&lt;&gt;"Advance",$B422=""),"",$I422&amp;"|"&amp;$J422&amp;"|"&amp;COUNTIFS($I$7:$I422,$I422,$J$7:$J422,$J422,$D$7:$D422,"Advance"))</f>
        <v/>
      </c>
      <c r="L422" s="266">
        <f>IF(OR($I422="",$I422="?",$B422=""),"",SUMPRODUCT((Weeks!$A$7:$A$59&lt;=$J422)*(Weeks!$X$5:$AI$5=$I422)*Weeks!$X$7:$AI$59)-SUMIFS($E$7:$E$1006,$I$7:$I$1006,$I422,$B$7:$B$1006,"&lt;="&amp;$B422))</f>
        <v/>
      </c>
      <c r="M422" s="132">
        <f>IF($B422&amp;$C422&amp;$D422&amp;$E422="","",IF($B422="","missing date",IF($C422="","missing worker",IF($I422="?","unknown worker - was the name changed on Workers?",IF($D422="","missing type",IF(N($E422)=0,"missing amount",IF(AND($E422&lt;0,$D422&lt;&gt;"Correction"),"negative amount - use a Correction to undo",IF(OR($B422&lt;Weeks!$A$7,$B422&gt;Weeks!$B$59),"date outside this workbook's year",IF(AND($D422="Advance",N($L422)&lt;0),"Warning: more than earned so far - worker now owes "&amp;TEXT(ROUND(-$L422,0),"#,##0"),"")))))))))</f>
        <v/>
      </c>
      <c r="N422" s="125" t="n"/>
      <c r="O422" s="126" t="n"/>
      <c r="P422" s="126" t="n"/>
      <c r="Q422" s="126" t="n"/>
      <c r="R422" s="126" t="n"/>
      <c r="S422" s="126" t="n"/>
      <c r="T422" s="126" t="n"/>
      <c r="U422" s="126" t="n"/>
      <c r="V422" s="126" t="n"/>
      <c r="W422" s="126" t="n"/>
      <c r="X422" s="126" t="n"/>
      <c r="Y422" s="126" t="n"/>
      <c r="Z422" s="126" t="n"/>
      <c r="AA422" s="126" t="n"/>
      <c r="AB422" s="126" t="n"/>
      <c r="AC422" s="126" t="n"/>
      <c r="AD422" s="126" t="n"/>
      <c r="AE422" s="126" t="n"/>
      <c r="AF422" s="126" t="n"/>
      <c r="AG422" s="126" t="n"/>
      <c r="AH422" s="126" t="n"/>
      <c r="AI422" s="126" t="n"/>
      <c r="AJ422" s="126" t="n"/>
      <c r="AK422" s="126" t="n"/>
      <c r="AL422" s="126" t="n"/>
      <c r="AM422" s="126" t="n"/>
      <c r="AN422" s="126" t="n"/>
    </row>
    <row r="423" ht="21" customFormat="1" customHeight="1" s="127">
      <c r="A423" s="51">
        <f>IF($B423="","",ROW()-6)</f>
        <v/>
      </c>
      <c r="B423" s="268" t="n"/>
      <c r="C423" s="133" t="n"/>
      <c r="D423" s="50" t="n"/>
      <c r="E423" s="265" t="n"/>
      <c r="F423" s="133" t="n"/>
      <c r="G423" s="133" t="n"/>
      <c r="H423" s="50" t="n"/>
      <c r="I423" s="51">
        <f>IF($C423="","",IFERROR(INDEX(WorkerIDs,MATCH($C423,WorkerNames,0)),"?"))</f>
        <v/>
      </c>
      <c r="J423" s="253">
        <f>IF($B423="","",$B423-WEEKDAY($B423,2)+1)</f>
        <v/>
      </c>
      <c r="K423" s="142">
        <f>IF(OR($I423="",$I423="?",$D423&lt;&gt;"Advance",$B423=""),"",$I423&amp;"|"&amp;$J423&amp;"|"&amp;COUNTIFS($I$7:$I423,$I423,$J$7:$J423,$J423,$D$7:$D423,"Advance"))</f>
        <v/>
      </c>
      <c r="L423" s="266">
        <f>IF(OR($I423="",$I423="?",$B423=""),"",SUMPRODUCT((Weeks!$A$7:$A$59&lt;=$J423)*(Weeks!$X$5:$AI$5=$I423)*Weeks!$X$7:$AI$59)-SUMIFS($E$7:$E$1006,$I$7:$I$1006,$I423,$B$7:$B$1006,"&lt;="&amp;$B423))</f>
        <v/>
      </c>
      <c r="M423" s="132">
        <f>IF($B423&amp;$C423&amp;$D423&amp;$E423="","",IF($B423="","missing date",IF($C423="","missing worker",IF($I423="?","unknown worker - was the name changed on Workers?",IF($D423="","missing type",IF(N($E423)=0,"missing amount",IF(AND($E423&lt;0,$D423&lt;&gt;"Correction"),"negative amount - use a Correction to undo",IF(OR($B423&lt;Weeks!$A$7,$B423&gt;Weeks!$B$59),"date outside this workbook's year",IF(AND($D423="Advance",N($L423)&lt;0),"Warning: more than earned so far - worker now owes "&amp;TEXT(ROUND(-$L423,0),"#,##0"),"")))))))))</f>
        <v/>
      </c>
      <c r="N423" s="125" t="n"/>
      <c r="O423" s="126" t="n"/>
      <c r="P423" s="126" t="n"/>
      <c r="Q423" s="126" t="n"/>
      <c r="R423" s="126" t="n"/>
      <c r="S423" s="126" t="n"/>
      <c r="T423" s="126" t="n"/>
      <c r="U423" s="126" t="n"/>
      <c r="V423" s="126" t="n"/>
      <c r="W423" s="126" t="n"/>
      <c r="X423" s="126" t="n"/>
      <c r="Y423" s="126" t="n"/>
      <c r="Z423" s="126" t="n"/>
      <c r="AA423" s="126" t="n"/>
      <c r="AB423" s="126" t="n"/>
      <c r="AC423" s="126" t="n"/>
      <c r="AD423" s="126" t="n"/>
      <c r="AE423" s="126" t="n"/>
      <c r="AF423" s="126" t="n"/>
      <c r="AG423" s="126" t="n"/>
      <c r="AH423" s="126" t="n"/>
      <c r="AI423" s="126" t="n"/>
      <c r="AJ423" s="126" t="n"/>
      <c r="AK423" s="126" t="n"/>
      <c r="AL423" s="126" t="n"/>
      <c r="AM423" s="126" t="n"/>
      <c r="AN423" s="126" t="n"/>
    </row>
    <row r="424" ht="21" customFormat="1" customHeight="1" s="127">
      <c r="A424" s="51">
        <f>IF($B424="","",ROW()-6)</f>
        <v/>
      </c>
      <c r="B424" s="268" t="n"/>
      <c r="C424" s="133" t="n"/>
      <c r="D424" s="50" t="n"/>
      <c r="E424" s="265" t="n"/>
      <c r="F424" s="133" t="n"/>
      <c r="G424" s="133" t="n"/>
      <c r="H424" s="50" t="n"/>
      <c r="I424" s="51">
        <f>IF($C424="","",IFERROR(INDEX(WorkerIDs,MATCH($C424,WorkerNames,0)),"?"))</f>
        <v/>
      </c>
      <c r="J424" s="253">
        <f>IF($B424="","",$B424-WEEKDAY($B424,2)+1)</f>
        <v/>
      </c>
      <c r="K424" s="142">
        <f>IF(OR($I424="",$I424="?",$D424&lt;&gt;"Advance",$B424=""),"",$I424&amp;"|"&amp;$J424&amp;"|"&amp;COUNTIFS($I$7:$I424,$I424,$J$7:$J424,$J424,$D$7:$D424,"Advance"))</f>
        <v/>
      </c>
      <c r="L424" s="266">
        <f>IF(OR($I424="",$I424="?",$B424=""),"",SUMPRODUCT((Weeks!$A$7:$A$59&lt;=$J424)*(Weeks!$X$5:$AI$5=$I424)*Weeks!$X$7:$AI$59)-SUMIFS($E$7:$E$1006,$I$7:$I$1006,$I424,$B$7:$B$1006,"&lt;="&amp;$B424))</f>
        <v/>
      </c>
      <c r="M424" s="132">
        <f>IF($B424&amp;$C424&amp;$D424&amp;$E424="","",IF($B424="","missing date",IF($C424="","missing worker",IF($I424="?","unknown worker - was the name changed on Workers?",IF($D424="","missing type",IF(N($E424)=0,"missing amount",IF(AND($E424&lt;0,$D424&lt;&gt;"Correction"),"negative amount - use a Correction to undo",IF(OR($B424&lt;Weeks!$A$7,$B424&gt;Weeks!$B$59),"date outside this workbook's year",IF(AND($D424="Advance",N($L424)&lt;0),"Warning: more than earned so far - worker now owes "&amp;TEXT(ROUND(-$L424,0),"#,##0"),"")))))))))</f>
        <v/>
      </c>
      <c r="N424" s="125" t="n"/>
      <c r="O424" s="126" t="n"/>
      <c r="P424" s="126" t="n"/>
      <c r="Q424" s="126" t="n"/>
      <c r="R424" s="126" t="n"/>
      <c r="S424" s="126" t="n"/>
      <c r="T424" s="126" t="n"/>
      <c r="U424" s="126" t="n"/>
      <c r="V424" s="126" t="n"/>
      <c r="W424" s="126" t="n"/>
      <c r="X424" s="126" t="n"/>
      <c r="Y424" s="126" t="n"/>
      <c r="Z424" s="126" t="n"/>
      <c r="AA424" s="126" t="n"/>
      <c r="AB424" s="126" t="n"/>
      <c r="AC424" s="126" t="n"/>
      <c r="AD424" s="126" t="n"/>
      <c r="AE424" s="126" t="n"/>
      <c r="AF424" s="126" t="n"/>
      <c r="AG424" s="126" t="n"/>
      <c r="AH424" s="126" t="n"/>
      <c r="AI424" s="126" t="n"/>
      <c r="AJ424" s="126" t="n"/>
      <c r="AK424" s="126" t="n"/>
      <c r="AL424" s="126" t="n"/>
      <c r="AM424" s="126" t="n"/>
      <c r="AN424" s="126" t="n"/>
    </row>
    <row r="425" ht="21" customFormat="1" customHeight="1" s="127">
      <c r="A425" s="51">
        <f>IF($B425="","",ROW()-6)</f>
        <v/>
      </c>
      <c r="B425" s="268" t="n"/>
      <c r="C425" s="133" t="n"/>
      <c r="D425" s="50" t="n"/>
      <c r="E425" s="265" t="n"/>
      <c r="F425" s="133" t="n"/>
      <c r="G425" s="133" t="n"/>
      <c r="H425" s="50" t="n"/>
      <c r="I425" s="51">
        <f>IF($C425="","",IFERROR(INDEX(WorkerIDs,MATCH($C425,WorkerNames,0)),"?"))</f>
        <v/>
      </c>
      <c r="J425" s="253">
        <f>IF($B425="","",$B425-WEEKDAY($B425,2)+1)</f>
        <v/>
      </c>
      <c r="K425" s="142">
        <f>IF(OR($I425="",$I425="?",$D425&lt;&gt;"Advance",$B425=""),"",$I425&amp;"|"&amp;$J425&amp;"|"&amp;COUNTIFS($I$7:$I425,$I425,$J$7:$J425,$J425,$D$7:$D425,"Advance"))</f>
        <v/>
      </c>
      <c r="L425" s="266">
        <f>IF(OR($I425="",$I425="?",$B425=""),"",SUMPRODUCT((Weeks!$A$7:$A$59&lt;=$J425)*(Weeks!$X$5:$AI$5=$I425)*Weeks!$X$7:$AI$59)-SUMIFS($E$7:$E$1006,$I$7:$I$1006,$I425,$B$7:$B$1006,"&lt;="&amp;$B425))</f>
        <v/>
      </c>
      <c r="M425" s="132">
        <f>IF($B425&amp;$C425&amp;$D425&amp;$E425="","",IF($B425="","missing date",IF($C425="","missing worker",IF($I425="?","unknown worker - was the name changed on Workers?",IF($D425="","missing type",IF(N($E425)=0,"missing amount",IF(AND($E425&lt;0,$D425&lt;&gt;"Correction"),"negative amount - use a Correction to undo",IF(OR($B425&lt;Weeks!$A$7,$B425&gt;Weeks!$B$59),"date outside this workbook's year",IF(AND($D425="Advance",N($L425)&lt;0),"Warning: more than earned so far - worker now owes "&amp;TEXT(ROUND(-$L425,0),"#,##0"),"")))))))))</f>
        <v/>
      </c>
      <c r="N425" s="125" t="n"/>
      <c r="O425" s="126" t="n"/>
      <c r="P425" s="126" t="n"/>
      <c r="Q425" s="126" t="n"/>
      <c r="R425" s="126" t="n"/>
      <c r="S425" s="126" t="n"/>
      <c r="T425" s="126" t="n"/>
      <c r="U425" s="126" t="n"/>
      <c r="V425" s="126" t="n"/>
      <c r="W425" s="126" t="n"/>
      <c r="X425" s="126" t="n"/>
      <c r="Y425" s="126" t="n"/>
      <c r="Z425" s="126" t="n"/>
      <c r="AA425" s="126" t="n"/>
      <c r="AB425" s="126" t="n"/>
      <c r="AC425" s="126" t="n"/>
      <c r="AD425" s="126" t="n"/>
      <c r="AE425" s="126" t="n"/>
      <c r="AF425" s="126" t="n"/>
      <c r="AG425" s="126" t="n"/>
      <c r="AH425" s="126" t="n"/>
      <c r="AI425" s="126" t="n"/>
      <c r="AJ425" s="126" t="n"/>
      <c r="AK425" s="126" t="n"/>
      <c r="AL425" s="126" t="n"/>
      <c r="AM425" s="126" t="n"/>
      <c r="AN425" s="126" t="n"/>
    </row>
    <row r="426" ht="21" customFormat="1" customHeight="1" s="127">
      <c r="A426" s="51">
        <f>IF($B426="","",ROW()-6)</f>
        <v/>
      </c>
      <c r="B426" s="268" t="n"/>
      <c r="C426" s="133" t="n"/>
      <c r="D426" s="50" t="n"/>
      <c r="E426" s="265" t="n"/>
      <c r="F426" s="133" t="n"/>
      <c r="G426" s="133" t="n"/>
      <c r="H426" s="50" t="n"/>
      <c r="I426" s="51">
        <f>IF($C426="","",IFERROR(INDEX(WorkerIDs,MATCH($C426,WorkerNames,0)),"?"))</f>
        <v/>
      </c>
      <c r="J426" s="253">
        <f>IF($B426="","",$B426-WEEKDAY($B426,2)+1)</f>
        <v/>
      </c>
      <c r="K426" s="142">
        <f>IF(OR($I426="",$I426="?",$D426&lt;&gt;"Advance",$B426=""),"",$I426&amp;"|"&amp;$J426&amp;"|"&amp;COUNTIFS($I$7:$I426,$I426,$J$7:$J426,$J426,$D$7:$D426,"Advance"))</f>
        <v/>
      </c>
      <c r="L426" s="266">
        <f>IF(OR($I426="",$I426="?",$B426=""),"",SUMPRODUCT((Weeks!$A$7:$A$59&lt;=$J426)*(Weeks!$X$5:$AI$5=$I426)*Weeks!$X$7:$AI$59)-SUMIFS($E$7:$E$1006,$I$7:$I$1006,$I426,$B$7:$B$1006,"&lt;="&amp;$B426))</f>
        <v/>
      </c>
      <c r="M426" s="132">
        <f>IF($B426&amp;$C426&amp;$D426&amp;$E426="","",IF($B426="","missing date",IF($C426="","missing worker",IF($I426="?","unknown worker - was the name changed on Workers?",IF($D426="","missing type",IF(N($E426)=0,"missing amount",IF(AND($E426&lt;0,$D426&lt;&gt;"Correction"),"negative amount - use a Correction to undo",IF(OR($B426&lt;Weeks!$A$7,$B426&gt;Weeks!$B$59),"date outside this workbook's year",IF(AND($D426="Advance",N($L426)&lt;0),"Warning: more than earned so far - worker now owes "&amp;TEXT(ROUND(-$L426,0),"#,##0"),"")))))))))</f>
        <v/>
      </c>
      <c r="N426" s="125" t="n"/>
      <c r="O426" s="126" t="n"/>
      <c r="P426" s="126" t="n"/>
      <c r="Q426" s="126" t="n"/>
      <c r="R426" s="126" t="n"/>
      <c r="S426" s="126" t="n"/>
      <c r="T426" s="126" t="n"/>
      <c r="U426" s="126" t="n"/>
      <c r="V426" s="126" t="n"/>
      <c r="W426" s="126" t="n"/>
      <c r="X426" s="126" t="n"/>
      <c r="Y426" s="126" t="n"/>
      <c r="Z426" s="126" t="n"/>
      <c r="AA426" s="126" t="n"/>
      <c r="AB426" s="126" t="n"/>
      <c r="AC426" s="126" t="n"/>
      <c r="AD426" s="126" t="n"/>
      <c r="AE426" s="126" t="n"/>
      <c r="AF426" s="126" t="n"/>
      <c r="AG426" s="126" t="n"/>
      <c r="AH426" s="126" t="n"/>
      <c r="AI426" s="126" t="n"/>
      <c r="AJ426" s="126" t="n"/>
      <c r="AK426" s="126" t="n"/>
      <c r="AL426" s="126" t="n"/>
      <c r="AM426" s="126" t="n"/>
      <c r="AN426" s="126" t="n"/>
    </row>
    <row r="427" ht="21" customFormat="1" customHeight="1" s="127">
      <c r="A427" s="51">
        <f>IF($B427="","",ROW()-6)</f>
        <v/>
      </c>
      <c r="B427" s="268" t="n"/>
      <c r="C427" s="133" t="n"/>
      <c r="D427" s="50" t="n"/>
      <c r="E427" s="265" t="n"/>
      <c r="F427" s="133" t="n"/>
      <c r="G427" s="133" t="n"/>
      <c r="H427" s="50" t="n"/>
      <c r="I427" s="51">
        <f>IF($C427="","",IFERROR(INDEX(WorkerIDs,MATCH($C427,WorkerNames,0)),"?"))</f>
        <v/>
      </c>
      <c r="J427" s="253">
        <f>IF($B427="","",$B427-WEEKDAY($B427,2)+1)</f>
        <v/>
      </c>
      <c r="K427" s="142">
        <f>IF(OR($I427="",$I427="?",$D427&lt;&gt;"Advance",$B427=""),"",$I427&amp;"|"&amp;$J427&amp;"|"&amp;COUNTIFS($I$7:$I427,$I427,$J$7:$J427,$J427,$D$7:$D427,"Advance"))</f>
        <v/>
      </c>
      <c r="L427" s="266">
        <f>IF(OR($I427="",$I427="?",$B427=""),"",SUMPRODUCT((Weeks!$A$7:$A$59&lt;=$J427)*(Weeks!$X$5:$AI$5=$I427)*Weeks!$X$7:$AI$59)-SUMIFS($E$7:$E$1006,$I$7:$I$1006,$I427,$B$7:$B$1006,"&lt;="&amp;$B427))</f>
        <v/>
      </c>
      <c r="M427" s="132">
        <f>IF($B427&amp;$C427&amp;$D427&amp;$E427="","",IF($B427="","missing date",IF($C427="","missing worker",IF($I427="?","unknown worker - was the name changed on Workers?",IF($D427="","missing type",IF(N($E427)=0,"missing amount",IF(AND($E427&lt;0,$D427&lt;&gt;"Correction"),"negative amount - use a Correction to undo",IF(OR($B427&lt;Weeks!$A$7,$B427&gt;Weeks!$B$59),"date outside this workbook's year",IF(AND($D427="Advance",N($L427)&lt;0),"Warning: more than earned so far - worker now owes "&amp;TEXT(ROUND(-$L427,0),"#,##0"),"")))))))))</f>
        <v/>
      </c>
      <c r="N427" s="125" t="n"/>
      <c r="O427" s="126" t="n"/>
      <c r="P427" s="126" t="n"/>
      <c r="Q427" s="126" t="n"/>
      <c r="R427" s="126" t="n"/>
      <c r="S427" s="126" t="n"/>
      <c r="T427" s="126" t="n"/>
      <c r="U427" s="126" t="n"/>
      <c r="V427" s="126" t="n"/>
      <c r="W427" s="126" t="n"/>
      <c r="X427" s="126" t="n"/>
      <c r="Y427" s="126" t="n"/>
      <c r="Z427" s="126" t="n"/>
      <c r="AA427" s="126" t="n"/>
      <c r="AB427" s="126" t="n"/>
      <c r="AC427" s="126" t="n"/>
      <c r="AD427" s="126" t="n"/>
      <c r="AE427" s="126" t="n"/>
      <c r="AF427" s="126" t="n"/>
      <c r="AG427" s="126" t="n"/>
      <c r="AH427" s="126" t="n"/>
      <c r="AI427" s="126" t="n"/>
      <c r="AJ427" s="126" t="n"/>
      <c r="AK427" s="126" t="n"/>
      <c r="AL427" s="126" t="n"/>
      <c r="AM427" s="126" t="n"/>
      <c r="AN427" s="126" t="n"/>
    </row>
    <row r="428" ht="21" customFormat="1" customHeight="1" s="127">
      <c r="A428" s="51">
        <f>IF($B428="","",ROW()-6)</f>
        <v/>
      </c>
      <c r="B428" s="268" t="n"/>
      <c r="C428" s="133" t="n"/>
      <c r="D428" s="50" t="n"/>
      <c r="E428" s="265" t="n"/>
      <c r="F428" s="133" t="n"/>
      <c r="G428" s="133" t="n"/>
      <c r="H428" s="50" t="n"/>
      <c r="I428" s="51">
        <f>IF($C428="","",IFERROR(INDEX(WorkerIDs,MATCH($C428,WorkerNames,0)),"?"))</f>
        <v/>
      </c>
      <c r="J428" s="253">
        <f>IF($B428="","",$B428-WEEKDAY($B428,2)+1)</f>
        <v/>
      </c>
      <c r="K428" s="142">
        <f>IF(OR($I428="",$I428="?",$D428&lt;&gt;"Advance",$B428=""),"",$I428&amp;"|"&amp;$J428&amp;"|"&amp;COUNTIFS($I$7:$I428,$I428,$J$7:$J428,$J428,$D$7:$D428,"Advance"))</f>
        <v/>
      </c>
      <c r="L428" s="266">
        <f>IF(OR($I428="",$I428="?",$B428=""),"",SUMPRODUCT((Weeks!$A$7:$A$59&lt;=$J428)*(Weeks!$X$5:$AI$5=$I428)*Weeks!$X$7:$AI$59)-SUMIFS($E$7:$E$1006,$I$7:$I$1006,$I428,$B$7:$B$1006,"&lt;="&amp;$B428))</f>
        <v/>
      </c>
      <c r="M428" s="132">
        <f>IF($B428&amp;$C428&amp;$D428&amp;$E428="","",IF($B428="","missing date",IF($C428="","missing worker",IF($I428="?","unknown worker - was the name changed on Workers?",IF($D428="","missing type",IF(N($E428)=0,"missing amount",IF(AND($E428&lt;0,$D428&lt;&gt;"Correction"),"negative amount - use a Correction to undo",IF(OR($B428&lt;Weeks!$A$7,$B428&gt;Weeks!$B$59),"date outside this workbook's year",IF(AND($D428="Advance",N($L428)&lt;0),"Warning: more than earned so far - worker now owes "&amp;TEXT(ROUND(-$L428,0),"#,##0"),"")))))))))</f>
        <v/>
      </c>
      <c r="N428" s="125" t="n"/>
      <c r="O428" s="126" t="n"/>
      <c r="P428" s="126" t="n"/>
      <c r="Q428" s="126" t="n"/>
      <c r="R428" s="126" t="n"/>
      <c r="S428" s="126" t="n"/>
      <c r="T428" s="126" t="n"/>
      <c r="U428" s="126" t="n"/>
      <c r="V428" s="126" t="n"/>
      <c r="W428" s="126" t="n"/>
      <c r="X428" s="126" t="n"/>
      <c r="Y428" s="126" t="n"/>
      <c r="Z428" s="126" t="n"/>
      <c r="AA428" s="126" t="n"/>
      <c r="AB428" s="126" t="n"/>
      <c r="AC428" s="126" t="n"/>
      <c r="AD428" s="126" t="n"/>
      <c r="AE428" s="126" t="n"/>
      <c r="AF428" s="126" t="n"/>
      <c r="AG428" s="126" t="n"/>
      <c r="AH428" s="126" t="n"/>
      <c r="AI428" s="126" t="n"/>
      <c r="AJ428" s="126" t="n"/>
      <c r="AK428" s="126" t="n"/>
      <c r="AL428" s="126" t="n"/>
      <c r="AM428" s="126" t="n"/>
      <c r="AN428" s="126" t="n"/>
    </row>
    <row r="429" ht="21" customFormat="1" customHeight="1" s="127">
      <c r="A429" s="51">
        <f>IF($B429="","",ROW()-6)</f>
        <v/>
      </c>
      <c r="B429" s="268" t="n"/>
      <c r="C429" s="133" t="n"/>
      <c r="D429" s="50" t="n"/>
      <c r="E429" s="265" t="n"/>
      <c r="F429" s="133" t="n"/>
      <c r="G429" s="133" t="n"/>
      <c r="H429" s="50" t="n"/>
      <c r="I429" s="51">
        <f>IF($C429="","",IFERROR(INDEX(WorkerIDs,MATCH($C429,WorkerNames,0)),"?"))</f>
        <v/>
      </c>
      <c r="J429" s="253">
        <f>IF($B429="","",$B429-WEEKDAY($B429,2)+1)</f>
        <v/>
      </c>
      <c r="K429" s="142">
        <f>IF(OR($I429="",$I429="?",$D429&lt;&gt;"Advance",$B429=""),"",$I429&amp;"|"&amp;$J429&amp;"|"&amp;COUNTIFS($I$7:$I429,$I429,$J$7:$J429,$J429,$D$7:$D429,"Advance"))</f>
        <v/>
      </c>
      <c r="L429" s="266">
        <f>IF(OR($I429="",$I429="?",$B429=""),"",SUMPRODUCT((Weeks!$A$7:$A$59&lt;=$J429)*(Weeks!$X$5:$AI$5=$I429)*Weeks!$X$7:$AI$59)-SUMIFS($E$7:$E$1006,$I$7:$I$1006,$I429,$B$7:$B$1006,"&lt;="&amp;$B429))</f>
        <v/>
      </c>
      <c r="M429" s="132">
        <f>IF($B429&amp;$C429&amp;$D429&amp;$E429="","",IF($B429="","missing date",IF($C429="","missing worker",IF($I429="?","unknown worker - was the name changed on Workers?",IF($D429="","missing type",IF(N($E429)=0,"missing amount",IF(AND($E429&lt;0,$D429&lt;&gt;"Correction"),"negative amount - use a Correction to undo",IF(OR($B429&lt;Weeks!$A$7,$B429&gt;Weeks!$B$59),"date outside this workbook's year",IF(AND($D429="Advance",N($L429)&lt;0),"Warning: more than earned so far - worker now owes "&amp;TEXT(ROUND(-$L429,0),"#,##0"),"")))))))))</f>
        <v/>
      </c>
      <c r="N429" s="125" t="n"/>
      <c r="O429" s="126" t="n"/>
      <c r="P429" s="126" t="n"/>
      <c r="Q429" s="126" t="n"/>
      <c r="R429" s="126" t="n"/>
      <c r="S429" s="126" t="n"/>
      <c r="T429" s="126" t="n"/>
      <c r="U429" s="126" t="n"/>
      <c r="V429" s="126" t="n"/>
      <c r="W429" s="126" t="n"/>
      <c r="X429" s="126" t="n"/>
      <c r="Y429" s="126" t="n"/>
      <c r="Z429" s="126" t="n"/>
      <c r="AA429" s="126" t="n"/>
      <c r="AB429" s="126" t="n"/>
      <c r="AC429" s="126" t="n"/>
      <c r="AD429" s="126" t="n"/>
      <c r="AE429" s="126" t="n"/>
      <c r="AF429" s="126" t="n"/>
      <c r="AG429" s="126" t="n"/>
      <c r="AH429" s="126" t="n"/>
      <c r="AI429" s="126" t="n"/>
      <c r="AJ429" s="126" t="n"/>
      <c r="AK429" s="126" t="n"/>
      <c r="AL429" s="126" t="n"/>
      <c r="AM429" s="126" t="n"/>
      <c r="AN429" s="126" t="n"/>
    </row>
    <row r="430" ht="21" customFormat="1" customHeight="1" s="127">
      <c r="A430" s="51">
        <f>IF($B430="","",ROW()-6)</f>
        <v/>
      </c>
      <c r="B430" s="268" t="n"/>
      <c r="C430" s="133" t="n"/>
      <c r="D430" s="50" t="n"/>
      <c r="E430" s="265" t="n"/>
      <c r="F430" s="133" t="n"/>
      <c r="G430" s="133" t="n"/>
      <c r="H430" s="50" t="n"/>
      <c r="I430" s="51">
        <f>IF($C430="","",IFERROR(INDEX(WorkerIDs,MATCH($C430,WorkerNames,0)),"?"))</f>
        <v/>
      </c>
      <c r="J430" s="253">
        <f>IF($B430="","",$B430-WEEKDAY($B430,2)+1)</f>
        <v/>
      </c>
      <c r="K430" s="142">
        <f>IF(OR($I430="",$I430="?",$D430&lt;&gt;"Advance",$B430=""),"",$I430&amp;"|"&amp;$J430&amp;"|"&amp;COUNTIFS($I$7:$I430,$I430,$J$7:$J430,$J430,$D$7:$D430,"Advance"))</f>
        <v/>
      </c>
      <c r="L430" s="266">
        <f>IF(OR($I430="",$I430="?",$B430=""),"",SUMPRODUCT((Weeks!$A$7:$A$59&lt;=$J430)*(Weeks!$X$5:$AI$5=$I430)*Weeks!$X$7:$AI$59)-SUMIFS($E$7:$E$1006,$I$7:$I$1006,$I430,$B$7:$B$1006,"&lt;="&amp;$B430))</f>
        <v/>
      </c>
      <c r="M430" s="132">
        <f>IF($B430&amp;$C430&amp;$D430&amp;$E430="","",IF($B430="","missing date",IF($C430="","missing worker",IF($I430="?","unknown worker - was the name changed on Workers?",IF($D430="","missing type",IF(N($E430)=0,"missing amount",IF(AND($E430&lt;0,$D430&lt;&gt;"Correction"),"negative amount - use a Correction to undo",IF(OR($B430&lt;Weeks!$A$7,$B430&gt;Weeks!$B$59),"date outside this workbook's year",IF(AND($D430="Advance",N($L430)&lt;0),"Warning: more than earned so far - worker now owes "&amp;TEXT(ROUND(-$L430,0),"#,##0"),"")))))))))</f>
        <v/>
      </c>
      <c r="N430" s="125" t="n"/>
      <c r="O430" s="126" t="n"/>
      <c r="P430" s="126" t="n"/>
      <c r="Q430" s="126" t="n"/>
      <c r="R430" s="126" t="n"/>
      <c r="S430" s="126" t="n"/>
      <c r="T430" s="126" t="n"/>
      <c r="U430" s="126" t="n"/>
      <c r="V430" s="126" t="n"/>
      <c r="W430" s="126" t="n"/>
      <c r="X430" s="126" t="n"/>
      <c r="Y430" s="126" t="n"/>
      <c r="Z430" s="126" t="n"/>
      <c r="AA430" s="126" t="n"/>
      <c r="AB430" s="126" t="n"/>
      <c r="AC430" s="126" t="n"/>
      <c r="AD430" s="126" t="n"/>
      <c r="AE430" s="126" t="n"/>
      <c r="AF430" s="126" t="n"/>
      <c r="AG430" s="126" t="n"/>
      <c r="AH430" s="126" t="n"/>
      <c r="AI430" s="126" t="n"/>
      <c r="AJ430" s="126" t="n"/>
      <c r="AK430" s="126" t="n"/>
      <c r="AL430" s="126" t="n"/>
      <c r="AM430" s="126" t="n"/>
      <c r="AN430" s="126" t="n"/>
    </row>
    <row r="431" ht="21" customFormat="1" customHeight="1" s="127">
      <c r="A431" s="51">
        <f>IF($B431="","",ROW()-6)</f>
        <v/>
      </c>
      <c r="B431" s="268" t="n"/>
      <c r="C431" s="133" t="n"/>
      <c r="D431" s="50" t="n"/>
      <c r="E431" s="265" t="n"/>
      <c r="F431" s="133" t="n"/>
      <c r="G431" s="133" t="n"/>
      <c r="H431" s="50" t="n"/>
      <c r="I431" s="51">
        <f>IF($C431="","",IFERROR(INDEX(WorkerIDs,MATCH($C431,WorkerNames,0)),"?"))</f>
        <v/>
      </c>
      <c r="J431" s="253">
        <f>IF($B431="","",$B431-WEEKDAY($B431,2)+1)</f>
        <v/>
      </c>
      <c r="K431" s="142">
        <f>IF(OR($I431="",$I431="?",$D431&lt;&gt;"Advance",$B431=""),"",$I431&amp;"|"&amp;$J431&amp;"|"&amp;COUNTIFS($I$7:$I431,$I431,$J$7:$J431,$J431,$D$7:$D431,"Advance"))</f>
        <v/>
      </c>
      <c r="L431" s="266">
        <f>IF(OR($I431="",$I431="?",$B431=""),"",SUMPRODUCT((Weeks!$A$7:$A$59&lt;=$J431)*(Weeks!$X$5:$AI$5=$I431)*Weeks!$X$7:$AI$59)-SUMIFS($E$7:$E$1006,$I$7:$I$1006,$I431,$B$7:$B$1006,"&lt;="&amp;$B431))</f>
        <v/>
      </c>
      <c r="M431" s="132">
        <f>IF($B431&amp;$C431&amp;$D431&amp;$E431="","",IF($B431="","missing date",IF($C431="","missing worker",IF($I431="?","unknown worker - was the name changed on Workers?",IF($D431="","missing type",IF(N($E431)=0,"missing amount",IF(AND($E431&lt;0,$D431&lt;&gt;"Correction"),"negative amount - use a Correction to undo",IF(OR($B431&lt;Weeks!$A$7,$B431&gt;Weeks!$B$59),"date outside this workbook's year",IF(AND($D431="Advance",N($L431)&lt;0),"Warning: more than earned so far - worker now owes "&amp;TEXT(ROUND(-$L431,0),"#,##0"),"")))))))))</f>
        <v/>
      </c>
      <c r="N431" s="125" t="n"/>
      <c r="O431" s="126" t="n"/>
      <c r="P431" s="126" t="n"/>
      <c r="Q431" s="126" t="n"/>
      <c r="R431" s="126" t="n"/>
      <c r="S431" s="126" t="n"/>
      <c r="T431" s="126" t="n"/>
      <c r="U431" s="126" t="n"/>
      <c r="V431" s="126" t="n"/>
      <c r="W431" s="126" t="n"/>
      <c r="X431" s="126" t="n"/>
      <c r="Y431" s="126" t="n"/>
      <c r="Z431" s="126" t="n"/>
      <c r="AA431" s="126" t="n"/>
      <c r="AB431" s="126" t="n"/>
      <c r="AC431" s="126" t="n"/>
      <c r="AD431" s="126" t="n"/>
      <c r="AE431" s="126" t="n"/>
      <c r="AF431" s="126" t="n"/>
      <c r="AG431" s="126" t="n"/>
      <c r="AH431" s="126" t="n"/>
      <c r="AI431" s="126" t="n"/>
      <c r="AJ431" s="126" t="n"/>
      <c r="AK431" s="126" t="n"/>
      <c r="AL431" s="126" t="n"/>
      <c r="AM431" s="126" t="n"/>
      <c r="AN431" s="126" t="n"/>
    </row>
    <row r="432" ht="21" customFormat="1" customHeight="1" s="127">
      <c r="A432" s="51">
        <f>IF($B432="","",ROW()-6)</f>
        <v/>
      </c>
      <c r="B432" s="268" t="n"/>
      <c r="C432" s="133" t="n"/>
      <c r="D432" s="50" t="n"/>
      <c r="E432" s="265" t="n"/>
      <c r="F432" s="133" t="n"/>
      <c r="G432" s="133" t="n"/>
      <c r="H432" s="50" t="n"/>
      <c r="I432" s="51">
        <f>IF($C432="","",IFERROR(INDEX(WorkerIDs,MATCH($C432,WorkerNames,0)),"?"))</f>
        <v/>
      </c>
      <c r="J432" s="253">
        <f>IF($B432="","",$B432-WEEKDAY($B432,2)+1)</f>
        <v/>
      </c>
      <c r="K432" s="142">
        <f>IF(OR($I432="",$I432="?",$D432&lt;&gt;"Advance",$B432=""),"",$I432&amp;"|"&amp;$J432&amp;"|"&amp;COUNTIFS($I$7:$I432,$I432,$J$7:$J432,$J432,$D$7:$D432,"Advance"))</f>
        <v/>
      </c>
      <c r="L432" s="266">
        <f>IF(OR($I432="",$I432="?",$B432=""),"",SUMPRODUCT((Weeks!$A$7:$A$59&lt;=$J432)*(Weeks!$X$5:$AI$5=$I432)*Weeks!$X$7:$AI$59)-SUMIFS($E$7:$E$1006,$I$7:$I$1006,$I432,$B$7:$B$1006,"&lt;="&amp;$B432))</f>
        <v/>
      </c>
      <c r="M432" s="132">
        <f>IF($B432&amp;$C432&amp;$D432&amp;$E432="","",IF($B432="","missing date",IF($C432="","missing worker",IF($I432="?","unknown worker - was the name changed on Workers?",IF($D432="","missing type",IF(N($E432)=0,"missing amount",IF(AND($E432&lt;0,$D432&lt;&gt;"Correction"),"negative amount - use a Correction to undo",IF(OR($B432&lt;Weeks!$A$7,$B432&gt;Weeks!$B$59),"date outside this workbook's year",IF(AND($D432="Advance",N($L432)&lt;0),"Warning: more than earned so far - worker now owes "&amp;TEXT(ROUND(-$L432,0),"#,##0"),"")))))))))</f>
        <v/>
      </c>
      <c r="N432" s="125" t="n"/>
      <c r="O432" s="126" t="n"/>
      <c r="P432" s="126" t="n"/>
      <c r="Q432" s="126" t="n"/>
      <c r="R432" s="126" t="n"/>
      <c r="S432" s="126" t="n"/>
      <c r="T432" s="126" t="n"/>
      <c r="U432" s="126" t="n"/>
      <c r="V432" s="126" t="n"/>
      <c r="W432" s="126" t="n"/>
      <c r="X432" s="126" t="n"/>
      <c r="Y432" s="126" t="n"/>
      <c r="Z432" s="126" t="n"/>
      <c r="AA432" s="126" t="n"/>
      <c r="AB432" s="126" t="n"/>
      <c r="AC432" s="126" t="n"/>
      <c r="AD432" s="126" t="n"/>
      <c r="AE432" s="126" t="n"/>
      <c r="AF432" s="126" t="n"/>
      <c r="AG432" s="126" t="n"/>
      <c r="AH432" s="126" t="n"/>
      <c r="AI432" s="126" t="n"/>
      <c r="AJ432" s="126" t="n"/>
      <c r="AK432" s="126" t="n"/>
      <c r="AL432" s="126" t="n"/>
      <c r="AM432" s="126" t="n"/>
      <c r="AN432" s="126" t="n"/>
    </row>
    <row r="433" ht="21" customFormat="1" customHeight="1" s="127">
      <c r="A433" s="51">
        <f>IF($B433="","",ROW()-6)</f>
        <v/>
      </c>
      <c r="B433" s="268" t="n"/>
      <c r="C433" s="133" t="n"/>
      <c r="D433" s="50" t="n"/>
      <c r="E433" s="265" t="n"/>
      <c r="F433" s="133" t="n"/>
      <c r="G433" s="133" t="n"/>
      <c r="H433" s="50" t="n"/>
      <c r="I433" s="51">
        <f>IF($C433="","",IFERROR(INDEX(WorkerIDs,MATCH($C433,WorkerNames,0)),"?"))</f>
        <v/>
      </c>
      <c r="J433" s="253">
        <f>IF($B433="","",$B433-WEEKDAY($B433,2)+1)</f>
        <v/>
      </c>
      <c r="K433" s="142">
        <f>IF(OR($I433="",$I433="?",$D433&lt;&gt;"Advance",$B433=""),"",$I433&amp;"|"&amp;$J433&amp;"|"&amp;COUNTIFS($I$7:$I433,$I433,$J$7:$J433,$J433,$D$7:$D433,"Advance"))</f>
        <v/>
      </c>
      <c r="L433" s="266">
        <f>IF(OR($I433="",$I433="?",$B433=""),"",SUMPRODUCT((Weeks!$A$7:$A$59&lt;=$J433)*(Weeks!$X$5:$AI$5=$I433)*Weeks!$X$7:$AI$59)-SUMIFS($E$7:$E$1006,$I$7:$I$1006,$I433,$B$7:$B$1006,"&lt;="&amp;$B433))</f>
        <v/>
      </c>
      <c r="M433" s="132">
        <f>IF($B433&amp;$C433&amp;$D433&amp;$E433="","",IF($B433="","missing date",IF($C433="","missing worker",IF($I433="?","unknown worker - was the name changed on Workers?",IF($D433="","missing type",IF(N($E433)=0,"missing amount",IF(AND($E433&lt;0,$D433&lt;&gt;"Correction"),"negative amount - use a Correction to undo",IF(OR($B433&lt;Weeks!$A$7,$B433&gt;Weeks!$B$59),"date outside this workbook's year",IF(AND($D433="Advance",N($L433)&lt;0),"Warning: more than earned so far - worker now owes "&amp;TEXT(ROUND(-$L433,0),"#,##0"),"")))))))))</f>
        <v/>
      </c>
      <c r="N433" s="125" t="n"/>
      <c r="O433" s="126" t="n"/>
      <c r="P433" s="126" t="n"/>
      <c r="Q433" s="126" t="n"/>
      <c r="R433" s="126" t="n"/>
      <c r="S433" s="126" t="n"/>
      <c r="T433" s="126" t="n"/>
      <c r="U433" s="126" t="n"/>
      <c r="V433" s="126" t="n"/>
      <c r="W433" s="126" t="n"/>
      <c r="X433" s="126" t="n"/>
      <c r="Y433" s="126" t="n"/>
      <c r="Z433" s="126" t="n"/>
      <c r="AA433" s="126" t="n"/>
      <c r="AB433" s="126" t="n"/>
      <c r="AC433" s="126" t="n"/>
      <c r="AD433" s="126" t="n"/>
      <c r="AE433" s="126" t="n"/>
      <c r="AF433" s="126" t="n"/>
      <c r="AG433" s="126" t="n"/>
      <c r="AH433" s="126" t="n"/>
      <c r="AI433" s="126" t="n"/>
      <c r="AJ433" s="126" t="n"/>
      <c r="AK433" s="126" t="n"/>
      <c r="AL433" s="126" t="n"/>
      <c r="AM433" s="126" t="n"/>
      <c r="AN433" s="126" t="n"/>
    </row>
    <row r="434" ht="21" customFormat="1" customHeight="1" s="127">
      <c r="A434" s="51">
        <f>IF($B434="","",ROW()-6)</f>
        <v/>
      </c>
      <c r="B434" s="268" t="n"/>
      <c r="C434" s="133" t="n"/>
      <c r="D434" s="50" t="n"/>
      <c r="E434" s="265" t="n"/>
      <c r="F434" s="133" t="n"/>
      <c r="G434" s="133" t="n"/>
      <c r="H434" s="50" t="n"/>
      <c r="I434" s="51">
        <f>IF($C434="","",IFERROR(INDEX(WorkerIDs,MATCH($C434,WorkerNames,0)),"?"))</f>
        <v/>
      </c>
      <c r="J434" s="253">
        <f>IF($B434="","",$B434-WEEKDAY($B434,2)+1)</f>
        <v/>
      </c>
      <c r="K434" s="142">
        <f>IF(OR($I434="",$I434="?",$D434&lt;&gt;"Advance",$B434=""),"",$I434&amp;"|"&amp;$J434&amp;"|"&amp;COUNTIFS($I$7:$I434,$I434,$J$7:$J434,$J434,$D$7:$D434,"Advance"))</f>
        <v/>
      </c>
      <c r="L434" s="266">
        <f>IF(OR($I434="",$I434="?",$B434=""),"",SUMPRODUCT((Weeks!$A$7:$A$59&lt;=$J434)*(Weeks!$X$5:$AI$5=$I434)*Weeks!$X$7:$AI$59)-SUMIFS($E$7:$E$1006,$I$7:$I$1006,$I434,$B$7:$B$1006,"&lt;="&amp;$B434))</f>
        <v/>
      </c>
      <c r="M434" s="132">
        <f>IF($B434&amp;$C434&amp;$D434&amp;$E434="","",IF($B434="","missing date",IF($C434="","missing worker",IF($I434="?","unknown worker - was the name changed on Workers?",IF($D434="","missing type",IF(N($E434)=0,"missing amount",IF(AND($E434&lt;0,$D434&lt;&gt;"Correction"),"negative amount - use a Correction to undo",IF(OR($B434&lt;Weeks!$A$7,$B434&gt;Weeks!$B$59),"date outside this workbook's year",IF(AND($D434="Advance",N($L434)&lt;0),"Warning: more than earned so far - worker now owes "&amp;TEXT(ROUND(-$L434,0),"#,##0"),"")))))))))</f>
        <v/>
      </c>
      <c r="N434" s="125" t="n"/>
      <c r="O434" s="126" t="n"/>
      <c r="P434" s="126" t="n"/>
      <c r="Q434" s="126" t="n"/>
      <c r="R434" s="126" t="n"/>
      <c r="S434" s="126" t="n"/>
      <c r="T434" s="126" t="n"/>
      <c r="U434" s="126" t="n"/>
      <c r="V434" s="126" t="n"/>
      <c r="W434" s="126" t="n"/>
      <c r="X434" s="126" t="n"/>
      <c r="Y434" s="126" t="n"/>
      <c r="Z434" s="126" t="n"/>
      <c r="AA434" s="126" t="n"/>
      <c r="AB434" s="126" t="n"/>
      <c r="AC434" s="126" t="n"/>
      <c r="AD434" s="126" t="n"/>
      <c r="AE434" s="126" t="n"/>
      <c r="AF434" s="126" t="n"/>
      <c r="AG434" s="126" t="n"/>
      <c r="AH434" s="126" t="n"/>
      <c r="AI434" s="126" t="n"/>
      <c r="AJ434" s="126" t="n"/>
      <c r="AK434" s="126" t="n"/>
      <c r="AL434" s="126" t="n"/>
      <c r="AM434" s="126" t="n"/>
      <c r="AN434" s="126" t="n"/>
    </row>
    <row r="435" ht="21" customFormat="1" customHeight="1" s="127">
      <c r="A435" s="51">
        <f>IF($B435="","",ROW()-6)</f>
        <v/>
      </c>
      <c r="B435" s="268" t="n"/>
      <c r="C435" s="133" t="n"/>
      <c r="D435" s="50" t="n"/>
      <c r="E435" s="265" t="n"/>
      <c r="F435" s="133" t="n"/>
      <c r="G435" s="133" t="n"/>
      <c r="H435" s="50" t="n"/>
      <c r="I435" s="51">
        <f>IF($C435="","",IFERROR(INDEX(WorkerIDs,MATCH($C435,WorkerNames,0)),"?"))</f>
        <v/>
      </c>
      <c r="J435" s="253">
        <f>IF($B435="","",$B435-WEEKDAY($B435,2)+1)</f>
        <v/>
      </c>
      <c r="K435" s="142">
        <f>IF(OR($I435="",$I435="?",$D435&lt;&gt;"Advance",$B435=""),"",$I435&amp;"|"&amp;$J435&amp;"|"&amp;COUNTIFS($I$7:$I435,$I435,$J$7:$J435,$J435,$D$7:$D435,"Advance"))</f>
        <v/>
      </c>
      <c r="L435" s="266">
        <f>IF(OR($I435="",$I435="?",$B435=""),"",SUMPRODUCT((Weeks!$A$7:$A$59&lt;=$J435)*(Weeks!$X$5:$AI$5=$I435)*Weeks!$X$7:$AI$59)-SUMIFS($E$7:$E$1006,$I$7:$I$1006,$I435,$B$7:$B$1006,"&lt;="&amp;$B435))</f>
        <v/>
      </c>
      <c r="M435" s="132">
        <f>IF($B435&amp;$C435&amp;$D435&amp;$E435="","",IF($B435="","missing date",IF($C435="","missing worker",IF($I435="?","unknown worker - was the name changed on Workers?",IF($D435="","missing type",IF(N($E435)=0,"missing amount",IF(AND($E435&lt;0,$D435&lt;&gt;"Correction"),"negative amount - use a Correction to undo",IF(OR($B435&lt;Weeks!$A$7,$B435&gt;Weeks!$B$59),"date outside this workbook's year",IF(AND($D435="Advance",N($L435)&lt;0),"Warning: more than earned so far - worker now owes "&amp;TEXT(ROUND(-$L435,0),"#,##0"),"")))))))))</f>
        <v/>
      </c>
      <c r="N435" s="125" t="n"/>
      <c r="O435" s="126" t="n"/>
      <c r="P435" s="126" t="n"/>
      <c r="Q435" s="126" t="n"/>
      <c r="R435" s="126" t="n"/>
      <c r="S435" s="126" t="n"/>
      <c r="T435" s="126" t="n"/>
      <c r="U435" s="126" t="n"/>
      <c r="V435" s="126" t="n"/>
      <c r="W435" s="126" t="n"/>
      <c r="X435" s="126" t="n"/>
      <c r="Y435" s="126" t="n"/>
      <c r="Z435" s="126" t="n"/>
      <c r="AA435" s="126" t="n"/>
      <c r="AB435" s="126" t="n"/>
      <c r="AC435" s="126" t="n"/>
      <c r="AD435" s="126" t="n"/>
      <c r="AE435" s="126" t="n"/>
      <c r="AF435" s="126" t="n"/>
      <c r="AG435" s="126" t="n"/>
      <c r="AH435" s="126" t="n"/>
      <c r="AI435" s="126" t="n"/>
      <c r="AJ435" s="126" t="n"/>
      <c r="AK435" s="126" t="n"/>
      <c r="AL435" s="126" t="n"/>
      <c r="AM435" s="126" t="n"/>
      <c r="AN435" s="126" t="n"/>
    </row>
    <row r="436" ht="21" customFormat="1" customHeight="1" s="127">
      <c r="A436" s="51">
        <f>IF($B436="","",ROW()-6)</f>
        <v/>
      </c>
      <c r="B436" s="268" t="n"/>
      <c r="C436" s="133" t="n"/>
      <c r="D436" s="50" t="n"/>
      <c r="E436" s="265" t="n"/>
      <c r="F436" s="133" t="n"/>
      <c r="G436" s="133" t="n"/>
      <c r="H436" s="50" t="n"/>
      <c r="I436" s="51">
        <f>IF($C436="","",IFERROR(INDEX(WorkerIDs,MATCH($C436,WorkerNames,0)),"?"))</f>
        <v/>
      </c>
      <c r="J436" s="253">
        <f>IF($B436="","",$B436-WEEKDAY($B436,2)+1)</f>
        <v/>
      </c>
      <c r="K436" s="142">
        <f>IF(OR($I436="",$I436="?",$D436&lt;&gt;"Advance",$B436=""),"",$I436&amp;"|"&amp;$J436&amp;"|"&amp;COUNTIFS($I$7:$I436,$I436,$J$7:$J436,$J436,$D$7:$D436,"Advance"))</f>
        <v/>
      </c>
      <c r="L436" s="266">
        <f>IF(OR($I436="",$I436="?",$B436=""),"",SUMPRODUCT((Weeks!$A$7:$A$59&lt;=$J436)*(Weeks!$X$5:$AI$5=$I436)*Weeks!$X$7:$AI$59)-SUMIFS($E$7:$E$1006,$I$7:$I$1006,$I436,$B$7:$B$1006,"&lt;="&amp;$B436))</f>
        <v/>
      </c>
      <c r="M436" s="132">
        <f>IF($B436&amp;$C436&amp;$D436&amp;$E436="","",IF($B436="","missing date",IF($C436="","missing worker",IF($I436="?","unknown worker - was the name changed on Workers?",IF($D436="","missing type",IF(N($E436)=0,"missing amount",IF(AND($E436&lt;0,$D436&lt;&gt;"Correction"),"negative amount - use a Correction to undo",IF(OR($B436&lt;Weeks!$A$7,$B436&gt;Weeks!$B$59),"date outside this workbook's year",IF(AND($D436="Advance",N($L436)&lt;0),"Warning: more than earned so far - worker now owes "&amp;TEXT(ROUND(-$L436,0),"#,##0"),"")))))))))</f>
        <v/>
      </c>
      <c r="N436" s="125" t="n"/>
      <c r="O436" s="126" t="n"/>
      <c r="P436" s="126" t="n"/>
      <c r="Q436" s="126" t="n"/>
      <c r="R436" s="126" t="n"/>
      <c r="S436" s="126" t="n"/>
      <c r="T436" s="126" t="n"/>
      <c r="U436" s="126" t="n"/>
      <c r="V436" s="126" t="n"/>
      <c r="W436" s="126" t="n"/>
      <c r="X436" s="126" t="n"/>
      <c r="Y436" s="126" t="n"/>
      <c r="Z436" s="126" t="n"/>
      <c r="AA436" s="126" t="n"/>
      <c r="AB436" s="126" t="n"/>
      <c r="AC436" s="126" t="n"/>
      <c r="AD436" s="126" t="n"/>
      <c r="AE436" s="126" t="n"/>
      <c r="AF436" s="126" t="n"/>
      <c r="AG436" s="126" t="n"/>
      <c r="AH436" s="126" t="n"/>
      <c r="AI436" s="126" t="n"/>
      <c r="AJ436" s="126" t="n"/>
      <c r="AK436" s="126" t="n"/>
      <c r="AL436" s="126" t="n"/>
      <c r="AM436" s="126" t="n"/>
      <c r="AN436" s="126" t="n"/>
    </row>
    <row r="437" ht="21" customFormat="1" customHeight="1" s="127">
      <c r="A437" s="51">
        <f>IF($B437="","",ROW()-6)</f>
        <v/>
      </c>
      <c r="B437" s="268" t="n"/>
      <c r="C437" s="133" t="n"/>
      <c r="D437" s="50" t="n"/>
      <c r="E437" s="265" t="n"/>
      <c r="F437" s="133" t="n"/>
      <c r="G437" s="133" t="n"/>
      <c r="H437" s="50" t="n"/>
      <c r="I437" s="51">
        <f>IF($C437="","",IFERROR(INDEX(WorkerIDs,MATCH($C437,WorkerNames,0)),"?"))</f>
        <v/>
      </c>
      <c r="J437" s="253">
        <f>IF($B437="","",$B437-WEEKDAY($B437,2)+1)</f>
        <v/>
      </c>
      <c r="K437" s="142">
        <f>IF(OR($I437="",$I437="?",$D437&lt;&gt;"Advance",$B437=""),"",$I437&amp;"|"&amp;$J437&amp;"|"&amp;COUNTIFS($I$7:$I437,$I437,$J$7:$J437,$J437,$D$7:$D437,"Advance"))</f>
        <v/>
      </c>
      <c r="L437" s="266">
        <f>IF(OR($I437="",$I437="?",$B437=""),"",SUMPRODUCT((Weeks!$A$7:$A$59&lt;=$J437)*(Weeks!$X$5:$AI$5=$I437)*Weeks!$X$7:$AI$59)-SUMIFS($E$7:$E$1006,$I$7:$I$1006,$I437,$B$7:$B$1006,"&lt;="&amp;$B437))</f>
        <v/>
      </c>
      <c r="M437" s="132">
        <f>IF($B437&amp;$C437&amp;$D437&amp;$E437="","",IF($B437="","missing date",IF($C437="","missing worker",IF($I437="?","unknown worker - was the name changed on Workers?",IF($D437="","missing type",IF(N($E437)=0,"missing amount",IF(AND($E437&lt;0,$D437&lt;&gt;"Correction"),"negative amount - use a Correction to undo",IF(OR($B437&lt;Weeks!$A$7,$B437&gt;Weeks!$B$59),"date outside this workbook's year",IF(AND($D437="Advance",N($L437)&lt;0),"Warning: more than earned so far - worker now owes "&amp;TEXT(ROUND(-$L437,0),"#,##0"),"")))))))))</f>
        <v/>
      </c>
      <c r="N437" s="125" t="n"/>
      <c r="O437" s="126" t="n"/>
      <c r="P437" s="126" t="n"/>
      <c r="Q437" s="126" t="n"/>
      <c r="R437" s="126" t="n"/>
      <c r="S437" s="126" t="n"/>
      <c r="T437" s="126" t="n"/>
      <c r="U437" s="126" t="n"/>
      <c r="V437" s="126" t="n"/>
      <c r="W437" s="126" t="n"/>
      <c r="X437" s="126" t="n"/>
      <c r="Y437" s="126" t="n"/>
      <c r="Z437" s="126" t="n"/>
      <c r="AA437" s="126" t="n"/>
      <c r="AB437" s="126" t="n"/>
      <c r="AC437" s="126" t="n"/>
      <c r="AD437" s="126" t="n"/>
      <c r="AE437" s="126" t="n"/>
      <c r="AF437" s="126" t="n"/>
      <c r="AG437" s="126" t="n"/>
      <c r="AH437" s="126" t="n"/>
      <c r="AI437" s="126" t="n"/>
      <c r="AJ437" s="126" t="n"/>
      <c r="AK437" s="126" t="n"/>
      <c r="AL437" s="126" t="n"/>
      <c r="AM437" s="126" t="n"/>
      <c r="AN437" s="126" t="n"/>
    </row>
    <row r="438" ht="21" customFormat="1" customHeight="1" s="127">
      <c r="A438" s="51">
        <f>IF($B438="","",ROW()-6)</f>
        <v/>
      </c>
      <c r="B438" s="268" t="n"/>
      <c r="C438" s="133" t="n"/>
      <c r="D438" s="50" t="n"/>
      <c r="E438" s="265" t="n"/>
      <c r="F438" s="133" t="n"/>
      <c r="G438" s="133" t="n"/>
      <c r="H438" s="50" t="n"/>
      <c r="I438" s="51">
        <f>IF($C438="","",IFERROR(INDEX(WorkerIDs,MATCH($C438,WorkerNames,0)),"?"))</f>
        <v/>
      </c>
      <c r="J438" s="253">
        <f>IF($B438="","",$B438-WEEKDAY($B438,2)+1)</f>
        <v/>
      </c>
      <c r="K438" s="142">
        <f>IF(OR($I438="",$I438="?",$D438&lt;&gt;"Advance",$B438=""),"",$I438&amp;"|"&amp;$J438&amp;"|"&amp;COUNTIFS($I$7:$I438,$I438,$J$7:$J438,$J438,$D$7:$D438,"Advance"))</f>
        <v/>
      </c>
      <c r="L438" s="266">
        <f>IF(OR($I438="",$I438="?",$B438=""),"",SUMPRODUCT((Weeks!$A$7:$A$59&lt;=$J438)*(Weeks!$X$5:$AI$5=$I438)*Weeks!$X$7:$AI$59)-SUMIFS($E$7:$E$1006,$I$7:$I$1006,$I438,$B$7:$B$1006,"&lt;="&amp;$B438))</f>
        <v/>
      </c>
      <c r="M438" s="132">
        <f>IF($B438&amp;$C438&amp;$D438&amp;$E438="","",IF($B438="","missing date",IF($C438="","missing worker",IF($I438="?","unknown worker - was the name changed on Workers?",IF($D438="","missing type",IF(N($E438)=0,"missing amount",IF(AND($E438&lt;0,$D438&lt;&gt;"Correction"),"negative amount - use a Correction to undo",IF(OR($B438&lt;Weeks!$A$7,$B438&gt;Weeks!$B$59),"date outside this workbook's year",IF(AND($D438="Advance",N($L438)&lt;0),"Warning: more than earned so far - worker now owes "&amp;TEXT(ROUND(-$L438,0),"#,##0"),"")))))))))</f>
        <v/>
      </c>
      <c r="N438" s="125" t="n"/>
      <c r="O438" s="126" t="n"/>
      <c r="P438" s="126" t="n"/>
      <c r="Q438" s="126" t="n"/>
      <c r="R438" s="126" t="n"/>
      <c r="S438" s="126" t="n"/>
      <c r="T438" s="126" t="n"/>
      <c r="U438" s="126" t="n"/>
      <c r="V438" s="126" t="n"/>
      <c r="W438" s="126" t="n"/>
      <c r="X438" s="126" t="n"/>
      <c r="Y438" s="126" t="n"/>
      <c r="Z438" s="126" t="n"/>
      <c r="AA438" s="126" t="n"/>
      <c r="AB438" s="126" t="n"/>
      <c r="AC438" s="126" t="n"/>
      <c r="AD438" s="126" t="n"/>
      <c r="AE438" s="126" t="n"/>
      <c r="AF438" s="126" t="n"/>
      <c r="AG438" s="126" t="n"/>
      <c r="AH438" s="126" t="n"/>
      <c r="AI438" s="126" t="n"/>
      <c r="AJ438" s="126" t="n"/>
      <c r="AK438" s="126" t="n"/>
      <c r="AL438" s="126" t="n"/>
      <c r="AM438" s="126" t="n"/>
      <c r="AN438" s="126" t="n"/>
    </row>
    <row r="439" ht="21" customFormat="1" customHeight="1" s="127">
      <c r="A439" s="51">
        <f>IF($B439="","",ROW()-6)</f>
        <v/>
      </c>
      <c r="B439" s="268" t="n"/>
      <c r="C439" s="133" t="n"/>
      <c r="D439" s="50" t="n"/>
      <c r="E439" s="265" t="n"/>
      <c r="F439" s="133" t="n"/>
      <c r="G439" s="133" t="n"/>
      <c r="H439" s="50" t="n"/>
      <c r="I439" s="51">
        <f>IF($C439="","",IFERROR(INDEX(WorkerIDs,MATCH($C439,WorkerNames,0)),"?"))</f>
        <v/>
      </c>
      <c r="J439" s="253">
        <f>IF($B439="","",$B439-WEEKDAY($B439,2)+1)</f>
        <v/>
      </c>
      <c r="K439" s="142">
        <f>IF(OR($I439="",$I439="?",$D439&lt;&gt;"Advance",$B439=""),"",$I439&amp;"|"&amp;$J439&amp;"|"&amp;COUNTIFS($I$7:$I439,$I439,$J$7:$J439,$J439,$D$7:$D439,"Advance"))</f>
        <v/>
      </c>
      <c r="L439" s="266">
        <f>IF(OR($I439="",$I439="?",$B439=""),"",SUMPRODUCT((Weeks!$A$7:$A$59&lt;=$J439)*(Weeks!$X$5:$AI$5=$I439)*Weeks!$X$7:$AI$59)-SUMIFS($E$7:$E$1006,$I$7:$I$1006,$I439,$B$7:$B$1006,"&lt;="&amp;$B439))</f>
        <v/>
      </c>
      <c r="M439" s="132">
        <f>IF($B439&amp;$C439&amp;$D439&amp;$E439="","",IF($B439="","missing date",IF($C439="","missing worker",IF($I439="?","unknown worker - was the name changed on Workers?",IF($D439="","missing type",IF(N($E439)=0,"missing amount",IF(AND($E439&lt;0,$D439&lt;&gt;"Correction"),"negative amount - use a Correction to undo",IF(OR($B439&lt;Weeks!$A$7,$B439&gt;Weeks!$B$59),"date outside this workbook's year",IF(AND($D439="Advance",N($L439)&lt;0),"Warning: more than earned so far - worker now owes "&amp;TEXT(ROUND(-$L439,0),"#,##0"),"")))))))))</f>
        <v/>
      </c>
      <c r="N439" s="125" t="n"/>
      <c r="O439" s="126" t="n"/>
      <c r="P439" s="126" t="n"/>
      <c r="Q439" s="126" t="n"/>
      <c r="R439" s="126" t="n"/>
      <c r="S439" s="126" t="n"/>
      <c r="T439" s="126" t="n"/>
      <c r="U439" s="126" t="n"/>
      <c r="V439" s="126" t="n"/>
      <c r="W439" s="126" t="n"/>
      <c r="X439" s="126" t="n"/>
      <c r="Y439" s="126" t="n"/>
      <c r="Z439" s="126" t="n"/>
      <c r="AA439" s="126" t="n"/>
      <c r="AB439" s="126" t="n"/>
      <c r="AC439" s="126" t="n"/>
      <c r="AD439" s="126" t="n"/>
      <c r="AE439" s="126" t="n"/>
      <c r="AF439" s="126" t="n"/>
      <c r="AG439" s="126" t="n"/>
      <c r="AH439" s="126" t="n"/>
      <c r="AI439" s="126" t="n"/>
      <c r="AJ439" s="126" t="n"/>
      <c r="AK439" s="126" t="n"/>
      <c r="AL439" s="126" t="n"/>
      <c r="AM439" s="126" t="n"/>
      <c r="AN439" s="126" t="n"/>
    </row>
    <row r="440" ht="21" customFormat="1" customHeight="1" s="127">
      <c r="A440" s="51">
        <f>IF($B440="","",ROW()-6)</f>
        <v/>
      </c>
      <c r="B440" s="268" t="n"/>
      <c r="C440" s="133" t="n"/>
      <c r="D440" s="50" t="n"/>
      <c r="E440" s="265" t="n"/>
      <c r="F440" s="133" t="n"/>
      <c r="G440" s="133" t="n"/>
      <c r="H440" s="50" t="n"/>
      <c r="I440" s="51">
        <f>IF($C440="","",IFERROR(INDEX(WorkerIDs,MATCH($C440,WorkerNames,0)),"?"))</f>
        <v/>
      </c>
      <c r="J440" s="253">
        <f>IF($B440="","",$B440-WEEKDAY($B440,2)+1)</f>
        <v/>
      </c>
      <c r="K440" s="142">
        <f>IF(OR($I440="",$I440="?",$D440&lt;&gt;"Advance",$B440=""),"",$I440&amp;"|"&amp;$J440&amp;"|"&amp;COUNTIFS($I$7:$I440,$I440,$J$7:$J440,$J440,$D$7:$D440,"Advance"))</f>
        <v/>
      </c>
      <c r="L440" s="266">
        <f>IF(OR($I440="",$I440="?",$B440=""),"",SUMPRODUCT((Weeks!$A$7:$A$59&lt;=$J440)*(Weeks!$X$5:$AI$5=$I440)*Weeks!$X$7:$AI$59)-SUMIFS($E$7:$E$1006,$I$7:$I$1006,$I440,$B$7:$B$1006,"&lt;="&amp;$B440))</f>
        <v/>
      </c>
      <c r="M440" s="132">
        <f>IF($B440&amp;$C440&amp;$D440&amp;$E440="","",IF($B440="","missing date",IF($C440="","missing worker",IF($I440="?","unknown worker - was the name changed on Workers?",IF($D440="","missing type",IF(N($E440)=0,"missing amount",IF(AND($E440&lt;0,$D440&lt;&gt;"Correction"),"negative amount - use a Correction to undo",IF(OR($B440&lt;Weeks!$A$7,$B440&gt;Weeks!$B$59),"date outside this workbook's year",IF(AND($D440="Advance",N($L440)&lt;0),"Warning: more than earned so far - worker now owes "&amp;TEXT(ROUND(-$L440,0),"#,##0"),"")))))))))</f>
        <v/>
      </c>
      <c r="N440" s="125" t="n"/>
      <c r="O440" s="126" t="n"/>
      <c r="P440" s="126" t="n"/>
      <c r="Q440" s="126" t="n"/>
      <c r="R440" s="126" t="n"/>
      <c r="S440" s="126" t="n"/>
      <c r="T440" s="126" t="n"/>
      <c r="U440" s="126" t="n"/>
      <c r="V440" s="126" t="n"/>
      <c r="W440" s="126" t="n"/>
      <c r="X440" s="126" t="n"/>
      <c r="Y440" s="126" t="n"/>
      <c r="Z440" s="126" t="n"/>
      <c r="AA440" s="126" t="n"/>
      <c r="AB440" s="126" t="n"/>
      <c r="AC440" s="126" t="n"/>
      <c r="AD440" s="126" t="n"/>
      <c r="AE440" s="126" t="n"/>
      <c r="AF440" s="126" t="n"/>
      <c r="AG440" s="126" t="n"/>
      <c r="AH440" s="126" t="n"/>
      <c r="AI440" s="126" t="n"/>
      <c r="AJ440" s="126" t="n"/>
      <c r="AK440" s="126" t="n"/>
      <c r="AL440" s="126" t="n"/>
      <c r="AM440" s="126" t="n"/>
      <c r="AN440" s="126" t="n"/>
    </row>
    <row r="441" ht="21" customFormat="1" customHeight="1" s="127">
      <c r="A441" s="51">
        <f>IF($B441="","",ROW()-6)</f>
        <v/>
      </c>
      <c r="B441" s="268" t="n"/>
      <c r="C441" s="133" t="n"/>
      <c r="D441" s="50" t="n"/>
      <c r="E441" s="265" t="n"/>
      <c r="F441" s="133" t="n"/>
      <c r="G441" s="133" t="n"/>
      <c r="H441" s="50" t="n"/>
      <c r="I441" s="51">
        <f>IF($C441="","",IFERROR(INDEX(WorkerIDs,MATCH($C441,WorkerNames,0)),"?"))</f>
        <v/>
      </c>
      <c r="J441" s="253">
        <f>IF($B441="","",$B441-WEEKDAY($B441,2)+1)</f>
        <v/>
      </c>
      <c r="K441" s="142">
        <f>IF(OR($I441="",$I441="?",$D441&lt;&gt;"Advance",$B441=""),"",$I441&amp;"|"&amp;$J441&amp;"|"&amp;COUNTIFS($I$7:$I441,$I441,$J$7:$J441,$J441,$D$7:$D441,"Advance"))</f>
        <v/>
      </c>
      <c r="L441" s="266">
        <f>IF(OR($I441="",$I441="?",$B441=""),"",SUMPRODUCT((Weeks!$A$7:$A$59&lt;=$J441)*(Weeks!$X$5:$AI$5=$I441)*Weeks!$X$7:$AI$59)-SUMIFS($E$7:$E$1006,$I$7:$I$1006,$I441,$B$7:$B$1006,"&lt;="&amp;$B441))</f>
        <v/>
      </c>
      <c r="M441" s="132">
        <f>IF($B441&amp;$C441&amp;$D441&amp;$E441="","",IF($B441="","missing date",IF($C441="","missing worker",IF($I441="?","unknown worker - was the name changed on Workers?",IF($D441="","missing type",IF(N($E441)=0,"missing amount",IF(AND($E441&lt;0,$D441&lt;&gt;"Correction"),"negative amount - use a Correction to undo",IF(OR($B441&lt;Weeks!$A$7,$B441&gt;Weeks!$B$59),"date outside this workbook's year",IF(AND($D441="Advance",N($L441)&lt;0),"Warning: more than earned so far - worker now owes "&amp;TEXT(ROUND(-$L441,0),"#,##0"),"")))))))))</f>
        <v/>
      </c>
      <c r="N441" s="125" t="n"/>
      <c r="O441" s="126" t="n"/>
      <c r="P441" s="126" t="n"/>
      <c r="Q441" s="126" t="n"/>
      <c r="R441" s="126" t="n"/>
      <c r="S441" s="126" t="n"/>
      <c r="T441" s="126" t="n"/>
      <c r="U441" s="126" t="n"/>
      <c r="V441" s="126" t="n"/>
      <c r="W441" s="126" t="n"/>
      <c r="X441" s="126" t="n"/>
      <c r="Y441" s="126" t="n"/>
      <c r="Z441" s="126" t="n"/>
      <c r="AA441" s="126" t="n"/>
      <c r="AB441" s="126" t="n"/>
      <c r="AC441" s="126" t="n"/>
      <c r="AD441" s="126" t="n"/>
      <c r="AE441" s="126" t="n"/>
      <c r="AF441" s="126" t="n"/>
      <c r="AG441" s="126" t="n"/>
      <c r="AH441" s="126" t="n"/>
      <c r="AI441" s="126" t="n"/>
      <c r="AJ441" s="126" t="n"/>
      <c r="AK441" s="126" t="n"/>
      <c r="AL441" s="126" t="n"/>
      <c r="AM441" s="126" t="n"/>
      <c r="AN441" s="126" t="n"/>
    </row>
    <row r="442" ht="21" customFormat="1" customHeight="1" s="127">
      <c r="A442" s="51">
        <f>IF($B442="","",ROW()-6)</f>
        <v/>
      </c>
      <c r="B442" s="268" t="n"/>
      <c r="C442" s="133" t="n"/>
      <c r="D442" s="50" t="n"/>
      <c r="E442" s="265" t="n"/>
      <c r="F442" s="133" t="n"/>
      <c r="G442" s="133" t="n"/>
      <c r="H442" s="50" t="n"/>
      <c r="I442" s="51">
        <f>IF($C442="","",IFERROR(INDEX(WorkerIDs,MATCH($C442,WorkerNames,0)),"?"))</f>
        <v/>
      </c>
      <c r="J442" s="253">
        <f>IF($B442="","",$B442-WEEKDAY($B442,2)+1)</f>
        <v/>
      </c>
      <c r="K442" s="142">
        <f>IF(OR($I442="",$I442="?",$D442&lt;&gt;"Advance",$B442=""),"",$I442&amp;"|"&amp;$J442&amp;"|"&amp;COUNTIFS($I$7:$I442,$I442,$J$7:$J442,$J442,$D$7:$D442,"Advance"))</f>
        <v/>
      </c>
      <c r="L442" s="266">
        <f>IF(OR($I442="",$I442="?",$B442=""),"",SUMPRODUCT((Weeks!$A$7:$A$59&lt;=$J442)*(Weeks!$X$5:$AI$5=$I442)*Weeks!$X$7:$AI$59)-SUMIFS($E$7:$E$1006,$I$7:$I$1006,$I442,$B$7:$B$1006,"&lt;="&amp;$B442))</f>
        <v/>
      </c>
      <c r="M442" s="132">
        <f>IF($B442&amp;$C442&amp;$D442&amp;$E442="","",IF($B442="","missing date",IF($C442="","missing worker",IF($I442="?","unknown worker - was the name changed on Workers?",IF($D442="","missing type",IF(N($E442)=0,"missing amount",IF(AND($E442&lt;0,$D442&lt;&gt;"Correction"),"negative amount - use a Correction to undo",IF(OR($B442&lt;Weeks!$A$7,$B442&gt;Weeks!$B$59),"date outside this workbook's year",IF(AND($D442="Advance",N($L442)&lt;0),"Warning: more than earned so far - worker now owes "&amp;TEXT(ROUND(-$L442,0),"#,##0"),"")))))))))</f>
        <v/>
      </c>
      <c r="N442" s="125" t="n"/>
      <c r="O442" s="126" t="n"/>
      <c r="P442" s="126" t="n"/>
      <c r="Q442" s="126" t="n"/>
      <c r="R442" s="126" t="n"/>
      <c r="S442" s="126" t="n"/>
      <c r="T442" s="126" t="n"/>
      <c r="U442" s="126" t="n"/>
      <c r="V442" s="126" t="n"/>
      <c r="W442" s="126" t="n"/>
      <c r="X442" s="126" t="n"/>
      <c r="Y442" s="126" t="n"/>
      <c r="Z442" s="126" t="n"/>
      <c r="AA442" s="126" t="n"/>
      <c r="AB442" s="126" t="n"/>
      <c r="AC442" s="126" t="n"/>
      <c r="AD442" s="126" t="n"/>
      <c r="AE442" s="126" t="n"/>
      <c r="AF442" s="126" t="n"/>
      <c r="AG442" s="126" t="n"/>
      <c r="AH442" s="126" t="n"/>
      <c r="AI442" s="126" t="n"/>
      <c r="AJ442" s="126" t="n"/>
      <c r="AK442" s="126" t="n"/>
      <c r="AL442" s="126" t="n"/>
      <c r="AM442" s="126" t="n"/>
      <c r="AN442" s="126" t="n"/>
    </row>
    <row r="443" ht="21" customFormat="1" customHeight="1" s="127">
      <c r="A443" s="51">
        <f>IF($B443="","",ROW()-6)</f>
        <v/>
      </c>
      <c r="B443" s="268" t="n"/>
      <c r="C443" s="133" t="n"/>
      <c r="D443" s="50" t="n"/>
      <c r="E443" s="265" t="n"/>
      <c r="F443" s="133" t="n"/>
      <c r="G443" s="133" t="n"/>
      <c r="H443" s="50" t="n"/>
      <c r="I443" s="51">
        <f>IF($C443="","",IFERROR(INDEX(WorkerIDs,MATCH($C443,WorkerNames,0)),"?"))</f>
        <v/>
      </c>
      <c r="J443" s="253">
        <f>IF($B443="","",$B443-WEEKDAY($B443,2)+1)</f>
        <v/>
      </c>
      <c r="K443" s="142">
        <f>IF(OR($I443="",$I443="?",$D443&lt;&gt;"Advance",$B443=""),"",$I443&amp;"|"&amp;$J443&amp;"|"&amp;COUNTIFS($I$7:$I443,$I443,$J$7:$J443,$J443,$D$7:$D443,"Advance"))</f>
        <v/>
      </c>
      <c r="L443" s="266">
        <f>IF(OR($I443="",$I443="?",$B443=""),"",SUMPRODUCT((Weeks!$A$7:$A$59&lt;=$J443)*(Weeks!$X$5:$AI$5=$I443)*Weeks!$X$7:$AI$59)-SUMIFS($E$7:$E$1006,$I$7:$I$1006,$I443,$B$7:$B$1006,"&lt;="&amp;$B443))</f>
        <v/>
      </c>
      <c r="M443" s="132">
        <f>IF($B443&amp;$C443&amp;$D443&amp;$E443="","",IF($B443="","missing date",IF($C443="","missing worker",IF($I443="?","unknown worker - was the name changed on Workers?",IF($D443="","missing type",IF(N($E443)=0,"missing amount",IF(AND($E443&lt;0,$D443&lt;&gt;"Correction"),"negative amount - use a Correction to undo",IF(OR($B443&lt;Weeks!$A$7,$B443&gt;Weeks!$B$59),"date outside this workbook's year",IF(AND($D443="Advance",N($L443)&lt;0),"Warning: more than earned so far - worker now owes "&amp;TEXT(ROUND(-$L443,0),"#,##0"),"")))))))))</f>
        <v/>
      </c>
      <c r="N443" s="125" t="n"/>
      <c r="O443" s="126" t="n"/>
      <c r="P443" s="126" t="n"/>
      <c r="Q443" s="126" t="n"/>
      <c r="R443" s="126" t="n"/>
      <c r="S443" s="126" t="n"/>
      <c r="T443" s="126" t="n"/>
      <c r="U443" s="126" t="n"/>
      <c r="V443" s="126" t="n"/>
      <c r="W443" s="126" t="n"/>
      <c r="X443" s="126" t="n"/>
      <c r="Y443" s="126" t="n"/>
      <c r="Z443" s="126" t="n"/>
      <c r="AA443" s="126" t="n"/>
      <c r="AB443" s="126" t="n"/>
      <c r="AC443" s="126" t="n"/>
      <c r="AD443" s="126" t="n"/>
      <c r="AE443" s="126" t="n"/>
      <c r="AF443" s="126" t="n"/>
      <c r="AG443" s="126" t="n"/>
      <c r="AH443" s="126" t="n"/>
      <c r="AI443" s="126" t="n"/>
      <c r="AJ443" s="126" t="n"/>
      <c r="AK443" s="126" t="n"/>
      <c r="AL443" s="126" t="n"/>
      <c r="AM443" s="126" t="n"/>
      <c r="AN443" s="126" t="n"/>
    </row>
    <row r="444" ht="21" customFormat="1" customHeight="1" s="127">
      <c r="A444" s="51">
        <f>IF($B444="","",ROW()-6)</f>
        <v/>
      </c>
      <c r="B444" s="268" t="n"/>
      <c r="C444" s="133" t="n"/>
      <c r="D444" s="50" t="n"/>
      <c r="E444" s="265" t="n"/>
      <c r="F444" s="133" t="n"/>
      <c r="G444" s="133" t="n"/>
      <c r="H444" s="50" t="n"/>
      <c r="I444" s="51">
        <f>IF($C444="","",IFERROR(INDEX(WorkerIDs,MATCH($C444,WorkerNames,0)),"?"))</f>
        <v/>
      </c>
      <c r="J444" s="253">
        <f>IF($B444="","",$B444-WEEKDAY($B444,2)+1)</f>
        <v/>
      </c>
      <c r="K444" s="142">
        <f>IF(OR($I444="",$I444="?",$D444&lt;&gt;"Advance",$B444=""),"",$I444&amp;"|"&amp;$J444&amp;"|"&amp;COUNTIFS($I$7:$I444,$I444,$J$7:$J444,$J444,$D$7:$D444,"Advance"))</f>
        <v/>
      </c>
      <c r="L444" s="266">
        <f>IF(OR($I444="",$I444="?",$B444=""),"",SUMPRODUCT((Weeks!$A$7:$A$59&lt;=$J444)*(Weeks!$X$5:$AI$5=$I444)*Weeks!$X$7:$AI$59)-SUMIFS($E$7:$E$1006,$I$7:$I$1006,$I444,$B$7:$B$1006,"&lt;="&amp;$B444))</f>
        <v/>
      </c>
      <c r="M444" s="132">
        <f>IF($B444&amp;$C444&amp;$D444&amp;$E444="","",IF($B444="","missing date",IF($C444="","missing worker",IF($I444="?","unknown worker - was the name changed on Workers?",IF($D444="","missing type",IF(N($E444)=0,"missing amount",IF(AND($E444&lt;0,$D444&lt;&gt;"Correction"),"negative amount - use a Correction to undo",IF(OR($B444&lt;Weeks!$A$7,$B444&gt;Weeks!$B$59),"date outside this workbook's year",IF(AND($D444="Advance",N($L444)&lt;0),"Warning: more than earned so far - worker now owes "&amp;TEXT(ROUND(-$L444,0),"#,##0"),"")))))))))</f>
        <v/>
      </c>
      <c r="N444" s="125" t="n"/>
      <c r="O444" s="126" t="n"/>
      <c r="P444" s="126" t="n"/>
      <c r="Q444" s="126" t="n"/>
      <c r="R444" s="126" t="n"/>
      <c r="S444" s="126" t="n"/>
      <c r="T444" s="126" t="n"/>
      <c r="U444" s="126" t="n"/>
      <c r="V444" s="126" t="n"/>
      <c r="W444" s="126" t="n"/>
      <c r="X444" s="126" t="n"/>
      <c r="Y444" s="126" t="n"/>
      <c r="Z444" s="126" t="n"/>
      <c r="AA444" s="126" t="n"/>
      <c r="AB444" s="126" t="n"/>
      <c r="AC444" s="126" t="n"/>
      <c r="AD444" s="126" t="n"/>
      <c r="AE444" s="126" t="n"/>
      <c r="AF444" s="126" t="n"/>
      <c r="AG444" s="126" t="n"/>
      <c r="AH444" s="126" t="n"/>
      <c r="AI444" s="126" t="n"/>
      <c r="AJ444" s="126" t="n"/>
      <c r="AK444" s="126" t="n"/>
      <c r="AL444" s="126" t="n"/>
      <c r="AM444" s="126" t="n"/>
      <c r="AN444" s="126" t="n"/>
    </row>
    <row r="445" ht="21" customFormat="1" customHeight="1" s="127">
      <c r="A445" s="51">
        <f>IF($B445="","",ROW()-6)</f>
        <v/>
      </c>
      <c r="B445" s="268" t="n"/>
      <c r="C445" s="133" t="n"/>
      <c r="D445" s="50" t="n"/>
      <c r="E445" s="265" t="n"/>
      <c r="F445" s="133" t="n"/>
      <c r="G445" s="133" t="n"/>
      <c r="H445" s="50" t="n"/>
      <c r="I445" s="51">
        <f>IF($C445="","",IFERROR(INDEX(WorkerIDs,MATCH($C445,WorkerNames,0)),"?"))</f>
        <v/>
      </c>
      <c r="J445" s="253">
        <f>IF($B445="","",$B445-WEEKDAY($B445,2)+1)</f>
        <v/>
      </c>
      <c r="K445" s="142">
        <f>IF(OR($I445="",$I445="?",$D445&lt;&gt;"Advance",$B445=""),"",$I445&amp;"|"&amp;$J445&amp;"|"&amp;COUNTIFS($I$7:$I445,$I445,$J$7:$J445,$J445,$D$7:$D445,"Advance"))</f>
        <v/>
      </c>
      <c r="L445" s="266">
        <f>IF(OR($I445="",$I445="?",$B445=""),"",SUMPRODUCT((Weeks!$A$7:$A$59&lt;=$J445)*(Weeks!$X$5:$AI$5=$I445)*Weeks!$X$7:$AI$59)-SUMIFS($E$7:$E$1006,$I$7:$I$1006,$I445,$B$7:$B$1006,"&lt;="&amp;$B445))</f>
        <v/>
      </c>
      <c r="M445" s="132">
        <f>IF($B445&amp;$C445&amp;$D445&amp;$E445="","",IF($B445="","missing date",IF($C445="","missing worker",IF($I445="?","unknown worker - was the name changed on Workers?",IF($D445="","missing type",IF(N($E445)=0,"missing amount",IF(AND($E445&lt;0,$D445&lt;&gt;"Correction"),"negative amount - use a Correction to undo",IF(OR($B445&lt;Weeks!$A$7,$B445&gt;Weeks!$B$59),"date outside this workbook's year",IF(AND($D445="Advance",N($L445)&lt;0),"Warning: more than earned so far - worker now owes "&amp;TEXT(ROUND(-$L445,0),"#,##0"),"")))))))))</f>
        <v/>
      </c>
      <c r="N445" s="125" t="n"/>
      <c r="O445" s="126" t="n"/>
      <c r="P445" s="126" t="n"/>
      <c r="Q445" s="126" t="n"/>
      <c r="R445" s="126" t="n"/>
      <c r="S445" s="126" t="n"/>
      <c r="T445" s="126" t="n"/>
      <c r="U445" s="126" t="n"/>
      <c r="V445" s="126" t="n"/>
      <c r="W445" s="126" t="n"/>
      <c r="X445" s="126" t="n"/>
      <c r="Y445" s="126" t="n"/>
      <c r="Z445" s="126" t="n"/>
      <c r="AA445" s="126" t="n"/>
      <c r="AB445" s="126" t="n"/>
      <c r="AC445" s="126" t="n"/>
      <c r="AD445" s="126" t="n"/>
      <c r="AE445" s="126" t="n"/>
      <c r="AF445" s="126" t="n"/>
      <c r="AG445" s="126" t="n"/>
      <c r="AH445" s="126" t="n"/>
      <c r="AI445" s="126" t="n"/>
      <c r="AJ445" s="126" t="n"/>
      <c r="AK445" s="126" t="n"/>
      <c r="AL445" s="126" t="n"/>
      <c r="AM445" s="126" t="n"/>
      <c r="AN445" s="126" t="n"/>
    </row>
    <row r="446" ht="21" customFormat="1" customHeight="1" s="127">
      <c r="A446" s="51">
        <f>IF($B446="","",ROW()-6)</f>
        <v/>
      </c>
      <c r="B446" s="268" t="n"/>
      <c r="C446" s="133" t="n"/>
      <c r="D446" s="50" t="n"/>
      <c r="E446" s="265" t="n"/>
      <c r="F446" s="133" t="n"/>
      <c r="G446" s="133" t="n"/>
      <c r="H446" s="50" t="n"/>
      <c r="I446" s="51">
        <f>IF($C446="","",IFERROR(INDEX(WorkerIDs,MATCH($C446,WorkerNames,0)),"?"))</f>
        <v/>
      </c>
      <c r="J446" s="253">
        <f>IF($B446="","",$B446-WEEKDAY($B446,2)+1)</f>
        <v/>
      </c>
      <c r="K446" s="142">
        <f>IF(OR($I446="",$I446="?",$D446&lt;&gt;"Advance",$B446=""),"",$I446&amp;"|"&amp;$J446&amp;"|"&amp;COUNTIFS($I$7:$I446,$I446,$J$7:$J446,$J446,$D$7:$D446,"Advance"))</f>
        <v/>
      </c>
      <c r="L446" s="266">
        <f>IF(OR($I446="",$I446="?",$B446=""),"",SUMPRODUCT((Weeks!$A$7:$A$59&lt;=$J446)*(Weeks!$X$5:$AI$5=$I446)*Weeks!$X$7:$AI$59)-SUMIFS($E$7:$E$1006,$I$7:$I$1006,$I446,$B$7:$B$1006,"&lt;="&amp;$B446))</f>
        <v/>
      </c>
      <c r="M446" s="132">
        <f>IF($B446&amp;$C446&amp;$D446&amp;$E446="","",IF($B446="","missing date",IF($C446="","missing worker",IF($I446="?","unknown worker - was the name changed on Workers?",IF($D446="","missing type",IF(N($E446)=0,"missing amount",IF(AND($E446&lt;0,$D446&lt;&gt;"Correction"),"negative amount - use a Correction to undo",IF(OR($B446&lt;Weeks!$A$7,$B446&gt;Weeks!$B$59),"date outside this workbook's year",IF(AND($D446="Advance",N($L446)&lt;0),"Warning: more than earned so far - worker now owes "&amp;TEXT(ROUND(-$L446,0),"#,##0"),"")))))))))</f>
        <v/>
      </c>
      <c r="N446" s="125" t="n"/>
      <c r="O446" s="126" t="n"/>
      <c r="P446" s="126" t="n"/>
      <c r="Q446" s="126" t="n"/>
      <c r="R446" s="126" t="n"/>
      <c r="S446" s="126" t="n"/>
      <c r="T446" s="126" t="n"/>
      <c r="U446" s="126" t="n"/>
      <c r="V446" s="126" t="n"/>
      <c r="W446" s="126" t="n"/>
      <c r="X446" s="126" t="n"/>
      <c r="Y446" s="126" t="n"/>
      <c r="Z446" s="126" t="n"/>
      <c r="AA446" s="126" t="n"/>
      <c r="AB446" s="126" t="n"/>
      <c r="AC446" s="126" t="n"/>
      <c r="AD446" s="126" t="n"/>
      <c r="AE446" s="126" t="n"/>
      <c r="AF446" s="126" t="n"/>
      <c r="AG446" s="126" t="n"/>
      <c r="AH446" s="126" t="n"/>
      <c r="AI446" s="126" t="n"/>
      <c r="AJ446" s="126" t="n"/>
      <c r="AK446" s="126" t="n"/>
      <c r="AL446" s="126" t="n"/>
      <c r="AM446" s="126" t="n"/>
      <c r="AN446" s="126" t="n"/>
    </row>
    <row r="447" ht="21" customFormat="1" customHeight="1" s="127">
      <c r="A447" s="51">
        <f>IF($B447="","",ROW()-6)</f>
        <v/>
      </c>
      <c r="B447" s="268" t="n"/>
      <c r="C447" s="133" t="n"/>
      <c r="D447" s="50" t="n"/>
      <c r="E447" s="265" t="n"/>
      <c r="F447" s="133" t="n"/>
      <c r="G447" s="133" t="n"/>
      <c r="H447" s="50" t="n"/>
      <c r="I447" s="51">
        <f>IF($C447="","",IFERROR(INDEX(WorkerIDs,MATCH($C447,WorkerNames,0)),"?"))</f>
        <v/>
      </c>
      <c r="J447" s="253">
        <f>IF($B447="","",$B447-WEEKDAY($B447,2)+1)</f>
        <v/>
      </c>
      <c r="K447" s="142">
        <f>IF(OR($I447="",$I447="?",$D447&lt;&gt;"Advance",$B447=""),"",$I447&amp;"|"&amp;$J447&amp;"|"&amp;COUNTIFS($I$7:$I447,$I447,$J$7:$J447,$J447,$D$7:$D447,"Advance"))</f>
        <v/>
      </c>
      <c r="L447" s="266">
        <f>IF(OR($I447="",$I447="?",$B447=""),"",SUMPRODUCT((Weeks!$A$7:$A$59&lt;=$J447)*(Weeks!$X$5:$AI$5=$I447)*Weeks!$X$7:$AI$59)-SUMIFS($E$7:$E$1006,$I$7:$I$1006,$I447,$B$7:$B$1006,"&lt;="&amp;$B447))</f>
        <v/>
      </c>
      <c r="M447" s="132">
        <f>IF($B447&amp;$C447&amp;$D447&amp;$E447="","",IF($B447="","missing date",IF($C447="","missing worker",IF($I447="?","unknown worker - was the name changed on Workers?",IF($D447="","missing type",IF(N($E447)=0,"missing amount",IF(AND($E447&lt;0,$D447&lt;&gt;"Correction"),"negative amount - use a Correction to undo",IF(OR($B447&lt;Weeks!$A$7,$B447&gt;Weeks!$B$59),"date outside this workbook's year",IF(AND($D447="Advance",N($L447)&lt;0),"Warning: more than earned so far - worker now owes "&amp;TEXT(ROUND(-$L447,0),"#,##0"),"")))))))))</f>
        <v/>
      </c>
      <c r="N447" s="125" t="n"/>
      <c r="O447" s="126" t="n"/>
      <c r="P447" s="126" t="n"/>
      <c r="Q447" s="126" t="n"/>
      <c r="R447" s="126" t="n"/>
      <c r="S447" s="126" t="n"/>
      <c r="T447" s="126" t="n"/>
      <c r="U447" s="126" t="n"/>
      <c r="V447" s="126" t="n"/>
      <c r="W447" s="126" t="n"/>
      <c r="X447" s="126" t="n"/>
      <c r="Y447" s="126" t="n"/>
      <c r="Z447" s="126" t="n"/>
      <c r="AA447" s="126" t="n"/>
      <c r="AB447" s="126" t="n"/>
      <c r="AC447" s="126" t="n"/>
      <c r="AD447" s="126" t="n"/>
      <c r="AE447" s="126" t="n"/>
      <c r="AF447" s="126" t="n"/>
      <c r="AG447" s="126" t="n"/>
      <c r="AH447" s="126" t="n"/>
      <c r="AI447" s="126" t="n"/>
      <c r="AJ447" s="126" t="n"/>
      <c r="AK447" s="126" t="n"/>
      <c r="AL447" s="126" t="n"/>
      <c r="AM447" s="126" t="n"/>
      <c r="AN447" s="126" t="n"/>
    </row>
    <row r="448" ht="21" customFormat="1" customHeight="1" s="127">
      <c r="A448" s="51">
        <f>IF($B448="","",ROW()-6)</f>
        <v/>
      </c>
      <c r="B448" s="268" t="n"/>
      <c r="C448" s="133" t="n"/>
      <c r="D448" s="50" t="n"/>
      <c r="E448" s="265" t="n"/>
      <c r="F448" s="133" t="n"/>
      <c r="G448" s="133" t="n"/>
      <c r="H448" s="50" t="n"/>
      <c r="I448" s="51">
        <f>IF($C448="","",IFERROR(INDEX(WorkerIDs,MATCH($C448,WorkerNames,0)),"?"))</f>
        <v/>
      </c>
      <c r="J448" s="253">
        <f>IF($B448="","",$B448-WEEKDAY($B448,2)+1)</f>
        <v/>
      </c>
      <c r="K448" s="142">
        <f>IF(OR($I448="",$I448="?",$D448&lt;&gt;"Advance",$B448=""),"",$I448&amp;"|"&amp;$J448&amp;"|"&amp;COUNTIFS($I$7:$I448,$I448,$J$7:$J448,$J448,$D$7:$D448,"Advance"))</f>
        <v/>
      </c>
      <c r="L448" s="266">
        <f>IF(OR($I448="",$I448="?",$B448=""),"",SUMPRODUCT((Weeks!$A$7:$A$59&lt;=$J448)*(Weeks!$X$5:$AI$5=$I448)*Weeks!$X$7:$AI$59)-SUMIFS($E$7:$E$1006,$I$7:$I$1006,$I448,$B$7:$B$1006,"&lt;="&amp;$B448))</f>
        <v/>
      </c>
      <c r="M448" s="132">
        <f>IF($B448&amp;$C448&amp;$D448&amp;$E448="","",IF($B448="","missing date",IF($C448="","missing worker",IF($I448="?","unknown worker - was the name changed on Workers?",IF($D448="","missing type",IF(N($E448)=0,"missing amount",IF(AND($E448&lt;0,$D448&lt;&gt;"Correction"),"negative amount - use a Correction to undo",IF(OR($B448&lt;Weeks!$A$7,$B448&gt;Weeks!$B$59),"date outside this workbook's year",IF(AND($D448="Advance",N($L448)&lt;0),"Warning: more than earned so far - worker now owes "&amp;TEXT(ROUND(-$L448,0),"#,##0"),"")))))))))</f>
        <v/>
      </c>
      <c r="N448" s="125" t="n"/>
      <c r="O448" s="126" t="n"/>
      <c r="P448" s="126" t="n"/>
      <c r="Q448" s="126" t="n"/>
      <c r="R448" s="126" t="n"/>
      <c r="S448" s="126" t="n"/>
      <c r="T448" s="126" t="n"/>
      <c r="U448" s="126" t="n"/>
      <c r="V448" s="126" t="n"/>
      <c r="W448" s="126" t="n"/>
      <c r="X448" s="126" t="n"/>
      <c r="Y448" s="126" t="n"/>
      <c r="Z448" s="126" t="n"/>
      <c r="AA448" s="126" t="n"/>
      <c r="AB448" s="126" t="n"/>
      <c r="AC448" s="126" t="n"/>
      <c r="AD448" s="126" t="n"/>
      <c r="AE448" s="126" t="n"/>
      <c r="AF448" s="126" t="n"/>
      <c r="AG448" s="126" t="n"/>
      <c r="AH448" s="126" t="n"/>
      <c r="AI448" s="126" t="n"/>
      <c r="AJ448" s="126" t="n"/>
      <c r="AK448" s="126" t="n"/>
      <c r="AL448" s="126" t="n"/>
      <c r="AM448" s="126" t="n"/>
      <c r="AN448" s="126" t="n"/>
    </row>
    <row r="449" ht="21" customFormat="1" customHeight="1" s="127">
      <c r="A449" s="51">
        <f>IF($B449="","",ROW()-6)</f>
        <v/>
      </c>
      <c r="B449" s="268" t="n"/>
      <c r="C449" s="133" t="n"/>
      <c r="D449" s="50" t="n"/>
      <c r="E449" s="265" t="n"/>
      <c r="F449" s="133" t="n"/>
      <c r="G449" s="133" t="n"/>
      <c r="H449" s="50" t="n"/>
      <c r="I449" s="51">
        <f>IF($C449="","",IFERROR(INDEX(WorkerIDs,MATCH($C449,WorkerNames,0)),"?"))</f>
        <v/>
      </c>
      <c r="J449" s="253">
        <f>IF($B449="","",$B449-WEEKDAY($B449,2)+1)</f>
        <v/>
      </c>
      <c r="K449" s="142">
        <f>IF(OR($I449="",$I449="?",$D449&lt;&gt;"Advance",$B449=""),"",$I449&amp;"|"&amp;$J449&amp;"|"&amp;COUNTIFS($I$7:$I449,$I449,$J$7:$J449,$J449,$D$7:$D449,"Advance"))</f>
        <v/>
      </c>
      <c r="L449" s="266">
        <f>IF(OR($I449="",$I449="?",$B449=""),"",SUMPRODUCT((Weeks!$A$7:$A$59&lt;=$J449)*(Weeks!$X$5:$AI$5=$I449)*Weeks!$X$7:$AI$59)-SUMIFS($E$7:$E$1006,$I$7:$I$1006,$I449,$B$7:$B$1006,"&lt;="&amp;$B449))</f>
        <v/>
      </c>
      <c r="M449" s="132">
        <f>IF($B449&amp;$C449&amp;$D449&amp;$E449="","",IF($B449="","missing date",IF($C449="","missing worker",IF($I449="?","unknown worker - was the name changed on Workers?",IF($D449="","missing type",IF(N($E449)=0,"missing amount",IF(AND($E449&lt;0,$D449&lt;&gt;"Correction"),"negative amount - use a Correction to undo",IF(OR($B449&lt;Weeks!$A$7,$B449&gt;Weeks!$B$59),"date outside this workbook's year",IF(AND($D449="Advance",N($L449)&lt;0),"Warning: more than earned so far - worker now owes "&amp;TEXT(ROUND(-$L449,0),"#,##0"),"")))))))))</f>
        <v/>
      </c>
      <c r="N449" s="125" t="n"/>
      <c r="O449" s="126" t="n"/>
      <c r="P449" s="126" t="n"/>
      <c r="Q449" s="126" t="n"/>
      <c r="R449" s="126" t="n"/>
      <c r="S449" s="126" t="n"/>
      <c r="T449" s="126" t="n"/>
      <c r="U449" s="126" t="n"/>
      <c r="V449" s="126" t="n"/>
      <c r="W449" s="126" t="n"/>
      <c r="X449" s="126" t="n"/>
      <c r="Y449" s="126" t="n"/>
      <c r="Z449" s="126" t="n"/>
      <c r="AA449" s="126" t="n"/>
      <c r="AB449" s="126" t="n"/>
      <c r="AC449" s="126" t="n"/>
      <c r="AD449" s="126" t="n"/>
      <c r="AE449" s="126" t="n"/>
      <c r="AF449" s="126" t="n"/>
      <c r="AG449" s="126" t="n"/>
      <c r="AH449" s="126" t="n"/>
      <c r="AI449" s="126" t="n"/>
      <c r="AJ449" s="126" t="n"/>
      <c r="AK449" s="126" t="n"/>
      <c r="AL449" s="126" t="n"/>
      <c r="AM449" s="126" t="n"/>
      <c r="AN449" s="126" t="n"/>
    </row>
    <row r="450" ht="21" customFormat="1" customHeight="1" s="127">
      <c r="A450" s="51">
        <f>IF($B450="","",ROW()-6)</f>
        <v/>
      </c>
      <c r="B450" s="268" t="n"/>
      <c r="C450" s="133" t="n"/>
      <c r="D450" s="50" t="n"/>
      <c r="E450" s="265" t="n"/>
      <c r="F450" s="133" t="n"/>
      <c r="G450" s="133" t="n"/>
      <c r="H450" s="50" t="n"/>
      <c r="I450" s="51">
        <f>IF($C450="","",IFERROR(INDEX(WorkerIDs,MATCH($C450,WorkerNames,0)),"?"))</f>
        <v/>
      </c>
      <c r="J450" s="253">
        <f>IF($B450="","",$B450-WEEKDAY($B450,2)+1)</f>
        <v/>
      </c>
      <c r="K450" s="142">
        <f>IF(OR($I450="",$I450="?",$D450&lt;&gt;"Advance",$B450=""),"",$I450&amp;"|"&amp;$J450&amp;"|"&amp;COUNTIFS($I$7:$I450,$I450,$J$7:$J450,$J450,$D$7:$D450,"Advance"))</f>
        <v/>
      </c>
      <c r="L450" s="266">
        <f>IF(OR($I450="",$I450="?",$B450=""),"",SUMPRODUCT((Weeks!$A$7:$A$59&lt;=$J450)*(Weeks!$X$5:$AI$5=$I450)*Weeks!$X$7:$AI$59)-SUMIFS($E$7:$E$1006,$I$7:$I$1006,$I450,$B$7:$B$1006,"&lt;="&amp;$B450))</f>
        <v/>
      </c>
      <c r="M450" s="132">
        <f>IF($B450&amp;$C450&amp;$D450&amp;$E450="","",IF($B450="","missing date",IF($C450="","missing worker",IF($I450="?","unknown worker - was the name changed on Workers?",IF($D450="","missing type",IF(N($E450)=0,"missing amount",IF(AND($E450&lt;0,$D450&lt;&gt;"Correction"),"negative amount - use a Correction to undo",IF(OR($B450&lt;Weeks!$A$7,$B450&gt;Weeks!$B$59),"date outside this workbook's year",IF(AND($D450="Advance",N($L450)&lt;0),"Warning: more than earned so far - worker now owes "&amp;TEXT(ROUND(-$L450,0),"#,##0"),"")))))))))</f>
        <v/>
      </c>
      <c r="N450" s="125" t="n"/>
      <c r="O450" s="126" t="n"/>
      <c r="P450" s="126" t="n"/>
      <c r="Q450" s="126" t="n"/>
      <c r="R450" s="126" t="n"/>
      <c r="S450" s="126" t="n"/>
      <c r="T450" s="126" t="n"/>
      <c r="U450" s="126" t="n"/>
      <c r="V450" s="126" t="n"/>
      <c r="W450" s="126" t="n"/>
      <c r="X450" s="126" t="n"/>
      <c r="Y450" s="126" t="n"/>
      <c r="Z450" s="126" t="n"/>
      <c r="AA450" s="126" t="n"/>
      <c r="AB450" s="126" t="n"/>
      <c r="AC450" s="126" t="n"/>
      <c r="AD450" s="126" t="n"/>
      <c r="AE450" s="126" t="n"/>
      <c r="AF450" s="126" t="n"/>
      <c r="AG450" s="126" t="n"/>
      <c r="AH450" s="126" t="n"/>
      <c r="AI450" s="126" t="n"/>
      <c r="AJ450" s="126" t="n"/>
      <c r="AK450" s="126" t="n"/>
      <c r="AL450" s="126" t="n"/>
      <c r="AM450" s="126" t="n"/>
      <c r="AN450" s="126" t="n"/>
    </row>
    <row r="451" ht="21" customFormat="1" customHeight="1" s="127">
      <c r="A451" s="51">
        <f>IF($B451="","",ROW()-6)</f>
        <v/>
      </c>
      <c r="B451" s="268" t="n"/>
      <c r="C451" s="133" t="n"/>
      <c r="D451" s="50" t="n"/>
      <c r="E451" s="265" t="n"/>
      <c r="F451" s="133" t="n"/>
      <c r="G451" s="133" t="n"/>
      <c r="H451" s="50" t="n"/>
      <c r="I451" s="51">
        <f>IF($C451="","",IFERROR(INDEX(WorkerIDs,MATCH($C451,WorkerNames,0)),"?"))</f>
        <v/>
      </c>
      <c r="J451" s="253">
        <f>IF($B451="","",$B451-WEEKDAY($B451,2)+1)</f>
        <v/>
      </c>
      <c r="K451" s="142">
        <f>IF(OR($I451="",$I451="?",$D451&lt;&gt;"Advance",$B451=""),"",$I451&amp;"|"&amp;$J451&amp;"|"&amp;COUNTIFS($I$7:$I451,$I451,$J$7:$J451,$J451,$D$7:$D451,"Advance"))</f>
        <v/>
      </c>
      <c r="L451" s="266">
        <f>IF(OR($I451="",$I451="?",$B451=""),"",SUMPRODUCT((Weeks!$A$7:$A$59&lt;=$J451)*(Weeks!$X$5:$AI$5=$I451)*Weeks!$X$7:$AI$59)-SUMIFS($E$7:$E$1006,$I$7:$I$1006,$I451,$B$7:$B$1006,"&lt;="&amp;$B451))</f>
        <v/>
      </c>
      <c r="M451" s="132">
        <f>IF($B451&amp;$C451&amp;$D451&amp;$E451="","",IF($B451="","missing date",IF($C451="","missing worker",IF($I451="?","unknown worker - was the name changed on Workers?",IF($D451="","missing type",IF(N($E451)=0,"missing amount",IF(AND($E451&lt;0,$D451&lt;&gt;"Correction"),"negative amount - use a Correction to undo",IF(OR($B451&lt;Weeks!$A$7,$B451&gt;Weeks!$B$59),"date outside this workbook's year",IF(AND($D451="Advance",N($L451)&lt;0),"Warning: more than earned so far - worker now owes "&amp;TEXT(ROUND(-$L451,0),"#,##0"),"")))))))))</f>
        <v/>
      </c>
      <c r="N451" s="125" t="n"/>
      <c r="O451" s="126" t="n"/>
      <c r="P451" s="126" t="n"/>
      <c r="Q451" s="126" t="n"/>
      <c r="R451" s="126" t="n"/>
      <c r="S451" s="126" t="n"/>
      <c r="T451" s="126" t="n"/>
      <c r="U451" s="126" t="n"/>
      <c r="V451" s="126" t="n"/>
      <c r="W451" s="126" t="n"/>
      <c r="X451" s="126" t="n"/>
      <c r="Y451" s="126" t="n"/>
      <c r="Z451" s="126" t="n"/>
      <c r="AA451" s="126" t="n"/>
      <c r="AB451" s="126" t="n"/>
      <c r="AC451" s="126" t="n"/>
      <c r="AD451" s="126" t="n"/>
      <c r="AE451" s="126" t="n"/>
      <c r="AF451" s="126" t="n"/>
      <c r="AG451" s="126" t="n"/>
      <c r="AH451" s="126" t="n"/>
      <c r="AI451" s="126" t="n"/>
      <c r="AJ451" s="126" t="n"/>
      <c r="AK451" s="126" t="n"/>
      <c r="AL451" s="126" t="n"/>
      <c r="AM451" s="126" t="n"/>
      <c r="AN451" s="126" t="n"/>
    </row>
    <row r="452" ht="21" customFormat="1" customHeight="1" s="127">
      <c r="A452" s="51">
        <f>IF($B452="","",ROW()-6)</f>
        <v/>
      </c>
      <c r="B452" s="268" t="n"/>
      <c r="C452" s="133" t="n"/>
      <c r="D452" s="50" t="n"/>
      <c r="E452" s="265" t="n"/>
      <c r="F452" s="133" t="n"/>
      <c r="G452" s="133" t="n"/>
      <c r="H452" s="50" t="n"/>
      <c r="I452" s="51">
        <f>IF($C452="","",IFERROR(INDEX(WorkerIDs,MATCH($C452,WorkerNames,0)),"?"))</f>
        <v/>
      </c>
      <c r="J452" s="253">
        <f>IF($B452="","",$B452-WEEKDAY($B452,2)+1)</f>
        <v/>
      </c>
      <c r="K452" s="142">
        <f>IF(OR($I452="",$I452="?",$D452&lt;&gt;"Advance",$B452=""),"",$I452&amp;"|"&amp;$J452&amp;"|"&amp;COUNTIFS($I$7:$I452,$I452,$J$7:$J452,$J452,$D$7:$D452,"Advance"))</f>
        <v/>
      </c>
      <c r="L452" s="266">
        <f>IF(OR($I452="",$I452="?",$B452=""),"",SUMPRODUCT((Weeks!$A$7:$A$59&lt;=$J452)*(Weeks!$X$5:$AI$5=$I452)*Weeks!$X$7:$AI$59)-SUMIFS($E$7:$E$1006,$I$7:$I$1006,$I452,$B$7:$B$1006,"&lt;="&amp;$B452))</f>
        <v/>
      </c>
      <c r="M452" s="132">
        <f>IF($B452&amp;$C452&amp;$D452&amp;$E452="","",IF($B452="","missing date",IF($C452="","missing worker",IF($I452="?","unknown worker - was the name changed on Workers?",IF($D452="","missing type",IF(N($E452)=0,"missing amount",IF(AND($E452&lt;0,$D452&lt;&gt;"Correction"),"negative amount - use a Correction to undo",IF(OR($B452&lt;Weeks!$A$7,$B452&gt;Weeks!$B$59),"date outside this workbook's year",IF(AND($D452="Advance",N($L452)&lt;0),"Warning: more than earned so far - worker now owes "&amp;TEXT(ROUND(-$L452,0),"#,##0"),"")))))))))</f>
        <v/>
      </c>
      <c r="N452" s="125" t="n"/>
      <c r="O452" s="126" t="n"/>
      <c r="P452" s="126" t="n"/>
      <c r="Q452" s="126" t="n"/>
      <c r="R452" s="126" t="n"/>
      <c r="S452" s="126" t="n"/>
      <c r="T452" s="126" t="n"/>
      <c r="U452" s="126" t="n"/>
      <c r="V452" s="126" t="n"/>
      <c r="W452" s="126" t="n"/>
      <c r="X452" s="126" t="n"/>
      <c r="Y452" s="126" t="n"/>
      <c r="Z452" s="126" t="n"/>
      <c r="AA452" s="126" t="n"/>
      <c r="AB452" s="126" t="n"/>
      <c r="AC452" s="126" t="n"/>
      <c r="AD452" s="126" t="n"/>
      <c r="AE452" s="126" t="n"/>
      <c r="AF452" s="126" t="n"/>
      <c r="AG452" s="126" t="n"/>
      <c r="AH452" s="126" t="n"/>
      <c r="AI452" s="126" t="n"/>
      <c r="AJ452" s="126" t="n"/>
      <c r="AK452" s="126" t="n"/>
      <c r="AL452" s="126" t="n"/>
      <c r="AM452" s="126" t="n"/>
      <c r="AN452" s="126" t="n"/>
    </row>
    <row r="453" ht="21" customFormat="1" customHeight="1" s="127">
      <c r="A453" s="51">
        <f>IF($B453="","",ROW()-6)</f>
        <v/>
      </c>
      <c r="B453" s="268" t="n"/>
      <c r="C453" s="133" t="n"/>
      <c r="D453" s="50" t="n"/>
      <c r="E453" s="265" t="n"/>
      <c r="F453" s="133" t="n"/>
      <c r="G453" s="133" t="n"/>
      <c r="H453" s="50" t="n"/>
      <c r="I453" s="51">
        <f>IF($C453="","",IFERROR(INDEX(WorkerIDs,MATCH($C453,WorkerNames,0)),"?"))</f>
        <v/>
      </c>
      <c r="J453" s="253">
        <f>IF($B453="","",$B453-WEEKDAY($B453,2)+1)</f>
        <v/>
      </c>
      <c r="K453" s="142">
        <f>IF(OR($I453="",$I453="?",$D453&lt;&gt;"Advance",$B453=""),"",$I453&amp;"|"&amp;$J453&amp;"|"&amp;COUNTIFS($I$7:$I453,$I453,$J$7:$J453,$J453,$D$7:$D453,"Advance"))</f>
        <v/>
      </c>
      <c r="L453" s="266">
        <f>IF(OR($I453="",$I453="?",$B453=""),"",SUMPRODUCT((Weeks!$A$7:$A$59&lt;=$J453)*(Weeks!$X$5:$AI$5=$I453)*Weeks!$X$7:$AI$59)-SUMIFS($E$7:$E$1006,$I$7:$I$1006,$I453,$B$7:$B$1006,"&lt;="&amp;$B453))</f>
        <v/>
      </c>
      <c r="M453" s="132">
        <f>IF($B453&amp;$C453&amp;$D453&amp;$E453="","",IF($B453="","missing date",IF($C453="","missing worker",IF($I453="?","unknown worker - was the name changed on Workers?",IF($D453="","missing type",IF(N($E453)=0,"missing amount",IF(AND($E453&lt;0,$D453&lt;&gt;"Correction"),"negative amount - use a Correction to undo",IF(OR($B453&lt;Weeks!$A$7,$B453&gt;Weeks!$B$59),"date outside this workbook's year",IF(AND($D453="Advance",N($L453)&lt;0),"Warning: more than earned so far - worker now owes "&amp;TEXT(ROUND(-$L453,0),"#,##0"),"")))))))))</f>
        <v/>
      </c>
      <c r="N453" s="125" t="n"/>
      <c r="O453" s="126" t="n"/>
      <c r="P453" s="126" t="n"/>
      <c r="Q453" s="126" t="n"/>
      <c r="R453" s="126" t="n"/>
      <c r="S453" s="126" t="n"/>
      <c r="T453" s="126" t="n"/>
      <c r="U453" s="126" t="n"/>
      <c r="V453" s="126" t="n"/>
      <c r="W453" s="126" t="n"/>
      <c r="X453" s="126" t="n"/>
      <c r="Y453" s="126" t="n"/>
      <c r="Z453" s="126" t="n"/>
      <c r="AA453" s="126" t="n"/>
      <c r="AB453" s="126" t="n"/>
      <c r="AC453" s="126" t="n"/>
      <c r="AD453" s="126" t="n"/>
      <c r="AE453" s="126" t="n"/>
      <c r="AF453" s="126" t="n"/>
      <c r="AG453" s="126" t="n"/>
      <c r="AH453" s="126" t="n"/>
      <c r="AI453" s="126" t="n"/>
      <c r="AJ453" s="126" t="n"/>
      <c r="AK453" s="126" t="n"/>
      <c r="AL453" s="126" t="n"/>
      <c r="AM453" s="126" t="n"/>
      <c r="AN453" s="126" t="n"/>
    </row>
    <row r="454" ht="21" customFormat="1" customHeight="1" s="127">
      <c r="A454" s="51">
        <f>IF($B454="","",ROW()-6)</f>
        <v/>
      </c>
      <c r="B454" s="268" t="n"/>
      <c r="C454" s="133" t="n"/>
      <c r="D454" s="50" t="n"/>
      <c r="E454" s="265" t="n"/>
      <c r="F454" s="133" t="n"/>
      <c r="G454" s="133" t="n"/>
      <c r="H454" s="50" t="n"/>
      <c r="I454" s="51">
        <f>IF($C454="","",IFERROR(INDEX(WorkerIDs,MATCH($C454,WorkerNames,0)),"?"))</f>
        <v/>
      </c>
      <c r="J454" s="253">
        <f>IF($B454="","",$B454-WEEKDAY($B454,2)+1)</f>
        <v/>
      </c>
      <c r="K454" s="142">
        <f>IF(OR($I454="",$I454="?",$D454&lt;&gt;"Advance",$B454=""),"",$I454&amp;"|"&amp;$J454&amp;"|"&amp;COUNTIFS($I$7:$I454,$I454,$J$7:$J454,$J454,$D$7:$D454,"Advance"))</f>
        <v/>
      </c>
      <c r="L454" s="266">
        <f>IF(OR($I454="",$I454="?",$B454=""),"",SUMPRODUCT((Weeks!$A$7:$A$59&lt;=$J454)*(Weeks!$X$5:$AI$5=$I454)*Weeks!$X$7:$AI$59)-SUMIFS($E$7:$E$1006,$I$7:$I$1006,$I454,$B$7:$B$1006,"&lt;="&amp;$B454))</f>
        <v/>
      </c>
      <c r="M454" s="132">
        <f>IF($B454&amp;$C454&amp;$D454&amp;$E454="","",IF($B454="","missing date",IF($C454="","missing worker",IF($I454="?","unknown worker - was the name changed on Workers?",IF($D454="","missing type",IF(N($E454)=0,"missing amount",IF(AND($E454&lt;0,$D454&lt;&gt;"Correction"),"negative amount - use a Correction to undo",IF(OR($B454&lt;Weeks!$A$7,$B454&gt;Weeks!$B$59),"date outside this workbook's year",IF(AND($D454="Advance",N($L454)&lt;0),"Warning: more than earned so far - worker now owes "&amp;TEXT(ROUND(-$L454,0),"#,##0"),"")))))))))</f>
        <v/>
      </c>
      <c r="N454" s="125" t="n"/>
      <c r="O454" s="126" t="n"/>
      <c r="P454" s="126" t="n"/>
      <c r="Q454" s="126" t="n"/>
      <c r="R454" s="126" t="n"/>
      <c r="S454" s="126" t="n"/>
      <c r="T454" s="126" t="n"/>
      <c r="U454" s="126" t="n"/>
      <c r="V454" s="126" t="n"/>
      <c r="W454" s="126" t="n"/>
      <c r="X454" s="126" t="n"/>
      <c r="Y454" s="126" t="n"/>
      <c r="Z454" s="126" t="n"/>
      <c r="AA454" s="126" t="n"/>
      <c r="AB454" s="126" t="n"/>
      <c r="AC454" s="126" t="n"/>
      <c r="AD454" s="126" t="n"/>
      <c r="AE454" s="126" t="n"/>
      <c r="AF454" s="126" t="n"/>
      <c r="AG454" s="126" t="n"/>
      <c r="AH454" s="126" t="n"/>
      <c r="AI454" s="126" t="n"/>
      <c r="AJ454" s="126" t="n"/>
      <c r="AK454" s="126" t="n"/>
      <c r="AL454" s="126" t="n"/>
      <c r="AM454" s="126" t="n"/>
      <c r="AN454" s="126" t="n"/>
    </row>
    <row r="455" ht="21" customFormat="1" customHeight="1" s="127">
      <c r="A455" s="51">
        <f>IF($B455="","",ROW()-6)</f>
        <v/>
      </c>
      <c r="B455" s="268" t="n"/>
      <c r="C455" s="133" t="n"/>
      <c r="D455" s="50" t="n"/>
      <c r="E455" s="265" t="n"/>
      <c r="F455" s="133" t="n"/>
      <c r="G455" s="133" t="n"/>
      <c r="H455" s="50" t="n"/>
      <c r="I455" s="51">
        <f>IF($C455="","",IFERROR(INDEX(WorkerIDs,MATCH($C455,WorkerNames,0)),"?"))</f>
        <v/>
      </c>
      <c r="J455" s="253">
        <f>IF($B455="","",$B455-WEEKDAY($B455,2)+1)</f>
        <v/>
      </c>
      <c r="K455" s="142">
        <f>IF(OR($I455="",$I455="?",$D455&lt;&gt;"Advance",$B455=""),"",$I455&amp;"|"&amp;$J455&amp;"|"&amp;COUNTIFS($I$7:$I455,$I455,$J$7:$J455,$J455,$D$7:$D455,"Advance"))</f>
        <v/>
      </c>
      <c r="L455" s="266">
        <f>IF(OR($I455="",$I455="?",$B455=""),"",SUMPRODUCT((Weeks!$A$7:$A$59&lt;=$J455)*(Weeks!$X$5:$AI$5=$I455)*Weeks!$X$7:$AI$59)-SUMIFS($E$7:$E$1006,$I$7:$I$1006,$I455,$B$7:$B$1006,"&lt;="&amp;$B455))</f>
        <v/>
      </c>
      <c r="M455" s="132">
        <f>IF($B455&amp;$C455&amp;$D455&amp;$E455="","",IF($B455="","missing date",IF($C455="","missing worker",IF($I455="?","unknown worker - was the name changed on Workers?",IF($D455="","missing type",IF(N($E455)=0,"missing amount",IF(AND($E455&lt;0,$D455&lt;&gt;"Correction"),"negative amount - use a Correction to undo",IF(OR($B455&lt;Weeks!$A$7,$B455&gt;Weeks!$B$59),"date outside this workbook's year",IF(AND($D455="Advance",N($L455)&lt;0),"Warning: more than earned so far - worker now owes "&amp;TEXT(ROUND(-$L455,0),"#,##0"),"")))))))))</f>
        <v/>
      </c>
      <c r="N455" s="125" t="n"/>
      <c r="O455" s="126" t="n"/>
      <c r="P455" s="126" t="n"/>
      <c r="Q455" s="126" t="n"/>
      <c r="R455" s="126" t="n"/>
      <c r="S455" s="126" t="n"/>
      <c r="T455" s="126" t="n"/>
      <c r="U455" s="126" t="n"/>
      <c r="V455" s="126" t="n"/>
      <c r="W455" s="126" t="n"/>
      <c r="X455" s="126" t="n"/>
      <c r="Y455" s="126" t="n"/>
      <c r="Z455" s="126" t="n"/>
      <c r="AA455" s="126" t="n"/>
      <c r="AB455" s="126" t="n"/>
      <c r="AC455" s="126" t="n"/>
      <c r="AD455" s="126" t="n"/>
      <c r="AE455" s="126" t="n"/>
      <c r="AF455" s="126" t="n"/>
      <c r="AG455" s="126" t="n"/>
      <c r="AH455" s="126" t="n"/>
      <c r="AI455" s="126" t="n"/>
      <c r="AJ455" s="126" t="n"/>
      <c r="AK455" s="126" t="n"/>
      <c r="AL455" s="126" t="n"/>
      <c r="AM455" s="126" t="n"/>
      <c r="AN455" s="126" t="n"/>
    </row>
    <row r="456" ht="21" customFormat="1" customHeight="1" s="127">
      <c r="A456" s="51">
        <f>IF($B456="","",ROW()-6)</f>
        <v/>
      </c>
      <c r="B456" s="268" t="n"/>
      <c r="C456" s="133" t="n"/>
      <c r="D456" s="50" t="n"/>
      <c r="E456" s="265" t="n"/>
      <c r="F456" s="133" t="n"/>
      <c r="G456" s="133" t="n"/>
      <c r="H456" s="50" t="n"/>
      <c r="I456" s="51">
        <f>IF($C456="","",IFERROR(INDEX(WorkerIDs,MATCH($C456,WorkerNames,0)),"?"))</f>
        <v/>
      </c>
      <c r="J456" s="253">
        <f>IF($B456="","",$B456-WEEKDAY($B456,2)+1)</f>
        <v/>
      </c>
      <c r="K456" s="142">
        <f>IF(OR($I456="",$I456="?",$D456&lt;&gt;"Advance",$B456=""),"",$I456&amp;"|"&amp;$J456&amp;"|"&amp;COUNTIFS($I$7:$I456,$I456,$J$7:$J456,$J456,$D$7:$D456,"Advance"))</f>
        <v/>
      </c>
      <c r="L456" s="266">
        <f>IF(OR($I456="",$I456="?",$B456=""),"",SUMPRODUCT((Weeks!$A$7:$A$59&lt;=$J456)*(Weeks!$X$5:$AI$5=$I456)*Weeks!$X$7:$AI$59)-SUMIFS($E$7:$E$1006,$I$7:$I$1006,$I456,$B$7:$B$1006,"&lt;="&amp;$B456))</f>
        <v/>
      </c>
      <c r="M456" s="132">
        <f>IF($B456&amp;$C456&amp;$D456&amp;$E456="","",IF($B456="","missing date",IF($C456="","missing worker",IF($I456="?","unknown worker - was the name changed on Workers?",IF($D456="","missing type",IF(N($E456)=0,"missing amount",IF(AND($E456&lt;0,$D456&lt;&gt;"Correction"),"negative amount - use a Correction to undo",IF(OR($B456&lt;Weeks!$A$7,$B456&gt;Weeks!$B$59),"date outside this workbook's year",IF(AND($D456="Advance",N($L456)&lt;0),"Warning: more than earned so far - worker now owes "&amp;TEXT(ROUND(-$L456,0),"#,##0"),"")))))))))</f>
        <v/>
      </c>
      <c r="N456" s="125" t="n"/>
      <c r="O456" s="126" t="n"/>
      <c r="P456" s="126" t="n"/>
      <c r="Q456" s="126" t="n"/>
      <c r="R456" s="126" t="n"/>
      <c r="S456" s="126" t="n"/>
      <c r="T456" s="126" t="n"/>
      <c r="U456" s="126" t="n"/>
      <c r="V456" s="126" t="n"/>
      <c r="W456" s="126" t="n"/>
      <c r="X456" s="126" t="n"/>
      <c r="Y456" s="126" t="n"/>
      <c r="Z456" s="126" t="n"/>
      <c r="AA456" s="126" t="n"/>
      <c r="AB456" s="126" t="n"/>
      <c r="AC456" s="126" t="n"/>
      <c r="AD456" s="126" t="n"/>
      <c r="AE456" s="126" t="n"/>
      <c r="AF456" s="126" t="n"/>
      <c r="AG456" s="126" t="n"/>
      <c r="AH456" s="126" t="n"/>
      <c r="AI456" s="126" t="n"/>
      <c r="AJ456" s="126" t="n"/>
      <c r="AK456" s="126" t="n"/>
      <c r="AL456" s="126" t="n"/>
      <c r="AM456" s="126" t="n"/>
      <c r="AN456" s="126" t="n"/>
    </row>
    <row r="457" ht="21" customFormat="1" customHeight="1" s="127">
      <c r="A457" s="51">
        <f>IF($B457="","",ROW()-6)</f>
        <v/>
      </c>
      <c r="B457" s="268" t="n"/>
      <c r="C457" s="133" t="n"/>
      <c r="D457" s="50" t="n"/>
      <c r="E457" s="265" t="n"/>
      <c r="F457" s="133" t="n"/>
      <c r="G457" s="133" t="n"/>
      <c r="H457" s="50" t="n"/>
      <c r="I457" s="51">
        <f>IF($C457="","",IFERROR(INDEX(WorkerIDs,MATCH($C457,WorkerNames,0)),"?"))</f>
        <v/>
      </c>
      <c r="J457" s="253">
        <f>IF($B457="","",$B457-WEEKDAY($B457,2)+1)</f>
        <v/>
      </c>
      <c r="K457" s="142">
        <f>IF(OR($I457="",$I457="?",$D457&lt;&gt;"Advance",$B457=""),"",$I457&amp;"|"&amp;$J457&amp;"|"&amp;COUNTIFS($I$7:$I457,$I457,$J$7:$J457,$J457,$D$7:$D457,"Advance"))</f>
        <v/>
      </c>
      <c r="L457" s="266">
        <f>IF(OR($I457="",$I457="?",$B457=""),"",SUMPRODUCT((Weeks!$A$7:$A$59&lt;=$J457)*(Weeks!$X$5:$AI$5=$I457)*Weeks!$X$7:$AI$59)-SUMIFS($E$7:$E$1006,$I$7:$I$1006,$I457,$B$7:$B$1006,"&lt;="&amp;$B457))</f>
        <v/>
      </c>
      <c r="M457" s="132">
        <f>IF($B457&amp;$C457&amp;$D457&amp;$E457="","",IF($B457="","missing date",IF($C457="","missing worker",IF($I457="?","unknown worker - was the name changed on Workers?",IF($D457="","missing type",IF(N($E457)=0,"missing amount",IF(AND($E457&lt;0,$D457&lt;&gt;"Correction"),"negative amount - use a Correction to undo",IF(OR($B457&lt;Weeks!$A$7,$B457&gt;Weeks!$B$59),"date outside this workbook's year",IF(AND($D457="Advance",N($L457)&lt;0),"Warning: more than earned so far - worker now owes "&amp;TEXT(ROUND(-$L457,0),"#,##0"),"")))))))))</f>
        <v/>
      </c>
      <c r="N457" s="125" t="n"/>
      <c r="O457" s="126" t="n"/>
      <c r="P457" s="126" t="n"/>
      <c r="Q457" s="126" t="n"/>
      <c r="R457" s="126" t="n"/>
      <c r="S457" s="126" t="n"/>
      <c r="T457" s="126" t="n"/>
      <c r="U457" s="126" t="n"/>
      <c r="V457" s="126" t="n"/>
      <c r="W457" s="126" t="n"/>
      <c r="X457" s="126" t="n"/>
      <c r="Y457" s="126" t="n"/>
      <c r="Z457" s="126" t="n"/>
      <c r="AA457" s="126" t="n"/>
      <c r="AB457" s="126" t="n"/>
      <c r="AC457" s="126" t="n"/>
      <c r="AD457" s="126" t="n"/>
      <c r="AE457" s="126" t="n"/>
      <c r="AF457" s="126" t="n"/>
      <c r="AG457" s="126" t="n"/>
      <c r="AH457" s="126" t="n"/>
      <c r="AI457" s="126" t="n"/>
      <c r="AJ457" s="126" t="n"/>
      <c r="AK457" s="126" t="n"/>
      <c r="AL457" s="126" t="n"/>
      <c r="AM457" s="126" t="n"/>
      <c r="AN457" s="126" t="n"/>
    </row>
    <row r="458" ht="21" customFormat="1" customHeight="1" s="127">
      <c r="A458" s="51">
        <f>IF($B458="","",ROW()-6)</f>
        <v/>
      </c>
      <c r="B458" s="268" t="n"/>
      <c r="C458" s="133" t="n"/>
      <c r="D458" s="50" t="n"/>
      <c r="E458" s="265" t="n"/>
      <c r="F458" s="133" t="n"/>
      <c r="G458" s="133" t="n"/>
      <c r="H458" s="50" t="n"/>
      <c r="I458" s="51">
        <f>IF($C458="","",IFERROR(INDEX(WorkerIDs,MATCH($C458,WorkerNames,0)),"?"))</f>
        <v/>
      </c>
      <c r="J458" s="253">
        <f>IF($B458="","",$B458-WEEKDAY($B458,2)+1)</f>
        <v/>
      </c>
      <c r="K458" s="142">
        <f>IF(OR($I458="",$I458="?",$D458&lt;&gt;"Advance",$B458=""),"",$I458&amp;"|"&amp;$J458&amp;"|"&amp;COUNTIFS($I$7:$I458,$I458,$J$7:$J458,$J458,$D$7:$D458,"Advance"))</f>
        <v/>
      </c>
      <c r="L458" s="266">
        <f>IF(OR($I458="",$I458="?",$B458=""),"",SUMPRODUCT((Weeks!$A$7:$A$59&lt;=$J458)*(Weeks!$X$5:$AI$5=$I458)*Weeks!$X$7:$AI$59)-SUMIFS($E$7:$E$1006,$I$7:$I$1006,$I458,$B$7:$B$1006,"&lt;="&amp;$B458))</f>
        <v/>
      </c>
      <c r="M458" s="132">
        <f>IF($B458&amp;$C458&amp;$D458&amp;$E458="","",IF($B458="","missing date",IF($C458="","missing worker",IF($I458="?","unknown worker - was the name changed on Workers?",IF($D458="","missing type",IF(N($E458)=0,"missing amount",IF(AND($E458&lt;0,$D458&lt;&gt;"Correction"),"negative amount - use a Correction to undo",IF(OR($B458&lt;Weeks!$A$7,$B458&gt;Weeks!$B$59),"date outside this workbook's year",IF(AND($D458="Advance",N($L458)&lt;0),"Warning: more than earned so far - worker now owes "&amp;TEXT(ROUND(-$L458,0),"#,##0"),"")))))))))</f>
        <v/>
      </c>
      <c r="N458" s="125" t="n"/>
      <c r="O458" s="126" t="n"/>
      <c r="P458" s="126" t="n"/>
      <c r="Q458" s="126" t="n"/>
      <c r="R458" s="126" t="n"/>
      <c r="S458" s="126" t="n"/>
      <c r="T458" s="126" t="n"/>
      <c r="U458" s="126" t="n"/>
      <c r="V458" s="126" t="n"/>
      <c r="W458" s="126" t="n"/>
      <c r="X458" s="126" t="n"/>
      <c r="Y458" s="126" t="n"/>
      <c r="Z458" s="126" t="n"/>
      <c r="AA458" s="126" t="n"/>
      <c r="AB458" s="126" t="n"/>
      <c r="AC458" s="126" t="n"/>
      <c r="AD458" s="126" t="n"/>
      <c r="AE458" s="126" t="n"/>
      <c r="AF458" s="126" t="n"/>
      <c r="AG458" s="126" t="n"/>
      <c r="AH458" s="126" t="n"/>
      <c r="AI458" s="126" t="n"/>
      <c r="AJ458" s="126" t="n"/>
      <c r="AK458" s="126" t="n"/>
      <c r="AL458" s="126" t="n"/>
      <c r="AM458" s="126" t="n"/>
      <c r="AN458" s="126" t="n"/>
    </row>
    <row r="459" ht="21" customFormat="1" customHeight="1" s="127">
      <c r="A459" s="51">
        <f>IF($B459="","",ROW()-6)</f>
        <v/>
      </c>
      <c r="B459" s="268" t="n"/>
      <c r="C459" s="133" t="n"/>
      <c r="D459" s="50" t="n"/>
      <c r="E459" s="265" t="n"/>
      <c r="F459" s="133" t="n"/>
      <c r="G459" s="133" t="n"/>
      <c r="H459" s="50" t="n"/>
      <c r="I459" s="51">
        <f>IF($C459="","",IFERROR(INDEX(WorkerIDs,MATCH($C459,WorkerNames,0)),"?"))</f>
        <v/>
      </c>
      <c r="J459" s="253">
        <f>IF($B459="","",$B459-WEEKDAY($B459,2)+1)</f>
        <v/>
      </c>
      <c r="K459" s="142">
        <f>IF(OR($I459="",$I459="?",$D459&lt;&gt;"Advance",$B459=""),"",$I459&amp;"|"&amp;$J459&amp;"|"&amp;COUNTIFS($I$7:$I459,$I459,$J$7:$J459,$J459,$D$7:$D459,"Advance"))</f>
        <v/>
      </c>
      <c r="L459" s="266">
        <f>IF(OR($I459="",$I459="?",$B459=""),"",SUMPRODUCT((Weeks!$A$7:$A$59&lt;=$J459)*(Weeks!$X$5:$AI$5=$I459)*Weeks!$X$7:$AI$59)-SUMIFS($E$7:$E$1006,$I$7:$I$1006,$I459,$B$7:$B$1006,"&lt;="&amp;$B459))</f>
        <v/>
      </c>
      <c r="M459" s="132">
        <f>IF($B459&amp;$C459&amp;$D459&amp;$E459="","",IF($B459="","missing date",IF($C459="","missing worker",IF($I459="?","unknown worker - was the name changed on Workers?",IF($D459="","missing type",IF(N($E459)=0,"missing amount",IF(AND($E459&lt;0,$D459&lt;&gt;"Correction"),"negative amount - use a Correction to undo",IF(OR($B459&lt;Weeks!$A$7,$B459&gt;Weeks!$B$59),"date outside this workbook's year",IF(AND($D459="Advance",N($L459)&lt;0),"Warning: more than earned so far - worker now owes "&amp;TEXT(ROUND(-$L459,0),"#,##0"),"")))))))))</f>
        <v/>
      </c>
      <c r="N459" s="125" t="n"/>
      <c r="O459" s="126" t="n"/>
      <c r="P459" s="126" t="n"/>
      <c r="Q459" s="126" t="n"/>
      <c r="R459" s="126" t="n"/>
      <c r="S459" s="126" t="n"/>
      <c r="T459" s="126" t="n"/>
      <c r="U459" s="126" t="n"/>
      <c r="V459" s="126" t="n"/>
      <c r="W459" s="126" t="n"/>
      <c r="X459" s="126" t="n"/>
      <c r="Y459" s="126" t="n"/>
      <c r="Z459" s="126" t="n"/>
      <c r="AA459" s="126" t="n"/>
      <c r="AB459" s="126" t="n"/>
      <c r="AC459" s="126" t="n"/>
      <c r="AD459" s="126" t="n"/>
      <c r="AE459" s="126" t="n"/>
      <c r="AF459" s="126" t="n"/>
      <c r="AG459" s="126" t="n"/>
      <c r="AH459" s="126" t="n"/>
      <c r="AI459" s="126" t="n"/>
      <c r="AJ459" s="126" t="n"/>
      <c r="AK459" s="126" t="n"/>
      <c r="AL459" s="126" t="n"/>
      <c r="AM459" s="126" t="n"/>
      <c r="AN459" s="126" t="n"/>
    </row>
    <row r="460" ht="21" customFormat="1" customHeight="1" s="127">
      <c r="A460" s="51">
        <f>IF($B460="","",ROW()-6)</f>
        <v/>
      </c>
      <c r="B460" s="268" t="n"/>
      <c r="C460" s="133" t="n"/>
      <c r="D460" s="50" t="n"/>
      <c r="E460" s="265" t="n"/>
      <c r="F460" s="133" t="n"/>
      <c r="G460" s="133" t="n"/>
      <c r="H460" s="50" t="n"/>
      <c r="I460" s="51">
        <f>IF($C460="","",IFERROR(INDEX(WorkerIDs,MATCH($C460,WorkerNames,0)),"?"))</f>
        <v/>
      </c>
      <c r="J460" s="253">
        <f>IF($B460="","",$B460-WEEKDAY($B460,2)+1)</f>
        <v/>
      </c>
      <c r="K460" s="142">
        <f>IF(OR($I460="",$I460="?",$D460&lt;&gt;"Advance",$B460=""),"",$I460&amp;"|"&amp;$J460&amp;"|"&amp;COUNTIFS($I$7:$I460,$I460,$J$7:$J460,$J460,$D$7:$D460,"Advance"))</f>
        <v/>
      </c>
      <c r="L460" s="266">
        <f>IF(OR($I460="",$I460="?",$B460=""),"",SUMPRODUCT((Weeks!$A$7:$A$59&lt;=$J460)*(Weeks!$X$5:$AI$5=$I460)*Weeks!$X$7:$AI$59)-SUMIFS($E$7:$E$1006,$I$7:$I$1006,$I460,$B$7:$B$1006,"&lt;="&amp;$B460))</f>
        <v/>
      </c>
      <c r="M460" s="132">
        <f>IF($B460&amp;$C460&amp;$D460&amp;$E460="","",IF($B460="","missing date",IF($C460="","missing worker",IF($I460="?","unknown worker - was the name changed on Workers?",IF($D460="","missing type",IF(N($E460)=0,"missing amount",IF(AND($E460&lt;0,$D460&lt;&gt;"Correction"),"negative amount - use a Correction to undo",IF(OR($B460&lt;Weeks!$A$7,$B460&gt;Weeks!$B$59),"date outside this workbook's year",IF(AND($D460="Advance",N($L460)&lt;0),"Warning: more than earned so far - worker now owes "&amp;TEXT(ROUND(-$L460,0),"#,##0"),"")))))))))</f>
        <v/>
      </c>
      <c r="N460" s="125" t="n"/>
      <c r="O460" s="126" t="n"/>
      <c r="P460" s="126" t="n"/>
      <c r="Q460" s="126" t="n"/>
      <c r="R460" s="126" t="n"/>
      <c r="S460" s="126" t="n"/>
      <c r="T460" s="126" t="n"/>
      <c r="U460" s="126" t="n"/>
      <c r="V460" s="126" t="n"/>
      <c r="W460" s="126" t="n"/>
      <c r="X460" s="126" t="n"/>
      <c r="Y460" s="126" t="n"/>
      <c r="Z460" s="126" t="n"/>
      <c r="AA460" s="126" t="n"/>
      <c r="AB460" s="126" t="n"/>
      <c r="AC460" s="126" t="n"/>
      <c r="AD460" s="126" t="n"/>
      <c r="AE460" s="126" t="n"/>
      <c r="AF460" s="126" t="n"/>
      <c r="AG460" s="126" t="n"/>
      <c r="AH460" s="126" t="n"/>
      <c r="AI460" s="126" t="n"/>
      <c r="AJ460" s="126" t="n"/>
      <c r="AK460" s="126" t="n"/>
      <c r="AL460" s="126" t="n"/>
      <c r="AM460" s="126" t="n"/>
      <c r="AN460" s="126" t="n"/>
    </row>
    <row r="461" ht="21" customFormat="1" customHeight="1" s="127">
      <c r="A461" s="51">
        <f>IF($B461="","",ROW()-6)</f>
        <v/>
      </c>
      <c r="B461" s="268" t="n"/>
      <c r="C461" s="133" t="n"/>
      <c r="D461" s="50" t="n"/>
      <c r="E461" s="265" t="n"/>
      <c r="F461" s="133" t="n"/>
      <c r="G461" s="133" t="n"/>
      <c r="H461" s="50" t="n"/>
      <c r="I461" s="51">
        <f>IF($C461="","",IFERROR(INDEX(WorkerIDs,MATCH($C461,WorkerNames,0)),"?"))</f>
        <v/>
      </c>
      <c r="J461" s="253">
        <f>IF($B461="","",$B461-WEEKDAY($B461,2)+1)</f>
        <v/>
      </c>
      <c r="K461" s="142">
        <f>IF(OR($I461="",$I461="?",$D461&lt;&gt;"Advance",$B461=""),"",$I461&amp;"|"&amp;$J461&amp;"|"&amp;COUNTIFS($I$7:$I461,$I461,$J$7:$J461,$J461,$D$7:$D461,"Advance"))</f>
        <v/>
      </c>
      <c r="L461" s="266">
        <f>IF(OR($I461="",$I461="?",$B461=""),"",SUMPRODUCT((Weeks!$A$7:$A$59&lt;=$J461)*(Weeks!$X$5:$AI$5=$I461)*Weeks!$X$7:$AI$59)-SUMIFS($E$7:$E$1006,$I$7:$I$1006,$I461,$B$7:$B$1006,"&lt;="&amp;$B461))</f>
        <v/>
      </c>
      <c r="M461" s="132">
        <f>IF($B461&amp;$C461&amp;$D461&amp;$E461="","",IF($B461="","missing date",IF($C461="","missing worker",IF($I461="?","unknown worker - was the name changed on Workers?",IF($D461="","missing type",IF(N($E461)=0,"missing amount",IF(AND($E461&lt;0,$D461&lt;&gt;"Correction"),"negative amount - use a Correction to undo",IF(OR($B461&lt;Weeks!$A$7,$B461&gt;Weeks!$B$59),"date outside this workbook's year",IF(AND($D461="Advance",N($L461)&lt;0),"Warning: more than earned so far - worker now owes "&amp;TEXT(ROUND(-$L461,0),"#,##0"),"")))))))))</f>
        <v/>
      </c>
      <c r="N461" s="125" t="n"/>
      <c r="O461" s="126" t="n"/>
      <c r="P461" s="126" t="n"/>
      <c r="Q461" s="126" t="n"/>
      <c r="R461" s="126" t="n"/>
      <c r="S461" s="126" t="n"/>
      <c r="T461" s="126" t="n"/>
      <c r="U461" s="126" t="n"/>
      <c r="V461" s="126" t="n"/>
      <c r="W461" s="126" t="n"/>
      <c r="X461" s="126" t="n"/>
      <c r="Y461" s="126" t="n"/>
      <c r="Z461" s="126" t="n"/>
      <c r="AA461" s="126" t="n"/>
      <c r="AB461" s="126" t="n"/>
      <c r="AC461" s="126" t="n"/>
      <c r="AD461" s="126" t="n"/>
      <c r="AE461" s="126" t="n"/>
      <c r="AF461" s="126" t="n"/>
      <c r="AG461" s="126" t="n"/>
      <c r="AH461" s="126" t="n"/>
      <c r="AI461" s="126" t="n"/>
      <c r="AJ461" s="126" t="n"/>
      <c r="AK461" s="126" t="n"/>
      <c r="AL461" s="126" t="n"/>
      <c r="AM461" s="126" t="n"/>
      <c r="AN461" s="126" t="n"/>
    </row>
    <row r="462" ht="21" customFormat="1" customHeight="1" s="127">
      <c r="A462" s="51">
        <f>IF($B462="","",ROW()-6)</f>
        <v/>
      </c>
      <c r="B462" s="268" t="n"/>
      <c r="C462" s="133" t="n"/>
      <c r="D462" s="50" t="n"/>
      <c r="E462" s="265" t="n"/>
      <c r="F462" s="133" t="n"/>
      <c r="G462" s="133" t="n"/>
      <c r="H462" s="50" t="n"/>
      <c r="I462" s="51">
        <f>IF($C462="","",IFERROR(INDEX(WorkerIDs,MATCH($C462,WorkerNames,0)),"?"))</f>
        <v/>
      </c>
      <c r="J462" s="253">
        <f>IF($B462="","",$B462-WEEKDAY($B462,2)+1)</f>
        <v/>
      </c>
      <c r="K462" s="142">
        <f>IF(OR($I462="",$I462="?",$D462&lt;&gt;"Advance",$B462=""),"",$I462&amp;"|"&amp;$J462&amp;"|"&amp;COUNTIFS($I$7:$I462,$I462,$J$7:$J462,$J462,$D$7:$D462,"Advance"))</f>
        <v/>
      </c>
      <c r="L462" s="266">
        <f>IF(OR($I462="",$I462="?",$B462=""),"",SUMPRODUCT((Weeks!$A$7:$A$59&lt;=$J462)*(Weeks!$X$5:$AI$5=$I462)*Weeks!$X$7:$AI$59)-SUMIFS($E$7:$E$1006,$I$7:$I$1006,$I462,$B$7:$B$1006,"&lt;="&amp;$B462))</f>
        <v/>
      </c>
      <c r="M462" s="132">
        <f>IF($B462&amp;$C462&amp;$D462&amp;$E462="","",IF($B462="","missing date",IF($C462="","missing worker",IF($I462="?","unknown worker - was the name changed on Workers?",IF($D462="","missing type",IF(N($E462)=0,"missing amount",IF(AND($E462&lt;0,$D462&lt;&gt;"Correction"),"negative amount - use a Correction to undo",IF(OR($B462&lt;Weeks!$A$7,$B462&gt;Weeks!$B$59),"date outside this workbook's year",IF(AND($D462="Advance",N($L462)&lt;0),"Warning: more than earned so far - worker now owes "&amp;TEXT(ROUND(-$L462,0),"#,##0"),"")))))))))</f>
        <v/>
      </c>
      <c r="N462" s="125" t="n"/>
      <c r="O462" s="126" t="n"/>
      <c r="P462" s="126" t="n"/>
      <c r="Q462" s="126" t="n"/>
      <c r="R462" s="126" t="n"/>
      <c r="S462" s="126" t="n"/>
      <c r="T462" s="126" t="n"/>
      <c r="U462" s="126" t="n"/>
      <c r="V462" s="126" t="n"/>
      <c r="W462" s="126" t="n"/>
      <c r="X462" s="126" t="n"/>
      <c r="Y462" s="126" t="n"/>
      <c r="Z462" s="126" t="n"/>
      <c r="AA462" s="126" t="n"/>
      <c r="AB462" s="126" t="n"/>
      <c r="AC462" s="126" t="n"/>
      <c r="AD462" s="126" t="n"/>
      <c r="AE462" s="126" t="n"/>
      <c r="AF462" s="126" t="n"/>
      <c r="AG462" s="126" t="n"/>
      <c r="AH462" s="126" t="n"/>
      <c r="AI462" s="126" t="n"/>
      <c r="AJ462" s="126" t="n"/>
      <c r="AK462" s="126" t="n"/>
      <c r="AL462" s="126" t="n"/>
      <c r="AM462" s="126" t="n"/>
      <c r="AN462" s="126" t="n"/>
    </row>
    <row r="463" ht="21" customFormat="1" customHeight="1" s="127">
      <c r="A463" s="51">
        <f>IF($B463="","",ROW()-6)</f>
        <v/>
      </c>
      <c r="B463" s="268" t="n"/>
      <c r="C463" s="133" t="n"/>
      <c r="D463" s="50" t="n"/>
      <c r="E463" s="265" t="n"/>
      <c r="F463" s="133" t="n"/>
      <c r="G463" s="133" t="n"/>
      <c r="H463" s="50" t="n"/>
      <c r="I463" s="51">
        <f>IF($C463="","",IFERROR(INDEX(WorkerIDs,MATCH($C463,WorkerNames,0)),"?"))</f>
        <v/>
      </c>
      <c r="J463" s="253">
        <f>IF($B463="","",$B463-WEEKDAY($B463,2)+1)</f>
        <v/>
      </c>
      <c r="K463" s="142">
        <f>IF(OR($I463="",$I463="?",$D463&lt;&gt;"Advance",$B463=""),"",$I463&amp;"|"&amp;$J463&amp;"|"&amp;COUNTIFS($I$7:$I463,$I463,$J$7:$J463,$J463,$D$7:$D463,"Advance"))</f>
        <v/>
      </c>
      <c r="L463" s="266">
        <f>IF(OR($I463="",$I463="?",$B463=""),"",SUMPRODUCT((Weeks!$A$7:$A$59&lt;=$J463)*(Weeks!$X$5:$AI$5=$I463)*Weeks!$X$7:$AI$59)-SUMIFS($E$7:$E$1006,$I$7:$I$1006,$I463,$B$7:$B$1006,"&lt;="&amp;$B463))</f>
        <v/>
      </c>
      <c r="M463" s="132">
        <f>IF($B463&amp;$C463&amp;$D463&amp;$E463="","",IF($B463="","missing date",IF($C463="","missing worker",IF($I463="?","unknown worker - was the name changed on Workers?",IF($D463="","missing type",IF(N($E463)=0,"missing amount",IF(AND($E463&lt;0,$D463&lt;&gt;"Correction"),"negative amount - use a Correction to undo",IF(OR($B463&lt;Weeks!$A$7,$B463&gt;Weeks!$B$59),"date outside this workbook's year",IF(AND($D463="Advance",N($L463)&lt;0),"Warning: more than earned so far - worker now owes "&amp;TEXT(ROUND(-$L463,0),"#,##0"),"")))))))))</f>
        <v/>
      </c>
      <c r="N463" s="125" t="n"/>
      <c r="O463" s="126" t="n"/>
      <c r="P463" s="126" t="n"/>
      <c r="Q463" s="126" t="n"/>
      <c r="R463" s="126" t="n"/>
      <c r="S463" s="126" t="n"/>
      <c r="T463" s="126" t="n"/>
      <c r="U463" s="126" t="n"/>
      <c r="V463" s="126" t="n"/>
      <c r="W463" s="126" t="n"/>
      <c r="X463" s="126" t="n"/>
      <c r="Y463" s="126" t="n"/>
      <c r="Z463" s="126" t="n"/>
      <c r="AA463" s="126" t="n"/>
      <c r="AB463" s="126" t="n"/>
      <c r="AC463" s="126" t="n"/>
      <c r="AD463" s="126" t="n"/>
      <c r="AE463" s="126" t="n"/>
      <c r="AF463" s="126" t="n"/>
      <c r="AG463" s="126" t="n"/>
      <c r="AH463" s="126" t="n"/>
      <c r="AI463" s="126" t="n"/>
      <c r="AJ463" s="126" t="n"/>
      <c r="AK463" s="126" t="n"/>
      <c r="AL463" s="126" t="n"/>
      <c r="AM463" s="126" t="n"/>
      <c r="AN463" s="126" t="n"/>
    </row>
    <row r="464" ht="21" customFormat="1" customHeight="1" s="127">
      <c r="A464" s="51">
        <f>IF($B464="","",ROW()-6)</f>
        <v/>
      </c>
      <c r="B464" s="268" t="n"/>
      <c r="C464" s="133" t="n"/>
      <c r="D464" s="50" t="n"/>
      <c r="E464" s="265" t="n"/>
      <c r="F464" s="133" t="n"/>
      <c r="G464" s="133" t="n"/>
      <c r="H464" s="50" t="n"/>
      <c r="I464" s="51">
        <f>IF($C464="","",IFERROR(INDEX(WorkerIDs,MATCH($C464,WorkerNames,0)),"?"))</f>
        <v/>
      </c>
      <c r="J464" s="253">
        <f>IF($B464="","",$B464-WEEKDAY($B464,2)+1)</f>
        <v/>
      </c>
      <c r="K464" s="142">
        <f>IF(OR($I464="",$I464="?",$D464&lt;&gt;"Advance",$B464=""),"",$I464&amp;"|"&amp;$J464&amp;"|"&amp;COUNTIFS($I$7:$I464,$I464,$J$7:$J464,$J464,$D$7:$D464,"Advance"))</f>
        <v/>
      </c>
      <c r="L464" s="266">
        <f>IF(OR($I464="",$I464="?",$B464=""),"",SUMPRODUCT((Weeks!$A$7:$A$59&lt;=$J464)*(Weeks!$X$5:$AI$5=$I464)*Weeks!$X$7:$AI$59)-SUMIFS($E$7:$E$1006,$I$7:$I$1006,$I464,$B$7:$B$1006,"&lt;="&amp;$B464))</f>
        <v/>
      </c>
      <c r="M464" s="132">
        <f>IF($B464&amp;$C464&amp;$D464&amp;$E464="","",IF($B464="","missing date",IF($C464="","missing worker",IF($I464="?","unknown worker - was the name changed on Workers?",IF($D464="","missing type",IF(N($E464)=0,"missing amount",IF(AND($E464&lt;0,$D464&lt;&gt;"Correction"),"negative amount - use a Correction to undo",IF(OR($B464&lt;Weeks!$A$7,$B464&gt;Weeks!$B$59),"date outside this workbook's year",IF(AND($D464="Advance",N($L464)&lt;0),"Warning: more than earned so far - worker now owes "&amp;TEXT(ROUND(-$L464,0),"#,##0"),"")))))))))</f>
        <v/>
      </c>
      <c r="N464" s="125" t="n"/>
      <c r="O464" s="126" t="n"/>
      <c r="P464" s="126" t="n"/>
      <c r="Q464" s="126" t="n"/>
      <c r="R464" s="126" t="n"/>
      <c r="S464" s="126" t="n"/>
      <c r="T464" s="126" t="n"/>
      <c r="U464" s="126" t="n"/>
      <c r="V464" s="126" t="n"/>
      <c r="W464" s="126" t="n"/>
      <c r="X464" s="126" t="n"/>
      <c r="Y464" s="126" t="n"/>
      <c r="Z464" s="126" t="n"/>
      <c r="AA464" s="126" t="n"/>
      <c r="AB464" s="126" t="n"/>
      <c r="AC464" s="126" t="n"/>
      <c r="AD464" s="126" t="n"/>
      <c r="AE464" s="126" t="n"/>
      <c r="AF464" s="126" t="n"/>
      <c r="AG464" s="126" t="n"/>
      <c r="AH464" s="126" t="n"/>
      <c r="AI464" s="126" t="n"/>
      <c r="AJ464" s="126" t="n"/>
      <c r="AK464" s="126" t="n"/>
      <c r="AL464" s="126" t="n"/>
      <c r="AM464" s="126" t="n"/>
      <c r="AN464" s="126" t="n"/>
    </row>
    <row r="465" ht="21" customFormat="1" customHeight="1" s="127">
      <c r="A465" s="51">
        <f>IF($B465="","",ROW()-6)</f>
        <v/>
      </c>
      <c r="B465" s="268" t="n"/>
      <c r="C465" s="133" t="n"/>
      <c r="D465" s="50" t="n"/>
      <c r="E465" s="265" t="n"/>
      <c r="F465" s="133" t="n"/>
      <c r="G465" s="133" t="n"/>
      <c r="H465" s="50" t="n"/>
      <c r="I465" s="51">
        <f>IF($C465="","",IFERROR(INDEX(WorkerIDs,MATCH($C465,WorkerNames,0)),"?"))</f>
        <v/>
      </c>
      <c r="J465" s="253">
        <f>IF($B465="","",$B465-WEEKDAY($B465,2)+1)</f>
        <v/>
      </c>
      <c r="K465" s="142">
        <f>IF(OR($I465="",$I465="?",$D465&lt;&gt;"Advance",$B465=""),"",$I465&amp;"|"&amp;$J465&amp;"|"&amp;COUNTIFS($I$7:$I465,$I465,$J$7:$J465,$J465,$D$7:$D465,"Advance"))</f>
        <v/>
      </c>
      <c r="L465" s="266">
        <f>IF(OR($I465="",$I465="?",$B465=""),"",SUMPRODUCT((Weeks!$A$7:$A$59&lt;=$J465)*(Weeks!$X$5:$AI$5=$I465)*Weeks!$X$7:$AI$59)-SUMIFS($E$7:$E$1006,$I$7:$I$1006,$I465,$B$7:$B$1006,"&lt;="&amp;$B465))</f>
        <v/>
      </c>
      <c r="M465" s="132">
        <f>IF($B465&amp;$C465&amp;$D465&amp;$E465="","",IF($B465="","missing date",IF($C465="","missing worker",IF($I465="?","unknown worker - was the name changed on Workers?",IF($D465="","missing type",IF(N($E465)=0,"missing amount",IF(AND($E465&lt;0,$D465&lt;&gt;"Correction"),"negative amount - use a Correction to undo",IF(OR($B465&lt;Weeks!$A$7,$B465&gt;Weeks!$B$59),"date outside this workbook's year",IF(AND($D465="Advance",N($L465)&lt;0),"Warning: more than earned so far - worker now owes "&amp;TEXT(ROUND(-$L465,0),"#,##0"),"")))))))))</f>
        <v/>
      </c>
      <c r="N465" s="125" t="n"/>
      <c r="O465" s="126" t="n"/>
      <c r="P465" s="126" t="n"/>
      <c r="Q465" s="126" t="n"/>
      <c r="R465" s="126" t="n"/>
      <c r="S465" s="126" t="n"/>
      <c r="T465" s="126" t="n"/>
      <c r="U465" s="126" t="n"/>
      <c r="V465" s="126" t="n"/>
      <c r="W465" s="126" t="n"/>
      <c r="X465" s="126" t="n"/>
      <c r="Y465" s="126" t="n"/>
      <c r="Z465" s="126" t="n"/>
      <c r="AA465" s="126" t="n"/>
      <c r="AB465" s="126" t="n"/>
      <c r="AC465" s="126" t="n"/>
      <c r="AD465" s="126" t="n"/>
      <c r="AE465" s="126" t="n"/>
      <c r="AF465" s="126" t="n"/>
      <c r="AG465" s="126" t="n"/>
      <c r="AH465" s="126" t="n"/>
      <c r="AI465" s="126" t="n"/>
      <c r="AJ465" s="126" t="n"/>
      <c r="AK465" s="126" t="n"/>
      <c r="AL465" s="126" t="n"/>
      <c r="AM465" s="126" t="n"/>
      <c r="AN465" s="126" t="n"/>
    </row>
    <row r="466" ht="21" customFormat="1" customHeight="1" s="127">
      <c r="A466" s="51">
        <f>IF($B466="","",ROW()-6)</f>
        <v/>
      </c>
      <c r="B466" s="268" t="n"/>
      <c r="C466" s="133" t="n"/>
      <c r="D466" s="50" t="n"/>
      <c r="E466" s="265" t="n"/>
      <c r="F466" s="133" t="n"/>
      <c r="G466" s="133" t="n"/>
      <c r="H466" s="50" t="n"/>
      <c r="I466" s="51">
        <f>IF($C466="","",IFERROR(INDEX(WorkerIDs,MATCH($C466,WorkerNames,0)),"?"))</f>
        <v/>
      </c>
      <c r="J466" s="253">
        <f>IF($B466="","",$B466-WEEKDAY($B466,2)+1)</f>
        <v/>
      </c>
      <c r="K466" s="142">
        <f>IF(OR($I466="",$I466="?",$D466&lt;&gt;"Advance",$B466=""),"",$I466&amp;"|"&amp;$J466&amp;"|"&amp;COUNTIFS($I$7:$I466,$I466,$J$7:$J466,$J466,$D$7:$D466,"Advance"))</f>
        <v/>
      </c>
      <c r="L466" s="266">
        <f>IF(OR($I466="",$I466="?",$B466=""),"",SUMPRODUCT((Weeks!$A$7:$A$59&lt;=$J466)*(Weeks!$X$5:$AI$5=$I466)*Weeks!$X$7:$AI$59)-SUMIFS($E$7:$E$1006,$I$7:$I$1006,$I466,$B$7:$B$1006,"&lt;="&amp;$B466))</f>
        <v/>
      </c>
      <c r="M466" s="132">
        <f>IF($B466&amp;$C466&amp;$D466&amp;$E466="","",IF($B466="","missing date",IF($C466="","missing worker",IF($I466="?","unknown worker - was the name changed on Workers?",IF($D466="","missing type",IF(N($E466)=0,"missing amount",IF(AND($E466&lt;0,$D466&lt;&gt;"Correction"),"negative amount - use a Correction to undo",IF(OR($B466&lt;Weeks!$A$7,$B466&gt;Weeks!$B$59),"date outside this workbook's year",IF(AND($D466="Advance",N($L466)&lt;0),"Warning: more than earned so far - worker now owes "&amp;TEXT(ROUND(-$L466,0),"#,##0"),"")))))))))</f>
        <v/>
      </c>
      <c r="N466" s="125" t="n"/>
      <c r="O466" s="126" t="n"/>
      <c r="P466" s="126" t="n"/>
      <c r="Q466" s="126" t="n"/>
      <c r="R466" s="126" t="n"/>
      <c r="S466" s="126" t="n"/>
      <c r="T466" s="126" t="n"/>
      <c r="U466" s="126" t="n"/>
      <c r="V466" s="126" t="n"/>
      <c r="W466" s="126" t="n"/>
      <c r="X466" s="126" t="n"/>
      <c r="Y466" s="126" t="n"/>
      <c r="Z466" s="126" t="n"/>
      <c r="AA466" s="126" t="n"/>
      <c r="AB466" s="126" t="n"/>
      <c r="AC466" s="126" t="n"/>
      <c r="AD466" s="126" t="n"/>
      <c r="AE466" s="126" t="n"/>
      <c r="AF466" s="126" t="n"/>
      <c r="AG466" s="126" t="n"/>
      <c r="AH466" s="126" t="n"/>
      <c r="AI466" s="126" t="n"/>
      <c r="AJ466" s="126" t="n"/>
      <c r="AK466" s="126" t="n"/>
      <c r="AL466" s="126" t="n"/>
      <c r="AM466" s="126" t="n"/>
      <c r="AN466" s="126" t="n"/>
    </row>
    <row r="467" ht="21" customFormat="1" customHeight="1" s="127">
      <c r="A467" s="51">
        <f>IF($B467="","",ROW()-6)</f>
        <v/>
      </c>
      <c r="B467" s="268" t="n"/>
      <c r="C467" s="133" t="n"/>
      <c r="D467" s="50" t="n"/>
      <c r="E467" s="265" t="n"/>
      <c r="F467" s="133" t="n"/>
      <c r="G467" s="133" t="n"/>
      <c r="H467" s="50" t="n"/>
      <c r="I467" s="51">
        <f>IF($C467="","",IFERROR(INDEX(WorkerIDs,MATCH($C467,WorkerNames,0)),"?"))</f>
        <v/>
      </c>
      <c r="J467" s="253">
        <f>IF($B467="","",$B467-WEEKDAY($B467,2)+1)</f>
        <v/>
      </c>
      <c r="K467" s="142">
        <f>IF(OR($I467="",$I467="?",$D467&lt;&gt;"Advance",$B467=""),"",$I467&amp;"|"&amp;$J467&amp;"|"&amp;COUNTIFS($I$7:$I467,$I467,$J$7:$J467,$J467,$D$7:$D467,"Advance"))</f>
        <v/>
      </c>
      <c r="L467" s="266">
        <f>IF(OR($I467="",$I467="?",$B467=""),"",SUMPRODUCT((Weeks!$A$7:$A$59&lt;=$J467)*(Weeks!$X$5:$AI$5=$I467)*Weeks!$X$7:$AI$59)-SUMIFS($E$7:$E$1006,$I$7:$I$1006,$I467,$B$7:$B$1006,"&lt;="&amp;$B467))</f>
        <v/>
      </c>
      <c r="M467" s="132">
        <f>IF($B467&amp;$C467&amp;$D467&amp;$E467="","",IF($B467="","missing date",IF($C467="","missing worker",IF($I467="?","unknown worker - was the name changed on Workers?",IF($D467="","missing type",IF(N($E467)=0,"missing amount",IF(AND($E467&lt;0,$D467&lt;&gt;"Correction"),"negative amount - use a Correction to undo",IF(OR($B467&lt;Weeks!$A$7,$B467&gt;Weeks!$B$59),"date outside this workbook's year",IF(AND($D467="Advance",N($L467)&lt;0),"Warning: more than earned so far - worker now owes "&amp;TEXT(ROUND(-$L467,0),"#,##0"),"")))))))))</f>
        <v/>
      </c>
      <c r="N467" s="125" t="n"/>
      <c r="O467" s="126" t="n"/>
      <c r="P467" s="126" t="n"/>
      <c r="Q467" s="126" t="n"/>
      <c r="R467" s="126" t="n"/>
      <c r="S467" s="126" t="n"/>
      <c r="T467" s="126" t="n"/>
      <c r="U467" s="126" t="n"/>
      <c r="V467" s="126" t="n"/>
      <c r="W467" s="126" t="n"/>
      <c r="X467" s="126" t="n"/>
      <c r="Y467" s="126" t="n"/>
      <c r="Z467" s="126" t="n"/>
      <c r="AA467" s="126" t="n"/>
      <c r="AB467" s="126" t="n"/>
      <c r="AC467" s="126" t="n"/>
      <c r="AD467" s="126" t="n"/>
      <c r="AE467" s="126" t="n"/>
      <c r="AF467" s="126" t="n"/>
      <c r="AG467" s="126" t="n"/>
      <c r="AH467" s="126" t="n"/>
      <c r="AI467" s="126" t="n"/>
      <c r="AJ467" s="126" t="n"/>
      <c r="AK467" s="126" t="n"/>
      <c r="AL467" s="126" t="n"/>
      <c r="AM467" s="126" t="n"/>
      <c r="AN467" s="126" t="n"/>
    </row>
    <row r="468" ht="21" customFormat="1" customHeight="1" s="127">
      <c r="A468" s="51">
        <f>IF($B468="","",ROW()-6)</f>
        <v/>
      </c>
      <c r="B468" s="268" t="n"/>
      <c r="C468" s="133" t="n"/>
      <c r="D468" s="50" t="n"/>
      <c r="E468" s="265" t="n"/>
      <c r="F468" s="133" t="n"/>
      <c r="G468" s="133" t="n"/>
      <c r="H468" s="50" t="n"/>
      <c r="I468" s="51">
        <f>IF($C468="","",IFERROR(INDEX(WorkerIDs,MATCH($C468,WorkerNames,0)),"?"))</f>
        <v/>
      </c>
      <c r="J468" s="253">
        <f>IF($B468="","",$B468-WEEKDAY($B468,2)+1)</f>
        <v/>
      </c>
      <c r="K468" s="142">
        <f>IF(OR($I468="",$I468="?",$D468&lt;&gt;"Advance",$B468=""),"",$I468&amp;"|"&amp;$J468&amp;"|"&amp;COUNTIFS($I$7:$I468,$I468,$J$7:$J468,$J468,$D$7:$D468,"Advance"))</f>
        <v/>
      </c>
      <c r="L468" s="266">
        <f>IF(OR($I468="",$I468="?",$B468=""),"",SUMPRODUCT((Weeks!$A$7:$A$59&lt;=$J468)*(Weeks!$X$5:$AI$5=$I468)*Weeks!$X$7:$AI$59)-SUMIFS($E$7:$E$1006,$I$7:$I$1006,$I468,$B$7:$B$1006,"&lt;="&amp;$B468))</f>
        <v/>
      </c>
      <c r="M468" s="132">
        <f>IF($B468&amp;$C468&amp;$D468&amp;$E468="","",IF($B468="","missing date",IF($C468="","missing worker",IF($I468="?","unknown worker - was the name changed on Workers?",IF($D468="","missing type",IF(N($E468)=0,"missing amount",IF(AND($E468&lt;0,$D468&lt;&gt;"Correction"),"negative amount - use a Correction to undo",IF(OR($B468&lt;Weeks!$A$7,$B468&gt;Weeks!$B$59),"date outside this workbook's year",IF(AND($D468="Advance",N($L468)&lt;0),"Warning: more than earned so far - worker now owes "&amp;TEXT(ROUND(-$L468,0),"#,##0"),"")))))))))</f>
        <v/>
      </c>
      <c r="N468" s="125" t="n"/>
      <c r="O468" s="126" t="n"/>
      <c r="P468" s="126" t="n"/>
      <c r="Q468" s="126" t="n"/>
      <c r="R468" s="126" t="n"/>
      <c r="S468" s="126" t="n"/>
      <c r="T468" s="126" t="n"/>
      <c r="U468" s="126" t="n"/>
      <c r="V468" s="126" t="n"/>
      <c r="W468" s="126" t="n"/>
      <c r="X468" s="126" t="n"/>
      <c r="Y468" s="126" t="n"/>
      <c r="Z468" s="126" t="n"/>
      <c r="AA468" s="126" t="n"/>
      <c r="AB468" s="126" t="n"/>
      <c r="AC468" s="126" t="n"/>
      <c r="AD468" s="126" t="n"/>
      <c r="AE468" s="126" t="n"/>
      <c r="AF468" s="126" t="n"/>
      <c r="AG468" s="126" t="n"/>
      <c r="AH468" s="126" t="n"/>
      <c r="AI468" s="126" t="n"/>
      <c r="AJ468" s="126" t="n"/>
      <c r="AK468" s="126" t="n"/>
      <c r="AL468" s="126" t="n"/>
      <c r="AM468" s="126" t="n"/>
      <c r="AN468" s="126" t="n"/>
    </row>
    <row r="469" ht="21" customFormat="1" customHeight="1" s="127">
      <c r="A469" s="51">
        <f>IF($B469="","",ROW()-6)</f>
        <v/>
      </c>
      <c r="B469" s="268" t="n"/>
      <c r="C469" s="133" t="n"/>
      <c r="D469" s="50" t="n"/>
      <c r="E469" s="265" t="n"/>
      <c r="F469" s="133" t="n"/>
      <c r="G469" s="133" t="n"/>
      <c r="H469" s="50" t="n"/>
      <c r="I469" s="51">
        <f>IF($C469="","",IFERROR(INDEX(WorkerIDs,MATCH($C469,WorkerNames,0)),"?"))</f>
        <v/>
      </c>
      <c r="J469" s="253">
        <f>IF($B469="","",$B469-WEEKDAY($B469,2)+1)</f>
        <v/>
      </c>
      <c r="K469" s="142">
        <f>IF(OR($I469="",$I469="?",$D469&lt;&gt;"Advance",$B469=""),"",$I469&amp;"|"&amp;$J469&amp;"|"&amp;COUNTIFS($I$7:$I469,$I469,$J$7:$J469,$J469,$D$7:$D469,"Advance"))</f>
        <v/>
      </c>
      <c r="L469" s="266">
        <f>IF(OR($I469="",$I469="?",$B469=""),"",SUMPRODUCT((Weeks!$A$7:$A$59&lt;=$J469)*(Weeks!$X$5:$AI$5=$I469)*Weeks!$X$7:$AI$59)-SUMIFS($E$7:$E$1006,$I$7:$I$1006,$I469,$B$7:$B$1006,"&lt;="&amp;$B469))</f>
        <v/>
      </c>
      <c r="M469" s="132">
        <f>IF($B469&amp;$C469&amp;$D469&amp;$E469="","",IF($B469="","missing date",IF($C469="","missing worker",IF($I469="?","unknown worker - was the name changed on Workers?",IF($D469="","missing type",IF(N($E469)=0,"missing amount",IF(AND($E469&lt;0,$D469&lt;&gt;"Correction"),"negative amount - use a Correction to undo",IF(OR($B469&lt;Weeks!$A$7,$B469&gt;Weeks!$B$59),"date outside this workbook's year",IF(AND($D469="Advance",N($L469)&lt;0),"Warning: more than earned so far - worker now owes "&amp;TEXT(ROUND(-$L469,0),"#,##0"),"")))))))))</f>
        <v/>
      </c>
      <c r="N469" s="125" t="n"/>
      <c r="O469" s="126" t="n"/>
      <c r="P469" s="126" t="n"/>
      <c r="Q469" s="126" t="n"/>
      <c r="R469" s="126" t="n"/>
      <c r="S469" s="126" t="n"/>
      <c r="T469" s="126" t="n"/>
      <c r="U469" s="126" t="n"/>
      <c r="V469" s="126" t="n"/>
      <c r="W469" s="126" t="n"/>
      <c r="X469" s="126" t="n"/>
      <c r="Y469" s="126" t="n"/>
      <c r="Z469" s="126" t="n"/>
      <c r="AA469" s="126" t="n"/>
      <c r="AB469" s="126" t="n"/>
      <c r="AC469" s="126" t="n"/>
      <c r="AD469" s="126" t="n"/>
      <c r="AE469" s="126" t="n"/>
      <c r="AF469" s="126" t="n"/>
      <c r="AG469" s="126" t="n"/>
      <c r="AH469" s="126" t="n"/>
      <c r="AI469" s="126" t="n"/>
      <c r="AJ469" s="126" t="n"/>
      <c r="AK469" s="126" t="n"/>
      <c r="AL469" s="126" t="n"/>
      <c r="AM469" s="126" t="n"/>
      <c r="AN469" s="126" t="n"/>
    </row>
    <row r="470" ht="21" customFormat="1" customHeight="1" s="127">
      <c r="A470" s="51">
        <f>IF($B470="","",ROW()-6)</f>
        <v/>
      </c>
      <c r="B470" s="268" t="n"/>
      <c r="C470" s="133" t="n"/>
      <c r="D470" s="50" t="n"/>
      <c r="E470" s="265" t="n"/>
      <c r="F470" s="133" t="n"/>
      <c r="G470" s="133" t="n"/>
      <c r="H470" s="50" t="n"/>
      <c r="I470" s="51">
        <f>IF($C470="","",IFERROR(INDEX(WorkerIDs,MATCH($C470,WorkerNames,0)),"?"))</f>
        <v/>
      </c>
      <c r="J470" s="253">
        <f>IF($B470="","",$B470-WEEKDAY($B470,2)+1)</f>
        <v/>
      </c>
      <c r="K470" s="142">
        <f>IF(OR($I470="",$I470="?",$D470&lt;&gt;"Advance",$B470=""),"",$I470&amp;"|"&amp;$J470&amp;"|"&amp;COUNTIFS($I$7:$I470,$I470,$J$7:$J470,$J470,$D$7:$D470,"Advance"))</f>
        <v/>
      </c>
      <c r="L470" s="266">
        <f>IF(OR($I470="",$I470="?",$B470=""),"",SUMPRODUCT((Weeks!$A$7:$A$59&lt;=$J470)*(Weeks!$X$5:$AI$5=$I470)*Weeks!$X$7:$AI$59)-SUMIFS($E$7:$E$1006,$I$7:$I$1006,$I470,$B$7:$B$1006,"&lt;="&amp;$B470))</f>
        <v/>
      </c>
      <c r="M470" s="132">
        <f>IF($B470&amp;$C470&amp;$D470&amp;$E470="","",IF($B470="","missing date",IF($C470="","missing worker",IF($I470="?","unknown worker - was the name changed on Workers?",IF($D470="","missing type",IF(N($E470)=0,"missing amount",IF(AND($E470&lt;0,$D470&lt;&gt;"Correction"),"negative amount - use a Correction to undo",IF(OR($B470&lt;Weeks!$A$7,$B470&gt;Weeks!$B$59),"date outside this workbook's year",IF(AND($D470="Advance",N($L470)&lt;0),"Warning: more than earned so far - worker now owes "&amp;TEXT(ROUND(-$L470,0),"#,##0"),"")))))))))</f>
        <v/>
      </c>
      <c r="N470" s="125" t="n"/>
      <c r="O470" s="126" t="n"/>
      <c r="P470" s="126" t="n"/>
      <c r="Q470" s="126" t="n"/>
      <c r="R470" s="126" t="n"/>
      <c r="S470" s="126" t="n"/>
      <c r="T470" s="126" t="n"/>
      <c r="U470" s="126" t="n"/>
      <c r="V470" s="126" t="n"/>
      <c r="W470" s="126" t="n"/>
      <c r="X470" s="126" t="n"/>
      <c r="Y470" s="126" t="n"/>
      <c r="Z470" s="126" t="n"/>
      <c r="AA470" s="126" t="n"/>
      <c r="AB470" s="126" t="n"/>
      <c r="AC470" s="126" t="n"/>
      <c r="AD470" s="126" t="n"/>
      <c r="AE470" s="126" t="n"/>
      <c r="AF470" s="126" t="n"/>
      <c r="AG470" s="126" t="n"/>
      <c r="AH470" s="126" t="n"/>
      <c r="AI470" s="126" t="n"/>
      <c r="AJ470" s="126" t="n"/>
      <c r="AK470" s="126" t="n"/>
      <c r="AL470" s="126" t="n"/>
      <c r="AM470" s="126" t="n"/>
      <c r="AN470" s="126" t="n"/>
    </row>
    <row r="471" ht="21" customFormat="1" customHeight="1" s="127">
      <c r="A471" s="51">
        <f>IF($B471="","",ROW()-6)</f>
        <v/>
      </c>
      <c r="B471" s="268" t="n"/>
      <c r="C471" s="133" t="n"/>
      <c r="D471" s="50" t="n"/>
      <c r="E471" s="265" t="n"/>
      <c r="F471" s="133" t="n"/>
      <c r="G471" s="133" t="n"/>
      <c r="H471" s="50" t="n"/>
      <c r="I471" s="51">
        <f>IF($C471="","",IFERROR(INDEX(WorkerIDs,MATCH($C471,WorkerNames,0)),"?"))</f>
        <v/>
      </c>
      <c r="J471" s="253">
        <f>IF($B471="","",$B471-WEEKDAY($B471,2)+1)</f>
        <v/>
      </c>
      <c r="K471" s="142">
        <f>IF(OR($I471="",$I471="?",$D471&lt;&gt;"Advance",$B471=""),"",$I471&amp;"|"&amp;$J471&amp;"|"&amp;COUNTIFS($I$7:$I471,$I471,$J$7:$J471,$J471,$D$7:$D471,"Advance"))</f>
        <v/>
      </c>
      <c r="L471" s="266">
        <f>IF(OR($I471="",$I471="?",$B471=""),"",SUMPRODUCT((Weeks!$A$7:$A$59&lt;=$J471)*(Weeks!$X$5:$AI$5=$I471)*Weeks!$X$7:$AI$59)-SUMIFS($E$7:$E$1006,$I$7:$I$1006,$I471,$B$7:$B$1006,"&lt;="&amp;$B471))</f>
        <v/>
      </c>
      <c r="M471" s="132">
        <f>IF($B471&amp;$C471&amp;$D471&amp;$E471="","",IF($B471="","missing date",IF($C471="","missing worker",IF($I471="?","unknown worker - was the name changed on Workers?",IF($D471="","missing type",IF(N($E471)=0,"missing amount",IF(AND($E471&lt;0,$D471&lt;&gt;"Correction"),"negative amount - use a Correction to undo",IF(OR($B471&lt;Weeks!$A$7,$B471&gt;Weeks!$B$59),"date outside this workbook's year",IF(AND($D471="Advance",N($L471)&lt;0),"Warning: more than earned so far - worker now owes "&amp;TEXT(ROUND(-$L471,0),"#,##0"),"")))))))))</f>
        <v/>
      </c>
      <c r="N471" s="125" t="n"/>
      <c r="O471" s="126" t="n"/>
      <c r="P471" s="126" t="n"/>
      <c r="Q471" s="126" t="n"/>
      <c r="R471" s="126" t="n"/>
      <c r="S471" s="126" t="n"/>
      <c r="T471" s="126" t="n"/>
      <c r="U471" s="126" t="n"/>
      <c r="V471" s="126" t="n"/>
      <c r="W471" s="126" t="n"/>
      <c r="X471" s="126" t="n"/>
      <c r="Y471" s="126" t="n"/>
      <c r="Z471" s="126" t="n"/>
      <c r="AA471" s="126" t="n"/>
      <c r="AB471" s="126" t="n"/>
      <c r="AC471" s="126" t="n"/>
      <c r="AD471" s="126" t="n"/>
      <c r="AE471" s="126" t="n"/>
      <c r="AF471" s="126" t="n"/>
      <c r="AG471" s="126" t="n"/>
      <c r="AH471" s="126" t="n"/>
      <c r="AI471" s="126" t="n"/>
      <c r="AJ471" s="126" t="n"/>
      <c r="AK471" s="126" t="n"/>
      <c r="AL471" s="126" t="n"/>
      <c r="AM471" s="126" t="n"/>
      <c r="AN471" s="126" t="n"/>
    </row>
    <row r="472" ht="21" customFormat="1" customHeight="1" s="127">
      <c r="A472" s="51">
        <f>IF($B472="","",ROW()-6)</f>
        <v/>
      </c>
      <c r="B472" s="268" t="n"/>
      <c r="C472" s="133" t="n"/>
      <c r="D472" s="50" t="n"/>
      <c r="E472" s="265" t="n"/>
      <c r="F472" s="133" t="n"/>
      <c r="G472" s="133" t="n"/>
      <c r="H472" s="50" t="n"/>
      <c r="I472" s="51">
        <f>IF($C472="","",IFERROR(INDEX(WorkerIDs,MATCH($C472,WorkerNames,0)),"?"))</f>
        <v/>
      </c>
      <c r="J472" s="253">
        <f>IF($B472="","",$B472-WEEKDAY($B472,2)+1)</f>
        <v/>
      </c>
      <c r="K472" s="142">
        <f>IF(OR($I472="",$I472="?",$D472&lt;&gt;"Advance",$B472=""),"",$I472&amp;"|"&amp;$J472&amp;"|"&amp;COUNTIFS($I$7:$I472,$I472,$J$7:$J472,$J472,$D$7:$D472,"Advance"))</f>
        <v/>
      </c>
      <c r="L472" s="266">
        <f>IF(OR($I472="",$I472="?",$B472=""),"",SUMPRODUCT((Weeks!$A$7:$A$59&lt;=$J472)*(Weeks!$X$5:$AI$5=$I472)*Weeks!$X$7:$AI$59)-SUMIFS($E$7:$E$1006,$I$7:$I$1006,$I472,$B$7:$B$1006,"&lt;="&amp;$B472))</f>
        <v/>
      </c>
      <c r="M472" s="132">
        <f>IF($B472&amp;$C472&amp;$D472&amp;$E472="","",IF($B472="","missing date",IF($C472="","missing worker",IF($I472="?","unknown worker - was the name changed on Workers?",IF($D472="","missing type",IF(N($E472)=0,"missing amount",IF(AND($E472&lt;0,$D472&lt;&gt;"Correction"),"negative amount - use a Correction to undo",IF(OR($B472&lt;Weeks!$A$7,$B472&gt;Weeks!$B$59),"date outside this workbook's year",IF(AND($D472="Advance",N($L472)&lt;0),"Warning: more than earned so far - worker now owes "&amp;TEXT(ROUND(-$L472,0),"#,##0"),"")))))))))</f>
        <v/>
      </c>
      <c r="N472" s="125" t="n"/>
      <c r="O472" s="126" t="n"/>
      <c r="P472" s="126" t="n"/>
      <c r="Q472" s="126" t="n"/>
      <c r="R472" s="126" t="n"/>
      <c r="S472" s="126" t="n"/>
      <c r="T472" s="126" t="n"/>
      <c r="U472" s="126" t="n"/>
      <c r="V472" s="126" t="n"/>
      <c r="W472" s="126" t="n"/>
      <c r="X472" s="126" t="n"/>
      <c r="Y472" s="126" t="n"/>
      <c r="Z472" s="126" t="n"/>
      <c r="AA472" s="126" t="n"/>
      <c r="AB472" s="126" t="n"/>
      <c r="AC472" s="126" t="n"/>
      <c r="AD472" s="126" t="n"/>
      <c r="AE472" s="126" t="n"/>
      <c r="AF472" s="126" t="n"/>
      <c r="AG472" s="126" t="n"/>
      <c r="AH472" s="126" t="n"/>
      <c r="AI472" s="126" t="n"/>
      <c r="AJ472" s="126" t="n"/>
      <c r="AK472" s="126" t="n"/>
      <c r="AL472" s="126" t="n"/>
      <c r="AM472" s="126" t="n"/>
      <c r="AN472" s="126" t="n"/>
    </row>
    <row r="473" ht="21" customFormat="1" customHeight="1" s="127">
      <c r="A473" s="51">
        <f>IF($B473="","",ROW()-6)</f>
        <v/>
      </c>
      <c r="B473" s="268" t="n"/>
      <c r="C473" s="133" t="n"/>
      <c r="D473" s="50" t="n"/>
      <c r="E473" s="265" t="n"/>
      <c r="F473" s="133" t="n"/>
      <c r="G473" s="133" t="n"/>
      <c r="H473" s="50" t="n"/>
      <c r="I473" s="51">
        <f>IF($C473="","",IFERROR(INDEX(WorkerIDs,MATCH($C473,WorkerNames,0)),"?"))</f>
        <v/>
      </c>
      <c r="J473" s="253">
        <f>IF($B473="","",$B473-WEEKDAY($B473,2)+1)</f>
        <v/>
      </c>
      <c r="K473" s="142">
        <f>IF(OR($I473="",$I473="?",$D473&lt;&gt;"Advance",$B473=""),"",$I473&amp;"|"&amp;$J473&amp;"|"&amp;COUNTIFS($I$7:$I473,$I473,$J$7:$J473,$J473,$D$7:$D473,"Advance"))</f>
        <v/>
      </c>
      <c r="L473" s="266">
        <f>IF(OR($I473="",$I473="?",$B473=""),"",SUMPRODUCT((Weeks!$A$7:$A$59&lt;=$J473)*(Weeks!$X$5:$AI$5=$I473)*Weeks!$X$7:$AI$59)-SUMIFS($E$7:$E$1006,$I$7:$I$1006,$I473,$B$7:$B$1006,"&lt;="&amp;$B473))</f>
        <v/>
      </c>
      <c r="M473" s="132">
        <f>IF($B473&amp;$C473&amp;$D473&amp;$E473="","",IF($B473="","missing date",IF($C473="","missing worker",IF($I473="?","unknown worker - was the name changed on Workers?",IF($D473="","missing type",IF(N($E473)=0,"missing amount",IF(AND($E473&lt;0,$D473&lt;&gt;"Correction"),"negative amount - use a Correction to undo",IF(OR($B473&lt;Weeks!$A$7,$B473&gt;Weeks!$B$59),"date outside this workbook's year",IF(AND($D473="Advance",N($L473)&lt;0),"Warning: more than earned so far - worker now owes "&amp;TEXT(ROUND(-$L473,0),"#,##0"),"")))))))))</f>
        <v/>
      </c>
      <c r="N473" s="125" t="n"/>
      <c r="O473" s="126" t="n"/>
      <c r="P473" s="126" t="n"/>
      <c r="Q473" s="126" t="n"/>
      <c r="R473" s="126" t="n"/>
      <c r="S473" s="126" t="n"/>
      <c r="T473" s="126" t="n"/>
      <c r="U473" s="126" t="n"/>
      <c r="V473" s="126" t="n"/>
      <c r="W473" s="126" t="n"/>
      <c r="X473" s="126" t="n"/>
      <c r="Y473" s="126" t="n"/>
      <c r="Z473" s="126" t="n"/>
      <c r="AA473" s="126" t="n"/>
      <c r="AB473" s="126" t="n"/>
      <c r="AC473" s="126" t="n"/>
      <c r="AD473" s="126" t="n"/>
      <c r="AE473" s="126" t="n"/>
      <c r="AF473" s="126" t="n"/>
      <c r="AG473" s="126" t="n"/>
      <c r="AH473" s="126" t="n"/>
      <c r="AI473" s="126" t="n"/>
      <c r="AJ473" s="126" t="n"/>
      <c r="AK473" s="126" t="n"/>
      <c r="AL473" s="126" t="n"/>
      <c r="AM473" s="126" t="n"/>
      <c r="AN473" s="126" t="n"/>
    </row>
    <row r="474" ht="21" customFormat="1" customHeight="1" s="127">
      <c r="A474" s="51">
        <f>IF($B474="","",ROW()-6)</f>
        <v/>
      </c>
      <c r="B474" s="268" t="n"/>
      <c r="C474" s="133" t="n"/>
      <c r="D474" s="50" t="n"/>
      <c r="E474" s="265" t="n"/>
      <c r="F474" s="133" t="n"/>
      <c r="G474" s="133" t="n"/>
      <c r="H474" s="50" t="n"/>
      <c r="I474" s="51">
        <f>IF($C474="","",IFERROR(INDEX(WorkerIDs,MATCH($C474,WorkerNames,0)),"?"))</f>
        <v/>
      </c>
      <c r="J474" s="253">
        <f>IF($B474="","",$B474-WEEKDAY($B474,2)+1)</f>
        <v/>
      </c>
      <c r="K474" s="142">
        <f>IF(OR($I474="",$I474="?",$D474&lt;&gt;"Advance",$B474=""),"",$I474&amp;"|"&amp;$J474&amp;"|"&amp;COUNTIFS($I$7:$I474,$I474,$J$7:$J474,$J474,$D$7:$D474,"Advance"))</f>
        <v/>
      </c>
      <c r="L474" s="266">
        <f>IF(OR($I474="",$I474="?",$B474=""),"",SUMPRODUCT((Weeks!$A$7:$A$59&lt;=$J474)*(Weeks!$X$5:$AI$5=$I474)*Weeks!$X$7:$AI$59)-SUMIFS($E$7:$E$1006,$I$7:$I$1006,$I474,$B$7:$B$1006,"&lt;="&amp;$B474))</f>
        <v/>
      </c>
      <c r="M474" s="132">
        <f>IF($B474&amp;$C474&amp;$D474&amp;$E474="","",IF($B474="","missing date",IF($C474="","missing worker",IF($I474="?","unknown worker - was the name changed on Workers?",IF($D474="","missing type",IF(N($E474)=0,"missing amount",IF(AND($E474&lt;0,$D474&lt;&gt;"Correction"),"negative amount - use a Correction to undo",IF(OR($B474&lt;Weeks!$A$7,$B474&gt;Weeks!$B$59),"date outside this workbook's year",IF(AND($D474="Advance",N($L474)&lt;0),"Warning: more than earned so far - worker now owes "&amp;TEXT(ROUND(-$L474,0),"#,##0"),"")))))))))</f>
        <v/>
      </c>
      <c r="N474" s="125" t="n"/>
      <c r="O474" s="126" t="n"/>
      <c r="P474" s="126" t="n"/>
      <c r="Q474" s="126" t="n"/>
      <c r="R474" s="126" t="n"/>
      <c r="S474" s="126" t="n"/>
      <c r="T474" s="126" t="n"/>
      <c r="U474" s="126" t="n"/>
      <c r="V474" s="126" t="n"/>
      <c r="W474" s="126" t="n"/>
      <c r="X474" s="126" t="n"/>
      <c r="Y474" s="126" t="n"/>
      <c r="Z474" s="126" t="n"/>
      <c r="AA474" s="126" t="n"/>
      <c r="AB474" s="126" t="n"/>
      <c r="AC474" s="126" t="n"/>
      <c r="AD474" s="126" t="n"/>
      <c r="AE474" s="126" t="n"/>
      <c r="AF474" s="126" t="n"/>
      <c r="AG474" s="126" t="n"/>
      <c r="AH474" s="126" t="n"/>
      <c r="AI474" s="126" t="n"/>
      <c r="AJ474" s="126" t="n"/>
      <c r="AK474" s="126" t="n"/>
      <c r="AL474" s="126" t="n"/>
      <c r="AM474" s="126" t="n"/>
      <c r="AN474" s="126" t="n"/>
    </row>
    <row r="475" ht="21" customFormat="1" customHeight="1" s="127">
      <c r="A475" s="51">
        <f>IF($B475="","",ROW()-6)</f>
        <v/>
      </c>
      <c r="B475" s="268" t="n"/>
      <c r="C475" s="133" t="n"/>
      <c r="D475" s="50" t="n"/>
      <c r="E475" s="265" t="n"/>
      <c r="F475" s="133" t="n"/>
      <c r="G475" s="133" t="n"/>
      <c r="H475" s="50" t="n"/>
      <c r="I475" s="51">
        <f>IF($C475="","",IFERROR(INDEX(WorkerIDs,MATCH($C475,WorkerNames,0)),"?"))</f>
        <v/>
      </c>
      <c r="J475" s="253">
        <f>IF($B475="","",$B475-WEEKDAY($B475,2)+1)</f>
        <v/>
      </c>
      <c r="K475" s="142">
        <f>IF(OR($I475="",$I475="?",$D475&lt;&gt;"Advance",$B475=""),"",$I475&amp;"|"&amp;$J475&amp;"|"&amp;COUNTIFS($I$7:$I475,$I475,$J$7:$J475,$J475,$D$7:$D475,"Advance"))</f>
        <v/>
      </c>
      <c r="L475" s="266">
        <f>IF(OR($I475="",$I475="?",$B475=""),"",SUMPRODUCT((Weeks!$A$7:$A$59&lt;=$J475)*(Weeks!$X$5:$AI$5=$I475)*Weeks!$X$7:$AI$59)-SUMIFS($E$7:$E$1006,$I$7:$I$1006,$I475,$B$7:$B$1006,"&lt;="&amp;$B475))</f>
        <v/>
      </c>
      <c r="M475" s="132">
        <f>IF($B475&amp;$C475&amp;$D475&amp;$E475="","",IF($B475="","missing date",IF($C475="","missing worker",IF($I475="?","unknown worker - was the name changed on Workers?",IF($D475="","missing type",IF(N($E475)=0,"missing amount",IF(AND($E475&lt;0,$D475&lt;&gt;"Correction"),"negative amount - use a Correction to undo",IF(OR($B475&lt;Weeks!$A$7,$B475&gt;Weeks!$B$59),"date outside this workbook's year",IF(AND($D475="Advance",N($L475)&lt;0),"Warning: more than earned so far - worker now owes "&amp;TEXT(ROUND(-$L475,0),"#,##0"),"")))))))))</f>
        <v/>
      </c>
      <c r="N475" s="125" t="n"/>
      <c r="O475" s="126" t="n"/>
      <c r="P475" s="126" t="n"/>
      <c r="Q475" s="126" t="n"/>
      <c r="R475" s="126" t="n"/>
      <c r="S475" s="126" t="n"/>
      <c r="T475" s="126" t="n"/>
      <c r="U475" s="126" t="n"/>
      <c r="V475" s="126" t="n"/>
      <c r="W475" s="126" t="n"/>
      <c r="X475" s="126" t="n"/>
      <c r="Y475" s="126" t="n"/>
      <c r="Z475" s="126" t="n"/>
      <c r="AA475" s="126" t="n"/>
      <c r="AB475" s="126" t="n"/>
      <c r="AC475" s="126" t="n"/>
      <c r="AD475" s="126" t="n"/>
      <c r="AE475" s="126" t="n"/>
      <c r="AF475" s="126" t="n"/>
      <c r="AG475" s="126" t="n"/>
      <c r="AH475" s="126" t="n"/>
      <c r="AI475" s="126" t="n"/>
      <c r="AJ475" s="126" t="n"/>
      <c r="AK475" s="126" t="n"/>
      <c r="AL475" s="126" t="n"/>
      <c r="AM475" s="126" t="n"/>
      <c r="AN475" s="126" t="n"/>
    </row>
    <row r="476" ht="21" customFormat="1" customHeight="1" s="127">
      <c r="A476" s="51">
        <f>IF($B476="","",ROW()-6)</f>
        <v/>
      </c>
      <c r="B476" s="268" t="n"/>
      <c r="C476" s="133" t="n"/>
      <c r="D476" s="50" t="n"/>
      <c r="E476" s="265" t="n"/>
      <c r="F476" s="133" t="n"/>
      <c r="G476" s="133" t="n"/>
      <c r="H476" s="50" t="n"/>
      <c r="I476" s="51">
        <f>IF($C476="","",IFERROR(INDEX(WorkerIDs,MATCH($C476,WorkerNames,0)),"?"))</f>
        <v/>
      </c>
      <c r="J476" s="253">
        <f>IF($B476="","",$B476-WEEKDAY($B476,2)+1)</f>
        <v/>
      </c>
      <c r="K476" s="142">
        <f>IF(OR($I476="",$I476="?",$D476&lt;&gt;"Advance",$B476=""),"",$I476&amp;"|"&amp;$J476&amp;"|"&amp;COUNTIFS($I$7:$I476,$I476,$J$7:$J476,$J476,$D$7:$D476,"Advance"))</f>
        <v/>
      </c>
      <c r="L476" s="266">
        <f>IF(OR($I476="",$I476="?",$B476=""),"",SUMPRODUCT((Weeks!$A$7:$A$59&lt;=$J476)*(Weeks!$X$5:$AI$5=$I476)*Weeks!$X$7:$AI$59)-SUMIFS($E$7:$E$1006,$I$7:$I$1006,$I476,$B$7:$B$1006,"&lt;="&amp;$B476))</f>
        <v/>
      </c>
      <c r="M476" s="132">
        <f>IF($B476&amp;$C476&amp;$D476&amp;$E476="","",IF($B476="","missing date",IF($C476="","missing worker",IF($I476="?","unknown worker - was the name changed on Workers?",IF($D476="","missing type",IF(N($E476)=0,"missing amount",IF(AND($E476&lt;0,$D476&lt;&gt;"Correction"),"negative amount - use a Correction to undo",IF(OR($B476&lt;Weeks!$A$7,$B476&gt;Weeks!$B$59),"date outside this workbook's year",IF(AND($D476="Advance",N($L476)&lt;0),"Warning: more than earned so far - worker now owes "&amp;TEXT(ROUND(-$L476,0),"#,##0"),"")))))))))</f>
        <v/>
      </c>
      <c r="N476" s="125" t="n"/>
      <c r="O476" s="126" t="n"/>
      <c r="P476" s="126" t="n"/>
      <c r="Q476" s="126" t="n"/>
      <c r="R476" s="126" t="n"/>
      <c r="S476" s="126" t="n"/>
      <c r="T476" s="126" t="n"/>
      <c r="U476" s="126" t="n"/>
      <c r="V476" s="126" t="n"/>
      <c r="W476" s="126" t="n"/>
      <c r="X476" s="126" t="n"/>
      <c r="Y476" s="126" t="n"/>
      <c r="Z476" s="126" t="n"/>
      <c r="AA476" s="126" t="n"/>
      <c r="AB476" s="126" t="n"/>
      <c r="AC476" s="126" t="n"/>
      <c r="AD476" s="126" t="n"/>
      <c r="AE476" s="126" t="n"/>
      <c r="AF476" s="126" t="n"/>
      <c r="AG476" s="126" t="n"/>
      <c r="AH476" s="126" t="n"/>
      <c r="AI476" s="126" t="n"/>
      <c r="AJ476" s="126" t="n"/>
      <c r="AK476" s="126" t="n"/>
      <c r="AL476" s="126" t="n"/>
      <c r="AM476" s="126" t="n"/>
      <c r="AN476" s="126" t="n"/>
    </row>
    <row r="477" ht="21" customFormat="1" customHeight="1" s="127">
      <c r="A477" s="51">
        <f>IF($B477="","",ROW()-6)</f>
        <v/>
      </c>
      <c r="B477" s="268" t="n"/>
      <c r="C477" s="133" t="n"/>
      <c r="D477" s="50" t="n"/>
      <c r="E477" s="265" t="n"/>
      <c r="F477" s="133" t="n"/>
      <c r="G477" s="133" t="n"/>
      <c r="H477" s="50" t="n"/>
      <c r="I477" s="51">
        <f>IF($C477="","",IFERROR(INDEX(WorkerIDs,MATCH($C477,WorkerNames,0)),"?"))</f>
        <v/>
      </c>
      <c r="J477" s="253">
        <f>IF($B477="","",$B477-WEEKDAY($B477,2)+1)</f>
        <v/>
      </c>
      <c r="K477" s="142">
        <f>IF(OR($I477="",$I477="?",$D477&lt;&gt;"Advance",$B477=""),"",$I477&amp;"|"&amp;$J477&amp;"|"&amp;COUNTIFS($I$7:$I477,$I477,$J$7:$J477,$J477,$D$7:$D477,"Advance"))</f>
        <v/>
      </c>
      <c r="L477" s="266">
        <f>IF(OR($I477="",$I477="?",$B477=""),"",SUMPRODUCT((Weeks!$A$7:$A$59&lt;=$J477)*(Weeks!$X$5:$AI$5=$I477)*Weeks!$X$7:$AI$59)-SUMIFS($E$7:$E$1006,$I$7:$I$1006,$I477,$B$7:$B$1006,"&lt;="&amp;$B477))</f>
        <v/>
      </c>
      <c r="M477" s="132">
        <f>IF($B477&amp;$C477&amp;$D477&amp;$E477="","",IF($B477="","missing date",IF($C477="","missing worker",IF($I477="?","unknown worker - was the name changed on Workers?",IF($D477="","missing type",IF(N($E477)=0,"missing amount",IF(AND($E477&lt;0,$D477&lt;&gt;"Correction"),"negative amount - use a Correction to undo",IF(OR($B477&lt;Weeks!$A$7,$B477&gt;Weeks!$B$59),"date outside this workbook's year",IF(AND($D477="Advance",N($L477)&lt;0),"Warning: more than earned so far - worker now owes "&amp;TEXT(ROUND(-$L477,0),"#,##0"),"")))))))))</f>
        <v/>
      </c>
      <c r="N477" s="125" t="n"/>
      <c r="O477" s="126" t="n"/>
      <c r="P477" s="126" t="n"/>
      <c r="Q477" s="126" t="n"/>
      <c r="R477" s="126" t="n"/>
      <c r="S477" s="126" t="n"/>
      <c r="T477" s="126" t="n"/>
      <c r="U477" s="126" t="n"/>
      <c r="V477" s="126" t="n"/>
      <c r="W477" s="126" t="n"/>
      <c r="X477" s="126" t="n"/>
      <c r="Y477" s="126" t="n"/>
      <c r="Z477" s="126" t="n"/>
      <c r="AA477" s="126" t="n"/>
      <c r="AB477" s="126" t="n"/>
      <c r="AC477" s="126" t="n"/>
      <c r="AD477" s="126" t="n"/>
      <c r="AE477" s="126" t="n"/>
      <c r="AF477" s="126" t="n"/>
      <c r="AG477" s="126" t="n"/>
      <c r="AH477" s="126" t="n"/>
      <c r="AI477" s="126" t="n"/>
      <c r="AJ477" s="126" t="n"/>
      <c r="AK477" s="126" t="n"/>
      <c r="AL477" s="126" t="n"/>
      <c r="AM477" s="126" t="n"/>
      <c r="AN477" s="126" t="n"/>
    </row>
    <row r="478" ht="21" customFormat="1" customHeight="1" s="127">
      <c r="A478" s="51">
        <f>IF($B478="","",ROW()-6)</f>
        <v/>
      </c>
      <c r="B478" s="268" t="n"/>
      <c r="C478" s="133" t="n"/>
      <c r="D478" s="50" t="n"/>
      <c r="E478" s="265" t="n"/>
      <c r="F478" s="133" t="n"/>
      <c r="G478" s="133" t="n"/>
      <c r="H478" s="50" t="n"/>
      <c r="I478" s="51">
        <f>IF($C478="","",IFERROR(INDEX(WorkerIDs,MATCH($C478,WorkerNames,0)),"?"))</f>
        <v/>
      </c>
      <c r="J478" s="253">
        <f>IF($B478="","",$B478-WEEKDAY($B478,2)+1)</f>
        <v/>
      </c>
      <c r="K478" s="142">
        <f>IF(OR($I478="",$I478="?",$D478&lt;&gt;"Advance",$B478=""),"",$I478&amp;"|"&amp;$J478&amp;"|"&amp;COUNTIFS($I$7:$I478,$I478,$J$7:$J478,$J478,$D$7:$D478,"Advance"))</f>
        <v/>
      </c>
      <c r="L478" s="266">
        <f>IF(OR($I478="",$I478="?",$B478=""),"",SUMPRODUCT((Weeks!$A$7:$A$59&lt;=$J478)*(Weeks!$X$5:$AI$5=$I478)*Weeks!$X$7:$AI$59)-SUMIFS($E$7:$E$1006,$I$7:$I$1006,$I478,$B$7:$B$1006,"&lt;="&amp;$B478))</f>
        <v/>
      </c>
      <c r="M478" s="132">
        <f>IF($B478&amp;$C478&amp;$D478&amp;$E478="","",IF($B478="","missing date",IF($C478="","missing worker",IF($I478="?","unknown worker - was the name changed on Workers?",IF($D478="","missing type",IF(N($E478)=0,"missing amount",IF(AND($E478&lt;0,$D478&lt;&gt;"Correction"),"negative amount - use a Correction to undo",IF(OR($B478&lt;Weeks!$A$7,$B478&gt;Weeks!$B$59),"date outside this workbook's year",IF(AND($D478="Advance",N($L478)&lt;0),"Warning: more than earned so far - worker now owes "&amp;TEXT(ROUND(-$L478,0),"#,##0"),"")))))))))</f>
        <v/>
      </c>
      <c r="N478" s="125" t="n"/>
      <c r="O478" s="126" t="n"/>
      <c r="P478" s="126" t="n"/>
      <c r="Q478" s="126" t="n"/>
      <c r="R478" s="126" t="n"/>
      <c r="S478" s="126" t="n"/>
      <c r="T478" s="126" t="n"/>
      <c r="U478" s="126" t="n"/>
      <c r="V478" s="126" t="n"/>
      <c r="W478" s="126" t="n"/>
      <c r="X478" s="126" t="n"/>
      <c r="Y478" s="126" t="n"/>
      <c r="Z478" s="126" t="n"/>
      <c r="AA478" s="126" t="n"/>
      <c r="AB478" s="126" t="n"/>
      <c r="AC478" s="126" t="n"/>
      <c r="AD478" s="126" t="n"/>
      <c r="AE478" s="126" t="n"/>
      <c r="AF478" s="126" t="n"/>
      <c r="AG478" s="126" t="n"/>
      <c r="AH478" s="126" t="n"/>
      <c r="AI478" s="126" t="n"/>
      <c r="AJ478" s="126" t="n"/>
      <c r="AK478" s="126" t="n"/>
      <c r="AL478" s="126" t="n"/>
      <c r="AM478" s="126" t="n"/>
      <c r="AN478" s="126" t="n"/>
    </row>
    <row r="479" ht="21" customFormat="1" customHeight="1" s="127">
      <c r="A479" s="51">
        <f>IF($B479="","",ROW()-6)</f>
        <v/>
      </c>
      <c r="B479" s="268" t="n"/>
      <c r="C479" s="133" t="n"/>
      <c r="D479" s="50" t="n"/>
      <c r="E479" s="265" t="n"/>
      <c r="F479" s="133" t="n"/>
      <c r="G479" s="133" t="n"/>
      <c r="H479" s="50" t="n"/>
      <c r="I479" s="51">
        <f>IF($C479="","",IFERROR(INDEX(WorkerIDs,MATCH($C479,WorkerNames,0)),"?"))</f>
        <v/>
      </c>
      <c r="J479" s="253">
        <f>IF($B479="","",$B479-WEEKDAY($B479,2)+1)</f>
        <v/>
      </c>
      <c r="K479" s="142">
        <f>IF(OR($I479="",$I479="?",$D479&lt;&gt;"Advance",$B479=""),"",$I479&amp;"|"&amp;$J479&amp;"|"&amp;COUNTIFS($I$7:$I479,$I479,$J$7:$J479,$J479,$D$7:$D479,"Advance"))</f>
        <v/>
      </c>
      <c r="L479" s="266">
        <f>IF(OR($I479="",$I479="?",$B479=""),"",SUMPRODUCT((Weeks!$A$7:$A$59&lt;=$J479)*(Weeks!$X$5:$AI$5=$I479)*Weeks!$X$7:$AI$59)-SUMIFS($E$7:$E$1006,$I$7:$I$1006,$I479,$B$7:$B$1006,"&lt;="&amp;$B479))</f>
        <v/>
      </c>
      <c r="M479" s="132">
        <f>IF($B479&amp;$C479&amp;$D479&amp;$E479="","",IF($B479="","missing date",IF($C479="","missing worker",IF($I479="?","unknown worker - was the name changed on Workers?",IF($D479="","missing type",IF(N($E479)=0,"missing amount",IF(AND($E479&lt;0,$D479&lt;&gt;"Correction"),"negative amount - use a Correction to undo",IF(OR($B479&lt;Weeks!$A$7,$B479&gt;Weeks!$B$59),"date outside this workbook's year",IF(AND($D479="Advance",N($L479)&lt;0),"Warning: more than earned so far - worker now owes "&amp;TEXT(ROUND(-$L479,0),"#,##0"),"")))))))))</f>
        <v/>
      </c>
      <c r="N479" s="125" t="n"/>
      <c r="O479" s="126" t="n"/>
      <c r="P479" s="126" t="n"/>
      <c r="Q479" s="126" t="n"/>
      <c r="R479" s="126" t="n"/>
      <c r="S479" s="126" t="n"/>
      <c r="T479" s="126" t="n"/>
      <c r="U479" s="126" t="n"/>
      <c r="V479" s="126" t="n"/>
      <c r="W479" s="126" t="n"/>
      <c r="X479" s="126" t="n"/>
      <c r="Y479" s="126" t="n"/>
      <c r="Z479" s="126" t="n"/>
      <c r="AA479" s="126" t="n"/>
      <c r="AB479" s="126" t="n"/>
      <c r="AC479" s="126" t="n"/>
      <c r="AD479" s="126" t="n"/>
      <c r="AE479" s="126" t="n"/>
      <c r="AF479" s="126" t="n"/>
      <c r="AG479" s="126" t="n"/>
      <c r="AH479" s="126" t="n"/>
      <c r="AI479" s="126" t="n"/>
      <c r="AJ479" s="126" t="n"/>
      <c r="AK479" s="126" t="n"/>
      <c r="AL479" s="126" t="n"/>
      <c r="AM479" s="126" t="n"/>
      <c r="AN479" s="126" t="n"/>
    </row>
    <row r="480" ht="21" customFormat="1" customHeight="1" s="127">
      <c r="A480" s="51">
        <f>IF($B480="","",ROW()-6)</f>
        <v/>
      </c>
      <c r="B480" s="268" t="n"/>
      <c r="C480" s="133" t="n"/>
      <c r="D480" s="50" t="n"/>
      <c r="E480" s="265" t="n"/>
      <c r="F480" s="133" t="n"/>
      <c r="G480" s="133" t="n"/>
      <c r="H480" s="50" t="n"/>
      <c r="I480" s="51">
        <f>IF($C480="","",IFERROR(INDEX(WorkerIDs,MATCH($C480,WorkerNames,0)),"?"))</f>
        <v/>
      </c>
      <c r="J480" s="253">
        <f>IF($B480="","",$B480-WEEKDAY($B480,2)+1)</f>
        <v/>
      </c>
      <c r="K480" s="142">
        <f>IF(OR($I480="",$I480="?",$D480&lt;&gt;"Advance",$B480=""),"",$I480&amp;"|"&amp;$J480&amp;"|"&amp;COUNTIFS($I$7:$I480,$I480,$J$7:$J480,$J480,$D$7:$D480,"Advance"))</f>
        <v/>
      </c>
      <c r="L480" s="266">
        <f>IF(OR($I480="",$I480="?",$B480=""),"",SUMPRODUCT((Weeks!$A$7:$A$59&lt;=$J480)*(Weeks!$X$5:$AI$5=$I480)*Weeks!$X$7:$AI$59)-SUMIFS($E$7:$E$1006,$I$7:$I$1006,$I480,$B$7:$B$1006,"&lt;="&amp;$B480))</f>
        <v/>
      </c>
      <c r="M480" s="132">
        <f>IF($B480&amp;$C480&amp;$D480&amp;$E480="","",IF($B480="","missing date",IF($C480="","missing worker",IF($I480="?","unknown worker - was the name changed on Workers?",IF($D480="","missing type",IF(N($E480)=0,"missing amount",IF(AND($E480&lt;0,$D480&lt;&gt;"Correction"),"negative amount - use a Correction to undo",IF(OR($B480&lt;Weeks!$A$7,$B480&gt;Weeks!$B$59),"date outside this workbook's year",IF(AND($D480="Advance",N($L480)&lt;0),"Warning: more than earned so far - worker now owes "&amp;TEXT(ROUND(-$L480,0),"#,##0"),"")))))))))</f>
        <v/>
      </c>
      <c r="N480" s="125" t="n"/>
      <c r="O480" s="126" t="n"/>
      <c r="P480" s="126" t="n"/>
      <c r="Q480" s="126" t="n"/>
      <c r="R480" s="126" t="n"/>
      <c r="S480" s="126" t="n"/>
      <c r="T480" s="126" t="n"/>
      <c r="U480" s="126" t="n"/>
      <c r="V480" s="126" t="n"/>
      <c r="W480" s="126" t="n"/>
      <c r="X480" s="126" t="n"/>
      <c r="Y480" s="126" t="n"/>
      <c r="Z480" s="126" t="n"/>
      <c r="AA480" s="126" t="n"/>
      <c r="AB480" s="126" t="n"/>
      <c r="AC480" s="126" t="n"/>
      <c r="AD480" s="126" t="n"/>
      <c r="AE480" s="126" t="n"/>
      <c r="AF480" s="126" t="n"/>
      <c r="AG480" s="126" t="n"/>
      <c r="AH480" s="126" t="n"/>
      <c r="AI480" s="126" t="n"/>
      <c r="AJ480" s="126" t="n"/>
      <c r="AK480" s="126" t="n"/>
      <c r="AL480" s="126" t="n"/>
      <c r="AM480" s="126" t="n"/>
      <c r="AN480" s="126" t="n"/>
    </row>
    <row r="481" ht="21" customFormat="1" customHeight="1" s="127">
      <c r="A481" s="51">
        <f>IF($B481="","",ROW()-6)</f>
        <v/>
      </c>
      <c r="B481" s="268" t="n"/>
      <c r="C481" s="133" t="n"/>
      <c r="D481" s="50" t="n"/>
      <c r="E481" s="265" t="n"/>
      <c r="F481" s="133" t="n"/>
      <c r="G481" s="133" t="n"/>
      <c r="H481" s="50" t="n"/>
      <c r="I481" s="51">
        <f>IF($C481="","",IFERROR(INDEX(WorkerIDs,MATCH($C481,WorkerNames,0)),"?"))</f>
        <v/>
      </c>
      <c r="J481" s="253">
        <f>IF($B481="","",$B481-WEEKDAY($B481,2)+1)</f>
        <v/>
      </c>
      <c r="K481" s="142">
        <f>IF(OR($I481="",$I481="?",$D481&lt;&gt;"Advance",$B481=""),"",$I481&amp;"|"&amp;$J481&amp;"|"&amp;COUNTIFS($I$7:$I481,$I481,$J$7:$J481,$J481,$D$7:$D481,"Advance"))</f>
        <v/>
      </c>
      <c r="L481" s="266">
        <f>IF(OR($I481="",$I481="?",$B481=""),"",SUMPRODUCT((Weeks!$A$7:$A$59&lt;=$J481)*(Weeks!$X$5:$AI$5=$I481)*Weeks!$X$7:$AI$59)-SUMIFS($E$7:$E$1006,$I$7:$I$1006,$I481,$B$7:$B$1006,"&lt;="&amp;$B481))</f>
        <v/>
      </c>
      <c r="M481" s="132">
        <f>IF($B481&amp;$C481&amp;$D481&amp;$E481="","",IF($B481="","missing date",IF($C481="","missing worker",IF($I481="?","unknown worker - was the name changed on Workers?",IF($D481="","missing type",IF(N($E481)=0,"missing amount",IF(AND($E481&lt;0,$D481&lt;&gt;"Correction"),"negative amount - use a Correction to undo",IF(OR($B481&lt;Weeks!$A$7,$B481&gt;Weeks!$B$59),"date outside this workbook's year",IF(AND($D481="Advance",N($L481)&lt;0),"Warning: more than earned so far - worker now owes "&amp;TEXT(ROUND(-$L481,0),"#,##0"),"")))))))))</f>
        <v/>
      </c>
      <c r="N481" s="125" t="n"/>
      <c r="O481" s="126" t="n"/>
      <c r="P481" s="126" t="n"/>
      <c r="Q481" s="126" t="n"/>
      <c r="R481" s="126" t="n"/>
      <c r="S481" s="126" t="n"/>
      <c r="T481" s="126" t="n"/>
      <c r="U481" s="126" t="n"/>
      <c r="V481" s="126" t="n"/>
      <c r="W481" s="126" t="n"/>
      <c r="X481" s="126" t="n"/>
      <c r="Y481" s="126" t="n"/>
      <c r="Z481" s="126" t="n"/>
      <c r="AA481" s="126" t="n"/>
      <c r="AB481" s="126" t="n"/>
      <c r="AC481" s="126" t="n"/>
      <c r="AD481" s="126" t="n"/>
      <c r="AE481" s="126" t="n"/>
      <c r="AF481" s="126" t="n"/>
      <c r="AG481" s="126" t="n"/>
      <c r="AH481" s="126" t="n"/>
      <c r="AI481" s="126" t="n"/>
      <c r="AJ481" s="126" t="n"/>
      <c r="AK481" s="126" t="n"/>
      <c r="AL481" s="126" t="n"/>
      <c r="AM481" s="126" t="n"/>
      <c r="AN481" s="126" t="n"/>
    </row>
    <row r="482" ht="21" customFormat="1" customHeight="1" s="127">
      <c r="A482" s="51">
        <f>IF($B482="","",ROW()-6)</f>
        <v/>
      </c>
      <c r="B482" s="268" t="n"/>
      <c r="C482" s="133" t="n"/>
      <c r="D482" s="50" t="n"/>
      <c r="E482" s="265" t="n"/>
      <c r="F482" s="133" t="n"/>
      <c r="G482" s="133" t="n"/>
      <c r="H482" s="50" t="n"/>
      <c r="I482" s="51">
        <f>IF($C482="","",IFERROR(INDEX(WorkerIDs,MATCH($C482,WorkerNames,0)),"?"))</f>
        <v/>
      </c>
      <c r="J482" s="253">
        <f>IF($B482="","",$B482-WEEKDAY($B482,2)+1)</f>
        <v/>
      </c>
      <c r="K482" s="142">
        <f>IF(OR($I482="",$I482="?",$D482&lt;&gt;"Advance",$B482=""),"",$I482&amp;"|"&amp;$J482&amp;"|"&amp;COUNTIFS($I$7:$I482,$I482,$J$7:$J482,$J482,$D$7:$D482,"Advance"))</f>
        <v/>
      </c>
      <c r="L482" s="266">
        <f>IF(OR($I482="",$I482="?",$B482=""),"",SUMPRODUCT((Weeks!$A$7:$A$59&lt;=$J482)*(Weeks!$X$5:$AI$5=$I482)*Weeks!$X$7:$AI$59)-SUMIFS($E$7:$E$1006,$I$7:$I$1006,$I482,$B$7:$B$1006,"&lt;="&amp;$B482))</f>
        <v/>
      </c>
      <c r="M482" s="132">
        <f>IF($B482&amp;$C482&amp;$D482&amp;$E482="","",IF($B482="","missing date",IF($C482="","missing worker",IF($I482="?","unknown worker - was the name changed on Workers?",IF($D482="","missing type",IF(N($E482)=0,"missing amount",IF(AND($E482&lt;0,$D482&lt;&gt;"Correction"),"negative amount - use a Correction to undo",IF(OR($B482&lt;Weeks!$A$7,$B482&gt;Weeks!$B$59),"date outside this workbook's year",IF(AND($D482="Advance",N($L482)&lt;0),"Warning: more than earned so far - worker now owes "&amp;TEXT(ROUND(-$L482,0),"#,##0"),"")))))))))</f>
        <v/>
      </c>
      <c r="N482" s="125" t="n"/>
      <c r="O482" s="126" t="n"/>
      <c r="P482" s="126" t="n"/>
      <c r="Q482" s="126" t="n"/>
      <c r="R482" s="126" t="n"/>
      <c r="S482" s="126" t="n"/>
      <c r="T482" s="126" t="n"/>
      <c r="U482" s="126" t="n"/>
      <c r="V482" s="126" t="n"/>
      <c r="W482" s="126" t="n"/>
      <c r="X482" s="126" t="n"/>
      <c r="Y482" s="126" t="n"/>
      <c r="Z482" s="126" t="n"/>
      <c r="AA482" s="126" t="n"/>
      <c r="AB482" s="126" t="n"/>
      <c r="AC482" s="126" t="n"/>
      <c r="AD482" s="126" t="n"/>
      <c r="AE482" s="126" t="n"/>
      <c r="AF482" s="126" t="n"/>
      <c r="AG482" s="126" t="n"/>
      <c r="AH482" s="126" t="n"/>
      <c r="AI482" s="126" t="n"/>
      <c r="AJ482" s="126" t="n"/>
      <c r="AK482" s="126" t="n"/>
      <c r="AL482" s="126" t="n"/>
      <c r="AM482" s="126" t="n"/>
      <c r="AN482" s="126" t="n"/>
    </row>
    <row r="483" ht="21" customFormat="1" customHeight="1" s="127">
      <c r="A483" s="51">
        <f>IF($B483="","",ROW()-6)</f>
        <v/>
      </c>
      <c r="B483" s="268" t="n"/>
      <c r="C483" s="133" t="n"/>
      <c r="D483" s="50" t="n"/>
      <c r="E483" s="265" t="n"/>
      <c r="F483" s="133" t="n"/>
      <c r="G483" s="133" t="n"/>
      <c r="H483" s="50" t="n"/>
      <c r="I483" s="51">
        <f>IF($C483="","",IFERROR(INDEX(WorkerIDs,MATCH($C483,WorkerNames,0)),"?"))</f>
        <v/>
      </c>
      <c r="J483" s="253">
        <f>IF($B483="","",$B483-WEEKDAY($B483,2)+1)</f>
        <v/>
      </c>
      <c r="K483" s="142">
        <f>IF(OR($I483="",$I483="?",$D483&lt;&gt;"Advance",$B483=""),"",$I483&amp;"|"&amp;$J483&amp;"|"&amp;COUNTIFS($I$7:$I483,$I483,$J$7:$J483,$J483,$D$7:$D483,"Advance"))</f>
        <v/>
      </c>
      <c r="L483" s="266">
        <f>IF(OR($I483="",$I483="?",$B483=""),"",SUMPRODUCT((Weeks!$A$7:$A$59&lt;=$J483)*(Weeks!$X$5:$AI$5=$I483)*Weeks!$X$7:$AI$59)-SUMIFS($E$7:$E$1006,$I$7:$I$1006,$I483,$B$7:$B$1006,"&lt;="&amp;$B483))</f>
        <v/>
      </c>
      <c r="M483" s="132">
        <f>IF($B483&amp;$C483&amp;$D483&amp;$E483="","",IF($B483="","missing date",IF($C483="","missing worker",IF($I483="?","unknown worker - was the name changed on Workers?",IF($D483="","missing type",IF(N($E483)=0,"missing amount",IF(AND($E483&lt;0,$D483&lt;&gt;"Correction"),"negative amount - use a Correction to undo",IF(OR($B483&lt;Weeks!$A$7,$B483&gt;Weeks!$B$59),"date outside this workbook's year",IF(AND($D483="Advance",N($L483)&lt;0),"Warning: more than earned so far - worker now owes "&amp;TEXT(ROUND(-$L483,0),"#,##0"),"")))))))))</f>
        <v/>
      </c>
      <c r="N483" s="125" t="n"/>
      <c r="O483" s="126" t="n"/>
      <c r="P483" s="126" t="n"/>
      <c r="Q483" s="126" t="n"/>
      <c r="R483" s="126" t="n"/>
      <c r="S483" s="126" t="n"/>
      <c r="T483" s="126" t="n"/>
      <c r="U483" s="126" t="n"/>
      <c r="V483" s="126" t="n"/>
      <c r="W483" s="126" t="n"/>
      <c r="X483" s="126" t="n"/>
      <c r="Y483" s="126" t="n"/>
      <c r="Z483" s="126" t="n"/>
      <c r="AA483" s="126" t="n"/>
      <c r="AB483" s="126" t="n"/>
      <c r="AC483" s="126" t="n"/>
      <c r="AD483" s="126" t="n"/>
      <c r="AE483" s="126" t="n"/>
      <c r="AF483" s="126" t="n"/>
      <c r="AG483" s="126" t="n"/>
      <c r="AH483" s="126" t="n"/>
      <c r="AI483" s="126" t="n"/>
      <c r="AJ483" s="126" t="n"/>
      <c r="AK483" s="126" t="n"/>
      <c r="AL483" s="126" t="n"/>
      <c r="AM483" s="126" t="n"/>
      <c r="AN483" s="126" t="n"/>
    </row>
    <row r="484" ht="21" customFormat="1" customHeight="1" s="127">
      <c r="A484" s="51">
        <f>IF($B484="","",ROW()-6)</f>
        <v/>
      </c>
      <c r="B484" s="268" t="n"/>
      <c r="C484" s="133" t="n"/>
      <c r="D484" s="50" t="n"/>
      <c r="E484" s="265" t="n"/>
      <c r="F484" s="133" t="n"/>
      <c r="G484" s="133" t="n"/>
      <c r="H484" s="50" t="n"/>
      <c r="I484" s="51">
        <f>IF($C484="","",IFERROR(INDEX(WorkerIDs,MATCH($C484,WorkerNames,0)),"?"))</f>
        <v/>
      </c>
      <c r="J484" s="253">
        <f>IF($B484="","",$B484-WEEKDAY($B484,2)+1)</f>
        <v/>
      </c>
      <c r="K484" s="142">
        <f>IF(OR($I484="",$I484="?",$D484&lt;&gt;"Advance",$B484=""),"",$I484&amp;"|"&amp;$J484&amp;"|"&amp;COUNTIFS($I$7:$I484,$I484,$J$7:$J484,$J484,$D$7:$D484,"Advance"))</f>
        <v/>
      </c>
      <c r="L484" s="266">
        <f>IF(OR($I484="",$I484="?",$B484=""),"",SUMPRODUCT((Weeks!$A$7:$A$59&lt;=$J484)*(Weeks!$X$5:$AI$5=$I484)*Weeks!$X$7:$AI$59)-SUMIFS($E$7:$E$1006,$I$7:$I$1006,$I484,$B$7:$B$1006,"&lt;="&amp;$B484))</f>
        <v/>
      </c>
      <c r="M484" s="132">
        <f>IF($B484&amp;$C484&amp;$D484&amp;$E484="","",IF($B484="","missing date",IF($C484="","missing worker",IF($I484="?","unknown worker - was the name changed on Workers?",IF($D484="","missing type",IF(N($E484)=0,"missing amount",IF(AND($E484&lt;0,$D484&lt;&gt;"Correction"),"negative amount - use a Correction to undo",IF(OR($B484&lt;Weeks!$A$7,$B484&gt;Weeks!$B$59),"date outside this workbook's year",IF(AND($D484="Advance",N($L484)&lt;0),"Warning: more than earned so far - worker now owes "&amp;TEXT(ROUND(-$L484,0),"#,##0"),"")))))))))</f>
        <v/>
      </c>
      <c r="N484" s="125" t="n"/>
      <c r="O484" s="126" t="n"/>
      <c r="P484" s="126" t="n"/>
      <c r="Q484" s="126" t="n"/>
      <c r="R484" s="126" t="n"/>
      <c r="S484" s="126" t="n"/>
      <c r="T484" s="126" t="n"/>
      <c r="U484" s="126" t="n"/>
      <c r="V484" s="126" t="n"/>
      <c r="W484" s="126" t="n"/>
      <c r="X484" s="126" t="n"/>
      <c r="Y484" s="126" t="n"/>
      <c r="Z484" s="126" t="n"/>
      <c r="AA484" s="126" t="n"/>
      <c r="AB484" s="126" t="n"/>
      <c r="AC484" s="126" t="n"/>
      <c r="AD484" s="126" t="n"/>
      <c r="AE484" s="126" t="n"/>
      <c r="AF484" s="126" t="n"/>
      <c r="AG484" s="126" t="n"/>
      <c r="AH484" s="126" t="n"/>
      <c r="AI484" s="126" t="n"/>
      <c r="AJ484" s="126" t="n"/>
      <c r="AK484" s="126" t="n"/>
      <c r="AL484" s="126" t="n"/>
      <c r="AM484" s="126" t="n"/>
      <c r="AN484" s="126" t="n"/>
    </row>
    <row r="485" ht="21" customFormat="1" customHeight="1" s="127">
      <c r="A485" s="51">
        <f>IF($B485="","",ROW()-6)</f>
        <v/>
      </c>
      <c r="B485" s="268" t="n"/>
      <c r="C485" s="133" t="n"/>
      <c r="D485" s="50" t="n"/>
      <c r="E485" s="265" t="n"/>
      <c r="F485" s="133" t="n"/>
      <c r="G485" s="133" t="n"/>
      <c r="H485" s="50" t="n"/>
      <c r="I485" s="51">
        <f>IF($C485="","",IFERROR(INDEX(WorkerIDs,MATCH($C485,WorkerNames,0)),"?"))</f>
        <v/>
      </c>
      <c r="J485" s="253">
        <f>IF($B485="","",$B485-WEEKDAY($B485,2)+1)</f>
        <v/>
      </c>
      <c r="K485" s="142">
        <f>IF(OR($I485="",$I485="?",$D485&lt;&gt;"Advance",$B485=""),"",$I485&amp;"|"&amp;$J485&amp;"|"&amp;COUNTIFS($I$7:$I485,$I485,$J$7:$J485,$J485,$D$7:$D485,"Advance"))</f>
        <v/>
      </c>
      <c r="L485" s="266">
        <f>IF(OR($I485="",$I485="?",$B485=""),"",SUMPRODUCT((Weeks!$A$7:$A$59&lt;=$J485)*(Weeks!$X$5:$AI$5=$I485)*Weeks!$X$7:$AI$59)-SUMIFS($E$7:$E$1006,$I$7:$I$1006,$I485,$B$7:$B$1006,"&lt;="&amp;$B485))</f>
        <v/>
      </c>
      <c r="M485" s="132">
        <f>IF($B485&amp;$C485&amp;$D485&amp;$E485="","",IF($B485="","missing date",IF($C485="","missing worker",IF($I485="?","unknown worker - was the name changed on Workers?",IF($D485="","missing type",IF(N($E485)=0,"missing amount",IF(AND($E485&lt;0,$D485&lt;&gt;"Correction"),"negative amount - use a Correction to undo",IF(OR($B485&lt;Weeks!$A$7,$B485&gt;Weeks!$B$59),"date outside this workbook's year",IF(AND($D485="Advance",N($L485)&lt;0),"Warning: more than earned so far - worker now owes "&amp;TEXT(ROUND(-$L485,0),"#,##0"),"")))))))))</f>
        <v/>
      </c>
      <c r="N485" s="125" t="n"/>
      <c r="O485" s="126" t="n"/>
      <c r="P485" s="126" t="n"/>
      <c r="Q485" s="126" t="n"/>
      <c r="R485" s="126" t="n"/>
      <c r="S485" s="126" t="n"/>
      <c r="T485" s="126" t="n"/>
      <c r="U485" s="126" t="n"/>
      <c r="V485" s="126" t="n"/>
      <c r="W485" s="126" t="n"/>
      <c r="X485" s="126" t="n"/>
      <c r="Y485" s="126" t="n"/>
      <c r="Z485" s="126" t="n"/>
      <c r="AA485" s="126" t="n"/>
      <c r="AB485" s="126" t="n"/>
      <c r="AC485" s="126" t="n"/>
      <c r="AD485" s="126" t="n"/>
      <c r="AE485" s="126" t="n"/>
      <c r="AF485" s="126" t="n"/>
      <c r="AG485" s="126" t="n"/>
      <c r="AH485" s="126" t="n"/>
      <c r="AI485" s="126" t="n"/>
      <c r="AJ485" s="126" t="n"/>
      <c r="AK485" s="126" t="n"/>
      <c r="AL485" s="126" t="n"/>
      <c r="AM485" s="126" t="n"/>
      <c r="AN485" s="126" t="n"/>
    </row>
    <row r="486" ht="21" customFormat="1" customHeight="1" s="127">
      <c r="A486" s="51">
        <f>IF($B486="","",ROW()-6)</f>
        <v/>
      </c>
      <c r="B486" s="268" t="n"/>
      <c r="C486" s="133" t="n"/>
      <c r="D486" s="50" t="n"/>
      <c r="E486" s="265" t="n"/>
      <c r="F486" s="133" t="n"/>
      <c r="G486" s="133" t="n"/>
      <c r="H486" s="50" t="n"/>
      <c r="I486" s="51">
        <f>IF($C486="","",IFERROR(INDEX(WorkerIDs,MATCH($C486,WorkerNames,0)),"?"))</f>
        <v/>
      </c>
      <c r="J486" s="253">
        <f>IF($B486="","",$B486-WEEKDAY($B486,2)+1)</f>
        <v/>
      </c>
      <c r="K486" s="142">
        <f>IF(OR($I486="",$I486="?",$D486&lt;&gt;"Advance",$B486=""),"",$I486&amp;"|"&amp;$J486&amp;"|"&amp;COUNTIFS($I$7:$I486,$I486,$J$7:$J486,$J486,$D$7:$D486,"Advance"))</f>
        <v/>
      </c>
      <c r="L486" s="266">
        <f>IF(OR($I486="",$I486="?",$B486=""),"",SUMPRODUCT((Weeks!$A$7:$A$59&lt;=$J486)*(Weeks!$X$5:$AI$5=$I486)*Weeks!$X$7:$AI$59)-SUMIFS($E$7:$E$1006,$I$7:$I$1006,$I486,$B$7:$B$1006,"&lt;="&amp;$B486))</f>
        <v/>
      </c>
      <c r="M486" s="132">
        <f>IF($B486&amp;$C486&amp;$D486&amp;$E486="","",IF($B486="","missing date",IF($C486="","missing worker",IF($I486="?","unknown worker - was the name changed on Workers?",IF($D486="","missing type",IF(N($E486)=0,"missing amount",IF(AND($E486&lt;0,$D486&lt;&gt;"Correction"),"negative amount - use a Correction to undo",IF(OR($B486&lt;Weeks!$A$7,$B486&gt;Weeks!$B$59),"date outside this workbook's year",IF(AND($D486="Advance",N($L486)&lt;0),"Warning: more than earned so far - worker now owes "&amp;TEXT(ROUND(-$L486,0),"#,##0"),"")))))))))</f>
        <v/>
      </c>
      <c r="N486" s="125" t="n"/>
      <c r="O486" s="126" t="n"/>
      <c r="P486" s="126" t="n"/>
      <c r="Q486" s="126" t="n"/>
      <c r="R486" s="126" t="n"/>
      <c r="S486" s="126" t="n"/>
      <c r="T486" s="126" t="n"/>
      <c r="U486" s="126" t="n"/>
      <c r="V486" s="126" t="n"/>
      <c r="W486" s="126" t="n"/>
      <c r="X486" s="126" t="n"/>
      <c r="Y486" s="126" t="n"/>
      <c r="Z486" s="126" t="n"/>
      <c r="AA486" s="126" t="n"/>
      <c r="AB486" s="126" t="n"/>
      <c r="AC486" s="126" t="n"/>
      <c r="AD486" s="126" t="n"/>
      <c r="AE486" s="126" t="n"/>
      <c r="AF486" s="126" t="n"/>
      <c r="AG486" s="126" t="n"/>
      <c r="AH486" s="126" t="n"/>
      <c r="AI486" s="126" t="n"/>
      <c r="AJ486" s="126" t="n"/>
      <c r="AK486" s="126" t="n"/>
      <c r="AL486" s="126" t="n"/>
      <c r="AM486" s="126" t="n"/>
      <c r="AN486" s="126" t="n"/>
    </row>
    <row r="487" ht="21" customFormat="1" customHeight="1" s="127">
      <c r="A487" s="51">
        <f>IF($B487="","",ROW()-6)</f>
        <v/>
      </c>
      <c r="B487" s="268" t="n"/>
      <c r="C487" s="133" t="n"/>
      <c r="D487" s="50" t="n"/>
      <c r="E487" s="265" t="n"/>
      <c r="F487" s="133" t="n"/>
      <c r="G487" s="133" t="n"/>
      <c r="H487" s="50" t="n"/>
      <c r="I487" s="51">
        <f>IF($C487="","",IFERROR(INDEX(WorkerIDs,MATCH($C487,WorkerNames,0)),"?"))</f>
        <v/>
      </c>
      <c r="J487" s="253">
        <f>IF($B487="","",$B487-WEEKDAY($B487,2)+1)</f>
        <v/>
      </c>
      <c r="K487" s="142">
        <f>IF(OR($I487="",$I487="?",$D487&lt;&gt;"Advance",$B487=""),"",$I487&amp;"|"&amp;$J487&amp;"|"&amp;COUNTIFS($I$7:$I487,$I487,$J$7:$J487,$J487,$D$7:$D487,"Advance"))</f>
        <v/>
      </c>
      <c r="L487" s="266">
        <f>IF(OR($I487="",$I487="?",$B487=""),"",SUMPRODUCT((Weeks!$A$7:$A$59&lt;=$J487)*(Weeks!$X$5:$AI$5=$I487)*Weeks!$X$7:$AI$59)-SUMIFS($E$7:$E$1006,$I$7:$I$1006,$I487,$B$7:$B$1006,"&lt;="&amp;$B487))</f>
        <v/>
      </c>
      <c r="M487" s="132">
        <f>IF($B487&amp;$C487&amp;$D487&amp;$E487="","",IF($B487="","missing date",IF($C487="","missing worker",IF($I487="?","unknown worker - was the name changed on Workers?",IF($D487="","missing type",IF(N($E487)=0,"missing amount",IF(AND($E487&lt;0,$D487&lt;&gt;"Correction"),"negative amount - use a Correction to undo",IF(OR($B487&lt;Weeks!$A$7,$B487&gt;Weeks!$B$59),"date outside this workbook's year",IF(AND($D487="Advance",N($L487)&lt;0),"Warning: more than earned so far - worker now owes "&amp;TEXT(ROUND(-$L487,0),"#,##0"),"")))))))))</f>
        <v/>
      </c>
      <c r="N487" s="125" t="n"/>
      <c r="O487" s="126" t="n"/>
      <c r="P487" s="126" t="n"/>
      <c r="Q487" s="126" t="n"/>
      <c r="R487" s="126" t="n"/>
      <c r="S487" s="126" t="n"/>
      <c r="T487" s="126" t="n"/>
      <c r="U487" s="126" t="n"/>
      <c r="V487" s="126" t="n"/>
      <c r="W487" s="126" t="n"/>
      <c r="X487" s="126" t="n"/>
      <c r="Y487" s="126" t="n"/>
      <c r="Z487" s="126" t="n"/>
      <c r="AA487" s="126" t="n"/>
      <c r="AB487" s="126" t="n"/>
      <c r="AC487" s="126" t="n"/>
      <c r="AD487" s="126" t="n"/>
      <c r="AE487" s="126" t="n"/>
      <c r="AF487" s="126" t="n"/>
      <c r="AG487" s="126" t="n"/>
      <c r="AH487" s="126" t="n"/>
      <c r="AI487" s="126" t="n"/>
      <c r="AJ487" s="126" t="n"/>
      <c r="AK487" s="126" t="n"/>
      <c r="AL487" s="126" t="n"/>
      <c r="AM487" s="126" t="n"/>
      <c r="AN487" s="126" t="n"/>
    </row>
    <row r="488" ht="21" customFormat="1" customHeight="1" s="127">
      <c r="A488" s="51">
        <f>IF($B488="","",ROW()-6)</f>
        <v/>
      </c>
      <c r="B488" s="268" t="n"/>
      <c r="C488" s="133" t="n"/>
      <c r="D488" s="50" t="n"/>
      <c r="E488" s="265" t="n"/>
      <c r="F488" s="133" t="n"/>
      <c r="G488" s="133" t="n"/>
      <c r="H488" s="50" t="n"/>
      <c r="I488" s="51">
        <f>IF($C488="","",IFERROR(INDEX(WorkerIDs,MATCH($C488,WorkerNames,0)),"?"))</f>
        <v/>
      </c>
      <c r="J488" s="253">
        <f>IF($B488="","",$B488-WEEKDAY($B488,2)+1)</f>
        <v/>
      </c>
      <c r="K488" s="142">
        <f>IF(OR($I488="",$I488="?",$D488&lt;&gt;"Advance",$B488=""),"",$I488&amp;"|"&amp;$J488&amp;"|"&amp;COUNTIFS($I$7:$I488,$I488,$J$7:$J488,$J488,$D$7:$D488,"Advance"))</f>
        <v/>
      </c>
      <c r="L488" s="266">
        <f>IF(OR($I488="",$I488="?",$B488=""),"",SUMPRODUCT((Weeks!$A$7:$A$59&lt;=$J488)*(Weeks!$X$5:$AI$5=$I488)*Weeks!$X$7:$AI$59)-SUMIFS($E$7:$E$1006,$I$7:$I$1006,$I488,$B$7:$B$1006,"&lt;="&amp;$B488))</f>
        <v/>
      </c>
      <c r="M488" s="132">
        <f>IF($B488&amp;$C488&amp;$D488&amp;$E488="","",IF($B488="","missing date",IF($C488="","missing worker",IF($I488="?","unknown worker - was the name changed on Workers?",IF($D488="","missing type",IF(N($E488)=0,"missing amount",IF(AND($E488&lt;0,$D488&lt;&gt;"Correction"),"negative amount - use a Correction to undo",IF(OR($B488&lt;Weeks!$A$7,$B488&gt;Weeks!$B$59),"date outside this workbook's year",IF(AND($D488="Advance",N($L488)&lt;0),"Warning: more than earned so far - worker now owes "&amp;TEXT(ROUND(-$L488,0),"#,##0"),"")))))))))</f>
        <v/>
      </c>
      <c r="N488" s="125" t="n"/>
      <c r="O488" s="126" t="n"/>
      <c r="P488" s="126" t="n"/>
      <c r="Q488" s="126" t="n"/>
      <c r="R488" s="126" t="n"/>
      <c r="S488" s="126" t="n"/>
      <c r="T488" s="126" t="n"/>
      <c r="U488" s="126" t="n"/>
      <c r="V488" s="126" t="n"/>
      <c r="W488" s="126" t="n"/>
      <c r="X488" s="126" t="n"/>
      <c r="Y488" s="126" t="n"/>
      <c r="Z488" s="126" t="n"/>
      <c r="AA488" s="126" t="n"/>
      <c r="AB488" s="126" t="n"/>
      <c r="AC488" s="126" t="n"/>
      <c r="AD488" s="126" t="n"/>
      <c r="AE488" s="126" t="n"/>
      <c r="AF488" s="126" t="n"/>
      <c r="AG488" s="126" t="n"/>
      <c r="AH488" s="126" t="n"/>
      <c r="AI488" s="126" t="n"/>
      <c r="AJ488" s="126" t="n"/>
      <c r="AK488" s="126" t="n"/>
      <c r="AL488" s="126" t="n"/>
      <c r="AM488" s="126" t="n"/>
      <c r="AN488" s="126" t="n"/>
    </row>
    <row r="489" ht="21" customFormat="1" customHeight="1" s="127">
      <c r="A489" s="51">
        <f>IF($B489="","",ROW()-6)</f>
        <v/>
      </c>
      <c r="B489" s="268" t="n"/>
      <c r="C489" s="133" t="n"/>
      <c r="D489" s="50" t="n"/>
      <c r="E489" s="265" t="n"/>
      <c r="F489" s="133" t="n"/>
      <c r="G489" s="133" t="n"/>
      <c r="H489" s="50" t="n"/>
      <c r="I489" s="51">
        <f>IF($C489="","",IFERROR(INDEX(WorkerIDs,MATCH($C489,WorkerNames,0)),"?"))</f>
        <v/>
      </c>
      <c r="J489" s="253">
        <f>IF($B489="","",$B489-WEEKDAY($B489,2)+1)</f>
        <v/>
      </c>
      <c r="K489" s="142">
        <f>IF(OR($I489="",$I489="?",$D489&lt;&gt;"Advance",$B489=""),"",$I489&amp;"|"&amp;$J489&amp;"|"&amp;COUNTIFS($I$7:$I489,$I489,$J$7:$J489,$J489,$D$7:$D489,"Advance"))</f>
        <v/>
      </c>
      <c r="L489" s="266">
        <f>IF(OR($I489="",$I489="?",$B489=""),"",SUMPRODUCT((Weeks!$A$7:$A$59&lt;=$J489)*(Weeks!$X$5:$AI$5=$I489)*Weeks!$X$7:$AI$59)-SUMIFS($E$7:$E$1006,$I$7:$I$1006,$I489,$B$7:$B$1006,"&lt;="&amp;$B489))</f>
        <v/>
      </c>
      <c r="M489" s="132">
        <f>IF($B489&amp;$C489&amp;$D489&amp;$E489="","",IF($B489="","missing date",IF($C489="","missing worker",IF($I489="?","unknown worker - was the name changed on Workers?",IF($D489="","missing type",IF(N($E489)=0,"missing amount",IF(AND($E489&lt;0,$D489&lt;&gt;"Correction"),"negative amount - use a Correction to undo",IF(OR($B489&lt;Weeks!$A$7,$B489&gt;Weeks!$B$59),"date outside this workbook's year",IF(AND($D489="Advance",N($L489)&lt;0),"Warning: more than earned so far - worker now owes "&amp;TEXT(ROUND(-$L489,0),"#,##0"),"")))))))))</f>
        <v/>
      </c>
      <c r="N489" s="125" t="n"/>
      <c r="O489" s="126" t="n"/>
      <c r="P489" s="126" t="n"/>
      <c r="Q489" s="126" t="n"/>
      <c r="R489" s="126" t="n"/>
      <c r="S489" s="126" t="n"/>
      <c r="T489" s="126" t="n"/>
      <c r="U489" s="126" t="n"/>
      <c r="V489" s="126" t="n"/>
      <c r="W489" s="126" t="n"/>
      <c r="X489" s="126" t="n"/>
      <c r="Y489" s="126" t="n"/>
      <c r="Z489" s="126" t="n"/>
      <c r="AA489" s="126" t="n"/>
      <c r="AB489" s="126" t="n"/>
      <c r="AC489" s="126" t="n"/>
      <c r="AD489" s="126" t="n"/>
      <c r="AE489" s="126" t="n"/>
      <c r="AF489" s="126" t="n"/>
      <c r="AG489" s="126" t="n"/>
      <c r="AH489" s="126" t="n"/>
      <c r="AI489" s="126" t="n"/>
      <c r="AJ489" s="126" t="n"/>
      <c r="AK489" s="126" t="n"/>
      <c r="AL489" s="126" t="n"/>
      <c r="AM489" s="126" t="n"/>
      <c r="AN489" s="126" t="n"/>
    </row>
    <row r="490" ht="21" customFormat="1" customHeight="1" s="127">
      <c r="A490" s="51">
        <f>IF($B490="","",ROW()-6)</f>
        <v/>
      </c>
      <c r="B490" s="268" t="n"/>
      <c r="C490" s="133" t="n"/>
      <c r="D490" s="50" t="n"/>
      <c r="E490" s="265" t="n"/>
      <c r="F490" s="133" t="n"/>
      <c r="G490" s="133" t="n"/>
      <c r="H490" s="50" t="n"/>
      <c r="I490" s="51">
        <f>IF($C490="","",IFERROR(INDEX(WorkerIDs,MATCH($C490,WorkerNames,0)),"?"))</f>
        <v/>
      </c>
      <c r="J490" s="253">
        <f>IF($B490="","",$B490-WEEKDAY($B490,2)+1)</f>
        <v/>
      </c>
      <c r="K490" s="142">
        <f>IF(OR($I490="",$I490="?",$D490&lt;&gt;"Advance",$B490=""),"",$I490&amp;"|"&amp;$J490&amp;"|"&amp;COUNTIFS($I$7:$I490,$I490,$J$7:$J490,$J490,$D$7:$D490,"Advance"))</f>
        <v/>
      </c>
      <c r="L490" s="266">
        <f>IF(OR($I490="",$I490="?",$B490=""),"",SUMPRODUCT((Weeks!$A$7:$A$59&lt;=$J490)*(Weeks!$X$5:$AI$5=$I490)*Weeks!$X$7:$AI$59)-SUMIFS($E$7:$E$1006,$I$7:$I$1006,$I490,$B$7:$B$1006,"&lt;="&amp;$B490))</f>
        <v/>
      </c>
      <c r="M490" s="132">
        <f>IF($B490&amp;$C490&amp;$D490&amp;$E490="","",IF($B490="","missing date",IF($C490="","missing worker",IF($I490="?","unknown worker - was the name changed on Workers?",IF($D490="","missing type",IF(N($E490)=0,"missing amount",IF(AND($E490&lt;0,$D490&lt;&gt;"Correction"),"negative amount - use a Correction to undo",IF(OR($B490&lt;Weeks!$A$7,$B490&gt;Weeks!$B$59),"date outside this workbook's year",IF(AND($D490="Advance",N($L490)&lt;0),"Warning: more than earned so far - worker now owes "&amp;TEXT(ROUND(-$L490,0),"#,##0"),"")))))))))</f>
        <v/>
      </c>
      <c r="N490" s="125" t="n"/>
      <c r="O490" s="126" t="n"/>
      <c r="P490" s="126" t="n"/>
      <c r="Q490" s="126" t="n"/>
      <c r="R490" s="126" t="n"/>
      <c r="S490" s="126" t="n"/>
      <c r="T490" s="126" t="n"/>
      <c r="U490" s="126" t="n"/>
      <c r="V490" s="126" t="n"/>
      <c r="W490" s="126" t="n"/>
      <c r="X490" s="126" t="n"/>
      <c r="Y490" s="126" t="n"/>
      <c r="Z490" s="126" t="n"/>
      <c r="AA490" s="126" t="n"/>
      <c r="AB490" s="126" t="n"/>
      <c r="AC490" s="126" t="n"/>
      <c r="AD490" s="126" t="n"/>
      <c r="AE490" s="126" t="n"/>
      <c r="AF490" s="126" t="n"/>
      <c r="AG490" s="126" t="n"/>
      <c r="AH490" s="126" t="n"/>
      <c r="AI490" s="126" t="n"/>
      <c r="AJ490" s="126" t="n"/>
      <c r="AK490" s="126" t="n"/>
      <c r="AL490" s="126" t="n"/>
      <c r="AM490" s="126" t="n"/>
      <c r="AN490" s="126" t="n"/>
    </row>
    <row r="491" ht="21" customFormat="1" customHeight="1" s="127">
      <c r="A491" s="51">
        <f>IF($B491="","",ROW()-6)</f>
        <v/>
      </c>
      <c r="B491" s="268" t="n"/>
      <c r="C491" s="133" t="n"/>
      <c r="D491" s="50" t="n"/>
      <c r="E491" s="265" t="n"/>
      <c r="F491" s="133" t="n"/>
      <c r="G491" s="133" t="n"/>
      <c r="H491" s="50" t="n"/>
      <c r="I491" s="51">
        <f>IF($C491="","",IFERROR(INDEX(WorkerIDs,MATCH($C491,WorkerNames,0)),"?"))</f>
        <v/>
      </c>
      <c r="J491" s="253">
        <f>IF($B491="","",$B491-WEEKDAY($B491,2)+1)</f>
        <v/>
      </c>
      <c r="K491" s="142">
        <f>IF(OR($I491="",$I491="?",$D491&lt;&gt;"Advance",$B491=""),"",$I491&amp;"|"&amp;$J491&amp;"|"&amp;COUNTIFS($I$7:$I491,$I491,$J$7:$J491,$J491,$D$7:$D491,"Advance"))</f>
        <v/>
      </c>
      <c r="L491" s="266">
        <f>IF(OR($I491="",$I491="?",$B491=""),"",SUMPRODUCT((Weeks!$A$7:$A$59&lt;=$J491)*(Weeks!$X$5:$AI$5=$I491)*Weeks!$X$7:$AI$59)-SUMIFS($E$7:$E$1006,$I$7:$I$1006,$I491,$B$7:$B$1006,"&lt;="&amp;$B491))</f>
        <v/>
      </c>
      <c r="M491" s="132">
        <f>IF($B491&amp;$C491&amp;$D491&amp;$E491="","",IF($B491="","missing date",IF($C491="","missing worker",IF($I491="?","unknown worker - was the name changed on Workers?",IF($D491="","missing type",IF(N($E491)=0,"missing amount",IF(AND($E491&lt;0,$D491&lt;&gt;"Correction"),"negative amount - use a Correction to undo",IF(OR($B491&lt;Weeks!$A$7,$B491&gt;Weeks!$B$59),"date outside this workbook's year",IF(AND($D491="Advance",N($L491)&lt;0),"Warning: more than earned so far - worker now owes "&amp;TEXT(ROUND(-$L491,0),"#,##0"),"")))))))))</f>
        <v/>
      </c>
      <c r="N491" s="125" t="n"/>
      <c r="O491" s="126" t="n"/>
      <c r="P491" s="126" t="n"/>
      <c r="Q491" s="126" t="n"/>
      <c r="R491" s="126" t="n"/>
      <c r="S491" s="126" t="n"/>
      <c r="T491" s="126" t="n"/>
      <c r="U491" s="126" t="n"/>
      <c r="V491" s="126" t="n"/>
      <c r="W491" s="126" t="n"/>
      <c r="X491" s="126" t="n"/>
      <c r="Y491" s="126" t="n"/>
      <c r="Z491" s="126" t="n"/>
      <c r="AA491" s="126" t="n"/>
      <c r="AB491" s="126" t="n"/>
      <c r="AC491" s="126" t="n"/>
      <c r="AD491" s="126" t="n"/>
      <c r="AE491" s="126" t="n"/>
      <c r="AF491" s="126" t="n"/>
      <c r="AG491" s="126" t="n"/>
      <c r="AH491" s="126" t="n"/>
      <c r="AI491" s="126" t="n"/>
      <c r="AJ491" s="126" t="n"/>
      <c r="AK491" s="126" t="n"/>
      <c r="AL491" s="126" t="n"/>
      <c r="AM491" s="126" t="n"/>
      <c r="AN491" s="126" t="n"/>
    </row>
    <row r="492" ht="21" customFormat="1" customHeight="1" s="127">
      <c r="A492" s="51">
        <f>IF($B492="","",ROW()-6)</f>
        <v/>
      </c>
      <c r="B492" s="268" t="n"/>
      <c r="C492" s="133" t="n"/>
      <c r="D492" s="50" t="n"/>
      <c r="E492" s="265" t="n"/>
      <c r="F492" s="133" t="n"/>
      <c r="G492" s="133" t="n"/>
      <c r="H492" s="50" t="n"/>
      <c r="I492" s="51">
        <f>IF($C492="","",IFERROR(INDEX(WorkerIDs,MATCH($C492,WorkerNames,0)),"?"))</f>
        <v/>
      </c>
      <c r="J492" s="253">
        <f>IF($B492="","",$B492-WEEKDAY($B492,2)+1)</f>
        <v/>
      </c>
      <c r="K492" s="142">
        <f>IF(OR($I492="",$I492="?",$D492&lt;&gt;"Advance",$B492=""),"",$I492&amp;"|"&amp;$J492&amp;"|"&amp;COUNTIFS($I$7:$I492,$I492,$J$7:$J492,$J492,$D$7:$D492,"Advance"))</f>
        <v/>
      </c>
      <c r="L492" s="266">
        <f>IF(OR($I492="",$I492="?",$B492=""),"",SUMPRODUCT((Weeks!$A$7:$A$59&lt;=$J492)*(Weeks!$X$5:$AI$5=$I492)*Weeks!$X$7:$AI$59)-SUMIFS($E$7:$E$1006,$I$7:$I$1006,$I492,$B$7:$B$1006,"&lt;="&amp;$B492))</f>
        <v/>
      </c>
      <c r="M492" s="132">
        <f>IF($B492&amp;$C492&amp;$D492&amp;$E492="","",IF($B492="","missing date",IF($C492="","missing worker",IF($I492="?","unknown worker - was the name changed on Workers?",IF($D492="","missing type",IF(N($E492)=0,"missing amount",IF(AND($E492&lt;0,$D492&lt;&gt;"Correction"),"negative amount - use a Correction to undo",IF(OR($B492&lt;Weeks!$A$7,$B492&gt;Weeks!$B$59),"date outside this workbook's year",IF(AND($D492="Advance",N($L492)&lt;0),"Warning: more than earned so far - worker now owes "&amp;TEXT(ROUND(-$L492,0),"#,##0"),"")))))))))</f>
        <v/>
      </c>
      <c r="N492" s="125" t="n"/>
      <c r="O492" s="126" t="n"/>
      <c r="P492" s="126" t="n"/>
      <c r="Q492" s="126" t="n"/>
      <c r="R492" s="126" t="n"/>
      <c r="S492" s="126" t="n"/>
      <c r="T492" s="126" t="n"/>
      <c r="U492" s="126" t="n"/>
      <c r="V492" s="126" t="n"/>
      <c r="W492" s="126" t="n"/>
      <c r="X492" s="126" t="n"/>
      <c r="Y492" s="126" t="n"/>
      <c r="Z492" s="126" t="n"/>
      <c r="AA492" s="126" t="n"/>
      <c r="AB492" s="126" t="n"/>
      <c r="AC492" s="126" t="n"/>
      <c r="AD492" s="126" t="n"/>
      <c r="AE492" s="126" t="n"/>
      <c r="AF492" s="126" t="n"/>
      <c r="AG492" s="126" t="n"/>
      <c r="AH492" s="126" t="n"/>
      <c r="AI492" s="126" t="n"/>
      <c r="AJ492" s="126" t="n"/>
      <c r="AK492" s="126" t="n"/>
      <c r="AL492" s="126" t="n"/>
      <c r="AM492" s="126" t="n"/>
      <c r="AN492" s="126" t="n"/>
    </row>
    <row r="493" ht="21" customFormat="1" customHeight="1" s="127">
      <c r="A493" s="51">
        <f>IF($B493="","",ROW()-6)</f>
        <v/>
      </c>
      <c r="B493" s="268" t="n"/>
      <c r="C493" s="133" t="n"/>
      <c r="D493" s="50" t="n"/>
      <c r="E493" s="265" t="n"/>
      <c r="F493" s="133" t="n"/>
      <c r="G493" s="133" t="n"/>
      <c r="H493" s="50" t="n"/>
      <c r="I493" s="51">
        <f>IF($C493="","",IFERROR(INDEX(WorkerIDs,MATCH($C493,WorkerNames,0)),"?"))</f>
        <v/>
      </c>
      <c r="J493" s="253">
        <f>IF($B493="","",$B493-WEEKDAY($B493,2)+1)</f>
        <v/>
      </c>
      <c r="K493" s="142">
        <f>IF(OR($I493="",$I493="?",$D493&lt;&gt;"Advance",$B493=""),"",$I493&amp;"|"&amp;$J493&amp;"|"&amp;COUNTIFS($I$7:$I493,$I493,$J$7:$J493,$J493,$D$7:$D493,"Advance"))</f>
        <v/>
      </c>
      <c r="L493" s="266">
        <f>IF(OR($I493="",$I493="?",$B493=""),"",SUMPRODUCT((Weeks!$A$7:$A$59&lt;=$J493)*(Weeks!$X$5:$AI$5=$I493)*Weeks!$X$7:$AI$59)-SUMIFS($E$7:$E$1006,$I$7:$I$1006,$I493,$B$7:$B$1006,"&lt;="&amp;$B493))</f>
        <v/>
      </c>
      <c r="M493" s="132">
        <f>IF($B493&amp;$C493&amp;$D493&amp;$E493="","",IF($B493="","missing date",IF($C493="","missing worker",IF($I493="?","unknown worker - was the name changed on Workers?",IF($D493="","missing type",IF(N($E493)=0,"missing amount",IF(AND($E493&lt;0,$D493&lt;&gt;"Correction"),"negative amount - use a Correction to undo",IF(OR($B493&lt;Weeks!$A$7,$B493&gt;Weeks!$B$59),"date outside this workbook's year",IF(AND($D493="Advance",N($L493)&lt;0),"Warning: more than earned so far - worker now owes "&amp;TEXT(ROUND(-$L493,0),"#,##0"),"")))))))))</f>
        <v/>
      </c>
      <c r="N493" s="125" t="n"/>
      <c r="O493" s="126" t="n"/>
      <c r="P493" s="126" t="n"/>
      <c r="Q493" s="126" t="n"/>
      <c r="R493" s="126" t="n"/>
      <c r="S493" s="126" t="n"/>
      <c r="T493" s="126" t="n"/>
      <c r="U493" s="126" t="n"/>
      <c r="V493" s="126" t="n"/>
      <c r="W493" s="126" t="n"/>
      <c r="X493" s="126" t="n"/>
      <c r="Y493" s="126" t="n"/>
      <c r="Z493" s="126" t="n"/>
      <c r="AA493" s="126" t="n"/>
      <c r="AB493" s="126" t="n"/>
      <c r="AC493" s="126" t="n"/>
      <c r="AD493" s="126" t="n"/>
      <c r="AE493" s="126" t="n"/>
      <c r="AF493" s="126" t="n"/>
      <c r="AG493" s="126" t="n"/>
      <c r="AH493" s="126" t="n"/>
      <c r="AI493" s="126" t="n"/>
      <c r="AJ493" s="126" t="n"/>
      <c r="AK493" s="126" t="n"/>
      <c r="AL493" s="126" t="n"/>
      <c r="AM493" s="126" t="n"/>
      <c r="AN493" s="126" t="n"/>
    </row>
    <row r="494" ht="21" customFormat="1" customHeight="1" s="127">
      <c r="A494" s="51">
        <f>IF($B494="","",ROW()-6)</f>
        <v/>
      </c>
      <c r="B494" s="268" t="n"/>
      <c r="C494" s="133" t="n"/>
      <c r="D494" s="50" t="n"/>
      <c r="E494" s="265" t="n"/>
      <c r="F494" s="133" t="n"/>
      <c r="G494" s="133" t="n"/>
      <c r="H494" s="50" t="n"/>
      <c r="I494" s="51">
        <f>IF($C494="","",IFERROR(INDEX(WorkerIDs,MATCH($C494,WorkerNames,0)),"?"))</f>
        <v/>
      </c>
      <c r="J494" s="253">
        <f>IF($B494="","",$B494-WEEKDAY($B494,2)+1)</f>
        <v/>
      </c>
      <c r="K494" s="142">
        <f>IF(OR($I494="",$I494="?",$D494&lt;&gt;"Advance",$B494=""),"",$I494&amp;"|"&amp;$J494&amp;"|"&amp;COUNTIFS($I$7:$I494,$I494,$J$7:$J494,$J494,$D$7:$D494,"Advance"))</f>
        <v/>
      </c>
      <c r="L494" s="266">
        <f>IF(OR($I494="",$I494="?",$B494=""),"",SUMPRODUCT((Weeks!$A$7:$A$59&lt;=$J494)*(Weeks!$X$5:$AI$5=$I494)*Weeks!$X$7:$AI$59)-SUMIFS($E$7:$E$1006,$I$7:$I$1006,$I494,$B$7:$B$1006,"&lt;="&amp;$B494))</f>
        <v/>
      </c>
      <c r="M494" s="132">
        <f>IF($B494&amp;$C494&amp;$D494&amp;$E494="","",IF($B494="","missing date",IF($C494="","missing worker",IF($I494="?","unknown worker - was the name changed on Workers?",IF($D494="","missing type",IF(N($E494)=0,"missing amount",IF(AND($E494&lt;0,$D494&lt;&gt;"Correction"),"negative amount - use a Correction to undo",IF(OR($B494&lt;Weeks!$A$7,$B494&gt;Weeks!$B$59),"date outside this workbook's year",IF(AND($D494="Advance",N($L494)&lt;0),"Warning: more than earned so far - worker now owes "&amp;TEXT(ROUND(-$L494,0),"#,##0"),"")))))))))</f>
        <v/>
      </c>
      <c r="N494" s="125" t="n"/>
      <c r="O494" s="126" t="n"/>
      <c r="P494" s="126" t="n"/>
      <c r="Q494" s="126" t="n"/>
      <c r="R494" s="126" t="n"/>
      <c r="S494" s="126" t="n"/>
      <c r="T494" s="126" t="n"/>
      <c r="U494" s="126" t="n"/>
      <c r="V494" s="126" t="n"/>
      <c r="W494" s="126" t="n"/>
      <c r="X494" s="126" t="n"/>
      <c r="Y494" s="126" t="n"/>
      <c r="Z494" s="126" t="n"/>
      <c r="AA494" s="126" t="n"/>
      <c r="AB494" s="126" t="n"/>
      <c r="AC494" s="126" t="n"/>
      <c r="AD494" s="126" t="n"/>
      <c r="AE494" s="126" t="n"/>
      <c r="AF494" s="126" t="n"/>
      <c r="AG494" s="126" t="n"/>
      <c r="AH494" s="126" t="n"/>
      <c r="AI494" s="126" t="n"/>
      <c r="AJ494" s="126" t="n"/>
      <c r="AK494" s="126" t="n"/>
      <c r="AL494" s="126" t="n"/>
      <c r="AM494" s="126" t="n"/>
      <c r="AN494" s="126" t="n"/>
    </row>
    <row r="495" ht="21" customFormat="1" customHeight="1" s="127">
      <c r="A495" s="51">
        <f>IF($B495="","",ROW()-6)</f>
        <v/>
      </c>
      <c r="B495" s="268" t="n"/>
      <c r="C495" s="133" t="n"/>
      <c r="D495" s="50" t="n"/>
      <c r="E495" s="265" t="n"/>
      <c r="F495" s="133" t="n"/>
      <c r="G495" s="133" t="n"/>
      <c r="H495" s="50" t="n"/>
      <c r="I495" s="51">
        <f>IF($C495="","",IFERROR(INDEX(WorkerIDs,MATCH($C495,WorkerNames,0)),"?"))</f>
        <v/>
      </c>
      <c r="J495" s="253">
        <f>IF($B495="","",$B495-WEEKDAY($B495,2)+1)</f>
        <v/>
      </c>
      <c r="K495" s="142">
        <f>IF(OR($I495="",$I495="?",$D495&lt;&gt;"Advance",$B495=""),"",$I495&amp;"|"&amp;$J495&amp;"|"&amp;COUNTIFS($I$7:$I495,$I495,$J$7:$J495,$J495,$D$7:$D495,"Advance"))</f>
        <v/>
      </c>
      <c r="L495" s="266">
        <f>IF(OR($I495="",$I495="?",$B495=""),"",SUMPRODUCT((Weeks!$A$7:$A$59&lt;=$J495)*(Weeks!$X$5:$AI$5=$I495)*Weeks!$X$7:$AI$59)-SUMIFS($E$7:$E$1006,$I$7:$I$1006,$I495,$B$7:$B$1006,"&lt;="&amp;$B495))</f>
        <v/>
      </c>
      <c r="M495" s="132">
        <f>IF($B495&amp;$C495&amp;$D495&amp;$E495="","",IF($B495="","missing date",IF($C495="","missing worker",IF($I495="?","unknown worker - was the name changed on Workers?",IF($D495="","missing type",IF(N($E495)=0,"missing amount",IF(AND($E495&lt;0,$D495&lt;&gt;"Correction"),"negative amount - use a Correction to undo",IF(OR($B495&lt;Weeks!$A$7,$B495&gt;Weeks!$B$59),"date outside this workbook's year",IF(AND($D495="Advance",N($L495)&lt;0),"Warning: more than earned so far - worker now owes "&amp;TEXT(ROUND(-$L495,0),"#,##0"),"")))))))))</f>
        <v/>
      </c>
      <c r="N495" s="125" t="n"/>
      <c r="O495" s="126" t="n"/>
      <c r="P495" s="126" t="n"/>
      <c r="Q495" s="126" t="n"/>
      <c r="R495" s="126" t="n"/>
      <c r="S495" s="126" t="n"/>
      <c r="T495" s="126" t="n"/>
      <c r="U495" s="126" t="n"/>
      <c r="V495" s="126" t="n"/>
      <c r="W495" s="126" t="n"/>
      <c r="X495" s="126" t="n"/>
      <c r="Y495" s="126" t="n"/>
      <c r="Z495" s="126" t="n"/>
      <c r="AA495" s="126" t="n"/>
      <c r="AB495" s="126" t="n"/>
      <c r="AC495" s="126" t="n"/>
      <c r="AD495" s="126" t="n"/>
      <c r="AE495" s="126" t="n"/>
      <c r="AF495" s="126" t="n"/>
      <c r="AG495" s="126" t="n"/>
      <c r="AH495" s="126" t="n"/>
      <c r="AI495" s="126" t="n"/>
      <c r="AJ495" s="126" t="n"/>
      <c r="AK495" s="126" t="n"/>
      <c r="AL495" s="126" t="n"/>
      <c r="AM495" s="126" t="n"/>
      <c r="AN495" s="126" t="n"/>
    </row>
    <row r="496" ht="21" customFormat="1" customHeight="1" s="127">
      <c r="A496" s="51">
        <f>IF($B496="","",ROW()-6)</f>
        <v/>
      </c>
      <c r="B496" s="268" t="n"/>
      <c r="C496" s="133" t="n"/>
      <c r="D496" s="50" t="n"/>
      <c r="E496" s="265" t="n"/>
      <c r="F496" s="133" t="n"/>
      <c r="G496" s="133" t="n"/>
      <c r="H496" s="50" t="n"/>
      <c r="I496" s="51">
        <f>IF($C496="","",IFERROR(INDEX(WorkerIDs,MATCH($C496,WorkerNames,0)),"?"))</f>
        <v/>
      </c>
      <c r="J496" s="253">
        <f>IF($B496="","",$B496-WEEKDAY($B496,2)+1)</f>
        <v/>
      </c>
      <c r="K496" s="142">
        <f>IF(OR($I496="",$I496="?",$D496&lt;&gt;"Advance",$B496=""),"",$I496&amp;"|"&amp;$J496&amp;"|"&amp;COUNTIFS($I$7:$I496,$I496,$J$7:$J496,$J496,$D$7:$D496,"Advance"))</f>
        <v/>
      </c>
      <c r="L496" s="266">
        <f>IF(OR($I496="",$I496="?",$B496=""),"",SUMPRODUCT((Weeks!$A$7:$A$59&lt;=$J496)*(Weeks!$X$5:$AI$5=$I496)*Weeks!$X$7:$AI$59)-SUMIFS($E$7:$E$1006,$I$7:$I$1006,$I496,$B$7:$B$1006,"&lt;="&amp;$B496))</f>
        <v/>
      </c>
      <c r="M496" s="132">
        <f>IF($B496&amp;$C496&amp;$D496&amp;$E496="","",IF($B496="","missing date",IF($C496="","missing worker",IF($I496="?","unknown worker - was the name changed on Workers?",IF($D496="","missing type",IF(N($E496)=0,"missing amount",IF(AND($E496&lt;0,$D496&lt;&gt;"Correction"),"negative amount - use a Correction to undo",IF(OR($B496&lt;Weeks!$A$7,$B496&gt;Weeks!$B$59),"date outside this workbook's year",IF(AND($D496="Advance",N($L496)&lt;0),"Warning: more than earned so far - worker now owes "&amp;TEXT(ROUND(-$L496,0),"#,##0"),"")))))))))</f>
        <v/>
      </c>
      <c r="N496" s="125" t="n"/>
      <c r="O496" s="126" t="n"/>
      <c r="P496" s="126" t="n"/>
      <c r="Q496" s="126" t="n"/>
      <c r="R496" s="126" t="n"/>
      <c r="S496" s="126" t="n"/>
      <c r="T496" s="126" t="n"/>
      <c r="U496" s="126" t="n"/>
      <c r="V496" s="126" t="n"/>
      <c r="W496" s="126" t="n"/>
      <c r="X496" s="126" t="n"/>
      <c r="Y496" s="126" t="n"/>
      <c r="Z496" s="126" t="n"/>
      <c r="AA496" s="126" t="n"/>
      <c r="AB496" s="126" t="n"/>
      <c r="AC496" s="126" t="n"/>
      <c r="AD496" s="126" t="n"/>
      <c r="AE496" s="126" t="n"/>
      <c r="AF496" s="126" t="n"/>
      <c r="AG496" s="126" t="n"/>
      <c r="AH496" s="126" t="n"/>
      <c r="AI496" s="126" t="n"/>
      <c r="AJ496" s="126" t="n"/>
      <c r="AK496" s="126" t="n"/>
      <c r="AL496" s="126" t="n"/>
      <c r="AM496" s="126" t="n"/>
      <c r="AN496" s="126" t="n"/>
    </row>
    <row r="497" ht="21" customFormat="1" customHeight="1" s="127">
      <c r="A497" s="51">
        <f>IF($B497="","",ROW()-6)</f>
        <v/>
      </c>
      <c r="B497" s="268" t="n"/>
      <c r="C497" s="133" t="n"/>
      <c r="D497" s="50" t="n"/>
      <c r="E497" s="265" t="n"/>
      <c r="F497" s="133" t="n"/>
      <c r="G497" s="133" t="n"/>
      <c r="H497" s="50" t="n"/>
      <c r="I497" s="51">
        <f>IF($C497="","",IFERROR(INDEX(WorkerIDs,MATCH($C497,WorkerNames,0)),"?"))</f>
        <v/>
      </c>
      <c r="J497" s="253">
        <f>IF($B497="","",$B497-WEEKDAY($B497,2)+1)</f>
        <v/>
      </c>
      <c r="K497" s="142">
        <f>IF(OR($I497="",$I497="?",$D497&lt;&gt;"Advance",$B497=""),"",$I497&amp;"|"&amp;$J497&amp;"|"&amp;COUNTIFS($I$7:$I497,$I497,$J$7:$J497,$J497,$D$7:$D497,"Advance"))</f>
        <v/>
      </c>
      <c r="L497" s="266">
        <f>IF(OR($I497="",$I497="?",$B497=""),"",SUMPRODUCT((Weeks!$A$7:$A$59&lt;=$J497)*(Weeks!$X$5:$AI$5=$I497)*Weeks!$X$7:$AI$59)-SUMIFS($E$7:$E$1006,$I$7:$I$1006,$I497,$B$7:$B$1006,"&lt;="&amp;$B497))</f>
        <v/>
      </c>
      <c r="M497" s="132">
        <f>IF($B497&amp;$C497&amp;$D497&amp;$E497="","",IF($B497="","missing date",IF($C497="","missing worker",IF($I497="?","unknown worker - was the name changed on Workers?",IF($D497="","missing type",IF(N($E497)=0,"missing amount",IF(AND($E497&lt;0,$D497&lt;&gt;"Correction"),"negative amount - use a Correction to undo",IF(OR($B497&lt;Weeks!$A$7,$B497&gt;Weeks!$B$59),"date outside this workbook's year",IF(AND($D497="Advance",N($L497)&lt;0),"Warning: more than earned so far - worker now owes "&amp;TEXT(ROUND(-$L497,0),"#,##0"),"")))))))))</f>
        <v/>
      </c>
      <c r="N497" s="125" t="n"/>
      <c r="O497" s="126" t="n"/>
      <c r="P497" s="126" t="n"/>
      <c r="Q497" s="126" t="n"/>
      <c r="R497" s="126" t="n"/>
      <c r="S497" s="126" t="n"/>
      <c r="T497" s="126" t="n"/>
      <c r="U497" s="126" t="n"/>
      <c r="V497" s="126" t="n"/>
      <c r="W497" s="126" t="n"/>
      <c r="X497" s="126" t="n"/>
      <c r="Y497" s="126" t="n"/>
      <c r="Z497" s="126" t="n"/>
      <c r="AA497" s="126" t="n"/>
      <c r="AB497" s="126" t="n"/>
      <c r="AC497" s="126" t="n"/>
      <c r="AD497" s="126" t="n"/>
      <c r="AE497" s="126" t="n"/>
      <c r="AF497" s="126" t="n"/>
      <c r="AG497" s="126" t="n"/>
      <c r="AH497" s="126" t="n"/>
      <c r="AI497" s="126" t="n"/>
      <c r="AJ497" s="126" t="n"/>
      <c r="AK497" s="126" t="n"/>
      <c r="AL497" s="126" t="n"/>
      <c r="AM497" s="126" t="n"/>
      <c r="AN497" s="126" t="n"/>
    </row>
    <row r="498" ht="21" customFormat="1" customHeight="1" s="127">
      <c r="A498" s="51">
        <f>IF($B498="","",ROW()-6)</f>
        <v/>
      </c>
      <c r="B498" s="268" t="n"/>
      <c r="C498" s="133" t="n"/>
      <c r="D498" s="50" t="n"/>
      <c r="E498" s="265" t="n"/>
      <c r="F498" s="133" t="n"/>
      <c r="G498" s="133" t="n"/>
      <c r="H498" s="50" t="n"/>
      <c r="I498" s="51">
        <f>IF($C498="","",IFERROR(INDEX(WorkerIDs,MATCH($C498,WorkerNames,0)),"?"))</f>
        <v/>
      </c>
      <c r="J498" s="253">
        <f>IF($B498="","",$B498-WEEKDAY($B498,2)+1)</f>
        <v/>
      </c>
      <c r="K498" s="142">
        <f>IF(OR($I498="",$I498="?",$D498&lt;&gt;"Advance",$B498=""),"",$I498&amp;"|"&amp;$J498&amp;"|"&amp;COUNTIFS($I$7:$I498,$I498,$J$7:$J498,$J498,$D$7:$D498,"Advance"))</f>
        <v/>
      </c>
      <c r="L498" s="266">
        <f>IF(OR($I498="",$I498="?",$B498=""),"",SUMPRODUCT((Weeks!$A$7:$A$59&lt;=$J498)*(Weeks!$X$5:$AI$5=$I498)*Weeks!$X$7:$AI$59)-SUMIFS($E$7:$E$1006,$I$7:$I$1006,$I498,$B$7:$B$1006,"&lt;="&amp;$B498))</f>
        <v/>
      </c>
      <c r="M498" s="132">
        <f>IF($B498&amp;$C498&amp;$D498&amp;$E498="","",IF($B498="","missing date",IF($C498="","missing worker",IF($I498="?","unknown worker - was the name changed on Workers?",IF($D498="","missing type",IF(N($E498)=0,"missing amount",IF(AND($E498&lt;0,$D498&lt;&gt;"Correction"),"negative amount - use a Correction to undo",IF(OR($B498&lt;Weeks!$A$7,$B498&gt;Weeks!$B$59),"date outside this workbook's year",IF(AND($D498="Advance",N($L498)&lt;0),"Warning: more than earned so far - worker now owes "&amp;TEXT(ROUND(-$L498,0),"#,##0"),"")))))))))</f>
        <v/>
      </c>
      <c r="N498" s="125" t="n"/>
      <c r="O498" s="126" t="n"/>
      <c r="P498" s="126" t="n"/>
      <c r="Q498" s="126" t="n"/>
      <c r="R498" s="126" t="n"/>
      <c r="S498" s="126" t="n"/>
      <c r="T498" s="126" t="n"/>
      <c r="U498" s="126" t="n"/>
      <c r="V498" s="126" t="n"/>
      <c r="W498" s="126" t="n"/>
      <c r="X498" s="126" t="n"/>
      <c r="Y498" s="126" t="n"/>
      <c r="Z498" s="126" t="n"/>
      <c r="AA498" s="126" t="n"/>
      <c r="AB498" s="126" t="n"/>
      <c r="AC498" s="126" t="n"/>
      <c r="AD498" s="126" t="n"/>
      <c r="AE498" s="126" t="n"/>
      <c r="AF498" s="126" t="n"/>
      <c r="AG498" s="126" t="n"/>
      <c r="AH498" s="126" t="n"/>
      <c r="AI498" s="126" t="n"/>
      <c r="AJ498" s="126" t="n"/>
      <c r="AK498" s="126" t="n"/>
      <c r="AL498" s="126" t="n"/>
      <c r="AM498" s="126" t="n"/>
      <c r="AN498" s="126" t="n"/>
    </row>
    <row r="499" ht="21" customFormat="1" customHeight="1" s="127">
      <c r="A499" s="51">
        <f>IF($B499="","",ROW()-6)</f>
        <v/>
      </c>
      <c r="B499" s="268" t="n"/>
      <c r="C499" s="133" t="n"/>
      <c r="D499" s="50" t="n"/>
      <c r="E499" s="265" t="n"/>
      <c r="F499" s="133" t="n"/>
      <c r="G499" s="133" t="n"/>
      <c r="H499" s="50" t="n"/>
      <c r="I499" s="51">
        <f>IF($C499="","",IFERROR(INDEX(WorkerIDs,MATCH($C499,WorkerNames,0)),"?"))</f>
        <v/>
      </c>
      <c r="J499" s="253">
        <f>IF($B499="","",$B499-WEEKDAY($B499,2)+1)</f>
        <v/>
      </c>
      <c r="K499" s="142">
        <f>IF(OR($I499="",$I499="?",$D499&lt;&gt;"Advance",$B499=""),"",$I499&amp;"|"&amp;$J499&amp;"|"&amp;COUNTIFS($I$7:$I499,$I499,$J$7:$J499,$J499,$D$7:$D499,"Advance"))</f>
        <v/>
      </c>
      <c r="L499" s="266">
        <f>IF(OR($I499="",$I499="?",$B499=""),"",SUMPRODUCT((Weeks!$A$7:$A$59&lt;=$J499)*(Weeks!$X$5:$AI$5=$I499)*Weeks!$X$7:$AI$59)-SUMIFS($E$7:$E$1006,$I$7:$I$1006,$I499,$B$7:$B$1006,"&lt;="&amp;$B499))</f>
        <v/>
      </c>
      <c r="M499" s="132">
        <f>IF($B499&amp;$C499&amp;$D499&amp;$E499="","",IF($B499="","missing date",IF($C499="","missing worker",IF($I499="?","unknown worker - was the name changed on Workers?",IF($D499="","missing type",IF(N($E499)=0,"missing amount",IF(AND($E499&lt;0,$D499&lt;&gt;"Correction"),"negative amount - use a Correction to undo",IF(OR($B499&lt;Weeks!$A$7,$B499&gt;Weeks!$B$59),"date outside this workbook's year",IF(AND($D499="Advance",N($L499)&lt;0),"Warning: more than earned so far - worker now owes "&amp;TEXT(ROUND(-$L499,0),"#,##0"),"")))))))))</f>
        <v/>
      </c>
      <c r="N499" s="125" t="n"/>
      <c r="O499" s="126" t="n"/>
      <c r="P499" s="126" t="n"/>
      <c r="Q499" s="126" t="n"/>
      <c r="R499" s="126" t="n"/>
      <c r="S499" s="126" t="n"/>
      <c r="T499" s="126" t="n"/>
      <c r="U499" s="126" t="n"/>
      <c r="V499" s="126" t="n"/>
      <c r="W499" s="126" t="n"/>
      <c r="X499" s="126" t="n"/>
      <c r="Y499" s="126" t="n"/>
      <c r="Z499" s="126" t="n"/>
      <c r="AA499" s="126" t="n"/>
      <c r="AB499" s="126" t="n"/>
      <c r="AC499" s="126" t="n"/>
      <c r="AD499" s="126" t="n"/>
      <c r="AE499" s="126" t="n"/>
      <c r="AF499" s="126" t="n"/>
      <c r="AG499" s="126" t="n"/>
      <c r="AH499" s="126" t="n"/>
      <c r="AI499" s="126" t="n"/>
      <c r="AJ499" s="126" t="n"/>
      <c r="AK499" s="126" t="n"/>
      <c r="AL499" s="126" t="n"/>
      <c r="AM499" s="126" t="n"/>
      <c r="AN499" s="126" t="n"/>
    </row>
    <row r="500" ht="21" customFormat="1" customHeight="1" s="127">
      <c r="A500" s="51">
        <f>IF($B500="","",ROW()-6)</f>
        <v/>
      </c>
      <c r="B500" s="268" t="n"/>
      <c r="C500" s="133" t="n"/>
      <c r="D500" s="50" t="n"/>
      <c r="E500" s="265" t="n"/>
      <c r="F500" s="133" t="n"/>
      <c r="G500" s="133" t="n"/>
      <c r="H500" s="50" t="n"/>
      <c r="I500" s="51">
        <f>IF($C500="","",IFERROR(INDEX(WorkerIDs,MATCH($C500,WorkerNames,0)),"?"))</f>
        <v/>
      </c>
      <c r="J500" s="253">
        <f>IF($B500="","",$B500-WEEKDAY($B500,2)+1)</f>
        <v/>
      </c>
      <c r="K500" s="142">
        <f>IF(OR($I500="",$I500="?",$D500&lt;&gt;"Advance",$B500=""),"",$I500&amp;"|"&amp;$J500&amp;"|"&amp;COUNTIFS($I$7:$I500,$I500,$J$7:$J500,$J500,$D$7:$D500,"Advance"))</f>
        <v/>
      </c>
      <c r="L500" s="266">
        <f>IF(OR($I500="",$I500="?",$B500=""),"",SUMPRODUCT((Weeks!$A$7:$A$59&lt;=$J500)*(Weeks!$X$5:$AI$5=$I500)*Weeks!$X$7:$AI$59)-SUMIFS($E$7:$E$1006,$I$7:$I$1006,$I500,$B$7:$B$1006,"&lt;="&amp;$B500))</f>
        <v/>
      </c>
      <c r="M500" s="132">
        <f>IF($B500&amp;$C500&amp;$D500&amp;$E500="","",IF($B500="","missing date",IF($C500="","missing worker",IF($I500="?","unknown worker - was the name changed on Workers?",IF($D500="","missing type",IF(N($E500)=0,"missing amount",IF(AND($E500&lt;0,$D500&lt;&gt;"Correction"),"negative amount - use a Correction to undo",IF(OR($B500&lt;Weeks!$A$7,$B500&gt;Weeks!$B$59),"date outside this workbook's year",IF(AND($D500="Advance",N($L500)&lt;0),"Warning: more than earned so far - worker now owes "&amp;TEXT(ROUND(-$L500,0),"#,##0"),"")))))))))</f>
        <v/>
      </c>
      <c r="N500" s="125" t="n"/>
      <c r="O500" s="126" t="n"/>
      <c r="P500" s="126" t="n"/>
      <c r="Q500" s="126" t="n"/>
      <c r="R500" s="126" t="n"/>
      <c r="S500" s="126" t="n"/>
      <c r="T500" s="126" t="n"/>
      <c r="U500" s="126" t="n"/>
      <c r="V500" s="126" t="n"/>
      <c r="W500" s="126" t="n"/>
      <c r="X500" s="126" t="n"/>
      <c r="Y500" s="126" t="n"/>
      <c r="Z500" s="126" t="n"/>
      <c r="AA500" s="126" t="n"/>
      <c r="AB500" s="126" t="n"/>
      <c r="AC500" s="126" t="n"/>
      <c r="AD500" s="126" t="n"/>
      <c r="AE500" s="126" t="n"/>
      <c r="AF500" s="126" t="n"/>
      <c r="AG500" s="126" t="n"/>
      <c r="AH500" s="126" t="n"/>
      <c r="AI500" s="126" t="n"/>
      <c r="AJ500" s="126" t="n"/>
      <c r="AK500" s="126" t="n"/>
      <c r="AL500" s="126" t="n"/>
      <c r="AM500" s="126" t="n"/>
      <c r="AN500" s="126" t="n"/>
    </row>
    <row r="501" ht="21" customFormat="1" customHeight="1" s="127">
      <c r="A501" s="51">
        <f>IF($B501="","",ROW()-6)</f>
        <v/>
      </c>
      <c r="B501" s="268" t="n"/>
      <c r="C501" s="133" t="n"/>
      <c r="D501" s="50" t="n"/>
      <c r="E501" s="265" t="n"/>
      <c r="F501" s="133" t="n"/>
      <c r="G501" s="133" t="n"/>
      <c r="H501" s="50" t="n"/>
      <c r="I501" s="51">
        <f>IF($C501="","",IFERROR(INDEX(WorkerIDs,MATCH($C501,WorkerNames,0)),"?"))</f>
        <v/>
      </c>
      <c r="J501" s="253">
        <f>IF($B501="","",$B501-WEEKDAY($B501,2)+1)</f>
        <v/>
      </c>
      <c r="K501" s="142">
        <f>IF(OR($I501="",$I501="?",$D501&lt;&gt;"Advance",$B501=""),"",$I501&amp;"|"&amp;$J501&amp;"|"&amp;COUNTIFS($I$7:$I501,$I501,$J$7:$J501,$J501,$D$7:$D501,"Advance"))</f>
        <v/>
      </c>
      <c r="L501" s="266">
        <f>IF(OR($I501="",$I501="?",$B501=""),"",SUMPRODUCT((Weeks!$A$7:$A$59&lt;=$J501)*(Weeks!$X$5:$AI$5=$I501)*Weeks!$X$7:$AI$59)-SUMIFS($E$7:$E$1006,$I$7:$I$1006,$I501,$B$7:$B$1006,"&lt;="&amp;$B501))</f>
        <v/>
      </c>
      <c r="M501" s="132">
        <f>IF($B501&amp;$C501&amp;$D501&amp;$E501="","",IF($B501="","missing date",IF($C501="","missing worker",IF($I501="?","unknown worker - was the name changed on Workers?",IF($D501="","missing type",IF(N($E501)=0,"missing amount",IF(AND($E501&lt;0,$D501&lt;&gt;"Correction"),"negative amount - use a Correction to undo",IF(OR($B501&lt;Weeks!$A$7,$B501&gt;Weeks!$B$59),"date outside this workbook's year",IF(AND($D501="Advance",N($L501)&lt;0),"Warning: more than earned so far - worker now owes "&amp;TEXT(ROUND(-$L501,0),"#,##0"),"")))))))))</f>
        <v/>
      </c>
      <c r="N501" s="125" t="n"/>
      <c r="O501" s="126" t="n"/>
      <c r="P501" s="126" t="n"/>
      <c r="Q501" s="126" t="n"/>
      <c r="R501" s="126" t="n"/>
      <c r="S501" s="126" t="n"/>
      <c r="T501" s="126" t="n"/>
      <c r="U501" s="126" t="n"/>
      <c r="V501" s="126" t="n"/>
      <c r="W501" s="126" t="n"/>
      <c r="X501" s="126" t="n"/>
      <c r="Y501" s="126" t="n"/>
      <c r="Z501" s="126" t="n"/>
      <c r="AA501" s="126" t="n"/>
      <c r="AB501" s="126" t="n"/>
      <c r="AC501" s="126" t="n"/>
      <c r="AD501" s="126" t="n"/>
      <c r="AE501" s="126" t="n"/>
      <c r="AF501" s="126" t="n"/>
      <c r="AG501" s="126" t="n"/>
      <c r="AH501" s="126" t="n"/>
      <c r="AI501" s="126" t="n"/>
      <c r="AJ501" s="126" t="n"/>
      <c r="AK501" s="126" t="n"/>
      <c r="AL501" s="126" t="n"/>
      <c r="AM501" s="126" t="n"/>
      <c r="AN501" s="126" t="n"/>
    </row>
    <row r="502" ht="21" customFormat="1" customHeight="1" s="127">
      <c r="A502" s="51">
        <f>IF($B502="","",ROW()-6)</f>
        <v/>
      </c>
      <c r="B502" s="268" t="n"/>
      <c r="C502" s="133" t="n"/>
      <c r="D502" s="50" t="n"/>
      <c r="E502" s="265" t="n"/>
      <c r="F502" s="133" t="n"/>
      <c r="G502" s="133" t="n"/>
      <c r="H502" s="50" t="n"/>
      <c r="I502" s="51">
        <f>IF($C502="","",IFERROR(INDEX(WorkerIDs,MATCH($C502,WorkerNames,0)),"?"))</f>
        <v/>
      </c>
      <c r="J502" s="253">
        <f>IF($B502="","",$B502-WEEKDAY($B502,2)+1)</f>
        <v/>
      </c>
      <c r="K502" s="142">
        <f>IF(OR($I502="",$I502="?",$D502&lt;&gt;"Advance",$B502=""),"",$I502&amp;"|"&amp;$J502&amp;"|"&amp;COUNTIFS($I$7:$I502,$I502,$J$7:$J502,$J502,$D$7:$D502,"Advance"))</f>
        <v/>
      </c>
      <c r="L502" s="266">
        <f>IF(OR($I502="",$I502="?",$B502=""),"",SUMPRODUCT((Weeks!$A$7:$A$59&lt;=$J502)*(Weeks!$X$5:$AI$5=$I502)*Weeks!$X$7:$AI$59)-SUMIFS($E$7:$E$1006,$I$7:$I$1006,$I502,$B$7:$B$1006,"&lt;="&amp;$B502))</f>
        <v/>
      </c>
      <c r="M502" s="132">
        <f>IF($B502&amp;$C502&amp;$D502&amp;$E502="","",IF($B502="","missing date",IF($C502="","missing worker",IF($I502="?","unknown worker - was the name changed on Workers?",IF($D502="","missing type",IF(N($E502)=0,"missing amount",IF(AND($E502&lt;0,$D502&lt;&gt;"Correction"),"negative amount - use a Correction to undo",IF(OR($B502&lt;Weeks!$A$7,$B502&gt;Weeks!$B$59),"date outside this workbook's year",IF(AND($D502="Advance",N($L502)&lt;0),"Warning: more than earned so far - worker now owes "&amp;TEXT(ROUND(-$L502,0),"#,##0"),"")))))))))</f>
        <v/>
      </c>
      <c r="N502" s="125" t="n"/>
      <c r="O502" s="126" t="n"/>
      <c r="P502" s="126" t="n"/>
      <c r="Q502" s="126" t="n"/>
      <c r="R502" s="126" t="n"/>
      <c r="S502" s="126" t="n"/>
      <c r="T502" s="126" t="n"/>
      <c r="U502" s="126" t="n"/>
      <c r="V502" s="126" t="n"/>
      <c r="W502" s="126" t="n"/>
      <c r="X502" s="126" t="n"/>
      <c r="Y502" s="126" t="n"/>
      <c r="Z502" s="126" t="n"/>
      <c r="AA502" s="126" t="n"/>
      <c r="AB502" s="126" t="n"/>
      <c r="AC502" s="126" t="n"/>
      <c r="AD502" s="126" t="n"/>
      <c r="AE502" s="126" t="n"/>
      <c r="AF502" s="126" t="n"/>
      <c r="AG502" s="126" t="n"/>
      <c r="AH502" s="126" t="n"/>
      <c r="AI502" s="126" t="n"/>
      <c r="AJ502" s="126" t="n"/>
      <c r="AK502" s="126" t="n"/>
      <c r="AL502" s="126" t="n"/>
      <c r="AM502" s="126" t="n"/>
      <c r="AN502" s="126" t="n"/>
    </row>
    <row r="503" ht="21" customFormat="1" customHeight="1" s="127">
      <c r="A503" s="51">
        <f>IF($B503="","",ROW()-6)</f>
        <v/>
      </c>
      <c r="B503" s="268" t="n"/>
      <c r="C503" s="133" t="n"/>
      <c r="D503" s="50" t="n"/>
      <c r="E503" s="265" t="n"/>
      <c r="F503" s="133" t="n"/>
      <c r="G503" s="133" t="n"/>
      <c r="H503" s="50" t="n"/>
      <c r="I503" s="51">
        <f>IF($C503="","",IFERROR(INDEX(WorkerIDs,MATCH($C503,WorkerNames,0)),"?"))</f>
        <v/>
      </c>
      <c r="J503" s="253">
        <f>IF($B503="","",$B503-WEEKDAY($B503,2)+1)</f>
        <v/>
      </c>
      <c r="K503" s="142">
        <f>IF(OR($I503="",$I503="?",$D503&lt;&gt;"Advance",$B503=""),"",$I503&amp;"|"&amp;$J503&amp;"|"&amp;COUNTIFS($I$7:$I503,$I503,$J$7:$J503,$J503,$D$7:$D503,"Advance"))</f>
        <v/>
      </c>
      <c r="L503" s="266">
        <f>IF(OR($I503="",$I503="?",$B503=""),"",SUMPRODUCT((Weeks!$A$7:$A$59&lt;=$J503)*(Weeks!$X$5:$AI$5=$I503)*Weeks!$X$7:$AI$59)-SUMIFS($E$7:$E$1006,$I$7:$I$1006,$I503,$B$7:$B$1006,"&lt;="&amp;$B503))</f>
        <v/>
      </c>
      <c r="M503" s="132">
        <f>IF($B503&amp;$C503&amp;$D503&amp;$E503="","",IF($B503="","missing date",IF($C503="","missing worker",IF($I503="?","unknown worker - was the name changed on Workers?",IF($D503="","missing type",IF(N($E503)=0,"missing amount",IF(AND($E503&lt;0,$D503&lt;&gt;"Correction"),"negative amount - use a Correction to undo",IF(OR($B503&lt;Weeks!$A$7,$B503&gt;Weeks!$B$59),"date outside this workbook's year",IF(AND($D503="Advance",N($L503)&lt;0),"Warning: more than earned so far - worker now owes "&amp;TEXT(ROUND(-$L503,0),"#,##0"),"")))))))))</f>
        <v/>
      </c>
      <c r="N503" s="125" t="n"/>
      <c r="O503" s="126" t="n"/>
      <c r="P503" s="126" t="n"/>
      <c r="Q503" s="126" t="n"/>
      <c r="R503" s="126" t="n"/>
      <c r="S503" s="126" t="n"/>
      <c r="T503" s="126" t="n"/>
      <c r="U503" s="126" t="n"/>
      <c r="V503" s="126" t="n"/>
      <c r="W503" s="126" t="n"/>
      <c r="X503" s="126" t="n"/>
      <c r="Y503" s="126" t="n"/>
      <c r="Z503" s="126" t="n"/>
      <c r="AA503" s="126" t="n"/>
      <c r="AB503" s="126" t="n"/>
      <c r="AC503" s="126" t="n"/>
      <c r="AD503" s="126" t="n"/>
      <c r="AE503" s="126" t="n"/>
      <c r="AF503" s="126" t="n"/>
      <c r="AG503" s="126" t="n"/>
      <c r="AH503" s="126" t="n"/>
      <c r="AI503" s="126" t="n"/>
      <c r="AJ503" s="126" t="n"/>
      <c r="AK503" s="126" t="n"/>
      <c r="AL503" s="126" t="n"/>
      <c r="AM503" s="126" t="n"/>
      <c r="AN503" s="126" t="n"/>
    </row>
    <row r="504" ht="21" customFormat="1" customHeight="1" s="127">
      <c r="A504" s="51">
        <f>IF($B504="","",ROW()-6)</f>
        <v/>
      </c>
      <c r="B504" s="268" t="n"/>
      <c r="C504" s="133" t="n"/>
      <c r="D504" s="50" t="n"/>
      <c r="E504" s="265" t="n"/>
      <c r="F504" s="133" t="n"/>
      <c r="G504" s="133" t="n"/>
      <c r="H504" s="50" t="n"/>
      <c r="I504" s="51">
        <f>IF($C504="","",IFERROR(INDEX(WorkerIDs,MATCH($C504,WorkerNames,0)),"?"))</f>
        <v/>
      </c>
      <c r="J504" s="253">
        <f>IF($B504="","",$B504-WEEKDAY($B504,2)+1)</f>
        <v/>
      </c>
      <c r="K504" s="142">
        <f>IF(OR($I504="",$I504="?",$D504&lt;&gt;"Advance",$B504=""),"",$I504&amp;"|"&amp;$J504&amp;"|"&amp;COUNTIFS($I$7:$I504,$I504,$J$7:$J504,$J504,$D$7:$D504,"Advance"))</f>
        <v/>
      </c>
      <c r="L504" s="266">
        <f>IF(OR($I504="",$I504="?",$B504=""),"",SUMPRODUCT((Weeks!$A$7:$A$59&lt;=$J504)*(Weeks!$X$5:$AI$5=$I504)*Weeks!$X$7:$AI$59)-SUMIFS($E$7:$E$1006,$I$7:$I$1006,$I504,$B$7:$B$1006,"&lt;="&amp;$B504))</f>
        <v/>
      </c>
      <c r="M504" s="132">
        <f>IF($B504&amp;$C504&amp;$D504&amp;$E504="","",IF($B504="","missing date",IF($C504="","missing worker",IF($I504="?","unknown worker - was the name changed on Workers?",IF($D504="","missing type",IF(N($E504)=0,"missing amount",IF(AND($E504&lt;0,$D504&lt;&gt;"Correction"),"negative amount - use a Correction to undo",IF(OR($B504&lt;Weeks!$A$7,$B504&gt;Weeks!$B$59),"date outside this workbook's year",IF(AND($D504="Advance",N($L504)&lt;0),"Warning: more than earned so far - worker now owes "&amp;TEXT(ROUND(-$L504,0),"#,##0"),"")))))))))</f>
        <v/>
      </c>
      <c r="N504" s="125" t="n"/>
      <c r="O504" s="126" t="n"/>
      <c r="P504" s="126" t="n"/>
      <c r="Q504" s="126" t="n"/>
      <c r="R504" s="126" t="n"/>
      <c r="S504" s="126" t="n"/>
      <c r="T504" s="126" t="n"/>
      <c r="U504" s="126" t="n"/>
      <c r="V504" s="126" t="n"/>
      <c r="W504" s="126" t="n"/>
      <c r="X504" s="126" t="n"/>
      <c r="Y504" s="126" t="n"/>
      <c r="Z504" s="126" t="n"/>
      <c r="AA504" s="126" t="n"/>
      <c r="AB504" s="126" t="n"/>
      <c r="AC504" s="126" t="n"/>
      <c r="AD504" s="126" t="n"/>
      <c r="AE504" s="126" t="n"/>
      <c r="AF504" s="126" t="n"/>
      <c r="AG504" s="126" t="n"/>
      <c r="AH504" s="126" t="n"/>
      <c r="AI504" s="126" t="n"/>
      <c r="AJ504" s="126" t="n"/>
      <c r="AK504" s="126" t="n"/>
      <c r="AL504" s="126" t="n"/>
      <c r="AM504" s="126" t="n"/>
      <c r="AN504" s="126" t="n"/>
    </row>
    <row r="505" ht="21" customFormat="1" customHeight="1" s="127">
      <c r="A505" s="51">
        <f>IF($B505="","",ROW()-6)</f>
        <v/>
      </c>
      <c r="B505" s="268" t="n"/>
      <c r="C505" s="133" t="n"/>
      <c r="D505" s="50" t="n"/>
      <c r="E505" s="265" t="n"/>
      <c r="F505" s="133" t="n"/>
      <c r="G505" s="133" t="n"/>
      <c r="H505" s="50" t="n"/>
      <c r="I505" s="51">
        <f>IF($C505="","",IFERROR(INDEX(WorkerIDs,MATCH($C505,WorkerNames,0)),"?"))</f>
        <v/>
      </c>
      <c r="J505" s="253">
        <f>IF($B505="","",$B505-WEEKDAY($B505,2)+1)</f>
        <v/>
      </c>
      <c r="K505" s="142">
        <f>IF(OR($I505="",$I505="?",$D505&lt;&gt;"Advance",$B505=""),"",$I505&amp;"|"&amp;$J505&amp;"|"&amp;COUNTIFS($I$7:$I505,$I505,$J$7:$J505,$J505,$D$7:$D505,"Advance"))</f>
        <v/>
      </c>
      <c r="L505" s="266">
        <f>IF(OR($I505="",$I505="?",$B505=""),"",SUMPRODUCT((Weeks!$A$7:$A$59&lt;=$J505)*(Weeks!$X$5:$AI$5=$I505)*Weeks!$X$7:$AI$59)-SUMIFS($E$7:$E$1006,$I$7:$I$1006,$I505,$B$7:$B$1006,"&lt;="&amp;$B505))</f>
        <v/>
      </c>
      <c r="M505" s="132">
        <f>IF($B505&amp;$C505&amp;$D505&amp;$E505="","",IF($B505="","missing date",IF($C505="","missing worker",IF($I505="?","unknown worker - was the name changed on Workers?",IF($D505="","missing type",IF(N($E505)=0,"missing amount",IF(AND($E505&lt;0,$D505&lt;&gt;"Correction"),"negative amount - use a Correction to undo",IF(OR($B505&lt;Weeks!$A$7,$B505&gt;Weeks!$B$59),"date outside this workbook's year",IF(AND($D505="Advance",N($L505)&lt;0),"Warning: more than earned so far - worker now owes "&amp;TEXT(ROUND(-$L505,0),"#,##0"),"")))))))))</f>
        <v/>
      </c>
      <c r="N505" s="125" t="n"/>
      <c r="O505" s="126" t="n"/>
      <c r="P505" s="126" t="n"/>
      <c r="Q505" s="126" t="n"/>
      <c r="R505" s="126" t="n"/>
      <c r="S505" s="126" t="n"/>
      <c r="T505" s="126" t="n"/>
      <c r="U505" s="126" t="n"/>
      <c r="V505" s="126" t="n"/>
      <c r="W505" s="126" t="n"/>
      <c r="X505" s="126" t="n"/>
      <c r="Y505" s="126" t="n"/>
      <c r="Z505" s="126" t="n"/>
      <c r="AA505" s="126" t="n"/>
      <c r="AB505" s="126" t="n"/>
      <c r="AC505" s="126" t="n"/>
      <c r="AD505" s="126" t="n"/>
      <c r="AE505" s="126" t="n"/>
      <c r="AF505" s="126" t="n"/>
      <c r="AG505" s="126" t="n"/>
      <c r="AH505" s="126" t="n"/>
      <c r="AI505" s="126" t="n"/>
      <c r="AJ505" s="126" t="n"/>
      <c r="AK505" s="126" t="n"/>
      <c r="AL505" s="126" t="n"/>
      <c r="AM505" s="126" t="n"/>
      <c r="AN505" s="126" t="n"/>
    </row>
    <row r="506" ht="21" customFormat="1" customHeight="1" s="127">
      <c r="A506" s="51">
        <f>IF($B506="","",ROW()-6)</f>
        <v/>
      </c>
      <c r="B506" s="268" t="n"/>
      <c r="C506" s="133" t="n"/>
      <c r="D506" s="50" t="n"/>
      <c r="E506" s="265" t="n"/>
      <c r="F506" s="133" t="n"/>
      <c r="G506" s="133" t="n"/>
      <c r="H506" s="50" t="n"/>
      <c r="I506" s="51">
        <f>IF($C506="","",IFERROR(INDEX(WorkerIDs,MATCH($C506,WorkerNames,0)),"?"))</f>
        <v/>
      </c>
      <c r="J506" s="253">
        <f>IF($B506="","",$B506-WEEKDAY($B506,2)+1)</f>
        <v/>
      </c>
      <c r="K506" s="142">
        <f>IF(OR($I506="",$I506="?",$D506&lt;&gt;"Advance",$B506=""),"",$I506&amp;"|"&amp;$J506&amp;"|"&amp;COUNTIFS($I$7:$I506,$I506,$J$7:$J506,$J506,$D$7:$D506,"Advance"))</f>
        <v/>
      </c>
      <c r="L506" s="266">
        <f>IF(OR($I506="",$I506="?",$B506=""),"",SUMPRODUCT((Weeks!$A$7:$A$59&lt;=$J506)*(Weeks!$X$5:$AI$5=$I506)*Weeks!$X$7:$AI$59)-SUMIFS($E$7:$E$1006,$I$7:$I$1006,$I506,$B$7:$B$1006,"&lt;="&amp;$B506))</f>
        <v/>
      </c>
      <c r="M506" s="132">
        <f>IF($B506&amp;$C506&amp;$D506&amp;$E506="","",IF($B506="","missing date",IF($C506="","missing worker",IF($I506="?","unknown worker - was the name changed on Workers?",IF($D506="","missing type",IF(N($E506)=0,"missing amount",IF(AND($E506&lt;0,$D506&lt;&gt;"Correction"),"negative amount - use a Correction to undo",IF(OR($B506&lt;Weeks!$A$7,$B506&gt;Weeks!$B$59),"date outside this workbook's year",IF(AND($D506="Advance",N($L506)&lt;0),"Warning: more than earned so far - worker now owes "&amp;TEXT(ROUND(-$L506,0),"#,##0"),"")))))))))</f>
        <v/>
      </c>
      <c r="N506" s="125" t="n"/>
      <c r="O506" s="126" t="n"/>
      <c r="P506" s="126" t="n"/>
      <c r="Q506" s="126" t="n"/>
      <c r="R506" s="126" t="n"/>
      <c r="S506" s="126" t="n"/>
      <c r="T506" s="126" t="n"/>
      <c r="U506" s="126" t="n"/>
      <c r="V506" s="126" t="n"/>
      <c r="W506" s="126" t="n"/>
      <c r="X506" s="126" t="n"/>
      <c r="Y506" s="126" t="n"/>
      <c r="Z506" s="126" t="n"/>
      <c r="AA506" s="126" t="n"/>
      <c r="AB506" s="126" t="n"/>
      <c r="AC506" s="126" t="n"/>
      <c r="AD506" s="126" t="n"/>
      <c r="AE506" s="126" t="n"/>
      <c r="AF506" s="126" t="n"/>
      <c r="AG506" s="126" t="n"/>
      <c r="AH506" s="126" t="n"/>
      <c r="AI506" s="126" t="n"/>
      <c r="AJ506" s="126" t="n"/>
      <c r="AK506" s="126" t="n"/>
      <c r="AL506" s="126" t="n"/>
      <c r="AM506" s="126" t="n"/>
      <c r="AN506" s="126" t="n"/>
    </row>
    <row r="507" ht="21" customFormat="1" customHeight="1" s="127">
      <c r="A507" s="51">
        <f>IF($B507="","",ROW()-6)</f>
        <v/>
      </c>
      <c r="B507" s="268" t="n"/>
      <c r="C507" s="133" t="n"/>
      <c r="D507" s="50" t="n"/>
      <c r="E507" s="265" t="n"/>
      <c r="F507" s="133" t="n"/>
      <c r="G507" s="133" t="n"/>
      <c r="H507" s="50" t="n"/>
      <c r="I507" s="51">
        <f>IF($C507="","",IFERROR(INDEX(WorkerIDs,MATCH($C507,WorkerNames,0)),"?"))</f>
        <v/>
      </c>
      <c r="J507" s="253">
        <f>IF($B507="","",$B507-WEEKDAY($B507,2)+1)</f>
        <v/>
      </c>
      <c r="K507" s="142">
        <f>IF(OR($I507="",$I507="?",$D507&lt;&gt;"Advance",$B507=""),"",$I507&amp;"|"&amp;$J507&amp;"|"&amp;COUNTIFS($I$7:$I507,$I507,$J$7:$J507,$J507,$D$7:$D507,"Advance"))</f>
        <v/>
      </c>
      <c r="L507" s="266">
        <f>IF(OR($I507="",$I507="?",$B507=""),"",SUMPRODUCT((Weeks!$A$7:$A$59&lt;=$J507)*(Weeks!$X$5:$AI$5=$I507)*Weeks!$X$7:$AI$59)-SUMIFS($E$7:$E$1006,$I$7:$I$1006,$I507,$B$7:$B$1006,"&lt;="&amp;$B507))</f>
        <v/>
      </c>
      <c r="M507" s="132">
        <f>IF($B507&amp;$C507&amp;$D507&amp;$E507="","",IF($B507="","missing date",IF($C507="","missing worker",IF($I507="?","unknown worker - was the name changed on Workers?",IF($D507="","missing type",IF(N($E507)=0,"missing amount",IF(AND($E507&lt;0,$D507&lt;&gt;"Correction"),"negative amount - use a Correction to undo",IF(OR($B507&lt;Weeks!$A$7,$B507&gt;Weeks!$B$59),"date outside this workbook's year",IF(AND($D507="Advance",N($L507)&lt;0),"Warning: more than earned so far - worker now owes "&amp;TEXT(ROUND(-$L507,0),"#,##0"),"")))))))))</f>
        <v/>
      </c>
      <c r="N507" s="125" t="n"/>
      <c r="O507" s="126" t="n"/>
      <c r="P507" s="126" t="n"/>
      <c r="Q507" s="126" t="n"/>
      <c r="R507" s="126" t="n"/>
      <c r="S507" s="126" t="n"/>
      <c r="T507" s="126" t="n"/>
      <c r="U507" s="126" t="n"/>
      <c r="V507" s="126" t="n"/>
      <c r="W507" s="126" t="n"/>
      <c r="X507" s="126" t="n"/>
      <c r="Y507" s="126" t="n"/>
      <c r="Z507" s="126" t="n"/>
      <c r="AA507" s="126" t="n"/>
      <c r="AB507" s="126" t="n"/>
      <c r="AC507" s="126" t="n"/>
      <c r="AD507" s="126" t="n"/>
      <c r="AE507" s="126" t="n"/>
      <c r="AF507" s="126" t="n"/>
      <c r="AG507" s="126" t="n"/>
      <c r="AH507" s="126" t="n"/>
      <c r="AI507" s="126" t="n"/>
      <c r="AJ507" s="126" t="n"/>
      <c r="AK507" s="126" t="n"/>
      <c r="AL507" s="126" t="n"/>
      <c r="AM507" s="126" t="n"/>
      <c r="AN507" s="126" t="n"/>
    </row>
    <row r="508" ht="21" customFormat="1" customHeight="1" s="127">
      <c r="A508" s="51">
        <f>IF($B508="","",ROW()-6)</f>
        <v/>
      </c>
      <c r="B508" s="268" t="n"/>
      <c r="C508" s="133" t="n"/>
      <c r="D508" s="50" t="n"/>
      <c r="E508" s="265" t="n"/>
      <c r="F508" s="133" t="n"/>
      <c r="G508" s="133" t="n"/>
      <c r="H508" s="50" t="n"/>
      <c r="I508" s="51">
        <f>IF($C508="","",IFERROR(INDEX(WorkerIDs,MATCH($C508,WorkerNames,0)),"?"))</f>
        <v/>
      </c>
      <c r="J508" s="253">
        <f>IF($B508="","",$B508-WEEKDAY($B508,2)+1)</f>
        <v/>
      </c>
      <c r="K508" s="142">
        <f>IF(OR($I508="",$I508="?",$D508&lt;&gt;"Advance",$B508=""),"",$I508&amp;"|"&amp;$J508&amp;"|"&amp;COUNTIFS($I$7:$I508,$I508,$J$7:$J508,$J508,$D$7:$D508,"Advance"))</f>
        <v/>
      </c>
      <c r="L508" s="266">
        <f>IF(OR($I508="",$I508="?",$B508=""),"",SUMPRODUCT((Weeks!$A$7:$A$59&lt;=$J508)*(Weeks!$X$5:$AI$5=$I508)*Weeks!$X$7:$AI$59)-SUMIFS($E$7:$E$1006,$I$7:$I$1006,$I508,$B$7:$B$1006,"&lt;="&amp;$B508))</f>
        <v/>
      </c>
      <c r="M508" s="132">
        <f>IF($B508&amp;$C508&amp;$D508&amp;$E508="","",IF($B508="","missing date",IF($C508="","missing worker",IF($I508="?","unknown worker - was the name changed on Workers?",IF($D508="","missing type",IF(N($E508)=0,"missing amount",IF(AND($E508&lt;0,$D508&lt;&gt;"Correction"),"negative amount - use a Correction to undo",IF(OR($B508&lt;Weeks!$A$7,$B508&gt;Weeks!$B$59),"date outside this workbook's year",IF(AND($D508="Advance",N($L508)&lt;0),"Warning: more than earned so far - worker now owes "&amp;TEXT(ROUND(-$L508,0),"#,##0"),"")))))))))</f>
        <v/>
      </c>
      <c r="N508" s="125" t="n"/>
      <c r="O508" s="126" t="n"/>
      <c r="P508" s="126" t="n"/>
      <c r="Q508" s="126" t="n"/>
      <c r="R508" s="126" t="n"/>
      <c r="S508" s="126" t="n"/>
      <c r="T508" s="126" t="n"/>
      <c r="U508" s="126" t="n"/>
      <c r="V508" s="126" t="n"/>
      <c r="W508" s="126" t="n"/>
      <c r="X508" s="126" t="n"/>
      <c r="Y508" s="126" t="n"/>
      <c r="Z508" s="126" t="n"/>
      <c r="AA508" s="126" t="n"/>
      <c r="AB508" s="126" t="n"/>
      <c r="AC508" s="126" t="n"/>
      <c r="AD508" s="126" t="n"/>
      <c r="AE508" s="126" t="n"/>
      <c r="AF508" s="126" t="n"/>
      <c r="AG508" s="126" t="n"/>
      <c r="AH508" s="126" t="n"/>
      <c r="AI508" s="126" t="n"/>
      <c r="AJ508" s="126" t="n"/>
      <c r="AK508" s="126" t="n"/>
      <c r="AL508" s="126" t="n"/>
      <c r="AM508" s="126" t="n"/>
      <c r="AN508" s="126" t="n"/>
    </row>
    <row r="509" ht="21" customFormat="1" customHeight="1" s="127">
      <c r="A509" s="51">
        <f>IF($B509="","",ROW()-6)</f>
        <v/>
      </c>
      <c r="B509" s="268" t="n"/>
      <c r="C509" s="133" t="n"/>
      <c r="D509" s="50" t="n"/>
      <c r="E509" s="265" t="n"/>
      <c r="F509" s="133" t="n"/>
      <c r="G509" s="133" t="n"/>
      <c r="H509" s="50" t="n"/>
      <c r="I509" s="51">
        <f>IF($C509="","",IFERROR(INDEX(WorkerIDs,MATCH($C509,WorkerNames,0)),"?"))</f>
        <v/>
      </c>
      <c r="J509" s="253">
        <f>IF($B509="","",$B509-WEEKDAY($B509,2)+1)</f>
        <v/>
      </c>
      <c r="K509" s="142">
        <f>IF(OR($I509="",$I509="?",$D509&lt;&gt;"Advance",$B509=""),"",$I509&amp;"|"&amp;$J509&amp;"|"&amp;COUNTIFS($I$7:$I509,$I509,$J$7:$J509,$J509,$D$7:$D509,"Advance"))</f>
        <v/>
      </c>
      <c r="L509" s="266">
        <f>IF(OR($I509="",$I509="?",$B509=""),"",SUMPRODUCT((Weeks!$A$7:$A$59&lt;=$J509)*(Weeks!$X$5:$AI$5=$I509)*Weeks!$X$7:$AI$59)-SUMIFS($E$7:$E$1006,$I$7:$I$1006,$I509,$B$7:$B$1006,"&lt;="&amp;$B509))</f>
        <v/>
      </c>
      <c r="M509" s="132">
        <f>IF($B509&amp;$C509&amp;$D509&amp;$E509="","",IF($B509="","missing date",IF($C509="","missing worker",IF($I509="?","unknown worker - was the name changed on Workers?",IF($D509="","missing type",IF(N($E509)=0,"missing amount",IF(AND($E509&lt;0,$D509&lt;&gt;"Correction"),"negative amount - use a Correction to undo",IF(OR($B509&lt;Weeks!$A$7,$B509&gt;Weeks!$B$59),"date outside this workbook's year",IF(AND($D509="Advance",N($L509)&lt;0),"Warning: more than earned so far - worker now owes "&amp;TEXT(ROUND(-$L509,0),"#,##0"),"")))))))))</f>
        <v/>
      </c>
      <c r="N509" s="125" t="n"/>
      <c r="O509" s="126" t="n"/>
      <c r="P509" s="126" t="n"/>
      <c r="Q509" s="126" t="n"/>
      <c r="R509" s="126" t="n"/>
      <c r="S509" s="126" t="n"/>
      <c r="T509" s="126" t="n"/>
      <c r="U509" s="126" t="n"/>
      <c r="V509" s="126" t="n"/>
      <c r="W509" s="126" t="n"/>
      <c r="X509" s="126" t="n"/>
      <c r="Y509" s="126" t="n"/>
      <c r="Z509" s="126" t="n"/>
      <c r="AA509" s="126" t="n"/>
      <c r="AB509" s="126" t="n"/>
      <c r="AC509" s="126" t="n"/>
      <c r="AD509" s="126" t="n"/>
      <c r="AE509" s="126" t="n"/>
      <c r="AF509" s="126" t="n"/>
      <c r="AG509" s="126" t="n"/>
      <c r="AH509" s="126" t="n"/>
      <c r="AI509" s="126" t="n"/>
      <c r="AJ509" s="126" t="n"/>
      <c r="AK509" s="126" t="n"/>
      <c r="AL509" s="126" t="n"/>
      <c r="AM509" s="126" t="n"/>
      <c r="AN509" s="126" t="n"/>
    </row>
    <row r="510" ht="21" customFormat="1" customHeight="1" s="127">
      <c r="A510" s="51">
        <f>IF($B510="","",ROW()-6)</f>
        <v/>
      </c>
      <c r="B510" s="268" t="n"/>
      <c r="C510" s="133" t="n"/>
      <c r="D510" s="50" t="n"/>
      <c r="E510" s="265" t="n"/>
      <c r="F510" s="133" t="n"/>
      <c r="G510" s="133" t="n"/>
      <c r="H510" s="50" t="n"/>
      <c r="I510" s="51">
        <f>IF($C510="","",IFERROR(INDEX(WorkerIDs,MATCH($C510,WorkerNames,0)),"?"))</f>
        <v/>
      </c>
      <c r="J510" s="253">
        <f>IF($B510="","",$B510-WEEKDAY($B510,2)+1)</f>
        <v/>
      </c>
      <c r="K510" s="142">
        <f>IF(OR($I510="",$I510="?",$D510&lt;&gt;"Advance",$B510=""),"",$I510&amp;"|"&amp;$J510&amp;"|"&amp;COUNTIFS($I$7:$I510,$I510,$J$7:$J510,$J510,$D$7:$D510,"Advance"))</f>
        <v/>
      </c>
      <c r="L510" s="266">
        <f>IF(OR($I510="",$I510="?",$B510=""),"",SUMPRODUCT((Weeks!$A$7:$A$59&lt;=$J510)*(Weeks!$X$5:$AI$5=$I510)*Weeks!$X$7:$AI$59)-SUMIFS($E$7:$E$1006,$I$7:$I$1006,$I510,$B$7:$B$1006,"&lt;="&amp;$B510))</f>
        <v/>
      </c>
      <c r="M510" s="132">
        <f>IF($B510&amp;$C510&amp;$D510&amp;$E510="","",IF($B510="","missing date",IF($C510="","missing worker",IF($I510="?","unknown worker - was the name changed on Workers?",IF($D510="","missing type",IF(N($E510)=0,"missing amount",IF(AND($E510&lt;0,$D510&lt;&gt;"Correction"),"negative amount - use a Correction to undo",IF(OR($B510&lt;Weeks!$A$7,$B510&gt;Weeks!$B$59),"date outside this workbook's year",IF(AND($D510="Advance",N($L510)&lt;0),"Warning: more than earned so far - worker now owes "&amp;TEXT(ROUND(-$L510,0),"#,##0"),"")))))))))</f>
        <v/>
      </c>
      <c r="N510" s="125" t="n"/>
      <c r="O510" s="126" t="n"/>
      <c r="P510" s="126" t="n"/>
      <c r="Q510" s="126" t="n"/>
      <c r="R510" s="126" t="n"/>
      <c r="S510" s="126" t="n"/>
      <c r="T510" s="126" t="n"/>
      <c r="U510" s="126" t="n"/>
      <c r="V510" s="126" t="n"/>
      <c r="W510" s="126" t="n"/>
      <c r="X510" s="126" t="n"/>
      <c r="Y510" s="126" t="n"/>
      <c r="Z510" s="126" t="n"/>
      <c r="AA510" s="126" t="n"/>
      <c r="AB510" s="126" t="n"/>
      <c r="AC510" s="126" t="n"/>
      <c r="AD510" s="126" t="n"/>
      <c r="AE510" s="126" t="n"/>
      <c r="AF510" s="126" t="n"/>
      <c r="AG510" s="126" t="n"/>
      <c r="AH510" s="126" t="n"/>
      <c r="AI510" s="126" t="n"/>
      <c r="AJ510" s="126" t="n"/>
      <c r="AK510" s="126" t="n"/>
      <c r="AL510" s="126" t="n"/>
      <c r="AM510" s="126" t="n"/>
      <c r="AN510" s="126" t="n"/>
    </row>
    <row r="511" ht="21" customFormat="1" customHeight="1" s="127">
      <c r="A511" s="51">
        <f>IF($B511="","",ROW()-6)</f>
        <v/>
      </c>
      <c r="B511" s="268" t="n"/>
      <c r="C511" s="133" t="n"/>
      <c r="D511" s="50" t="n"/>
      <c r="E511" s="265" t="n"/>
      <c r="F511" s="133" t="n"/>
      <c r="G511" s="133" t="n"/>
      <c r="H511" s="50" t="n"/>
      <c r="I511" s="51">
        <f>IF($C511="","",IFERROR(INDEX(WorkerIDs,MATCH($C511,WorkerNames,0)),"?"))</f>
        <v/>
      </c>
      <c r="J511" s="253">
        <f>IF($B511="","",$B511-WEEKDAY($B511,2)+1)</f>
        <v/>
      </c>
      <c r="K511" s="142">
        <f>IF(OR($I511="",$I511="?",$D511&lt;&gt;"Advance",$B511=""),"",$I511&amp;"|"&amp;$J511&amp;"|"&amp;COUNTIFS($I$7:$I511,$I511,$J$7:$J511,$J511,$D$7:$D511,"Advance"))</f>
        <v/>
      </c>
      <c r="L511" s="266">
        <f>IF(OR($I511="",$I511="?",$B511=""),"",SUMPRODUCT((Weeks!$A$7:$A$59&lt;=$J511)*(Weeks!$X$5:$AI$5=$I511)*Weeks!$X$7:$AI$59)-SUMIFS($E$7:$E$1006,$I$7:$I$1006,$I511,$B$7:$B$1006,"&lt;="&amp;$B511))</f>
        <v/>
      </c>
      <c r="M511" s="132">
        <f>IF($B511&amp;$C511&amp;$D511&amp;$E511="","",IF($B511="","missing date",IF($C511="","missing worker",IF($I511="?","unknown worker - was the name changed on Workers?",IF($D511="","missing type",IF(N($E511)=0,"missing amount",IF(AND($E511&lt;0,$D511&lt;&gt;"Correction"),"negative amount - use a Correction to undo",IF(OR($B511&lt;Weeks!$A$7,$B511&gt;Weeks!$B$59),"date outside this workbook's year",IF(AND($D511="Advance",N($L511)&lt;0),"Warning: more than earned so far - worker now owes "&amp;TEXT(ROUND(-$L511,0),"#,##0"),"")))))))))</f>
        <v/>
      </c>
      <c r="N511" s="125" t="n"/>
      <c r="O511" s="126" t="n"/>
      <c r="P511" s="126" t="n"/>
      <c r="Q511" s="126" t="n"/>
      <c r="R511" s="126" t="n"/>
      <c r="S511" s="126" t="n"/>
      <c r="T511" s="126" t="n"/>
      <c r="U511" s="126" t="n"/>
      <c r="V511" s="126" t="n"/>
      <c r="W511" s="126" t="n"/>
      <c r="X511" s="126" t="n"/>
      <c r="Y511" s="126" t="n"/>
      <c r="Z511" s="126" t="n"/>
      <c r="AA511" s="126" t="n"/>
      <c r="AB511" s="126" t="n"/>
      <c r="AC511" s="126" t="n"/>
      <c r="AD511" s="126" t="n"/>
      <c r="AE511" s="126" t="n"/>
      <c r="AF511" s="126" t="n"/>
      <c r="AG511" s="126" t="n"/>
      <c r="AH511" s="126" t="n"/>
      <c r="AI511" s="126" t="n"/>
      <c r="AJ511" s="126" t="n"/>
      <c r="AK511" s="126" t="n"/>
      <c r="AL511" s="126" t="n"/>
      <c r="AM511" s="126" t="n"/>
      <c r="AN511" s="126" t="n"/>
    </row>
    <row r="512" ht="21" customFormat="1" customHeight="1" s="127">
      <c r="A512" s="51">
        <f>IF($B512="","",ROW()-6)</f>
        <v/>
      </c>
      <c r="B512" s="268" t="n"/>
      <c r="C512" s="133" t="n"/>
      <c r="D512" s="50" t="n"/>
      <c r="E512" s="265" t="n"/>
      <c r="F512" s="133" t="n"/>
      <c r="G512" s="133" t="n"/>
      <c r="H512" s="50" t="n"/>
      <c r="I512" s="51">
        <f>IF($C512="","",IFERROR(INDEX(WorkerIDs,MATCH($C512,WorkerNames,0)),"?"))</f>
        <v/>
      </c>
      <c r="J512" s="253">
        <f>IF($B512="","",$B512-WEEKDAY($B512,2)+1)</f>
        <v/>
      </c>
      <c r="K512" s="142">
        <f>IF(OR($I512="",$I512="?",$D512&lt;&gt;"Advance",$B512=""),"",$I512&amp;"|"&amp;$J512&amp;"|"&amp;COUNTIFS($I$7:$I512,$I512,$J$7:$J512,$J512,$D$7:$D512,"Advance"))</f>
        <v/>
      </c>
      <c r="L512" s="266">
        <f>IF(OR($I512="",$I512="?",$B512=""),"",SUMPRODUCT((Weeks!$A$7:$A$59&lt;=$J512)*(Weeks!$X$5:$AI$5=$I512)*Weeks!$X$7:$AI$59)-SUMIFS($E$7:$E$1006,$I$7:$I$1006,$I512,$B$7:$B$1006,"&lt;="&amp;$B512))</f>
        <v/>
      </c>
      <c r="M512" s="132">
        <f>IF($B512&amp;$C512&amp;$D512&amp;$E512="","",IF($B512="","missing date",IF($C512="","missing worker",IF($I512="?","unknown worker - was the name changed on Workers?",IF($D512="","missing type",IF(N($E512)=0,"missing amount",IF(AND($E512&lt;0,$D512&lt;&gt;"Correction"),"negative amount - use a Correction to undo",IF(OR($B512&lt;Weeks!$A$7,$B512&gt;Weeks!$B$59),"date outside this workbook's year",IF(AND($D512="Advance",N($L512)&lt;0),"Warning: more than earned so far - worker now owes "&amp;TEXT(ROUND(-$L512,0),"#,##0"),"")))))))))</f>
        <v/>
      </c>
      <c r="N512" s="125" t="n"/>
      <c r="O512" s="126" t="n"/>
      <c r="P512" s="126" t="n"/>
      <c r="Q512" s="126" t="n"/>
      <c r="R512" s="126" t="n"/>
      <c r="S512" s="126" t="n"/>
      <c r="T512" s="126" t="n"/>
      <c r="U512" s="126" t="n"/>
      <c r="V512" s="126" t="n"/>
      <c r="W512" s="126" t="n"/>
      <c r="X512" s="126" t="n"/>
      <c r="Y512" s="126" t="n"/>
      <c r="Z512" s="126" t="n"/>
      <c r="AA512" s="126" t="n"/>
      <c r="AB512" s="126" t="n"/>
      <c r="AC512" s="126" t="n"/>
      <c r="AD512" s="126" t="n"/>
      <c r="AE512" s="126" t="n"/>
      <c r="AF512" s="126" t="n"/>
      <c r="AG512" s="126" t="n"/>
      <c r="AH512" s="126" t="n"/>
      <c r="AI512" s="126" t="n"/>
      <c r="AJ512" s="126" t="n"/>
      <c r="AK512" s="126" t="n"/>
      <c r="AL512" s="126" t="n"/>
      <c r="AM512" s="126" t="n"/>
      <c r="AN512" s="126" t="n"/>
    </row>
    <row r="513" ht="21" customFormat="1" customHeight="1" s="127">
      <c r="A513" s="51">
        <f>IF($B513="","",ROW()-6)</f>
        <v/>
      </c>
      <c r="B513" s="268" t="n"/>
      <c r="C513" s="133" t="n"/>
      <c r="D513" s="50" t="n"/>
      <c r="E513" s="265" t="n"/>
      <c r="F513" s="133" t="n"/>
      <c r="G513" s="133" t="n"/>
      <c r="H513" s="50" t="n"/>
      <c r="I513" s="51">
        <f>IF($C513="","",IFERROR(INDEX(WorkerIDs,MATCH($C513,WorkerNames,0)),"?"))</f>
        <v/>
      </c>
      <c r="J513" s="253">
        <f>IF($B513="","",$B513-WEEKDAY($B513,2)+1)</f>
        <v/>
      </c>
      <c r="K513" s="142">
        <f>IF(OR($I513="",$I513="?",$D513&lt;&gt;"Advance",$B513=""),"",$I513&amp;"|"&amp;$J513&amp;"|"&amp;COUNTIFS($I$7:$I513,$I513,$J$7:$J513,$J513,$D$7:$D513,"Advance"))</f>
        <v/>
      </c>
      <c r="L513" s="266">
        <f>IF(OR($I513="",$I513="?",$B513=""),"",SUMPRODUCT((Weeks!$A$7:$A$59&lt;=$J513)*(Weeks!$X$5:$AI$5=$I513)*Weeks!$X$7:$AI$59)-SUMIFS($E$7:$E$1006,$I$7:$I$1006,$I513,$B$7:$B$1006,"&lt;="&amp;$B513))</f>
        <v/>
      </c>
      <c r="M513" s="132">
        <f>IF($B513&amp;$C513&amp;$D513&amp;$E513="","",IF($B513="","missing date",IF($C513="","missing worker",IF($I513="?","unknown worker - was the name changed on Workers?",IF($D513="","missing type",IF(N($E513)=0,"missing amount",IF(AND($E513&lt;0,$D513&lt;&gt;"Correction"),"negative amount - use a Correction to undo",IF(OR($B513&lt;Weeks!$A$7,$B513&gt;Weeks!$B$59),"date outside this workbook's year",IF(AND($D513="Advance",N($L513)&lt;0),"Warning: more than earned so far - worker now owes "&amp;TEXT(ROUND(-$L513,0),"#,##0"),"")))))))))</f>
        <v/>
      </c>
      <c r="N513" s="125" t="n"/>
      <c r="O513" s="126" t="n"/>
      <c r="P513" s="126" t="n"/>
      <c r="Q513" s="126" t="n"/>
      <c r="R513" s="126" t="n"/>
      <c r="S513" s="126" t="n"/>
      <c r="T513" s="126" t="n"/>
      <c r="U513" s="126" t="n"/>
      <c r="V513" s="126" t="n"/>
      <c r="W513" s="126" t="n"/>
      <c r="X513" s="126" t="n"/>
      <c r="Y513" s="126" t="n"/>
      <c r="Z513" s="126" t="n"/>
      <c r="AA513" s="126" t="n"/>
      <c r="AB513" s="126" t="n"/>
      <c r="AC513" s="126" t="n"/>
      <c r="AD513" s="126" t="n"/>
      <c r="AE513" s="126" t="n"/>
      <c r="AF513" s="126" t="n"/>
      <c r="AG513" s="126" t="n"/>
      <c r="AH513" s="126" t="n"/>
      <c r="AI513" s="126" t="n"/>
      <c r="AJ513" s="126" t="n"/>
      <c r="AK513" s="126" t="n"/>
      <c r="AL513" s="126" t="n"/>
      <c r="AM513" s="126" t="n"/>
      <c r="AN513" s="126" t="n"/>
    </row>
    <row r="514" ht="21" customFormat="1" customHeight="1" s="127">
      <c r="A514" s="51">
        <f>IF($B514="","",ROW()-6)</f>
        <v/>
      </c>
      <c r="B514" s="268" t="n"/>
      <c r="C514" s="133" t="n"/>
      <c r="D514" s="50" t="n"/>
      <c r="E514" s="265" t="n"/>
      <c r="F514" s="133" t="n"/>
      <c r="G514" s="133" t="n"/>
      <c r="H514" s="50" t="n"/>
      <c r="I514" s="51">
        <f>IF($C514="","",IFERROR(INDEX(WorkerIDs,MATCH($C514,WorkerNames,0)),"?"))</f>
        <v/>
      </c>
      <c r="J514" s="253">
        <f>IF($B514="","",$B514-WEEKDAY($B514,2)+1)</f>
        <v/>
      </c>
      <c r="K514" s="142">
        <f>IF(OR($I514="",$I514="?",$D514&lt;&gt;"Advance",$B514=""),"",$I514&amp;"|"&amp;$J514&amp;"|"&amp;COUNTIFS($I$7:$I514,$I514,$J$7:$J514,$J514,$D$7:$D514,"Advance"))</f>
        <v/>
      </c>
      <c r="L514" s="266">
        <f>IF(OR($I514="",$I514="?",$B514=""),"",SUMPRODUCT((Weeks!$A$7:$A$59&lt;=$J514)*(Weeks!$X$5:$AI$5=$I514)*Weeks!$X$7:$AI$59)-SUMIFS($E$7:$E$1006,$I$7:$I$1006,$I514,$B$7:$B$1006,"&lt;="&amp;$B514))</f>
        <v/>
      </c>
      <c r="M514" s="132">
        <f>IF($B514&amp;$C514&amp;$D514&amp;$E514="","",IF($B514="","missing date",IF($C514="","missing worker",IF($I514="?","unknown worker - was the name changed on Workers?",IF($D514="","missing type",IF(N($E514)=0,"missing amount",IF(AND($E514&lt;0,$D514&lt;&gt;"Correction"),"negative amount - use a Correction to undo",IF(OR($B514&lt;Weeks!$A$7,$B514&gt;Weeks!$B$59),"date outside this workbook's year",IF(AND($D514="Advance",N($L514)&lt;0),"Warning: more than earned so far - worker now owes "&amp;TEXT(ROUND(-$L514,0),"#,##0"),"")))))))))</f>
        <v/>
      </c>
      <c r="N514" s="125" t="n"/>
      <c r="O514" s="126" t="n"/>
      <c r="P514" s="126" t="n"/>
      <c r="Q514" s="126" t="n"/>
      <c r="R514" s="126" t="n"/>
      <c r="S514" s="126" t="n"/>
      <c r="T514" s="126" t="n"/>
      <c r="U514" s="126" t="n"/>
      <c r="V514" s="126" t="n"/>
      <c r="W514" s="126" t="n"/>
      <c r="X514" s="126" t="n"/>
      <c r="Y514" s="126" t="n"/>
      <c r="Z514" s="126" t="n"/>
      <c r="AA514" s="126" t="n"/>
      <c r="AB514" s="126" t="n"/>
      <c r="AC514" s="126" t="n"/>
      <c r="AD514" s="126" t="n"/>
      <c r="AE514" s="126" t="n"/>
      <c r="AF514" s="126" t="n"/>
      <c r="AG514" s="126" t="n"/>
      <c r="AH514" s="126" t="n"/>
      <c r="AI514" s="126" t="n"/>
      <c r="AJ514" s="126" t="n"/>
      <c r="AK514" s="126" t="n"/>
      <c r="AL514" s="126" t="n"/>
      <c r="AM514" s="126" t="n"/>
      <c r="AN514" s="126" t="n"/>
    </row>
    <row r="515" ht="21" customFormat="1" customHeight="1" s="127">
      <c r="A515" s="51">
        <f>IF($B515="","",ROW()-6)</f>
        <v/>
      </c>
      <c r="B515" s="268" t="n"/>
      <c r="C515" s="133" t="n"/>
      <c r="D515" s="50" t="n"/>
      <c r="E515" s="265" t="n"/>
      <c r="F515" s="133" t="n"/>
      <c r="G515" s="133" t="n"/>
      <c r="H515" s="50" t="n"/>
      <c r="I515" s="51">
        <f>IF($C515="","",IFERROR(INDEX(WorkerIDs,MATCH($C515,WorkerNames,0)),"?"))</f>
        <v/>
      </c>
      <c r="J515" s="253">
        <f>IF($B515="","",$B515-WEEKDAY($B515,2)+1)</f>
        <v/>
      </c>
      <c r="K515" s="142">
        <f>IF(OR($I515="",$I515="?",$D515&lt;&gt;"Advance",$B515=""),"",$I515&amp;"|"&amp;$J515&amp;"|"&amp;COUNTIFS($I$7:$I515,$I515,$J$7:$J515,$J515,$D$7:$D515,"Advance"))</f>
        <v/>
      </c>
      <c r="L515" s="266">
        <f>IF(OR($I515="",$I515="?",$B515=""),"",SUMPRODUCT((Weeks!$A$7:$A$59&lt;=$J515)*(Weeks!$X$5:$AI$5=$I515)*Weeks!$X$7:$AI$59)-SUMIFS($E$7:$E$1006,$I$7:$I$1006,$I515,$B$7:$B$1006,"&lt;="&amp;$B515))</f>
        <v/>
      </c>
      <c r="M515" s="132">
        <f>IF($B515&amp;$C515&amp;$D515&amp;$E515="","",IF($B515="","missing date",IF($C515="","missing worker",IF($I515="?","unknown worker - was the name changed on Workers?",IF($D515="","missing type",IF(N($E515)=0,"missing amount",IF(AND($E515&lt;0,$D515&lt;&gt;"Correction"),"negative amount - use a Correction to undo",IF(OR($B515&lt;Weeks!$A$7,$B515&gt;Weeks!$B$59),"date outside this workbook's year",IF(AND($D515="Advance",N($L515)&lt;0),"Warning: more than earned so far - worker now owes "&amp;TEXT(ROUND(-$L515,0),"#,##0"),"")))))))))</f>
        <v/>
      </c>
      <c r="N515" s="125" t="n"/>
      <c r="O515" s="126" t="n"/>
      <c r="P515" s="126" t="n"/>
      <c r="Q515" s="126" t="n"/>
      <c r="R515" s="126" t="n"/>
      <c r="S515" s="126" t="n"/>
      <c r="T515" s="126" t="n"/>
      <c r="U515" s="126" t="n"/>
      <c r="V515" s="126" t="n"/>
      <c r="W515" s="126" t="n"/>
      <c r="X515" s="126" t="n"/>
      <c r="Y515" s="126" t="n"/>
      <c r="Z515" s="126" t="n"/>
      <c r="AA515" s="126" t="n"/>
      <c r="AB515" s="126" t="n"/>
      <c r="AC515" s="126" t="n"/>
      <c r="AD515" s="126" t="n"/>
      <c r="AE515" s="126" t="n"/>
      <c r="AF515" s="126" t="n"/>
      <c r="AG515" s="126" t="n"/>
      <c r="AH515" s="126" t="n"/>
      <c r="AI515" s="126" t="n"/>
      <c r="AJ515" s="126" t="n"/>
      <c r="AK515" s="126" t="n"/>
      <c r="AL515" s="126" t="n"/>
      <c r="AM515" s="126" t="n"/>
      <c r="AN515" s="126" t="n"/>
    </row>
    <row r="516" ht="21" customFormat="1" customHeight="1" s="127">
      <c r="A516" s="51">
        <f>IF($B516="","",ROW()-6)</f>
        <v/>
      </c>
      <c r="B516" s="268" t="n"/>
      <c r="C516" s="133" t="n"/>
      <c r="D516" s="50" t="n"/>
      <c r="E516" s="265" t="n"/>
      <c r="F516" s="133" t="n"/>
      <c r="G516" s="133" t="n"/>
      <c r="H516" s="50" t="n"/>
      <c r="I516" s="51">
        <f>IF($C516="","",IFERROR(INDEX(WorkerIDs,MATCH($C516,WorkerNames,0)),"?"))</f>
        <v/>
      </c>
      <c r="J516" s="253">
        <f>IF($B516="","",$B516-WEEKDAY($B516,2)+1)</f>
        <v/>
      </c>
      <c r="K516" s="142">
        <f>IF(OR($I516="",$I516="?",$D516&lt;&gt;"Advance",$B516=""),"",$I516&amp;"|"&amp;$J516&amp;"|"&amp;COUNTIFS($I$7:$I516,$I516,$J$7:$J516,$J516,$D$7:$D516,"Advance"))</f>
        <v/>
      </c>
      <c r="L516" s="266">
        <f>IF(OR($I516="",$I516="?",$B516=""),"",SUMPRODUCT((Weeks!$A$7:$A$59&lt;=$J516)*(Weeks!$X$5:$AI$5=$I516)*Weeks!$X$7:$AI$59)-SUMIFS($E$7:$E$1006,$I$7:$I$1006,$I516,$B$7:$B$1006,"&lt;="&amp;$B516))</f>
        <v/>
      </c>
      <c r="M516" s="132">
        <f>IF($B516&amp;$C516&amp;$D516&amp;$E516="","",IF($B516="","missing date",IF($C516="","missing worker",IF($I516="?","unknown worker - was the name changed on Workers?",IF($D516="","missing type",IF(N($E516)=0,"missing amount",IF(AND($E516&lt;0,$D516&lt;&gt;"Correction"),"negative amount - use a Correction to undo",IF(OR($B516&lt;Weeks!$A$7,$B516&gt;Weeks!$B$59),"date outside this workbook's year",IF(AND($D516="Advance",N($L516)&lt;0),"Warning: more than earned so far - worker now owes "&amp;TEXT(ROUND(-$L516,0),"#,##0"),"")))))))))</f>
        <v/>
      </c>
      <c r="N516" s="125" t="n"/>
      <c r="O516" s="126" t="n"/>
      <c r="P516" s="126" t="n"/>
      <c r="Q516" s="126" t="n"/>
      <c r="R516" s="126" t="n"/>
      <c r="S516" s="126" t="n"/>
      <c r="T516" s="126" t="n"/>
      <c r="U516" s="126" t="n"/>
      <c r="V516" s="126" t="n"/>
      <c r="W516" s="126" t="n"/>
      <c r="X516" s="126" t="n"/>
      <c r="Y516" s="126" t="n"/>
      <c r="Z516" s="126" t="n"/>
      <c r="AA516" s="126" t="n"/>
      <c r="AB516" s="126" t="n"/>
      <c r="AC516" s="126" t="n"/>
      <c r="AD516" s="126" t="n"/>
      <c r="AE516" s="126" t="n"/>
      <c r="AF516" s="126" t="n"/>
      <c r="AG516" s="126" t="n"/>
      <c r="AH516" s="126" t="n"/>
      <c r="AI516" s="126" t="n"/>
      <c r="AJ516" s="126" t="n"/>
      <c r="AK516" s="126" t="n"/>
      <c r="AL516" s="126" t="n"/>
      <c r="AM516" s="126" t="n"/>
      <c r="AN516" s="126" t="n"/>
    </row>
    <row r="517" ht="21" customFormat="1" customHeight="1" s="127">
      <c r="A517" s="51">
        <f>IF($B517="","",ROW()-6)</f>
        <v/>
      </c>
      <c r="B517" s="268" t="n"/>
      <c r="C517" s="133" t="n"/>
      <c r="D517" s="50" t="n"/>
      <c r="E517" s="265" t="n"/>
      <c r="F517" s="133" t="n"/>
      <c r="G517" s="133" t="n"/>
      <c r="H517" s="50" t="n"/>
      <c r="I517" s="51">
        <f>IF($C517="","",IFERROR(INDEX(WorkerIDs,MATCH($C517,WorkerNames,0)),"?"))</f>
        <v/>
      </c>
      <c r="J517" s="253">
        <f>IF($B517="","",$B517-WEEKDAY($B517,2)+1)</f>
        <v/>
      </c>
      <c r="K517" s="142">
        <f>IF(OR($I517="",$I517="?",$D517&lt;&gt;"Advance",$B517=""),"",$I517&amp;"|"&amp;$J517&amp;"|"&amp;COUNTIFS($I$7:$I517,$I517,$J$7:$J517,$J517,$D$7:$D517,"Advance"))</f>
        <v/>
      </c>
      <c r="L517" s="266">
        <f>IF(OR($I517="",$I517="?",$B517=""),"",SUMPRODUCT((Weeks!$A$7:$A$59&lt;=$J517)*(Weeks!$X$5:$AI$5=$I517)*Weeks!$X$7:$AI$59)-SUMIFS($E$7:$E$1006,$I$7:$I$1006,$I517,$B$7:$B$1006,"&lt;="&amp;$B517))</f>
        <v/>
      </c>
      <c r="M517" s="132">
        <f>IF($B517&amp;$C517&amp;$D517&amp;$E517="","",IF($B517="","missing date",IF($C517="","missing worker",IF($I517="?","unknown worker - was the name changed on Workers?",IF($D517="","missing type",IF(N($E517)=0,"missing amount",IF(AND($E517&lt;0,$D517&lt;&gt;"Correction"),"negative amount - use a Correction to undo",IF(OR($B517&lt;Weeks!$A$7,$B517&gt;Weeks!$B$59),"date outside this workbook's year",IF(AND($D517="Advance",N($L517)&lt;0),"Warning: more than earned so far - worker now owes "&amp;TEXT(ROUND(-$L517,0),"#,##0"),"")))))))))</f>
        <v/>
      </c>
      <c r="N517" s="125" t="n"/>
      <c r="O517" s="126" t="n"/>
      <c r="P517" s="126" t="n"/>
      <c r="Q517" s="126" t="n"/>
      <c r="R517" s="126" t="n"/>
      <c r="S517" s="126" t="n"/>
      <c r="T517" s="126" t="n"/>
      <c r="U517" s="126" t="n"/>
      <c r="V517" s="126" t="n"/>
      <c r="W517" s="126" t="n"/>
      <c r="X517" s="126" t="n"/>
      <c r="Y517" s="126" t="n"/>
      <c r="Z517" s="126" t="n"/>
      <c r="AA517" s="126" t="n"/>
      <c r="AB517" s="126" t="n"/>
      <c r="AC517" s="126" t="n"/>
      <c r="AD517" s="126" t="n"/>
      <c r="AE517" s="126" t="n"/>
      <c r="AF517" s="126" t="n"/>
      <c r="AG517" s="126" t="n"/>
      <c r="AH517" s="126" t="n"/>
      <c r="AI517" s="126" t="n"/>
      <c r="AJ517" s="126" t="n"/>
      <c r="AK517" s="126" t="n"/>
      <c r="AL517" s="126" t="n"/>
      <c r="AM517" s="126" t="n"/>
      <c r="AN517" s="126" t="n"/>
    </row>
    <row r="518" ht="21" customFormat="1" customHeight="1" s="127">
      <c r="A518" s="51">
        <f>IF($B518="","",ROW()-6)</f>
        <v/>
      </c>
      <c r="B518" s="268" t="n"/>
      <c r="C518" s="133" t="n"/>
      <c r="D518" s="50" t="n"/>
      <c r="E518" s="265" t="n"/>
      <c r="F518" s="133" t="n"/>
      <c r="G518" s="133" t="n"/>
      <c r="H518" s="50" t="n"/>
      <c r="I518" s="51">
        <f>IF($C518="","",IFERROR(INDEX(WorkerIDs,MATCH($C518,WorkerNames,0)),"?"))</f>
        <v/>
      </c>
      <c r="J518" s="253">
        <f>IF($B518="","",$B518-WEEKDAY($B518,2)+1)</f>
        <v/>
      </c>
      <c r="K518" s="142">
        <f>IF(OR($I518="",$I518="?",$D518&lt;&gt;"Advance",$B518=""),"",$I518&amp;"|"&amp;$J518&amp;"|"&amp;COUNTIFS($I$7:$I518,$I518,$J$7:$J518,$J518,$D$7:$D518,"Advance"))</f>
        <v/>
      </c>
      <c r="L518" s="266">
        <f>IF(OR($I518="",$I518="?",$B518=""),"",SUMPRODUCT((Weeks!$A$7:$A$59&lt;=$J518)*(Weeks!$X$5:$AI$5=$I518)*Weeks!$X$7:$AI$59)-SUMIFS($E$7:$E$1006,$I$7:$I$1006,$I518,$B$7:$B$1006,"&lt;="&amp;$B518))</f>
        <v/>
      </c>
      <c r="M518" s="132">
        <f>IF($B518&amp;$C518&amp;$D518&amp;$E518="","",IF($B518="","missing date",IF($C518="","missing worker",IF($I518="?","unknown worker - was the name changed on Workers?",IF($D518="","missing type",IF(N($E518)=0,"missing amount",IF(AND($E518&lt;0,$D518&lt;&gt;"Correction"),"negative amount - use a Correction to undo",IF(OR($B518&lt;Weeks!$A$7,$B518&gt;Weeks!$B$59),"date outside this workbook's year",IF(AND($D518="Advance",N($L518)&lt;0),"Warning: more than earned so far - worker now owes "&amp;TEXT(ROUND(-$L518,0),"#,##0"),"")))))))))</f>
        <v/>
      </c>
      <c r="N518" s="125" t="n"/>
      <c r="O518" s="126" t="n"/>
      <c r="P518" s="126" t="n"/>
      <c r="Q518" s="126" t="n"/>
      <c r="R518" s="126" t="n"/>
      <c r="S518" s="126" t="n"/>
      <c r="T518" s="126" t="n"/>
      <c r="U518" s="126" t="n"/>
      <c r="V518" s="126" t="n"/>
      <c r="W518" s="126" t="n"/>
      <c r="X518" s="126" t="n"/>
      <c r="Y518" s="126" t="n"/>
      <c r="Z518" s="126" t="n"/>
      <c r="AA518" s="126" t="n"/>
      <c r="AB518" s="126" t="n"/>
      <c r="AC518" s="126" t="n"/>
      <c r="AD518" s="126" t="n"/>
      <c r="AE518" s="126" t="n"/>
      <c r="AF518" s="126" t="n"/>
      <c r="AG518" s="126" t="n"/>
      <c r="AH518" s="126" t="n"/>
      <c r="AI518" s="126" t="n"/>
      <c r="AJ518" s="126" t="n"/>
      <c r="AK518" s="126" t="n"/>
      <c r="AL518" s="126" t="n"/>
      <c r="AM518" s="126" t="n"/>
      <c r="AN518" s="126" t="n"/>
    </row>
    <row r="519" ht="21" customFormat="1" customHeight="1" s="127">
      <c r="A519" s="51">
        <f>IF($B519="","",ROW()-6)</f>
        <v/>
      </c>
      <c r="B519" s="268" t="n"/>
      <c r="C519" s="133" t="n"/>
      <c r="D519" s="50" t="n"/>
      <c r="E519" s="265" t="n"/>
      <c r="F519" s="133" t="n"/>
      <c r="G519" s="133" t="n"/>
      <c r="H519" s="50" t="n"/>
      <c r="I519" s="51">
        <f>IF($C519="","",IFERROR(INDEX(WorkerIDs,MATCH($C519,WorkerNames,0)),"?"))</f>
        <v/>
      </c>
      <c r="J519" s="253">
        <f>IF($B519="","",$B519-WEEKDAY($B519,2)+1)</f>
        <v/>
      </c>
      <c r="K519" s="142">
        <f>IF(OR($I519="",$I519="?",$D519&lt;&gt;"Advance",$B519=""),"",$I519&amp;"|"&amp;$J519&amp;"|"&amp;COUNTIFS($I$7:$I519,$I519,$J$7:$J519,$J519,$D$7:$D519,"Advance"))</f>
        <v/>
      </c>
      <c r="L519" s="266">
        <f>IF(OR($I519="",$I519="?",$B519=""),"",SUMPRODUCT((Weeks!$A$7:$A$59&lt;=$J519)*(Weeks!$X$5:$AI$5=$I519)*Weeks!$X$7:$AI$59)-SUMIFS($E$7:$E$1006,$I$7:$I$1006,$I519,$B$7:$B$1006,"&lt;="&amp;$B519))</f>
        <v/>
      </c>
      <c r="M519" s="132">
        <f>IF($B519&amp;$C519&amp;$D519&amp;$E519="","",IF($B519="","missing date",IF($C519="","missing worker",IF($I519="?","unknown worker - was the name changed on Workers?",IF($D519="","missing type",IF(N($E519)=0,"missing amount",IF(AND($E519&lt;0,$D519&lt;&gt;"Correction"),"negative amount - use a Correction to undo",IF(OR($B519&lt;Weeks!$A$7,$B519&gt;Weeks!$B$59),"date outside this workbook's year",IF(AND($D519="Advance",N($L519)&lt;0),"Warning: more than earned so far - worker now owes "&amp;TEXT(ROUND(-$L519,0),"#,##0"),"")))))))))</f>
        <v/>
      </c>
      <c r="N519" s="125" t="n"/>
      <c r="O519" s="126" t="n"/>
      <c r="P519" s="126" t="n"/>
      <c r="Q519" s="126" t="n"/>
      <c r="R519" s="126" t="n"/>
      <c r="S519" s="126" t="n"/>
      <c r="T519" s="126" t="n"/>
      <c r="U519" s="126" t="n"/>
      <c r="V519" s="126" t="n"/>
      <c r="W519" s="126" t="n"/>
      <c r="X519" s="126" t="n"/>
      <c r="Y519" s="126" t="n"/>
      <c r="Z519" s="126" t="n"/>
      <c r="AA519" s="126" t="n"/>
      <c r="AB519" s="126" t="n"/>
      <c r="AC519" s="126" t="n"/>
      <c r="AD519" s="126" t="n"/>
      <c r="AE519" s="126" t="n"/>
      <c r="AF519" s="126" t="n"/>
      <c r="AG519" s="126" t="n"/>
      <c r="AH519" s="126" t="n"/>
      <c r="AI519" s="126" t="n"/>
      <c r="AJ519" s="126" t="n"/>
      <c r="AK519" s="126" t="n"/>
      <c r="AL519" s="126" t="n"/>
      <c r="AM519" s="126" t="n"/>
      <c r="AN519" s="126" t="n"/>
    </row>
    <row r="520" ht="21" customFormat="1" customHeight="1" s="127">
      <c r="A520" s="51">
        <f>IF($B520="","",ROW()-6)</f>
        <v/>
      </c>
      <c r="B520" s="268" t="n"/>
      <c r="C520" s="133" t="n"/>
      <c r="D520" s="50" t="n"/>
      <c r="E520" s="265" t="n"/>
      <c r="F520" s="133" t="n"/>
      <c r="G520" s="133" t="n"/>
      <c r="H520" s="50" t="n"/>
      <c r="I520" s="51">
        <f>IF($C520="","",IFERROR(INDEX(WorkerIDs,MATCH($C520,WorkerNames,0)),"?"))</f>
        <v/>
      </c>
      <c r="J520" s="253">
        <f>IF($B520="","",$B520-WEEKDAY($B520,2)+1)</f>
        <v/>
      </c>
      <c r="K520" s="142">
        <f>IF(OR($I520="",$I520="?",$D520&lt;&gt;"Advance",$B520=""),"",$I520&amp;"|"&amp;$J520&amp;"|"&amp;COUNTIFS($I$7:$I520,$I520,$J$7:$J520,$J520,$D$7:$D520,"Advance"))</f>
        <v/>
      </c>
      <c r="L520" s="266">
        <f>IF(OR($I520="",$I520="?",$B520=""),"",SUMPRODUCT((Weeks!$A$7:$A$59&lt;=$J520)*(Weeks!$X$5:$AI$5=$I520)*Weeks!$X$7:$AI$59)-SUMIFS($E$7:$E$1006,$I$7:$I$1006,$I520,$B$7:$B$1006,"&lt;="&amp;$B520))</f>
        <v/>
      </c>
      <c r="M520" s="132">
        <f>IF($B520&amp;$C520&amp;$D520&amp;$E520="","",IF($B520="","missing date",IF($C520="","missing worker",IF($I520="?","unknown worker - was the name changed on Workers?",IF($D520="","missing type",IF(N($E520)=0,"missing amount",IF(AND($E520&lt;0,$D520&lt;&gt;"Correction"),"negative amount - use a Correction to undo",IF(OR($B520&lt;Weeks!$A$7,$B520&gt;Weeks!$B$59),"date outside this workbook's year",IF(AND($D520="Advance",N($L520)&lt;0),"Warning: more than earned so far - worker now owes "&amp;TEXT(ROUND(-$L520,0),"#,##0"),"")))))))))</f>
        <v/>
      </c>
      <c r="N520" s="125" t="n"/>
      <c r="O520" s="126" t="n"/>
      <c r="P520" s="126" t="n"/>
      <c r="Q520" s="126" t="n"/>
      <c r="R520" s="126" t="n"/>
      <c r="S520" s="126" t="n"/>
      <c r="T520" s="126" t="n"/>
      <c r="U520" s="126" t="n"/>
      <c r="V520" s="126" t="n"/>
      <c r="W520" s="126" t="n"/>
      <c r="X520" s="126" t="n"/>
      <c r="Y520" s="126" t="n"/>
      <c r="Z520" s="126" t="n"/>
      <c r="AA520" s="126" t="n"/>
      <c r="AB520" s="126" t="n"/>
      <c r="AC520" s="126" t="n"/>
      <c r="AD520" s="126" t="n"/>
      <c r="AE520" s="126" t="n"/>
      <c r="AF520" s="126" t="n"/>
      <c r="AG520" s="126" t="n"/>
      <c r="AH520" s="126" t="n"/>
      <c r="AI520" s="126" t="n"/>
      <c r="AJ520" s="126" t="n"/>
      <c r="AK520" s="126" t="n"/>
      <c r="AL520" s="126" t="n"/>
      <c r="AM520" s="126" t="n"/>
      <c r="AN520" s="126" t="n"/>
    </row>
    <row r="521" ht="21" customFormat="1" customHeight="1" s="127">
      <c r="A521" s="51">
        <f>IF($B521="","",ROW()-6)</f>
        <v/>
      </c>
      <c r="B521" s="268" t="n"/>
      <c r="C521" s="133" t="n"/>
      <c r="D521" s="50" t="n"/>
      <c r="E521" s="265" t="n"/>
      <c r="F521" s="133" t="n"/>
      <c r="G521" s="133" t="n"/>
      <c r="H521" s="50" t="n"/>
      <c r="I521" s="51">
        <f>IF($C521="","",IFERROR(INDEX(WorkerIDs,MATCH($C521,WorkerNames,0)),"?"))</f>
        <v/>
      </c>
      <c r="J521" s="253">
        <f>IF($B521="","",$B521-WEEKDAY($B521,2)+1)</f>
        <v/>
      </c>
      <c r="K521" s="142">
        <f>IF(OR($I521="",$I521="?",$D521&lt;&gt;"Advance",$B521=""),"",$I521&amp;"|"&amp;$J521&amp;"|"&amp;COUNTIFS($I$7:$I521,$I521,$J$7:$J521,$J521,$D$7:$D521,"Advance"))</f>
        <v/>
      </c>
      <c r="L521" s="266">
        <f>IF(OR($I521="",$I521="?",$B521=""),"",SUMPRODUCT((Weeks!$A$7:$A$59&lt;=$J521)*(Weeks!$X$5:$AI$5=$I521)*Weeks!$X$7:$AI$59)-SUMIFS($E$7:$E$1006,$I$7:$I$1006,$I521,$B$7:$B$1006,"&lt;="&amp;$B521))</f>
        <v/>
      </c>
      <c r="M521" s="132">
        <f>IF($B521&amp;$C521&amp;$D521&amp;$E521="","",IF($B521="","missing date",IF($C521="","missing worker",IF($I521="?","unknown worker - was the name changed on Workers?",IF($D521="","missing type",IF(N($E521)=0,"missing amount",IF(AND($E521&lt;0,$D521&lt;&gt;"Correction"),"negative amount - use a Correction to undo",IF(OR($B521&lt;Weeks!$A$7,$B521&gt;Weeks!$B$59),"date outside this workbook's year",IF(AND($D521="Advance",N($L521)&lt;0),"Warning: more than earned so far - worker now owes "&amp;TEXT(ROUND(-$L521,0),"#,##0"),"")))))))))</f>
        <v/>
      </c>
      <c r="N521" s="125" t="n"/>
      <c r="O521" s="126" t="n"/>
      <c r="P521" s="126" t="n"/>
      <c r="Q521" s="126" t="n"/>
      <c r="R521" s="126" t="n"/>
      <c r="S521" s="126" t="n"/>
      <c r="T521" s="126" t="n"/>
      <c r="U521" s="126" t="n"/>
      <c r="V521" s="126" t="n"/>
      <c r="W521" s="126" t="n"/>
      <c r="X521" s="126" t="n"/>
      <c r="Y521" s="126" t="n"/>
      <c r="Z521" s="126" t="n"/>
      <c r="AA521" s="126" t="n"/>
      <c r="AB521" s="126" t="n"/>
      <c r="AC521" s="126" t="n"/>
      <c r="AD521" s="126" t="n"/>
      <c r="AE521" s="126" t="n"/>
      <c r="AF521" s="126" t="n"/>
      <c r="AG521" s="126" t="n"/>
      <c r="AH521" s="126" t="n"/>
      <c r="AI521" s="126" t="n"/>
      <c r="AJ521" s="126" t="n"/>
      <c r="AK521" s="126" t="n"/>
      <c r="AL521" s="126" t="n"/>
      <c r="AM521" s="126" t="n"/>
      <c r="AN521" s="126" t="n"/>
    </row>
    <row r="522" ht="21" customFormat="1" customHeight="1" s="127">
      <c r="A522" s="51">
        <f>IF($B522="","",ROW()-6)</f>
        <v/>
      </c>
      <c r="B522" s="268" t="n"/>
      <c r="C522" s="133" t="n"/>
      <c r="D522" s="50" t="n"/>
      <c r="E522" s="265" t="n"/>
      <c r="F522" s="133" t="n"/>
      <c r="G522" s="133" t="n"/>
      <c r="H522" s="50" t="n"/>
      <c r="I522" s="51">
        <f>IF($C522="","",IFERROR(INDEX(WorkerIDs,MATCH($C522,WorkerNames,0)),"?"))</f>
        <v/>
      </c>
      <c r="J522" s="253">
        <f>IF($B522="","",$B522-WEEKDAY($B522,2)+1)</f>
        <v/>
      </c>
      <c r="K522" s="142">
        <f>IF(OR($I522="",$I522="?",$D522&lt;&gt;"Advance",$B522=""),"",$I522&amp;"|"&amp;$J522&amp;"|"&amp;COUNTIFS($I$7:$I522,$I522,$J$7:$J522,$J522,$D$7:$D522,"Advance"))</f>
        <v/>
      </c>
      <c r="L522" s="266">
        <f>IF(OR($I522="",$I522="?",$B522=""),"",SUMPRODUCT((Weeks!$A$7:$A$59&lt;=$J522)*(Weeks!$X$5:$AI$5=$I522)*Weeks!$X$7:$AI$59)-SUMIFS($E$7:$E$1006,$I$7:$I$1006,$I522,$B$7:$B$1006,"&lt;="&amp;$B522))</f>
        <v/>
      </c>
      <c r="M522" s="132">
        <f>IF($B522&amp;$C522&amp;$D522&amp;$E522="","",IF($B522="","missing date",IF($C522="","missing worker",IF($I522="?","unknown worker - was the name changed on Workers?",IF($D522="","missing type",IF(N($E522)=0,"missing amount",IF(AND($E522&lt;0,$D522&lt;&gt;"Correction"),"negative amount - use a Correction to undo",IF(OR($B522&lt;Weeks!$A$7,$B522&gt;Weeks!$B$59),"date outside this workbook's year",IF(AND($D522="Advance",N($L522)&lt;0),"Warning: more than earned so far - worker now owes "&amp;TEXT(ROUND(-$L522,0),"#,##0"),"")))))))))</f>
        <v/>
      </c>
      <c r="N522" s="125" t="n"/>
      <c r="O522" s="126" t="n"/>
      <c r="P522" s="126" t="n"/>
      <c r="Q522" s="126" t="n"/>
      <c r="R522" s="126" t="n"/>
      <c r="S522" s="126" t="n"/>
      <c r="T522" s="126" t="n"/>
      <c r="U522" s="126" t="n"/>
      <c r="V522" s="126" t="n"/>
      <c r="W522" s="126" t="n"/>
      <c r="X522" s="126" t="n"/>
      <c r="Y522" s="126" t="n"/>
      <c r="Z522" s="126" t="n"/>
      <c r="AA522" s="126" t="n"/>
      <c r="AB522" s="126" t="n"/>
      <c r="AC522" s="126" t="n"/>
      <c r="AD522" s="126" t="n"/>
      <c r="AE522" s="126" t="n"/>
      <c r="AF522" s="126" t="n"/>
      <c r="AG522" s="126" t="n"/>
      <c r="AH522" s="126" t="n"/>
      <c r="AI522" s="126" t="n"/>
      <c r="AJ522" s="126" t="n"/>
      <c r="AK522" s="126" t="n"/>
      <c r="AL522" s="126" t="n"/>
      <c r="AM522" s="126" t="n"/>
      <c r="AN522" s="126" t="n"/>
    </row>
    <row r="523" ht="21" customFormat="1" customHeight="1" s="127">
      <c r="A523" s="51">
        <f>IF($B523="","",ROW()-6)</f>
        <v/>
      </c>
      <c r="B523" s="268" t="n"/>
      <c r="C523" s="133" t="n"/>
      <c r="D523" s="50" t="n"/>
      <c r="E523" s="265" t="n"/>
      <c r="F523" s="133" t="n"/>
      <c r="G523" s="133" t="n"/>
      <c r="H523" s="50" t="n"/>
      <c r="I523" s="51">
        <f>IF($C523="","",IFERROR(INDEX(WorkerIDs,MATCH($C523,WorkerNames,0)),"?"))</f>
        <v/>
      </c>
      <c r="J523" s="253">
        <f>IF($B523="","",$B523-WEEKDAY($B523,2)+1)</f>
        <v/>
      </c>
      <c r="K523" s="142">
        <f>IF(OR($I523="",$I523="?",$D523&lt;&gt;"Advance",$B523=""),"",$I523&amp;"|"&amp;$J523&amp;"|"&amp;COUNTIFS($I$7:$I523,$I523,$J$7:$J523,$J523,$D$7:$D523,"Advance"))</f>
        <v/>
      </c>
      <c r="L523" s="266">
        <f>IF(OR($I523="",$I523="?",$B523=""),"",SUMPRODUCT((Weeks!$A$7:$A$59&lt;=$J523)*(Weeks!$X$5:$AI$5=$I523)*Weeks!$X$7:$AI$59)-SUMIFS($E$7:$E$1006,$I$7:$I$1006,$I523,$B$7:$B$1006,"&lt;="&amp;$B523))</f>
        <v/>
      </c>
      <c r="M523" s="132">
        <f>IF($B523&amp;$C523&amp;$D523&amp;$E523="","",IF($B523="","missing date",IF($C523="","missing worker",IF($I523="?","unknown worker - was the name changed on Workers?",IF($D523="","missing type",IF(N($E523)=0,"missing amount",IF(AND($E523&lt;0,$D523&lt;&gt;"Correction"),"negative amount - use a Correction to undo",IF(OR($B523&lt;Weeks!$A$7,$B523&gt;Weeks!$B$59),"date outside this workbook's year",IF(AND($D523="Advance",N($L523)&lt;0),"Warning: more than earned so far - worker now owes "&amp;TEXT(ROUND(-$L523,0),"#,##0"),"")))))))))</f>
        <v/>
      </c>
      <c r="N523" s="125" t="n"/>
      <c r="O523" s="126" t="n"/>
      <c r="P523" s="126" t="n"/>
      <c r="Q523" s="126" t="n"/>
      <c r="R523" s="126" t="n"/>
      <c r="S523" s="126" t="n"/>
      <c r="T523" s="126" t="n"/>
      <c r="U523" s="126" t="n"/>
      <c r="V523" s="126" t="n"/>
      <c r="W523" s="126" t="n"/>
      <c r="X523" s="126" t="n"/>
      <c r="Y523" s="126" t="n"/>
      <c r="Z523" s="126" t="n"/>
      <c r="AA523" s="126" t="n"/>
      <c r="AB523" s="126" t="n"/>
      <c r="AC523" s="126" t="n"/>
      <c r="AD523" s="126" t="n"/>
      <c r="AE523" s="126" t="n"/>
      <c r="AF523" s="126" t="n"/>
      <c r="AG523" s="126" t="n"/>
      <c r="AH523" s="126" t="n"/>
      <c r="AI523" s="126" t="n"/>
      <c r="AJ523" s="126" t="n"/>
      <c r="AK523" s="126" t="n"/>
      <c r="AL523" s="126" t="n"/>
      <c r="AM523" s="126" t="n"/>
      <c r="AN523" s="126" t="n"/>
    </row>
    <row r="524" ht="21" customFormat="1" customHeight="1" s="127">
      <c r="A524" s="51">
        <f>IF($B524="","",ROW()-6)</f>
        <v/>
      </c>
      <c r="B524" s="268" t="n"/>
      <c r="C524" s="133" t="n"/>
      <c r="D524" s="50" t="n"/>
      <c r="E524" s="265" t="n"/>
      <c r="F524" s="133" t="n"/>
      <c r="G524" s="133" t="n"/>
      <c r="H524" s="50" t="n"/>
      <c r="I524" s="51">
        <f>IF($C524="","",IFERROR(INDEX(WorkerIDs,MATCH($C524,WorkerNames,0)),"?"))</f>
        <v/>
      </c>
      <c r="J524" s="253">
        <f>IF($B524="","",$B524-WEEKDAY($B524,2)+1)</f>
        <v/>
      </c>
      <c r="K524" s="142">
        <f>IF(OR($I524="",$I524="?",$D524&lt;&gt;"Advance",$B524=""),"",$I524&amp;"|"&amp;$J524&amp;"|"&amp;COUNTIFS($I$7:$I524,$I524,$J$7:$J524,$J524,$D$7:$D524,"Advance"))</f>
        <v/>
      </c>
      <c r="L524" s="266">
        <f>IF(OR($I524="",$I524="?",$B524=""),"",SUMPRODUCT((Weeks!$A$7:$A$59&lt;=$J524)*(Weeks!$X$5:$AI$5=$I524)*Weeks!$X$7:$AI$59)-SUMIFS($E$7:$E$1006,$I$7:$I$1006,$I524,$B$7:$B$1006,"&lt;="&amp;$B524))</f>
        <v/>
      </c>
      <c r="M524" s="132">
        <f>IF($B524&amp;$C524&amp;$D524&amp;$E524="","",IF($B524="","missing date",IF($C524="","missing worker",IF($I524="?","unknown worker - was the name changed on Workers?",IF($D524="","missing type",IF(N($E524)=0,"missing amount",IF(AND($E524&lt;0,$D524&lt;&gt;"Correction"),"negative amount - use a Correction to undo",IF(OR($B524&lt;Weeks!$A$7,$B524&gt;Weeks!$B$59),"date outside this workbook's year",IF(AND($D524="Advance",N($L524)&lt;0),"Warning: more than earned so far - worker now owes "&amp;TEXT(ROUND(-$L524,0),"#,##0"),"")))))))))</f>
        <v/>
      </c>
      <c r="N524" s="125" t="n"/>
      <c r="O524" s="126" t="n"/>
      <c r="P524" s="126" t="n"/>
      <c r="Q524" s="126" t="n"/>
      <c r="R524" s="126" t="n"/>
      <c r="S524" s="126" t="n"/>
      <c r="T524" s="126" t="n"/>
      <c r="U524" s="126" t="n"/>
      <c r="V524" s="126" t="n"/>
      <c r="W524" s="126" t="n"/>
      <c r="X524" s="126" t="n"/>
      <c r="Y524" s="126" t="n"/>
      <c r="Z524" s="126" t="n"/>
      <c r="AA524" s="126" t="n"/>
      <c r="AB524" s="126" t="n"/>
      <c r="AC524" s="126" t="n"/>
      <c r="AD524" s="126" t="n"/>
      <c r="AE524" s="126" t="n"/>
      <c r="AF524" s="126" t="n"/>
      <c r="AG524" s="126" t="n"/>
      <c r="AH524" s="126" t="n"/>
      <c r="AI524" s="126" t="n"/>
      <c r="AJ524" s="126" t="n"/>
      <c r="AK524" s="126" t="n"/>
      <c r="AL524" s="126" t="n"/>
      <c r="AM524" s="126" t="n"/>
      <c r="AN524" s="126" t="n"/>
    </row>
    <row r="525" ht="21" customFormat="1" customHeight="1" s="127">
      <c r="A525" s="51">
        <f>IF($B525="","",ROW()-6)</f>
        <v/>
      </c>
      <c r="B525" s="268" t="n"/>
      <c r="C525" s="133" t="n"/>
      <c r="D525" s="50" t="n"/>
      <c r="E525" s="265" t="n"/>
      <c r="F525" s="133" t="n"/>
      <c r="G525" s="133" t="n"/>
      <c r="H525" s="50" t="n"/>
      <c r="I525" s="51">
        <f>IF($C525="","",IFERROR(INDEX(WorkerIDs,MATCH($C525,WorkerNames,0)),"?"))</f>
        <v/>
      </c>
      <c r="J525" s="253">
        <f>IF($B525="","",$B525-WEEKDAY($B525,2)+1)</f>
        <v/>
      </c>
      <c r="K525" s="142">
        <f>IF(OR($I525="",$I525="?",$D525&lt;&gt;"Advance",$B525=""),"",$I525&amp;"|"&amp;$J525&amp;"|"&amp;COUNTIFS($I$7:$I525,$I525,$J$7:$J525,$J525,$D$7:$D525,"Advance"))</f>
        <v/>
      </c>
      <c r="L525" s="266">
        <f>IF(OR($I525="",$I525="?",$B525=""),"",SUMPRODUCT((Weeks!$A$7:$A$59&lt;=$J525)*(Weeks!$X$5:$AI$5=$I525)*Weeks!$X$7:$AI$59)-SUMIFS($E$7:$E$1006,$I$7:$I$1006,$I525,$B$7:$B$1006,"&lt;="&amp;$B525))</f>
        <v/>
      </c>
      <c r="M525" s="132">
        <f>IF($B525&amp;$C525&amp;$D525&amp;$E525="","",IF($B525="","missing date",IF($C525="","missing worker",IF($I525="?","unknown worker - was the name changed on Workers?",IF($D525="","missing type",IF(N($E525)=0,"missing amount",IF(AND($E525&lt;0,$D525&lt;&gt;"Correction"),"negative amount - use a Correction to undo",IF(OR($B525&lt;Weeks!$A$7,$B525&gt;Weeks!$B$59),"date outside this workbook's year",IF(AND($D525="Advance",N($L525)&lt;0),"Warning: more than earned so far - worker now owes "&amp;TEXT(ROUND(-$L525,0),"#,##0"),"")))))))))</f>
        <v/>
      </c>
      <c r="N525" s="125" t="n"/>
      <c r="O525" s="126" t="n"/>
      <c r="P525" s="126" t="n"/>
      <c r="Q525" s="126" t="n"/>
      <c r="R525" s="126" t="n"/>
      <c r="S525" s="126" t="n"/>
      <c r="T525" s="126" t="n"/>
      <c r="U525" s="126" t="n"/>
      <c r="V525" s="126" t="n"/>
      <c r="W525" s="126" t="n"/>
      <c r="X525" s="126" t="n"/>
      <c r="Y525" s="126" t="n"/>
      <c r="Z525" s="126" t="n"/>
      <c r="AA525" s="126" t="n"/>
      <c r="AB525" s="126" t="n"/>
      <c r="AC525" s="126" t="n"/>
      <c r="AD525" s="126" t="n"/>
      <c r="AE525" s="126" t="n"/>
      <c r="AF525" s="126" t="n"/>
      <c r="AG525" s="126" t="n"/>
      <c r="AH525" s="126" t="n"/>
      <c r="AI525" s="126" t="n"/>
      <c r="AJ525" s="126" t="n"/>
      <c r="AK525" s="126" t="n"/>
      <c r="AL525" s="126" t="n"/>
      <c r="AM525" s="126" t="n"/>
      <c r="AN525" s="126" t="n"/>
    </row>
    <row r="526" ht="21" customFormat="1" customHeight="1" s="127">
      <c r="A526" s="51">
        <f>IF($B526="","",ROW()-6)</f>
        <v/>
      </c>
      <c r="B526" s="268" t="n"/>
      <c r="C526" s="133" t="n"/>
      <c r="D526" s="50" t="n"/>
      <c r="E526" s="265" t="n"/>
      <c r="F526" s="133" t="n"/>
      <c r="G526" s="133" t="n"/>
      <c r="H526" s="50" t="n"/>
      <c r="I526" s="51">
        <f>IF($C526="","",IFERROR(INDEX(WorkerIDs,MATCH($C526,WorkerNames,0)),"?"))</f>
        <v/>
      </c>
      <c r="J526" s="253">
        <f>IF($B526="","",$B526-WEEKDAY($B526,2)+1)</f>
        <v/>
      </c>
      <c r="K526" s="142">
        <f>IF(OR($I526="",$I526="?",$D526&lt;&gt;"Advance",$B526=""),"",$I526&amp;"|"&amp;$J526&amp;"|"&amp;COUNTIFS($I$7:$I526,$I526,$J$7:$J526,$J526,$D$7:$D526,"Advance"))</f>
        <v/>
      </c>
      <c r="L526" s="266">
        <f>IF(OR($I526="",$I526="?",$B526=""),"",SUMPRODUCT((Weeks!$A$7:$A$59&lt;=$J526)*(Weeks!$X$5:$AI$5=$I526)*Weeks!$X$7:$AI$59)-SUMIFS($E$7:$E$1006,$I$7:$I$1006,$I526,$B$7:$B$1006,"&lt;="&amp;$B526))</f>
        <v/>
      </c>
      <c r="M526" s="132">
        <f>IF($B526&amp;$C526&amp;$D526&amp;$E526="","",IF($B526="","missing date",IF($C526="","missing worker",IF($I526="?","unknown worker - was the name changed on Workers?",IF($D526="","missing type",IF(N($E526)=0,"missing amount",IF(AND($E526&lt;0,$D526&lt;&gt;"Correction"),"negative amount - use a Correction to undo",IF(OR($B526&lt;Weeks!$A$7,$B526&gt;Weeks!$B$59),"date outside this workbook's year",IF(AND($D526="Advance",N($L526)&lt;0),"Warning: more than earned so far - worker now owes "&amp;TEXT(ROUND(-$L526,0),"#,##0"),"")))))))))</f>
        <v/>
      </c>
      <c r="N526" s="125" t="n"/>
      <c r="O526" s="126" t="n"/>
      <c r="P526" s="126" t="n"/>
      <c r="Q526" s="126" t="n"/>
      <c r="R526" s="126" t="n"/>
      <c r="S526" s="126" t="n"/>
      <c r="T526" s="126" t="n"/>
      <c r="U526" s="126" t="n"/>
      <c r="V526" s="126" t="n"/>
      <c r="W526" s="126" t="n"/>
      <c r="X526" s="126" t="n"/>
      <c r="Y526" s="126" t="n"/>
      <c r="Z526" s="126" t="n"/>
      <c r="AA526" s="126" t="n"/>
      <c r="AB526" s="126" t="n"/>
      <c r="AC526" s="126" t="n"/>
      <c r="AD526" s="126" t="n"/>
      <c r="AE526" s="126" t="n"/>
      <c r="AF526" s="126" t="n"/>
      <c r="AG526" s="126" t="n"/>
      <c r="AH526" s="126" t="n"/>
      <c r="AI526" s="126" t="n"/>
      <c r="AJ526" s="126" t="n"/>
      <c r="AK526" s="126" t="n"/>
      <c r="AL526" s="126" t="n"/>
      <c r="AM526" s="126" t="n"/>
      <c r="AN526" s="126" t="n"/>
    </row>
    <row r="527" ht="21" customFormat="1" customHeight="1" s="127">
      <c r="A527" s="51">
        <f>IF($B527="","",ROW()-6)</f>
        <v/>
      </c>
      <c r="B527" s="268" t="n"/>
      <c r="C527" s="133" t="n"/>
      <c r="D527" s="50" t="n"/>
      <c r="E527" s="265" t="n"/>
      <c r="F527" s="133" t="n"/>
      <c r="G527" s="133" t="n"/>
      <c r="H527" s="50" t="n"/>
      <c r="I527" s="51">
        <f>IF($C527="","",IFERROR(INDEX(WorkerIDs,MATCH($C527,WorkerNames,0)),"?"))</f>
        <v/>
      </c>
      <c r="J527" s="253">
        <f>IF($B527="","",$B527-WEEKDAY($B527,2)+1)</f>
        <v/>
      </c>
      <c r="K527" s="142">
        <f>IF(OR($I527="",$I527="?",$D527&lt;&gt;"Advance",$B527=""),"",$I527&amp;"|"&amp;$J527&amp;"|"&amp;COUNTIFS($I$7:$I527,$I527,$J$7:$J527,$J527,$D$7:$D527,"Advance"))</f>
        <v/>
      </c>
      <c r="L527" s="266">
        <f>IF(OR($I527="",$I527="?",$B527=""),"",SUMPRODUCT((Weeks!$A$7:$A$59&lt;=$J527)*(Weeks!$X$5:$AI$5=$I527)*Weeks!$X$7:$AI$59)-SUMIFS($E$7:$E$1006,$I$7:$I$1006,$I527,$B$7:$B$1006,"&lt;="&amp;$B527))</f>
        <v/>
      </c>
      <c r="M527" s="132">
        <f>IF($B527&amp;$C527&amp;$D527&amp;$E527="","",IF($B527="","missing date",IF($C527="","missing worker",IF($I527="?","unknown worker - was the name changed on Workers?",IF($D527="","missing type",IF(N($E527)=0,"missing amount",IF(AND($E527&lt;0,$D527&lt;&gt;"Correction"),"negative amount - use a Correction to undo",IF(OR($B527&lt;Weeks!$A$7,$B527&gt;Weeks!$B$59),"date outside this workbook's year",IF(AND($D527="Advance",N($L527)&lt;0),"Warning: more than earned so far - worker now owes "&amp;TEXT(ROUND(-$L527,0),"#,##0"),"")))))))))</f>
        <v/>
      </c>
      <c r="N527" s="125" t="n"/>
      <c r="O527" s="126" t="n"/>
      <c r="P527" s="126" t="n"/>
      <c r="Q527" s="126" t="n"/>
      <c r="R527" s="126" t="n"/>
      <c r="S527" s="126" t="n"/>
      <c r="T527" s="126" t="n"/>
      <c r="U527" s="126" t="n"/>
      <c r="V527" s="126" t="n"/>
      <c r="W527" s="126" t="n"/>
      <c r="X527" s="126" t="n"/>
      <c r="Y527" s="126" t="n"/>
      <c r="Z527" s="126" t="n"/>
      <c r="AA527" s="126" t="n"/>
      <c r="AB527" s="126" t="n"/>
      <c r="AC527" s="126" t="n"/>
      <c r="AD527" s="126" t="n"/>
      <c r="AE527" s="126" t="n"/>
      <c r="AF527" s="126" t="n"/>
      <c r="AG527" s="126" t="n"/>
      <c r="AH527" s="126" t="n"/>
      <c r="AI527" s="126" t="n"/>
      <c r="AJ527" s="126" t="n"/>
      <c r="AK527" s="126" t="n"/>
      <c r="AL527" s="126" t="n"/>
      <c r="AM527" s="126" t="n"/>
      <c r="AN527" s="126" t="n"/>
    </row>
    <row r="528" ht="21" customFormat="1" customHeight="1" s="127">
      <c r="A528" s="51">
        <f>IF($B528="","",ROW()-6)</f>
        <v/>
      </c>
      <c r="B528" s="268" t="n"/>
      <c r="C528" s="133" t="n"/>
      <c r="D528" s="50" t="n"/>
      <c r="E528" s="265" t="n"/>
      <c r="F528" s="133" t="n"/>
      <c r="G528" s="133" t="n"/>
      <c r="H528" s="50" t="n"/>
      <c r="I528" s="51">
        <f>IF($C528="","",IFERROR(INDEX(WorkerIDs,MATCH($C528,WorkerNames,0)),"?"))</f>
        <v/>
      </c>
      <c r="J528" s="253">
        <f>IF($B528="","",$B528-WEEKDAY($B528,2)+1)</f>
        <v/>
      </c>
      <c r="K528" s="142">
        <f>IF(OR($I528="",$I528="?",$D528&lt;&gt;"Advance",$B528=""),"",$I528&amp;"|"&amp;$J528&amp;"|"&amp;COUNTIFS($I$7:$I528,$I528,$J$7:$J528,$J528,$D$7:$D528,"Advance"))</f>
        <v/>
      </c>
      <c r="L528" s="266">
        <f>IF(OR($I528="",$I528="?",$B528=""),"",SUMPRODUCT((Weeks!$A$7:$A$59&lt;=$J528)*(Weeks!$X$5:$AI$5=$I528)*Weeks!$X$7:$AI$59)-SUMIFS($E$7:$E$1006,$I$7:$I$1006,$I528,$B$7:$B$1006,"&lt;="&amp;$B528))</f>
        <v/>
      </c>
      <c r="M528" s="132">
        <f>IF($B528&amp;$C528&amp;$D528&amp;$E528="","",IF($B528="","missing date",IF($C528="","missing worker",IF($I528="?","unknown worker - was the name changed on Workers?",IF($D528="","missing type",IF(N($E528)=0,"missing amount",IF(AND($E528&lt;0,$D528&lt;&gt;"Correction"),"negative amount - use a Correction to undo",IF(OR($B528&lt;Weeks!$A$7,$B528&gt;Weeks!$B$59),"date outside this workbook's year",IF(AND($D528="Advance",N($L528)&lt;0),"Warning: more than earned so far - worker now owes "&amp;TEXT(ROUND(-$L528,0),"#,##0"),"")))))))))</f>
        <v/>
      </c>
      <c r="N528" s="125" t="n"/>
      <c r="O528" s="126" t="n"/>
      <c r="P528" s="126" t="n"/>
      <c r="Q528" s="126" t="n"/>
      <c r="R528" s="126" t="n"/>
      <c r="S528" s="126" t="n"/>
      <c r="T528" s="126" t="n"/>
      <c r="U528" s="126" t="n"/>
      <c r="V528" s="126" t="n"/>
      <c r="W528" s="126" t="n"/>
      <c r="X528" s="126" t="n"/>
      <c r="Y528" s="126" t="n"/>
      <c r="Z528" s="126" t="n"/>
      <c r="AA528" s="126" t="n"/>
      <c r="AB528" s="126" t="n"/>
      <c r="AC528" s="126" t="n"/>
      <c r="AD528" s="126" t="n"/>
      <c r="AE528" s="126" t="n"/>
      <c r="AF528" s="126" t="n"/>
      <c r="AG528" s="126" t="n"/>
      <c r="AH528" s="126" t="n"/>
      <c r="AI528" s="126" t="n"/>
      <c r="AJ528" s="126" t="n"/>
      <c r="AK528" s="126" t="n"/>
      <c r="AL528" s="126" t="n"/>
      <c r="AM528" s="126" t="n"/>
      <c r="AN528" s="126" t="n"/>
    </row>
    <row r="529" ht="21" customFormat="1" customHeight="1" s="127">
      <c r="A529" s="51">
        <f>IF($B529="","",ROW()-6)</f>
        <v/>
      </c>
      <c r="B529" s="268" t="n"/>
      <c r="C529" s="133" t="n"/>
      <c r="D529" s="50" t="n"/>
      <c r="E529" s="265" t="n"/>
      <c r="F529" s="133" t="n"/>
      <c r="G529" s="133" t="n"/>
      <c r="H529" s="50" t="n"/>
      <c r="I529" s="51">
        <f>IF($C529="","",IFERROR(INDEX(WorkerIDs,MATCH($C529,WorkerNames,0)),"?"))</f>
        <v/>
      </c>
      <c r="J529" s="253">
        <f>IF($B529="","",$B529-WEEKDAY($B529,2)+1)</f>
        <v/>
      </c>
      <c r="K529" s="142">
        <f>IF(OR($I529="",$I529="?",$D529&lt;&gt;"Advance",$B529=""),"",$I529&amp;"|"&amp;$J529&amp;"|"&amp;COUNTIFS($I$7:$I529,$I529,$J$7:$J529,$J529,$D$7:$D529,"Advance"))</f>
        <v/>
      </c>
      <c r="L529" s="266">
        <f>IF(OR($I529="",$I529="?",$B529=""),"",SUMPRODUCT((Weeks!$A$7:$A$59&lt;=$J529)*(Weeks!$X$5:$AI$5=$I529)*Weeks!$X$7:$AI$59)-SUMIFS($E$7:$E$1006,$I$7:$I$1006,$I529,$B$7:$B$1006,"&lt;="&amp;$B529))</f>
        <v/>
      </c>
      <c r="M529" s="132">
        <f>IF($B529&amp;$C529&amp;$D529&amp;$E529="","",IF($B529="","missing date",IF($C529="","missing worker",IF($I529="?","unknown worker - was the name changed on Workers?",IF($D529="","missing type",IF(N($E529)=0,"missing amount",IF(AND($E529&lt;0,$D529&lt;&gt;"Correction"),"negative amount - use a Correction to undo",IF(OR($B529&lt;Weeks!$A$7,$B529&gt;Weeks!$B$59),"date outside this workbook's year",IF(AND($D529="Advance",N($L529)&lt;0),"Warning: more than earned so far - worker now owes "&amp;TEXT(ROUND(-$L529,0),"#,##0"),"")))))))))</f>
        <v/>
      </c>
      <c r="N529" s="125" t="n"/>
      <c r="O529" s="126" t="n"/>
      <c r="P529" s="126" t="n"/>
      <c r="Q529" s="126" t="n"/>
      <c r="R529" s="126" t="n"/>
      <c r="S529" s="126" t="n"/>
      <c r="T529" s="126" t="n"/>
      <c r="U529" s="126" t="n"/>
      <c r="V529" s="126" t="n"/>
      <c r="W529" s="126" t="n"/>
      <c r="X529" s="126" t="n"/>
      <c r="Y529" s="126" t="n"/>
      <c r="Z529" s="126" t="n"/>
      <c r="AA529" s="126" t="n"/>
      <c r="AB529" s="126" t="n"/>
      <c r="AC529" s="126" t="n"/>
      <c r="AD529" s="126" t="n"/>
      <c r="AE529" s="126" t="n"/>
      <c r="AF529" s="126" t="n"/>
      <c r="AG529" s="126" t="n"/>
      <c r="AH529" s="126" t="n"/>
      <c r="AI529" s="126" t="n"/>
      <c r="AJ529" s="126" t="n"/>
      <c r="AK529" s="126" t="n"/>
      <c r="AL529" s="126" t="n"/>
      <c r="AM529" s="126" t="n"/>
      <c r="AN529" s="126" t="n"/>
    </row>
    <row r="530" ht="21" customFormat="1" customHeight="1" s="127">
      <c r="A530" s="51">
        <f>IF($B530="","",ROW()-6)</f>
        <v/>
      </c>
      <c r="B530" s="268" t="n"/>
      <c r="C530" s="133" t="n"/>
      <c r="D530" s="50" t="n"/>
      <c r="E530" s="265" t="n"/>
      <c r="F530" s="133" t="n"/>
      <c r="G530" s="133" t="n"/>
      <c r="H530" s="50" t="n"/>
      <c r="I530" s="51">
        <f>IF($C530="","",IFERROR(INDEX(WorkerIDs,MATCH($C530,WorkerNames,0)),"?"))</f>
        <v/>
      </c>
      <c r="J530" s="253">
        <f>IF($B530="","",$B530-WEEKDAY($B530,2)+1)</f>
        <v/>
      </c>
      <c r="K530" s="142">
        <f>IF(OR($I530="",$I530="?",$D530&lt;&gt;"Advance",$B530=""),"",$I530&amp;"|"&amp;$J530&amp;"|"&amp;COUNTIFS($I$7:$I530,$I530,$J$7:$J530,$J530,$D$7:$D530,"Advance"))</f>
        <v/>
      </c>
      <c r="L530" s="266">
        <f>IF(OR($I530="",$I530="?",$B530=""),"",SUMPRODUCT((Weeks!$A$7:$A$59&lt;=$J530)*(Weeks!$X$5:$AI$5=$I530)*Weeks!$X$7:$AI$59)-SUMIFS($E$7:$E$1006,$I$7:$I$1006,$I530,$B$7:$B$1006,"&lt;="&amp;$B530))</f>
        <v/>
      </c>
      <c r="M530" s="132">
        <f>IF($B530&amp;$C530&amp;$D530&amp;$E530="","",IF($B530="","missing date",IF($C530="","missing worker",IF($I530="?","unknown worker - was the name changed on Workers?",IF($D530="","missing type",IF(N($E530)=0,"missing amount",IF(AND($E530&lt;0,$D530&lt;&gt;"Correction"),"negative amount - use a Correction to undo",IF(OR($B530&lt;Weeks!$A$7,$B530&gt;Weeks!$B$59),"date outside this workbook's year",IF(AND($D530="Advance",N($L530)&lt;0),"Warning: more than earned so far - worker now owes "&amp;TEXT(ROUND(-$L530,0),"#,##0"),"")))))))))</f>
        <v/>
      </c>
      <c r="N530" s="125" t="n"/>
      <c r="O530" s="126" t="n"/>
      <c r="P530" s="126" t="n"/>
      <c r="Q530" s="126" t="n"/>
      <c r="R530" s="126" t="n"/>
      <c r="S530" s="126" t="n"/>
      <c r="T530" s="126" t="n"/>
      <c r="U530" s="126" t="n"/>
      <c r="V530" s="126" t="n"/>
      <c r="W530" s="126" t="n"/>
      <c r="X530" s="126" t="n"/>
      <c r="Y530" s="126" t="n"/>
      <c r="Z530" s="126" t="n"/>
      <c r="AA530" s="126" t="n"/>
      <c r="AB530" s="126" t="n"/>
      <c r="AC530" s="126" t="n"/>
      <c r="AD530" s="126" t="n"/>
      <c r="AE530" s="126" t="n"/>
      <c r="AF530" s="126" t="n"/>
      <c r="AG530" s="126" t="n"/>
      <c r="AH530" s="126" t="n"/>
      <c r="AI530" s="126" t="n"/>
      <c r="AJ530" s="126" t="n"/>
      <c r="AK530" s="126" t="n"/>
      <c r="AL530" s="126" t="n"/>
      <c r="AM530" s="126" t="n"/>
      <c r="AN530" s="126" t="n"/>
    </row>
    <row r="531" ht="21" customFormat="1" customHeight="1" s="127">
      <c r="A531" s="51">
        <f>IF($B531="","",ROW()-6)</f>
        <v/>
      </c>
      <c r="B531" s="268" t="n"/>
      <c r="C531" s="133" t="n"/>
      <c r="D531" s="50" t="n"/>
      <c r="E531" s="265" t="n"/>
      <c r="F531" s="133" t="n"/>
      <c r="G531" s="133" t="n"/>
      <c r="H531" s="50" t="n"/>
      <c r="I531" s="51">
        <f>IF($C531="","",IFERROR(INDEX(WorkerIDs,MATCH($C531,WorkerNames,0)),"?"))</f>
        <v/>
      </c>
      <c r="J531" s="253">
        <f>IF($B531="","",$B531-WEEKDAY($B531,2)+1)</f>
        <v/>
      </c>
      <c r="K531" s="142">
        <f>IF(OR($I531="",$I531="?",$D531&lt;&gt;"Advance",$B531=""),"",$I531&amp;"|"&amp;$J531&amp;"|"&amp;COUNTIFS($I$7:$I531,$I531,$J$7:$J531,$J531,$D$7:$D531,"Advance"))</f>
        <v/>
      </c>
      <c r="L531" s="266">
        <f>IF(OR($I531="",$I531="?",$B531=""),"",SUMPRODUCT((Weeks!$A$7:$A$59&lt;=$J531)*(Weeks!$X$5:$AI$5=$I531)*Weeks!$X$7:$AI$59)-SUMIFS($E$7:$E$1006,$I$7:$I$1006,$I531,$B$7:$B$1006,"&lt;="&amp;$B531))</f>
        <v/>
      </c>
      <c r="M531" s="132">
        <f>IF($B531&amp;$C531&amp;$D531&amp;$E531="","",IF($B531="","missing date",IF($C531="","missing worker",IF($I531="?","unknown worker - was the name changed on Workers?",IF($D531="","missing type",IF(N($E531)=0,"missing amount",IF(AND($E531&lt;0,$D531&lt;&gt;"Correction"),"negative amount - use a Correction to undo",IF(OR($B531&lt;Weeks!$A$7,$B531&gt;Weeks!$B$59),"date outside this workbook's year",IF(AND($D531="Advance",N($L531)&lt;0),"Warning: more than earned so far - worker now owes "&amp;TEXT(ROUND(-$L531,0),"#,##0"),"")))))))))</f>
        <v/>
      </c>
      <c r="N531" s="125" t="n"/>
      <c r="O531" s="126" t="n"/>
      <c r="P531" s="126" t="n"/>
      <c r="Q531" s="126" t="n"/>
      <c r="R531" s="126" t="n"/>
      <c r="S531" s="126" t="n"/>
      <c r="T531" s="126" t="n"/>
      <c r="U531" s="126" t="n"/>
      <c r="V531" s="126" t="n"/>
      <c r="W531" s="126" t="n"/>
      <c r="X531" s="126" t="n"/>
      <c r="Y531" s="126" t="n"/>
      <c r="Z531" s="126" t="n"/>
      <c r="AA531" s="126" t="n"/>
      <c r="AB531" s="126" t="n"/>
      <c r="AC531" s="126" t="n"/>
      <c r="AD531" s="126" t="n"/>
      <c r="AE531" s="126" t="n"/>
      <c r="AF531" s="126" t="n"/>
      <c r="AG531" s="126" t="n"/>
      <c r="AH531" s="126" t="n"/>
      <c r="AI531" s="126" t="n"/>
      <c r="AJ531" s="126" t="n"/>
      <c r="AK531" s="126" t="n"/>
      <c r="AL531" s="126" t="n"/>
      <c r="AM531" s="126" t="n"/>
      <c r="AN531" s="126" t="n"/>
    </row>
    <row r="532" ht="21" customFormat="1" customHeight="1" s="127">
      <c r="A532" s="51">
        <f>IF($B532="","",ROW()-6)</f>
        <v/>
      </c>
      <c r="B532" s="268" t="n"/>
      <c r="C532" s="133" t="n"/>
      <c r="D532" s="50" t="n"/>
      <c r="E532" s="265" t="n"/>
      <c r="F532" s="133" t="n"/>
      <c r="G532" s="133" t="n"/>
      <c r="H532" s="50" t="n"/>
      <c r="I532" s="51">
        <f>IF($C532="","",IFERROR(INDEX(WorkerIDs,MATCH($C532,WorkerNames,0)),"?"))</f>
        <v/>
      </c>
      <c r="J532" s="253">
        <f>IF($B532="","",$B532-WEEKDAY($B532,2)+1)</f>
        <v/>
      </c>
      <c r="K532" s="142">
        <f>IF(OR($I532="",$I532="?",$D532&lt;&gt;"Advance",$B532=""),"",$I532&amp;"|"&amp;$J532&amp;"|"&amp;COUNTIFS($I$7:$I532,$I532,$J$7:$J532,$J532,$D$7:$D532,"Advance"))</f>
        <v/>
      </c>
      <c r="L532" s="266">
        <f>IF(OR($I532="",$I532="?",$B532=""),"",SUMPRODUCT((Weeks!$A$7:$A$59&lt;=$J532)*(Weeks!$X$5:$AI$5=$I532)*Weeks!$X$7:$AI$59)-SUMIFS($E$7:$E$1006,$I$7:$I$1006,$I532,$B$7:$B$1006,"&lt;="&amp;$B532))</f>
        <v/>
      </c>
      <c r="M532" s="132">
        <f>IF($B532&amp;$C532&amp;$D532&amp;$E532="","",IF($B532="","missing date",IF($C532="","missing worker",IF($I532="?","unknown worker - was the name changed on Workers?",IF($D532="","missing type",IF(N($E532)=0,"missing amount",IF(AND($E532&lt;0,$D532&lt;&gt;"Correction"),"negative amount - use a Correction to undo",IF(OR($B532&lt;Weeks!$A$7,$B532&gt;Weeks!$B$59),"date outside this workbook's year",IF(AND($D532="Advance",N($L532)&lt;0),"Warning: more than earned so far - worker now owes "&amp;TEXT(ROUND(-$L532,0),"#,##0"),"")))))))))</f>
        <v/>
      </c>
      <c r="N532" s="125" t="n"/>
      <c r="O532" s="126" t="n"/>
      <c r="P532" s="126" t="n"/>
      <c r="Q532" s="126" t="n"/>
      <c r="R532" s="126" t="n"/>
      <c r="S532" s="126" t="n"/>
      <c r="T532" s="126" t="n"/>
      <c r="U532" s="126" t="n"/>
      <c r="V532" s="126" t="n"/>
      <c r="W532" s="126" t="n"/>
      <c r="X532" s="126" t="n"/>
      <c r="Y532" s="126" t="n"/>
      <c r="Z532" s="126" t="n"/>
      <c r="AA532" s="126" t="n"/>
      <c r="AB532" s="126" t="n"/>
      <c r="AC532" s="126" t="n"/>
      <c r="AD532" s="126" t="n"/>
      <c r="AE532" s="126" t="n"/>
      <c r="AF532" s="126" t="n"/>
      <c r="AG532" s="126" t="n"/>
      <c r="AH532" s="126" t="n"/>
      <c r="AI532" s="126" t="n"/>
      <c r="AJ532" s="126" t="n"/>
      <c r="AK532" s="126" t="n"/>
      <c r="AL532" s="126" t="n"/>
      <c r="AM532" s="126" t="n"/>
      <c r="AN532" s="126" t="n"/>
    </row>
    <row r="533" ht="21" customFormat="1" customHeight="1" s="127">
      <c r="A533" s="51">
        <f>IF($B533="","",ROW()-6)</f>
        <v/>
      </c>
      <c r="B533" s="268" t="n"/>
      <c r="C533" s="133" t="n"/>
      <c r="D533" s="50" t="n"/>
      <c r="E533" s="265" t="n"/>
      <c r="F533" s="133" t="n"/>
      <c r="G533" s="133" t="n"/>
      <c r="H533" s="50" t="n"/>
      <c r="I533" s="51">
        <f>IF($C533="","",IFERROR(INDEX(WorkerIDs,MATCH($C533,WorkerNames,0)),"?"))</f>
        <v/>
      </c>
      <c r="J533" s="253">
        <f>IF($B533="","",$B533-WEEKDAY($B533,2)+1)</f>
        <v/>
      </c>
      <c r="K533" s="142">
        <f>IF(OR($I533="",$I533="?",$D533&lt;&gt;"Advance",$B533=""),"",$I533&amp;"|"&amp;$J533&amp;"|"&amp;COUNTIFS($I$7:$I533,$I533,$J$7:$J533,$J533,$D$7:$D533,"Advance"))</f>
        <v/>
      </c>
      <c r="L533" s="266">
        <f>IF(OR($I533="",$I533="?",$B533=""),"",SUMPRODUCT((Weeks!$A$7:$A$59&lt;=$J533)*(Weeks!$X$5:$AI$5=$I533)*Weeks!$X$7:$AI$59)-SUMIFS($E$7:$E$1006,$I$7:$I$1006,$I533,$B$7:$B$1006,"&lt;="&amp;$B533))</f>
        <v/>
      </c>
      <c r="M533" s="132">
        <f>IF($B533&amp;$C533&amp;$D533&amp;$E533="","",IF($B533="","missing date",IF($C533="","missing worker",IF($I533="?","unknown worker - was the name changed on Workers?",IF($D533="","missing type",IF(N($E533)=0,"missing amount",IF(AND($E533&lt;0,$D533&lt;&gt;"Correction"),"negative amount - use a Correction to undo",IF(OR($B533&lt;Weeks!$A$7,$B533&gt;Weeks!$B$59),"date outside this workbook's year",IF(AND($D533="Advance",N($L533)&lt;0),"Warning: more than earned so far - worker now owes "&amp;TEXT(ROUND(-$L533,0),"#,##0"),"")))))))))</f>
        <v/>
      </c>
      <c r="N533" s="125" t="n"/>
      <c r="O533" s="126" t="n"/>
      <c r="P533" s="126" t="n"/>
      <c r="Q533" s="126" t="n"/>
      <c r="R533" s="126" t="n"/>
      <c r="S533" s="126" t="n"/>
      <c r="T533" s="126" t="n"/>
      <c r="U533" s="126" t="n"/>
      <c r="V533" s="126" t="n"/>
      <c r="W533" s="126" t="n"/>
      <c r="X533" s="126" t="n"/>
      <c r="Y533" s="126" t="n"/>
      <c r="Z533" s="126" t="n"/>
      <c r="AA533" s="126" t="n"/>
      <c r="AB533" s="126" t="n"/>
      <c r="AC533" s="126" t="n"/>
      <c r="AD533" s="126" t="n"/>
      <c r="AE533" s="126" t="n"/>
      <c r="AF533" s="126" t="n"/>
      <c r="AG533" s="126" t="n"/>
      <c r="AH533" s="126" t="n"/>
      <c r="AI533" s="126" t="n"/>
      <c r="AJ533" s="126" t="n"/>
      <c r="AK533" s="126" t="n"/>
      <c r="AL533" s="126" t="n"/>
      <c r="AM533" s="126" t="n"/>
      <c r="AN533" s="126" t="n"/>
    </row>
    <row r="534" ht="21" customFormat="1" customHeight="1" s="127">
      <c r="A534" s="51">
        <f>IF($B534="","",ROW()-6)</f>
        <v/>
      </c>
      <c r="B534" s="268" t="n"/>
      <c r="C534" s="133" t="n"/>
      <c r="D534" s="50" t="n"/>
      <c r="E534" s="265" t="n"/>
      <c r="F534" s="133" t="n"/>
      <c r="G534" s="133" t="n"/>
      <c r="H534" s="50" t="n"/>
      <c r="I534" s="51">
        <f>IF($C534="","",IFERROR(INDEX(WorkerIDs,MATCH($C534,WorkerNames,0)),"?"))</f>
        <v/>
      </c>
      <c r="J534" s="253">
        <f>IF($B534="","",$B534-WEEKDAY($B534,2)+1)</f>
        <v/>
      </c>
      <c r="K534" s="142">
        <f>IF(OR($I534="",$I534="?",$D534&lt;&gt;"Advance",$B534=""),"",$I534&amp;"|"&amp;$J534&amp;"|"&amp;COUNTIFS($I$7:$I534,$I534,$J$7:$J534,$J534,$D$7:$D534,"Advance"))</f>
        <v/>
      </c>
      <c r="L534" s="266">
        <f>IF(OR($I534="",$I534="?",$B534=""),"",SUMPRODUCT((Weeks!$A$7:$A$59&lt;=$J534)*(Weeks!$X$5:$AI$5=$I534)*Weeks!$X$7:$AI$59)-SUMIFS($E$7:$E$1006,$I$7:$I$1006,$I534,$B$7:$B$1006,"&lt;="&amp;$B534))</f>
        <v/>
      </c>
      <c r="M534" s="132">
        <f>IF($B534&amp;$C534&amp;$D534&amp;$E534="","",IF($B534="","missing date",IF($C534="","missing worker",IF($I534="?","unknown worker - was the name changed on Workers?",IF($D534="","missing type",IF(N($E534)=0,"missing amount",IF(AND($E534&lt;0,$D534&lt;&gt;"Correction"),"negative amount - use a Correction to undo",IF(OR($B534&lt;Weeks!$A$7,$B534&gt;Weeks!$B$59),"date outside this workbook's year",IF(AND($D534="Advance",N($L534)&lt;0),"Warning: more than earned so far - worker now owes "&amp;TEXT(ROUND(-$L534,0),"#,##0"),"")))))))))</f>
        <v/>
      </c>
      <c r="N534" s="125" t="n"/>
      <c r="O534" s="126" t="n"/>
      <c r="P534" s="126" t="n"/>
      <c r="Q534" s="126" t="n"/>
      <c r="R534" s="126" t="n"/>
      <c r="S534" s="126" t="n"/>
      <c r="T534" s="126" t="n"/>
      <c r="U534" s="126" t="n"/>
      <c r="V534" s="126" t="n"/>
      <c r="W534" s="126" t="n"/>
      <c r="X534" s="126" t="n"/>
      <c r="Y534" s="126" t="n"/>
      <c r="Z534" s="126" t="n"/>
      <c r="AA534" s="126" t="n"/>
      <c r="AB534" s="126" t="n"/>
      <c r="AC534" s="126" t="n"/>
      <c r="AD534" s="126" t="n"/>
      <c r="AE534" s="126" t="n"/>
      <c r="AF534" s="126" t="n"/>
      <c r="AG534" s="126" t="n"/>
      <c r="AH534" s="126" t="n"/>
      <c r="AI534" s="126" t="n"/>
      <c r="AJ534" s="126" t="n"/>
      <c r="AK534" s="126" t="n"/>
      <c r="AL534" s="126" t="n"/>
      <c r="AM534" s="126" t="n"/>
      <c r="AN534" s="126" t="n"/>
    </row>
    <row r="535" ht="21" customFormat="1" customHeight="1" s="127">
      <c r="A535" s="51">
        <f>IF($B535="","",ROW()-6)</f>
        <v/>
      </c>
      <c r="B535" s="268" t="n"/>
      <c r="C535" s="133" t="n"/>
      <c r="D535" s="50" t="n"/>
      <c r="E535" s="265" t="n"/>
      <c r="F535" s="133" t="n"/>
      <c r="G535" s="133" t="n"/>
      <c r="H535" s="50" t="n"/>
      <c r="I535" s="51">
        <f>IF($C535="","",IFERROR(INDEX(WorkerIDs,MATCH($C535,WorkerNames,0)),"?"))</f>
        <v/>
      </c>
      <c r="J535" s="253">
        <f>IF($B535="","",$B535-WEEKDAY($B535,2)+1)</f>
        <v/>
      </c>
      <c r="K535" s="142">
        <f>IF(OR($I535="",$I535="?",$D535&lt;&gt;"Advance",$B535=""),"",$I535&amp;"|"&amp;$J535&amp;"|"&amp;COUNTIFS($I$7:$I535,$I535,$J$7:$J535,$J535,$D$7:$D535,"Advance"))</f>
        <v/>
      </c>
      <c r="L535" s="266">
        <f>IF(OR($I535="",$I535="?",$B535=""),"",SUMPRODUCT((Weeks!$A$7:$A$59&lt;=$J535)*(Weeks!$X$5:$AI$5=$I535)*Weeks!$X$7:$AI$59)-SUMIFS($E$7:$E$1006,$I$7:$I$1006,$I535,$B$7:$B$1006,"&lt;="&amp;$B535))</f>
        <v/>
      </c>
      <c r="M535" s="132">
        <f>IF($B535&amp;$C535&amp;$D535&amp;$E535="","",IF($B535="","missing date",IF($C535="","missing worker",IF($I535="?","unknown worker - was the name changed on Workers?",IF($D535="","missing type",IF(N($E535)=0,"missing amount",IF(AND($E535&lt;0,$D535&lt;&gt;"Correction"),"negative amount - use a Correction to undo",IF(OR($B535&lt;Weeks!$A$7,$B535&gt;Weeks!$B$59),"date outside this workbook's year",IF(AND($D535="Advance",N($L535)&lt;0),"Warning: more than earned so far - worker now owes "&amp;TEXT(ROUND(-$L535,0),"#,##0"),"")))))))))</f>
        <v/>
      </c>
      <c r="N535" s="125" t="n"/>
      <c r="O535" s="126" t="n"/>
      <c r="P535" s="126" t="n"/>
      <c r="Q535" s="126" t="n"/>
      <c r="R535" s="126" t="n"/>
      <c r="S535" s="126" t="n"/>
      <c r="T535" s="126" t="n"/>
      <c r="U535" s="126" t="n"/>
      <c r="V535" s="126" t="n"/>
      <c r="W535" s="126" t="n"/>
      <c r="X535" s="126" t="n"/>
      <c r="Y535" s="126" t="n"/>
      <c r="Z535" s="126" t="n"/>
      <c r="AA535" s="126" t="n"/>
      <c r="AB535" s="126" t="n"/>
      <c r="AC535" s="126" t="n"/>
      <c r="AD535" s="126" t="n"/>
      <c r="AE535" s="126" t="n"/>
      <c r="AF535" s="126" t="n"/>
      <c r="AG535" s="126" t="n"/>
      <c r="AH535" s="126" t="n"/>
      <c r="AI535" s="126" t="n"/>
      <c r="AJ535" s="126" t="n"/>
      <c r="AK535" s="126" t="n"/>
      <c r="AL535" s="126" t="n"/>
      <c r="AM535" s="126" t="n"/>
      <c r="AN535" s="126" t="n"/>
    </row>
    <row r="536" ht="21" customFormat="1" customHeight="1" s="127">
      <c r="A536" s="51">
        <f>IF($B536="","",ROW()-6)</f>
        <v/>
      </c>
      <c r="B536" s="268" t="n"/>
      <c r="C536" s="133" t="n"/>
      <c r="D536" s="50" t="n"/>
      <c r="E536" s="265" t="n"/>
      <c r="F536" s="133" t="n"/>
      <c r="G536" s="133" t="n"/>
      <c r="H536" s="50" t="n"/>
      <c r="I536" s="51">
        <f>IF($C536="","",IFERROR(INDEX(WorkerIDs,MATCH($C536,WorkerNames,0)),"?"))</f>
        <v/>
      </c>
      <c r="J536" s="253">
        <f>IF($B536="","",$B536-WEEKDAY($B536,2)+1)</f>
        <v/>
      </c>
      <c r="K536" s="142">
        <f>IF(OR($I536="",$I536="?",$D536&lt;&gt;"Advance",$B536=""),"",$I536&amp;"|"&amp;$J536&amp;"|"&amp;COUNTIFS($I$7:$I536,$I536,$J$7:$J536,$J536,$D$7:$D536,"Advance"))</f>
        <v/>
      </c>
      <c r="L536" s="266">
        <f>IF(OR($I536="",$I536="?",$B536=""),"",SUMPRODUCT((Weeks!$A$7:$A$59&lt;=$J536)*(Weeks!$X$5:$AI$5=$I536)*Weeks!$X$7:$AI$59)-SUMIFS($E$7:$E$1006,$I$7:$I$1006,$I536,$B$7:$B$1006,"&lt;="&amp;$B536))</f>
        <v/>
      </c>
      <c r="M536" s="132">
        <f>IF($B536&amp;$C536&amp;$D536&amp;$E536="","",IF($B536="","missing date",IF($C536="","missing worker",IF($I536="?","unknown worker - was the name changed on Workers?",IF($D536="","missing type",IF(N($E536)=0,"missing amount",IF(AND($E536&lt;0,$D536&lt;&gt;"Correction"),"negative amount - use a Correction to undo",IF(OR($B536&lt;Weeks!$A$7,$B536&gt;Weeks!$B$59),"date outside this workbook's year",IF(AND($D536="Advance",N($L536)&lt;0),"Warning: more than earned so far - worker now owes "&amp;TEXT(ROUND(-$L536,0),"#,##0"),"")))))))))</f>
        <v/>
      </c>
      <c r="N536" s="125" t="n"/>
      <c r="O536" s="126" t="n"/>
      <c r="P536" s="126" t="n"/>
      <c r="Q536" s="126" t="n"/>
      <c r="R536" s="126" t="n"/>
      <c r="S536" s="126" t="n"/>
      <c r="T536" s="126" t="n"/>
      <c r="U536" s="126" t="n"/>
      <c r="V536" s="126" t="n"/>
      <c r="W536" s="126" t="n"/>
      <c r="X536" s="126" t="n"/>
      <c r="Y536" s="126" t="n"/>
      <c r="Z536" s="126" t="n"/>
      <c r="AA536" s="126" t="n"/>
      <c r="AB536" s="126" t="n"/>
      <c r="AC536" s="126" t="n"/>
      <c r="AD536" s="126" t="n"/>
      <c r="AE536" s="126" t="n"/>
      <c r="AF536" s="126" t="n"/>
      <c r="AG536" s="126" t="n"/>
      <c r="AH536" s="126" t="n"/>
      <c r="AI536" s="126" t="n"/>
      <c r="AJ536" s="126" t="n"/>
      <c r="AK536" s="126" t="n"/>
      <c r="AL536" s="126" t="n"/>
      <c r="AM536" s="126" t="n"/>
      <c r="AN536" s="126" t="n"/>
    </row>
    <row r="537" ht="21" customFormat="1" customHeight="1" s="127">
      <c r="A537" s="51">
        <f>IF($B537="","",ROW()-6)</f>
        <v/>
      </c>
      <c r="B537" s="268" t="n"/>
      <c r="C537" s="133" t="n"/>
      <c r="D537" s="50" t="n"/>
      <c r="E537" s="265" t="n"/>
      <c r="F537" s="133" t="n"/>
      <c r="G537" s="133" t="n"/>
      <c r="H537" s="50" t="n"/>
      <c r="I537" s="51">
        <f>IF($C537="","",IFERROR(INDEX(WorkerIDs,MATCH($C537,WorkerNames,0)),"?"))</f>
        <v/>
      </c>
      <c r="J537" s="253">
        <f>IF($B537="","",$B537-WEEKDAY($B537,2)+1)</f>
        <v/>
      </c>
      <c r="K537" s="142">
        <f>IF(OR($I537="",$I537="?",$D537&lt;&gt;"Advance",$B537=""),"",$I537&amp;"|"&amp;$J537&amp;"|"&amp;COUNTIFS($I$7:$I537,$I537,$J$7:$J537,$J537,$D$7:$D537,"Advance"))</f>
        <v/>
      </c>
      <c r="L537" s="266">
        <f>IF(OR($I537="",$I537="?",$B537=""),"",SUMPRODUCT((Weeks!$A$7:$A$59&lt;=$J537)*(Weeks!$X$5:$AI$5=$I537)*Weeks!$X$7:$AI$59)-SUMIFS($E$7:$E$1006,$I$7:$I$1006,$I537,$B$7:$B$1006,"&lt;="&amp;$B537))</f>
        <v/>
      </c>
      <c r="M537" s="132">
        <f>IF($B537&amp;$C537&amp;$D537&amp;$E537="","",IF($B537="","missing date",IF($C537="","missing worker",IF($I537="?","unknown worker - was the name changed on Workers?",IF($D537="","missing type",IF(N($E537)=0,"missing amount",IF(AND($E537&lt;0,$D537&lt;&gt;"Correction"),"negative amount - use a Correction to undo",IF(OR($B537&lt;Weeks!$A$7,$B537&gt;Weeks!$B$59),"date outside this workbook's year",IF(AND($D537="Advance",N($L537)&lt;0),"Warning: more than earned so far - worker now owes "&amp;TEXT(ROUND(-$L537,0),"#,##0"),"")))))))))</f>
        <v/>
      </c>
      <c r="N537" s="125" t="n"/>
      <c r="O537" s="126" t="n"/>
      <c r="P537" s="126" t="n"/>
      <c r="Q537" s="126" t="n"/>
      <c r="R537" s="126" t="n"/>
      <c r="S537" s="126" t="n"/>
      <c r="T537" s="126" t="n"/>
      <c r="U537" s="126" t="n"/>
      <c r="V537" s="126" t="n"/>
      <c r="W537" s="126" t="n"/>
      <c r="X537" s="126" t="n"/>
      <c r="Y537" s="126" t="n"/>
      <c r="Z537" s="126" t="n"/>
      <c r="AA537" s="126" t="n"/>
      <c r="AB537" s="126" t="n"/>
      <c r="AC537" s="126" t="n"/>
      <c r="AD537" s="126" t="n"/>
      <c r="AE537" s="126" t="n"/>
      <c r="AF537" s="126" t="n"/>
      <c r="AG537" s="126" t="n"/>
      <c r="AH537" s="126" t="n"/>
      <c r="AI537" s="126" t="n"/>
      <c r="AJ537" s="126" t="n"/>
      <c r="AK537" s="126" t="n"/>
      <c r="AL537" s="126" t="n"/>
      <c r="AM537" s="126" t="n"/>
      <c r="AN537" s="126" t="n"/>
    </row>
    <row r="538" ht="21" customFormat="1" customHeight="1" s="127">
      <c r="A538" s="51">
        <f>IF($B538="","",ROW()-6)</f>
        <v/>
      </c>
      <c r="B538" s="268" t="n"/>
      <c r="C538" s="133" t="n"/>
      <c r="D538" s="50" t="n"/>
      <c r="E538" s="265" t="n"/>
      <c r="F538" s="133" t="n"/>
      <c r="G538" s="133" t="n"/>
      <c r="H538" s="50" t="n"/>
      <c r="I538" s="51">
        <f>IF($C538="","",IFERROR(INDEX(WorkerIDs,MATCH($C538,WorkerNames,0)),"?"))</f>
        <v/>
      </c>
      <c r="J538" s="253">
        <f>IF($B538="","",$B538-WEEKDAY($B538,2)+1)</f>
        <v/>
      </c>
      <c r="K538" s="142">
        <f>IF(OR($I538="",$I538="?",$D538&lt;&gt;"Advance",$B538=""),"",$I538&amp;"|"&amp;$J538&amp;"|"&amp;COUNTIFS($I$7:$I538,$I538,$J$7:$J538,$J538,$D$7:$D538,"Advance"))</f>
        <v/>
      </c>
      <c r="L538" s="266">
        <f>IF(OR($I538="",$I538="?",$B538=""),"",SUMPRODUCT((Weeks!$A$7:$A$59&lt;=$J538)*(Weeks!$X$5:$AI$5=$I538)*Weeks!$X$7:$AI$59)-SUMIFS($E$7:$E$1006,$I$7:$I$1006,$I538,$B$7:$B$1006,"&lt;="&amp;$B538))</f>
        <v/>
      </c>
      <c r="M538" s="132">
        <f>IF($B538&amp;$C538&amp;$D538&amp;$E538="","",IF($B538="","missing date",IF($C538="","missing worker",IF($I538="?","unknown worker - was the name changed on Workers?",IF($D538="","missing type",IF(N($E538)=0,"missing amount",IF(AND($E538&lt;0,$D538&lt;&gt;"Correction"),"negative amount - use a Correction to undo",IF(OR($B538&lt;Weeks!$A$7,$B538&gt;Weeks!$B$59),"date outside this workbook's year",IF(AND($D538="Advance",N($L538)&lt;0),"Warning: more than earned so far - worker now owes "&amp;TEXT(ROUND(-$L538,0),"#,##0"),"")))))))))</f>
        <v/>
      </c>
      <c r="N538" s="125" t="n"/>
      <c r="O538" s="126" t="n"/>
      <c r="P538" s="126" t="n"/>
      <c r="Q538" s="126" t="n"/>
      <c r="R538" s="126" t="n"/>
      <c r="S538" s="126" t="n"/>
      <c r="T538" s="126" t="n"/>
      <c r="U538" s="126" t="n"/>
      <c r="V538" s="126" t="n"/>
      <c r="W538" s="126" t="n"/>
      <c r="X538" s="126" t="n"/>
      <c r="Y538" s="126" t="n"/>
      <c r="Z538" s="126" t="n"/>
      <c r="AA538" s="126" t="n"/>
      <c r="AB538" s="126" t="n"/>
      <c r="AC538" s="126" t="n"/>
      <c r="AD538" s="126" t="n"/>
      <c r="AE538" s="126" t="n"/>
      <c r="AF538" s="126" t="n"/>
      <c r="AG538" s="126" t="n"/>
      <c r="AH538" s="126" t="n"/>
      <c r="AI538" s="126" t="n"/>
      <c r="AJ538" s="126" t="n"/>
      <c r="AK538" s="126" t="n"/>
      <c r="AL538" s="126" t="n"/>
      <c r="AM538" s="126" t="n"/>
      <c r="AN538" s="126" t="n"/>
    </row>
    <row r="539" ht="21" customFormat="1" customHeight="1" s="127">
      <c r="A539" s="51">
        <f>IF($B539="","",ROW()-6)</f>
        <v/>
      </c>
      <c r="B539" s="268" t="n"/>
      <c r="C539" s="133" t="n"/>
      <c r="D539" s="50" t="n"/>
      <c r="E539" s="265" t="n"/>
      <c r="F539" s="133" t="n"/>
      <c r="G539" s="133" t="n"/>
      <c r="H539" s="50" t="n"/>
      <c r="I539" s="51">
        <f>IF($C539="","",IFERROR(INDEX(WorkerIDs,MATCH($C539,WorkerNames,0)),"?"))</f>
        <v/>
      </c>
      <c r="J539" s="253">
        <f>IF($B539="","",$B539-WEEKDAY($B539,2)+1)</f>
        <v/>
      </c>
      <c r="K539" s="142">
        <f>IF(OR($I539="",$I539="?",$D539&lt;&gt;"Advance",$B539=""),"",$I539&amp;"|"&amp;$J539&amp;"|"&amp;COUNTIFS($I$7:$I539,$I539,$J$7:$J539,$J539,$D$7:$D539,"Advance"))</f>
        <v/>
      </c>
      <c r="L539" s="266">
        <f>IF(OR($I539="",$I539="?",$B539=""),"",SUMPRODUCT((Weeks!$A$7:$A$59&lt;=$J539)*(Weeks!$X$5:$AI$5=$I539)*Weeks!$X$7:$AI$59)-SUMIFS($E$7:$E$1006,$I$7:$I$1006,$I539,$B$7:$B$1006,"&lt;="&amp;$B539))</f>
        <v/>
      </c>
      <c r="M539" s="132">
        <f>IF($B539&amp;$C539&amp;$D539&amp;$E539="","",IF($B539="","missing date",IF($C539="","missing worker",IF($I539="?","unknown worker - was the name changed on Workers?",IF($D539="","missing type",IF(N($E539)=0,"missing amount",IF(AND($E539&lt;0,$D539&lt;&gt;"Correction"),"negative amount - use a Correction to undo",IF(OR($B539&lt;Weeks!$A$7,$B539&gt;Weeks!$B$59),"date outside this workbook's year",IF(AND($D539="Advance",N($L539)&lt;0),"Warning: more than earned so far - worker now owes "&amp;TEXT(ROUND(-$L539,0),"#,##0"),"")))))))))</f>
        <v/>
      </c>
      <c r="N539" s="125" t="n"/>
      <c r="O539" s="126" t="n"/>
      <c r="P539" s="126" t="n"/>
      <c r="Q539" s="126" t="n"/>
      <c r="R539" s="126" t="n"/>
      <c r="S539" s="126" t="n"/>
      <c r="T539" s="126" t="n"/>
      <c r="U539" s="126" t="n"/>
      <c r="V539" s="126" t="n"/>
      <c r="W539" s="126" t="n"/>
      <c r="X539" s="126" t="n"/>
      <c r="Y539" s="126" t="n"/>
      <c r="Z539" s="126" t="n"/>
      <c r="AA539" s="126" t="n"/>
      <c r="AB539" s="126" t="n"/>
      <c r="AC539" s="126" t="n"/>
      <c r="AD539" s="126" t="n"/>
      <c r="AE539" s="126" t="n"/>
      <c r="AF539" s="126" t="n"/>
      <c r="AG539" s="126" t="n"/>
      <c r="AH539" s="126" t="n"/>
      <c r="AI539" s="126" t="n"/>
      <c r="AJ539" s="126" t="n"/>
      <c r="AK539" s="126" t="n"/>
      <c r="AL539" s="126" t="n"/>
      <c r="AM539" s="126" t="n"/>
      <c r="AN539" s="126" t="n"/>
    </row>
    <row r="540" ht="21" customFormat="1" customHeight="1" s="127">
      <c r="A540" s="51">
        <f>IF($B540="","",ROW()-6)</f>
        <v/>
      </c>
      <c r="B540" s="268" t="n"/>
      <c r="C540" s="133" t="n"/>
      <c r="D540" s="50" t="n"/>
      <c r="E540" s="265" t="n"/>
      <c r="F540" s="133" t="n"/>
      <c r="G540" s="133" t="n"/>
      <c r="H540" s="50" t="n"/>
      <c r="I540" s="51">
        <f>IF($C540="","",IFERROR(INDEX(WorkerIDs,MATCH($C540,WorkerNames,0)),"?"))</f>
        <v/>
      </c>
      <c r="J540" s="253">
        <f>IF($B540="","",$B540-WEEKDAY($B540,2)+1)</f>
        <v/>
      </c>
      <c r="K540" s="142">
        <f>IF(OR($I540="",$I540="?",$D540&lt;&gt;"Advance",$B540=""),"",$I540&amp;"|"&amp;$J540&amp;"|"&amp;COUNTIFS($I$7:$I540,$I540,$J$7:$J540,$J540,$D$7:$D540,"Advance"))</f>
        <v/>
      </c>
      <c r="L540" s="266">
        <f>IF(OR($I540="",$I540="?",$B540=""),"",SUMPRODUCT((Weeks!$A$7:$A$59&lt;=$J540)*(Weeks!$X$5:$AI$5=$I540)*Weeks!$X$7:$AI$59)-SUMIFS($E$7:$E$1006,$I$7:$I$1006,$I540,$B$7:$B$1006,"&lt;="&amp;$B540))</f>
        <v/>
      </c>
      <c r="M540" s="132">
        <f>IF($B540&amp;$C540&amp;$D540&amp;$E540="","",IF($B540="","missing date",IF($C540="","missing worker",IF($I540="?","unknown worker - was the name changed on Workers?",IF($D540="","missing type",IF(N($E540)=0,"missing amount",IF(AND($E540&lt;0,$D540&lt;&gt;"Correction"),"negative amount - use a Correction to undo",IF(OR($B540&lt;Weeks!$A$7,$B540&gt;Weeks!$B$59),"date outside this workbook's year",IF(AND($D540="Advance",N($L540)&lt;0),"Warning: more than earned so far - worker now owes "&amp;TEXT(ROUND(-$L540,0),"#,##0"),"")))))))))</f>
        <v/>
      </c>
      <c r="N540" s="125" t="n"/>
      <c r="O540" s="126" t="n"/>
      <c r="P540" s="126" t="n"/>
      <c r="Q540" s="126" t="n"/>
      <c r="R540" s="126" t="n"/>
      <c r="S540" s="126" t="n"/>
      <c r="T540" s="126" t="n"/>
      <c r="U540" s="126" t="n"/>
      <c r="V540" s="126" t="n"/>
      <c r="W540" s="126" t="n"/>
      <c r="X540" s="126" t="n"/>
      <c r="Y540" s="126" t="n"/>
      <c r="Z540" s="126" t="n"/>
      <c r="AA540" s="126" t="n"/>
      <c r="AB540" s="126" t="n"/>
      <c r="AC540" s="126" t="n"/>
      <c r="AD540" s="126" t="n"/>
      <c r="AE540" s="126" t="n"/>
      <c r="AF540" s="126" t="n"/>
      <c r="AG540" s="126" t="n"/>
      <c r="AH540" s="126" t="n"/>
      <c r="AI540" s="126" t="n"/>
      <c r="AJ540" s="126" t="n"/>
      <c r="AK540" s="126" t="n"/>
      <c r="AL540" s="126" t="n"/>
      <c r="AM540" s="126" t="n"/>
      <c r="AN540" s="126" t="n"/>
    </row>
    <row r="541" ht="21" customFormat="1" customHeight="1" s="127">
      <c r="A541" s="51">
        <f>IF($B541="","",ROW()-6)</f>
        <v/>
      </c>
      <c r="B541" s="268" t="n"/>
      <c r="C541" s="133" t="n"/>
      <c r="D541" s="50" t="n"/>
      <c r="E541" s="265" t="n"/>
      <c r="F541" s="133" t="n"/>
      <c r="G541" s="133" t="n"/>
      <c r="H541" s="50" t="n"/>
      <c r="I541" s="51">
        <f>IF($C541="","",IFERROR(INDEX(WorkerIDs,MATCH($C541,WorkerNames,0)),"?"))</f>
        <v/>
      </c>
      <c r="J541" s="253">
        <f>IF($B541="","",$B541-WEEKDAY($B541,2)+1)</f>
        <v/>
      </c>
      <c r="K541" s="142">
        <f>IF(OR($I541="",$I541="?",$D541&lt;&gt;"Advance",$B541=""),"",$I541&amp;"|"&amp;$J541&amp;"|"&amp;COUNTIFS($I$7:$I541,$I541,$J$7:$J541,$J541,$D$7:$D541,"Advance"))</f>
        <v/>
      </c>
      <c r="L541" s="266">
        <f>IF(OR($I541="",$I541="?",$B541=""),"",SUMPRODUCT((Weeks!$A$7:$A$59&lt;=$J541)*(Weeks!$X$5:$AI$5=$I541)*Weeks!$X$7:$AI$59)-SUMIFS($E$7:$E$1006,$I$7:$I$1006,$I541,$B$7:$B$1006,"&lt;="&amp;$B541))</f>
        <v/>
      </c>
      <c r="M541" s="132">
        <f>IF($B541&amp;$C541&amp;$D541&amp;$E541="","",IF($B541="","missing date",IF($C541="","missing worker",IF($I541="?","unknown worker - was the name changed on Workers?",IF($D541="","missing type",IF(N($E541)=0,"missing amount",IF(AND($E541&lt;0,$D541&lt;&gt;"Correction"),"negative amount - use a Correction to undo",IF(OR($B541&lt;Weeks!$A$7,$B541&gt;Weeks!$B$59),"date outside this workbook's year",IF(AND($D541="Advance",N($L541)&lt;0),"Warning: more than earned so far - worker now owes "&amp;TEXT(ROUND(-$L541,0),"#,##0"),"")))))))))</f>
        <v/>
      </c>
      <c r="N541" s="125" t="n"/>
      <c r="O541" s="126" t="n"/>
      <c r="P541" s="126" t="n"/>
      <c r="Q541" s="126" t="n"/>
      <c r="R541" s="126" t="n"/>
      <c r="S541" s="126" t="n"/>
      <c r="T541" s="126" t="n"/>
      <c r="U541" s="126" t="n"/>
      <c r="V541" s="126" t="n"/>
      <c r="W541" s="126" t="n"/>
      <c r="X541" s="126" t="n"/>
      <c r="Y541" s="126" t="n"/>
      <c r="Z541" s="126" t="n"/>
      <c r="AA541" s="126" t="n"/>
      <c r="AB541" s="126" t="n"/>
      <c r="AC541" s="126" t="n"/>
      <c r="AD541" s="126" t="n"/>
      <c r="AE541" s="126" t="n"/>
      <c r="AF541" s="126" t="n"/>
      <c r="AG541" s="126" t="n"/>
      <c r="AH541" s="126" t="n"/>
      <c r="AI541" s="126" t="n"/>
      <c r="AJ541" s="126" t="n"/>
      <c r="AK541" s="126" t="n"/>
      <c r="AL541" s="126" t="n"/>
      <c r="AM541" s="126" t="n"/>
      <c r="AN541" s="126" t="n"/>
    </row>
    <row r="542" ht="21" customFormat="1" customHeight="1" s="127">
      <c r="A542" s="51">
        <f>IF($B542="","",ROW()-6)</f>
        <v/>
      </c>
      <c r="B542" s="268" t="n"/>
      <c r="C542" s="133" t="n"/>
      <c r="D542" s="50" t="n"/>
      <c r="E542" s="265" t="n"/>
      <c r="F542" s="133" t="n"/>
      <c r="G542" s="133" t="n"/>
      <c r="H542" s="50" t="n"/>
      <c r="I542" s="51">
        <f>IF($C542="","",IFERROR(INDEX(WorkerIDs,MATCH($C542,WorkerNames,0)),"?"))</f>
        <v/>
      </c>
      <c r="J542" s="253">
        <f>IF($B542="","",$B542-WEEKDAY($B542,2)+1)</f>
        <v/>
      </c>
      <c r="K542" s="142">
        <f>IF(OR($I542="",$I542="?",$D542&lt;&gt;"Advance",$B542=""),"",$I542&amp;"|"&amp;$J542&amp;"|"&amp;COUNTIFS($I$7:$I542,$I542,$J$7:$J542,$J542,$D$7:$D542,"Advance"))</f>
        <v/>
      </c>
      <c r="L542" s="266">
        <f>IF(OR($I542="",$I542="?",$B542=""),"",SUMPRODUCT((Weeks!$A$7:$A$59&lt;=$J542)*(Weeks!$X$5:$AI$5=$I542)*Weeks!$X$7:$AI$59)-SUMIFS($E$7:$E$1006,$I$7:$I$1006,$I542,$B$7:$B$1006,"&lt;="&amp;$B542))</f>
        <v/>
      </c>
      <c r="M542" s="132">
        <f>IF($B542&amp;$C542&amp;$D542&amp;$E542="","",IF($B542="","missing date",IF($C542="","missing worker",IF($I542="?","unknown worker - was the name changed on Workers?",IF($D542="","missing type",IF(N($E542)=0,"missing amount",IF(AND($E542&lt;0,$D542&lt;&gt;"Correction"),"negative amount - use a Correction to undo",IF(OR($B542&lt;Weeks!$A$7,$B542&gt;Weeks!$B$59),"date outside this workbook's year",IF(AND($D542="Advance",N($L542)&lt;0),"Warning: more than earned so far - worker now owes "&amp;TEXT(ROUND(-$L542,0),"#,##0"),"")))))))))</f>
        <v/>
      </c>
      <c r="N542" s="125" t="n"/>
      <c r="O542" s="126" t="n"/>
      <c r="P542" s="126" t="n"/>
      <c r="Q542" s="126" t="n"/>
      <c r="R542" s="126" t="n"/>
      <c r="S542" s="126" t="n"/>
      <c r="T542" s="126" t="n"/>
      <c r="U542" s="126" t="n"/>
      <c r="V542" s="126" t="n"/>
      <c r="W542" s="126" t="n"/>
      <c r="X542" s="126" t="n"/>
      <c r="Y542" s="126" t="n"/>
      <c r="Z542" s="126" t="n"/>
      <c r="AA542" s="126" t="n"/>
      <c r="AB542" s="126" t="n"/>
      <c r="AC542" s="126" t="n"/>
      <c r="AD542" s="126" t="n"/>
      <c r="AE542" s="126" t="n"/>
      <c r="AF542" s="126" t="n"/>
      <c r="AG542" s="126" t="n"/>
      <c r="AH542" s="126" t="n"/>
      <c r="AI542" s="126" t="n"/>
      <c r="AJ542" s="126" t="n"/>
      <c r="AK542" s="126" t="n"/>
      <c r="AL542" s="126" t="n"/>
      <c r="AM542" s="126" t="n"/>
      <c r="AN542" s="126" t="n"/>
    </row>
    <row r="543" ht="21" customFormat="1" customHeight="1" s="127">
      <c r="A543" s="51">
        <f>IF($B543="","",ROW()-6)</f>
        <v/>
      </c>
      <c r="B543" s="268" t="n"/>
      <c r="C543" s="133" t="n"/>
      <c r="D543" s="50" t="n"/>
      <c r="E543" s="265" t="n"/>
      <c r="F543" s="133" t="n"/>
      <c r="G543" s="133" t="n"/>
      <c r="H543" s="50" t="n"/>
      <c r="I543" s="51">
        <f>IF($C543="","",IFERROR(INDEX(WorkerIDs,MATCH($C543,WorkerNames,0)),"?"))</f>
        <v/>
      </c>
      <c r="J543" s="253">
        <f>IF($B543="","",$B543-WEEKDAY($B543,2)+1)</f>
        <v/>
      </c>
      <c r="K543" s="142">
        <f>IF(OR($I543="",$I543="?",$D543&lt;&gt;"Advance",$B543=""),"",$I543&amp;"|"&amp;$J543&amp;"|"&amp;COUNTIFS($I$7:$I543,$I543,$J$7:$J543,$J543,$D$7:$D543,"Advance"))</f>
        <v/>
      </c>
      <c r="L543" s="266">
        <f>IF(OR($I543="",$I543="?",$B543=""),"",SUMPRODUCT((Weeks!$A$7:$A$59&lt;=$J543)*(Weeks!$X$5:$AI$5=$I543)*Weeks!$X$7:$AI$59)-SUMIFS($E$7:$E$1006,$I$7:$I$1006,$I543,$B$7:$B$1006,"&lt;="&amp;$B543))</f>
        <v/>
      </c>
      <c r="M543" s="132">
        <f>IF($B543&amp;$C543&amp;$D543&amp;$E543="","",IF($B543="","missing date",IF($C543="","missing worker",IF($I543="?","unknown worker - was the name changed on Workers?",IF($D543="","missing type",IF(N($E543)=0,"missing amount",IF(AND($E543&lt;0,$D543&lt;&gt;"Correction"),"negative amount - use a Correction to undo",IF(OR($B543&lt;Weeks!$A$7,$B543&gt;Weeks!$B$59),"date outside this workbook's year",IF(AND($D543="Advance",N($L543)&lt;0),"Warning: more than earned so far - worker now owes "&amp;TEXT(ROUND(-$L543,0),"#,##0"),"")))))))))</f>
        <v/>
      </c>
      <c r="N543" s="125" t="n"/>
      <c r="O543" s="126" t="n"/>
      <c r="P543" s="126" t="n"/>
      <c r="Q543" s="126" t="n"/>
      <c r="R543" s="126" t="n"/>
      <c r="S543" s="126" t="n"/>
      <c r="T543" s="126" t="n"/>
      <c r="U543" s="126" t="n"/>
      <c r="V543" s="126" t="n"/>
      <c r="W543" s="126" t="n"/>
      <c r="X543" s="126" t="n"/>
      <c r="Y543" s="126" t="n"/>
      <c r="Z543" s="126" t="n"/>
      <c r="AA543" s="126" t="n"/>
      <c r="AB543" s="126" t="n"/>
      <c r="AC543" s="126" t="n"/>
      <c r="AD543" s="126" t="n"/>
      <c r="AE543" s="126" t="n"/>
      <c r="AF543" s="126" t="n"/>
      <c r="AG543" s="126" t="n"/>
      <c r="AH543" s="126" t="n"/>
      <c r="AI543" s="126" t="n"/>
      <c r="AJ543" s="126" t="n"/>
      <c r="AK543" s="126" t="n"/>
      <c r="AL543" s="126" t="n"/>
      <c r="AM543" s="126" t="n"/>
      <c r="AN543" s="126" t="n"/>
    </row>
    <row r="544" ht="21" customFormat="1" customHeight="1" s="127">
      <c r="A544" s="51">
        <f>IF($B544="","",ROW()-6)</f>
        <v/>
      </c>
      <c r="B544" s="268" t="n"/>
      <c r="C544" s="133" t="n"/>
      <c r="D544" s="50" t="n"/>
      <c r="E544" s="265" t="n"/>
      <c r="F544" s="133" t="n"/>
      <c r="G544" s="133" t="n"/>
      <c r="H544" s="50" t="n"/>
      <c r="I544" s="51">
        <f>IF($C544="","",IFERROR(INDEX(WorkerIDs,MATCH($C544,WorkerNames,0)),"?"))</f>
        <v/>
      </c>
      <c r="J544" s="253">
        <f>IF($B544="","",$B544-WEEKDAY($B544,2)+1)</f>
        <v/>
      </c>
      <c r="K544" s="142">
        <f>IF(OR($I544="",$I544="?",$D544&lt;&gt;"Advance",$B544=""),"",$I544&amp;"|"&amp;$J544&amp;"|"&amp;COUNTIFS($I$7:$I544,$I544,$J$7:$J544,$J544,$D$7:$D544,"Advance"))</f>
        <v/>
      </c>
      <c r="L544" s="266">
        <f>IF(OR($I544="",$I544="?",$B544=""),"",SUMPRODUCT((Weeks!$A$7:$A$59&lt;=$J544)*(Weeks!$X$5:$AI$5=$I544)*Weeks!$X$7:$AI$59)-SUMIFS($E$7:$E$1006,$I$7:$I$1006,$I544,$B$7:$B$1006,"&lt;="&amp;$B544))</f>
        <v/>
      </c>
      <c r="M544" s="132">
        <f>IF($B544&amp;$C544&amp;$D544&amp;$E544="","",IF($B544="","missing date",IF($C544="","missing worker",IF($I544="?","unknown worker - was the name changed on Workers?",IF($D544="","missing type",IF(N($E544)=0,"missing amount",IF(AND($E544&lt;0,$D544&lt;&gt;"Correction"),"negative amount - use a Correction to undo",IF(OR($B544&lt;Weeks!$A$7,$B544&gt;Weeks!$B$59),"date outside this workbook's year",IF(AND($D544="Advance",N($L544)&lt;0),"Warning: more than earned so far - worker now owes "&amp;TEXT(ROUND(-$L544,0),"#,##0"),"")))))))))</f>
        <v/>
      </c>
      <c r="N544" s="125" t="n"/>
      <c r="O544" s="126" t="n"/>
      <c r="P544" s="126" t="n"/>
      <c r="Q544" s="126" t="n"/>
      <c r="R544" s="126" t="n"/>
      <c r="S544" s="126" t="n"/>
      <c r="T544" s="126" t="n"/>
      <c r="U544" s="126" t="n"/>
      <c r="V544" s="126" t="n"/>
      <c r="W544" s="126" t="n"/>
      <c r="X544" s="126" t="n"/>
      <c r="Y544" s="126" t="n"/>
      <c r="Z544" s="126" t="n"/>
      <c r="AA544" s="126" t="n"/>
      <c r="AB544" s="126" t="n"/>
      <c r="AC544" s="126" t="n"/>
      <c r="AD544" s="126" t="n"/>
      <c r="AE544" s="126" t="n"/>
      <c r="AF544" s="126" t="n"/>
      <c r="AG544" s="126" t="n"/>
      <c r="AH544" s="126" t="n"/>
      <c r="AI544" s="126" t="n"/>
      <c r="AJ544" s="126" t="n"/>
      <c r="AK544" s="126" t="n"/>
      <c r="AL544" s="126" t="n"/>
      <c r="AM544" s="126" t="n"/>
      <c r="AN544" s="126" t="n"/>
    </row>
    <row r="545" ht="21" customFormat="1" customHeight="1" s="127">
      <c r="A545" s="51">
        <f>IF($B545="","",ROW()-6)</f>
        <v/>
      </c>
      <c r="B545" s="268" t="n"/>
      <c r="C545" s="133" t="n"/>
      <c r="D545" s="50" t="n"/>
      <c r="E545" s="265" t="n"/>
      <c r="F545" s="133" t="n"/>
      <c r="G545" s="133" t="n"/>
      <c r="H545" s="50" t="n"/>
      <c r="I545" s="51">
        <f>IF($C545="","",IFERROR(INDEX(WorkerIDs,MATCH($C545,WorkerNames,0)),"?"))</f>
        <v/>
      </c>
      <c r="J545" s="253">
        <f>IF($B545="","",$B545-WEEKDAY($B545,2)+1)</f>
        <v/>
      </c>
      <c r="K545" s="142">
        <f>IF(OR($I545="",$I545="?",$D545&lt;&gt;"Advance",$B545=""),"",$I545&amp;"|"&amp;$J545&amp;"|"&amp;COUNTIFS($I$7:$I545,$I545,$J$7:$J545,$J545,$D$7:$D545,"Advance"))</f>
        <v/>
      </c>
      <c r="L545" s="266">
        <f>IF(OR($I545="",$I545="?",$B545=""),"",SUMPRODUCT((Weeks!$A$7:$A$59&lt;=$J545)*(Weeks!$X$5:$AI$5=$I545)*Weeks!$X$7:$AI$59)-SUMIFS($E$7:$E$1006,$I$7:$I$1006,$I545,$B$7:$B$1006,"&lt;="&amp;$B545))</f>
        <v/>
      </c>
      <c r="M545" s="132">
        <f>IF($B545&amp;$C545&amp;$D545&amp;$E545="","",IF($B545="","missing date",IF($C545="","missing worker",IF($I545="?","unknown worker - was the name changed on Workers?",IF($D545="","missing type",IF(N($E545)=0,"missing amount",IF(AND($E545&lt;0,$D545&lt;&gt;"Correction"),"negative amount - use a Correction to undo",IF(OR($B545&lt;Weeks!$A$7,$B545&gt;Weeks!$B$59),"date outside this workbook's year",IF(AND($D545="Advance",N($L545)&lt;0),"Warning: more than earned so far - worker now owes "&amp;TEXT(ROUND(-$L545,0),"#,##0"),"")))))))))</f>
        <v/>
      </c>
      <c r="N545" s="125" t="n"/>
      <c r="O545" s="126" t="n"/>
      <c r="P545" s="126" t="n"/>
      <c r="Q545" s="126" t="n"/>
      <c r="R545" s="126" t="n"/>
      <c r="S545" s="126" t="n"/>
      <c r="T545" s="126" t="n"/>
      <c r="U545" s="126" t="n"/>
      <c r="V545" s="126" t="n"/>
      <c r="W545" s="126" t="n"/>
      <c r="X545" s="126" t="n"/>
      <c r="Y545" s="126" t="n"/>
      <c r="Z545" s="126" t="n"/>
      <c r="AA545" s="126" t="n"/>
      <c r="AB545" s="126" t="n"/>
      <c r="AC545" s="126" t="n"/>
      <c r="AD545" s="126" t="n"/>
      <c r="AE545" s="126" t="n"/>
      <c r="AF545" s="126" t="n"/>
      <c r="AG545" s="126" t="n"/>
      <c r="AH545" s="126" t="n"/>
      <c r="AI545" s="126" t="n"/>
      <c r="AJ545" s="126" t="n"/>
      <c r="AK545" s="126" t="n"/>
      <c r="AL545" s="126" t="n"/>
      <c r="AM545" s="126" t="n"/>
      <c r="AN545" s="126" t="n"/>
    </row>
    <row r="546" ht="21" customFormat="1" customHeight="1" s="127">
      <c r="A546" s="51">
        <f>IF($B546="","",ROW()-6)</f>
        <v/>
      </c>
      <c r="B546" s="268" t="n"/>
      <c r="C546" s="133" t="n"/>
      <c r="D546" s="50" t="n"/>
      <c r="E546" s="265" t="n"/>
      <c r="F546" s="133" t="n"/>
      <c r="G546" s="133" t="n"/>
      <c r="H546" s="50" t="n"/>
      <c r="I546" s="51">
        <f>IF($C546="","",IFERROR(INDEX(WorkerIDs,MATCH($C546,WorkerNames,0)),"?"))</f>
        <v/>
      </c>
      <c r="J546" s="253">
        <f>IF($B546="","",$B546-WEEKDAY($B546,2)+1)</f>
        <v/>
      </c>
      <c r="K546" s="142">
        <f>IF(OR($I546="",$I546="?",$D546&lt;&gt;"Advance",$B546=""),"",$I546&amp;"|"&amp;$J546&amp;"|"&amp;COUNTIFS($I$7:$I546,$I546,$J$7:$J546,$J546,$D$7:$D546,"Advance"))</f>
        <v/>
      </c>
      <c r="L546" s="266">
        <f>IF(OR($I546="",$I546="?",$B546=""),"",SUMPRODUCT((Weeks!$A$7:$A$59&lt;=$J546)*(Weeks!$X$5:$AI$5=$I546)*Weeks!$X$7:$AI$59)-SUMIFS($E$7:$E$1006,$I$7:$I$1006,$I546,$B$7:$B$1006,"&lt;="&amp;$B546))</f>
        <v/>
      </c>
      <c r="M546" s="132">
        <f>IF($B546&amp;$C546&amp;$D546&amp;$E546="","",IF($B546="","missing date",IF($C546="","missing worker",IF($I546="?","unknown worker - was the name changed on Workers?",IF($D546="","missing type",IF(N($E546)=0,"missing amount",IF(AND($E546&lt;0,$D546&lt;&gt;"Correction"),"negative amount - use a Correction to undo",IF(OR($B546&lt;Weeks!$A$7,$B546&gt;Weeks!$B$59),"date outside this workbook's year",IF(AND($D546="Advance",N($L546)&lt;0),"Warning: more than earned so far - worker now owes "&amp;TEXT(ROUND(-$L546,0),"#,##0"),"")))))))))</f>
        <v/>
      </c>
      <c r="N546" s="125" t="n"/>
      <c r="O546" s="126" t="n"/>
      <c r="P546" s="126" t="n"/>
      <c r="Q546" s="126" t="n"/>
      <c r="R546" s="126" t="n"/>
      <c r="S546" s="126" t="n"/>
      <c r="T546" s="126" t="n"/>
      <c r="U546" s="126" t="n"/>
      <c r="V546" s="126" t="n"/>
      <c r="W546" s="126" t="n"/>
      <c r="X546" s="126" t="n"/>
      <c r="Y546" s="126" t="n"/>
      <c r="Z546" s="126" t="n"/>
      <c r="AA546" s="126" t="n"/>
      <c r="AB546" s="126" t="n"/>
      <c r="AC546" s="126" t="n"/>
      <c r="AD546" s="126" t="n"/>
      <c r="AE546" s="126" t="n"/>
      <c r="AF546" s="126" t="n"/>
      <c r="AG546" s="126" t="n"/>
      <c r="AH546" s="126" t="n"/>
      <c r="AI546" s="126" t="n"/>
      <c r="AJ546" s="126" t="n"/>
      <c r="AK546" s="126" t="n"/>
      <c r="AL546" s="126" t="n"/>
      <c r="AM546" s="126" t="n"/>
      <c r="AN546" s="126" t="n"/>
    </row>
    <row r="547" ht="21" customFormat="1" customHeight="1" s="127">
      <c r="A547" s="51">
        <f>IF($B547="","",ROW()-6)</f>
        <v/>
      </c>
      <c r="B547" s="268" t="n"/>
      <c r="C547" s="133" t="n"/>
      <c r="D547" s="50" t="n"/>
      <c r="E547" s="265" t="n"/>
      <c r="F547" s="133" t="n"/>
      <c r="G547" s="133" t="n"/>
      <c r="H547" s="50" t="n"/>
      <c r="I547" s="51">
        <f>IF($C547="","",IFERROR(INDEX(WorkerIDs,MATCH($C547,WorkerNames,0)),"?"))</f>
        <v/>
      </c>
      <c r="J547" s="253">
        <f>IF($B547="","",$B547-WEEKDAY($B547,2)+1)</f>
        <v/>
      </c>
      <c r="K547" s="142">
        <f>IF(OR($I547="",$I547="?",$D547&lt;&gt;"Advance",$B547=""),"",$I547&amp;"|"&amp;$J547&amp;"|"&amp;COUNTIFS($I$7:$I547,$I547,$J$7:$J547,$J547,$D$7:$D547,"Advance"))</f>
        <v/>
      </c>
      <c r="L547" s="266">
        <f>IF(OR($I547="",$I547="?",$B547=""),"",SUMPRODUCT((Weeks!$A$7:$A$59&lt;=$J547)*(Weeks!$X$5:$AI$5=$I547)*Weeks!$X$7:$AI$59)-SUMIFS($E$7:$E$1006,$I$7:$I$1006,$I547,$B$7:$B$1006,"&lt;="&amp;$B547))</f>
        <v/>
      </c>
      <c r="M547" s="132">
        <f>IF($B547&amp;$C547&amp;$D547&amp;$E547="","",IF($B547="","missing date",IF($C547="","missing worker",IF($I547="?","unknown worker - was the name changed on Workers?",IF($D547="","missing type",IF(N($E547)=0,"missing amount",IF(AND($E547&lt;0,$D547&lt;&gt;"Correction"),"negative amount - use a Correction to undo",IF(OR($B547&lt;Weeks!$A$7,$B547&gt;Weeks!$B$59),"date outside this workbook's year",IF(AND($D547="Advance",N($L547)&lt;0),"Warning: more than earned so far - worker now owes "&amp;TEXT(ROUND(-$L547,0),"#,##0"),"")))))))))</f>
        <v/>
      </c>
      <c r="N547" s="125" t="n"/>
      <c r="O547" s="126" t="n"/>
      <c r="P547" s="126" t="n"/>
      <c r="Q547" s="126" t="n"/>
      <c r="R547" s="126" t="n"/>
      <c r="S547" s="126" t="n"/>
      <c r="T547" s="126" t="n"/>
      <c r="U547" s="126" t="n"/>
      <c r="V547" s="126" t="n"/>
      <c r="W547" s="126" t="n"/>
      <c r="X547" s="126" t="n"/>
      <c r="Y547" s="126" t="n"/>
      <c r="Z547" s="126" t="n"/>
      <c r="AA547" s="126" t="n"/>
      <c r="AB547" s="126" t="n"/>
      <c r="AC547" s="126" t="n"/>
      <c r="AD547" s="126" t="n"/>
      <c r="AE547" s="126" t="n"/>
      <c r="AF547" s="126" t="n"/>
      <c r="AG547" s="126" t="n"/>
      <c r="AH547" s="126" t="n"/>
      <c r="AI547" s="126" t="n"/>
      <c r="AJ547" s="126" t="n"/>
      <c r="AK547" s="126" t="n"/>
      <c r="AL547" s="126" t="n"/>
      <c r="AM547" s="126" t="n"/>
      <c r="AN547" s="126" t="n"/>
    </row>
    <row r="548" ht="21" customFormat="1" customHeight="1" s="127">
      <c r="A548" s="51">
        <f>IF($B548="","",ROW()-6)</f>
        <v/>
      </c>
      <c r="B548" s="268" t="n"/>
      <c r="C548" s="133" t="n"/>
      <c r="D548" s="50" t="n"/>
      <c r="E548" s="265" t="n"/>
      <c r="F548" s="133" t="n"/>
      <c r="G548" s="133" t="n"/>
      <c r="H548" s="50" t="n"/>
      <c r="I548" s="51">
        <f>IF($C548="","",IFERROR(INDEX(WorkerIDs,MATCH($C548,WorkerNames,0)),"?"))</f>
        <v/>
      </c>
      <c r="J548" s="253">
        <f>IF($B548="","",$B548-WEEKDAY($B548,2)+1)</f>
        <v/>
      </c>
      <c r="K548" s="142">
        <f>IF(OR($I548="",$I548="?",$D548&lt;&gt;"Advance",$B548=""),"",$I548&amp;"|"&amp;$J548&amp;"|"&amp;COUNTIFS($I$7:$I548,$I548,$J$7:$J548,$J548,$D$7:$D548,"Advance"))</f>
        <v/>
      </c>
      <c r="L548" s="266">
        <f>IF(OR($I548="",$I548="?",$B548=""),"",SUMPRODUCT((Weeks!$A$7:$A$59&lt;=$J548)*(Weeks!$X$5:$AI$5=$I548)*Weeks!$X$7:$AI$59)-SUMIFS($E$7:$E$1006,$I$7:$I$1006,$I548,$B$7:$B$1006,"&lt;="&amp;$B548))</f>
        <v/>
      </c>
      <c r="M548" s="132">
        <f>IF($B548&amp;$C548&amp;$D548&amp;$E548="","",IF($B548="","missing date",IF($C548="","missing worker",IF($I548="?","unknown worker - was the name changed on Workers?",IF($D548="","missing type",IF(N($E548)=0,"missing amount",IF(AND($E548&lt;0,$D548&lt;&gt;"Correction"),"negative amount - use a Correction to undo",IF(OR($B548&lt;Weeks!$A$7,$B548&gt;Weeks!$B$59),"date outside this workbook's year",IF(AND($D548="Advance",N($L548)&lt;0),"Warning: more than earned so far - worker now owes "&amp;TEXT(ROUND(-$L548,0),"#,##0"),"")))))))))</f>
        <v/>
      </c>
      <c r="N548" s="125" t="n"/>
      <c r="O548" s="126" t="n"/>
      <c r="P548" s="126" t="n"/>
      <c r="Q548" s="126" t="n"/>
      <c r="R548" s="126" t="n"/>
      <c r="S548" s="126" t="n"/>
      <c r="T548" s="126" t="n"/>
      <c r="U548" s="126" t="n"/>
      <c r="V548" s="126" t="n"/>
      <c r="W548" s="126" t="n"/>
      <c r="X548" s="126" t="n"/>
      <c r="Y548" s="126" t="n"/>
      <c r="Z548" s="126" t="n"/>
      <c r="AA548" s="126" t="n"/>
      <c r="AB548" s="126" t="n"/>
      <c r="AC548" s="126" t="n"/>
      <c r="AD548" s="126" t="n"/>
      <c r="AE548" s="126" t="n"/>
      <c r="AF548" s="126" t="n"/>
      <c r="AG548" s="126" t="n"/>
      <c r="AH548" s="126" t="n"/>
      <c r="AI548" s="126" t="n"/>
      <c r="AJ548" s="126" t="n"/>
      <c r="AK548" s="126" t="n"/>
      <c r="AL548" s="126" t="n"/>
      <c r="AM548" s="126" t="n"/>
      <c r="AN548" s="126" t="n"/>
    </row>
    <row r="549" ht="21" customFormat="1" customHeight="1" s="127">
      <c r="A549" s="51">
        <f>IF($B549="","",ROW()-6)</f>
        <v/>
      </c>
      <c r="B549" s="268" t="n"/>
      <c r="C549" s="133" t="n"/>
      <c r="D549" s="50" t="n"/>
      <c r="E549" s="265" t="n"/>
      <c r="F549" s="133" t="n"/>
      <c r="G549" s="133" t="n"/>
      <c r="H549" s="50" t="n"/>
      <c r="I549" s="51">
        <f>IF($C549="","",IFERROR(INDEX(WorkerIDs,MATCH($C549,WorkerNames,0)),"?"))</f>
        <v/>
      </c>
      <c r="J549" s="253">
        <f>IF($B549="","",$B549-WEEKDAY($B549,2)+1)</f>
        <v/>
      </c>
      <c r="K549" s="142">
        <f>IF(OR($I549="",$I549="?",$D549&lt;&gt;"Advance",$B549=""),"",$I549&amp;"|"&amp;$J549&amp;"|"&amp;COUNTIFS($I$7:$I549,$I549,$J$7:$J549,$J549,$D$7:$D549,"Advance"))</f>
        <v/>
      </c>
      <c r="L549" s="266">
        <f>IF(OR($I549="",$I549="?",$B549=""),"",SUMPRODUCT((Weeks!$A$7:$A$59&lt;=$J549)*(Weeks!$X$5:$AI$5=$I549)*Weeks!$X$7:$AI$59)-SUMIFS($E$7:$E$1006,$I$7:$I$1006,$I549,$B$7:$B$1006,"&lt;="&amp;$B549))</f>
        <v/>
      </c>
      <c r="M549" s="132">
        <f>IF($B549&amp;$C549&amp;$D549&amp;$E549="","",IF($B549="","missing date",IF($C549="","missing worker",IF($I549="?","unknown worker - was the name changed on Workers?",IF($D549="","missing type",IF(N($E549)=0,"missing amount",IF(AND($E549&lt;0,$D549&lt;&gt;"Correction"),"negative amount - use a Correction to undo",IF(OR($B549&lt;Weeks!$A$7,$B549&gt;Weeks!$B$59),"date outside this workbook's year",IF(AND($D549="Advance",N($L549)&lt;0),"Warning: more than earned so far - worker now owes "&amp;TEXT(ROUND(-$L549,0),"#,##0"),"")))))))))</f>
        <v/>
      </c>
      <c r="N549" s="125" t="n"/>
      <c r="O549" s="126" t="n"/>
      <c r="P549" s="126" t="n"/>
      <c r="Q549" s="126" t="n"/>
      <c r="R549" s="126" t="n"/>
      <c r="S549" s="126" t="n"/>
      <c r="T549" s="126" t="n"/>
      <c r="U549" s="126" t="n"/>
      <c r="V549" s="126" t="n"/>
      <c r="W549" s="126" t="n"/>
      <c r="X549" s="126" t="n"/>
      <c r="Y549" s="126" t="n"/>
      <c r="Z549" s="126" t="n"/>
      <c r="AA549" s="126" t="n"/>
      <c r="AB549" s="126" t="n"/>
      <c r="AC549" s="126" t="n"/>
      <c r="AD549" s="126" t="n"/>
      <c r="AE549" s="126" t="n"/>
      <c r="AF549" s="126" t="n"/>
      <c r="AG549" s="126" t="n"/>
      <c r="AH549" s="126" t="n"/>
      <c r="AI549" s="126" t="n"/>
      <c r="AJ549" s="126" t="n"/>
      <c r="AK549" s="126" t="n"/>
      <c r="AL549" s="126" t="n"/>
      <c r="AM549" s="126" t="n"/>
      <c r="AN549" s="126" t="n"/>
    </row>
    <row r="550" ht="21" customFormat="1" customHeight="1" s="127">
      <c r="A550" s="51">
        <f>IF($B550="","",ROW()-6)</f>
        <v/>
      </c>
      <c r="B550" s="268" t="n"/>
      <c r="C550" s="133" t="n"/>
      <c r="D550" s="50" t="n"/>
      <c r="E550" s="265" t="n"/>
      <c r="F550" s="133" t="n"/>
      <c r="G550" s="133" t="n"/>
      <c r="H550" s="50" t="n"/>
      <c r="I550" s="51">
        <f>IF($C550="","",IFERROR(INDEX(WorkerIDs,MATCH($C550,WorkerNames,0)),"?"))</f>
        <v/>
      </c>
      <c r="J550" s="253">
        <f>IF($B550="","",$B550-WEEKDAY($B550,2)+1)</f>
        <v/>
      </c>
      <c r="K550" s="142">
        <f>IF(OR($I550="",$I550="?",$D550&lt;&gt;"Advance",$B550=""),"",$I550&amp;"|"&amp;$J550&amp;"|"&amp;COUNTIFS($I$7:$I550,$I550,$J$7:$J550,$J550,$D$7:$D550,"Advance"))</f>
        <v/>
      </c>
      <c r="L550" s="266">
        <f>IF(OR($I550="",$I550="?",$B550=""),"",SUMPRODUCT((Weeks!$A$7:$A$59&lt;=$J550)*(Weeks!$X$5:$AI$5=$I550)*Weeks!$X$7:$AI$59)-SUMIFS($E$7:$E$1006,$I$7:$I$1006,$I550,$B$7:$B$1006,"&lt;="&amp;$B550))</f>
        <v/>
      </c>
      <c r="M550" s="132">
        <f>IF($B550&amp;$C550&amp;$D550&amp;$E550="","",IF($B550="","missing date",IF($C550="","missing worker",IF($I550="?","unknown worker - was the name changed on Workers?",IF($D550="","missing type",IF(N($E550)=0,"missing amount",IF(AND($E550&lt;0,$D550&lt;&gt;"Correction"),"negative amount - use a Correction to undo",IF(OR($B550&lt;Weeks!$A$7,$B550&gt;Weeks!$B$59),"date outside this workbook's year",IF(AND($D550="Advance",N($L550)&lt;0),"Warning: more than earned so far - worker now owes "&amp;TEXT(ROUND(-$L550,0),"#,##0"),"")))))))))</f>
        <v/>
      </c>
      <c r="N550" s="125" t="n"/>
      <c r="O550" s="126" t="n"/>
      <c r="P550" s="126" t="n"/>
      <c r="Q550" s="126" t="n"/>
      <c r="R550" s="126" t="n"/>
      <c r="S550" s="126" t="n"/>
      <c r="T550" s="126" t="n"/>
      <c r="U550" s="126" t="n"/>
      <c r="V550" s="126" t="n"/>
      <c r="W550" s="126" t="n"/>
      <c r="X550" s="126" t="n"/>
      <c r="Y550" s="126" t="n"/>
      <c r="Z550" s="126" t="n"/>
      <c r="AA550" s="126" t="n"/>
      <c r="AB550" s="126" t="n"/>
      <c r="AC550" s="126" t="n"/>
      <c r="AD550" s="126" t="n"/>
      <c r="AE550" s="126" t="n"/>
      <c r="AF550" s="126" t="n"/>
      <c r="AG550" s="126" t="n"/>
      <c r="AH550" s="126" t="n"/>
      <c r="AI550" s="126" t="n"/>
      <c r="AJ550" s="126" t="n"/>
      <c r="AK550" s="126" t="n"/>
      <c r="AL550" s="126" t="n"/>
      <c r="AM550" s="126" t="n"/>
      <c r="AN550" s="126" t="n"/>
    </row>
    <row r="551" ht="21" customFormat="1" customHeight="1" s="127">
      <c r="A551" s="51">
        <f>IF($B551="","",ROW()-6)</f>
        <v/>
      </c>
      <c r="B551" s="268" t="n"/>
      <c r="C551" s="133" t="n"/>
      <c r="D551" s="50" t="n"/>
      <c r="E551" s="265" t="n"/>
      <c r="F551" s="133" t="n"/>
      <c r="G551" s="133" t="n"/>
      <c r="H551" s="50" t="n"/>
      <c r="I551" s="51">
        <f>IF($C551="","",IFERROR(INDEX(WorkerIDs,MATCH($C551,WorkerNames,0)),"?"))</f>
        <v/>
      </c>
      <c r="J551" s="253">
        <f>IF($B551="","",$B551-WEEKDAY($B551,2)+1)</f>
        <v/>
      </c>
      <c r="K551" s="142">
        <f>IF(OR($I551="",$I551="?",$D551&lt;&gt;"Advance",$B551=""),"",$I551&amp;"|"&amp;$J551&amp;"|"&amp;COUNTIFS($I$7:$I551,$I551,$J$7:$J551,$J551,$D$7:$D551,"Advance"))</f>
        <v/>
      </c>
      <c r="L551" s="266">
        <f>IF(OR($I551="",$I551="?",$B551=""),"",SUMPRODUCT((Weeks!$A$7:$A$59&lt;=$J551)*(Weeks!$X$5:$AI$5=$I551)*Weeks!$X$7:$AI$59)-SUMIFS($E$7:$E$1006,$I$7:$I$1006,$I551,$B$7:$B$1006,"&lt;="&amp;$B551))</f>
        <v/>
      </c>
      <c r="M551" s="132">
        <f>IF($B551&amp;$C551&amp;$D551&amp;$E551="","",IF($B551="","missing date",IF($C551="","missing worker",IF($I551="?","unknown worker - was the name changed on Workers?",IF($D551="","missing type",IF(N($E551)=0,"missing amount",IF(AND($E551&lt;0,$D551&lt;&gt;"Correction"),"negative amount - use a Correction to undo",IF(OR($B551&lt;Weeks!$A$7,$B551&gt;Weeks!$B$59),"date outside this workbook's year",IF(AND($D551="Advance",N($L551)&lt;0),"Warning: more than earned so far - worker now owes "&amp;TEXT(ROUND(-$L551,0),"#,##0"),"")))))))))</f>
        <v/>
      </c>
      <c r="N551" s="125" t="n"/>
      <c r="O551" s="126" t="n"/>
      <c r="P551" s="126" t="n"/>
      <c r="Q551" s="126" t="n"/>
      <c r="R551" s="126" t="n"/>
      <c r="S551" s="126" t="n"/>
      <c r="T551" s="126" t="n"/>
      <c r="U551" s="126" t="n"/>
      <c r="V551" s="126" t="n"/>
      <c r="W551" s="126" t="n"/>
      <c r="X551" s="126" t="n"/>
      <c r="Y551" s="126" t="n"/>
      <c r="Z551" s="126" t="n"/>
      <c r="AA551" s="126" t="n"/>
      <c r="AB551" s="126" t="n"/>
      <c r="AC551" s="126" t="n"/>
      <c r="AD551" s="126" t="n"/>
      <c r="AE551" s="126" t="n"/>
      <c r="AF551" s="126" t="n"/>
      <c r="AG551" s="126" t="n"/>
      <c r="AH551" s="126" t="n"/>
      <c r="AI551" s="126" t="n"/>
      <c r="AJ551" s="126" t="n"/>
      <c r="AK551" s="126" t="n"/>
      <c r="AL551" s="126" t="n"/>
      <c r="AM551" s="126" t="n"/>
      <c r="AN551" s="126" t="n"/>
    </row>
    <row r="552" ht="21" customFormat="1" customHeight="1" s="127">
      <c r="A552" s="51">
        <f>IF($B552="","",ROW()-6)</f>
        <v/>
      </c>
      <c r="B552" s="268" t="n"/>
      <c r="C552" s="133" t="n"/>
      <c r="D552" s="50" t="n"/>
      <c r="E552" s="265" t="n"/>
      <c r="F552" s="133" t="n"/>
      <c r="G552" s="133" t="n"/>
      <c r="H552" s="50" t="n"/>
      <c r="I552" s="51">
        <f>IF($C552="","",IFERROR(INDEX(WorkerIDs,MATCH($C552,WorkerNames,0)),"?"))</f>
        <v/>
      </c>
      <c r="J552" s="253">
        <f>IF($B552="","",$B552-WEEKDAY($B552,2)+1)</f>
        <v/>
      </c>
      <c r="K552" s="142">
        <f>IF(OR($I552="",$I552="?",$D552&lt;&gt;"Advance",$B552=""),"",$I552&amp;"|"&amp;$J552&amp;"|"&amp;COUNTIFS($I$7:$I552,$I552,$J$7:$J552,$J552,$D$7:$D552,"Advance"))</f>
        <v/>
      </c>
      <c r="L552" s="266">
        <f>IF(OR($I552="",$I552="?",$B552=""),"",SUMPRODUCT((Weeks!$A$7:$A$59&lt;=$J552)*(Weeks!$X$5:$AI$5=$I552)*Weeks!$X$7:$AI$59)-SUMIFS($E$7:$E$1006,$I$7:$I$1006,$I552,$B$7:$B$1006,"&lt;="&amp;$B552))</f>
        <v/>
      </c>
      <c r="M552" s="132">
        <f>IF($B552&amp;$C552&amp;$D552&amp;$E552="","",IF($B552="","missing date",IF($C552="","missing worker",IF($I552="?","unknown worker - was the name changed on Workers?",IF($D552="","missing type",IF(N($E552)=0,"missing amount",IF(AND($E552&lt;0,$D552&lt;&gt;"Correction"),"negative amount - use a Correction to undo",IF(OR($B552&lt;Weeks!$A$7,$B552&gt;Weeks!$B$59),"date outside this workbook's year",IF(AND($D552="Advance",N($L552)&lt;0),"Warning: more than earned so far - worker now owes "&amp;TEXT(ROUND(-$L552,0),"#,##0"),"")))))))))</f>
        <v/>
      </c>
      <c r="N552" s="125" t="n"/>
      <c r="O552" s="126" t="n"/>
      <c r="P552" s="126" t="n"/>
      <c r="Q552" s="126" t="n"/>
      <c r="R552" s="126" t="n"/>
      <c r="S552" s="126" t="n"/>
      <c r="T552" s="126" t="n"/>
      <c r="U552" s="126" t="n"/>
      <c r="V552" s="126" t="n"/>
      <c r="W552" s="126" t="n"/>
      <c r="X552" s="126" t="n"/>
      <c r="Y552" s="126" t="n"/>
      <c r="Z552" s="126" t="n"/>
      <c r="AA552" s="126" t="n"/>
      <c r="AB552" s="126" t="n"/>
      <c r="AC552" s="126" t="n"/>
      <c r="AD552" s="126" t="n"/>
      <c r="AE552" s="126" t="n"/>
      <c r="AF552" s="126" t="n"/>
      <c r="AG552" s="126" t="n"/>
      <c r="AH552" s="126" t="n"/>
      <c r="AI552" s="126" t="n"/>
      <c r="AJ552" s="126" t="n"/>
      <c r="AK552" s="126" t="n"/>
      <c r="AL552" s="126" t="n"/>
      <c r="AM552" s="126" t="n"/>
      <c r="AN552" s="126" t="n"/>
    </row>
    <row r="553" ht="21" customFormat="1" customHeight="1" s="127">
      <c r="A553" s="51">
        <f>IF($B553="","",ROW()-6)</f>
        <v/>
      </c>
      <c r="B553" s="268" t="n"/>
      <c r="C553" s="133" t="n"/>
      <c r="D553" s="50" t="n"/>
      <c r="E553" s="265" t="n"/>
      <c r="F553" s="133" t="n"/>
      <c r="G553" s="133" t="n"/>
      <c r="H553" s="50" t="n"/>
      <c r="I553" s="51">
        <f>IF($C553="","",IFERROR(INDEX(WorkerIDs,MATCH($C553,WorkerNames,0)),"?"))</f>
        <v/>
      </c>
      <c r="J553" s="253">
        <f>IF($B553="","",$B553-WEEKDAY($B553,2)+1)</f>
        <v/>
      </c>
      <c r="K553" s="142">
        <f>IF(OR($I553="",$I553="?",$D553&lt;&gt;"Advance",$B553=""),"",$I553&amp;"|"&amp;$J553&amp;"|"&amp;COUNTIFS($I$7:$I553,$I553,$J$7:$J553,$J553,$D$7:$D553,"Advance"))</f>
        <v/>
      </c>
      <c r="L553" s="266">
        <f>IF(OR($I553="",$I553="?",$B553=""),"",SUMPRODUCT((Weeks!$A$7:$A$59&lt;=$J553)*(Weeks!$X$5:$AI$5=$I553)*Weeks!$X$7:$AI$59)-SUMIFS($E$7:$E$1006,$I$7:$I$1006,$I553,$B$7:$B$1006,"&lt;="&amp;$B553))</f>
        <v/>
      </c>
      <c r="M553" s="132">
        <f>IF($B553&amp;$C553&amp;$D553&amp;$E553="","",IF($B553="","missing date",IF($C553="","missing worker",IF($I553="?","unknown worker - was the name changed on Workers?",IF($D553="","missing type",IF(N($E553)=0,"missing amount",IF(AND($E553&lt;0,$D553&lt;&gt;"Correction"),"negative amount - use a Correction to undo",IF(OR($B553&lt;Weeks!$A$7,$B553&gt;Weeks!$B$59),"date outside this workbook's year",IF(AND($D553="Advance",N($L553)&lt;0),"Warning: more than earned so far - worker now owes "&amp;TEXT(ROUND(-$L553,0),"#,##0"),"")))))))))</f>
        <v/>
      </c>
      <c r="N553" s="125" t="n"/>
      <c r="O553" s="126" t="n"/>
      <c r="P553" s="126" t="n"/>
      <c r="Q553" s="126" t="n"/>
      <c r="R553" s="126" t="n"/>
      <c r="S553" s="126" t="n"/>
      <c r="T553" s="126" t="n"/>
      <c r="U553" s="126" t="n"/>
      <c r="V553" s="126" t="n"/>
      <c r="W553" s="126" t="n"/>
      <c r="X553" s="126" t="n"/>
      <c r="Y553" s="126" t="n"/>
      <c r="Z553" s="126" t="n"/>
      <c r="AA553" s="126" t="n"/>
      <c r="AB553" s="126" t="n"/>
      <c r="AC553" s="126" t="n"/>
      <c r="AD553" s="126" t="n"/>
      <c r="AE553" s="126" t="n"/>
      <c r="AF553" s="126" t="n"/>
      <c r="AG553" s="126" t="n"/>
      <c r="AH553" s="126" t="n"/>
      <c r="AI553" s="126" t="n"/>
      <c r="AJ553" s="126" t="n"/>
      <c r="AK553" s="126" t="n"/>
      <c r="AL553" s="126" t="n"/>
      <c r="AM553" s="126" t="n"/>
      <c r="AN553" s="126" t="n"/>
    </row>
    <row r="554" ht="21" customFormat="1" customHeight="1" s="127">
      <c r="A554" s="51">
        <f>IF($B554="","",ROW()-6)</f>
        <v/>
      </c>
      <c r="B554" s="268" t="n"/>
      <c r="C554" s="133" t="n"/>
      <c r="D554" s="50" t="n"/>
      <c r="E554" s="265" t="n"/>
      <c r="F554" s="133" t="n"/>
      <c r="G554" s="133" t="n"/>
      <c r="H554" s="50" t="n"/>
      <c r="I554" s="51">
        <f>IF($C554="","",IFERROR(INDEX(WorkerIDs,MATCH($C554,WorkerNames,0)),"?"))</f>
        <v/>
      </c>
      <c r="J554" s="253">
        <f>IF($B554="","",$B554-WEEKDAY($B554,2)+1)</f>
        <v/>
      </c>
      <c r="K554" s="142">
        <f>IF(OR($I554="",$I554="?",$D554&lt;&gt;"Advance",$B554=""),"",$I554&amp;"|"&amp;$J554&amp;"|"&amp;COUNTIFS($I$7:$I554,$I554,$J$7:$J554,$J554,$D$7:$D554,"Advance"))</f>
        <v/>
      </c>
      <c r="L554" s="266">
        <f>IF(OR($I554="",$I554="?",$B554=""),"",SUMPRODUCT((Weeks!$A$7:$A$59&lt;=$J554)*(Weeks!$X$5:$AI$5=$I554)*Weeks!$X$7:$AI$59)-SUMIFS($E$7:$E$1006,$I$7:$I$1006,$I554,$B$7:$B$1006,"&lt;="&amp;$B554))</f>
        <v/>
      </c>
      <c r="M554" s="132">
        <f>IF($B554&amp;$C554&amp;$D554&amp;$E554="","",IF($B554="","missing date",IF($C554="","missing worker",IF($I554="?","unknown worker - was the name changed on Workers?",IF($D554="","missing type",IF(N($E554)=0,"missing amount",IF(AND($E554&lt;0,$D554&lt;&gt;"Correction"),"negative amount - use a Correction to undo",IF(OR($B554&lt;Weeks!$A$7,$B554&gt;Weeks!$B$59),"date outside this workbook's year",IF(AND($D554="Advance",N($L554)&lt;0),"Warning: more than earned so far - worker now owes "&amp;TEXT(ROUND(-$L554,0),"#,##0"),"")))))))))</f>
        <v/>
      </c>
      <c r="N554" s="125" t="n"/>
      <c r="O554" s="126" t="n"/>
      <c r="P554" s="126" t="n"/>
      <c r="Q554" s="126" t="n"/>
      <c r="R554" s="126" t="n"/>
      <c r="S554" s="126" t="n"/>
      <c r="T554" s="126" t="n"/>
      <c r="U554" s="126" t="n"/>
      <c r="V554" s="126" t="n"/>
      <c r="W554" s="126" t="n"/>
      <c r="X554" s="126" t="n"/>
      <c r="Y554" s="126" t="n"/>
      <c r="Z554" s="126" t="n"/>
      <c r="AA554" s="126" t="n"/>
      <c r="AB554" s="126" t="n"/>
      <c r="AC554" s="126" t="n"/>
      <c r="AD554" s="126" t="n"/>
      <c r="AE554" s="126" t="n"/>
      <c r="AF554" s="126" t="n"/>
      <c r="AG554" s="126" t="n"/>
      <c r="AH554" s="126" t="n"/>
      <c r="AI554" s="126" t="n"/>
      <c r="AJ554" s="126" t="n"/>
      <c r="AK554" s="126" t="n"/>
      <c r="AL554" s="126" t="n"/>
      <c r="AM554" s="126" t="n"/>
      <c r="AN554" s="126" t="n"/>
    </row>
    <row r="555" ht="21" customFormat="1" customHeight="1" s="127">
      <c r="A555" s="51">
        <f>IF($B555="","",ROW()-6)</f>
        <v/>
      </c>
      <c r="B555" s="268" t="n"/>
      <c r="C555" s="133" t="n"/>
      <c r="D555" s="50" t="n"/>
      <c r="E555" s="265" t="n"/>
      <c r="F555" s="133" t="n"/>
      <c r="G555" s="133" t="n"/>
      <c r="H555" s="50" t="n"/>
      <c r="I555" s="51">
        <f>IF($C555="","",IFERROR(INDEX(WorkerIDs,MATCH($C555,WorkerNames,0)),"?"))</f>
        <v/>
      </c>
      <c r="J555" s="253">
        <f>IF($B555="","",$B555-WEEKDAY($B555,2)+1)</f>
        <v/>
      </c>
      <c r="K555" s="142">
        <f>IF(OR($I555="",$I555="?",$D555&lt;&gt;"Advance",$B555=""),"",$I555&amp;"|"&amp;$J555&amp;"|"&amp;COUNTIFS($I$7:$I555,$I555,$J$7:$J555,$J555,$D$7:$D555,"Advance"))</f>
        <v/>
      </c>
      <c r="L555" s="266">
        <f>IF(OR($I555="",$I555="?",$B555=""),"",SUMPRODUCT((Weeks!$A$7:$A$59&lt;=$J555)*(Weeks!$X$5:$AI$5=$I555)*Weeks!$X$7:$AI$59)-SUMIFS($E$7:$E$1006,$I$7:$I$1006,$I555,$B$7:$B$1006,"&lt;="&amp;$B555))</f>
        <v/>
      </c>
      <c r="M555" s="132">
        <f>IF($B555&amp;$C555&amp;$D555&amp;$E555="","",IF($B555="","missing date",IF($C555="","missing worker",IF($I555="?","unknown worker - was the name changed on Workers?",IF($D555="","missing type",IF(N($E555)=0,"missing amount",IF(AND($E555&lt;0,$D555&lt;&gt;"Correction"),"negative amount - use a Correction to undo",IF(OR($B555&lt;Weeks!$A$7,$B555&gt;Weeks!$B$59),"date outside this workbook's year",IF(AND($D555="Advance",N($L555)&lt;0),"Warning: more than earned so far - worker now owes "&amp;TEXT(ROUND(-$L555,0),"#,##0"),"")))))))))</f>
        <v/>
      </c>
      <c r="N555" s="125" t="n"/>
      <c r="O555" s="126" t="n"/>
      <c r="P555" s="126" t="n"/>
      <c r="Q555" s="126" t="n"/>
      <c r="R555" s="126" t="n"/>
      <c r="S555" s="126" t="n"/>
      <c r="T555" s="126" t="n"/>
      <c r="U555" s="126" t="n"/>
      <c r="V555" s="126" t="n"/>
      <c r="W555" s="126" t="n"/>
      <c r="X555" s="126" t="n"/>
      <c r="Y555" s="126" t="n"/>
      <c r="Z555" s="126" t="n"/>
      <c r="AA555" s="126" t="n"/>
      <c r="AB555" s="126" t="n"/>
      <c r="AC555" s="126" t="n"/>
      <c r="AD555" s="126" t="n"/>
      <c r="AE555" s="126" t="n"/>
      <c r="AF555" s="126" t="n"/>
      <c r="AG555" s="126" t="n"/>
      <c r="AH555" s="126" t="n"/>
      <c r="AI555" s="126" t="n"/>
      <c r="AJ555" s="126" t="n"/>
      <c r="AK555" s="126" t="n"/>
      <c r="AL555" s="126" t="n"/>
      <c r="AM555" s="126" t="n"/>
      <c r="AN555" s="126" t="n"/>
    </row>
    <row r="556" ht="21" customFormat="1" customHeight="1" s="127">
      <c r="A556" s="51">
        <f>IF($B556="","",ROW()-6)</f>
        <v/>
      </c>
      <c r="B556" s="268" t="n"/>
      <c r="C556" s="133" t="n"/>
      <c r="D556" s="50" t="n"/>
      <c r="E556" s="265" t="n"/>
      <c r="F556" s="133" t="n"/>
      <c r="G556" s="133" t="n"/>
      <c r="H556" s="50" t="n"/>
      <c r="I556" s="51">
        <f>IF($C556="","",IFERROR(INDEX(WorkerIDs,MATCH($C556,WorkerNames,0)),"?"))</f>
        <v/>
      </c>
      <c r="J556" s="253">
        <f>IF($B556="","",$B556-WEEKDAY($B556,2)+1)</f>
        <v/>
      </c>
      <c r="K556" s="142">
        <f>IF(OR($I556="",$I556="?",$D556&lt;&gt;"Advance",$B556=""),"",$I556&amp;"|"&amp;$J556&amp;"|"&amp;COUNTIFS($I$7:$I556,$I556,$J$7:$J556,$J556,$D$7:$D556,"Advance"))</f>
        <v/>
      </c>
      <c r="L556" s="266">
        <f>IF(OR($I556="",$I556="?",$B556=""),"",SUMPRODUCT((Weeks!$A$7:$A$59&lt;=$J556)*(Weeks!$X$5:$AI$5=$I556)*Weeks!$X$7:$AI$59)-SUMIFS($E$7:$E$1006,$I$7:$I$1006,$I556,$B$7:$B$1006,"&lt;="&amp;$B556))</f>
        <v/>
      </c>
      <c r="M556" s="132">
        <f>IF($B556&amp;$C556&amp;$D556&amp;$E556="","",IF($B556="","missing date",IF($C556="","missing worker",IF($I556="?","unknown worker - was the name changed on Workers?",IF($D556="","missing type",IF(N($E556)=0,"missing amount",IF(AND($E556&lt;0,$D556&lt;&gt;"Correction"),"negative amount - use a Correction to undo",IF(OR($B556&lt;Weeks!$A$7,$B556&gt;Weeks!$B$59),"date outside this workbook's year",IF(AND($D556="Advance",N($L556)&lt;0),"Warning: more than earned so far - worker now owes "&amp;TEXT(ROUND(-$L556,0),"#,##0"),"")))))))))</f>
        <v/>
      </c>
      <c r="N556" s="125" t="n"/>
      <c r="O556" s="126" t="n"/>
      <c r="P556" s="126" t="n"/>
      <c r="Q556" s="126" t="n"/>
      <c r="R556" s="126" t="n"/>
      <c r="S556" s="126" t="n"/>
      <c r="T556" s="126" t="n"/>
      <c r="U556" s="126" t="n"/>
      <c r="V556" s="126" t="n"/>
      <c r="W556" s="126" t="n"/>
      <c r="X556" s="126" t="n"/>
      <c r="Y556" s="126" t="n"/>
      <c r="Z556" s="126" t="n"/>
      <c r="AA556" s="126" t="n"/>
      <c r="AB556" s="126" t="n"/>
      <c r="AC556" s="126" t="n"/>
      <c r="AD556" s="126" t="n"/>
      <c r="AE556" s="126" t="n"/>
      <c r="AF556" s="126" t="n"/>
      <c r="AG556" s="126" t="n"/>
      <c r="AH556" s="126" t="n"/>
      <c r="AI556" s="126" t="n"/>
      <c r="AJ556" s="126" t="n"/>
      <c r="AK556" s="126" t="n"/>
      <c r="AL556" s="126" t="n"/>
      <c r="AM556" s="126" t="n"/>
      <c r="AN556" s="126" t="n"/>
    </row>
    <row r="557" ht="21" customFormat="1" customHeight="1" s="127">
      <c r="A557" s="51">
        <f>IF($B557="","",ROW()-6)</f>
        <v/>
      </c>
      <c r="B557" s="268" t="n"/>
      <c r="C557" s="133" t="n"/>
      <c r="D557" s="50" t="n"/>
      <c r="E557" s="265" t="n"/>
      <c r="F557" s="133" t="n"/>
      <c r="G557" s="133" t="n"/>
      <c r="H557" s="50" t="n"/>
      <c r="I557" s="51">
        <f>IF($C557="","",IFERROR(INDEX(WorkerIDs,MATCH($C557,WorkerNames,0)),"?"))</f>
        <v/>
      </c>
      <c r="J557" s="253">
        <f>IF($B557="","",$B557-WEEKDAY($B557,2)+1)</f>
        <v/>
      </c>
      <c r="K557" s="142">
        <f>IF(OR($I557="",$I557="?",$D557&lt;&gt;"Advance",$B557=""),"",$I557&amp;"|"&amp;$J557&amp;"|"&amp;COUNTIFS($I$7:$I557,$I557,$J$7:$J557,$J557,$D$7:$D557,"Advance"))</f>
        <v/>
      </c>
      <c r="L557" s="266">
        <f>IF(OR($I557="",$I557="?",$B557=""),"",SUMPRODUCT((Weeks!$A$7:$A$59&lt;=$J557)*(Weeks!$X$5:$AI$5=$I557)*Weeks!$X$7:$AI$59)-SUMIFS($E$7:$E$1006,$I$7:$I$1006,$I557,$B$7:$B$1006,"&lt;="&amp;$B557))</f>
        <v/>
      </c>
      <c r="M557" s="132">
        <f>IF($B557&amp;$C557&amp;$D557&amp;$E557="","",IF($B557="","missing date",IF($C557="","missing worker",IF($I557="?","unknown worker - was the name changed on Workers?",IF($D557="","missing type",IF(N($E557)=0,"missing amount",IF(AND($E557&lt;0,$D557&lt;&gt;"Correction"),"negative amount - use a Correction to undo",IF(OR($B557&lt;Weeks!$A$7,$B557&gt;Weeks!$B$59),"date outside this workbook's year",IF(AND($D557="Advance",N($L557)&lt;0),"Warning: more than earned so far - worker now owes "&amp;TEXT(ROUND(-$L557,0),"#,##0"),"")))))))))</f>
        <v/>
      </c>
      <c r="N557" s="125" t="n"/>
      <c r="O557" s="126" t="n"/>
      <c r="P557" s="126" t="n"/>
      <c r="Q557" s="126" t="n"/>
      <c r="R557" s="126" t="n"/>
      <c r="S557" s="126" t="n"/>
      <c r="T557" s="126" t="n"/>
      <c r="U557" s="126" t="n"/>
      <c r="V557" s="126" t="n"/>
      <c r="W557" s="126" t="n"/>
      <c r="X557" s="126" t="n"/>
      <c r="Y557" s="126" t="n"/>
      <c r="Z557" s="126" t="n"/>
      <c r="AA557" s="126" t="n"/>
      <c r="AB557" s="126" t="n"/>
      <c r="AC557" s="126" t="n"/>
      <c r="AD557" s="126" t="n"/>
      <c r="AE557" s="126" t="n"/>
      <c r="AF557" s="126" t="n"/>
      <c r="AG557" s="126" t="n"/>
      <c r="AH557" s="126" t="n"/>
      <c r="AI557" s="126" t="n"/>
      <c r="AJ557" s="126" t="n"/>
      <c r="AK557" s="126" t="n"/>
      <c r="AL557" s="126" t="n"/>
      <c r="AM557" s="126" t="n"/>
      <c r="AN557" s="126" t="n"/>
    </row>
    <row r="558" ht="21" customFormat="1" customHeight="1" s="127">
      <c r="A558" s="51">
        <f>IF($B558="","",ROW()-6)</f>
        <v/>
      </c>
      <c r="B558" s="268" t="n"/>
      <c r="C558" s="133" t="n"/>
      <c r="D558" s="50" t="n"/>
      <c r="E558" s="265" t="n"/>
      <c r="F558" s="133" t="n"/>
      <c r="G558" s="133" t="n"/>
      <c r="H558" s="50" t="n"/>
      <c r="I558" s="51">
        <f>IF($C558="","",IFERROR(INDEX(WorkerIDs,MATCH($C558,WorkerNames,0)),"?"))</f>
        <v/>
      </c>
      <c r="J558" s="253">
        <f>IF($B558="","",$B558-WEEKDAY($B558,2)+1)</f>
        <v/>
      </c>
      <c r="K558" s="142">
        <f>IF(OR($I558="",$I558="?",$D558&lt;&gt;"Advance",$B558=""),"",$I558&amp;"|"&amp;$J558&amp;"|"&amp;COUNTIFS($I$7:$I558,$I558,$J$7:$J558,$J558,$D$7:$D558,"Advance"))</f>
        <v/>
      </c>
      <c r="L558" s="266">
        <f>IF(OR($I558="",$I558="?",$B558=""),"",SUMPRODUCT((Weeks!$A$7:$A$59&lt;=$J558)*(Weeks!$X$5:$AI$5=$I558)*Weeks!$X$7:$AI$59)-SUMIFS($E$7:$E$1006,$I$7:$I$1006,$I558,$B$7:$B$1006,"&lt;="&amp;$B558))</f>
        <v/>
      </c>
      <c r="M558" s="132">
        <f>IF($B558&amp;$C558&amp;$D558&amp;$E558="","",IF($B558="","missing date",IF($C558="","missing worker",IF($I558="?","unknown worker - was the name changed on Workers?",IF($D558="","missing type",IF(N($E558)=0,"missing amount",IF(AND($E558&lt;0,$D558&lt;&gt;"Correction"),"negative amount - use a Correction to undo",IF(OR($B558&lt;Weeks!$A$7,$B558&gt;Weeks!$B$59),"date outside this workbook's year",IF(AND($D558="Advance",N($L558)&lt;0),"Warning: more than earned so far - worker now owes "&amp;TEXT(ROUND(-$L558,0),"#,##0"),"")))))))))</f>
        <v/>
      </c>
      <c r="N558" s="125" t="n"/>
      <c r="O558" s="126" t="n"/>
      <c r="P558" s="126" t="n"/>
      <c r="Q558" s="126" t="n"/>
      <c r="R558" s="126" t="n"/>
      <c r="S558" s="126" t="n"/>
      <c r="T558" s="126" t="n"/>
      <c r="U558" s="126" t="n"/>
      <c r="V558" s="126" t="n"/>
      <c r="W558" s="126" t="n"/>
      <c r="X558" s="126" t="n"/>
      <c r="Y558" s="126" t="n"/>
      <c r="Z558" s="126" t="n"/>
      <c r="AA558" s="126" t="n"/>
      <c r="AB558" s="126" t="n"/>
      <c r="AC558" s="126" t="n"/>
      <c r="AD558" s="126" t="n"/>
      <c r="AE558" s="126" t="n"/>
      <c r="AF558" s="126" t="n"/>
      <c r="AG558" s="126" t="n"/>
      <c r="AH558" s="126" t="n"/>
      <c r="AI558" s="126" t="n"/>
      <c r="AJ558" s="126" t="n"/>
      <c r="AK558" s="126" t="n"/>
      <c r="AL558" s="126" t="n"/>
      <c r="AM558" s="126" t="n"/>
      <c r="AN558" s="126" t="n"/>
    </row>
    <row r="559" ht="21" customFormat="1" customHeight="1" s="127">
      <c r="A559" s="51">
        <f>IF($B559="","",ROW()-6)</f>
        <v/>
      </c>
      <c r="B559" s="268" t="n"/>
      <c r="C559" s="133" t="n"/>
      <c r="D559" s="50" t="n"/>
      <c r="E559" s="265" t="n"/>
      <c r="F559" s="133" t="n"/>
      <c r="G559" s="133" t="n"/>
      <c r="H559" s="50" t="n"/>
      <c r="I559" s="51">
        <f>IF($C559="","",IFERROR(INDEX(WorkerIDs,MATCH($C559,WorkerNames,0)),"?"))</f>
        <v/>
      </c>
      <c r="J559" s="253">
        <f>IF($B559="","",$B559-WEEKDAY($B559,2)+1)</f>
        <v/>
      </c>
      <c r="K559" s="142">
        <f>IF(OR($I559="",$I559="?",$D559&lt;&gt;"Advance",$B559=""),"",$I559&amp;"|"&amp;$J559&amp;"|"&amp;COUNTIFS($I$7:$I559,$I559,$J$7:$J559,$J559,$D$7:$D559,"Advance"))</f>
        <v/>
      </c>
      <c r="L559" s="266">
        <f>IF(OR($I559="",$I559="?",$B559=""),"",SUMPRODUCT((Weeks!$A$7:$A$59&lt;=$J559)*(Weeks!$X$5:$AI$5=$I559)*Weeks!$X$7:$AI$59)-SUMIFS($E$7:$E$1006,$I$7:$I$1006,$I559,$B$7:$B$1006,"&lt;="&amp;$B559))</f>
        <v/>
      </c>
      <c r="M559" s="132">
        <f>IF($B559&amp;$C559&amp;$D559&amp;$E559="","",IF($B559="","missing date",IF($C559="","missing worker",IF($I559="?","unknown worker - was the name changed on Workers?",IF($D559="","missing type",IF(N($E559)=0,"missing amount",IF(AND($E559&lt;0,$D559&lt;&gt;"Correction"),"negative amount - use a Correction to undo",IF(OR($B559&lt;Weeks!$A$7,$B559&gt;Weeks!$B$59),"date outside this workbook's year",IF(AND($D559="Advance",N($L559)&lt;0),"Warning: more than earned so far - worker now owes "&amp;TEXT(ROUND(-$L559,0),"#,##0"),"")))))))))</f>
        <v/>
      </c>
      <c r="N559" s="125" t="n"/>
      <c r="O559" s="126" t="n"/>
      <c r="P559" s="126" t="n"/>
      <c r="Q559" s="126" t="n"/>
      <c r="R559" s="126" t="n"/>
      <c r="S559" s="126" t="n"/>
      <c r="T559" s="126" t="n"/>
      <c r="U559" s="126" t="n"/>
      <c r="V559" s="126" t="n"/>
      <c r="W559" s="126" t="n"/>
      <c r="X559" s="126" t="n"/>
      <c r="Y559" s="126" t="n"/>
      <c r="Z559" s="126" t="n"/>
      <c r="AA559" s="126" t="n"/>
      <c r="AB559" s="126" t="n"/>
      <c r="AC559" s="126" t="n"/>
      <c r="AD559" s="126" t="n"/>
      <c r="AE559" s="126" t="n"/>
      <c r="AF559" s="126" t="n"/>
      <c r="AG559" s="126" t="n"/>
      <c r="AH559" s="126" t="n"/>
      <c r="AI559" s="126" t="n"/>
      <c r="AJ559" s="126" t="n"/>
      <c r="AK559" s="126" t="n"/>
      <c r="AL559" s="126" t="n"/>
      <c r="AM559" s="126" t="n"/>
      <c r="AN559" s="126" t="n"/>
    </row>
    <row r="560" ht="21" customFormat="1" customHeight="1" s="127">
      <c r="A560" s="51">
        <f>IF($B560="","",ROW()-6)</f>
        <v/>
      </c>
      <c r="B560" s="268" t="n"/>
      <c r="C560" s="133" t="n"/>
      <c r="D560" s="50" t="n"/>
      <c r="E560" s="265" t="n"/>
      <c r="F560" s="133" t="n"/>
      <c r="G560" s="133" t="n"/>
      <c r="H560" s="50" t="n"/>
      <c r="I560" s="51">
        <f>IF($C560="","",IFERROR(INDEX(WorkerIDs,MATCH($C560,WorkerNames,0)),"?"))</f>
        <v/>
      </c>
      <c r="J560" s="253">
        <f>IF($B560="","",$B560-WEEKDAY($B560,2)+1)</f>
        <v/>
      </c>
      <c r="K560" s="142">
        <f>IF(OR($I560="",$I560="?",$D560&lt;&gt;"Advance",$B560=""),"",$I560&amp;"|"&amp;$J560&amp;"|"&amp;COUNTIFS($I$7:$I560,$I560,$J$7:$J560,$J560,$D$7:$D560,"Advance"))</f>
        <v/>
      </c>
      <c r="L560" s="266">
        <f>IF(OR($I560="",$I560="?",$B560=""),"",SUMPRODUCT((Weeks!$A$7:$A$59&lt;=$J560)*(Weeks!$X$5:$AI$5=$I560)*Weeks!$X$7:$AI$59)-SUMIFS($E$7:$E$1006,$I$7:$I$1006,$I560,$B$7:$B$1006,"&lt;="&amp;$B560))</f>
        <v/>
      </c>
      <c r="M560" s="132">
        <f>IF($B560&amp;$C560&amp;$D560&amp;$E560="","",IF($B560="","missing date",IF($C560="","missing worker",IF($I560="?","unknown worker - was the name changed on Workers?",IF($D560="","missing type",IF(N($E560)=0,"missing amount",IF(AND($E560&lt;0,$D560&lt;&gt;"Correction"),"negative amount - use a Correction to undo",IF(OR($B560&lt;Weeks!$A$7,$B560&gt;Weeks!$B$59),"date outside this workbook's year",IF(AND($D560="Advance",N($L560)&lt;0),"Warning: more than earned so far - worker now owes "&amp;TEXT(ROUND(-$L560,0),"#,##0"),"")))))))))</f>
        <v/>
      </c>
      <c r="N560" s="125" t="n"/>
      <c r="O560" s="126" t="n"/>
      <c r="P560" s="126" t="n"/>
      <c r="Q560" s="126" t="n"/>
      <c r="R560" s="126" t="n"/>
      <c r="S560" s="126" t="n"/>
      <c r="T560" s="126" t="n"/>
      <c r="U560" s="126" t="n"/>
      <c r="V560" s="126" t="n"/>
      <c r="W560" s="126" t="n"/>
      <c r="X560" s="126" t="n"/>
      <c r="Y560" s="126" t="n"/>
      <c r="Z560" s="126" t="n"/>
      <c r="AA560" s="126" t="n"/>
      <c r="AB560" s="126" t="n"/>
      <c r="AC560" s="126" t="n"/>
      <c r="AD560" s="126" t="n"/>
      <c r="AE560" s="126" t="n"/>
      <c r="AF560" s="126" t="n"/>
      <c r="AG560" s="126" t="n"/>
      <c r="AH560" s="126" t="n"/>
      <c r="AI560" s="126" t="n"/>
      <c r="AJ560" s="126" t="n"/>
      <c r="AK560" s="126" t="n"/>
      <c r="AL560" s="126" t="n"/>
      <c r="AM560" s="126" t="n"/>
      <c r="AN560" s="126" t="n"/>
    </row>
    <row r="561" ht="21" customFormat="1" customHeight="1" s="127">
      <c r="A561" s="51">
        <f>IF($B561="","",ROW()-6)</f>
        <v/>
      </c>
      <c r="B561" s="268" t="n"/>
      <c r="C561" s="133" t="n"/>
      <c r="D561" s="50" t="n"/>
      <c r="E561" s="265" t="n"/>
      <c r="F561" s="133" t="n"/>
      <c r="G561" s="133" t="n"/>
      <c r="H561" s="50" t="n"/>
      <c r="I561" s="51">
        <f>IF($C561="","",IFERROR(INDEX(WorkerIDs,MATCH($C561,WorkerNames,0)),"?"))</f>
        <v/>
      </c>
      <c r="J561" s="253">
        <f>IF($B561="","",$B561-WEEKDAY($B561,2)+1)</f>
        <v/>
      </c>
      <c r="K561" s="142">
        <f>IF(OR($I561="",$I561="?",$D561&lt;&gt;"Advance",$B561=""),"",$I561&amp;"|"&amp;$J561&amp;"|"&amp;COUNTIFS($I$7:$I561,$I561,$J$7:$J561,$J561,$D$7:$D561,"Advance"))</f>
        <v/>
      </c>
      <c r="L561" s="266">
        <f>IF(OR($I561="",$I561="?",$B561=""),"",SUMPRODUCT((Weeks!$A$7:$A$59&lt;=$J561)*(Weeks!$X$5:$AI$5=$I561)*Weeks!$X$7:$AI$59)-SUMIFS($E$7:$E$1006,$I$7:$I$1006,$I561,$B$7:$B$1006,"&lt;="&amp;$B561))</f>
        <v/>
      </c>
      <c r="M561" s="132">
        <f>IF($B561&amp;$C561&amp;$D561&amp;$E561="","",IF($B561="","missing date",IF($C561="","missing worker",IF($I561="?","unknown worker - was the name changed on Workers?",IF($D561="","missing type",IF(N($E561)=0,"missing amount",IF(AND($E561&lt;0,$D561&lt;&gt;"Correction"),"negative amount - use a Correction to undo",IF(OR($B561&lt;Weeks!$A$7,$B561&gt;Weeks!$B$59),"date outside this workbook's year",IF(AND($D561="Advance",N($L561)&lt;0),"Warning: more than earned so far - worker now owes "&amp;TEXT(ROUND(-$L561,0),"#,##0"),"")))))))))</f>
        <v/>
      </c>
      <c r="N561" s="125" t="n"/>
      <c r="O561" s="126" t="n"/>
      <c r="P561" s="126" t="n"/>
      <c r="Q561" s="126" t="n"/>
      <c r="R561" s="126" t="n"/>
      <c r="S561" s="126" t="n"/>
      <c r="T561" s="126" t="n"/>
      <c r="U561" s="126" t="n"/>
      <c r="V561" s="126" t="n"/>
      <c r="W561" s="126" t="n"/>
      <c r="X561" s="126" t="n"/>
      <c r="Y561" s="126" t="n"/>
      <c r="Z561" s="126" t="n"/>
      <c r="AA561" s="126" t="n"/>
      <c r="AB561" s="126" t="n"/>
      <c r="AC561" s="126" t="n"/>
      <c r="AD561" s="126" t="n"/>
      <c r="AE561" s="126" t="n"/>
      <c r="AF561" s="126" t="n"/>
      <c r="AG561" s="126" t="n"/>
      <c r="AH561" s="126" t="n"/>
      <c r="AI561" s="126" t="n"/>
      <c r="AJ561" s="126" t="n"/>
      <c r="AK561" s="126" t="n"/>
      <c r="AL561" s="126" t="n"/>
      <c r="AM561" s="126" t="n"/>
      <c r="AN561" s="126" t="n"/>
    </row>
    <row r="562" ht="21" customFormat="1" customHeight="1" s="127">
      <c r="A562" s="51">
        <f>IF($B562="","",ROW()-6)</f>
        <v/>
      </c>
      <c r="B562" s="268" t="n"/>
      <c r="C562" s="133" t="n"/>
      <c r="D562" s="50" t="n"/>
      <c r="E562" s="265" t="n"/>
      <c r="F562" s="133" t="n"/>
      <c r="G562" s="133" t="n"/>
      <c r="H562" s="50" t="n"/>
      <c r="I562" s="51">
        <f>IF($C562="","",IFERROR(INDEX(WorkerIDs,MATCH($C562,WorkerNames,0)),"?"))</f>
        <v/>
      </c>
      <c r="J562" s="253">
        <f>IF($B562="","",$B562-WEEKDAY($B562,2)+1)</f>
        <v/>
      </c>
      <c r="K562" s="142">
        <f>IF(OR($I562="",$I562="?",$D562&lt;&gt;"Advance",$B562=""),"",$I562&amp;"|"&amp;$J562&amp;"|"&amp;COUNTIFS($I$7:$I562,$I562,$J$7:$J562,$J562,$D$7:$D562,"Advance"))</f>
        <v/>
      </c>
      <c r="L562" s="266">
        <f>IF(OR($I562="",$I562="?",$B562=""),"",SUMPRODUCT((Weeks!$A$7:$A$59&lt;=$J562)*(Weeks!$X$5:$AI$5=$I562)*Weeks!$X$7:$AI$59)-SUMIFS($E$7:$E$1006,$I$7:$I$1006,$I562,$B$7:$B$1006,"&lt;="&amp;$B562))</f>
        <v/>
      </c>
      <c r="M562" s="132">
        <f>IF($B562&amp;$C562&amp;$D562&amp;$E562="","",IF($B562="","missing date",IF($C562="","missing worker",IF($I562="?","unknown worker - was the name changed on Workers?",IF($D562="","missing type",IF(N($E562)=0,"missing amount",IF(AND($E562&lt;0,$D562&lt;&gt;"Correction"),"negative amount - use a Correction to undo",IF(OR($B562&lt;Weeks!$A$7,$B562&gt;Weeks!$B$59),"date outside this workbook's year",IF(AND($D562="Advance",N($L562)&lt;0),"Warning: more than earned so far - worker now owes "&amp;TEXT(ROUND(-$L562,0),"#,##0"),"")))))))))</f>
        <v/>
      </c>
      <c r="N562" s="125" t="n"/>
      <c r="O562" s="126" t="n"/>
      <c r="P562" s="126" t="n"/>
      <c r="Q562" s="126" t="n"/>
      <c r="R562" s="126" t="n"/>
      <c r="S562" s="126" t="n"/>
      <c r="T562" s="126" t="n"/>
      <c r="U562" s="126" t="n"/>
      <c r="V562" s="126" t="n"/>
      <c r="W562" s="126" t="n"/>
      <c r="X562" s="126" t="n"/>
      <c r="Y562" s="126" t="n"/>
      <c r="Z562" s="126" t="n"/>
      <c r="AA562" s="126" t="n"/>
      <c r="AB562" s="126" t="n"/>
      <c r="AC562" s="126" t="n"/>
      <c r="AD562" s="126" t="n"/>
      <c r="AE562" s="126" t="n"/>
      <c r="AF562" s="126" t="n"/>
      <c r="AG562" s="126" t="n"/>
      <c r="AH562" s="126" t="n"/>
      <c r="AI562" s="126" t="n"/>
      <c r="AJ562" s="126" t="n"/>
      <c r="AK562" s="126" t="n"/>
      <c r="AL562" s="126" t="n"/>
      <c r="AM562" s="126" t="n"/>
      <c r="AN562" s="126" t="n"/>
    </row>
    <row r="563" ht="21" customFormat="1" customHeight="1" s="127">
      <c r="A563" s="51">
        <f>IF($B563="","",ROW()-6)</f>
        <v/>
      </c>
      <c r="B563" s="268" t="n"/>
      <c r="C563" s="133" t="n"/>
      <c r="D563" s="50" t="n"/>
      <c r="E563" s="265" t="n"/>
      <c r="F563" s="133" t="n"/>
      <c r="G563" s="133" t="n"/>
      <c r="H563" s="50" t="n"/>
      <c r="I563" s="51">
        <f>IF($C563="","",IFERROR(INDEX(WorkerIDs,MATCH($C563,WorkerNames,0)),"?"))</f>
        <v/>
      </c>
      <c r="J563" s="253">
        <f>IF($B563="","",$B563-WEEKDAY($B563,2)+1)</f>
        <v/>
      </c>
      <c r="K563" s="142">
        <f>IF(OR($I563="",$I563="?",$D563&lt;&gt;"Advance",$B563=""),"",$I563&amp;"|"&amp;$J563&amp;"|"&amp;COUNTIFS($I$7:$I563,$I563,$J$7:$J563,$J563,$D$7:$D563,"Advance"))</f>
        <v/>
      </c>
      <c r="L563" s="266">
        <f>IF(OR($I563="",$I563="?",$B563=""),"",SUMPRODUCT((Weeks!$A$7:$A$59&lt;=$J563)*(Weeks!$X$5:$AI$5=$I563)*Weeks!$X$7:$AI$59)-SUMIFS($E$7:$E$1006,$I$7:$I$1006,$I563,$B$7:$B$1006,"&lt;="&amp;$B563))</f>
        <v/>
      </c>
      <c r="M563" s="132">
        <f>IF($B563&amp;$C563&amp;$D563&amp;$E563="","",IF($B563="","missing date",IF($C563="","missing worker",IF($I563="?","unknown worker - was the name changed on Workers?",IF($D563="","missing type",IF(N($E563)=0,"missing amount",IF(AND($E563&lt;0,$D563&lt;&gt;"Correction"),"negative amount - use a Correction to undo",IF(OR($B563&lt;Weeks!$A$7,$B563&gt;Weeks!$B$59),"date outside this workbook's year",IF(AND($D563="Advance",N($L563)&lt;0),"Warning: more than earned so far - worker now owes "&amp;TEXT(ROUND(-$L563,0),"#,##0"),"")))))))))</f>
        <v/>
      </c>
      <c r="N563" s="125" t="n"/>
      <c r="O563" s="126" t="n"/>
      <c r="P563" s="126" t="n"/>
      <c r="Q563" s="126" t="n"/>
      <c r="R563" s="126" t="n"/>
      <c r="S563" s="126" t="n"/>
      <c r="T563" s="126" t="n"/>
      <c r="U563" s="126" t="n"/>
      <c r="V563" s="126" t="n"/>
      <c r="W563" s="126" t="n"/>
      <c r="X563" s="126" t="n"/>
      <c r="Y563" s="126" t="n"/>
      <c r="Z563" s="126" t="n"/>
      <c r="AA563" s="126" t="n"/>
      <c r="AB563" s="126" t="n"/>
      <c r="AC563" s="126" t="n"/>
      <c r="AD563" s="126" t="n"/>
      <c r="AE563" s="126" t="n"/>
      <c r="AF563" s="126" t="n"/>
      <c r="AG563" s="126" t="n"/>
      <c r="AH563" s="126" t="n"/>
      <c r="AI563" s="126" t="n"/>
      <c r="AJ563" s="126" t="n"/>
      <c r="AK563" s="126" t="n"/>
      <c r="AL563" s="126" t="n"/>
      <c r="AM563" s="126" t="n"/>
      <c r="AN563" s="126" t="n"/>
    </row>
    <row r="564" ht="21" customFormat="1" customHeight="1" s="127">
      <c r="A564" s="51">
        <f>IF($B564="","",ROW()-6)</f>
        <v/>
      </c>
      <c r="B564" s="268" t="n"/>
      <c r="C564" s="133" t="n"/>
      <c r="D564" s="50" t="n"/>
      <c r="E564" s="265" t="n"/>
      <c r="F564" s="133" t="n"/>
      <c r="G564" s="133" t="n"/>
      <c r="H564" s="50" t="n"/>
      <c r="I564" s="51">
        <f>IF($C564="","",IFERROR(INDEX(WorkerIDs,MATCH($C564,WorkerNames,0)),"?"))</f>
        <v/>
      </c>
      <c r="J564" s="253">
        <f>IF($B564="","",$B564-WEEKDAY($B564,2)+1)</f>
        <v/>
      </c>
      <c r="K564" s="142">
        <f>IF(OR($I564="",$I564="?",$D564&lt;&gt;"Advance",$B564=""),"",$I564&amp;"|"&amp;$J564&amp;"|"&amp;COUNTIFS($I$7:$I564,$I564,$J$7:$J564,$J564,$D$7:$D564,"Advance"))</f>
        <v/>
      </c>
      <c r="L564" s="266">
        <f>IF(OR($I564="",$I564="?",$B564=""),"",SUMPRODUCT((Weeks!$A$7:$A$59&lt;=$J564)*(Weeks!$X$5:$AI$5=$I564)*Weeks!$X$7:$AI$59)-SUMIFS($E$7:$E$1006,$I$7:$I$1006,$I564,$B$7:$B$1006,"&lt;="&amp;$B564))</f>
        <v/>
      </c>
      <c r="M564" s="132">
        <f>IF($B564&amp;$C564&amp;$D564&amp;$E564="","",IF($B564="","missing date",IF($C564="","missing worker",IF($I564="?","unknown worker - was the name changed on Workers?",IF($D564="","missing type",IF(N($E564)=0,"missing amount",IF(AND($E564&lt;0,$D564&lt;&gt;"Correction"),"negative amount - use a Correction to undo",IF(OR($B564&lt;Weeks!$A$7,$B564&gt;Weeks!$B$59),"date outside this workbook's year",IF(AND($D564="Advance",N($L564)&lt;0),"Warning: more than earned so far - worker now owes "&amp;TEXT(ROUND(-$L564,0),"#,##0"),"")))))))))</f>
        <v/>
      </c>
      <c r="N564" s="125" t="n"/>
      <c r="O564" s="126" t="n"/>
      <c r="P564" s="126" t="n"/>
      <c r="Q564" s="126" t="n"/>
      <c r="R564" s="126" t="n"/>
      <c r="S564" s="126" t="n"/>
      <c r="T564" s="126" t="n"/>
      <c r="U564" s="126" t="n"/>
      <c r="V564" s="126" t="n"/>
      <c r="W564" s="126" t="n"/>
      <c r="X564" s="126" t="n"/>
      <c r="Y564" s="126" t="n"/>
      <c r="Z564" s="126" t="n"/>
      <c r="AA564" s="126" t="n"/>
      <c r="AB564" s="126" t="n"/>
      <c r="AC564" s="126" t="n"/>
      <c r="AD564" s="126" t="n"/>
      <c r="AE564" s="126" t="n"/>
      <c r="AF564" s="126" t="n"/>
      <c r="AG564" s="126" t="n"/>
      <c r="AH564" s="126" t="n"/>
      <c r="AI564" s="126" t="n"/>
      <c r="AJ564" s="126" t="n"/>
      <c r="AK564" s="126" t="n"/>
      <c r="AL564" s="126" t="n"/>
      <c r="AM564" s="126" t="n"/>
      <c r="AN564" s="126" t="n"/>
    </row>
    <row r="565" ht="21" customFormat="1" customHeight="1" s="127">
      <c r="A565" s="51">
        <f>IF($B565="","",ROW()-6)</f>
        <v/>
      </c>
      <c r="B565" s="268" t="n"/>
      <c r="C565" s="133" t="n"/>
      <c r="D565" s="50" t="n"/>
      <c r="E565" s="265" t="n"/>
      <c r="F565" s="133" t="n"/>
      <c r="G565" s="133" t="n"/>
      <c r="H565" s="50" t="n"/>
      <c r="I565" s="51">
        <f>IF($C565="","",IFERROR(INDEX(WorkerIDs,MATCH($C565,WorkerNames,0)),"?"))</f>
        <v/>
      </c>
      <c r="J565" s="253">
        <f>IF($B565="","",$B565-WEEKDAY($B565,2)+1)</f>
        <v/>
      </c>
      <c r="K565" s="142">
        <f>IF(OR($I565="",$I565="?",$D565&lt;&gt;"Advance",$B565=""),"",$I565&amp;"|"&amp;$J565&amp;"|"&amp;COUNTIFS($I$7:$I565,$I565,$J$7:$J565,$J565,$D$7:$D565,"Advance"))</f>
        <v/>
      </c>
      <c r="L565" s="266">
        <f>IF(OR($I565="",$I565="?",$B565=""),"",SUMPRODUCT((Weeks!$A$7:$A$59&lt;=$J565)*(Weeks!$X$5:$AI$5=$I565)*Weeks!$X$7:$AI$59)-SUMIFS($E$7:$E$1006,$I$7:$I$1006,$I565,$B$7:$B$1006,"&lt;="&amp;$B565))</f>
        <v/>
      </c>
      <c r="M565" s="132">
        <f>IF($B565&amp;$C565&amp;$D565&amp;$E565="","",IF($B565="","missing date",IF($C565="","missing worker",IF($I565="?","unknown worker - was the name changed on Workers?",IF($D565="","missing type",IF(N($E565)=0,"missing amount",IF(AND($E565&lt;0,$D565&lt;&gt;"Correction"),"negative amount - use a Correction to undo",IF(OR($B565&lt;Weeks!$A$7,$B565&gt;Weeks!$B$59),"date outside this workbook's year",IF(AND($D565="Advance",N($L565)&lt;0),"Warning: more than earned so far - worker now owes "&amp;TEXT(ROUND(-$L565,0),"#,##0"),"")))))))))</f>
        <v/>
      </c>
      <c r="N565" s="125" t="n"/>
      <c r="O565" s="126" t="n"/>
      <c r="P565" s="126" t="n"/>
      <c r="Q565" s="126" t="n"/>
      <c r="R565" s="126" t="n"/>
      <c r="S565" s="126" t="n"/>
      <c r="T565" s="126" t="n"/>
      <c r="U565" s="126" t="n"/>
      <c r="V565" s="126" t="n"/>
      <c r="W565" s="126" t="n"/>
      <c r="X565" s="126" t="n"/>
      <c r="Y565" s="126" t="n"/>
      <c r="Z565" s="126" t="n"/>
      <c r="AA565" s="126" t="n"/>
      <c r="AB565" s="126" t="n"/>
      <c r="AC565" s="126" t="n"/>
      <c r="AD565" s="126" t="n"/>
      <c r="AE565" s="126" t="n"/>
      <c r="AF565" s="126" t="n"/>
      <c r="AG565" s="126" t="n"/>
      <c r="AH565" s="126" t="n"/>
      <c r="AI565" s="126" t="n"/>
      <c r="AJ565" s="126" t="n"/>
      <c r="AK565" s="126" t="n"/>
      <c r="AL565" s="126" t="n"/>
      <c r="AM565" s="126" t="n"/>
      <c r="AN565" s="126" t="n"/>
    </row>
    <row r="566" ht="21" customFormat="1" customHeight="1" s="127">
      <c r="A566" s="51">
        <f>IF($B566="","",ROW()-6)</f>
        <v/>
      </c>
      <c r="B566" s="268" t="n"/>
      <c r="C566" s="133" t="n"/>
      <c r="D566" s="50" t="n"/>
      <c r="E566" s="265" t="n"/>
      <c r="F566" s="133" t="n"/>
      <c r="G566" s="133" t="n"/>
      <c r="H566" s="50" t="n"/>
      <c r="I566" s="51">
        <f>IF($C566="","",IFERROR(INDEX(WorkerIDs,MATCH($C566,WorkerNames,0)),"?"))</f>
        <v/>
      </c>
      <c r="J566" s="253">
        <f>IF($B566="","",$B566-WEEKDAY($B566,2)+1)</f>
        <v/>
      </c>
      <c r="K566" s="142">
        <f>IF(OR($I566="",$I566="?",$D566&lt;&gt;"Advance",$B566=""),"",$I566&amp;"|"&amp;$J566&amp;"|"&amp;COUNTIFS($I$7:$I566,$I566,$J$7:$J566,$J566,$D$7:$D566,"Advance"))</f>
        <v/>
      </c>
      <c r="L566" s="266">
        <f>IF(OR($I566="",$I566="?",$B566=""),"",SUMPRODUCT((Weeks!$A$7:$A$59&lt;=$J566)*(Weeks!$X$5:$AI$5=$I566)*Weeks!$X$7:$AI$59)-SUMIFS($E$7:$E$1006,$I$7:$I$1006,$I566,$B$7:$B$1006,"&lt;="&amp;$B566))</f>
        <v/>
      </c>
      <c r="M566" s="132">
        <f>IF($B566&amp;$C566&amp;$D566&amp;$E566="","",IF($B566="","missing date",IF($C566="","missing worker",IF($I566="?","unknown worker - was the name changed on Workers?",IF($D566="","missing type",IF(N($E566)=0,"missing amount",IF(AND($E566&lt;0,$D566&lt;&gt;"Correction"),"negative amount - use a Correction to undo",IF(OR($B566&lt;Weeks!$A$7,$B566&gt;Weeks!$B$59),"date outside this workbook's year",IF(AND($D566="Advance",N($L566)&lt;0),"Warning: more than earned so far - worker now owes "&amp;TEXT(ROUND(-$L566,0),"#,##0"),"")))))))))</f>
        <v/>
      </c>
      <c r="N566" s="125" t="n"/>
      <c r="O566" s="126" t="n"/>
      <c r="P566" s="126" t="n"/>
      <c r="Q566" s="126" t="n"/>
      <c r="R566" s="126" t="n"/>
      <c r="S566" s="126" t="n"/>
      <c r="T566" s="126" t="n"/>
      <c r="U566" s="126" t="n"/>
      <c r="V566" s="126" t="n"/>
      <c r="W566" s="126" t="n"/>
      <c r="X566" s="126" t="n"/>
      <c r="Y566" s="126" t="n"/>
      <c r="Z566" s="126" t="n"/>
      <c r="AA566" s="126" t="n"/>
      <c r="AB566" s="126" t="n"/>
      <c r="AC566" s="126" t="n"/>
      <c r="AD566" s="126" t="n"/>
      <c r="AE566" s="126" t="n"/>
      <c r="AF566" s="126" t="n"/>
      <c r="AG566" s="126" t="n"/>
      <c r="AH566" s="126" t="n"/>
      <c r="AI566" s="126" t="n"/>
      <c r="AJ566" s="126" t="n"/>
      <c r="AK566" s="126" t="n"/>
      <c r="AL566" s="126" t="n"/>
      <c r="AM566" s="126" t="n"/>
      <c r="AN566" s="126" t="n"/>
    </row>
    <row r="567" ht="21" customFormat="1" customHeight="1" s="127">
      <c r="A567" s="51">
        <f>IF($B567="","",ROW()-6)</f>
        <v/>
      </c>
      <c r="B567" s="268" t="n"/>
      <c r="C567" s="133" t="n"/>
      <c r="D567" s="50" t="n"/>
      <c r="E567" s="265" t="n"/>
      <c r="F567" s="133" t="n"/>
      <c r="G567" s="133" t="n"/>
      <c r="H567" s="50" t="n"/>
      <c r="I567" s="51">
        <f>IF($C567="","",IFERROR(INDEX(WorkerIDs,MATCH($C567,WorkerNames,0)),"?"))</f>
        <v/>
      </c>
      <c r="J567" s="253">
        <f>IF($B567="","",$B567-WEEKDAY($B567,2)+1)</f>
        <v/>
      </c>
      <c r="K567" s="142">
        <f>IF(OR($I567="",$I567="?",$D567&lt;&gt;"Advance",$B567=""),"",$I567&amp;"|"&amp;$J567&amp;"|"&amp;COUNTIFS($I$7:$I567,$I567,$J$7:$J567,$J567,$D$7:$D567,"Advance"))</f>
        <v/>
      </c>
      <c r="L567" s="266">
        <f>IF(OR($I567="",$I567="?",$B567=""),"",SUMPRODUCT((Weeks!$A$7:$A$59&lt;=$J567)*(Weeks!$X$5:$AI$5=$I567)*Weeks!$X$7:$AI$59)-SUMIFS($E$7:$E$1006,$I$7:$I$1006,$I567,$B$7:$B$1006,"&lt;="&amp;$B567))</f>
        <v/>
      </c>
      <c r="M567" s="132">
        <f>IF($B567&amp;$C567&amp;$D567&amp;$E567="","",IF($B567="","missing date",IF($C567="","missing worker",IF($I567="?","unknown worker - was the name changed on Workers?",IF($D567="","missing type",IF(N($E567)=0,"missing amount",IF(AND($E567&lt;0,$D567&lt;&gt;"Correction"),"negative amount - use a Correction to undo",IF(OR($B567&lt;Weeks!$A$7,$B567&gt;Weeks!$B$59),"date outside this workbook's year",IF(AND($D567="Advance",N($L567)&lt;0),"Warning: more than earned so far - worker now owes "&amp;TEXT(ROUND(-$L567,0),"#,##0"),"")))))))))</f>
        <v/>
      </c>
      <c r="N567" s="125" t="n"/>
      <c r="O567" s="126" t="n"/>
      <c r="P567" s="126" t="n"/>
      <c r="Q567" s="126" t="n"/>
      <c r="R567" s="126" t="n"/>
      <c r="S567" s="126" t="n"/>
      <c r="T567" s="126" t="n"/>
      <c r="U567" s="126" t="n"/>
      <c r="V567" s="126" t="n"/>
      <c r="W567" s="126" t="n"/>
      <c r="X567" s="126" t="n"/>
      <c r="Y567" s="126" t="n"/>
      <c r="Z567" s="126" t="n"/>
      <c r="AA567" s="126" t="n"/>
      <c r="AB567" s="126" t="n"/>
      <c r="AC567" s="126" t="n"/>
      <c r="AD567" s="126" t="n"/>
      <c r="AE567" s="126" t="n"/>
      <c r="AF567" s="126" t="n"/>
      <c r="AG567" s="126" t="n"/>
      <c r="AH567" s="126" t="n"/>
      <c r="AI567" s="126" t="n"/>
      <c r="AJ567" s="126" t="n"/>
      <c r="AK567" s="126" t="n"/>
      <c r="AL567" s="126" t="n"/>
      <c r="AM567" s="126" t="n"/>
      <c r="AN567" s="126" t="n"/>
    </row>
    <row r="568" ht="21" customFormat="1" customHeight="1" s="127">
      <c r="A568" s="51">
        <f>IF($B568="","",ROW()-6)</f>
        <v/>
      </c>
      <c r="B568" s="268" t="n"/>
      <c r="C568" s="133" t="n"/>
      <c r="D568" s="50" t="n"/>
      <c r="E568" s="265" t="n"/>
      <c r="F568" s="133" t="n"/>
      <c r="G568" s="133" t="n"/>
      <c r="H568" s="50" t="n"/>
      <c r="I568" s="51">
        <f>IF($C568="","",IFERROR(INDEX(WorkerIDs,MATCH($C568,WorkerNames,0)),"?"))</f>
        <v/>
      </c>
      <c r="J568" s="253">
        <f>IF($B568="","",$B568-WEEKDAY($B568,2)+1)</f>
        <v/>
      </c>
      <c r="K568" s="142">
        <f>IF(OR($I568="",$I568="?",$D568&lt;&gt;"Advance",$B568=""),"",$I568&amp;"|"&amp;$J568&amp;"|"&amp;COUNTIFS($I$7:$I568,$I568,$J$7:$J568,$J568,$D$7:$D568,"Advance"))</f>
        <v/>
      </c>
      <c r="L568" s="266">
        <f>IF(OR($I568="",$I568="?",$B568=""),"",SUMPRODUCT((Weeks!$A$7:$A$59&lt;=$J568)*(Weeks!$X$5:$AI$5=$I568)*Weeks!$X$7:$AI$59)-SUMIFS($E$7:$E$1006,$I$7:$I$1006,$I568,$B$7:$B$1006,"&lt;="&amp;$B568))</f>
        <v/>
      </c>
      <c r="M568" s="132">
        <f>IF($B568&amp;$C568&amp;$D568&amp;$E568="","",IF($B568="","missing date",IF($C568="","missing worker",IF($I568="?","unknown worker - was the name changed on Workers?",IF($D568="","missing type",IF(N($E568)=0,"missing amount",IF(AND($E568&lt;0,$D568&lt;&gt;"Correction"),"negative amount - use a Correction to undo",IF(OR($B568&lt;Weeks!$A$7,$B568&gt;Weeks!$B$59),"date outside this workbook's year",IF(AND($D568="Advance",N($L568)&lt;0),"Warning: more than earned so far - worker now owes "&amp;TEXT(ROUND(-$L568,0),"#,##0"),"")))))))))</f>
        <v/>
      </c>
      <c r="N568" s="125" t="n"/>
      <c r="O568" s="126" t="n"/>
      <c r="P568" s="126" t="n"/>
      <c r="Q568" s="126" t="n"/>
      <c r="R568" s="126" t="n"/>
      <c r="S568" s="126" t="n"/>
      <c r="T568" s="126" t="n"/>
      <c r="U568" s="126" t="n"/>
      <c r="V568" s="126" t="n"/>
      <c r="W568" s="126" t="n"/>
      <c r="X568" s="126" t="n"/>
      <c r="Y568" s="126" t="n"/>
      <c r="Z568" s="126" t="n"/>
      <c r="AA568" s="126" t="n"/>
      <c r="AB568" s="126" t="n"/>
      <c r="AC568" s="126" t="n"/>
      <c r="AD568" s="126" t="n"/>
      <c r="AE568" s="126" t="n"/>
      <c r="AF568" s="126" t="n"/>
      <c r="AG568" s="126" t="n"/>
      <c r="AH568" s="126" t="n"/>
      <c r="AI568" s="126" t="n"/>
      <c r="AJ568" s="126" t="n"/>
      <c r="AK568" s="126" t="n"/>
      <c r="AL568" s="126" t="n"/>
      <c r="AM568" s="126" t="n"/>
      <c r="AN568" s="126" t="n"/>
    </row>
    <row r="569" ht="21" customFormat="1" customHeight="1" s="127">
      <c r="A569" s="51">
        <f>IF($B569="","",ROW()-6)</f>
        <v/>
      </c>
      <c r="B569" s="268" t="n"/>
      <c r="C569" s="133" t="n"/>
      <c r="D569" s="50" t="n"/>
      <c r="E569" s="265" t="n"/>
      <c r="F569" s="133" t="n"/>
      <c r="G569" s="133" t="n"/>
      <c r="H569" s="50" t="n"/>
      <c r="I569" s="51">
        <f>IF($C569="","",IFERROR(INDEX(WorkerIDs,MATCH($C569,WorkerNames,0)),"?"))</f>
        <v/>
      </c>
      <c r="J569" s="253">
        <f>IF($B569="","",$B569-WEEKDAY($B569,2)+1)</f>
        <v/>
      </c>
      <c r="K569" s="142">
        <f>IF(OR($I569="",$I569="?",$D569&lt;&gt;"Advance",$B569=""),"",$I569&amp;"|"&amp;$J569&amp;"|"&amp;COUNTIFS($I$7:$I569,$I569,$J$7:$J569,$J569,$D$7:$D569,"Advance"))</f>
        <v/>
      </c>
      <c r="L569" s="266">
        <f>IF(OR($I569="",$I569="?",$B569=""),"",SUMPRODUCT((Weeks!$A$7:$A$59&lt;=$J569)*(Weeks!$X$5:$AI$5=$I569)*Weeks!$X$7:$AI$59)-SUMIFS($E$7:$E$1006,$I$7:$I$1006,$I569,$B$7:$B$1006,"&lt;="&amp;$B569))</f>
        <v/>
      </c>
      <c r="M569" s="132">
        <f>IF($B569&amp;$C569&amp;$D569&amp;$E569="","",IF($B569="","missing date",IF($C569="","missing worker",IF($I569="?","unknown worker - was the name changed on Workers?",IF($D569="","missing type",IF(N($E569)=0,"missing amount",IF(AND($E569&lt;0,$D569&lt;&gt;"Correction"),"negative amount - use a Correction to undo",IF(OR($B569&lt;Weeks!$A$7,$B569&gt;Weeks!$B$59),"date outside this workbook's year",IF(AND($D569="Advance",N($L569)&lt;0),"Warning: more than earned so far - worker now owes "&amp;TEXT(ROUND(-$L569,0),"#,##0"),"")))))))))</f>
        <v/>
      </c>
      <c r="N569" s="125" t="n"/>
      <c r="O569" s="126" t="n"/>
      <c r="P569" s="126" t="n"/>
      <c r="Q569" s="126" t="n"/>
      <c r="R569" s="126" t="n"/>
      <c r="S569" s="126" t="n"/>
      <c r="T569" s="126" t="n"/>
      <c r="U569" s="126" t="n"/>
      <c r="V569" s="126" t="n"/>
      <c r="W569" s="126" t="n"/>
      <c r="X569" s="126" t="n"/>
      <c r="Y569" s="126" t="n"/>
      <c r="Z569" s="126" t="n"/>
      <c r="AA569" s="126" t="n"/>
      <c r="AB569" s="126" t="n"/>
      <c r="AC569" s="126" t="n"/>
      <c r="AD569" s="126" t="n"/>
      <c r="AE569" s="126" t="n"/>
      <c r="AF569" s="126" t="n"/>
      <c r="AG569" s="126" t="n"/>
      <c r="AH569" s="126" t="n"/>
      <c r="AI569" s="126" t="n"/>
      <c r="AJ569" s="126" t="n"/>
      <c r="AK569" s="126" t="n"/>
      <c r="AL569" s="126" t="n"/>
      <c r="AM569" s="126" t="n"/>
      <c r="AN569" s="126" t="n"/>
    </row>
    <row r="570" ht="21" customFormat="1" customHeight="1" s="127">
      <c r="A570" s="51">
        <f>IF($B570="","",ROW()-6)</f>
        <v/>
      </c>
      <c r="B570" s="268" t="n"/>
      <c r="C570" s="133" t="n"/>
      <c r="D570" s="50" t="n"/>
      <c r="E570" s="265" t="n"/>
      <c r="F570" s="133" t="n"/>
      <c r="G570" s="133" t="n"/>
      <c r="H570" s="50" t="n"/>
      <c r="I570" s="51">
        <f>IF($C570="","",IFERROR(INDEX(WorkerIDs,MATCH($C570,WorkerNames,0)),"?"))</f>
        <v/>
      </c>
      <c r="J570" s="253">
        <f>IF($B570="","",$B570-WEEKDAY($B570,2)+1)</f>
        <v/>
      </c>
      <c r="K570" s="142">
        <f>IF(OR($I570="",$I570="?",$D570&lt;&gt;"Advance",$B570=""),"",$I570&amp;"|"&amp;$J570&amp;"|"&amp;COUNTIFS($I$7:$I570,$I570,$J$7:$J570,$J570,$D$7:$D570,"Advance"))</f>
        <v/>
      </c>
      <c r="L570" s="266">
        <f>IF(OR($I570="",$I570="?",$B570=""),"",SUMPRODUCT((Weeks!$A$7:$A$59&lt;=$J570)*(Weeks!$X$5:$AI$5=$I570)*Weeks!$X$7:$AI$59)-SUMIFS($E$7:$E$1006,$I$7:$I$1006,$I570,$B$7:$B$1006,"&lt;="&amp;$B570))</f>
        <v/>
      </c>
      <c r="M570" s="132">
        <f>IF($B570&amp;$C570&amp;$D570&amp;$E570="","",IF($B570="","missing date",IF($C570="","missing worker",IF($I570="?","unknown worker - was the name changed on Workers?",IF($D570="","missing type",IF(N($E570)=0,"missing amount",IF(AND($E570&lt;0,$D570&lt;&gt;"Correction"),"negative amount - use a Correction to undo",IF(OR($B570&lt;Weeks!$A$7,$B570&gt;Weeks!$B$59),"date outside this workbook's year",IF(AND($D570="Advance",N($L570)&lt;0),"Warning: more than earned so far - worker now owes "&amp;TEXT(ROUND(-$L570,0),"#,##0"),"")))))))))</f>
        <v/>
      </c>
      <c r="N570" s="125" t="n"/>
      <c r="O570" s="126" t="n"/>
      <c r="P570" s="126" t="n"/>
      <c r="Q570" s="126" t="n"/>
      <c r="R570" s="126" t="n"/>
      <c r="S570" s="126" t="n"/>
      <c r="T570" s="126" t="n"/>
      <c r="U570" s="126" t="n"/>
      <c r="V570" s="126" t="n"/>
      <c r="W570" s="126" t="n"/>
      <c r="X570" s="126" t="n"/>
      <c r="Y570" s="126" t="n"/>
      <c r="Z570" s="126" t="n"/>
      <c r="AA570" s="126" t="n"/>
      <c r="AB570" s="126" t="n"/>
      <c r="AC570" s="126" t="n"/>
      <c r="AD570" s="126" t="n"/>
      <c r="AE570" s="126" t="n"/>
      <c r="AF570" s="126" t="n"/>
      <c r="AG570" s="126" t="n"/>
      <c r="AH570" s="126" t="n"/>
      <c r="AI570" s="126" t="n"/>
      <c r="AJ570" s="126" t="n"/>
      <c r="AK570" s="126" t="n"/>
      <c r="AL570" s="126" t="n"/>
      <c r="AM570" s="126" t="n"/>
      <c r="AN570" s="126" t="n"/>
    </row>
    <row r="571" ht="21" customFormat="1" customHeight="1" s="127">
      <c r="A571" s="51">
        <f>IF($B571="","",ROW()-6)</f>
        <v/>
      </c>
      <c r="B571" s="268" t="n"/>
      <c r="C571" s="133" t="n"/>
      <c r="D571" s="50" t="n"/>
      <c r="E571" s="265" t="n"/>
      <c r="F571" s="133" t="n"/>
      <c r="G571" s="133" t="n"/>
      <c r="H571" s="50" t="n"/>
      <c r="I571" s="51">
        <f>IF($C571="","",IFERROR(INDEX(WorkerIDs,MATCH($C571,WorkerNames,0)),"?"))</f>
        <v/>
      </c>
      <c r="J571" s="253">
        <f>IF($B571="","",$B571-WEEKDAY($B571,2)+1)</f>
        <v/>
      </c>
      <c r="K571" s="142">
        <f>IF(OR($I571="",$I571="?",$D571&lt;&gt;"Advance",$B571=""),"",$I571&amp;"|"&amp;$J571&amp;"|"&amp;COUNTIFS($I$7:$I571,$I571,$J$7:$J571,$J571,$D$7:$D571,"Advance"))</f>
        <v/>
      </c>
      <c r="L571" s="266">
        <f>IF(OR($I571="",$I571="?",$B571=""),"",SUMPRODUCT((Weeks!$A$7:$A$59&lt;=$J571)*(Weeks!$X$5:$AI$5=$I571)*Weeks!$X$7:$AI$59)-SUMIFS($E$7:$E$1006,$I$7:$I$1006,$I571,$B$7:$B$1006,"&lt;="&amp;$B571))</f>
        <v/>
      </c>
      <c r="M571" s="132">
        <f>IF($B571&amp;$C571&amp;$D571&amp;$E571="","",IF($B571="","missing date",IF($C571="","missing worker",IF($I571="?","unknown worker - was the name changed on Workers?",IF($D571="","missing type",IF(N($E571)=0,"missing amount",IF(AND($E571&lt;0,$D571&lt;&gt;"Correction"),"negative amount - use a Correction to undo",IF(OR($B571&lt;Weeks!$A$7,$B571&gt;Weeks!$B$59),"date outside this workbook's year",IF(AND($D571="Advance",N($L571)&lt;0),"Warning: more than earned so far - worker now owes "&amp;TEXT(ROUND(-$L571,0),"#,##0"),"")))))))))</f>
        <v/>
      </c>
      <c r="N571" s="125" t="n"/>
      <c r="O571" s="126" t="n"/>
      <c r="P571" s="126" t="n"/>
      <c r="Q571" s="126" t="n"/>
      <c r="R571" s="126" t="n"/>
      <c r="S571" s="126" t="n"/>
      <c r="T571" s="126" t="n"/>
      <c r="U571" s="126" t="n"/>
      <c r="V571" s="126" t="n"/>
      <c r="W571" s="126" t="n"/>
      <c r="X571" s="126" t="n"/>
      <c r="Y571" s="126" t="n"/>
      <c r="Z571" s="126" t="n"/>
      <c r="AA571" s="126" t="n"/>
      <c r="AB571" s="126" t="n"/>
      <c r="AC571" s="126" t="n"/>
      <c r="AD571" s="126" t="n"/>
      <c r="AE571" s="126" t="n"/>
      <c r="AF571" s="126" t="n"/>
      <c r="AG571" s="126" t="n"/>
      <c r="AH571" s="126" t="n"/>
      <c r="AI571" s="126" t="n"/>
      <c r="AJ571" s="126" t="n"/>
      <c r="AK571" s="126" t="n"/>
      <c r="AL571" s="126" t="n"/>
      <c r="AM571" s="126" t="n"/>
      <c r="AN571" s="126" t="n"/>
    </row>
    <row r="572" ht="21" customFormat="1" customHeight="1" s="127">
      <c r="A572" s="51">
        <f>IF($B572="","",ROW()-6)</f>
        <v/>
      </c>
      <c r="B572" s="268" t="n"/>
      <c r="C572" s="133" t="n"/>
      <c r="D572" s="50" t="n"/>
      <c r="E572" s="265" t="n"/>
      <c r="F572" s="133" t="n"/>
      <c r="G572" s="133" t="n"/>
      <c r="H572" s="50" t="n"/>
      <c r="I572" s="51">
        <f>IF($C572="","",IFERROR(INDEX(WorkerIDs,MATCH($C572,WorkerNames,0)),"?"))</f>
        <v/>
      </c>
      <c r="J572" s="253">
        <f>IF($B572="","",$B572-WEEKDAY($B572,2)+1)</f>
        <v/>
      </c>
      <c r="K572" s="142">
        <f>IF(OR($I572="",$I572="?",$D572&lt;&gt;"Advance",$B572=""),"",$I572&amp;"|"&amp;$J572&amp;"|"&amp;COUNTIFS($I$7:$I572,$I572,$J$7:$J572,$J572,$D$7:$D572,"Advance"))</f>
        <v/>
      </c>
      <c r="L572" s="266">
        <f>IF(OR($I572="",$I572="?",$B572=""),"",SUMPRODUCT((Weeks!$A$7:$A$59&lt;=$J572)*(Weeks!$X$5:$AI$5=$I572)*Weeks!$X$7:$AI$59)-SUMIFS($E$7:$E$1006,$I$7:$I$1006,$I572,$B$7:$B$1006,"&lt;="&amp;$B572))</f>
        <v/>
      </c>
      <c r="M572" s="132">
        <f>IF($B572&amp;$C572&amp;$D572&amp;$E572="","",IF($B572="","missing date",IF($C572="","missing worker",IF($I572="?","unknown worker - was the name changed on Workers?",IF($D572="","missing type",IF(N($E572)=0,"missing amount",IF(AND($E572&lt;0,$D572&lt;&gt;"Correction"),"negative amount - use a Correction to undo",IF(OR($B572&lt;Weeks!$A$7,$B572&gt;Weeks!$B$59),"date outside this workbook's year",IF(AND($D572="Advance",N($L572)&lt;0),"Warning: more than earned so far - worker now owes "&amp;TEXT(ROUND(-$L572,0),"#,##0"),"")))))))))</f>
        <v/>
      </c>
      <c r="N572" s="125" t="n"/>
      <c r="O572" s="126" t="n"/>
      <c r="P572" s="126" t="n"/>
      <c r="Q572" s="126" t="n"/>
      <c r="R572" s="126" t="n"/>
      <c r="S572" s="126" t="n"/>
      <c r="T572" s="126" t="n"/>
      <c r="U572" s="126" t="n"/>
      <c r="V572" s="126" t="n"/>
      <c r="W572" s="126" t="n"/>
      <c r="X572" s="126" t="n"/>
      <c r="Y572" s="126" t="n"/>
      <c r="Z572" s="126" t="n"/>
      <c r="AA572" s="126" t="n"/>
      <c r="AB572" s="126" t="n"/>
      <c r="AC572" s="126" t="n"/>
      <c r="AD572" s="126" t="n"/>
      <c r="AE572" s="126" t="n"/>
      <c r="AF572" s="126" t="n"/>
      <c r="AG572" s="126" t="n"/>
      <c r="AH572" s="126" t="n"/>
      <c r="AI572" s="126" t="n"/>
      <c r="AJ572" s="126" t="n"/>
      <c r="AK572" s="126" t="n"/>
      <c r="AL572" s="126" t="n"/>
      <c r="AM572" s="126" t="n"/>
      <c r="AN572" s="126" t="n"/>
    </row>
    <row r="573" ht="21" customFormat="1" customHeight="1" s="127">
      <c r="A573" s="51">
        <f>IF($B573="","",ROW()-6)</f>
        <v/>
      </c>
      <c r="B573" s="268" t="n"/>
      <c r="C573" s="133" t="n"/>
      <c r="D573" s="50" t="n"/>
      <c r="E573" s="265" t="n"/>
      <c r="F573" s="133" t="n"/>
      <c r="G573" s="133" t="n"/>
      <c r="H573" s="50" t="n"/>
      <c r="I573" s="51">
        <f>IF($C573="","",IFERROR(INDEX(WorkerIDs,MATCH($C573,WorkerNames,0)),"?"))</f>
        <v/>
      </c>
      <c r="J573" s="253">
        <f>IF($B573="","",$B573-WEEKDAY($B573,2)+1)</f>
        <v/>
      </c>
      <c r="K573" s="142">
        <f>IF(OR($I573="",$I573="?",$D573&lt;&gt;"Advance",$B573=""),"",$I573&amp;"|"&amp;$J573&amp;"|"&amp;COUNTIFS($I$7:$I573,$I573,$J$7:$J573,$J573,$D$7:$D573,"Advance"))</f>
        <v/>
      </c>
      <c r="L573" s="266">
        <f>IF(OR($I573="",$I573="?",$B573=""),"",SUMPRODUCT((Weeks!$A$7:$A$59&lt;=$J573)*(Weeks!$X$5:$AI$5=$I573)*Weeks!$X$7:$AI$59)-SUMIFS($E$7:$E$1006,$I$7:$I$1006,$I573,$B$7:$B$1006,"&lt;="&amp;$B573))</f>
        <v/>
      </c>
      <c r="M573" s="132">
        <f>IF($B573&amp;$C573&amp;$D573&amp;$E573="","",IF($B573="","missing date",IF($C573="","missing worker",IF($I573="?","unknown worker - was the name changed on Workers?",IF($D573="","missing type",IF(N($E573)=0,"missing amount",IF(AND($E573&lt;0,$D573&lt;&gt;"Correction"),"negative amount - use a Correction to undo",IF(OR($B573&lt;Weeks!$A$7,$B573&gt;Weeks!$B$59),"date outside this workbook's year",IF(AND($D573="Advance",N($L573)&lt;0),"Warning: more than earned so far - worker now owes "&amp;TEXT(ROUND(-$L573,0),"#,##0"),"")))))))))</f>
        <v/>
      </c>
      <c r="N573" s="125" t="n"/>
      <c r="O573" s="126" t="n"/>
      <c r="P573" s="126" t="n"/>
      <c r="Q573" s="126" t="n"/>
      <c r="R573" s="126" t="n"/>
      <c r="S573" s="126" t="n"/>
      <c r="T573" s="126" t="n"/>
      <c r="U573" s="126" t="n"/>
      <c r="V573" s="126" t="n"/>
      <c r="W573" s="126" t="n"/>
      <c r="X573" s="126" t="n"/>
      <c r="Y573" s="126" t="n"/>
      <c r="Z573" s="126" t="n"/>
      <c r="AA573" s="126" t="n"/>
      <c r="AB573" s="126" t="n"/>
      <c r="AC573" s="126" t="n"/>
      <c r="AD573" s="126" t="n"/>
      <c r="AE573" s="126" t="n"/>
      <c r="AF573" s="126" t="n"/>
      <c r="AG573" s="126" t="n"/>
      <c r="AH573" s="126" t="n"/>
      <c r="AI573" s="126" t="n"/>
      <c r="AJ573" s="126" t="n"/>
      <c r="AK573" s="126" t="n"/>
      <c r="AL573" s="126" t="n"/>
      <c r="AM573" s="126" t="n"/>
      <c r="AN573" s="126" t="n"/>
    </row>
    <row r="574" ht="21" customFormat="1" customHeight="1" s="127">
      <c r="A574" s="51">
        <f>IF($B574="","",ROW()-6)</f>
        <v/>
      </c>
      <c r="B574" s="268" t="n"/>
      <c r="C574" s="133" t="n"/>
      <c r="D574" s="50" t="n"/>
      <c r="E574" s="265" t="n"/>
      <c r="F574" s="133" t="n"/>
      <c r="G574" s="133" t="n"/>
      <c r="H574" s="50" t="n"/>
      <c r="I574" s="51">
        <f>IF($C574="","",IFERROR(INDEX(WorkerIDs,MATCH($C574,WorkerNames,0)),"?"))</f>
        <v/>
      </c>
      <c r="J574" s="253">
        <f>IF($B574="","",$B574-WEEKDAY($B574,2)+1)</f>
        <v/>
      </c>
      <c r="K574" s="142">
        <f>IF(OR($I574="",$I574="?",$D574&lt;&gt;"Advance",$B574=""),"",$I574&amp;"|"&amp;$J574&amp;"|"&amp;COUNTIFS($I$7:$I574,$I574,$J$7:$J574,$J574,$D$7:$D574,"Advance"))</f>
        <v/>
      </c>
      <c r="L574" s="266">
        <f>IF(OR($I574="",$I574="?",$B574=""),"",SUMPRODUCT((Weeks!$A$7:$A$59&lt;=$J574)*(Weeks!$X$5:$AI$5=$I574)*Weeks!$X$7:$AI$59)-SUMIFS($E$7:$E$1006,$I$7:$I$1006,$I574,$B$7:$B$1006,"&lt;="&amp;$B574))</f>
        <v/>
      </c>
      <c r="M574" s="132">
        <f>IF($B574&amp;$C574&amp;$D574&amp;$E574="","",IF($B574="","missing date",IF($C574="","missing worker",IF($I574="?","unknown worker - was the name changed on Workers?",IF($D574="","missing type",IF(N($E574)=0,"missing amount",IF(AND($E574&lt;0,$D574&lt;&gt;"Correction"),"negative amount - use a Correction to undo",IF(OR($B574&lt;Weeks!$A$7,$B574&gt;Weeks!$B$59),"date outside this workbook's year",IF(AND($D574="Advance",N($L574)&lt;0),"Warning: more than earned so far - worker now owes "&amp;TEXT(ROUND(-$L574,0),"#,##0"),"")))))))))</f>
        <v/>
      </c>
      <c r="N574" s="125" t="n"/>
      <c r="O574" s="126" t="n"/>
      <c r="P574" s="126" t="n"/>
      <c r="Q574" s="126" t="n"/>
      <c r="R574" s="126" t="n"/>
      <c r="S574" s="126" t="n"/>
      <c r="T574" s="126" t="n"/>
      <c r="U574" s="126" t="n"/>
      <c r="V574" s="126" t="n"/>
      <c r="W574" s="126" t="n"/>
      <c r="X574" s="126" t="n"/>
      <c r="Y574" s="126" t="n"/>
      <c r="Z574" s="126" t="n"/>
      <c r="AA574" s="126" t="n"/>
      <c r="AB574" s="126" t="n"/>
      <c r="AC574" s="126" t="n"/>
      <c r="AD574" s="126" t="n"/>
      <c r="AE574" s="126" t="n"/>
      <c r="AF574" s="126" t="n"/>
      <c r="AG574" s="126" t="n"/>
      <c r="AH574" s="126" t="n"/>
      <c r="AI574" s="126" t="n"/>
      <c r="AJ574" s="126" t="n"/>
      <c r="AK574" s="126" t="n"/>
      <c r="AL574" s="126" t="n"/>
      <c r="AM574" s="126" t="n"/>
      <c r="AN574" s="126" t="n"/>
    </row>
    <row r="575" ht="21" customFormat="1" customHeight="1" s="127">
      <c r="A575" s="51">
        <f>IF($B575="","",ROW()-6)</f>
        <v/>
      </c>
      <c r="B575" s="268" t="n"/>
      <c r="C575" s="133" t="n"/>
      <c r="D575" s="50" t="n"/>
      <c r="E575" s="265" t="n"/>
      <c r="F575" s="133" t="n"/>
      <c r="G575" s="133" t="n"/>
      <c r="H575" s="50" t="n"/>
      <c r="I575" s="51">
        <f>IF($C575="","",IFERROR(INDEX(WorkerIDs,MATCH($C575,WorkerNames,0)),"?"))</f>
        <v/>
      </c>
      <c r="J575" s="253">
        <f>IF($B575="","",$B575-WEEKDAY($B575,2)+1)</f>
        <v/>
      </c>
      <c r="K575" s="142">
        <f>IF(OR($I575="",$I575="?",$D575&lt;&gt;"Advance",$B575=""),"",$I575&amp;"|"&amp;$J575&amp;"|"&amp;COUNTIFS($I$7:$I575,$I575,$J$7:$J575,$J575,$D$7:$D575,"Advance"))</f>
        <v/>
      </c>
      <c r="L575" s="266">
        <f>IF(OR($I575="",$I575="?",$B575=""),"",SUMPRODUCT((Weeks!$A$7:$A$59&lt;=$J575)*(Weeks!$X$5:$AI$5=$I575)*Weeks!$X$7:$AI$59)-SUMIFS($E$7:$E$1006,$I$7:$I$1006,$I575,$B$7:$B$1006,"&lt;="&amp;$B575))</f>
        <v/>
      </c>
      <c r="M575" s="132">
        <f>IF($B575&amp;$C575&amp;$D575&amp;$E575="","",IF($B575="","missing date",IF($C575="","missing worker",IF($I575="?","unknown worker - was the name changed on Workers?",IF($D575="","missing type",IF(N($E575)=0,"missing amount",IF(AND($E575&lt;0,$D575&lt;&gt;"Correction"),"negative amount - use a Correction to undo",IF(OR($B575&lt;Weeks!$A$7,$B575&gt;Weeks!$B$59),"date outside this workbook's year",IF(AND($D575="Advance",N($L575)&lt;0),"Warning: more than earned so far - worker now owes "&amp;TEXT(ROUND(-$L575,0),"#,##0"),"")))))))))</f>
        <v/>
      </c>
      <c r="N575" s="125" t="n"/>
      <c r="O575" s="126" t="n"/>
      <c r="P575" s="126" t="n"/>
      <c r="Q575" s="126" t="n"/>
      <c r="R575" s="126" t="n"/>
      <c r="S575" s="126" t="n"/>
      <c r="T575" s="126" t="n"/>
      <c r="U575" s="126" t="n"/>
      <c r="V575" s="126" t="n"/>
      <c r="W575" s="126" t="n"/>
      <c r="X575" s="126" t="n"/>
      <c r="Y575" s="126" t="n"/>
      <c r="Z575" s="126" t="n"/>
      <c r="AA575" s="126" t="n"/>
      <c r="AB575" s="126" t="n"/>
      <c r="AC575" s="126" t="n"/>
      <c r="AD575" s="126" t="n"/>
      <c r="AE575" s="126" t="n"/>
      <c r="AF575" s="126" t="n"/>
      <c r="AG575" s="126" t="n"/>
      <c r="AH575" s="126" t="n"/>
      <c r="AI575" s="126" t="n"/>
      <c r="AJ575" s="126" t="n"/>
      <c r="AK575" s="126" t="n"/>
      <c r="AL575" s="126" t="n"/>
      <c r="AM575" s="126" t="n"/>
      <c r="AN575" s="126" t="n"/>
    </row>
    <row r="576" ht="21" customFormat="1" customHeight="1" s="127">
      <c r="A576" s="51">
        <f>IF($B576="","",ROW()-6)</f>
        <v/>
      </c>
      <c r="B576" s="268" t="n"/>
      <c r="C576" s="133" t="n"/>
      <c r="D576" s="50" t="n"/>
      <c r="E576" s="265" t="n"/>
      <c r="F576" s="133" t="n"/>
      <c r="G576" s="133" t="n"/>
      <c r="H576" s="50" t="n"/>
      <c r="I576" s="51">
        <f>IF($C576="","",IFERROR(INDEX(WorkerIDs,MATCH($C576,WorkerNames,0)),"?"))</f>
        <v/>
      </c>
      <c r="J576" s="253">
        <f>IF($B576="","",$B576-WEEKDAY($B576,2)+1)</f>
        <v/>
      </c>
      <c r="K576" s="142">
        <f>IF(OR($I576="",$I576="?",$D576&lt;&gt;"Advance",$B576=""),"",$I576&amp;"|"&amp;$J576&amp;"|"&amp;COUNTIFS($I$7:$I576,$I576,$J$7:$J576,$J576,$D$7:$D576,"Advance"))</f>
        <v/>
      </c>
      <c r="L576" s="266">
        <f>IF(OR($I576="",$I576="?",$B576=""),"",SUMPRODUCT((Weeks!$A$7:$A$59&lt;=$J576)*(Weeks!$X$5:$AI$5=$I576)*Weeks!$X$7:$AI$59)-SUMIFS($E$7:$E$1006,$I$7:$I$1006,$I576,$B$7:$B$1006,"&lt;="&amp;$B576))</f>
        <v/>
      </c>
      <c r="M576" s="132">
        <f>IF($B576&amp;$C576&amp;$D576&amp;$E576="","",IF($B576="","missing date",IF($C576="","missing worker",IF($I576="?","unknown worker - was the name changed on Workers?",IF($D576="","missing type",IF(N($E576)=0,"missing amount",IF(AND($E576&lt;0,$D576&lt;&gt;"Correction"),"negative amount - use a Correction to undo",IF(OR($B576&lt;Weeks!$A$7,$B576&gt;Weeks!$B$59),"date outside this workbook's year",IF(AND($D576="Advance",N($L576)&lt;0),"Warning: more than earned so far - worker now owes "&amp;TEXT(ROUND(-$L576,0),"#,##0"),"")))))))))</f>
        <v/>
      </c>
      <c r="N576" s="125" t="n"/>
      <c r="O576" s="126" t="n"/>
      <c r="P576" s="126" t="n"/>
      <c r="Q576" s="126" t="n"/>
      <c r="R576" s="126" t="n"/>
      <c r="S576" s="126" t="n"/>
      <c r="T576" s="126" t="n"/>
      <c r="U576" s="126" t="n"/>
      <c r="V576" s="126" t="n"/>
      <c r="W576" s="126" t="n"/>
      <c r="X576" s="126" t="n"/>
      <c r="Y576" s="126" t="n"/>
      <c r="Z576" s="126" t="n"/>
      <c r="AA576" s="126" t="n"/>
      <c r="AB576" s="126" t="n"/>
      <c r="AC576" s="126" t="n"/>
      <c r="AD576" s="126" t="n"/>
      <c r="AE576" s="126" t="n"/>
      <c r="AF576" s="126" t="n"/>
      <c r="AG576" s="126" t="n"/>
      <c r="AH576" s="126" t="n"/>
      <c r="AI576" s="126" t="n"/>
      <c r="AJ576" s="126" t="n"/>
      <c r="AK576" s="126" t="n"/>
      <c r="AL576" s="126" t="n"/>
      <c r="AM576" s="126" t="n"/>
      <c r="AN576" s="126" t="n"/>
    </row>
    <row r="577" ht="21" customFormat="1" customHeight="1" s="127">
      <c r="A577" s="51">
        <f>IF($B577="","",ROW()-6)</f>
        <v/>
      </c>
      <c r="B577" s="268" t="n"/>
      <c r="C577" s="133" t="n"/>
      <c r="D577" s="50" t="n"/>
      <c r="E577" s="265" t="n"/>
      <c r="F577" s="133" t="n"/>
      <c r="G577" s="133" t="n"/>
      <c r="H577" s="50" t="n"/>
      <c r="I577" s="51">
        <f>IF($C577="","",IFERROR(INDEX(WorkerIDs,MATCH($C577,WorkerNames,0)),"?"))</f>
        <v/>
      </c>
      <c r="J577" s="253">
        <f>IF($B577="","",$B577-WEEKDAY($B577,2)+1)</f>
        <v/>
      </c>
      <c r="K577" s="142">
        <f>IF(OR($I577="",$I577="?",$D577&lt;&gt;"Advance",$B577=""),"",$I577&amp;"|"&amp;$J577&amp;"|"&amp;COUNTIFS($I$7:$I577,$I577,$J$7:$J577,$J577,$D$7:$D577,"Advance"))</f>
        <v/>
      </c>
      <c r="L577" s="266">
        <f>IF(OR($I577="",$I577="?",$B577=""),"",SUMPRODUCT((Weeks!$A$7:$A$59&lt;=$J577)*(Weeks!$X$5:$AI$5=$I577)*Weeks!$X$7:$AI$59)-SUMIFS($E$7:$E$1006,$I$7:$I$1006,$I577,$B$7:$B$1006,"&lt;="&amp;$B577))</f>
        <v/>
      </c>
      <c r="M577" s="132">
        <f>IF($B577&amp;$C577&amp;$D577&amp;$E577="","",IF($B577="","missing date",IF($C577="","missing worker",IF($I577="?","unknown worker - was the name changed on Workers?",IF($D577="","missing type",IF(N($E577)=0,"missing amount",IF(AND($E577&lt;0,$D577&lt;&gt;"Correction"),"negative amount - use a Correction to undo",IF(OR($B577&lt;Weeks!$A$7,$B577&gt;Weeks!$B$59),"date outside this workbook's year",IF(AND($D577="Advance",N($L577)&lt;0),"Warning: more than earned so far - worker now owes "&amp;TEXT(ROUND(-$L577,0),"#,##0"),"")))))))))</f>
        <v/>
      </c>
      <c r="N577" s="125" t="n"/>
      <c r="O577" s="126" t="n"/>
      <c r="P577" s="126" t="n"/>
      <c r="Q577" s="126" t="n"/>
      <c r="R577" s="126" t="n"/>
      <c r="S577" s="126" t="n"/>
      <c r="T577" s="126" t="n"/>
      <c r="U577" s="126" t="n"/>
      <c r="V577" s="126" t="n"/>
      <c r="W577" s="126" t="n"/>
      <c r="X577" s="126" t="n"/>
      <c r="Y577" s="126" t="n"/>
      <c r="Z577" s="126" t="n"/>
      <c r="AA577" s="126" t="n"/>
      <c r="AB577" s="126" t="n"/>
      <c r="AC577" s="126" t="n"/>
      <c r="AD577" s="126" t="n"/>
      <c r="AE577" s="126" t="n"/>
      <c r="AF577" s="126" t="n"/>
      <c r="AG577" s="126" t="n"/>
      <c r="AH577" s="126" t="n"/>
      <c r="AI577" s="126" t="n"/>
      <c r="AJ577" s="126" t="n"/>
      <c r="AK577" s="126" t="n"/>
      <c r="AL577" s="126" t="n"/>
      <c r="AM577" s="126" t="n"/>
      <c r="AN577" s="126" t="n"/>
    </row>
    <row r="578" ht="21" customFormat="1" customHeight="1" s="127">
      <c r="A578" s="51">
        <f>IF($B578="","",ROW()-6)</f>
        <v/>
      </c>
      <c r="B578" s="268" t="n"/>
      <c r="C578" s="133" t="n"/>
      <c r="D578" s="50" t="n"/>
      <c r="E578" s="265" t="n"/>
      <c r="F578" s="133" t="n"/>
      <c r="G578" s="133" t="n"/>
      <c r="H578" s="50" t="n"/>
      <c r="I578" s="51">
        <f>IF($C578="","",IFERROR(INDEX(WorkerIDs,MATCH($C578,WorkerNames,0)),"?"))</f>
        <v/>
      </c>
      <c r="J578" s="253">
        <f>IF($B578="","",$B578-WEEKDAY($B578,2)+1)</f>
        <v/>
      </c>
      <c r="K578" s="142">
        <f>IF(OR($I578="",$I578="?",$D578&lt;&gt;"Advance",$B578=""),"",$I578&amp;"|"&amp;$J578&amp;"|"&amp;COUNTIFS($I$7:$I578,$I578,$J$7:$J578,$J578,$D$7:$D578,"Advance"))</f>
        <v/>
      </c>
      <c r="L578" s="266">
        <f>IF(OR($I578="",$I578="?",$B578=""),"",SUMPRODUCT((Weeks!$A$7:$A$59&lt;=$J578)*(Weeks!$X$5:$AI$5=$I578)*Weeks!$X$7:$AI$59)-SUMIFS($E$7:$E$1006,$I$7:$I$1006,$I578,$B$7:$B$1006,"&lt;="&amp;$B578))</f>
        <v/>
      </c>
      <c r="M578" s="132">
        <f>IF($B578&amp;$C578&amp;$D578&amp;$E578="","",IF($B578="","missing date",IF($C578="","missing worker",IF($I578="?","unknown worker - was the name changed on Workers?",IF($D578="","missing type",IF(N($E578)=0,"missing amount",IF(AND($E578&lt;0,$D578&lt;&gt;"Correction"),"negative amount - use a Correction to undo",IF(OR($B578&lt;Weeks!$A$7,$B578&gt;Weeks!$B$59),"date outside this workbook's year",IF(AND($D578="Advance",N($L578)&lt;0),"Warning: more than earned so far - worker now owes "&amp;TEXT(ROUND(-$L578,0),"#,##0"),"")))))))))</f>
        <v/>
      </c>
      <c r="N578" s="125" t="n"/>
      <c r="O578" s="126" t="n"/>
      <c r="P578" s="126" t="n"/>
      <c r="Q578" s="126" t="n"/>
      <c r="R578" s="126" t="n"/>
      <c r="S578" s="126" t="n"/>
      <c r="T578" s="126" t="n"/>
      <c r="U578" s="126" t="n"/>
      <c r="V578" s="126" t="n"/>
      <c r="W578" s="126" t="n"/>
      <c r="X578" s="126" t="n"/>
      <c r="Y578" s="126" t="n"/>
      <c r="Z578" s="126" t="n"/>
      <c r="AA578" s="126" t="n"/>
      <c r="AB578" s="126" t="n"/>
      <c r="AC578" s="126" t="n"/>
      <c r="AD578" s="126" t="n"/>
      <c r="AE578" s="126" t="n"/>
      <c r="AF578" s="126" t="n"/>
      <c r="AG578" s="126" t="n"/>
      <c r="AH578" s="126" t="n"/>
      <c r="AI578" s="126" t="n"/>
      <c r="AJ578" s="126" t="n"/>
      <c r="AK578" s="126" t="n"/>
      <c r="AL578" s="126" t="n"/>
      <c r="AM578" s="126" t="n"/>
      <c r="AN578" s="126" t="n"/>
    </row>
    <row r="579" ht="21" customFormat="1" customHeight="1" s="127">
      <c r="A579" s="51">
        <f>IF($B579="","",ROW()-6)</f>
        <v/>
      </c>
      <c r="B579" s="268" t="n"/>
      <c r="C579" s="133" t="n"/>
      <c r="D579" s="50" t="n"/>
      <c r="E579" s="265" t="n"/>
      <c r="F579" s="133" t="n"/>
      <c r="G579" s="133" t="n"/>
      <c r="H579" s="50" t="n"/>
      <c r="I579" s="51">
        <f>IF($C579="","",IFERROR(INDEX(WorkerIDs,MATCH($C579,WorkerNames,0)),"?"))</f>
        <v/>
      </c>
      <c r="J579" s="253">
        <f>IF($B579="","",$B579-WEEKDAY($B579,2)+1)</f>
        <v/>
      </c>
      <c r="K579" s="142">
        <f>IF(OR($I579="",$I579="?",$D579&lt;&gt;"Advance",$B579=""),"",$I579&amp;"|"&amp;$J579&amp;"|"&amp;COUNTIFS($I$7:$I579,$I579,$J$7:$J579,$J579,$D$7:$D579,"Advance"))</f>
        <v/>
      </c>
      <c r="L579" s="266">
        <f>IF(OR($I579="",$I579="?",$B579=""),"",SUMPRODUCT((Weeks!$A$7:$A$59&lt;=$J579)*(Weeks!$X$5:$AI$5=$I579)*Weeks!$X$7:$AI$59)-SUMIFS($E$7:$E$1006,$I$7:$I$1006,$I579,$B$7:$B$1006,"&lt;="&amp;$B579))</f>
        <v/>
      </c>
      <c r="M579" s="132">
        <f>IF($B579&amp;$C579&amp;$D579&amp;$E579="","",IF($B579="","missing date",IF($C579="","missing worker",IF($I579="?","unknown worker - was the name changed on Workers?",IF($D579="","missing type",IF(N($E579)=0,"missing amount",IF(AND($E579&lt;0,$D579&lt;&gt;"Correction"),"negative amount - use a Correction to undo",IF(OR($B579&lt;Weeks!$A$7,$B579&gt;Weeks!$B$59),"date outside this workbook's year",IF(AND($D579="Advance",N($L579)&lt;0),"Warning: more than earned so far - worker now owes "&amp;TEXT(ROUND(-$L579,0),"#,##0"),"")))))))))</f>
        <v/>
      </c>
      <c r="N579" s="125" t="n"/>
      <c r="O579" s="126" t="n"/>
      <c r="P579" s="126" t="n"/>
      <c r="Q579" s="126" t="n"/>
      <c r="R579" s="126" t="n"/>
      <c r="S579" s="126" t="n"/>
      <c r="T579" s="126" t="n"/>
      <c r="U579" s="126" t="n"/>
      <c r="V579" s="126" t="n"/>
      <c r="W579" s="126" t="n"/>
      <c r="X579" s="126" t="n"/>
      <c r="Y579" s="126" t="n"/>
      <c r="Z579" s="126" t="n"/>
      <c r="AA579" s="126" t="n"/>
      <c r="AB579" s="126" t="n"/>
      <c r="AC579" s="126" t="n"/>
      <c r="AD579" s="126" t="n"/>
      <c r="AE579" s="126" t="n"/>
      <c r="AF579" s="126" t="n"/>
      <c r="AG579" s="126" t="n"/>
      <c r="AH579" s="126" t="n"/>
      <c r="AI579" s="126" t="n"/>
      <c r="AJ579" s="126" t="n"/>
      <c r="AK579" s="126" t="n"/>
      <c r="AL579" s="126" t="n"/>
      <c r="AM579" s="126" t="n"/>
      <c r="AN579" s="126" t="n"/>
    </row>
    <row r="580" ht="21" customFormat="1" customHeight="1" s="127">
      <c r="A580" s="51">
        <f>IF($B580="","",ROW()-6)</f>
        <v/>
      </c>
      <c r="B580" s="268" t="n"/>
      <c r="C580" s="133" t="n"/>
      <c r="D580" s="50" t="n"/>
      <c r="E580" s="265" t="n"/>
      <c r="F580" s="133" t="n"/>
      <c r="G580" s="133" t="n"/>
      <c r="H580" s="50" t="n"/>
      <c r="I580" s="51">
        <f>IF($C580="","",IFERROR(INDEX(WorkerIDs,MATCH($C580,WorkerNames,0)),"?"))</f>
        <v/>
      </c>
      <c r="J580" s="253">
        <f>IF($B580="","",$B580-WEEKDAY($B580,2)+1)</f>
        <v/>
      </c>
      <c r="K580" s="142">
        <f>IF(OR($I580="",$I580="?",$D580&lt;&gt;"Advance",$B580=""),"",$I580&amp;"|"&amp;$J580&amp;"|"&amp;COUNTIFS($I$7:$I580,$I580,$J$7:$J580,$J580,$D$7:$D580,"Advance"))</f>
        <v/>
      </c>
      <c r="L580" s="266">
        <f>IF(OR($I580="",$I580="?",$B580=""),"",SUMPRODUCT((Weeks!$A$7:$A$59&lt;=$J580)*(Weeks!$X$5:$AI$5=$I580)*Weeks!$X$7:$AI$59)-SUMIFS($E$7:$E$1006,$I$7:$I$1006,$I580,$B$7:$B$1006,"&lt;="&amp;$B580))</f>
        <v/>
      </c>
      <c r="M580" s="132">
        <f>IF($B580&amp;$C580&amp;$D580&amp;$E580="","",IF($B580="","missing date",IF($C580="","missing worker",IF($I580="?","unknown worker - was the name changed on Workers?",IF($D580="","missing type",IF(N($E580)=0,"missing amount",IF(AND($E580&lt;0,$D580&lt;&gt;"Correction"),"negative amount - use a Correction to undo",IF(OR($B580&lt;Weeks!$A$7,$B580&gt;Weeks!$B$59),"date outside this workbook's year",IF(AND($D580="Advance",N($L580)&lt;0),"Warning: more than earned so far - worker now owes "&amp;TEXT(ROUND(-$L580,0),"#,##0"),"")))))))))</f>
        <v/>
      </c>
      <c r="N580" s="125" t="n"/>
      <c r="O580" s="126" t="n"/>
      <c r="P580" s="126" t="n"/>
      <c r="Q580" s="126" t="n"/>
      <c r="R580" s="126" t="n"/>
      <c r="S580" s="126" t="n"/>
      <c r="T580" s="126" t="n"/>
      <c r="U580" s="126" t="n"/>
      <c r="V580" s="126" t="n"/>
      <c r="W580" s="126" t="n"/>
      <c r="X580" s="126" t="n"/>
      <c r="Y580" s="126" t="n"/>
      <c r="Z580" s="126" t="n"/>
      <c r="AA580" s="126" t="n"/>
      <c r="AB580" s="126" t="n"/>
      <c r="AC580" s="126" t="n"/>
      <c r="AD580" s="126" t="n"/>
      <c r="AE580" s="126" t="n"/>
      <c r="AF580" s="126" t="n"/>
      <c r="AG580" s="126" t="n"/>
      <c r="AH580" s="126" t="n"/>
      <c r="AI580" s="126" t="n"/>
      <c r="AJ580" s="126" t="n"/>
      <c r="AK580" s="126" t="n"/>
      <c r="AL580" s="126" t="n"/>
      <c r="AM580" s="126" t="n"/>
      <c r="AN580" s="126" t="n"/>
    </row>
    <row r="581" ht="21" customFormat="1" customHeight="1" s="127">
      <c r="A581" s="51">
        <f>IF($B581="","",ROW()-6)</f>
        <v/>
      </c>
      <c r="B581" s="268" t="n"/>
      <c r="C581" s="133" t="n"/>
      <c r="D581" s="50" t="n"/>
      <c r="E581" s="265" t="n"/>
      <c r="F581" s="133" t="n"/>
      <c r="G581" s="133" t="n"/>
      <c r="H581" s="50" t="n"/>
      <c r="I581" s="51">
        <f>IF($C581="","",IFERROR(INDEX(WorkerIDs,MATCH($C581,WorkerNames,0)),"?"))</f>
        <v/>
      </c>
      <c r="J581" s="253">
        <f>IF($B581="","",$B581-WEEKDAY($B581,2)+1)</f>
        <v/>
      </c>
      <c r="K581" s="142">
        <f>IF(OR($I581="",$I581="?",$D581&lt;&gt;"Advance",$B581=""),"",$I581&amp;"|"&amp;$J581&amp;"|"&amp;COUNTIFS($I$7:$I581,$I581,$J$7:$J581,$J581,$D$7:$D581,"Advance"))</f>
        <v/>
      </c>
      <c r="L581" s="266">
        <f>IF(OR($I581="",$I581="?",$B581=""),"",SUMPRODUCT((Weeks!$A$7:$A$59&lt;=$J581)*(Weeks!$X$5:$AI$5=$I581)*Weeks!$X$7:$AI$59)-SUMIFS($E$7:$E$1006,$I$7:$I$1006,$I581,$B$7:$B$1006,"&lt;="&amp;$B581))</f>
        <v/>
      </c>
      <c r="M581" s="132">
        <f>IF($B581&amp;$C581&amp;$D581&amp;$E581="","",IF($B581="","missing date",IF($C581="","missing worker",IF($I581="?","unknown worker - was the name changed on Workers?",IF($D581="","missing type",IF(N($E581)=0,"missing amount",IF(AND($E581&lt;0,$D581&lt;&gt;"Correction"),"negative amount - use a Correction to undo",IF(OR($B581&lt;Weeks!$A$7,$B581&gt;Weeks!$B$59),"date outside this workbook's year",IF(AND($D581="Advance",N($L581)&lt;0),"Warning: more than earned so far - worker now owes "&amp;TEXT(ROUND(-$L581,0),"#,##0"),"")))))))))</f>
        <v/>
      </c>
      <c r="N581" s="125" t="n"/>
      <c r="O581" s="126" t="n"/>
      <c r="P581" s="126" t="n"/>
      <c r="Q581" s="126" t="n"/>
      <c r="R581" s="126" t="n"/>
      <c r="S581" s="126" t="n"/>
      <c r="T581" s="126" t="n"/>
      <c r="U581" s="126" t="n"/>
      <c r="V581" s="126" t="n"/>
      <c r="W581" s="126" t="n"/>
      <c r="X581" s="126" t="n"/>
      <c r="Y581" s="126" t="n"/>
      <c r="Z581" s="126" t="n"/>
      <c r="AA581" s="126" t="n"/>
      <c r="AB581" s="126" t="n"/>
      <c r="AC581" s="126" t="n"/>
      <c r="AD581" s="126" t="n"/>
      <c r="AE581" s="126" t="n"/>
      <c r="AF581" s="126" t="n"/>
      <c r="AG581" s="126" t="n"/>
      <c r="AH581" s="126" t="n"/>
      <c r="AI581" s="126" t="n"/>
      <c r="AJ581" s="126" t="n"/>
      <c r="AK581" s="126" t="n"/>
      <c r="AL581" s="126" t="n"/>
      <c r="AM581" s="126" t="n"/>
      <c r="AN581" s="126" t="n"/>
    </row>
    <row r="582" ht="21" customFormat="1" customHeight="1" s="127">
      <c r="A582" s="51">
        <f>IF($B582="","",ROW()-6)</f>
        <v/>
      </c>
      <c r="B582" s="268" t="n"/>
      <c r="C582" s="133" t="n"/>
      <c r="D582" s="50" t="n"/>
      <c r="E582" s="265" t="n"/>
      <c r="F582" s="133" t="n"/>
      <c r="G582" s="133" t="n"/>
      <c r="H582" s="50" t="n"/>
      <c r="I582" s="51">
        <f>IF($C582="","",IFERROR(INDEX(WorkerIDs,MATCH($C582,WorkerNames,0)),"?"))</f>
        <v/>
      </c>
      <c r="J582" s="253">
        <f>IF($B582="","",$B582-WEEKDAY($B582,2)+1)</f>
        <v/>
      </c>
      <c r="K582" s="142">
        <f>IF(OR($I582="",$I582="?",$D582&lt;&gt;"Advance",$B582=""),"",$I582&amp;"|"&amp;$J582&amp;"|"&amp;COUNTIFS($I$7:$I582,$I582,$J$7:$J582,$J582,$D$7:$D582,"Advance"))</f>
        <v/>
      </c>
      <c r="L582" s="266">
        <f>IF(OR($I582="",$I582="?",$B582=""),"",SUMPRODUCT((Weeks!$A$7:$A$59&lt;=$J582)*(Weeks!$X$5:$AI$5=$I582)*Weeks!$X$7:$AI$59)-SUMIFS($E$7:$E$1006,$I$7:$I$1006,$I582,$B$7:$B$1006,"&lt;="&amp;$B582))</f>
        <v/>
      </c>
      <c r="M582" s="132">
        <f>IF($B582&amp;$C582&amp;$D582&amp;$E582="","",IF($B582="","missing date",IF($C582="","missing worker",IF($I582="?","unknown worker - was the name changed on Workers?",IF($D582="","missing type",IF(N($E582)=0,"missing amount",IF(AND($E582&lt;0,$D582&lt;&gt;"Correction"),"negative amount - use a Correction to undo",IF(OR($B582&lt;Weeks!$A$7,$B582&gt;Weeks!$B$59),"date outside this workbook's year",IF(AND($D582="Advance",N($L582)&lt;0),"Warning: more than earned so far - worker now owes "&amp;TEXT(ROUND(-$L582,0),"#,##0"),"")))))))))</f>
        <v/>
      </c>
      <c r="N582" s="125" t="n"/>
      <c r="O582" s="126" t="n"/>
      <c r="P582" s="126" t="n"/>
      <c r="Q582" s="126" t="n"/>
      <c r="R582" s="126" t="n"/>
      <c r="S582" s="126" t="n"/>
      <c r="T582" s="126" t="n"/>
      <c r="U582" s="126" t="n"/>
      <c r="V582" s="126" t="n"/>
      <c r="W582" s="126" t="n"/>
      <c r="X582" s="126" t="n"/>
      <c r="Y582" s="126" t="n"/>
      <c r="Z582" s="126" t="n"/>
      <c r="AA582" s="126" t="n"/>
      <c r="AB582" s="126" t="n"/>
      <c r="AC582" s="126" t="n"/>
      <c r="AD582" s="126" t="n"/>
      <c r="AE582" s="126" t="n"/>
      <c r="AF582" s="126" t="n"/>
      <c r="AG582" s="126" t="n"/>
      <c r="AH582" s="126" t="n"/>
      <c r="AI582" s="126" t="n"/>
      <c r="AJ582" s="126" t="n"/>
      <c r="AK582" s="126" t="n"/>
      <c r="AL582" s="126" t="n"/>
      <c r="AM582" s="126" t="n"/>
      <c r="AN582" s="126" t="n"/>
    </row>
    <row r="583" ht="21" customFormat="1" customHeight="1" s="127">
      <c r="A583" s="51">
        <f>IF($B583="","",ROW()-6)</f>
        <v/>
      </c>
      <c r="B583" s="268" t="n"/>
      <c r="C583" s="133" t="n"/>
      <c r="D583" s="50" t="n"/>
      <c r="E583" s="265" t="n"/>
      <c r="F583" s="133" t="n"/>
      <c r="G583" s="133" t="n"/>
      <c r="H583" s="50" t="n"/>
      <c r="I583" s="51">
        <f>IF($C583="","",IFERROR(INDEX(WorkerIDs,MATCH($C583,WorkerNames,0)),"?"))</f>
        <v/>
      </c>
      <c r="J583" s="253">
        <f>IF($B583="","",$B583-WEEKDAY($B583,2)+1)</f>
        <v/>
      </c>
      <c r="K583" s="142">
        <f>IF(OR($I583="",$I583="?",$D583&lt;&gt;"Advance",$B583=""),"",$I583&amp;"|"&amp;$J583&amp;"|"&amp;COUNTIFS($I$7:$I583,$I583,$J$7:$J583,$J583,$D$7:$D583,"Advance"))</f>
        <v/>
      </c>
      <c r="L583" s="266">
        <f>IF(OR($I583="",$I583="?",$B583=""),"",SUMPRODUCT((Weeks!$A$7:$A$59&lt;=$J583)*(Weeks!$X$5:$AI$5=$I583)*Weeks!$X$7:$AI$59)-SUMIFS($E$7:$E$1006,$I$7:$I$1006,$I583,$B$7:$B$1006,"&lt;="&amp;$B583))</f>
        <v/>
      </c>
      <c r="M583" s="132">
        <f>IF($B583&amp;$C583&amp;$D583&amp;$E583="","",IF($B583="","missing date",IF($C583="","missing worker",IF($I583="?","unknown worker - was the name changed on Workers?",IF($D583="","missing type",IF(N($E583)=0,"missing amount",IF(AND($E583&lt;0,$D583&lt;&gt;"Correction"),"negative amount - use a Correction to undo",IF(OR($B583&lt;Weeks!$A$7,$B583&gt;Weeks!$B$59),"date outside this workbook's year",IF(AND($D583="Advance",N($L583)&lt;0),"Warning: more than earned so far - worker now owes "&amp;TEXT(ROUND(-$L583,0),"#,##0"),"")))))))))</f>
        <v/>
      </c>
      <c r="N583" s="125" t="n"/>
      <c r="O583" s="126" t="n"/>
      <c r="P583" s="126" t="n"/>
      <c r="Q583" s="126" t="n"/>
      <c r="R583" s="126" t="n"/>
      <c r="S583" s="126" t="n"/>
      <c r="T583" s="126" t="n"/>
      <c r="U583" s="126" t="n"/>
      <c r="V583" s="126" t="n"/>
      <c r="W583" s="126" t="n"/>
      <c r="X583" s="126" t="n"/>
      <c r="Y583" s="126" t="n"/>
      <c r="Z583" s="126" t="n"/>
      <c r="AA583" s="126" t="n"/>
      <c r="AB583" s="126" t="n"/>
      <c r="AC583" s="126" t="n"/>
      <c r="AD583" s="126" t="n"/>
      <c r="AE583" s="126" t="n"/>
      <c r="AF583" s="126" t="n"/>
      <c r="AG583" s="126" t="n"/>
      <c r="AH583" s="126" t="n"/>
      <c r="AI583" s="126" t="n"/>
      <c r="AJ583" s="126" t="n"/>
      <c r="AK583" s="126" t="n"/>
      <c r="AL583" s="126" t="n"/>
      <c r="AM583" s="126" t="n"/>
      <c r="AN583" s="126" t="n"/>
    </row>
    <row r="584" ht="21" customFormat="1" customHeight="1" s="127">
      <c r="A584" s="51">
        <f>IF($B584="","",ROW()-6)</f>
        <v/>
      </c>
      <c r="B584" s="268" t="n"/>
      <c r="C584" s="133" t="n"/>
      <c r="D584" s="50" t="n"/>
      <c r="E584" s="265" t="n"/>
      <c r="F584" s="133" t="n"/>
      <c r="G584" s="133" t="n"/>
      <c r="H584" s="50" t="n"/>
      <c r="I584" s="51">
        <f>IF($C584="","",IFERROR(INDEX(WorkerIDs,MATCH($C584,WorkerNames,0)),"?"))</f>
        <v/>
      </c>
      <c r="J584" s="253">
        <f>IF($B584="","",$B584-WEEKDAY($B584,2)+1)</f>
        <v/>
      </c>
      <c r="K584" s="142">
        <f>IF(OR($I584="",$I584="?",$D584&lt;&gt;"Advance",$B584=""),"",$I584&amp;"|"&amp;$J584&amp;"|"&amp;COUNTIFS($I$7:$I584,$I584,$J$7:$J584,$J584,$D$7:$D584,"Advance"))</f>
        <v/>
      </c>
      <c r="L584" s="266">
        <f>IF(OR($I584="",$I584="?",$B584=""),"",SUMPRODUCT((Weeks!$A$7:$A$59&lt;=$J584)*(Weeks!$X$5:$AI$5=$I584)*Weeks!$X$7:$AI$59)-SUMIFS($E$7:$E$1006,$I$7:$I$1006,$I584,$B$7:$B$1006,"&lt;="&amp;$B584))</f>
        <v/>
      </c>
      <c r="M584" s="132">
        <f>IF($B584&amp;$C584&amp;$D584&amp;$E584="","",IF($B584="","missing date",IF($C584="","missing worker",IF($I584="?","unknown worker - was the name changed on Workers?",IF($D584="","missing type",IF(N($E584)=0,"missing amount",IF(AND($E584&lt;0,$D584&lt;&gt;"Correction"),"negative amount - use a Correction to undo",IF(OR($B584&lt;Weeks!$A$7,$B584&gt;Weeks!$B$59),"date outside this workbook's year",IF(AND($D584="Advance",N($L584)&lt;0),"Warning: more than earned so far - worker now owes "&amp;TEXT(ROUND(-$L584,0),"#,##0"),"")))))))))</f>
        <v/>
      </c>
      <c r="N584" s="125" t="n"/>
      <c r="O584" s="126" t="n"/>
      <c r="P584" s="126" t="n"/>
      <c r="Q584" s="126" t="n"/>
      <c r="R584" s="126" t="n"/>
      <c r="S584" s="126" t="n"/>
      <c r="T584" s="126" t="n"/>
      <c r="U584" s="126" t="n"/>
      <c r="V584" s="126" t="n"/>
      <c r="W584" s="126" t="n"/>
      <c r="X584" s="126" t="n"/>
      <c r="Y584" s="126" t="n"/>
      <c r="Z584" s="126" t="n"/>
      <c r="AA584" s="126" t="n"/>
      <c r="AB584" s="126" t="n"/>
      <c r="AC584" s="126" t="n"/>
      <c r="AD584" s="126" t="n"/>
      <c r="AE584" s="126" t="n"/>
      <c r="AF584" s="126" t="n"/>
      <c r="AG584" s="126" t="n"/>
      <c r="AH584" s="126" t="n"/>
      <c r="AI584" s="126" t="n"/>
      <c r="AJ584" s="126" t="n"/>
      <c r="AK584" s="126" t="n"/>
      <c r="AL584" s="126" t="n"/>
      <c r="AM584" s="126" t="n"/>
      <c r="AN584" s="126" t="n"/>
    </row>
    <row r="585" ht="21" customFormat="1" customHeight="1" s="127">
      <c r="A585" s="51">
        <f>IF($B585="","",ROW()-6)</f>
        <v/>
      </c>
      <c r="B585" s="268" t="n"/>
      <c r="C585" s="133" t="n"/>
      <c r="D585" s="50" t="n"/>
      <c r="E585" s="265" t="n"/>
      <c r="F585" s="133" t="n"/>
      <c r="G585" s="133" t="n"/>
      <c r="H585" s="50" t="n"/>
      <c r="I585" s="51">
        <f>IF($C585="","",IFERROR(INDEX(WorkerIDs,MATCH($C585,WorkerNames,0)),"?"))</f>
        <v/>
      </c>
      <c r="J585" s="253">
        <f>IF($B585="","",$B585-WEEKDAY($B585,2)+1)</f>
        <v/>
      </c>
      <c r="K585" s="142">
        <f>IF(OR($I585="",$I585="?",$D585&lt;&gt;"Advance",$B585=""),"",$I585&amp;"|"&amp;$J585&amp;"|"&amp;COUNTIFS($I$7:$I585,$I585,$J$7:$J585,$J585,$D$7:$D585,"Advance"))</f>
        <v/>
      </c>
      <c r="L585" s="266">
        <f>IF(OR($I585="",$I585="?",$B585=""),"",SUMPRODUCT((Weeks!$A$7:$A$59&lt;=$J585)*(Weeks!$X$5:$AI$5=$I585)*Weeks!$X$7:$AI$59)-SUMIFS($E$7:$E$1006,$I$7:$I$1006,$I585,$B$7:$B$1006,"&lt;="&amp;$B585))</f>
        <v/>
      </c>
      <c r="M585" s="132">
        <f>IF($B585&amp;$C585&amp;$D585&amp;$E585="","",IF($B585="","missing date",IF($C585="","missing worker",IF($I585="?","unknown worker - was the name changed on Workers?",IF($D585="","missing type",IF(N($E585)=0,"missing amount",IF(AND($E585&lt;0,$D585&lt;&gt;"Correction"),"negative amount - use a Correction to undo",IF(OR($B585&lt;Weeks!$A$7,$B585&gt;Weeks!$B$59),"date outside this workbook's year",IF(AND($D585="Advance",N($L585)&lt;0),"Warning: more than earned so far - worker now owes "&amp;TEXT(ROUND(-$L585,0),"#,##0"),"")))))))))</f>
        <v/>
      </c>
      <c r="N585" s="125" t="n"/>
      <c r="O585" s="126" t="n"/>
      <c r="P585" s="126" t="n"/>
      <c r="Q585" s="126" t="n"/>
      <c r="R585" s="126" t="n"/>
      <c r="S585" s="126" t="n"/>
      <c r="T585" s="126" t="n"/>
      <c r="U585" s="126" t="n"/>
      <c r="V585" s="126" t="n"/>
      <c r="W585" s="126" t="n"/>
      <c r="X585" s="126" t="n"/>
      <c r="Y585" s="126" t="n"/>
      <c r="Z585" s="126" t="n"/>
      <c r="AA585" s="126" t="n"/>
      <c r="AB585" s="126" t="n"/>
      <c r="AC585" s="126" t="n"/>
      <c r="AD585" s="126" t="n"/>
      <c r="AE585" s="126" t="n"/>
      <c r="AF585" s="126" t="n"/>
      <c r="AG585" s="126" t="n"/>
      <c r="AH585" s="126" t="n"/>
      <c r="AI585" s="126" t="n"/>
      <c r="AJ585" s="126" t="n"/>
      <c r="AK585" s="126" t="n"/>
      <c r="AL585" s="126" t="n"/>
      <c r="AM585" s="126" t="n"/>
      <c r="AN585" s="126" t="n"/>
    </row>
    <row r="586" ht="21" customFormat="1" customHeight="1" s="127">
      <c r="A586" s="51">
        <f>IF($B586="","",ROW()-6)</f>
        <v/>
      </c>
      <c r="B586" s="268" t="n"/>
      <c r="C586" s="133" t="n"/>
      <c r="D586" s="50" t="n"/>
      <c r="E586" s="265" t="n"/>
      <c r="F586" s="133" t="n"/>
      <c r="G586" s="133" t="n"/>
      <c r="H586" s="50" t="n"/>
      <c r="I586" s="51">
        <f>IF($C586="","",IFERROR(INDEX(WorkerIDs,MATCH($C586,WorkerNames,0)),"?"))</f>
        <v/>
      </c>
      <c r="J586" s="253">
        <f>IF($B586="","",$B586-WEEKDAY($B586,2)+1)</f>
        <v/>
      </c>
      <c r="K586" s="142">
        <f>IF(OR($I586="",$I586="?",$D586&lt;&gt;"Advance",$B586=""),"",$I586&amp;"|"&amp;$J586&amp;"|"&amp;COUNTIFS($I$7:$I586,$I586,$J$7:$J586,$J586,$D$7:$D586,"Advance"))</f>
        <v/>
      </c>
      <c r="L586" s="266">
        <f>IF(OR($I586="",$I586="?",$B586=""),"",SUMPRODUCT((Weeks!$A$7:$A$59&lt;=$J586)*(Weeks!$X$5:$AI$5=$I586)*Weeks!$X$7:$AI$59)-SUMIFS($E$7:$E$1006,$I$7:$I$1006,$I586,$B$7:$B$1006,"&lt;="&amp;$B586))</f>
        <v/>
      </c>
      <c r="M586" s="132">
        <f>IF($B586&amp;$C586&amp;$D586&amp;$E586="","",IF($B586="","missing date",IF($C586="","missing worker",IF($I586="?","unknown worker - was the name changed on Workers?",IF($D586="","missing type",IF(N($E586)=0,"missing amount",IF(AND($E586&lt;0,$D586&lt;&gt;"Correction"),"negative amount - use a Correction to undo",IF(OR($B586&lt;Weeks!$A$7,$B586&gt;Weeks!$B$59),"date outside this workbook's year",IF(AND($D586="Advance",N($L586)&lt;0),"Warning: more than earned so far - worker now owes "&amp;TEXT(ROUND(-$L586,0),"#,##0"),"")))))))))</f>
        <v/>
      </c>
      <c r="N586" s="125" t="n"/>
      <c r="O586" s="126" t="n"/>
      <c r="P586" s="126" t="n"/>
      <c r="Q586" s="126" t="n"/>
      <c r="R586" s="126" t="n"/>
      <c r="S586" s="126" t="n"/>
      <c r="T586" s="126" t="n"/>
      <c r="U586" s="126" t="n"/>
      <c r="V586" s="126" t="n"/>
      <c r="W586" s="126" t="n"/>
      <c r="X586" s="126" t="n"/>
      <c r="Y586" s="126" t="n"/>
      <c r="Z586" s="126" t="n"/>
      <c r="AA586" s="126" t="n"/>
      <c r="AB586" s="126" t="n"/>
      <c r="AC586" s="126" t="n"/>
      <c r="AD586" s="126" t="n"/>
      <c r="AE586" s="126" t="n"/>
      <c r="AF586" s="126" t="n"/>
      <c r="AG586" s="126" t="n"/>
      <c r="AH586" s="126" t="n"/>
      <c r="AI586" s="126" t="n"/>
      <c r="AJ586" s="126" t="n"/>
      <c r="AK586" s="126" t="n"/>
      <c r="AL586" s="126" t="n"/>
      <c r="AM586" s="126" t="n"/>
      <c r="AN586" s="126" t="n"/>
    </row>
    <row r="587" ht="21" customFormat="1" customHeight="1" s="127">
      <c r="A587" s="51">
        <f>IF($B587="","",ROW()-6)</f>
        <v/>
      </c>
      <c r="B587" s="268" t="n"/>
      <c r="C587" s="133" t="n"/>
      <c r="D587" s="50" t="n"/>
      <c r="E587" s="265" t="n"/>
      <c r="F587" s="133" t="n"/>
      <c r="G587" s="133" t="n"/>
      <c r="H587" s="50" t="n"/>
      <c r="I587" s="51">
        <f>IF($C587="","",IFERROR(INDEX(WorkerIDs,MATCH($C587,WorkerNames,0)),"?"))</f>
        <v/>
      </c>
      <c r="J587" s="253">
        <f>IF($B587="","",$B587-WEEKDAY($B587,2)+1)</f>
        <v/>
      </c>
      <c r="K587" s="142">
        <f>IF(OR($I587="",$I587="?",$D587&lt;&gt;"Advance",$B587=""),"",$I587&amp;"|"&amp;$J587&amp;"|"&amp;COUNTIFS($I$7:$I587,$I587,$J$7:$J587,$J587,$D$7:$D587,"Advance"))</f>
        <v/>
      </c>
      <c r="L587" s="266">
        <f>IF(OR($I587="",$I587="?",$B587=""),"",SUMPRODUCT((Weeks!$A$7:$A$59&lt;=$J587)*(Weeks!$X$5:$AI$5=$I587)*Weeks!$X$7:$AI$59)-SUMIFS($E$7:$E$1006,$I$7:$I$1006,$I587,$B$7:$B$1006,"&lt;="&amp;$B587))</f>
        <v/>
      </c>
      <c r="M587" s="132">
        <f>IF($B587&amp;$C587&amp;$D587&amp;$E587="","",IF($B587="","missing date",IF($C587="","missing worker",IF($I587="?","unknown worker - was the name changed on Workers?",IF($D587="","missing type",IF(N($E587)=0,"missing amount",IF(AND($E587&lt;0,$D587&lt;&gt;"Correction"),"negative amount - use a Correction to undo",IF(OR($B587&lt;Weeks!$A$7,$B587&gt;Weeks!$B$59),"date outside this workbook's year",IF(AND($D587="Advance",N($L587)&lt;0),"Warning: more than earned so far - worker now owes "&amp;TEXT(ROUND(-$L587,0),"#,##0"),"")))))))))</f>
        <v/>
      </c>
      <c r="N587" s="125" t="n"/>
      <c r="O587" s="126" t="n"/>
      <c r="P587" s="126" t="n"/>
      <c r="Q587" s="126" t="n"/>
      <c r="R587" s="126" t="n"/>
      <c r="S587" s="126" t="n"/>
      <c r="T587" s="126" t="n"/>
      <c r="U587" s="126" t="n"/>
      <c r="V587" s="126" t="n"/>
      <c r="W587" s="126" t="n"/>
      <c r="X587" s="126" t="n"/>
      <c r="Y587" s="126" t="n"/>
      <c r="Z587" s="126" t="n"/>
      <c r="AA587" s="126" t="n"/>
      <c r="AB587" s="126" t="n"/>
      <c r="AC587" s="126" t="n"/>
      <c r="AD587" s="126" t="n"/>
      <c r="AE587" s="126" t="n"/>
      <c r="AF587" s="126" t="n"/>
      <c r="AG587" s="126" t="n"/>
      <c r="AH587" s="126" t="n"/>
      <c r="AI587" s="126" t="n"/>
      <c r="AJ587" s="126" t="n"/>
      <c r="AK587" s="126" t="n"/>
      <c r="AL587" s="126" t="n"/>
      <c r="AM587" s="126" t="n"/>
      <c r="AN587" s="126" t="n"/>
    </row>
    <row r="588" ht="21" customFormat="1" customHeight="1" s="127">
      <c r="A588" s="51">
        <f>IF($B588="","",ROW()-6)</f>
        <v/>
      </c>
      <c r="B588" s="268" t="n"/>
      <c r="C588" s="133" t="n"/>
      <c r="D588" s="50" t="n"/>
      <c r="E588" s="265" t="n"/>
      <c r="F588" s="133" t="n"/>
      <c r="G588" s="133" t="n"/>
      <c r="H588" s="50" t="n"/>
      <c r="I588" s="51">
        <f>IF($C588="","",IFERROR(INDEX(WorkerIDs,MATCH($C588,WorkerNames,0)),"?"))</f>
        <v/>
      </c>
      <c r="J588" s="253">
        <f>IF($B588="","",$B588-WEEKDAY($B588,2)+1)</f>
        <v/>
      </c>
      <c r="K588" s="142">
        <f>IF(OR($I588="",$I588="?",$D588&lt;&gt;"Advance",$B588=""),"",$I588&amp;"|"&amp;$J588&amp;"|"&amp;COUNTIFS($I$7:$I588,$I588,$J$7:$J588,$J588,$D$7:$D588,"Advance"))</f>
        <v/>
      </c>
      <c r="L588" s="266">
        <f>IF(OR($I588="",$I588="?",$B588=""),"",SUMPRODUCT((Weeks!$A$7:$A$59&lt;=$J588)*(Weeks!$X$5:$AI$5=$I588)*Weeks!$X$7:$AI$59)-SUMIFS($E$7:$E$1006,$I$7:$I$1006,$I588,$B$7:$B$1006,"&lt;="&amp;$B588))</f>
        <v/>
      </c>
      <c r="M588" s="132">
        <f>IF($B588&amp;$C588&amp;$D588&amp;$E588="","",IF($B588="","missing date",IF($C588="","missing worker",IF($I588="?","unknown worker - was the name changed on Workers?",IF($D588="","missing type",IF(N($E588)=0,"missing amount",IF(AND($E588&lt;0,$D588&lt;&gt;"Correction"),"negative amount - use a Correction to undo",IF(OR($B588&lt;Weeks!$A$7,$B588&gt;Weeks!$B$59),"date outside this workbook's year",IF(AND($D588="Advance",N($L588)&lt;0),"Warning: more than earned so far - worker now owes "&amp;TEXT(ROUND(-$L588,0),"#,##0"),"")))))))))</f>
        <v/>
      </c>
      <c r="N588" s="125" t="n"/>
      <c r="O588" s="126" t="n"/>
      <c r="P588" s="126" t="n"/>
      <c r="Q588" s="126" t="n"/>
      <c r="R588" s="126" t="n"/>
      <c r="S588" s="126" t="n"/>
      <c r="T588" s="126" t="n"/>
      <c r="U588" s="126" t="n"/>
      <c r="V588" s="126" t="n"/>
      <c r="W588" s="126" t="n"/>
      <c r="X588" s="126" t="n"/>
      <c r="Y588" s="126" t="n"/>
      <c r="Z588" s="126" t="n"/>
      <c r="AA588" s="126" t="n"/>
      <c r="AB588" s="126" t="n"/>
      <c r="AC588" s="126" t="n"/>
      <c r="AD588" s="126" t="n"/>
      <c r="AE588" s="126" t="n"/>
      <c r="AF588" s="126" t="n"/>
      <c r="AG588" s="126" t="n"/>
      <c r="AH588" s="126" t="n"/>
      <c r="AI588" s="126" t="n"/>
      <c r="AJ588" s="126" t="n"/>
      <c r="AK588" s="126" t="n"/>
      <c r="AL588" s="126" t="n"/>
      <c r="AM588" s="126" t="n"/>
      <c r="AN588" s="126" t="n"/>
    </row>
    <row r="589" ht="21" customFormat="1" customHeight="1" s="127">
      <c r="A589" s="51">
        <f>IF($B589="","",ROW()-6)</f>
        <v/>
      </c>
      <c r="B589" s="268" t="n"/>
      <c r="C589" s="133" t="n"/>
      <c r="D589" s="50" t="n"/>
      <c r="E589" s="265" t="n"/>
      <c r="F589" s="133" t="n"/>
      <c r="G589" s="133" t="n"/>
      <c r="H589" s="50" t="n"/>
      <c r="I589" s="51">
        <f>IF($C589="","",IFERROR(INDEX(WorkerIDs,MATCH($C589,WorkerNames,0)),"?"))</f>
        <v/>
      </c>
      <c r="J589" s="253">
        <f>IF($B589="","",$B589-WEEKDAY($B589,2)+1)</f>
        <v/>
      </c>
      <c r="K589" s="142">
        <f>IF(OR($I589="",$I589="?",$D589&lt;&gt;"Advance",$B589=""),"",$I589&amp;"|"&amp;$J589&amp;"|"&amp;COUNTIFS($I$7:$I589,$I589,$J$7:$J589,$J589,$D$7:$D589,"Advance"))</f>
        <v/>
      </c>
      <c r="L589" s="266">
        <f>IF(OR($I589="",$I589="?",$B589=""),"",SUMPRODUCT((Weeks!$A$7:$A$59&lt;=$J589)*(Weeks!$X$5:$AI$5=$I589)*Weeks!$X$7:$AI$59)-SUMIFS($E$7:$E$1006,$I$7:$I$1006,$I589,$B$7:$B$1006,"&lt;="&amp;$B589))</f>
        <v/>
      </c>
      <c r="M589" s="132">
        <f>IF($B589&amp;$C589&amp;$D589&amp;$E589="","",IF($B589="","missing date",IF($C589="","missing worker",IF($I589="?","unknown worker - was the name changed on Workers?",IF($D589="","missing type",IF(N($E589)=0,"missing amount",IF(AND($E589&lt;0,$D589&lt;&gt;"Correction"),"negative amount - use a Correction to undo",IF(OR($B589&lt;Weeks!$A$7,$B589&gt;Weeks!$B$59),"date outside this workbook's year",IF(AND($D589="Advance",N($L589)&lt;0),"Warning: more than earned so far - worker now owes "&amp;TEXT(ROUND(-$L589,0),"#,##0"),"")))))))))</f>
        <v/>
      </c>
      <c r="N589" s="125" t="n"/>
      <c r="O589" s="126" t="n"/>
      <c r="P589" s="126" t="n"/>
      <c r="Q589" s="126" t="n"/>
      <c r="R589" s="126" t="n"/>
      <c r="S589" s="126" t="n"/>
      <c r="T589" s="126" t="n"/>
      <c r="U589" s="126" t="n"/>
      <c r="V589" s="126" t="n"/>
      <c r="W589" s="126" t="n"/>
      <c r="X589" s="126" t="n"/>
      <c r="Y589" s="126" t="n"/>
      <c r="Z589" s="126" t="n"/>
      <c r="AA589" s="126" t="n"/>
      <c r="AB589" s="126" t="n"/>
      <c r="AC589" s="126" t="n"/>
      <c r="AD589" s="126" t="n"/>
      <c r="AE589" s="126" t="n"/>
      <c r="AF589" s="126" t="n"/>
      <c r="AG589" s="126" t="n"/>
      <c r="AH589" s="126" t="n"/>
      <c r="AI589" s="126" t="n"/>
      <c r="AJ589" s="126" t="n"/>
      <c r="AK589" s="126" t="n"/>
      <c r="AL589" s="126" t="n"/>
      <c r="AM589" s="126" t="n"/>
      <c r="AN589" s="126" t="n"/>
    </row>
    <row r="590" ht="21" customFormat="1" customHeight="1" s="127">
      <c r="A590" s="51">
        <f>IF($B590="","",ROW()-6)</f>
        <v/>
      </c>
      <c r="B590" s="268" t="n"/>
      <c r="C590" s="133" t="n"/>
      <c r="D590" s="50" t="n"/>
      <c r="E590" s="265" t="n"/>
      <c r="F590" s="133" t="n"/>
      <c r="G590" s="133" t="n"/>
      <c r="H590" s="50" t="n"/>
      <c r="I590" s="51">
        <f>IF($C590="","",IFERROR(INDEX(WorkerIDs,MATCH($C590,WorkerNames,0)),"?"))</f>
        <v/>
      </c>
      <c r="J590" s="253">
        <f>IF($B590="","",$B590-WEEKDAY($B590,2)+1)</f>
        <v/>
      </c>
      <c r="K590" s="142">
        <f>IF(OR($I590="",$I590="?",$D590&lt;&gt;"Advance",$B590=""),"",$I590&amp;"|"&amp;$J590&amp;"|"&amp;COUNTIFS($I$7:$I590,$I590,$J$7:$J590,$J590,$D$7:$D590,"Advance"))</f>
        <v/>
      </c>
      <c r="L590" s="266">
        <f>IF(OR($I590="",$I590="?",$B590=""),"",SUMPRODUCT((Weeks!$A$7:$A$59&lt;=$J590)*(Weeks!$X$5:$AI$5=$I590)*Weeks!$X$7:$AI$59)-SUMIFS($E$7:$E$1006,$I$7:$I$1006,$I590,$B$7:$B$1006,"&lt;="&amp;$B590))</f>
        <v/>
      </c>
      <c r="M590" s="132">
        <f>IF($B590&amp;$C590&amp;$D590&amp;$E590="","",IF($B590="","missing date",IF($C590="","missing worker",IF($I590="?","unknown worker - was the name changed on Workers?",IF($D590="","missing type",IF(N($E590)=0,"missing amount",IF(AND($E590&lt;0,$D590&lt;&gt;"Correction"),"negative amount - use a Correction to undo",IF(OR($B590&lt;Weeks!$A$7,$B590&gt;Weeks!$B$59),"date outside this workbook's year",IF(AND($D590="Advance",N($L590)&lt;0),"Warning: more than earned so far - worker now owes "&amp;TEXT(ROUND(-$L590,0),"#,##0"),"")))))))))</f>
        <v/>
      </c>
      <c r="N590" s="125" t="n"/>
      <c r="O590" s="126" t="n"/>
      <c r="P590" s="126" t="n"/>
      <c r="Q590" s="126" t="n"/>
      <c r="R590" s="126" t="n"/>
      <c r="S590" s="126" t="n"/>
      <c r="T590" s="126" t="n"/>
      <c r="U590" s="126" t="n"/>
      <c r="V590" s="126" t="n"/>
      <c r="W590" s="126" t="n"/>
      <c r="X590" s="126" t="n"/>
      <c r="Y590" s="126" t="n"/>
      <c r="Z590" s="126" t="n"/>
      <c r="AA590" s="126" t="n"/>
      <c r="AB590" s="126" t="n"/>
      <c r="AC590" s="126" t="n"/>
      <c r="AD590" s="126" t="n"/>
      <c r="AE590" s="126" t="n"/>
      <c r="AF590" s="126" t="n"/>
      <c r="AG590" s="126" t="n"/>
      <c r="AH590" s="126" t="n"/>
      <c r="AI590" s="126" t="n"/>
      <c r="AJ590" s="126" t="n"/>
      <c r="AK590" s="126" t="n"/>
      <c r="AL590" s="126" t="n"/>
      <c r="AM590" s="126" t="n"/>
      <c r="AN590" s="126" t="n"/>
    </row>
    <row r="591" ht="21" customFormat="1" customHeight="1" s="127">
      <c r="A591" s="51">
        <f>IF($B591="","",ROW()-6)</f>
        <v/>
      </c>
      <c r="B591" s="268" t="n"/>
      <c r="C591" s="133" t="n"/>
      <c r="D591" s="50" t="n"/>
      <c r="E591" s="265" t="n"/>
      <c r="F591" s="133" t="n"/>
      <c r="G591" s="133" t="n"/>
      <c r="H591" s="50" t="n"/>
      <c r="I591" s="51">
        <f>IF($C591="","",IFERROR(INDEX(WorkerIDs,MATCH($C591,WorkerNames,0)),"?"))</f>
        <v/>
      </c>
      <c r="J591" s="253">
        <f>IF($B591="","",$B591-WEEKDAY($B591,2)+1)</f>
        <v/>
      </c>
      <c r="K591" s="142">
        <f>IF(OR($I591="",$I591="?",$D591&lt;&gt;"Advance",$B591=""),"",$I591&amp;"|"&amp;$J591&amp;"|"&amp;COUNTIFS($I$7:$I591,$I591,$J$7:$J591,$J591,$D$7:$D591,"Advance"))</f>
        <v/>
      </c>
      <c r="L591" s="266">
        <f>IF(OR($I591="",$I591="?",$B591=""),"",SUMPRODUCT((Weeks!$A$7:$A$59&lt;=$J591)*(Weeks!$X$5:$AI$5=$I591)*Weeks!$X$7:$AI$59)-SUMIFS($E$7:$E$1006,$I$7:$I$1006,$I591,$B$7:$B$1006,"&lt;="&amp;$B591))</f>
        <v/>
      </c>
      <c r="M591" s="132">
        <f>IF($B591&amp;$C591&amp;$D591&amp;$E591="","",IF($B591="","missing date",IF($C591="","missing worker",IF($I591="?","unknown worker - was the name changed on Workers?",IF($D591="","missing type",IF(N($E591)=0,"missing amount",IF(AND($E591&lt;0,$D591&lt;&gt;"Correction"),"negative amount - use a Correction to undo",IF(OR($B591&lt;Weeks!$A$7,$B591&gt;Weeks!$B$59),"date outside this workbook's year",IF(AND($D591="Advance",N($L591)&lt;0),"Warning: more than earned so far - worker now owes "&amp;TEXT(ROUND(-$L591,0),"#,##0"),"")))))))))</f>
        <v/>
      </c>
      <c r="N591" s="125" t="n"/>
      <c r="O591" s="126" t="n"/>
      <c r="P591" s="126" t="n"/>
      <c r="Q591" s="126" t="n"/>
      <c r="R591" s="126" t="n"/>
      <c r="S591" s="126" t="n"/>
      <c r="T591" s="126" t="n"/>
      <c r="U591" s="126" t="n"/>
      <c r="V591" s="126" t="n"/>
      <c r="W591" s="126" t="n"/>
      <c r="X591" s="126" t="n"/>
      <c r="Y591" s="126" t="n"/>
      <c r="Z591" s="126" t="n"/>
      <c r="AA591" s="126" t="n"/>
      <c r="AB591" s="126" t="n"/>
      <c r="AC591" s="126" t="n"/>
      <c r="AD591" s="126" t="n"/>
      <c r="AE591" s="126" t="n"/>
      <c r="AF591" s="126" t="n"/>
      <c r="AG591" s="126" t="n"/>
      <c r="AH591" s="126" t="n"/>
      <c r="AI591" s="126" t="n"/>
      <c r="AJ591" s="126" t="n"/>
      <c r="AK591" s="126" t="n"/>
      <c r="AL591" s="126" t="n"/>
      <c r="AM591" s="126" t="n"/>
      <c r="AN591" s="126" t="n"/>
    </row>
    <row r="592" ht="21" customFormat="1" customHeight="1" s="127">
      <c r="A592" s="51">
        <f>IF($B592="","",ROW()-6)</f>
        <v/>
      </c>
      <c r="B592" s="268" t="n"/>
      <c r="C592" s="133" t="n"/>
      <c r="D592" s="50" t="n"/>
      <c r="E592" s="265" t="n"/>
      <c r="F592" s="133" t="n"/>
      <c r="G592" s="133" t="n"/>
      <c r="H592" s="50" t="n"/>
      <c r="I592" s="51">
        <f>IF($C592="","",IFERROR(INDEX(WorkerIDs,MATCH($C592,WorkerNames,0)),"?"))</f>
        <v/>
      </c>
      <c r="J592" s="253">
        <f>IF($B592="","",$B592-WEEKDAY($B592,2)+1)</f>
        <v/>
      </c>
      <c r="K592" s="142">
        <f>IF(OR($I592="",$I592="?",$D592&lt;&gt;"Advance",$B592=""),"",$I592&amp;"|"&amp;$J592&amp;"|"&amp;COUNTIFS($I$7:$I592,$I592,$J$7:$J592,$J592,$D$7:$D592,"Advance"))</f>
        <v/>
      </c>
      <c r="L592" s="266">
        <f>IF(OR($I592="",$I592="?",$B592=""),"",SUMPRODUCT((Weeks!$A$7:$A$59&lt;=$J592)*(Weeks!$X$5:$AI$5=$I592)*Weeks!$X$7:$AI$59)-SUMIFS($E$7:$E$1006,$I$7:$I$1006,$I592,$B$7:$B$1006,"&lt;="&amp;$B592))</f>
        <v/>
      </c>
      <c r="M592" s="132">
        <f>IF($B592&amp;$C592&amp;$D592&amp;$E592="","",IF($B592="","missing date",IF($C592="","missing worker",IF($I592="?","unknown worker - was the name changed on Workers?",IF($D592="","missing type",IF(N($E592)=0,"missing amount",IF(AND($E592&lt;0,$D592&lt;&gt;"Correction"),"negative amount - use a Correction to undo",IF(OR($B592&lt;Weeks!$A$7,$B592&gt;Weeks!$B$59),"date outside this workbook's year",IF(AND($D592="Advance",N($L592)&lt;0),"Warning: more than earned so far - worker now owes "&amp;TEXT(ROUND(-$L592,0),"#,##0"),"")))))))))</f>
        <v/>
      </c>
      <c r="N592" s="125" t="n"/>
      <c r="O592" s="126" t="n"/>
      <c r="P592" s="126" t="n"/>
      <c r="Q592" s="126" t="n"/>
      <c r="R592" s="126" t="n"/>
      <c r="S592" s="126" t="n"/>
      <c r="T592" s="126" t="n"/>
      <c r="U592" s="126" t="n"/>
      <c r="V592" s="126" t="n"/>
      <c r="W592" s="126" t="n"/>
      <c r="X592" s="126" t="n"/>
      <c r="Y592" s="126" t="n"/>
      <c r="Z592" s="126" t="n"/>
      <c r="AA592" s="126" t="n"/>
      <c r="AB592" s="126" t="n"/>
      <c r="AC592" s="126" t="n"/>
      <c r="AD592" s="126" t="n"/>
      <c r="AE592" s="126" t="n"/>
      <c r="AF592" s="126" t="n"/>
      <c r="AG592" s="126" t="n"/>
      <c r="AH592" s="126" t="n"/>
      <c r="AI592" s="126" t="n"/>
      <c r="AJ592" s="126" t="n"/>
      <c r="AK592" s="126" t="n"/>
      <c r="AL592" s="126" t="n"/>
      <c r="AM592" s="126" t="n"/>
      <c r="AN592" s="126" t="n"/>
    </row>
    <row r="593" ht="21" customFormat="1" customHeight="1" s="127">
      <c r="A593" s="51">
        <f>IF($B593="","",ROW()-6)</f>
        <v/>
      </c>
      <c r="B593" s="268" t="n"/>
      <c r="C593" s="133" t="n"/>
      <c r="D593" s="50" t="n"/>
      <c r="E593" s="265" t="n"/>
      <c r="F593" s="133" t="n"/>
      <c r="G593" s="133" t="n"/>
      <c r="H593" s="50" t="n"/>
      <c r="I593" s="51">
        <f>IF($C593="","",IFERROR(INDEX(WorkerIDs,MATCH($C593,WorkerNames,0)),"?"))</f>
        <v/>
      </c>
      <c r="J593" s="253">
        <f>IF($B593="","",$B593-WEEKDAY($B593,2)+1)</f>
        <v/>
      </c>
      <c r="K593" s="142">
        <f>IF(OR($I593="",$I593="?",$D593&lt;&gt;"Advance",$B593=""),"",$I593&amp;"|"&amp;$J593&amp;"|"&amp;COUNTIFS($I$7:$I593,$I593,$J$7:$J593,$J593,$D$7:$D593,"Advance"))</f>
        <v/>
      </c>
      <c r="L593" s="266">
        <f>IF(OR($I593="",$I593="?",$B593=""),"",SUMPRODUCT((Weeks!$A$7:$A$59&lt;=$J593)*(Weeks!$X$5:$AI$5=$I593)*Weeks!$X$7:$AI$59)-SUMIFS($E$7:$E$1006,$I$7:$I$1006,$I593,$B$7:$B$1006,"&lt;="&amp;$B593))</f>
        <v/>
      </c>
      <c r="M593" s="132">
        <f>IF($B593&amp;$C593&amp;$D593&amp;$E593="","",IF($B593="","missing date",IF($C593="","missing worker",IF($I593="?","unknown worker - was the name changed on Workers?",IF($D593="","missing type",IF(N($E593)=0,"missing amount",IF(AND($E593&lt;0,$D593&lt;&gt;"Correction"),"negative amount - use a Correction to undo",IF(OR($B593&lt;Weeks!$A$7,$B593&gt;Weeks!$B$59),"date outside this workbook's year",IF(AND($D593="Advance",N($L593)&lt;0),"Warning: more than earned so far - worker now owes "&amp;TEXT(ROUND(-$L593,0),"#,##0"),"")))))))))</f>
        <v/>
      </c>
      <c r="N593" s="125" t="n"/>
      <c r="O593" s="126" t="n"/>
      <c r="P593" s="126" t="n"/>
      <c r="Q593" s="126" t="n"/>
      <c r="R593" s="126" t="n"/>
      <c r="S593" s="126" t="n"/>
      <c r="T593" s="126" t="n"/>
      <c r="U593" s="126" t="n"/>
      <c r="V593" s="126" t="n"/>
      <c r="W593" s="126" t="n"/>
      <c r="X593" s="126" t="n"/>
      <c r="Y593" s="126" t="n"/>
      <c r="Z593" s="126" t="n"/>
      <c r="AA593" s="126" t="n"/>
      <c r="AB593" s="126" t="n"/>
      <c r="AC593" s="126" t="n"/>
      <c r="AD593" s="126" t="n"/>
      <c r="AE593" s="126" t="n"/>
      <c r="AF593" s="126" t="n"/>
      <c r="AG593" s="126" t="n"/>
      <c r="AH593" s="126" t="n"/>
      <c r="AI593" s="126" t="n"/>
      <c r="AJ593" s="126" t="n"/>
      <c r="AK593" s="126" t="n"/>
      <c r="AL593" s="126" t="n"/>
      <c r="AM593" s="126" t="n"/>
      <c r="AN593" s="126" t="n"/>
    </row>
    <row r="594" ht="21" customFormat="1" customHeight="1" s="127">
      <c r="A594" s="51">
        <f>IF($B594="","",ROW()-6)</f>
        <v/>
      </c>
      <c r="B594" s="268" t="n"/>
      <c r="C594" s="133" t="n"/>
      <c r="D594" s="50" t="n"/>
      <c r="E594" s="265" t="n"/>
      <c r="F594" s="133" t="n"/>
      <c r="G594" s="133" t="n"/>
      <c r="H594" s="50" t="n"/>
      <c r="I594" s="51">
        <f>IF($C594="","",IFERROR(INDEX(WorkerIDs,MATCH($C594,WorkerNames,0)),"?"))</f>
        <v/>
      </c>
      <c r="J594" s="253">
        <f>IF($B594="","",$B594-WEEKDAY($B594,2)+1)</f>
        <v/>
      </c>
      <c r="K594" s="142">
        <f>IF(OR($I594="",$I594="?",$D594&lt;&gt;"Advance",$B594=""),"",$I594&amp;"|"&amp;$J594&amp;"|"&amp;COUNTIFS($I$7:$I594,$I594,$J$7:$J594,$J594,$D$7:$D594,"Advance"))</f>
        <v/>
      </c>
      <c r="L594" s="266">
        <f>IF(OR($I594="",$I594="?",$B594=""),"",SUMPRODUCT((Weeks!$A$7:$A$59&lt;=$J594)*(Weeks!$X$5:$AI$5=$I594)*Weeks!$X$7:$AI$59)-SUMIFS($E$7:$E$1006,$I$7:$I$1006,$I594,$B$7:$B$1006,"&lt;="&amp;$B594))</f>
        <v/>
      </c>
      <c r="M594" s="132">
        <f>IF($B594&amp;$C594&amp;$D594&amp;$E594="","",IF($B594="","missing date",IF($C594="","missing worker",IF($I594="?","unknown worker - was the name changed on Workers?",IF($D594="","missing type",IF(N($E594)=0,"missing amount",IF(AND($E594&lt;0,$D594&lt;&gt;"Correction"),"negative amount - use a Correction to undo",IF(OR($B594&lt;Weeks!$A$7,$B594&gt;Weeks!$B$59),"date outside this workbook's year",IF(AND($D594="Advance",N($L594)&lt;0),"Warning: more than earned so far - worker now owes "&amp;TEXT(ROUND(-$L594,0),"#,##0"),"")))))))))</f>
        <v/>
      </c>
      <c r="N594" s="125" t="n"/>
      <c r="O594" s="126" t="n"/>
      <c r="P594" s="126" t="n"/>
      <c r="Q594" s="126" t="n"/>
      <c r="R594" s="126" t="n"/>
      <c r="S594" s="126" t="n"/>
      <c r="T594" s="126" t="n"/>
      <c r="U594" s="126" t="n"/>
      <c r="V594" s="126" t="n"/>
      <c r="W594" s="126" t="n"/>
      <c r="X594" s="126" t="n"/>
      <c r="Y594" s="126" t="n"/>
      <c r="Z594" s="126" t="n"/>
      <c r="AA594" s="126" t="n"/>
      <c r="AB594" s="126" t="n"/>
      <c r="AC594" s="126" t="n"/>
      <c r="AD594" s="126" t="n"/>
      <c r="AE594" s="126" t="n"/>
      <c r="AF594" s="126" t="n"/>
      <c r="AG594" s="126" t="n"/>
      <c r="AH594" s="126" t="n"/>
      <c r="AI594" s="126" t="n"/>
      <c r="AJ594" s="126" t="n"/>
      <c r="AK594" s="126" t="n"/>
      <c r="AL594" s="126" t="n"/>
      <c r="AM594" s="126" t="n"/>
      <c r="AN594" s="126" t="n"/>
    </row>
    <row r="595" ht="21" customFormat="1" customHeight="1" s="127">
      <c r="A595" s="51">
        <f>IF($B595="","",ROW()-6)</f>
        <v/>
      </c>
      <c r="B595" s="268" t="n"/>
      <c r="C595" s="133" t="n"/>
      <c r="D595" s="50" t="n"/>
      <c r="E595" s="265" t="n"/>
      <c r="F595" s="133" t="n"/>
      <c r="G595" s="133" t="n"/>
      <c r="H595" s="50" t="n"/>
      <c r="I595" s="51">
        <f>IF($C595="","",IFERROR(INDEX(WorkerIDs,MATCH($C595,WorkerNames,0)),"?"))</f>
        <v/>
      </c>
      <c r="J595" s="253">
        <f>IF($B595="","",$B595-WEEKDAY($B595,2)+1)</f>
        <v/>
      </c>
      <c r="K595" s="142">
        <f>IF(OR($I595="",$I595="?",$D595&lt;&gt;"Advance",$B595=""),"",$I595&amp;"|"&amp;$J595&amp;"|"&amp;COUNTIFS($I$7:$I595,$I595,$J$7:$J595,$J595,$D$7:$D595,"Advance"))</f>
        <v/>
      </c>
      <c r="L595" s="266">
        <f>IF(OR($I595="",$I595="?",$B595=""),"",SUMPRODUCT((Weeks!$A$7:$A$59&lt;=$J595)*(Weeks!$X$5:$AI$5=$I595)*Weeks!$X$7:$AI$59)-SUMIFS($E$7:$E$1006,$I$7:$I$1006,$I595,$B$7:$B$1006,"&lt;="&amp;$B595))</f>
        <v/>
      </c>
      <c r="M595" s="132">
        <f>IF($B595&amp;$C595&amp;$D595&amp;$E595="","",IF($B595="","missing date",IF($C595="","missing worker",IF($I595="?","unknown worker - was the name changed on Workers?",IF($D595="","missing type",IF(N($E595)=0,"missing amount",IF(AND($E595&lt;0,$D595&lt;&gt;"Correction"),"negative amount - use a Correction to undo",IF(OR($B595&lt;Weeks!$A$7,$B595&gt;Weeks!$B$59),"date outside this workbook's year",IF(AND($D595="Advance",N($L595)&lt;0),"Warning: more than earned so far - worker now owes "&amp;TEXT(ROUND(-$L595,0),"#,##0"),"")))))))))</f>
        <v/>
      </c>
      <c r="N595" s="125" t="n"/>
      <c r="O595" s="126" t="n"/>
      <c r="P595" s="126" t="n"/>
      <c r="Q595" s="126" t="n"/>
      <c r="R595" s="126" t="n"/>
      <c r="S595" s="126" t="n"/>
      <c r="T595" s="126" t="n"/>
      <c r="U595" s="126" t="n"/>
      <c r="V595" s="126" t="n"/>
      <c r="W595" s="126" t="n"/>
      <c r="X595" s="126" t="n"/>
      <c r="Y595" s="126" t="n"/>
      <c r="Z595" s="126" t="n"/>
      <c r="AA595" s="126" t="n"/>
      <c r="AB595" s="126" t="n"/>
      <c r="AC595" s="126" t="n"/>
      <c r="AD595" s="126" t="n"/>
      <c r="AE595" s="126" t="n"/>
      <c r="AF595" s="126" t="n"/>
      <c r="AG595" s="126" t="n"/>
      <c r="AH595" s="126" t="n"/>
      <c r="AI595" s="126" t="n"/>
      <c r="AJ595" s="126" t="n"/>
      <c r="AK595" s="126" t="n"/>
      <c r="AL595" s="126" t="n"/>
      <c r="AM595" s="126" t="n"/>
      <c r="AN595" s="126" t="n"/>
    </row>
    <row r="596" ht="21" customFormat="1" customHeight="1" s="127">
      <c r="A596" s="51">
        <f>IF($B596="","",ROW()-6)</f>
        <v/>
      </c>
      <c r="B596" s="268" t="n"/>
      <c r="C596" s="133" t="n"/>
      <c r="D596" s="50" t="n"/>
      <c r="E596" s="265" t="n"/>
      <c r="F596" s="133" t="n"/>
      <c r="G596" s="133" t="n"/>
      <c r="H596" s="50" t="n"/>
      <c r="I596" s="51">
        <f>IF($C596="","",IFERROR(INDEX(WorkerIDs,MATCH($C596,WorkerNames,0)),"?"))</f>
        <v/>
      </c>
      <c r="J596" s="253">
        <f>IF($B596="","",$B596-WEEKDAY($B596,2)+1)</f>
        <v/>
      </c>
      <c r="K596" s="142">
        <f>IF(OR($I596="",$I596="?",$D596&lt;&gt;"Advance",$B596=""),"",$I596&amp;"|"&amp;$J596&amp;"|"&amp;COUNTIFS($I$7:$I596,$I596,$J$7:$J596,$J596,$D$7:$D596,"Advance"))</f>
        <v/>
      </c>
      <c r="L596" s="266">
        <f>IF(OR($I596="",$I596="?",$B596=""),"",SUMPRODUCT((Weeks!$A$7:$A$59&lt;=$J596)*(Weeks!$X$5:$AI$5=$I596)*Weeks!$X$7:$AI$59)-SUMIFS($E$7:$E$1006,$I$7:$I$1006,$I596,$B$7:$B$1006,"&lt;="&amp;$B596))</f>
        <v/>
      </c>
      <c r="M596" s="132">
        <f>IF($B596&amp;$C596&amp;$D596&amp;$E596="","",IF($B596="","missing date",IF($C596="","missing worker",IF($I596="?","unknown worker - was the name changed on Workers?",IF($D596="","missing type",IF(N($E596)=0,"missing amount",IF(AND($E596&lt;0,$D596&lt;&gt;"Correction"),"negative amount - use a Correction to undo",IF(OR($B596&lt;Weeks!$A$7,$B596&gt;Weeks!$B$59),"date outside this workbook's year",IF(AND($D596="Advance",N($L596)&lt;0),"Warning: more than earned so far - worker now owes "&amp;TEXT(ROUND(-$L596,0),"#,##0"),"")))))))))</f>
        <v/>
      </c>
      <c r="N596" s="125" t="n"/>
      <c r="O596" s="126" t="n"/>
      <c r="P596" s="126" t="n"/>
      <c r="Q596" s="126" t="n"/>
      <c r="R596" s="126" t="n"/>
      <c r="S596" s="126" t="n"/>
      <c r="T596" s="126" t="n"/>
      <c r="U596" s="126" t="n"/>
      <c r="V596" s="126" t="n"/>
      <c r="W596" s="126" t="n"/>
      <c r="X596" s="126" t="n"/>
      <c r="Y596" s="126" t="n"/>
      <c r="Z596" s="126" t="n"/>
      <c r="AA596" s="126" t="n"/>
      <c r="AB596" s="126" t="n"/>
      <c r="AC596" s="126" t="n"/>
      <c r="AD596" s="126" t="n"/>
      <c r="AE596" s="126" t="n"/>
      <c r="AF596" s="126" t="n"/>
      <c r="AG596" s="126" t="n"/>
      <c r="AH596" s="126" t="n"/>
      <c r="AI596" s="126" t="n"/>
      <c r="AJ596" s="126" t="n"/>
      <c r="AK596" s="126" t="n"/>
      <c r="AL596" s="126" t="n"/>
      <c r="AM596" s="126" t="n"/>
      <c r="AN596" s="126" t="n"/>
    </row>
    <row r="597" ht="21" customFormat="1" customHeight="1" s="127">
      <c r="A597" s="51">
        <f>IF($B597="","",ROW()-6)</f>
        <v/>
      </c>
      <c r="B597" s="268" t="n"/>
      <c r="C597" s="133" t="n"/>
      <c r="D597" s="50" t="n"/>
      <c r="E597" s="265" t="n"/>
      <c r="F597" s="133" t="n"/>
      <c r="G597" s="133" t="n"/>
      <c r="H597" s="50" t="n"/>
      <c r="I597" s="51">
        <f>IF($C597="","",IFERROR(INDEX(WorkerIDs,MATCH($C597,WorkerNames,0)),"?"))</f>
        <v/>
      </c>
      <c r="J597" s="253">
        <f>IF($B597="","",$B597-WEEKDAY($B597,2)+1)</f>
        <v/>
      </c>
      <c r="K597" s="142">
        <f>IF(OR($I597="",$I597="?",$D597&lt;&gt;"Advance",$B597=""),"",$I597&amp;"|"&amp;$J597&amp;"|"&amp;COUNTIFS($I$7:$I597,$I597,$J$7:$J597,$J597,$D$7:$D597,"Advance"))</f>
        <v/>
      </c>
      <c r="L597" s="266">
        <f>IF(OR($I597="",$I597="?",$B597=""),"",SUMPRODUCT((Weeks!$A$7:$A$59&lt;=$J597)*(Weeks!$X$5:$AI$5=$I597)*Weeks!$X$7:$AI$59)-SUMIFS($E$7:$E$1006,$I$7:$I$1006,$I597,$B$7:$B$1006,"&lt;="&amp;$B597))</f>
        <v/>
      </c>
      <c r="M597" s="132">
        <f>IF($B597&amp;$C597&amp;$D597&amp;$E597="","",IF($B597="","missing date",IF($C597="","missing worker",IF($I597="?","unknown worker - was the name changed on Workers?",IF($D597="","missing type",IF(N($E597)=0,"missing amount",IF(AND($E597&lt;0,$D597&lt;&gt;"Correction"),"negative amount - use a Correction to undo",IF(OR($B597&lt;Weeks!$A$7,$B597&gt;Weeks!$B$59),"date outside this workbook's year",IF(AND($D597="Advance",N($L597)&lt;0),"Warning: more than earned so far - worker now owes "&amp;TEXT(ROUND(-$L597,0),"#,##0"),"")))))))))</f>
        <v/>
      </c>
      <c r="N597" s="125" t="n"/>
      <c r="O597" s="126" t="n"/>
      <c r="P597" s="126" t="n"/>
      <c r="Q597" s="126" t="n"/>
      <c r="R597" s="126" t="n"/>
      <c r="S597" s="126" t="n"/>
      <c r="T597" s="126" t="n"/>
      <c r="U597" s="126" t="n"/>
      <c r="V597" s="126" t="n"/>
      <c r="W597" s="126" t="n"/>
      <c r="X597" s="126" t="n"/>
      <c r="Y597" s="126" t="n"/>
      <c r="Z597" s="126" t="n"/>
      <c r="AA597" s="126" t="n"/>
      <c r="AB597" s="126" t="n"/>
      <c r="AC597" s="126" t="n"/>
      <c r="AD597" s="126" t="n"/>
      <c r="AE597" s="126" t="n"/>
      <c r="AF597" s="126" t="n"/>
      <c r="AG597" s="126" t="n"/>
      <c r="AH597" s="126" t="n"/>
      <c r="AI597" s="126" t="n"/>
      <c r="AJ597" s="126" t="n"/>
      <c r="AK597" s="126" t="n"/>
      <c r="AL597" s="126" t="n"/>
      <c r="AM597" s="126" t="n"/>
      <c r="AN597" s="126" t="n"/>
    </row>
    <row r="598" ht="21" customFormat="1" customHeight="1" s="127">
      <c r="A598" s="51">
        <f>IF($B598="","",ROW()-6)</f>
        <v/>
      </c>
      <c r="B598" s="268" t="n"/>
      <c r="C598" s="133" t="n"/>
      <c r="D598" s="50" t="n"/>
      <c r="E598" s="265" t="n"/>
      <c r="F598" s="133" t="n"/>
      <c r="G598" s="133" t="n"/>
      <c r="H598" s="50" t="n"/>
      <c r="I598" s="51">
        <f>IF($C598="","",IFERROR(INDEX(WorkerIDs,MATCH($C598,WorkerNames,0)),"?"))</f>
        <v/>
      </c>
      <c r="J598" s="253">
        <f>IF($B598="","",$B598-WEEKDAY($B598,2)+1)</f>
        <v/>
      </c>
      <c r="K598" s="142">
        <f>IF(OR($I598="",$I598="?",$D598&lt;&gt;"Advance",$B598=""),"",$I598&amp;"|"&amp;$J598&amp;"|"&amp;COUNTIFS($I$7:$I598,$I598,$J$7:$J598,$J598,$D$7:$D598,"Advance"))</f>
        <v/>
      </c>
      <c r="L598" s="266">
        <f>IF(OR($I598="",$I598="?",$B598=""),"",SUMPRODUCT((Weeks!$A$7:$A$59&lt;=$J598)*(Weeks!$X$5:$AI$5=$I598)*Weeks!$X$7:$AI$59)-SUMIFS($E$7:$E$1006,$I$7:$I$1006,$I598,$B$7:$B$1006,"&lt;="&amp;$B598))</f>
        <v/>
      </c>
      <c r="M598" s="132">
        <f>IF($B598&amp;$C598&amp;$D598&amp;$E598="","",IF($B598="","missing date",IF($C598="","missing worker",IF($I598="?","unknown worker - was the name changed on Workers?",IF($D598="","missing type",IF(N($E598)=0,"missing amount",IF(AND($E598&lt;0,$D598&lt;&gt;"Correction"),"negative amount - use a Correction to undo",IF(OR($B598&lt;Weeks!$A$7,$B598&gt;Weeks!$B$59),"date outside this workbook's year",IF(AND($D598="Advance",N($L598)&lt;0),"Warning: more than earned so far - worker now owes "&amp;TEXT(ROUND(-$L598,0),"#,##0"),"")))))))))</f>
        <v/>
      </c>
      <c r="N598" s="125" t="n"/>
      <c r="O598" s="126" t="n"/>
      <c r="P598" s="126" t="n"/>
      <c r="Q598" s="126" t="n"/>
      <c r="R598" s="126" t="n"/>
      <c r="S598" s="126" t="n"/>
      <c r="T598" s="126" t="n"/>
      <c r="U598" s="126" t="n"/>
      <c r="V598" s="126" t="n"/>
      <c r="W598" s="126" t="n"/>
      <c r="X598" s="126" t="n"/>
      <c r="Y598" s="126" t="n"/>
      <c r="Z598" s="126" t="n"/>
      <c r="AA598" s="126" t="n"/>
      <c r="AB598" s="126" t="n"/>
      <c r="AC598" s="126" t="n"/>
      <c r="AD598" s="126" t="n"/>
      <c r="AE598" s="126" t="n"/>
      <c r="AF598" s="126" t="n"/>
      <c r="AG598" s="126" t="n"/>
      <c r="AH598" s="126" t="n"/>
      <c r="AI598" s="126" t="n"/>
      <c r="AJ598" s="126" t="n"/>
      <c r="AK598" s="126" t="n"/>
      <c r="AL598" s="126" t="n"/>
      <c r="AM598" s="126" t="n"/>
      <c r="AN598" s="126" t="n"/>
    </row>
    <row r="599" ht="21" customFormat="1" customHeight="1" s="127">
      <c r="A599" s="51">
        <f>IF($B599="","",ROW()-6)</f>
        <v/>
      </c>
      <c r="B599" s="268" t="n"/>
      <c r="C599" s="133" t="n"/>
      <c r="D599" s="50" t="n"/>
      <c r="E599" s="265" t="n"/>
      <c r="F599" s="133" t="n"/>
      <c r="G599" s="133" t="n"/>
      <c r="H599" s="50" t="n"/>
      <c r="I599" s="51">
        <f>IF($C599="","",IFERROR(INDEX(WorkerIDs,MATCH($C599,WorkerNames,0)),"?"))</f>
        <v/>
      </c>
      <c r="J599" s="253">
        <f>IF($B599="","",$B599-WEEKDAY($B599,2)+1)</f>
        <v/>
      </c>
      <c r="K599" s="142">
        <f>IF(OR($I599="",$I599="?",$D599&lt;&gt;"Advance",$B599=""),"",$I599&amp;"|"&amp;$J599&amp;"|"&amp;COUNTIFS($I$7:$I599,$I599,$J$7:$J599,$J599,$D$7:$D599,"Advance"))</f>
        <v/>
      </c>
      <c r="L599" s="266">
        <f>IF(OR($I599="",$I599="?",$B599=""),"",SUMPRODUCT((Weeks!$A$7:$A$59&lt;=$J599)*(Weeks!$X$5:$AI$5=$I599)*Weeks!$X$7:$AI$59)-SUMIFS($E$7:$E$1006,$I$7:$I$1006,$I599,$B$7:$B$1006,"&lt;="&amp;$B599))</f>
        <v/>
      </c>
      <c r="M599" s="132">
        <f>IF($B599&amp;$C599&amp;$D599&amp;$E599="","",IF($B599="","missing date",IF($C599="","missing worker",IF($I599="?","unknown worker - was the name changed on Workers?",IF($D599="","missing type",IF(N($E599)=0,"missing amount",IF(AND($E599&lt;0,$D599&lt;&gt;"Correction"),"negative amount - use a Correction to undo",IF(OR($B599&lt;Weeks!$A$7,$B599&gt;Weeks!$B$59),"date outside this workbook's year",IF(AND($D599="Advance",N($L599)&lt;0),"Warning: more than earned so far - worker now owes "&amp;TEXT(ROUND(-$L599,0),"#,##0"),"")))))))))</f>
        <v/>
      </c>
      <c r="N599" s="125" t="n"/>
      <c r="O599" s="126" t="n"/>
      <c r="P599" s="126" t="n"/>
      <c r="Q599" s="126" t="n"/>
      <c r="R599" s="126" t="n"/>
      <c r="S599" s="126" t="n"/>
      <c r="T599" s="126" t="n"/>
      <c r="U599" s="126" t="n"/>
      <c r="V599" s="126" t="n"/>
      <c r="W599" s="126" t="n"/>
      <c r="X599" s="126" t="n"/>
      <c r="Y599" s="126" t="n"/>
      <c r="Z599" s="126" t="n"/>
      <c r="AA599" s="126" t="n"/>
      <c r="AB599" s="126" t="n"/>
      <c r="AC599" s="126" t="n"/>
      <c r="AD599" s="126" t="n"/>
      <c r="AE599" s="126" t="n"/>
      <c r="AF599" s="126" t="n"/>
      <c r="AG599" s="126" t="n"/>
      <c r="AH599" s="126" t="n"/>
      <c r="AI599" s="126" t="n"/>
      <c r="AJ599" s="126" t="n"/>
      <c r="AK599" s="126" t="n"/>
      <c r="AL599" s="126" t="n"/>
      <c r="AM599" s="126" t="n"/>
      <c r="AN599" s="126" t="n"/>
    </row>
    <row r="600" ht="21" customFormat="1" customHeight="1" s="127">
      <c r="A600" s="51">
        <f>IF($B600="","",ROW()-6)</f>
        <v/>
      </c>
      <c r="B600" s="268" t="n"/>
      <c r="C600" s="133" t="n"/>
      <c r="D600" s="50" t="n"/>
      <c r="E600" s="265" t="n"/>
      <c r="F600" s="133" t="n"/>
      <c r="G600" s="133" t="n"/>
      <c r="H600" s="50" t="n"/>
      <c r="I600" s="51">
        <f>IF($C600="","",IFERROR(INDEX(WorkerIDs,MATCH($C600,WorkerNames,0)),"?"))</f>
        <v/>
      </c>
      <c r="J600" s="253">
        <f>IF($B600="","",$B600-WEEKDAY($B600,2)+1)</f>
        <v/>
      </c>
      <c r="K600" s="142">
        <f>IF(OR($I600="",$I600="?",$D600&lt;&gt;"Advance",$B600=""),"",$I600&amp;"|"&amp;$J600&amp;"|"&amp;COUNTIFS($I$7:$I600,$I600,$J$7:$J600,$J600,$D$7:$D600,"Advance"))</f>
        <v/>
      </c>
      <c r="L600" s="266">
        <f>IF(OR($I600="",$I600="?",$B600=""),"",SUMPRODUCT((Weeks!$A$7:$A$59&lt;=$J600)*(Weeks!$X$5:$AI$5=$I600)*Weeks!$X$7:$AI$59)-SUMIFS($E$7:$E$1006,$I$7:$I$1006,$I600,$B$7:$B$1006,"&lt;="&amp;$B600))</f>
        <v/>
      </c>
      <c r="M600" s="132">
        <f>IF($B600&amp;$C600&amp;$D600&amp;$E600="","",IF($B600="","missing date",IF($C600="","missing worker",IF($I600="?","unknown worker - was the name changed on Workers?",IF($D600="","missing type",IF(N($E600)=0,"missing amount",IF(AND($E600&lt;0,$D600&lt;&gt;"Correction"),"negative amount - use a Correction to undo",IF(OR($B600&lt;Weeks!$A$7,$B600&gt;Weeks!$B$59),"date outside this workbook's year",IF(AND($D600="Advance",N($L600)&lt;0),"Warning: more than earned so far - worker now owes "&amp;TEXT(ROUND(-$L600,0),"#,##0"),"")))))))))</f>
        <v/>
      </c>
      <c r="N600" s="125" t="n"/>
      <c r="O600" s="126" t="n"/>
      <c r="P600" s="126" t="n"/>
      <c r="Q600" s="126" t="n"/>
      <c r="R600" s="126" t="n"/>
      <c r="S600" s="126" t="n"/>
      <c r="T600" s="126" t="n"/>
      <c r="U600" s="126" t="n"/>
      <c r="V600" s="126" t="n"/>
      <c r="W600" s="126" t="n"/>
      <c r="X600" s="126" t="n"/>
      <c r="Y600" s="126" t="n"/>
      <c r="Z600" s="126" t="n"/>
      <c r="AA600" s="126" t="n"/>
      <c r="AB600" s="126" t="n"/>
      <c r="AC600" s="126" t="n"/>
      <c r="AD600" s="126" t="n"/>
      <c r="AE600" s="126" t="n"/>
      <c r="AF600" s="126" t="n"/>
      <c r="AG600" s="126" t="n"/>
      <c r="AH600" s="126" t="n"/>
      <c r="AI600" s="126" t="n"/>
      <c r="AJ600" s="126" t="n"/>
      <c r="AK600" s="126" t="n"/>
      <c r="AL600" s="126" t="n"/>
      <c r="AM600" s="126" t="n"/>
      <c r="AN600" s="126" t="n"/>
    </row>
    <row r="601" ht="21" customFormat="1" customHeight="1" s="127">
      <c r="A601" s="51">
        <f>IF($B601="","",ROW()-6)</f>
        <v/>
      </c>
      <c r="B601" s="268" t="n"/>
      <c r="C601" s="133" t="n"/>
      <c r="D601" s="50" t="n"/>
      <c r="E601" s="265" t="n"/>
      <c r="F601" s="133" t="n"/>
      <c r="G601" s="133" t="n"/>
      <c r="H601" s="50" t="n"/>
      <c r="I601" s="51">
        <f>IF($C601="","",IFERROR(INDEX(WorkerIDs,MATCH($C601,WorkerNames,0)),"?"))</f>
        <v/>
      </c>
      <c r="J601" s="253">
        <f>IF($B601="","",$B601-WEEKDAY($B601,2)+1)</f>
        <v/>
      </c>
      <c r="K601" s="142">
        <f>IF(OR($I601="",$I601="?",$D601&lt;&gt;"Advance",$B601=""),"",$I601&amp;"|"&amp;$J601&amp;"|"&amp;COUNTIFS($I$7:$I601,$I601,$J$7:$J601,$J601,$D$7:$D601,"Advance"))</f>
        <v/>
      </c>
      <c r="L601" s="266">
        <f>IF(OR($I601="",$I601="?",$B601=""),"",SUMPRODUCT((Weeks!$A$7:$A$59&lt;=$J601)*(Weeks!$X$5:$AI$5=$I601)*Weeks!$X$7:$AI$59)-SUMIFS($E$7:$E$1006,$I$7:$I$1006,$I601,$B$7:$B$1006,"&lt;="&amp;$B601))</f>
        <v/>
      </c>
      <c r="M601" s="132">
        <f>IF($B601&amp;$C601&amp;$D601&amp;$E601="","",IF($B601="","missing date",IF($C601="","missing worker",IF($I601="?","unknown worker - was the name changed on Workers?",IF($D601="","missing type",IF(N($E601)=0,"missing amount",IF(AND($E601&lt;0,$D601&lt;&gt;"Correction"),"negative amount - use a Correction to undo",IF(OR($B601&lt;Weeks!$A$7,$B601&gt;Weeks!$B$59),"date outside this workbook's year",IF(AND($D601="Advance",N($L601)&lt;0),"Warning: more than earned so far - worker now owes "&amp;TEXT(ROUND(-$L601,0),"#,##0"),"")))))))))</f>
        <v/>
      </c>
      <c r="N601" s="125" t="n"/>
      <c r="O601" s="126" t="n"/>
      <c r="P601" s="126" t="n"/>
      <c r="Q601" s="126" t="n"/>
      <c r="R601" s="126" t="n"/>
      <c r="S601" s="126" t="n"/>
      <c r="T601" s="126" t="n"/>
      <c r="U601" s="126" t="n"/>
      <c r="V601" s="126" t="n"/>
      <c r="W601" s="126" t="n"/>
      <c r="X601" s="126" t="n"/>
      <c r="Y601" s="126" t="n"/>
      <c r="Z601" s="126" t="n"/>
      <c r="AA601" s="126" t="n"/>
      <c r="AB601" s="126" t="n"/>
      <c r="AC601" s="126" t="n"/>
      <c r="AD601" s="126" t="n"/>
      <c r="AE601" s="126" t="n"/>
      <c r="AF601" s="126" t="n"/>
      <c r="AG601" s="126" t="n"/>
      <c r="AH601" s="126" t="n"/>
      <c r="AI601" s="126" t="n"/>
      <c r="AJ601" s="126" t="n"/>
      <c r="AK601" s="126" t="n"/>
      <c r="AL601" s="126" t="n"/>
      <c r="AM601" s="126" t="n"/>
      <c r="AN601" s="126" t="n"/>
    </row>
    <row r="602" ht="21" customFormat="1" customHeight="1" s="127">
      <c r="A602" s="51">
        <f>IF($B602="","",ROW()-6)</f>
        <v/>
      </c>
      <c r="B602" s="268" t="n"/>
      <c r="C602" s="133" t="n"/>
      <c r="D602" s="50" t="n"/>
      <c r="E602" s="265" t="n"/>
      <c r="F602" s="133" t="n"/>
      <c r="G602" s="133" t="n"/>
      <c r="H602" s="50" t="n"/>
      <c r="I602" s="51">
        <f>IF($C602="","",IFERROR(INDEX(WorkerIDs,MATCH($C602,WorkerNames,0)),"?"))</f>
        <v/>
      </c>
      <c r="J602" s="253">
        <f>IF($B602="","",$B602-WEEKDAY($B602,2)+1)</f>
        <v/>
      </c>
      <c r="K602" s="142">
        <f>IF(OR($I602="",$I602="?",$D602&lt;&gt;"Advance",$B602=""),"",$I602&amp;"|"&amp;$J602&amp;"|"&amp;COUNTIFS($I$7:$I602,$I602,$J$7:$J602,$J602,$D$7:$D602,"Advance"))</f>
        <v/>
      </c>
      <c r="L602" s="266">
        <f>IF(OR($I602="",$I602="?",$B602=""),"",SUMPRODUCT((Weeks!$A$7:$A$59&lt;=$J602)*(Weeks!$X$5:$AI$5=$I602)*Weeks!$X$7:$AI$59)-SUMIFS($E$7:$E$1006,$I$7:$I$1006,$I602,$B$7:$B$1006,"&lt;="&amp;$B602))</f>
        <v/>
      </c>
      <c r="M602" s="132">
        <f>IF($B602&amp;$C602&amp;$D602&amp;$E602="","",IF($B602="","missing date",IF($C602="","missing worker",IF($I602="?","unknown worker - was the name changed on Workers?",IF($D602="","missing type",IF(N($E602)=0,"missing amount",IF(AND($E602&lt;0,$D602&lt;&gt;"Correction"),"negative amount - use a Correction to undo",IF(OR($B602&lt;Weeks!$A$7,$B602&gt;Weeks!$B$59),"date outside this workbook's year",IF(AND($D602="Advance",N($L602)&lt;0),"Warning: more than earned so far - worker now owes "&amp;TEXT(ROUND(-$L602,0),"#,##0"),"")))))))))</f>
        <v/>
      </c>
      <c r="N602" s="125" t="n"/>
      <c r="O602" s="126" t="n"/>
      <c r="P602" s="126" t="n"/>
      <c r="Q602" s="126" t="n"/>
      <c r="R602" s="126" t="n"/>
      <c r="S602" s="126" t="n"/>
      <c r="T602" s="126" t="n"/>
      <c r="U602" s="126" t="n"/>
      <c r="V602" s="126" t="n"/>
      <c r="W602" s="126" t="n"/>
      <c r="X602" s="126" t="n"/>
      <c r="Y602" s="126" t="n"/>
      <c r="Z602" s="126" t="n"/>
      <c r="AA602" s="126" t="n"/>
      <c r="AB602" s="126" t="n"/>
      <c r="AC602" s="126" t="n"/>
      <c r="AD602" s="126" t="n"/>
      <c r="AE602" s="126" t="n"/>
      <c r="AF602" s="126" t="n"/>
      <c r="AG602" s="126" t="n"/>
      <c r="AH602" s="126" t="n"/>
      <c r="AI602" s="126" t="n"/>
      <c r="AJ602" s="126" t="n"/>
      <c r="AK602" s="126" t="n"/>
      <c r="AL602" s="126" t="n"/>
      <c r="AM602" s="126" t="n"/>
      <c r="AN602" s="126" t="n"/>
    </row>
    <row r="603" ht="21" customFormat="1" customHeight="1" s="127">
      <c r="A603" s="51">
        <f>IF($B603="","",ROW()-6)</f>
        <v/>
      </c>
      <c r="B603" s="268" t="n"/>
      <c r="C603" s="133" t="n"/>
      <c r="D603" s="50" t="n"/>
      <c r="E603" s="265" t="n"/>
      <c r="F603" s="133" t="n"/>
      <c r="G603" s="133" t="n"/>
      <c r="H603" s="50" t="n"/>
      <c r="I603" s="51">
        <f>IF($C603="","",IFERROR(INDEX(WorkerIDs,MATCH($C603,WorkerNames,0)),"?"))</f>
        <v/>
      </c>
      <c r="J603" s="253">
        <f>IF($B603="","",$B603-WEEKDAY($B603,2)+1)</f>
        <v/>
      </c>
      <c r="K603" s="142">
        <f>IF(OR($I603="",$I603="?",$D603&lt;&gt;"Advance",$B603=""),"",$I603&amp;"|"&amp;$J603&amp;"|"&amp;COUNTIFS($I$7:$I603,$I603,$J$7:$J603,$J603,$D$7:$D603,"Advance"))</f>
        <v/>
      </c>
      <c r="L603" s="266">
        <f>IF(OR($I603="",$I603="?",$B603=""),"",SUMPRODUCT((Weeks!$A$7:$A$59&lt;=$J603)*(Weeks!$X$5:$AI$5=$I603)*Weeks!$X$7:$AI$59)-SUMIFS($E$7:$E$1006,$I$7:$I$1006,$I603,$B$7:$B$1006,"&lt;="&amp;$B603))</f>
        <v/>
      </c>
      <c r="M603" s="132">
        <f>IF($B603&amp;$C603&amp;$D603&amp;$E603="","",IF($B603="","missing date",IF($C603="","missing worker",IF($I603="?","unknown worker - was the name changed on Workers?",IF($D603="","missing type",IF(N($E603)=0,"missing amount",IF(AND($E603&lt;0,$D603&lt;&gt;"Correction"),"negative amount - use a Correction to undo",IF(OR($B603&lt;Weeks!$A$7,$B603&gt;Weeks!$B$59),"date outside this workbook's year",IF(AND($D603="Advance",N($L603)&lt;0),"Warning: more than earned so far - worker now owes "&amp;TEXT(ROUND(-$L603,0),"#,##0"),"")))))))))</f>
        <v/>
      </c>
      <c r="N603" s="125" t="n"/>
      <c r="O603" s="126" t="n"/>
      <c r="P603" s="126" t="n"/>
      <c r="Q603" s="126" t="n"/>
      <c r="R603" s="126" t="n"/>
      <c r="S603" s="126" t="n"/>
      <c r="T603" s="126" t="n"/>
      <c r="U603" s="126" t="n"/>
      <c r="V603" s="126" t="n"/>
      <c r="W603" s="126" t="n"/>
      <c r="X603" s="126" t="n"/>
      <c r="Y603" s="126" t="n"/>
      <c r="Z603" s="126" t="n"/>
      <c r="AA603" s="126" t="n"/>
      <c r="AB603" s="126" t="n"/>
      <c r="AC603" s="126" t="n"/>
      <c r="AD603" s="126" t="n"/>
      <c r="AE603" s="126" t="n"/>
      <c r="AF603" s="126" t="n"/>
      <c r="AG603" s="126" t="n"/>
      <c r="AH603" s="126" t="n"/>
      <c r="AI603" s="126" t="n"/>
      <c r="AJ603" s="126" t="n"/>
      <c r="AK603" s="126" t="n"/>
      <c r="AL603" s="126" t="n"/>
      <c r="AM603" s="126" t="n"/>
      <c r="AN603" s="126" t="n"/>
    </row>
    <row r="604" ht="21" customFormat="1" customHeight="1" s="127">
      <c r="A604" s="51">
        <f>IF($B604="","",ROW()-6)</f>
        <v/>
      </c>
      <c r="B604" s="268" t="n"/>
      <c r="C604" s="133" t="n"/>
      <c r="D604" s="50" t="n"/>
      <c r="E604" s="265" t="n"/>
      <c r="F604" s="133" t="n"/>
      <c r="G604" s="133" t="n"/>
      <c r="H604" s="50" t="n"/>
      <c r="I604" s="51">
        <f>IF($C604="","",IFERROR(INDEX(WorkerIDs,MATCH($C604,WorkerNames,0)),"?"))</f>
        <v/>
      </c>
      <c r="J604" s="253">
        <f>IF($B604="","",$B604-WEEKDAY($B604,2)+1)</f>
        <v/>
      </c>
      <c r="K604" s="142">
        <f>IF(OR($I604="",$I604="?",$D604&lt;&gt;"Advance",$B604=""),"",$I604&amp;"|"&amp;$J604&amp;"|"&amp;COUNTIFS($I$7:$I604,$I604,$J$7:$J604,$J604,$D$7:$D604,"Advance"))</f>
        <v/>
      </c>
      <c r="L604" s="266">
        <f>IF(OR($I604="",$I604="?",$B604=""),"",SUMPRODUCT((Weeks!$A$7:$A$59&lt;=$J604)*(Weeks!$X$5:$AI$5=$I604)*Weeks!$X$7:$AI$59)-SUMIFS($E$7:$E$1006,$I$7:$I$1006,$I604,$B$7:$B$1006,"&lt;="&amp;$B604))</f>
        <v/>
      </c>
      <c r="M604" s="132">
        <f>IF($B604&amp;$C604&amp;$D604&amp;$E604="","",IF($B604="","missing date",IF($C604="","missing worker",IF($I604="?","unknown worker - was the name changed on Workers?",IF($D604="","missing type",IF(N($E604)=0,"missing amount",IF(AND($E604&lt;0,$D604&lt;&gt;"Correction"),"negative amount - use a Correction to undo",IF(OR($B604&lt;Weeks!$A$7,$B604&gt;Weeks!$B$59),"date outside this workbook's year",IF(AND($D604="Advance",N($L604)&lt;0),"Warning: more than earned so far - worker now owes "&amp;TEXT(ROUND(-$L604,0),"#,##0"),"")))))))))</f>
        <v/>
      </c>
      <c r="N604" s="125" t="n"/>
      <c r="O604" s="126" t="n"/>
      <c r="P604" s="126" t="n"/>
      <c r="Q604" s="126" t="n"/>
      <c r="R604" s="126" t="n"/>
      <c r="S604" s="126" t="n"/>
      <c r="T604" s="126" t="n"/>
      <c r="U604" s="126" t="n"/>
      <c r="V604" s="126" t="n"/>
      <c r="W604" s="126" t="n"/>
      <c r="X604" s="126" t="n"/>
      <c r="Y604" s="126" t="n"/>
      <c r="Z604" s="126" t="n"/>
      <c r="AA604" s="126" t="n"/>
      <c r="AB604" s="126" t="n"/>
      <c r="AC604" s="126" t="n"/>
      <c r="AD604" s="126" t="n"/>
      <c r="AE604" s="126" t="n"/>
      <c r="AF604" s="126" t="n"/>
      <c r="AG604" s="126" t="n"/>
      <c r="AH604" s="126" t="n"/>
      <c r="AI604" s="126" t="n"/>
      <c r="AJ604" s="126" t="n"/>
      <c r="AK604" s="126" t="n"/>
      <c r="AL604" s="126" t="n"/>
      <c r="AM604" s="126" t="n"/>
      <c r="AN604" s="126" t="n"/>
    </row>
    <row r="605" ht="21" customFormat="1" customHeight="1" s="127">
      <c r="A605" s="51">
        <f>IF($B605="","",ROW()-6)</f>
        <v/>
      </c>
      <c r="B605" s="268" t="n"/>
      <c r="C605" s="133" t="n"/>
      <c r="D605" s="50" t="n"/>
      <c r="E605" s="265" t="n"/>
      <c r="F605" s="133" t="n"/>
      <c r="G605" s="133" t="n"/>
      <c r="H605" s="50" t="n"/>
      <c r="I605" s="51">
        <f>IF($C605="","",IFERROR(INDEX(WorkerIDs,MATCH($C605,WorkerNames,0)),"?"))</f>
        <v/>
      </c>
      <c r="J605" s="253">
        <f>IF($B605="","",$B605-WEEKDAY($B605,2)+1)</f>
        <v/>
      </c>
      <c r="K605" s="142">
        <f>IF(OR($I605="",$I605="?",$D605&lt;&gt;"Advance",$B605=""),"",$I605&amp;"|"&amp;$J605&amp;"|"&amp;COUNTIFS($I$7:$I605,$I605,$J$7:$J605,$J605,$D$7:$D605,"Advance"))</f>
        <v/>
      </c>
      <c r="L605" s="266">
        <f>IF(OR($I605="",$I605="?",$B605=""),"",SUMPRODUCT((Weeks!$A$7:$A$59&lt;=$J605)*(Weeks!$X$5:$AI$5=$I605)*Weeks!$X$7:$AI$59)-SUMIFS($E$7:$E$1006,$I$7:$I$1006,$I605,$B$7:$B$1006,"&lt;="&amp;$B605))</f>
        <v/>
      </c>
      <c r="M605" s="132">
        <f>IF($B605&amp;$C605&amp;$D605&amp;$E605="","",IF($B605="","missing date",IF($C605="","missing worker",IF($I605="?","unknown worker - was the name changed on Workers?",IF($D605="","missing type",IF(N($E605)=0,"missing amount",IF(AND($E605&lt;0,$D605&lt;&gt;"Correction"),"negative amount - use a Correction to undo",IF(OR($B605&lt;Weeks!$A$7,$B605&gt;Weeks!$B$59),"date outside this workbook's year",IF(AND($D605="Advance",N($L605)&lt;0),"Warning: more than earned so far - worker now owes "&amp;TEXT(ROUND(-$L605,0),"#,##0"),"")))))))))</f>
        <v/>
      </c>
      <c r="N605" s="125" t="n"/>
      <c r="O605" s="126" t="n"/>
      <c r="P605" s="126" t="n"/>
      <c r="Q605" s="126" t="n"/>
      <c r="R605" s="126" t="n"/>
      <c r="S605" s="126" t="n"/>
      <c r="T605" s="126" t="n"/>
      <c r="U605" s="126" t="n"/>
      <c r="V605" s="126" t="n"/>
      <c r="W605" s="126" t="n"/>
      <c r="X605" s="126" t="n"/>
      <c r="Y605" s="126" t="n"/>
      <c r="Z605" s="126" t="n"/>
      <c r="AA605" s="126" t="n"/>
      <c r="AB605" s="126" t="n"/>
      <c r="AC605" s="126" t="n"/>
      <c r="AD605" s="126" t="n"/>
      <c r="AE605" s="126" t="n"/>
      <c r="AF605" s="126" t="n"/>
      <c r="AG605" s="126" t="n"/>
      <c r="AH605" s="126" t="n"/>
      <c r="AI605" s="126" t="n"/>
      <c r="AJ605" s="126" t="n"/>
      <c r="AK605" s="126" t="n"/>
      <c r="AL605" s="126" t="n"/>
      <c r="AM605" s="126" t="n"/>
      <c r="AN605" s="126" t="n"/>
    </row>
    <row r="606" ht="21" customFormat="1" customHeight="1" s="127">
      <c r="A606" s="51">
        <f>IF($B606="","",ROW()-6)</f>
        <v/>
      </c>
      <c r="B606" s="268" t="n"/>
      <c r="C606" s="133" t="n"/>
      <c r="D606" s="50" t="n"/>
      <c r="E606" s="265" t="n"/>
      <c r="F606" s="133" t="n"/>
      <c r="G606" s="133" t="n"/>
      <c r="H606" s="50" t="n"/>
      <c r="I606" s="51">
        <f>IF($C606="","",IFERROR(INDEX(WorkerIDs,MATCH($C606,WorkerNames,0)),"?"))</f>
        <v/>
      </c>
      <c r="J606" s="253">
        <f>IF($B606="","",$B606-WEEKDAY($B606,2)+1)</f>
        <v/>
      </c>
      <c r="K606" s="142">
        <f>IF(OR($I606="",$I606="?",$D606&lt;&gt;"Advance",$B606=""),"",$I606&amp;"|"&amp;$J606&amp;"|"&amp;COUNTIFS($I$7:$I606,$I606,$J$7:$J606,$J606,$D$7:$D606,"Advance"))</f>
        <v/>
      </c>
      <c r="L606" s="266">
        <f>IF(OR($I606="",$I606="?",$B606=""),"",SUMPRODUCT((Weeks!$A$7:$A$59&lt;=$J606)*(Weeks!$X$5:$AI$5=$I606)*Weeks!$X$7:$AI$59)-SUMIFS($E$7:$E$1006,$I$7:$I$1006,$I606,$B$7:$B$1006,"&lt;="&amp;$B606))</f>
        <v/>
      </c>
      <c r="M606" s="132">
        <f>IF($B606&amp;$C606&amp;$D606&amp;$E606="","",IF($B606="","missing date",IF($C606="","missing worker",IF($I606="?","unknown worker - was the name changed on Workers?",IF($D606="","missing type",IF(N($E606)=0,"missing amount",IF(AND($E606&lt;0,$D606&lt;&gt;"Correction"),"negative amount - use a Correction to undo",IF(OR($B606&lt;Weeks!$A$7,$B606&gt;Weeks!$B$59),"date outside this workbook's year",IF(AND($D606="Advance",N($L606)&lt;0),"Warning: more than earned so far - worker now owes "&amp;TEXT(ROUND(-$L606,0),"#,##0"),"")))))))))</f>
        <v/>
      </c>
      <c r="N606" s="125" t="n"/>
      <c r="O606" s="126" t="n"/>
      <c r="P606" s="126" t="n"/>
      <c r="Q606" s="126" t="n"/>
      <c r="R606" s="126" t="n"/>
      <c r="S606" s="126" t="n"/>
      <c r="T606" s="126" t="n"/>
      <c r="U606" s="126" t="n"/>
      <c r="V606" s="126" t="n"/>
      <c r="W606" s="126" t="n"/>
      <c r="X606" s="126" t="n"/>
      <c r="Y606" s="126" t="n"/>
      <c r="Z606" s="126" t="n"/>
      <c r="AA606" s="126" t="n"/>
      <c r="AB606" s="126" t="n"/>
      <c r="AC606" s="126" t="n"/>
      <c r="AD606" s="126" t="n"/>
      <c r="AE606" s="126" t="n"/>
      <c r="AF606" s="126" t="n"/>
      <c r="AG606" s="126" t="n"/>
      <c r="AH606" s="126" t="n"/>
      <c r="AI606" s="126" t="n"/>
      <c r="AJ606" s="126" t="n"/>
      <c r="AK606" s="126" t="n"/>
      <c r="AL606" s="126" t="n"/>
      <c r="AM606" s="126" t="n"/>
      <c r="AN606" s="126" t="n"/>
    </row>
    <row r="607" ht="21" customFormat="1" customHeight="1" s="127">
      <c r="A607" s="51">
        <f>IF($B607="","",ROW()-6)</f>
        <v/>
      </c>
      <c r="B607" s="268" t="n"/>
      <c r="C607" s="133" t="n"/>
      <c r="D607" s="50" t="n"/>
      <c r="E607" s="265" t="n"/>
      <c r="F607" s="133" t="n"/>
      <c r="G607" s="133" t="n"/>
      <c r="H607" s="50" t="n"/>
      <c r="I607" s="51">
        <f>IF($C607="","",IFERROR(INDEX(WorkerIDs,MATCH($C607,WorkerNames,0)),"?"))</f>
        <v/>
      </c>
      <c r="J607" s="253">
        <f>IF($B607="","",$B607-WEEKDAY($B607,2)+1)</f>
        <v/>
      </c>
      <c r="K607" s="142">
        <f>IF(OR($I607="",$I607="?",$D607&lt;&gt;"Advance",$B607=""),"",$I607&amp;"|"&amp;$J607&amp;"|"&amp;COUNTIFS($I$7:$I607,$I607,$J$7:$J607,$J607,$D$7:$D607,"Advance"))</f>
        <v/>
      </c>
      <c r="L607" s="266">
        <f>IF(OR($I607="",$I607="?",$B607=""),"",SUMPRODUCT((Weeks!$A$7:$A$59&lt;=$J607)*(Weeks!$X$5:$AI$5=$I607)*Weeks!$X$7:$AI$59)-SUMIFS($E$7:$E$1006,$I$7:$I$1006,$I607,$B$7:$B$1006,"&lt;="&amp;$B607))</f>
        <v/>
      </c>
      <c r="M607" s="132">
        <f>IF($B607&amp;$C607&amp;$D607&amp;$E607="","",IF($B607="","missing date",IF($C607="","missing worker",IF($I607="?","unknown worker - was the name changed on Workers?",IF($D607="","missing type",IF(N($E607)=0,"missing amount",IF(AND($E607&lt;0,$D607&lt;&gt;"Correction"),"negative amount - use a Correction to undo",IF(OR($B607&lt;Weeks!$A$7,$B607&gt;Weeks!$B$59),"date outside this workbook's year",IF(AND($D607="Advance",N($L607)&lt;0),"Warning: more than earned so far - worker now owes "&amp;TEXT(ROUND(-$L607,0),"#,##0"),"")))))))))</f>
        <v/>
      </c>
      <c r="N607" s="125" t="n"/>
      <c r="O607" s="126" t="n"/>
      <c r="P607" s="126" t="n"/>
      <c r="Q607" s="126" t="n"/>
      <c r="R607" s="126" t="n"/>
      <c r="S607" s="126" t="n"/>
      <c r="T607" s="126" t="n"/>
      <c r="U607" s="126" t="n"/>
      <c r="V607" s="126" t="n"/>
      <c r="W607" s="126" t="n"/>
      <c r="X607" s="126" t="n"/>
      <c r="Y607" s="126" t="n"/>
      <c r="Z607" s="126" t="n"/>
      <c r="AA607" s="126" t="n"/>
      <c r="AB607" s="126" t="n"/>
      <c r="AC607" s="126" t="n"/>
      <c r="AD607" s="126" t="n"/>
      <c r="AE607" s="126" t="n"/>
      <c r="AF607" s="126" t="n"/>
      <c r="AG607" s="126" t="n"/>
      <c r="AH607" s="126" t="n"/>
      <c r="AI607" s="126" t="n"/>
      <c r="AJ607" s="126" t="n"/>
      <c r="AK607" s="126" t="n"/>
      <c r="AL607" s="126" t="n"/>
      <c r="AM607" s="126" t="n"/>
      <c r="AN607" s="126" t="n"/>
    </row>
    <row r="608" ht="21" customFormat="1" customHeight="1" s="127">
      <c r="A608" s="51">
        <f>IF($B608="","",ROW()-6)</f>
        <v/>
      </c>
      <c r="B608" s="268" t="n"/>
      <c r="C608" s="133" t="n"/>
      <c r="D608" s="50" t="n"/>
      <c r="E608" s="265" t="n"/>
      <c r="F608" s="133" t="n"/>
      <c r="G608" s="133" t="n"/>
      <c r="H608" s="50" t="n"/>
      <c r="I608" s="51">
        <f>IF($C608="","",IFERROR(INDEX(WorkerIDs,MATCH($C608,WorkerNames,0)),"?"))</f>
        <v/>
      </c>
      <c r="J608" s="253">
        <f>IF($B608="","",$B608-WEEKDAY($B608,2)+1)</f>
        <v/>
      </c>
      <c r="K608" s="142">
        <f>IF(OR($I608="",$I608="?",$D608&lt;&gt;"Advance",$B608=""),"",$I608&amp;"|"&amp;$J608&amp;"|"&amp;COUNTIFS($I$7:$I608,$I608,$J$7:$J608,$J608,$D$7:$D608,"Advance"))</f>
        <v/>
      </c>
      <c r="L608" s="266">
        <f>IF(OR($I608="",$I608="?",$B608=""),"",SUMPRODUCT((Weeks!$A$7:$A$59&lt;=$J608)*(Weeks!$X$5:$AI$5=$I608)*Weeks!$X$7:$AI$59)-SUMIFS($E$7:$E$1006,$I$7:$I$1006,$I608,$B$7:$B$1006,"&lt;="&amp;$B608))</f>
        <v/>
      </c>
      <c r="M608" s="132">
        <f>IF($B608&amp;$C608&amp;$D608&amp;$E608="","",IF($B608="","missing date",IF($C608="","missing worker",IF($I608="?","unknown worker - was the name changed on Workers?",IF($D608="","missing type",IF(N($E608)=0,"missing amount",IF(AND($E608&lt;0,$D608&lt;&gt;"Correction"),"negative amount - use a Correction to undo",IF(OR($B608&lt;Weeks!$A$7,$B608&gt;Weeks!$B$59),"date outside this workbook's year",IF(AND($D608="Advance",N($L608)&lt;0),"Warning: more than earned so far - worker now owes "&amp;TEXT(ROUND(-$L608,0),"#,##0"),"")))))))))</f>
        <v/>
      </c>
      <c r="N608" s="125" t="n"/>
      <c r="O608" s="126" t="n"/>
      <c r="P608" s="126" t="n"/>
      <c r="Q608" s="126" t="n"/>
      <c r="R608" s="126" t="n"/>
      <c r="S608" s="126" t="n"/>
      <c r="T608" s="126" t="n"/>
      <c r="U608" s="126" t="n"/>
      <c r="V608" s="126" t="n"/>
      <c r="W608" s="126" t="n"/>
      <c r="X608" s="126" t="n"/>
      <c r="Y608" s="126" t="n"/>
      <c r="Z608" s="126" t="n"/>
      <c r="AA608" s="126" t="n"/>
      <c r="AB608" s="126" t="n"/>
      <c r="AC608" s="126" t="n"/>
      <c r="AD608" s="126" t="n"/>
      <c r="AE608" s="126" t="n"/>
      <c r="AF608" s="126" t="n"/>
      <c r="AG608" s="126" t="n"/>
      <c r="AH608" s="126" t="n"/>
      <c r="AI608" s="126" t="n"/>
      <c r="AJ608" s="126" t="n"/>
      <c r="AK608" s="126" t="n"/>
      <c r="AL608" s="126" t="n"/>
      <c r="AM608" s="126" t="n"/>
      <c r="AN608" s="126" t="n"/>
    </row>
    <row r="609" ht="21" customFormat="1" customHeight="1" s="127">
      <c r="A609" s="51">
        <f>IF($B609="","",ROW()-6)</f>
        <v/>
      </c>
      <c r="B609" s="268" t="n"/>
      <c r="C609" s="133" t="n"/>
      <c r="D609" s="50" t="n"/>
      <c r="E609" s="265" t="n"/>
      <c r="F609" s="133" t="n"/>
      <c r="G609" s="133" t="n"/>
      <c r="H609" s="50" t="n"/>
      <c r="I609" s="51">
        <f>IF($C609="","",IFERROR(INDEX(WorkerIDs,MATCH($C609,WorkerNames,0)),"?"))</f>
        <v/>
      </c>
      <c r="J609" s="253">
        <f>IF($B609="","",$B609-WEEKDAY($B609,2)+1)</f>
        <v/>
      </c>
      <c r="K609" s="142">
        <f>IF(OR($I609="",$I609="?",$D609&lt;&gt;"Advance",$B609=""),"",$I609&amp;"|"&amp;$J609&amp;"|"&amp;COUNTIFS($I$7:$I609,$I609,$J$7:$J609,$J609,$D$7:$D609,"Advance"))</f>
        <v/>
      </c>
      <c r="L609" s="266">
        <f>IF(OR($I609="",$I609="?",$B609=""),"",SUMPRODUCT((Weeks!$A$7:$A$59&lt;=$J609)*(Weeks!$X$5:$AI$5=$I609)*Weeks!$X$7:$AI$59)-SUMIFS($E$7:$E$1006,$I$7:$I$1006,$I609,$B$7:$B$1006,"&lt;="&amp;$B609))</f>
        <v/>
      </c>
      <c r="M609" s="132">
        <f>IF($B609&amp;$C609&amp;$D609&amp;$E609="","",IF($B609="","missing date",IF($C609="","missing worker",IF($I609="?","unknown worker - was the name changed on Workers?",IF($D609="","missing type",IF(N($E609)=0,"missing amount",IF(AND($E609&lt;0,$D609&lt;&gt;"Correction"),"negative amount - use a Correction to undo",IF(OR($B609&lt;Weeks!$A$7,$B609&gt;Weeks!$B$59),"date outside this workbook's year",IF(AND($D609="Advance",N($L609)&lt;0),"Warning: more than earned so far - worker now owes "&amp;TEXT(ROUND(-$L609,0),"#,##0"),"")))))))))</f>
        <v/>
      </c>
      <c r="N609" s="125" t="n"/>
      <c r="O609" s="126" t="n"/>
      <c r="P609" s="126" t="n"/>
      <c r="Q609" s="126" t="n"/>
      <c r="R609" s="126" t="n"/>
      <c r="S609" s="126" t="n"/>
      <c r="T609" s="126" t="n"/>
      <c r="U609" s="126" t="n"/>
      <c r="V609" s="126" t="n"/>
      <c r="W609" s="126" t="n"/>
      <c r="X609" s="126" t="n"/>
      <c r="Y609" s="126" t="n"/>
      <c r="Z609" s="126" t="n"/>
      <c r="AA609" s="126" t="n"/>
      <c r="AB609" s="126" t="n"/>
      <c r="AC609" s="126" t="n"/>
      <c r="AD609" s="126" t="n"/>
      <c r="AE609" s="126" t="n"/>
      <c r="AF609" s="126" t="n"/>
      <c r="AG609" s="126" t="n"/>
      <c r="AH609" s="126" t="n"/>
      <c r="AI609" s="126" t="n"/>
      <c r="AJ609" s="126" t="n"/>
      <c r="AK609" s="126" t="n"/>
      <c r="AL609" s="126" t="n"/>
      <c r="AM609" s="126" t="n"/>
      <c r="AN609" s="126" t="n"/>
    </row>
    <row r="610" ht="21" customFormat="1" customHeight="1" s="127">
      <c r="A610" s="51">
        <f>IF($B610="","",ROW()-6)</f>
        <v/>
      </c>
      <c r="B610" s="268" t="n"/>
      <c r="C610" s="133" t="n"/>
      <c r="D610" s="50" t="n"/>
      <c r="E610" s="265" t="n"/>
      <c r="F610" s="133" t="n"/>
      <c r="G610" s="133" t="n"/>
      <c r="H610" s="50" t="n"/>
      <c r="I610" s="51">
        <f>IF($C610="","",IFERROR(INDEX(WorkerIDs,MATCH($C610,WorkerNames,0)),"?"))</f>
        <v/>
      </c>
      <c r="J610" s="253">
        <f>IF($B610="","",$B610-WEEKDAY($B610,2)+1)</f>
        <v/>
      </c>
      <c r="K610" s="142">
        <f>IF(OR($I610="",$I610="?",$D610&lt;&gt;"Advance",$B610=""),"",$I610&amp;"|"&amp;$J610&amp;"|"&amp;COUNTIFS($I$7:$I610,$I610,$J$7:$J610,$J610,$D$7:$D610,"Advance"))</f>
        <v/>
      </c>
      <c r="L610" s="266">
        <f>IF(OR($I610="",$I610="?",$B610=""),"",SUMPRODUCT((Weeks!$A$7:$A$59&lt;=$J610)*(Weeks!$X$5:$AI$5=$I610)*Weeks!$X$7:$AI$59)-SUMIFS($E$7:$E$1006,$I$7:$I$1006,$I610,$B$7:$B$1006,"&lt;="&amp;$B610))</f>
        <v/>
      </c>
      <c r="M610" s="132">
        <f>IF($B610&amp;$C610&amp;$D610&amp;$E610="","",IF($B610="","missing date",IF($C610="","missing worker",IF($I610="?","unknown worker - was the name changed on Workers?",IF($D610="","missing type",IF(N($E610)=0,"missing amount",IF(AND($E610&lt;0,$D610&lt;&gt;"Correction"),"negative amount - use a Correction to undo",IF(OR($B610&lt;Weeks!$A$7,$B610&gt;Weeks!$B$59),"date outside this workbook's year",IF(AND($D610="Advance",N($L610)&lt;0),"Warning: more than earned so far - worker now owes "&amp;TEXT(ROUND(-$L610,0),"#,##0"),"")))))))))</f>
        <v/>
      </c>
      <c r="N610" s="125" t="n"/>
      <c r="O610" s="126" t="n"/>
      <c r="P610" s="126" t="n"/>
      <c r="Q610" s="126" t="n"/>
      <c r="R610" s="126" t="n"/>
      <c r="S610" s="126" t="n"/>
      <c r="T610" s="126" t="n"/>
      <c r="U610" s="126" t="n"/>
      <c r="V610" s="126" t="n"/>
      <c r="W610" s="126" t="n"/>
      <c r="X610" s="126" t="n"/>
      <c r="Y610" s="126" t="n"/>
      <c r="Z610" s="126" t="n"/>
      <c r="AA610" s="126" t="n"/>
      <c r="AB610" s="126" t="n"/>
      <c r="AC610" s="126" t="n"/>
      <c r="AD610" s="126" t="n"/>
      <c r="AE610" s="126" t="n"/>
      <c r="AF610" s="126" t="n"/>
      <c r="AG610" s="126" t="n"/>
      <c r="AH610" s="126" t="n"/>
      <c r="AI610" s="126" t="n"/>
      <c r="AJ610" s="126" t="n"/>
      <c r="AK610" s="126" t="n"/>
      <c r="AL610" s="126" t="n"/>
      <c r="AM610" s="126" t="n"/>
      <c r="AN610" s="126" t="n"/>
    </row>
    <row r="611" ht="21" customFormat="1" customHeight="1" s="127">
      <c r="A611" s="51">
        <f>IF($B611="","",ROW()-6)</f>
        <v/>
      </c>
      <c r="B611" s="268" t="n"/>
      <c r="C611" s="133" t="n"/>
      <c r="D611" s="50" t="n"/>
      <c r="E611" s="265" t="n"/>
      <c r="F611" s="133" t="n"/>
      <c r="G611" s="133" t="n"/>
      <c r="H611" s="50" t="n"/>
      <c r="I611" s="51">
        <f>IF($C611="","",IFERROR(INDEX(WorkerIDs,MATCH($C611,WorkerNames,0)),"?"))</f>
        <v/>
      </c>
      <c r="J611" s="253">
        <f>IF($B611="","",$B611-WEEKDAY($B611,2)+1)</f>
        <v/>
      </c>
      <c r="K611" s="142">
        <f>IF(OR($I611="",$I611="?",$D611&lt;&gt;"Advance",$B611=""),"",$I611&amp;"|"&amp;$J611&amp;"|"&amp;COUNTIFS($I$7:$I611,$I611,$J$7:$J611,$J611,$D$7:$D611,"Advance"))</f>
        <v/>
      </c>
      <c r="L611" s="266">
        <f>IF(OR($I611="",$I611="?",$B611=""),"",SUMPRODUCT((Weeks!$A$7:$A$59&lt;=$J611)*(Weeks!$X$5:$AI$5=$I611)*Weeks!$X$7:$AI$59)-SUMIFS($E$7:$E$1006,$I$7:$I$1006,$I611,$B$7:$B$1006,"&lt;="&amp;$B611))</f>
        <v/>
      </c>
      <c r="M611" s="132">
        <f>IF($B611&amp;$C611&amp;$D611&amp;$E611="","",IF($B611="","missing date",IF($C611="","missing worker",IF($I611="?","unknown worker - was the name changed on Workers?",IF($D611="","missing type",IF(N($E611)=0,"missing amount",IF(AND($E611&lt;0,$D611&lt;&gt;"Correction"),"negative amount - use a Correction to undo",IF(OR($B611&lt;Weeks!$A$7,$B611&gt;Weeks!$B$59),"date outside this workbook's year",IF(AND($D611="Advance",N($L611)&lt;0),"Warning: more than earned so far - worker now owes "&amp;TEXT(ROUND(-$L611,0),"#,##0"),"")))))))))</f>
        <v/>
      </c>
      <c r="N611" s="125" t="n"/>
      <c r="O611" s="126" t="n"/>
      <c r="P611" s="126" t="n"/>
      <c r="Q611" s="126" t="n"/>
      <c r="R611" s="126" t="n"/>
      <c r="S611" s="126" t="n"/>
      <c r="T611" s="126" t="n"/>
      <c r="U611" s="126" t="n"/>
      <c r="V611" s="126" t="n"/>
      <c r="W611" s="126" t="n"/>
      <c r="X611" s="126" t="n"/>
      <c r="Y611" s="126" t="n"/>
      <c r="Z611" s="126" t="n"/>
      <c r="AA611" s="126" t="n"/>
      <c r="AB611" s="126" t="n"/>
      <c r="AC611" s="126" t="n"/>
      <c r="AD611" s="126" t="n"/>
      <c r="AE611" s="126" t="n"/>
      <c r="AF611" s="126" t="n"/>
      <c r="AG611" s="126" t="n"/>
      <c r="AH611" s="126" t="n"/>
      <c r="AI611" s="126" t="n"/>
      <c r="AJ611" s="126" t="n"/>
      <c r="AK611" s="126" t="n"/>
      <c r="AL611" s="126" t="n"/>
      <c r="AM611" s="126" t="n"/>
      <c r="AN611" s="126" t="n"/>
    </row>
    <row r="612" ht="21" customFormat="1" customHeight="1" s="127">
      <c r="A612" s="51">
        <f>IF($B612="","",ROW()-6)</f>
        <v/>
      </c>
      <c r="B612" s="268" t="n"/>
      <c r="C612" s="133" t="n"/>
      <c r="D612" s="50" t="n"/>
      <c r="E612" s="265" t="n"/>
      <c r="F612" s="133" t="n"/>
      <c r="G612" s="133" t="n"/>
      <c r="H612" s="50" t="n"/>
      <c r="I612" s="51">
        <f>IF($C612="","",IFERROR(INDEX(WorkerIDs,MATCH($C612,WorkerNames,0)),"?"))</f>
        <v/>
      </c>
      <c r="J612" s="253">
        <f>IF($B612="","",$B612-WEEKDAY($B612,2)+1)</f>
        <v/>
      </c>
      <c r="K612" s="142">
        <f>IF(OR($I612="",$I612="?",$D612&lt;&gt;"Advance",$B612=""),"",$I612&amp;"|"&amp;$J612&amp;"|"&amp;COUNTIFS($I$7:$I612,$I612,$J$7:$J612,$J612,$D$7:$D612,"Advance"))</f>
        <v/>
      </c>
      <c r="L612" s="266">
        <f>IF(OR($I612="",$I612="?",$B612=""),"",SUMPRODUCT((Weeks!$A$7:$A$59&lt;=$J612)*(Weeks!$X$5:$AI$5=$I612)*Weeks!$X$7:$AI$59)-SUMIFS($E$7:$E$1006,$I$7:$I$1006,$I612,$B$7:$B$1006,"&lt;="&amp;$B612))</f>
        <v/>
      </c>
      <c r="M612" s="132">
        <f>IF($B612&amp;$C612&amp;$D612&amp;$E612="","",IF($B612="","missing date",IF($C612="","missing worker",IF($I612="?","unknown worker - was the name changed on Workers?",IF($D612="","missing type",IF(N($E612)=0,"missing amount",IF(AND($E612&lt;0,$D612&lt;&gt;"Correction"),"negative amount - use a Correction to undo",IF(OR($B612&lt;Weeks!$A$7,$B612&gt;Weeks!$B$59),"date outside this workbook's year",IF(AND($D612="Advance",N($L612)&lt;0),"Warning: more than earned so far - worker now owes "&amp;TEXT(ROUND(-$L612,0),"#,##0"),"")))))))))</f>
        <v/>
      </c>
      <c r="N612" s="125" t="n"/>
      <c r="O612" s="126" t="n"/>
      <c r="P612" s="126" t="n"/>
      <c r="Q612" s="126" t="n"/>
      <c r="R612" s="126" t="n"/>
      <c r="S612" s="126" t="n"/>
      <c r="T612" s="126" t="n"/>
      <c r="U612" s="126" t="n"/>
      <c r="V612" s="126" t="n"/>
      <c r="W612" s="126" t="n"/>
      <c r="X612" s="126" t="n"/>
      <c r="Y612" s="126" t="n"/>
      <c r="Z612" s="126" t="n"/>
      <c r="AA612" s="126" t="n"/>
      <c r="AB612" s="126" t="n"/>
      <c r="AC612" s="126" t="n"/>
      <c r="AD612" s="126" t="n"/>
      <c r="AE612" s="126" t="n"/>
      <c r="AF612" s="126" t="n"/>
      <c r="AG612" s="126" t="n"/>
      <c r="AH612" s="126" t="n"/>
      <c r="AI612" s="126" t="n"/>
      <c r="AJ612" s="126" t="n"/>
      <c r="AK612" s="126" t="n"/>
      <c r="AL612" s="126" t="n"/>
      <c r="AM612" s="126" t="n"/>
      <c r="AN612" s="126" t="n"/>
    </row>
    <row r="613" ht="21" customFormat="1" customHeight="1" s="127">
      <c r="A613" s="51">
        <f>IF($B613="","",ROW()-6)</f>
        <v/>
      </c>
      <c r="B613" s="268" t="n"/>
      <c r="C613" s="133" t="n"/>
      <c r="D613" s="50" t="n"/>
      <c r="E613" s="265" t="n"/>
      <c r="F613" s="133" t="n"/>
      <c r="G613" s="133" t="n"/>
      <c r="H613" s="50" t="n"/>
      <c r="I613" s="51">
        <f>IF($C613="","",IFERROR(INDEX(WorkerIDs,MATCH($C613,WorkerNames,0)),"?"))</f>
        <v/>
      </c>
      <c r="J613" s="253">
        <f>IF($B613="","",$B613-WEEKDAY($B613,2)+1)</f>
        <v/>
      </c>
      <c r="K613" s="142">
        <f>IF(OR($I613="",$I613="?",$D613&lt;&gt;"Advance",$B613=""),"",$I613&amp;"|"&amp;$J613&amp;"|"&amp;COUNTIFS($I$7:$I613,$I613,$J$7:$J613,$J613,$D$7:$D613,"Advance"))</f>
        <v/>
      </c>
      <c r="L613" s="266">
        <f>IF(OR($I613="",$I613="?",$B613=""),"",SUMPRODUCT((Weeks!$A$7:$A$59&lt;=$J613)*(Weeks!$X$5:$AI$5=$I613)*Weeks!$X$7:$AI$59)-SUMIFS($E$7:$E$1006,$I$7:$I$1006,$I613,$B$7:$B$1006,"&lt;="&amp;$B613))</f>
        <v/>
      </c>
      <c r="M613" s="132">
        <f>IF($B613&amp;$C613&amp;$D613&amp;$E613="","",IF($B613="","missing date",IF($C613="","missing worker",IF($I613="?","unknown worker - was the name changed on Workers?",IF($D613="","missing type",IF(N($E613)=0,"missing amount",IF(AND($E613&lt;0,$D613&lt;&gt;"Correction"),"negative amount - use a Correction to undo",IF(OR($B613&lt;Weeks!$A$7,$B613&gt;Weeks!$B$59),"date outside this workbook's year",IF(AND($D613="Advance",N($L613)&lt;0),"Warning: more than earned so far - worker now owes "&amp;TEXT(ROUND(-$L613,0),"#,##0"),"")))))))))</f>
        <v/>
      </c>
      <c r="N613" s="125" t="n"/>
      <c r="O613" s="126" t="n"/>
      <c r="P613" s="126" t="n"/>
      <c r="Q613" s="126" t="n"/>
      <c r="R613" s="126" t="n"/>
      <c r="S613" s="126" t="n"/>
      <c r="T613" s="126" t="n"/>
      <c r="U613" s="126" t="n"/>
      <c r="V613" s="126" t="n"/>
      <c r="W613" s="126" t="n"/>
      <c r="X613" s="126" t="n"/>
      <c r="Y613" s="126" t="n"/>
      <c r="Z613" s="126" t="n"/>
      <c r="AA613" s="126" t="n"/>
      <c r="AB613" s="126" t="n"/>
      <c r="AC613" s="126" t="n"/>
      <c r="AD613" s="126" t="n"/>
      <c r="AE613" s="126" t="n"/>
      <c r="AF613" s="126" t="n"/>
      <c r="AG613" s="126" t="n"/>
      <c r="AH613" s="126" t="n"/>
      <c r="AI613" s="126" t="n"/>
      <c r="AJ613" s="126" t="n"/>
      <c r="AK613" s="126" t="n"/>
      <c r="AL613" s="126" t="n"/>
      <c r="AM613" s="126" t="n"/>
      <c r="AN613" s="126" t="n"/>
    </row>
    <row r="614" ht="21" customFormat="1" customHeight="1" s="127">
      <c r="A614" s="51">
        <f>IF($B614="","",ROW()-6)</f>
        <v/>
      </c>
      <c r="B614" s="268" t="n"/>
      <c r="C614" s="133" t="n"/>
      <c r="D614" s="50" t="n"/>
      <c r="E614" s="265" t="n"/>
      <c r="F614" s="133" t="n"/>
      <c r="G614" s="133" t="n"/>
      <c r="H614" s="50" t="n"/>
      <c r="I614" s="51">
        <f>IF($C614="","",IFERROR(INDEX(WorkerIDs,MATCH($C614,WorkerNames,0)),"?"))</f>
        <v/>
      </c>
      <c r="J614" s="253">
        <f>IF($B614="","",$B614-WEEKDAY($B614,2)+1)</f>
        <v/>
      </c>
      <c r="K614" s="142">
        <f>IF(OR($I614="",$I614="?",$D614&lt;&gt;"Advance",$B614=""),"",$I614&amp;"|"&amp;$J614&amp;"|"&amp;COUNTIFS($I$7:$I614,$I614,$J$7:$J614,$J614,$D$7:$D614,"Advance"))</f>
        <v/>
      </c>
      <c r="L614" s="266">
        <f>IF(OR($I614="",$I614="?",$B614=""),"",SUMPRODUCT((Weeks!$A$7:$A$59&lt;=$J614)*(Weeks!$X$5:$AI$5=$I614)*Weeks!$X$7:$AI$59)-SUMIFS($E$7:$E$1006,$I$7:$I$1006,$I614,$B$7:$B$1006,"&lt;="&amp;$B614))</f>
        <v/>
      </c>
      <c r="M614" s="132">
        <f>IF($B614&amp;$C614&amp;$D614&amp;$E614="","",IF($B614="","missing date",IF($C614="","missing worker",IF($I614="?","unknown worker - was the name changed on Workers?",IF($D614="","missing type",IF(N($E614)=0,"missing amount",IF(AND($E614&lt;0,$D614&lt;&gt;"Correction"),"negative amount - use a Correction to undo",IF(OR($B614&lt;Weeks!$A$7,$B614&gt;Weeks!$B$59),"date outside this workbook's year",IF(AND($D614="Advance",N($L614)&lt;0),"Warning: more than earned so far - worker now owes "&amp;TEXT(ROUND(-$L614,0),"#,##0"),"")))))))))</f>
        <v/>
      </c>
      <c r="N614" s="125" t="n"/>
      <c r="O614" s="126" t="n"/>
      <c r="P614" s="126" t="n"/>
      <c r="Q614" s="126" t="n"/>
      <c r="R614" s="126" t="n"/>
      <c r="S614" s="126" t="n"/>
      <c r="T614" s="126" t="n"/>
      <c r="U614" s="126" t="n"/>
      <c r="V614" s="126" t="n"/>
      <c r="W614" s="126" t="n"/>
      <c r="X614" s="126" t="n"/>
      <c r="Y614" s="126" t="n"/>
      <c r="Z614" s="126" t="n"/>
      <c r="AA614" s="126" t="n"/>
      <c r="AB614" s="126" t="n"/>
      <c r="AC614" s="126" t="n"/>
      <c r="AD614" s="126" t="n"/>
      <c r="AE614" s="126" t="n"/>
      <c r="AF614" s="126" t="n"/>
      <c r="AG614" s="126" t="n"/>
      <c r="AH614" s="126" t="n"/>
      <c r="AI614" s="126" t="n"/>
      <c r="AJ614" s="126" t="n"/>
      <c r="AK614" s="126" t="n"/>
      <c r="AL614" s="126" t="n"/>
      <c r="AM614" s="126" t="n"/>
      <c r="AN614" s="126" t="n"/>
    </row>
    <row r="615" ht="21" customFormat="1" customHeight="1" s="127">
      <c r="A615" s="51">
        <f>IF($B615="","",ROW()-6)</f>
        <v/>
      </c>
      <c r="B615" s="268" t="n"/>
      <c r="C615" s="133" t="n"/>
      <c r="D615" s="50" t="n"/>
      <c r="E615" s="265" t="n"/>
      <c r="F615" s="133" t="n"/>
      <c r="G615" s="133" t="n"/>
      <c r="H615" s="50" t="n"/>
      <c r="I615" s="51">
        <f>IF($C615="","",IFERROR(INDEX(WorkerIDs,MATCH($C615,WorkerNames,0)),"?"))</f>
        <v/>
      </c>
      <c r="J615" s="253">
        <f>IF($B615="","",$B615-WEEKDAY($B615,2)+1)</f>
        <v/>
      </c>
      <c r="K615" s="142">
        <f>IF(OR($I615="",$I615="?",$D615&lt;&gt;"Advance",$B615=""),"",$I615&amp;"|"&amp;$J615&amp;"|"&amp;COUNTIFS($I$7:$I615,$I615,$J$7:$J615,$J615,$D$7:$D615,"Advance"))</f>
        <v/>
      </c>
      <c r="L615" s="266">
        <f>IF(OR($I615="",$I615="?",$B615=""),"",SUMPRODUCT((Weeks!$A$7:$A$59&lt;=$J615)*(Weeks!$X$5:$AI$5=$I615)*Weeks!$X$7:$AI$59)-SUMIFS($E$7:$E$1006,$I$7:$I$1006,$I615,$B$7:$B$1006,"&lt;="&amp;$B615))</f>
        <v/>
      </c>
      <c r="M615" s="132">
        <f>IF($B615&amp;$C615&amp;$D615&amp;$E615="","",IF($B615="","missing date",IF($C615="","missing worker",IF($I615="?","unknown worker - was the name changed on Workers?",IF($D615="","missing type",IF(N($E615)=0,"missing amount",IF(AND($E615&lt;0,$D615&lt;&gt;"Correction"),"negative amount - use a Correction to undo",IF(OR($B615&lt;Weeks!$A$7,$B615&gt;Weeks!$B$59),"date outside this workbook's year",IF(AND($D615="Advance",N($L615)&lt;0),"Warning: more than earned so far - worker now owes "&amp;TEXT(ROUND(-$L615,0),"#,##0"),"")))))))))</f>
        <v/>
      </c>
      <c r="N615" s="125" t="n"/>
      <c r="O615" s="126" t="n"/>
      <c r="P615" s="126" t="n"/>
      <c r="Q615" s="126" t="n"/>
      <c r="R615" s="126" t="n"/>
      <c r="S615" s="126" t="n"/>
      <c r="T615" s="126" t="n"/>
      <c r="U615" s="126" t="n"/>
      <c r="V615" s="126" t="n"/>
      <c r="W615" s="126" t="n"/>
      <c r="X615" s="126" t="n"/>
      <c r="Y615" s="126" t="n"/>
      <c r="Z615" s="126" t="n"/>
      <c r="AA615" s="126" t="n"/>
      <c r="AB615" s="126" t="n"/>
      <c r="AC615" s="126" t="n"/>
      <c r="AD615" s="126" t="n"/>
      <c r="AE615" s="126" t="n"/>
      <c r="AF615" s="126" t="n"/>
      <c r="AG615" s="126" t="n"/>
      <c r="AH615" s="126" t="n"/>
      <c r="AI615" s="126" t="n"/>
      <c r="AJ615" s="126" t="n"/>
      <c r="AK615" s="126" t="n"/>
      <c r="AL615" s="126" t="n"/>
      <c r="AM615" s="126" t="n"/>
      <c r="AN615" s="126" t="n"/>
    </row>
    <row r="616" ht="21" customFormat="1" customHeight="1" s="127">
      <c r="A616" s="51">
        <f>IF($B616="","",ROW()-6)</f>
        <v/>
      </c>
      <c r="B616" s="268" t="n"/>
      <c r="C616" s="133" t="n"/>
      <c r="D616" s="50" t="n"/>
      <c r="E616" s="265" t="n"/>
      <c r="F616" s="133" t="n"/>
      <c r="G616" s="133" t="n"/>
      <c r="H616" s="50" t="n"/>
      <c r="I616" s="51">
        <f>IF($C616="","",IFERROR(INDEX(WorkerIDs,MATCH($C616,WorkerNames,0)),"?"))</f>
        <v/>
      </c>
      <c r="J616" s="253">
        <f>IF($B616="","",$B616-WEEKDAY($B616,2)+1)</f>
        <v/>
      </c>
      <c r="K616" s="142">
        <f>IF(OR($I616="",$I616="?",$D616&lt;&gt;"Advance",$B616=""),"",$I616&amp;"|"&amp;$J616&amp;"|"&amp;COUNTIFS($I$7:$I616,$I616,$J$7:$J616,$J616,$D$7:$D616,"Advance"))</f>
        <v/>
      </c>
      <c r="L616" s="266">
        <f>IF(OR($I616="",$I616="?",$B616=""),"",SUMPRODUCT((Weeks!$A$7:$A$59&lt;=$J616)*(Weeks!$X$5:$AI$5=$I616)*Weeks!$X$7:$AI$59)-SUMIFS($E$7:$E$1006,$I$7:$I$1006,$I616,$B$7:$B$1006,"&lt;="&amp;$B616))</f>
        <v/>
      </c>
      <c r="M616" s="132">
        <f>IF($B616&amp;$C616&amp;$D616&amp;$E616="","",IF($B616="","missing date",IF($C616="","missing worker",IF($I616="?","unknown worker - was the name changed on Workers?",IF($D616="","missing type",IF(N($E616)=0,"missing amount",IF(AND($E616&lt;0,$D616&lt;&gt;"Correction"),"negative amount - use a Correction to undo",IF(OR($B616&lt;Weeks!$A$7,$B616&gt;Weeks!$B$59),"date outside this workbook's year",IF(AND($D616="Advance",N($L616)&lt;0),"Warning: more than earned so far - worker now owes "&amp;TEXT(ROUND(-$L616,0),"#,##0"),"")))))))))</f>
        <v/>
      </c>
      <c r="N616" s="125" t="n"/>
      <c r="O616" s="126" t="n"/>
      <c r="P616" s="126" t="n"/>
      <c r="Q616" s="126" t="n"/>
      <c r="R616" s="126" t="n"/>
      <c r="S616" s="126" t="n"/>
      <c r="T616" s="126" t="n"/>
      <c r="U616" s="126" t="n"/>
      <c r="V616" s="126" t="n"/>
      <c r="W616" s="126" t="n"/>
      <c r="X616" s="126" t="n"/>
      <c r="Y616" s="126" t="n"/>
      <c r="Z616" s="126" t="n"/>
      <c r="AA616" s="126" t="n"/>
      <c r="AB616" s="126" t="n"/>
      <c r="AC616" s="126" t="n"/>
      <c r="AD616" s="126" t="n"/>
      <c r="AE616" s="126" t="n"/>
      <c r="AF616" s="126" t="n"/>
      <c r="AG616" s="126" t="n"/>
      <c r="AH616" s="126" t="n"/>
      <c r="AI616" s="126" t="n"/>
      <c r="AJ616" s="126" t="n"/>
      <c r="AK616" s="126" t="n"/>
      <c r="AL616" s="126" t="n"/>
      <c r="AM616" s="126" t="n"/>
      <c r="AN616" s="126" t="n"/>
    </row>
    <row r="617" ht="21" customFormat="1" customHeight="1" s="127">
      <c r="A617" s="51">
        <f>IF($B617="","",ROW()-6)</f>
        <v/>
      </c>
      <c r="B617" s="268" t="n"/>
      <c r="C617" s="133" t="n"/>
      <c r="D617" s="50" t="n"/>
      <c r="E617" s="265" t="n"/>
      <c r="F617" s="133" t="n"/>
      <c r="G617" s="133" t="n"/>
      <c r="H617" s="50" t="n"/>
      <c r="I617" s="51">
        <f>IF($C617="","",IFERROR(INDEX(WorkerIDs,MATCH($C617,WorkerNames,0)),"?"))</f>
        <v/>
      </c>
      <c r="J617" s="253">
        <f>IF($B617="","",$B617-WEEKDAY($B617,2)+1)</f>
        <v/>
      </c>
      <c r="K617" s="142">
        <f>IF(OR($I617="",$I617="?",$D617&lt;&gt;"Advance",$B617=""),"",$I617&amp;"|"&amp;$J617&amp;"|"&amp;COUNTIFS($I$7:$I617,$I617,$J$7:$J617,$J617,$D$7:$D617,"Advance"))</f>
        <v/>
      </c>
      <c r="L617" s="266">
        <f>IF(OR($I617="",$I617="?",$B617=""),"",SUMPRODUCT((Weeks!$A$7:$A$59&lt;=$J617)*(Weeks!$X$5:$AI$5=$I617)*Weeks!$X$7:$AI$59)-SUMIFS($E$7:$E$1006,$I$7:$I$1006,$I617,$B$7:$B$1006,"&lt;="&amp;$B617))</f>
        <v/>
      </c>
      <c r="M617" s="132">
        <f>IF($B617&amp;$C617&amp;$D617&amp;$E617="","",IF($B617="","missing date",IF($C617="","missing worker",IF($I617="?","unknown worker - was the name changed on Workers?",IF($D617="","missing type",IF(N($E617)=0,"missing amount",IF(AND($E617&lt;0,$D617&lt;&gt;"Correction"),"negative amount - use a Correction to undo",IF(OR($B617&lt;Weeks!$A$7,$B617&gt;Weeks!$B$59),"date outside this workbook's year",IF(AND($D617="Advance",N($L617)&lt;0),"Warning: more than earned so far - worker now owes "&amp;TEXT(ROUND(-$L617,0),"#,##0"),"")))))))))</f>
        <v/>
      </c>
      <c r="N617" s="125" t="n"/>
      <c r="O617" s="126" t="n"/>
      <c r="P617" s="126" t="n"/>
      <c r="Q617" s="126" t="n"/>
      <c r="R617" s="126" t="n"/>
      <c r="S617" s="126" t="n"/>
      <c r="T617" s="126" t="n"/>
      <c r="U617" s="126" t="n"/>
      <c r="V617" s="126" t="n"/>
      <c r="W617" s="126" t="n"/>
      <c r="X617" s="126" t="n"/>
      <c r="Y617" s="126" t="n"/>
      <c r="Z617" s="126" t="n"/>
      <c r="AA617" s="126" t="n"/>
      <c r="AB617" s="126" t="n"/>
      <c r="AC617" s="126" t="n"/>
      <c r="AD617" s="126" t="n"/>
      <c r="AE617" s="126" t="n"/>
      <c r="AF617" s="126" t="n"/>
      <c r="AG617" s="126" t="n"/>
      <c r="AH617" s="126" t="n"/>
      <c r="AI617" s="126" t="n"/>
      <c r="AJ617" s="126" t="n"/>
      <c r="AK617" s="126" t="n"/>
      <c r="AL617" s="126" t="n"/>
      <c r="AM617" s="126" t="n"/>
      <c r="AN617" s="126" t="n"/>
    </row>
    <row r="618" ht="21" customFormat="1" customHeight="1" s="127">
      <c r="A618" s="51">
        <f>IF($B618="","",ROW()-6)</f>
        <v/>
      </c>
      <c r="B618" s="268" t="n"/>
      <c r="C618" s="133" t="n"/>
      <c r="D618" s="50" t="n"/>
      <c r="E618" s="265" t="n"/>
      <c r="F618" s="133" t="n"/>
      <c r="G618" s="133" t="n"/>
      <c r="H618" s="50" t="n"/>
      <c r="I618" s="51">
        <f>IF($C618="","",IFERROR(INDEX(WorkerIDs,MATCH($C618,WorkerNames,0)),"?"))</f>
        <v/>
      </c>
      <c r="J618" s="253">
        <f>IF($B618="","",$B618-WEEKDAY($B618,2)+1)</f>
        <v/>
      </c>
      <c r="K618" s="142">
        <f>IF(OR($I618="",$I618="?",$D618&lt;&gt;"Advance",$B618=""),"",$I618&amp;"|"&amp;$J618&amp;"|"&amp;COUNTIFS($I$7:$I618,$I618,$J$7:$J618,$J618,$D$7:$D618,"Advance"))</f>
        <v/>
      </c>
      <c r="L618" s="266">
        <f>IF(OR($I618="",$I618="?",$B618=""),"",SUMPRODUCT((Weeks!$A$7:$A$59&lt;=$J618)*(Weeks!$X$5:$AI$5=$I618)*Weeks!$X$7:$AI$59)-SUMIFS($E$7:$E$1006,$I$7:$I$1006,$I618,$B$7:$B$1006,"&lt;="&amp;$B618))</f>
        <v/>
      </c>
      <c r="M618" s="132">
        <f>IF($B618&amp;$C618&amp;$D618&amp;$E618="","",IF($B618="","missing date",IF($C618="","missing worker",IF($I618="?","unknown worker - was the name changed on Workers?",IF($D618="","missing type",IF(N($E618)=0,"missing amount",IF(AND($E618&lt;0,$D618&lt;&gt;"Correction"),"negative amount - use a Correction to undo",IF(OR($B618&lt;Weeks!$A$7,$B618&gt;Weeks!$B$59),"date outside this workbook's year",IF(AND($D618="Advance",N($L618)&lt;0),"Warning: more than earned so far - worker now owes "&amp;TEXT(ROUND(-$L618,0),"#,##0"),"")))))))))</f>
        <v/>
      </c>
      <c r="N618" s="125" t="n"/>
      <c r="O618" s="126" t="n"/>
      <c r="P618" s="126" t="n"/>
      <c r="Q618" s="126" t="n"/>
      <c r="R618" s="126" t="n"/>
      <c r="S618" s="126" t="n"/>
      <c r="T618" s="126" t="n"/>
      <c r="U618" s="126" t="n"/>
      <c r="V618" s="126" t="n"/>
      <c r="W618" s="126" t="n"/>
      <c r="X618" s="126" t="n"/>
      <c r="Y618" s="126" t="n"/>
      <c r="Z618" s="126" t="n"/>
      <c r="AA618" s="126" t="n"/>
      <c r="AB618" s="126" t="n"/>
      <c r="AC618" s="126" t="n"/>
      <c r="AD618" s="126" t="n"/>
      <c r="AE618" s="126" t="n"/>
      <c r="AF618" s="126" t="n"/>
      <c r="AG618" s="126" t="n"/>
      <c r="AH618" s="126" t="n"/>
      <c r="AI618" s="126" t="n"/>
      <c r="AJ618" s="126" t="n"/>
      <c r="AK618" s="126" t="n"/>
      <c r="AL618" s="126" t="n"/>
      <c r="AM618" s="126" t="n"/>
      <c r="AN618" s="126" t="n"/>
    </row>
    <row r="619" ht="21" customFormat="1" customHeight="1" s="127">
      <c r="A619" s="51">
        <f>IF($B619="","",ROW()-6)</f>
        <v/>
      </c>
      <c r="B619" s="268" t="n"/>
      <c r="C619" s="133" t="n"/>
      <c r="D619" s="50" t="n"/>
      <c r="E619" s="265" t="n"/>
      <c r="F619" s="133" t="n"/>
      <c r="G619" s="133" t="n"/>
      <c r="H619" s="50" t="n"/>
      <c r="I619" s="51">
        <f>IF($C619="","",IFERROR(INDEX(WorkerIDs,MATCH($C619,WorkerNames,0)),"?"))</f>
        <v/>
      </c>
      <c r="J619" s="253">
        <f>IF($B619="","",$B619-WEEKDAY($B619,2)+1)</f>
        <v/>
      </c>
      <c r="K619" s="142">
        <f>IF(OR($I619="",$I619="?",$D619&lt;&gt;"Advance",$B619=""),"",$I619&amp;"|"&amp;$J619&amp;"|"&amp;COUNTIFS($I$7:$I619,$I619,$J$7:$J619,$J619,$D$7:$D619,"Advance"))</f>
        <v/>
      </c>
      <c r="L619" s="266">
        <f>IF(OR($I619="",$I619="?",$B619=""),"",SUMPRODUCT((Weeks!$A$7:$A$59&lt;=$J619)*(Weeks!$X$5:$AI$5=$I619)*Weeks!$X$7:$AI$59)-SUMIFS($E$7:$E$1006,$I$7:$I$1006,$I619,$B$7:$B$1006,"&lt;="&amp;$B619))</f>
        <v/>
      </c>
      <c r="M619" s="132">
        <f>IF($B619&amp;$C619&amp;$D619&amp;$E619="","",IF($B619="","missing date",IF($C619="","missing worker",IF($I619="?","unknown worker - was the name changed on Workers?",IF($D619="","missing type",IF(N($E619)=0,"missing amount",IF(AND($E619&lt;0,$D619&lt;&gt;"Correction"),"negative amount - use a Correction to undo",IF(OR($B619&lt;Weeks!$A$7,$B619&gt;Weeks!$B$59),"date outside this workbook's year",IF(AND($D619="Advance",N($L619)&lt;0),"Warning: more than earned so far - worker now owes "&amp;TEXT(ROUND(-$L619,0),"#,##0"),"")))))))))</f>
        <v/>
      </c>
      <c r="N619" s="125" t="n"/>
      <c r="O619" s="126" t="n"/>
      <c r="P619" s="126" t="n"/>
      <c r="Q619" s="126" t="n"/>
      <c r="R619" s="126" t="n"/>
      <c r="S619" s="126" t="n"/>
      <c r="T619" s="126" t="n"/>
      <c r="U619" s="126" t="n"/>
      <c r="V619" s="126" t="n"/>
      <c r="W619" s="126" t="n"/>
      <c r="X619" s="126" t="n"/>
      <c r="Y619" s="126" t="n"/>
      <c r="Z619" s="126" t="n"/>
      <c r="AA619" s="126" t="n"/>
      <c r="AB619" s="126" t="n"/>
      <c r="AC619" s="126" t="n"/>
      <c r="AD619" s="126" t="n"/>
      <c r="AE619" s="126" t="n"/>
      <c r="AF619" s="126" t="n"/>
      <c r="AG619" s="126" t="n"/>
      <c r="AH619" s="126" t="n"/>
      <c r="AI619" s="126" t="n"/>
      <c r="AJ619" s="126" t="n"/>
      <c r="AK619" s="126" t="n"/>
      <c r="AL619" s="126" t="n"/>
      <c r="AM619" s="126" t="n"/>
      <c r="AN619" s="126" t="n"/>
    </row>
    <row r="620" ht="21" customFormat="1" customHeight="1" s="127">
      <c r="A620" s="51">
        <f>IF($B620="","",ROW()-6)</f>
        <v/>
      </c>
      <c r="B620" s="268" t="n"/>
      <c r="C620" s="133" t="n"/>
      <c r="D620" s="50" t="n"/>
      <c r="E620" s="265" t="n"/>
      <c r="F620" s="133" t="n"/>
      <c r="G620" s="133" t="n"/>
      <c r="H620" s="50" t="n"/>
      <c r="I620" s="51">
        <f>IF($C620="","",IFERROR(INDEX(WorkerIDs,MATCH($C620,WorkerNames,0)),"?"))</f>
        <v/>
      </c>
      <c r="J620" s="253">
        <f>IF($B620="","",$B620-WEEKDAY($B620,2)+1)</f>
        <v/>
      </c>
      <c r="K620" s="142">
        <f>IF(OR($I620="",$I620="?",$D620&lt;&gt;"Advance",$B620=""),"",$I620&amp;"|"&amp;$J620&amp;"|"&amp;COUNTIFS($I$7:$I620,$I620,$J$7:$J620,$J620,$D$7:$D620,"Advance"))</f>
        <v/>
      </c>
      <c r="L620" s="266">
        <f>IF(OR($I620="",$I620="?",$B620=""),"",SUMPRODUCT((Weeks!$A$7:$A$59&lt;=$J620)*(Weeks!$X$5:$AI$5=$I620)*Weeks!$X$7:$AI$59)-SUMIFS($E$7:$E$1006,$I$7:$I$1006,$I620,$B$7:$B$1006,"&lt;="&amp;$B620))</f>
        <v/>
      </c>
      <c r="M620" s="132">
        <f>IF($B620&amp;$C620&amp;$D620&amp;$E620="","",IF($B620="","missing date",IF($C620="","missing worker",IF($I620="?","unknown worker - was the name changed on Workers?",IF($D620="","missing type",IF(N($E620)=0,"missing amount",IF(AND($E620&lt;0,$D620&lt;&gt;"Correction"),"negative amount - use a Correction to undo",IF(OR($B620&lt;Weeks!$A$7,$B620&gt;Weeks!$B$59),"date outside this workbook's year",IF(AND($D620="Advance",N($L620)&lt;0),"Warning: more than earned so far - worker now owes "&amp;TEXT(ROUND(-$L620,0),"#,##0"),"")))))))))</f>
        <v/>
      </c>
      <c r="N620" s="125" t="n"/>
      <c r="O620" s="126" t="n"/>
      <c r="P620" s="126" t="n"/>
      <c r="Q620" s="126" t="n"/>
      <c r="R620" s="126" t="n"/>
      <c r="S620" s="126" t="n"/>
      <c r="T620" s="126" t="n"/>
      <c r="U620" s="126" t="n"/>
      <c r="V620" s="126" t="n"/>
      <c r="W620" s="126" t="n"/>
      <c r="X620" s="126" t="n"/>
      <c r="Y620" s="126" t="n"/>
      <c r="Z620" s="126" t="n"/>
      <c r="AA620" s="126" t="n"/>
      <c r="AB620" s="126" t="n"/>
      <c r="AC620" s="126" t="n"/>
      <c r="AD620" s="126" t="n"/>
      <c r="AE620" s="126" t="n"/>
      <c r="AF620" s="126" t="n"/>
      <c r="AG620" s="126" t="n"/>
      <c r="AH620" s="126" t="n"/>
      <c r="AI620" s="126" t="n"/>
      <c r="AJ620" s="126" t="n"/>
      <c r="AK620" s="126" t="n"/>
      <c r="AL620" s="126" t="n"/>
      <c r="AM620" s="126" t="n"/>
      <c r="AN620" s="126" t="n"/>
    </row>
    <row r="621" ht="21" customFormat="1" customHeight="1" s="127">
      <c r="A621" s="51">
        <f>IF($B621="","",ROW()-6)</f>
        <v/>
      </c>
      <c r="B621" s="268" t="n"/>
      <c r="C621" s="133" t="n"/>
      <c r="D621" s="50" t="n"/>
      <c r="E621" s="265" t="n"/>
      <c r="F621" s="133" t="n"/>
      <c r="G621" s="133" t="n"/>
      <c r="H621" s="50" t="n"/>
      <c r="I621" s="51">
        <f>IF($C621="","",IFERROR(INDEX(WorkerIDs,MATCH($C621,WorkerNames,0)),"?"))</f>
        <v/>
      </c>
      <c r="J621" s="253">
        <f>IF($B621="","",$B621-WEEKDAY($B621,2)+1)</f>
        <v/>
      </c>
      <c r="K621" s="142">
        <f>IF(OR($I621="",$I621="?",$D621&lt;&gt;"Advance",$B621=""),"",$I621&amp;"|"&amp;$J621&amp;"|"&amp;COUNTIFS($I$7:$I621,$I621,$J$7:$J621,$J621,$D$7:$D621,"Advance"))</f>
        <v/>
      </c>
      <c r="L621" s="266">
        <f>IF(OR($I621="",$I621="?",$B621=""),"",SUMPRODUCT((Weeks!$A$7:$A$59&lt;=$J621)*(Weeks!$X$5:$AI$5=$I621)*Weeks!$X$7:$AI$59)-SUMIFS($E$7:$E$1006,$I$7:$I$1006,$I621,$B$7:$B$1006,"&lt;="&amp;$B621))</f>
        <v/>
      </c>
      <c r="M621" s="132">
        <f>IF($B621&amp;$C621&amp;$D621&amp;$E621="","",IF($B621="","missing date",IF($C621="","missing worker",IF($I621="?","unknown worker - was the name changed on Workers?",IF($D621="","missing type",IF(N($E621)=0,"missing amount",IF(AND($E621&lt;0,$D621&lt;&gt;"Correction"),"negative amount - use a Correction to undo",IF(OR($B621&lt;Weeks!$A$7,$B621&gt;Weeks!$B$59),"date outside this workbook's year",IF(AND($D621="Advance",N($L621)&lt;0),"Warning: more than earned so far - worker now owes "&amp;TEXT(ROUND(-$L621,0),"#,##0"),"")))))))))</f>
        <v/>
      </c>
      <c r="N621" s="125" t="n"/>
      <c r="O621" s="126" t="n"/>
      <c r="P621" s="126" t="n"/>
      <c r="Q621" s="126" t="n"/>
      <c r="R621" s="126" t="n"/>
      <c r="S621" s="126" t="n"/>
      <c r="T621" s="126" t="n"/>
      <c r="U621" s="126" t="n"/>
      <c r="V621" s="126" t="n"/>
      <c r="W621" s="126" t="n"/>
      <c r="X621" s="126" t="n"/>
      <c r="Y621" s="126" t="n"/>
      <c r="Z621" s="126" t="n"/>
      <c r="AA621" s="126" t="n"/>
      <c r="AB621" s="126" t="n"/>
      <c r="AC621" s="126" t="n"/>
      <c r="AD621" s="126" t="n"/>
      <c r="AE621" s="126" t="n"/>
      <c r="AF621" s="126" t="n"/>
      <c r="AG621" s="126" t="n"/>
      <c r="AH621" s="126" t="n"/>
      <c r="AI621" s="126" t="n"/>
      <c r="AJ621" s="126" t="n"/>
      <c r="AK621" s="126" t="n"/>
      <c r="AL621" s="126" t="n"/>
      <c r="AM621" s="126" t="n"/>
      <c r="AN621" s="126" t="n"/>
    </row>
    <row r="622" ht="21" customFormat="1" customHeight="1" s="127">
      <c r="A622" s="51">
        <f>IF($B622="","",ROW()-6)</f>
        <v/>
      </c>
      <c r="B622" s="268" t="n"/>
      <c r="C622" s="133" t="n"/>
      <c r="D622" s="50" t="n"/>
      <c r="E622" s="265" t="n"/>
      <c r="F622" s="133" t="n"/>
      <c r="G622" s="133" t="n"/>
      <c r="H622" s="50" t="n"/>
      <c r="I622" s="51">
        <f>IF($C622="","",IFERROR(INDEX(WorkerIDs,MATCH($C622,WorkerNames,0)),"?"))</f>
        <v/>
      </c>
      <c r="J622" s="253">
        <f>IF($B622="","",$B622-WEEKDAY($B622,2)+1)</f>
        <v/>
      </c>
      <c r="K622" s="142">
        <f>IF(OR($I622="",$I622="?",$D622&lt;&gt;"Advance",$B622=""),"",$I622&amp;"|"&amp;$J622&amp;"|"&amp;COUNTIFS($I$7:$I622,$I622,$J$7:$J622,$J622,$D$7:$D622,"Advance"))</f>
        <v/>
      </c>
      <c r="L622" s="266">
        <f>IF(OR($I622="",$I622="?",$B622=""),"",SUMPRODUCT((Weeks!$A$7:$A$59&lt;=$J622)*(Weeks!$X$5:$AI$5=$I622)*Weeks!$X$7:$AI$59)-SUMIFS($E$7:$E$1006,$I$7:$I$1006,$I622,$B$7:$B$1006,"&lt;="&amp;$B622))</f>
        <v/>
      </c>
      <c r="M622" s="132">
        <f>IF($B622&amp;$C622&amp;$D622&amp;$E622="","",IF($B622="","missing date",IF($C622="","missing worker",IF($I622="?","unknown worker - was the name changed on Workers?",IF($D622="","missing type",IF(N($E622)=0,"missing amount",IF(AND($E622&lt;0,$D622&lt;&gt;"Correction"),"negative amount - use a Correction to undo",IF(OR($B622&lt;Weeks!$A$7,$B622&gt;Weeks!$B$59),"date outside this workbook's year",IF(AND($D622="Advance",N($L622)&lt;0),"Warning: more than earned so far - worker now owes "&amp;TEXT(ROUND(-$L622,0),"#,##0"),"")))))))))</f>
        <v/>
      </c>
      <c r="N622" s="125" t="n"/>
      <c r="O622" s="126" t="n"/>
      <c r="P622" s="126" t="n"/>
      <c r="Q622" s="126" t="n"/>
      <c r="R622" s="126" t="n"/>
      <c r="S622" s="126" t="n"/>
      <c r="T622" s="126" t="n"/>
      <c r="U622" s="126" t="n"/>
      <c r="V622" s="126" t="n"/>
      <c r="W622" s="126" t="n"/>
      <c r="X622" s="126" t="n"/>
      <c r="Y622" s="126" t="n"/>
      <c r="Z622" s="126" t="n"/>
      <c r="AA622" s="126" t="n"/>
      <c r="AB622" s="126" t="n"/>
      <c r="AC622" s="126" t="n"/>
      <c r="AD622" s="126" t="n"/>
      <c r="AE622" s="126" t="n"/>
      <c r="AF622" s="126" t="n"/>
      <c r="AG622" s="126" t="n"/>
      <c r="AH622" s="126" t="n"/>
      <c r="AI622" s="126" t="n"/>
      <c r="AJ622" s="126" t="n"/>
      <c r="AK622" s="126" t="n"/>
      <c r="AL622" s="126" t="n"/>
      <c r="AM622" s="126" t="n"/>
      <c r="AN622" s="126" t="n"/>
    </row>
    <row r="623" ht="21" customFormat="1" customHeight="1" s="127">
      <c r="A623" s="51">
        <f>IF($B623="","",ROW()-6)</f>
        <v/>
      </c>
      <c r="B623" s="268" t="n"/>
      <c r="C623" s="133" t="n"/>
      <c r="D623" s="50" t="n"/>
      <c r="E623" s="265" t="n"/>
      <c r="F623" s="133" t="n"/>
      <c r="G623" s="133" t="n"/>
      <c r="H623" s="50" t="n"/>
      <c r="I623" s="51">
        <f>IF($C623="","",IFERROR(INDEX(WorkerIDs,MATCH($C623,WorkerNames,0)),"?"))</f>
        <v/>
      </c>
      <c r="J623" s="253">
        <f>IF($B623="","",$B623-WEEKDAY($B623,2)+1)</f>
        <v/>
      </c>
      <c r="K623" s="142">
        <f>IF(OR($I623="",$I623="?",$D623&lt;&gt;"Advance",$B623=""),"",$I623&amp;"|"&amp;$J623&amp;"|"&amp;COUNTIFS($I$7:$I623,$I623,$J$7:$J623,$J623,$D$7:$D623,"Advance"))</f>
        <v/>
      </c>
      <c r="L623" s="266">
        <f>IF(OR($I623="",$I623="?",$B623=""),"",SUMPRODUCT((Weeks!$A$7:$A$59&lt;=$J623)*(Weeks!$X$5:$AI$5=$I623)*Weeks!$X$7:$AI$59)-SUMIFS($E$7:$E$1006,$I$7:$I$1006,$I623,$B$7:$B$1006,"&lt;="&amp;$B623))</f>
        <v/>
      </c>
      <c r="M623" s="132">
        <f>IF($B623&amp;$C623&amp;$D623&amp;$E623="","",IF($B623="","missing date",IF($C623="","missing worker",IF($I623="?","unknown worker - was the name changed on Workers?",IF($D623="","missing type",IF(N($E623)=0,"missing amount",IF(AND($E623&lt;0,$D623&lt;&gt;"Correction"),"negative amount - use a Correction to undo",IF(OR($B623&lt;Weeks!$A$7,$B623&gt;Weeks!$B$59),"date outside this workbook's year",IF(AND($D623="Advance",N($L623)&lt;0),"Warning: more than earned so far - worker now owes "&amp;TEXT(ROUND(-$L623,0),"#,##0"),"")))))))))</f>
        <v/>
      </c>
      <c r="N623" s="125" t="n"/>
      <c r="O623" s="126" t="n"/>
      <c r="P623" s="126" t="n"/>
      <c r="Q623" s="126" t="n"/>
      <c r="R623" s="126" t="n"/>
      <c r="S623" s="126" t="n"/>
      <c r="T623" s="126" t="n"/>
      <c r="U623" s="126" t="n"/>
      <c r="V623" s="126" t="n"/>
      <c r="W623" s="126" t="n"/>
      <c r="X623" s="126" t="n"/>
      <c r="Y623" s="126" t="n"/>
      <c r="Z623" s="126" t="n"/>
      <c r="AA623" s="126" t="n"/>
      <c r="AB623" s="126" t="n"/>
      <c r="AC623" s="126" t="n"/>
      <c r="AD623" s="126" t="n"/>
      <c r="AE623" s="126" t="n"/>
      <c r="AF623" s="126" t="n"/>
      <c r="AG623" s="126" t="n"/>
      <c r="AH623" s="126" t="n"/>
      <c r="AI623" s="126" t="n"/>
      <c r="AJ623" s="126" t="n"/>
      <c r="AK623" s="126" t="n"/>
      <c r="AL623" s="126" t="n"/>
      <c r="AM623" s="126" t="n"/>
      <c r="AN623" s="126" t="n"/>
    </row>
    <row r="624" ht="21" customFormat="1" customHeight="1" s="127">
      <c r="A624" s="51">
        <f>IF($B624="","",ROW()-6)</f>
        <v/>
      </c>
      <c r="B624" s="268" t="n"/>
      <c r="C624" s="133" t="n"/>
      <c r="D624" s="50" t="n"/>
      <c r="E624" s="265" t="n"/>
      <c r="F624" s="133" t="n"/>
      <c r="G624" s="133" t="n"/>
      <c r="H624" s="50" t="n"/>
      <c r="I624" s="51">
        <f>IF($C624="","",IFERROR(INDEX(WorkerIDs,MATCH($C624,WorkerNames,0)),"?"))</f>
        <v/>
      </c>
      <c r="J624" s="253">
        <f>IF($B624="","",$B624-WEEKDAY($B624,2)+1)</f>
        <v/>
      </c>
      <c r="K624" s="142">
        <f>IF(OR($I624="",$I624="?",$D624&lt;&gt;"Advance",$B624=""),"",$I624&amp;"|"&amp;$J624&amp;"|"&amp;COUNTIFS($I$7:$I624,$I624,$J$7:$J624,$J624,$D$7:$D624,"Advance"))</f>
        <v/>
      </c>
      <c r="L624" s="266">
        <f>IF(OR($I624="",$I624="?",$B624=""),"",SUMPRODUCT((Weeks!$A$7:$A$59&lt;=$J624)*(Weeks!$X$5:$AI$5=$I624)*Weeks!$X$7:$AI$59)-SUMIFS($E$7:$E$1006,$I$7:$I$1006,$I624,$B$7:$B$1006,"&lt;="&amp;$B624))</f>
        <v/>
      </c>
      <c r="M624" s="132">
        <f>IF($B624&amp;$C624&amp;$D624&amp;$E624="","",IF($B624="","missing date",IF($C624="","missing worker",IF($I624="?","unknown worker - was the name changed on Workers?",IF($D624="","missing type",IF(N($E624)=0,"missing amount",IF(AND($E624&lt;0,$D624&lt;&gt;"Correction"),"negative amount - use a Correction to undo",IF(OR($B624&lt;Weeks!$A$7,$B624&gt;Weeks!$B$59),"date outside this workbook's year",IF(AND($D624="Advance",N($L624)&lt;0),"Warning: more than earned so far - worker now owes "&amp;TEXT(ROUND(-$L624,0),"#,##0"),"")))))))))</f>
        <v/>
      </c>
      <c r="N624" s="125" t="n"/>
      <c r="O624" s="126" t="n"/>
      <c r="P624" s="126" t="n"/>
      <c r="Q624" s="126" t="n"/>
      <c r="R624" s="126" t="n"/>
      <c r="S624" s="126" t="n"/>
      <c r="T624" s="126" t="n"/>
      <c r="U624" s="126" t="n"/>
      <c r="V624" s="126" t="n"/>
      <c r="W624" s="126" t="n"/>
      <c r="X624" s="126" t="n"/>
      <c r="Y624" s="126" t="n"/>
      <c r="Z624" s="126" t="n"/>
      <c r="AA624" s="126" t="n"/>
      <c r="AB624" s="126" t="n"/>
      <c r="AC624" s="126" t="n"/>
      <c r="AD624" s="126" t="n"/>
      <c r="AE624" s="126" t="n"/>
      <c r="AF624" s="126" t="n"/>
      <c r="AG624" s="126" t="n"/>
      <c r="AH624" s="126" t="n"/>
      <c r="AI624" s="126" t="n"/>
      <c r="AJ624" s="126" t="n"/>
      <c r="AK624" s="126" t="n"/>
      <c r="AL624" s="126" t="n"/>
      <c r="AM624" s="126" t="n"/>
      <c r="AN624" s="126" t="n"/>
    </row>
    <row r="625" ht="21" customFormat="1" customHeight="1" s="127">
      <c r="A625" s="51">
        <f>IF($B625="","",ROW()-6)</f>
        <v/>
      </c>
      <c r="B625" s="268" t="n"/>
      <c r="C625" s="133" t="n"/>
      <c r="D625" s="50" t="n"/>
      <c r="E625" s="265" t="n"/>
      <c r="F625" s="133" t="n"/>
      <c r="G625" s="133" t="n"/>
      <c r="H625" s="50" t="n"/>
      <c r="I625" s="51">
        <f>IF($C625="","",IFERROR(INDEX(WorkerIDs,MATCH($C625,WorkerNames,0)),"?"))</f>
        <v/>
      </c>
      <c r="J625" s="253">
        <f>IF($B625="","",$B625-WEEKDAY($B625,2)+1)</f>
        <v/>
      </c>
      <c r="K625" s="142">
        <f>IF(OR($I625="",$I625="?",$D625&lt;&gt;"Advance",$B625=""),"",$I625&amp;"|"&amp;$J625&amp;"|"&amp;COUNTIFS($I$7:$I625,$I625,$J$7:$J625,$J625,$D$7:$D625,"Advance"))</f>
        <v/>
      </c>
      <c r="L625" s="266">
        <f>IF(OR($I625="",$I625="?",$B625=""),"",SUMPRODUCT((Weeks!$A$7:$A$59&lt;=$J625)*(Weeks!$X$5:$AI$5=$I625)*Weeks!$X$7:$AI$59)-SUMIFS($E$7:$E$1006,$I$7:$I$1006,$I625,$B$7:$B$1006,"&lt;="&amp;$B625))</f>
        <v/>
      </c>
      <c r="M625" s="132">
        <f>IF($B625&amp;$C625&amp;$D625&amp;$E625="","",IF($B625="","missing date",IF($C625="","missing worker",IF($I625="?","unknown worker - was the name changed on Workers?",IF($D625="","missing type",IF(N($E625)=0,"missing amount",IF(AND($E625&lt;0,$D625&lt;&gt;"Correction"),"negative amount - use a Correction to undo",IF(OR($B625&lt;Weeks!$A$7,$B625&gt;Weeks!$B$59),"date outside this workbook's year",IF(AND($D625="Advance",N($L625)&lt;0),"Warning: more than earned so far - worker now owes "&amp;TEXT(ROUND(-$L625,0),"#,##0"),"")))))))))</f>
        <v/>
      </c>
      <c r="N625" s="125" t="n"/>
      <c r="O625" s="126" t="n"/>
      <c r="P625" s="126" t="n"/>
      <c r="Q625" s="126" t="n"/>
      <c r="R625" s="126" t="n"/>
      <c r="S625" s="126" t="n"/>
      <c r="T625" s="126" t="n"/>
      <c r="U625" s="126" t="n"/>
      <c r="V625" s="126" t="n"/>
      <c r="W625" s="126" t="n"/>
      <c r="X625" s="126" t="n"/>
      <c r="Y625" s="126" t="n"/>
      <c r="Z625" s="126" t="n"/>
      <c r="AA625" s="126" t="n"/>
      <c r="AB625" s="126" t="n"/>
      <c r="AC625" s="126" t="n"/>
      <c r="AD625" s="126" t="n"/>
      <c r="AE625" s="126" t="n"/>
      <c r="AF625" s="126" t="n"/>
      <c r="AG625" s="126" t="n"/>
      <c r="AH625" s="126" t="n"/>
      <c r="AI625" s="126" t="n"/>
      <c r="AJ625" s="126" t="n"/>
      <c r="AK625" s="126" t="n"/>
      <c r="AL625" s="126" t="n"/>
      <c r="AM625" s="126" t="n"/>
      <c r="AN625" s="126" t="n"/>
    </row>
    <row r="626" ht="21" customFormat="1" customHeight="1" s="127">
      <c r="A626" s="51">
        <f>IF($B626="","",ROW()-6)</f>
        <v/>
      </c>
      <c r="B626" s="268" t="n"/>
      <c r="C626" s="133" t="n"/>
      <c r="D626" s="50" t="n"/>
      <c r="E626" s="265" t="n"/>
      <c r="F626" s="133" t="n"/>
      <c r="G626" s="133" t="n"/>
      <c r="H626" s="50" t="n"/>
      <c r="I626" s="51">
        <f>IF($C626="","",IFERROR(INDEX(WorkerIDs,MATCH($C626,WorkerNames,0)),"?"))</f>
        <v/>
      </c>
      <c r="J626" s="253">
        <f>IF($B626="","",$B626-WEEKDAY($B626,2)+1)</f>
        <v/>
      </c>
      <c r="K626" s="142">
        <f>IF(OR($I626="",$I626="?",$D626&lt;&gt;"Advance",$B626=""),"",$I626&amp;"|"&amp;$J626&amp;"|"&amp;COUNTIFS($I$7:$I626,$I626,$J$7:$J626,$J626,$D$7:$D626,"Advance"))</f>
        <v/>
      </c>
      <c r="L626" s="266">
        <f>IF(OR($I626="",$I626="?",$B626=""),"",SUMPRODUCT((Weeks!$A$7:$A$59&lt;=$J626)*(Weeks!$X$5:$AI$5=$I626)*Weeks!$X$7:$AI$59)-SUMIFS($E$7:$E$1006,$I$7:$I$1006,$I626,$B$7:$B$1006,"&lt;="&amp;$B626))</f>
        <v/>
      </c>
      <c r="M626" s="132">
        <f>IF($B626&amp;$C626&amp;$D626&amp;$E626="","",IF($B626="","missing date",IF($C626="","missing worker",IF($I626="?","unknown worker - was the name changed on Workers?",IF($D626="","missing type",IF(N($E626)=0,"missing amount",IF(AND($E626&lt;0,$D626&lt;&gt;"Correction"),"negative amount - use a Correction to undo",IF(OR($B626&lt;Weeks!$A$7,$B626&gt;Weeks!$B$59),"date outside this workbook's year",IF(AND($D626="Advance",N($L626)&lt;0),"Warning: more than earned so far - worker now owes "&amp;TEXT(ROUND(-$L626,0),"#,##0"),"")))))))))</f>
        <v/>
      </c>
      <c r="N626" s="125" t="n"/>
      <c r="O626" s="126" t="n"/>
      <c r="P626" s="126" t="n"/>
      <c r="Q626" s="126" t="n"/>
      <c r="R626" s="126" t="n"/>
      <c r="S626" s="126" t="n"/>
      <c r="T626" s="126" t="n"/>
      <c r="U626" s="126" t="n"/>
      <c r="V626" s="126" t="n"/>
      <c r="W626" s="126" t="n"/>
      <c r="X626" s="126" t="n"/>
      <c r="Y626" s="126" t="n"/>
      <c r="Z626" s="126" t="n"/>
      <c r="AA626" s="126" t="n"/>
      <c r="AB626" s="126" t="n"/>
      <c r="AC626" s="126" t="n"/>
      <c r="AD626" s="126" t="n"/>
      <c r="AE626" s="126" t="n"/>
      <c r="AF626" s="126" t="n"/>
      <c r="AG626" s="126" t="n"/>
      <c r="AH626" s="126" t="n"/>
      <c r="AI626" s="126" t="n"/>
      <c r="AJ626" s="126" t="n"/>
      <c r="AK626" s="126" t="n"/>
      <c r="AL626" s="126" t="n"/>
      <c r="AM626" s="126" t="n"/>
      <c r="AN626" s="126" t="n"/>
    </row>
    <row r="627" ht="21" customFormat="1" customHeight="1" s="127">
      <c r="A627" s="51">
        <f>IF($B627="","",ROW()-6)</f>
        <v/>
      </c>
      <c r="B627" s="268" t="n"/>
      <c r="C627" s="133" t="n"/>
      <c r="D627" s="50" t="n"/>
      <c r="E627" s="265" t="n"/>
      <c r="F627" s="133" t="n"/>
      <c r="G627" s="133" t="n"/>
      <c r="H627" s="50" t="n"/>
      <c r="I627" s="51">
        <f>IF($C627="","",IFERROR(INDEX(WorkerIDs,MATCH($C627,WorkerNames,0)),"?"))</f>
        <v/>
      </c>
      <c r="J627" s="253">
        <f>IF($B627="","",$B627-WEEKDAY($B627,2)+1)</f>
        <v/>
      </c>
      <c r="K627" s="142">
        <f>IF(OR($I627="",$I627="?",$D627&lt;&gt;"Advance",$B627=""),"",$I627&amp;"|"&amp;$J627&amp;"|"&amp;COUNTIFS($I$7:$I627,$I627,$J$7:$J627,$J627,$D$7:$D627,"Advance"))</f>
        <v/>
      </c>
      <c r="L627" s="266">
        <f>IF(OR($I627="",$I627="?",$B627=""),"",SUMPRODUCT((Weeks!$A$7:$A$59&lt;=$J627)*(Weeks!$X$5:$AI$5=$I627)*Weeks!$X$7:$AI$59)-SUMIFS($E$7:$E$1006,$I$7:$I$1006,$I627,$B$7:$B$1006,"&lt;="&amp;$B627))</f>
        <v/>
      </c>
      <c r="M627" s="132">
        <f>IF($B627&amp;$C627&amp;$D627&amp;$E627="","",IF($B627="","missing date",IF($C627="","missing worker",IF($I627="?","unknown worker - was the name changed on Workers?",IF($D627="","missing type",IF(N($E627)=0,"missing amount",IF(AND($E627&lt;0,$D627&lt;&gt;"Correction"),"negative amount - use a Correction to undo",IF(OR($B627&lt;Weeks!$A$7,$B627&gt;Weeks!$B$59),"date outside this workbook's year",IF(AND($D627="Advance",N($L627)&lt;0),"Warning: more than earned so far - worker now owes "&amp;TEXT(ROUND(-$L627,0),"#,##0"),"")))))))))</f>
        <v/>
      </c>
      <c r="N627" s="125" t="n"/>
      <c r="O627" s="126" t="n"/>
      <c r="P627" s="126" t="n"/>
      <c r="Q627" s="126" t="n"/>
      <c r="R627" s="126" t="n"/>
      <c r="S627" s="126" t="n"/>
      <c r="T627" s="126" t="n"/>
      <c r="U627" s="126" t="n"/>
      <c r="V627" s="126" t="n"/>
      <c r="W627" s="126" t="n"/>
      <c r="X627" s="126" t="n"/>
      <c r="Y627" s="126" t="n"/>
      <c r="Z627" s="126" t="n"/>
      <c r="AA627" s="126" t="n"/>
      <c r="AB627" s="126" t="n"/>
      <c r="AC627" s="126" t="n"/>
      <c r="AD627" s="126" t="n"/>
      <c r="AE627" s="126" t="n"/>
      <c r="AF627" s="126" t="n"/>
      <c r="AG627" s="126" t="n"/>
      <c r="AH627" s="126" t="n"/>
      <c r="AI627" s="126" t="n"/>
      <c r="AJ627" s="126" t="n"/>
      <c r="AK627" s="126" t="n"/>
      <c r="AL627" s="126" t="n"/>
      <c r="AM627" s="126" t="n"/>
      <c r="AN627" s="126" t="n"/>
    </row>
    <row r="628" ht="21" customFormat="1" customHeight="1" s="127">
      <c r="A628" s="51">
        <f>IF($B628="","",ROW()-6)</f>
        <v/>
      </c>
      <c r="B628" s="268" t="n"/>
      <c r="C628" s="133" t="n"/>
      <c r="D628" s="50" t="n"/>
      <c r="E628" s="265" t="n"/>
      <c r="F628" s="133" t="n"/>
      <c r="G628" s="133" t="n"/>
      <c r="H628" s="50" t="n"/>
      <c r="I628" s="51">
        <f>IF($C628="","",IFERROR(INDEX(WorkerIDs,MATCH($C628,WorkerNames,0)),"?"))</f>
        <v/>
      </c>
      <c r="J628" s="253">
        <f>IF($B628="","",$B628-WEEKDAY($B628,2)+1)</f>
        <v/>
      </c>
      <c r="K628" s="142">
        <f>IF(OR($I628="",$I628="?",$D628&lt;&gt;"Advance",$B628=""),"",$I628&amp;"|"&amp;$J628&amp;"|"&amp;COUNTIFS($I$7:$I628,$I628,$J$7:$J628,$J628,$D$7:$D628,"Advance"))</f>
        <v/>
      </c>
      <c r="L628" s="266">
        <f>IF(OR($I628="",$I628="?",$B628=""),"",SUMPRODUCT((Weeks!$A$7:$A$59&lt;=$J628)*(Weeks!$X$5:$AI$5=$I628)*Weeks!$X$7:$AI$59)-SUMIFS($E$7:$E$1006,$I$7:$I$1006,$I628,$B$7:$B$1006,"&lt;="&amp;$B628))</f>
        <v/>
      </c>
      <c r="M628" s="132">
        <f>IF($B628&amp;$C628&amp;$D628&amp;$E628="","",IF($B628="","missing date",IF($C628="","missing worker",IF($I628="?","unknown worker - was the name changed on Workers?",IF($D628="","missing type",IF(N($E628)=0,"missing amount",IF(AND($E628&lt;0,$D628&lt;&gt;"Correction"),"negative amount - use a Correction to undo",IF(OR($B628&lt;Weeks!$A$7,$B628&gt;Weeks!$B$59),"date outside this workbook's year",IF(AND($D628="Advance",N($L628)&lt;0),"Warning: more than earned so far - worker now owes "&amp;TEXT(ROUND(-$L628,0),"#,##0"),"")))))))))</f>
        <v/>
      </c>
      <c r="N628" s="125" t="n"/>
      <c r="O628" s="126" t="n"/>
      <c r="P628" s="126" t="n"/>
      <c r="Q628" s="126" t="n"/>
      <c r="R628" s="126" t="n"/>
      <c r="S628" s="126" t="n"/>
      <c r="T628" s="126" t="n"/>
      <c r="U628" s="126" t="n"/>
      <c r="V628" s="126" t="n"/>
      <c r="W628" s="126" t="n"/>
      <c r="X628" s="126" t="n"/>
      <c r="Y628" s="126" t="n"/>
      <c r="Z628" s="126" t="n"/>
      <c r="AA628" s="126" t="n"/>
      <c r="AB628" s="126" t="n"/>
      <c r="AC628" s="126" t="n"/>
      <c r="AD628" s="126" t="n"/>
      <c r="AE628" s="126" t="n"/>
      <c r="AF628" s="126" t="n"/>
      <c r="AG628" s="126" t="n"/>
      <c r="AH628" s="126" t="n"/>
      <c r="AI628" s="126" t="n"/>
      <c r="AJ628" s="126" t="n"/>
      <c r="AK628" s="126" t="n"/>
      <c r="AL628" s="126" t="n"/>
      <c r="AM628" s="126" t="n"/>
      <c r="AN628" s="126" t="n"/>
    </row>
    <row r="629" ht="21" customFormat="1" customHeight="1" s="127">
      <c r="A629" s="51">
        <f>IF($B629="","",ROW()-6)</f>
        <v/>
      </c>
      <c r="B629" s="268" t="n"/>
      <c r="C629" s="133" t="n"/>
      <c r="D629" s="50" t="n"/>
      <c r="E629" s="265" t="n"/>
      <c r="F629" s="133" t="n"/>
      <c r="G629" s="133" t="n"/>
      <c r="H629" s="50" t="n"/>
      <c r="I629" s="51">
        <f>IF($C629="","",IFERROR(INDEX(WorkerIDs,MATCH($C629,WorkerNames,0)),"?"))</f>
        <v/>
      </c>
      <c r="J629" s="253">
        <f>IF($B629="","",$B629-WEEKDAY($B629,2)+1)</f>
        <v/>
      </c>
      <c r="K629" s="142">
        <f>IF(OR($I629="",$I629="?",$D629&lt;&gt;"Advance",$B629=""),"",$I629&amp;"|"&amp;$J629&amp;"|"&amp;COUNTIFS($I$7:$I629,$I629,$J$7:$J629,$J629,$D$7:$D629,"Advance"))</f>
        <v/>
      </c>
      <c r="L629" s="266">
        <f>IF(OR($I629="",$I629="?",$B629=""),"",SUMPRODUCT((Weeks!$A$7:$A$59&lt;=$J629)*(Weeks!$X$5:$AI$5=$I629)*Weeks!$X$7:$AI$59)-SUMIFS($E$7:$E$1006,$I$7:$I$1006,$I629,$B$7:$B$1006,"&lt;="&amp;$B629))</f>
        <v/>
      </c>
      <c r="M629" s="132">
        <f>IF($B629&amp;$C629&amp;$D629&amp;$E629="","",IF($B629="","missing date",IF($C629="","missing worker",IF($I629="?","unknown worker - was the name changed on Workers?",IF($D629="","missing type",IF(N($E629)=0,"missing amount",IF(AND($E629&lt;0,$D629&lt;&gt;"Correction"),"negative amount - use a Correction to undo",IF(OR($B629&lt;Weeks!$A$7,$B629&gt;Weeks!$B$59),"date outside this workbook's year",IF(AND($D629="Advance",N($L629)&lt;0),"Warning: more than earned so far - worker now owes "&amp;TEXT(ROUND(-$L629,0),"#,##0"),"")))))))))</f>
        <v/>
      </c>
      <c r="N629" s="125" t="n"/>
      <c r="O629" s="126" t="n"/>
      <c r="P629" s="126" t="n"/>
      <c r="Q629" s="126" t="n"/>
      <c r="R629" s="126" t="n"/>
      <c r="S629" s="126" t="n"/>
      <c r="T629" s="126" t="n"/>
      <c r="U629" s="126" t="n"/>
      <c r="V629" s="126" t="n"/>
      <c r="W629" s="126" t="n"/>
      <c r="X629" s="126" t="n"/>
      <c r="Y629" s="126" t="n"/>
      <c r="Z629" s="126" t="n"/>
      <c r="AA629" s="126" t="n"/>
      <c r="AB629" s="126" t="n"/>
      <c r="AC629" s="126" t="n"/>
      <c r="AD629" s="126" t="n"/>
      <c r="AE629" s="126" t="n"/>
      <c r="AF629" s="126" t="n"/>
      <c r="AG629" s="126" t="n"/>
      <c r="AH629" s="126" t="n"/>
      <c r="AI629" s="126" t="n"/>
      <c r="AJ629" s="126" t="n"/>
      <c r="AK629" s="126" t="n"/>
      <c r="AL629" s="126" t="n"/>
      <c r="AM629" s="126" t="n"/>
      <c r="AN629" s="126" t="n"/>
    </row>
    <row r="630" ht="21" customFormat="1" customHeight="1" s="127">
      <c r="A630" s="51">
        <f>IF($B630="","",ROW()-6)</f>
        <v/>
      </c>
      <c r="B630" s="268" t="n"/>
      <c r="C630" s="133" t="n"/>
      <c r="D630" s="50" t="n"/>
      <c r="E630" s="265" t="n"/>
      <c r="F630" s="133" t="n"/>
      <c r="G630" s="133" t="n"/>
      <c r="H630" s="50" t="n"/>
      <c r="I630" s="51">
        <f>IF($C630="","",IFERROR(INDEX(WorkerIDs,MATCH($C630,WorkerNames,0)),"?"))</f>
        <v/>
      </c>
      <c r="J630" s="253">
        <f>IF($B630="","",$B630-WEEKDAY($B630,2)+1)</f>
        <v/>
      </c>
      <c r="K630" s="142">
        <f>IF(OR($I630="",$I630="?",$D630&lt;&gt;"Advance",$B630=""),"",$I630&amp;"|"&amp;$J630&amp;"|"&amp;COUNTIFS($I$7:$I630,$I630,$J$7:$J630,$J630,$D$7:$D630,"Advance"))</f>
        <v/>
      </c>
      <c r="L630" s="266">
        <f>IF(OR($I630="",$I630="?",$B630=""),"",SUMPRODUCT((Weeks!$A$7:$A$59&lt;=$J630)*(Weeks!$X$5:$AI$5=$I630)*Weeks!$X$7:$AI$59)-SUMIFS($E$7:$E$1006,$I$7:$I$1006,$I630,$B$7:$B$1006,"&lt;="&amp;$B630))</f>
        <v/>
      </c>
      <c r="M630" s="132">
        <f>IF($B630&amp;$C630&amp;$D630&amp;$E630="","",IF($B630="","missing date",IF($C630="","missing worker",IF($I630="?","unknown worker - was the name changed on Workers?",IF($D630="","missing type",IF(N($E630)=0,"missing amount",IF(AND($E630&lt;0,$D630&lt;&gt;"Correction"),"negative amount - use a Correction to undo",IF(OR($B630&lt;Weeks!$A$7,$B630&gt;Weeks!$B$59),"date outside this workbook's year",IF(AND($D630="Advance",N($L630)&lt;0),"Warning: more than earned so far - worker now owes "&amp;TEXT(ROUND(-$L630,0),"#,##0"),"")))))))))</f>
        <v/>
      </c>
      <c r="N630" s="125" t="n"/>
      <c r="O630" s="126" t="n"/>
      <c r="P630" s="126" t="n"/>
      <c r="Q630" s="126" t="n"/>
      <c r="R630" s="126" t="n"/>
      <c r="S630" s="126" t="n"/>
      <c r="T630" s="126" t="n"/>
      <c r="U630" s="126" t="n"/>
      <c r="V630" s="126" t="n"/>
      <c r="W630" s="126" t="n"/>
      <c r="X630" s="126" t="n"/>
      <c r="Y630" s="126" t="n"/>
      <c r="Z630" s="126" t="n"/>
      <c r="AA630" s="126" t="n"/>
      <c r="AB630" s="126" t="n"/>
      <c r="AC630" s="126" t="n"/>
      <c r="AD630" s="126" t="n"/>
      <c r="AE630" s="126" t="n"/>
      <c r="AF630" s="126" t="n"/>
      <c r="AG630" s="126" t="n"/>
      <c r="AH630" s="126" t="n"/>
      <c r="AI630" s="126" t="n"/>
      <c r="AJ630" s="126" t="n"/>
      <c r="AK630" s="126" t="n"/>
      <c r="AL630" s="126" t="n"/>
      <c r="AM630" s="126" t="n"/>
      <c r="AN630" s="126" t="n"/>
    </row>
    <row r="631" ht="21" customFormat="1" customHeight="1" s="127">
      <c r="A631" s="51">
        <f>IF($B631="","",ROW()-6)</f>
        <v/>
      </c>
      <c r="B631" s="268" t="n"/>
      <c r="C631" s="133" t="n"/>
      <c r="D631" s="50" t="n"/>
      <c r="E631" s="265" t="n"/>
      <c r="F631" s="133" t="n"/>
      <c r="G631" s="133" t="n"/>
      <c r="H631" s="50" t="n"/>
      <c r="I631" s="51">
        <f>IF($C631="","",IFERROR(INDEX(WorkerIDs,MATCH($C631,WorkerNames,0)),"?"))</f>
        <v/>
      </c>
      <c r="J631" s="253">
        <f>IF($B631="","",$B631-WEEKDAY($B631,2)+1)</f>
        <v/>
      </c>
      <c r="K631" s="142">
        <f>IF(OR($I631="",$I631="?",$D631&lt;&gt;"Advance",$B631=""),"",$I631&amp;"|"&amp;$J631&amp;"|"&amp;COUNTIFS($I$7:$I631,$I631,$J$7:$J631,$J631,$D$7:$D631,"Advance"))</f>
        <v/>
      </c>
      <c r="L631" s="266">
        <f>IF(OR($I631="",$I631="?",$B631=""),"",SUMPRODUCT((Weeks!$A$7:$A$59&lt;=$J631)*(Weeks!$X$5:$AI$5=$I631)*Weeks!$X$7:$AI$59)-SUMIFS($E$7:$E$1006,$I$7:$I$1006,$I631,$B$7:$B$1006,"&lt;="&amp;$B631))</f>
        <v/>
      </c>
      <c r="M631" s="132">
        <f>IF($B631&amp;$C631&amp;$D631&amp;$E631="","",IF($B631="","missing date",IF($C631="","missing worker",IF($I631="?","unknown worker - was the name changed on Workers?",IF($D631="","missing type",IF(N($E631)=0,"missing amount",IF(AND($E631&lt;0,$D631&lt;&gt;"Correction"),"negative amount - use a Correction to undo",IF(OR($B631&lt;Weeks!$A$7,$B631&gt;Weeks!$B$59),"date outside this workbook's year",IF(AND($D631="Advance",N($L631)&lt;0),"Warning: more than earned so far - worker now owes "&amp;TEXT(ROUND(-$L631,0),"#,##0"),"")))))))))</f>
        <v/>
      </c>
      <c r="N631" s="125" t="n"/>
      <c r="O631" s="126" t="n"/>
      <c r="P631" s="126" t="n"/>
      <c r="Q631" s="126" t="n"/>
      <c r="R631" s="126" t="n"/>
      <c r="S631" s="126" t="n"/>
      <c r="T631" s="126" t="n"/>
      <c r="U631" s="126" t="n"/>
      <c r="V631" s="126" t="n"/>
      <c r="W631" s="126" t="n"/>
      <c r="X631" s="126" t="n"/>
      <c r="Y631" s="126" t="n"/>
      <c r="Z631" s="126" t="n"/>
      <c r="AA631" s="126" t="n"/>
      <c r="AB631" s="126" t="n"/>
      <c r="AC631" s="126" t="n"/>
      <c r="AD631" s="126" t="n"/>
      <c r="AE631" s="126" t="n"/>
      <c r="AF631" s="126" t="n"/>
      <c r="AG631" s="126" t="n"/>
      <c r="AH631" s="126" t="n"/>
      <c r="AI631" s="126" t="n"/>
      <c r="AJ631" s="126" t="n"/>
      <c r="AK631" s="126" t="n"/>
      <c r="AL631" s="126" t="n"/>
      <c r="AM631" s="126" t="n"/>
      <c r="AN631" s="126" t="n"/>
    </row>
    <row r="632" ht="21" customFormat="1" customHeight="1" s="127">
      <c r="A632" s="51">
        <f>IF($B632="","",ROW()-6)</f>
        <v/>
      </c>
      <c r="B632" s="268" t="n"/>
      <c r="C632" s="133" t="n"/>
      <c r="D632" s="50" t="n"/>
      <c r="E632" s="265" t="n"/>
      <c r="F632" s="133" t="n"/>
      <c r="G632" s="133" t="n"/>
      <c r="H632" s="50" t="n"/>
      <c r="I632" s="51">
        <f>IF($C632="","",IFERROR(INDEX(WorkerIDs,MATCH($C632,WorkerNames,0)),"?"))</f>
        <v/>
      </c>
      <c r="J632" s="253">
        <f>IF($B632="","",$B632-WEEKDAY($B632,2)+1)</f>
        <v/>
      </c>
      <c r="K632" s="142">
        <f>IF(OR($I632="",$I632="?",$D632&lt;&gt;"Advance",$B632=""),"",$I632&amp;"|"&amp;$J632&amp;"|"&amp;COUNTIFS($I$7:$I632,$I632,$J$7:$J632,$J632,$D$7:$D632,"Advance"))</f>
        <v/>
      </c>
      <c r="L632" s="266">
        <f>IF(OR($I632="",$I632="?",$B632=""),"",SUMPRODUCT((Weeks!$A$7:$A$59&lt;=$J632)*(Weeks!$X$5:$AI$5=$I632)*Weeks!$X$7:$AI$59)-SUMIFS($E$7:$E$1006,$I$7:$I$1006,$I632,$B$7:$B$1006,"&lt;="&amp;$B632))</f>
        <v/>
      </c>
      <c r="M632" s="132">
        <f>IF($B632&amp;$C632&amp;$D632&amp;$E632="","",IF($B632="","missing date",IF($C632="","missing worker",IF($I632="?","unknown worker - was the name changed on Workers?",IF($D632="","missing type",IF(N($E632)=0,"missing amount",IF(AND($E632&lt;0,$D632&lt;&gt;"Correction"),"negative amount - use a Correction to undo",IF(OR($B632&lt;Weeks!$A$7,$B632&gt;Weeks!$B$59),"date outside this workbook's year",IF(AND($D632="Advance",N($L632)&lt;0),"Warning: more than earned so far - worker now owes "&amp;TEXT(ROUND(-$L632,0),"#,##0"),"")))))))))</f>
        <v/>
      </c>
      <c r="N632" s="125" t="n"/>
      <c r="O632" s="126" t="n"/>
      <c r="P632" s="126" t="n"/>
      <c r="Q632" s="126" t="n"/>
      <c r="R632" s="126" t="n"/>
      <c r="S632" s="126" t="n"/>
      <c r="T632" s="126" t="n"/>
      <c r="U632" s="126" t="n"/>
      <c r="V632" s="126" t="n"/>
      <c r="W632" s="126" t="n"/>
      <c r="X632" s="126" t="n"/>
      <c r="Y632" s="126" t="n"/>
      <c r="Z632" s="126" t="n"/>
      <c r="AA632" s="126" t="n"/>
      <c r="AB632" s="126" t="n"/>
      <c r="AC632" s="126" t="n"/>
      <c r="AD632" s="126" t="n"/>
      <c r="AE632" s="126" t="n"/>
      <c r="AF632" s="126" t="n"/>
      <c r="AG632" s="126" t="n"/>
      <c r="AH632" s="126" t="n"/>
      <c r="AI632" s="126" t="n"/>
      <c r="AJ632" s="126" t="n"/>
      <c r="AK632" s="126" t="n"/>
      <c r="AL632" s="126" t="n"/>
      <c r="AM632" s="126" t="n"/>
      <c r="AN632" s="126" t="n"/>
    </row>
    <row r="633" ht="21" customFormat="1" customHeight="1" s="127">
      <c r="A633" s="51">
        <f>IF($B633="","",ROW()-6)</f>
        <v/>
      </c>
      <c r="B633" s="268" t="n"/>
      <c r="C633" s="133" t="n"/>
      <c r="D633" s="50" t="n"/>
      <c r="E633" s="265" t="n"/>
      <c r="F633" s="133" t="n"/>
      <c r="G633" s="133" t="n"/>
      <c r="H633" s="50" t="n"/>
      <c r="I633" s="51">
        <f>IF($C633="","",IFERROR(INDEX(WorkerIDs,MATCH($C633,WorkerNames,0)),"?"))</f>
        <v/>
      </c>
      <c r="J633" s="253">
        <f>IF($B633="","",$B633-WEEKDAY($B633,2)+1)</f>
        <v/>
      </c>
      <c r="K633" s="142">
        <f>IF(OR($I633="",$I633="?",$D633&lt;&gt;"Advance",$B633=""),"",$I633&amp;"|"&amp;$J633&amp;"|"&amp;COUNTIFS($I$7:$I633,$I633,$J$7:$J633,$J633,$D$7:$D633,"Advance"))</f>
        <v/>
      </c>
      <c r="L633" s="266">
        <f>IF(OR($I633="",$I633="?",$B633=""),"",SUMPRODUCT((Weeks!$A$7:$A$59&lt;=$J633)*(Weeks!$X$5:$AI$5=$I633)*Weeks!$X$7:$AI$59)-SUMIFS($E$7:$E$1006,$I$7:$I$1006,$I633,$B$7:$B$1006,"&lt;="&amp;$B633))</f>
        <v/>
      </c>
      <c r="M633" s="132">
        <f>IF($B633&amp;$C633&amp;$D633&amp;$E633="","",IF($B633="","missing date",IF($C633="","missing worker",IF($I633="?","unknown worker - was the name changed on Workers?",IF($D633="","missing type",IF(N($E633)=0,"missing amount",IF(AND($E633&lt;0,$D633&lt;&gt;"Correction"),"negative amount - use a Correction to undo",IF(OR($B633&lt;Weeks!$A$7,$B633&gt;Weeks!$B$59),"date outside this workbook's year",IF(AND($D633="Advance",N($L633)&lt;0),"Warning: more than earned so far - worker now owes "&amp;TEXT(ROUND(-$L633,0),"#,##0"),"")))))))))</f>
        <v/>
      </c>
      <c r="N633" s="125" t="n"/>
      <c r="O633" s="126" t="n"/>
      <c r="P633" s="126" t="n"/>
      <c r="Q633" s="126" t="n"/>
      <c r="R633" s="126" t="n"/>
      <c r="S633" s="126" t="n"/>
      <c r="T633" s="126" t="n"/>
      <c r="U633" s="126" t="n"/>
      <c r="V633" s="126" t="n"/>
      <c r="W633" s="126" t="n"/>
      <c r="X633" s="126" t="n"/>
      <c r="Y633" s="126" t="n"/>
      <c r="Z633" s="126" t="n"/>
      <c r="AA633" s="126" t="n"/>
      <c r="AB633" s="126" t="n"/>
      <c r="AC633" s="126" t="n"/>
      <c r="AD633" s="126" t="n"/>
      <c r="AE633" s="126" t="n"/>
      <c r="AF633" s="126" t="n"/>
      <c r="AG633" s="126" t="n"/>
      <c r="AH633" s="126" t="n"/>
      <c r="AI633" s="126" t="n"/>
      <c r="AJ633" s="126" t="n"/>
      <c r="AK633" s="126" t="n"/>
      <c r="AL633" s="126" t="n"/>
      <c r="AM633" s="126" t="n"/>
      <c r="AN633" s="126" t="n"/>
    </row>
    <row r="634" ht="21" customFormat="1" customHeight="1" s="127">
      <c r="A634" s="51">
        <f>IF($B634="","",ROW()-6)</f>
        <v/>
      </c>
      <c r="B634" s="268" t="n"/>
      <c r="C634" s="133" t="n"/>
      <c r="D634" s="50" t="n"/>
      <c r="E634" s="265" t="n"/>
      <c r="F634" s="133" t="n"/>
      <c r="G634" s="133" t="n"/>
      <c r="H634" s="50" t="n"/>
      <c r="I634" s="51">
        <f>IF($C634="","",IFERROR(INDEX(WorkerIDs,MATCH($C634,WorkerNames,0)),"?"))</f>
        <v/>
      </c>
      <c r="J634" s="253">
        <f>IF($B634="","",$B634-WEEKDAY($B634,2)+1)</f>
        <v/>
      </c>
      <c r="K634" s="142">
        <f>IF(OR($I634="",$I634="?",$D634&lt;&gt;"Advance",$B634=""),"",$I634&amp;"|"&amp;$J634&amp;"|"&amp;COUNTIFS($I$7:$I634,$I634,$J$7:$J634,$J634,$D$7:$D634,"Advance"))</f>
        <v/>
      </c>
      <c r="L634" s="266">
        <f>IF(OR($I634="",$I634="?",$B634=""),"",SUMPRODUCT((Weeks!$A$7:$A$59&lt;=$J634)*(Weeks!$X$5:$AI$5=$I634)*Weeks!$X$7:$AI$59)-SUMIFS($E$7:$E$1006,$I$7:$I$1006,$I634,$B$7:$B$1006,"&lt;="&amp;$B634))</f>
        <v/>
      </c>
      <c r="M634" s="132">
        <f>IF($B634&amp;$C634&amp;$D634&amp;$E634="","",IF($B634="","missing date",IF($C634="","missing worker",IF($I634="?","unknown worker - was the name changed on Workers?",IF($D634="","missing type",IF(N($E634)=0,"missing amount",IF(AND($E634&lt;0,$D634&lt;&gt;"Correction"),"negative amount - use a Correction to undo",IF(OR($B634&lt;Weeks!$A$7,$B634&gt;Weeks!$B$59),"date outside this workbook's year",IF(AND($D634="Advance",N($L634)&lt;0),"Warning: more than earned so far - worker now owes "&amp;TEXT(ROUND(-$L634,0),"#,##0"),"")))))))))</f>
        <v/>
      </c>
      <c r="N634" s="125" t="n"/>
      <c r="O634" s="126" t="n"/>
      <c r="P634" s="126" t="n"/>
      <c r="Q634" s="126" t="n"/>
      <c r="R634" s="126" t="n"/>
      <c r="S634" s="126" t="n"/>
      <c r="T634" s="126" t="n"/>
      <c r="U634" s="126" t="n"/>
      <c r="V634" s="126" t="n"/>
      <c r="W634" s="126" t="n"/>
      <c r="X634" s="126" t="n"/>
      <c r="Y634" s="126" t="n"/>
      <c r="Z634" s="126" t="n"/>
      <c r="AA634" s="126" t="n"/>
      <c r="AB634" s="126" t="n"/>
      <c r="AC634" s="126" t="n"/>
      <c r="AD634" s="126" t="n"/>
      <c r="AE634" s="126" t="n"/>
      <c r="AF634" s="126" t="n"/>
      <c r="AG634" s="126" t="n"/>
      <c r="AH634" s="126" t="n"/>
      <c r="AI634" s="126" t="n"/>
      <c r="AJ634" s="126" t="n"/>
      <c r="AK634" s="126" t="n"/>
      <c r="AL634" s="126" t="n"/>
      <c r="AM634" s="126" t="n"/>
      <c r="AN634" s="126" t="n"/>
    </row>
    <row r="635" ht="21" customFormat="1" customHeight="1" s="127">
      <c r="A635" s="51">
        <f>IF($B635="","",ROW()-6)</f>
        <v/>
      </c>
      <c r="B635" s="268" t="n"/>
      <c r="C635" s="133" t="n"/>
      <c r="D635" s="50" t="n"/>
      <c r="E635" s="265" t="n"/>
      <c r="F635" s="133" t="n"/>
      <c r="G635" s="133" t="n"/>
      <c r="H635" s="50" t="n"/>
      <c r="I635" s="51">
        <f>IF($C635="","",IFERROR(INDEX(WorkerIDs,MATCH($C635,WorkerNames,0)),"?"))</f>
        <v/>
      </c>
      <c r="J635" s="253">
        <f>IF($B635="","",$B635-WEEKDAY($B635,2)+1)</f>
        <v/>
      </c>
      <c r="K635" s="142">
        <f>IF(OR($I635="",$I635="?",$D635&lt;&gt;"Advance",$B635=""),"",$I635&amp;"|"&amp;$J635&amp;"|"&amp;COUNTIFS($I$7:$I635,$I635,$J$7:$J635,$J635,$D$7:$D635,"Advance"))</f>
        <v/>
      </c>
      <c r="L635" s="266">
        <f>IF(OR($I635="",$I635="?",$B635=""),"",SUMPRODUCT((Weeks!$A$7:$A$59&lt;=$J635)*(Weeks!$X$5:$AI$5=$I635)*Weeks!$X$7:$AI$59)-SUMIFS($E$7:$E$1006,$I$7:$I$1006,$I635,$B$7:$B$1006,"&lt;="&amp;$B635))</f>
        <v/>
      </c>
      <c r="M635" s="132">
        <f>IF($B635&amp;$C635&amp;$D635&amp;$E635="","",IF($B635="","missing date",IF($C635="","missing worker",IF($I635="?","unknown worker - was the name changed on Workers?",IF($D635="","missing type",IF(N($E635)=0,"missing amount",IF(AND($E635&lt;0,$D635&lt;&gt;"Correction"),"negative amount - use a Correction to undo",IF(OR($B635&lt;Weeks!$A$7,$B635&gt;Weeks!$B$59),"date outside this workbook's year",IF(AND($D635="Advance",N($L635)&lt;0),"Warning: more than earned so far - worker now owes "&amp;TEXT(ROUND(-$L635,0),"#,##0"),"")))))))))</f>
        <v/>
      </c>
      <c r="N635" s="125" t="n"/>
      <c r="O635" s="126" t="n"/>
      <c r="P635" s="126" t="n"/>
      <c r="Q635" s="126" t="n"/>
      <c r="R635" s="126" t="n"/>
      <c r="S635" s="126" t="n"/>
      <c r="T635" s="126" t="n"/>
      <c r="U635" s="126" t="n"/>
      <c r="V635" s="126" t="n"/>
      <c r="W635" s="126" t="n"/>
      <c r="X635" s="126" t="n"/>
      <c r="Y635" s="126" t="n"/>
      <c r="Z635" s="126" t="n"/>
      <c r="AA635" s="126" t="n"/>
      <c r="AB635" s="126" t="n"/>
      <c r="AC635" s="126" t="n"/>
      <c r="AD635" s="126" t="n"/>
      <c r="AE635" s="126" t="n"/>
      <c r="AF635" s="126" t="n"/>
      <c r="AG635" s="126" t="n"/>
      <c r="AH635" s="126" t="n"/>
      <c r="AI635" s="126" t="n"/>
      <c r="AJ635" s="126" t="n"/>
      <c r="AK635" s="126" t="n"/>
      <c r="AL635" s="126" t="n"/>
      <c r="AM635" s="126" t="n"/>
      <c r="AN635" s="126" t="n"/>
    </row>
    <row r="636" ht="21" customFormat="1" customHeight="1" s="127">
      <c r="A636" s="51">
        <f>IF($B636="","",ROW()-6)</f>
        <v/>
      </c>
      <c r="B636" s="268" t="n"/>
      <c r="C636" s="133" t="n"/>
      <c r="D636" s="50" t="n"/>
      <c r="E636" s="265" t="n"/>
      <c r="F636" s="133" t="n"/>
      <c r="G636" s="133" t="n"/>
      <c r="H636" s="50" t="n"/>
      <c r="I636" s="51">
        <f>IF($C636="","",IFERROR(INDEX(WorkerIDs,MATCH($C636,WorkerNames,0)),"?"))</f>
        <v/>
      </c>
      <c r="J636" s="253">
        <f>IF($B636="","",$B636-WEEKDAY($B636,2)+1)</f>
        <v/>
      </c>
      <c r="K636" s="142">
        <f>IF(OR($I636="",$I636="?",$D636&lt;&gt;"Advance",$B636=""),"",$I636&amp;"|"&amp;$J636&amp;"|"&amp;COUNTIFS($I$7:$I636,$I636,$J$7:$J636,$J636,$D$7:$D636,"Advance"))</f>
        <v/>
      </c>
      <c r="L636" s="266">
        <f>IF(OR($I636="",$I636="?",$B636=""),"",SUMPRODUCT((Weeks!$A$7:$A$59&lt;=$J636)*(Weeks!$X$5:$AI$5=$I636)*Weeks!$X$7:$AI$59)-SUMIFS($E$7:$E$1006,$I$7:$I$1006,$I636,$B$7:$B$1006,"&lt;="&amp;$B636))</f>
        <v/>
      </c>
      <c r="M636" s="132">
        <f>IF($B636&amp;$C636&amp;$D636&amp;$E636="","",IF($B636="","missing date",IF($C636="","missing worker",IF($I636="?","unknown worker - was the name changed on Workers?",IF($D636="","missing type",IF(N($E636)=0,"missing amount",IF(AND($E636&lt;0,$D636&lt;&gt;"Correction"),"negative amount - use a Correction to undo",IF(OR($B636&lt;Weeks!$A$7,$B636&gt;Weeks!$B$59),"date outside this workbook's year",IF(AND($D636="Advance",N($L636)&lt;0),"Warning: more than earned so far - worker now owes "&amp;TEXT(ROUND(-$L636,0),"#,##0"),"")))))))))</f>
        <v/>
      </c>
      <c r="N636" s="125" t="n"/>
      <c r="O636" s="126" t="n"/>
      <c r="P636" s="126" t="n"/>
      <c r="Q636" s="126" t="n"/>
      <c r="R636" s="126" t="n"/>
      <c r="S636" s="126" t="n"/>
      <c r="T636" s="126" t="n"/>
      <c r="U636" s="126" t="n"/>
      <c r="V636" s="126" t="n"/>
      <c r="W636" s="126" t="n"/>
      <c r="X636" s="126" t="n"/>
      <c r="Y636" s="126" t="n"/>
      <c r="Z636" s="126" t="n"/>
      <c r="AA636" s="126" t="n"/>
      <c r="AB636" s="126" t="n"/>
      <c r="AC636" s="126" t="n"/>
      <c r="AD636" s="126" t="n"/>
      <c r="AE636" s="126" t="n"/>
      <c r="AF636" s="126" t="n"/>
      <c r="AG636" s="126" t="n"/>
      <c r="AH636" s="126" t="n"/>
      <c r="AI636" s="126" t="n"/>
      <c r="AJ636" s="126" t="n"/>
      <c r="AK636" s="126" t="n"/>
      <c r="AL636" s="126" t="n"/>
      <c r="AM636" s="126" t="n"/>
      <c r="AN636" s="126" t="n"/>
    </row>
    <row r="637" ht="21" customFormat="1" customHeight="1" s="127">
      <c r="A637" s="51">
        <f>IF($B637="","",ROW()-6)</f>
        <v/>
      </c>
      <c r="B637" s="268" t="n"/>
      <c r="C637" s="133" t="n"/>
      <c r="D637" s="50" t="n"/>
      <c r="E637" s="265" t="n"/>
      <c r="F637" s="133" t="n"/>
      <c r="G637" s="133" t="n"/>
      <c r="H637" s="50" t="n"/>
      <c r="I637" s="51">
        <f>IF($C637="","",IFERROR(INDEX(WorkerIDs,MATCH($C637,WorkerNames,0)),"?"))</f>
        <v/>
      </c>
      <c r="J637" s="253">
        <f>IF($B637="","",$B637-WEEKDAY($B637,2)+1)</f>
        <v/>
      </c>
      <c r="K637" s="142">
        <f>IF(OR($I637="",$I637="?",$D637&lt;&gt;"Advance",$B637=""),"",$I637&amp;"|"&amp;$J637&amp;"|"&amp;COUNTIFS($I$7:$I637,$I637,$J$7:$J637,$J637,$D$7:$D637,"Advance"))</f>
        <v/>
      </c>
      <c r="L637" s="266">
        <f>IF(OR($I637="",$I637="?",$B637=""),"",SUMPRODUCT((Weeks!$A$7:$A$59&lt;=$J637)*(Weeks!$X$5:$AI$5=$I637)*Weeks!$X$7:$AI$59)-SUMIFS($E$7:$E$1006,$I$7:$I$1006,$I637,$B$7:$B$1006,"&lt;="&amp;$B637))</f>
        <v/>
      </c>
      <c r="M637" s="132">
        <f>IF($B637&amp;$C637&amp;$D637&amp;$E637="","",IF($B637="","missing date",IF($C637="","missing worker",IF($I637="?","unknown worker - was the name changed on Workers?",IF($D637="","missing type",IF(N($E637)=0,"missing amount",IF(AND($E637&lt;0,$D637&lt;&gt;"Correction"),"negative amount - use a Correction to undo",IF(OR($B637&lt;Weeks!$A$7,$B637&gt;Weeks!$B$59),"date outside this workbook's year",IF(AND($D637="Advance",N($L637)&lt;0),"Warning: more than earned so far - worker now owes "&amp;TEXT(ROUND(-$L637,0),"#,##0"),"")))))))))</f>
        <v/>
      </c>
      <c r="N637" s="125" t="n"/>
      <c r="O637" s="126" t="n"/>
      <c r="P637" s="126" t="n"/>
      <c r="Q637" s="126" t="n"/>
      <c r="R637" s="126" t="n"/>
      <c r="S637" s="126" t="n"/>
      <c r="T637" s="126" t="n"/>
      <c r="U637" s="126" t="n"/>
      <c r="V637" s="126" t="n"/>
      <c r="W637" s="126" t="n"/>
      <c r="X637" s="126" t="n"/>
      <c r="Y637" s="126" t="n"/>
      <c r="Z637" s="126" t="n"/>
      <c r="AA637" s="126" t="n"/>
      <c r="AB637" s="126" t="n"/>
      <c r="AC637" s="126" t="n"/>
      <c r="AD637" s="126" t="n"/>
      <c r="AE637" s="126" t="n"/>
      <c r="AF637" s="126" t="n"/>
      <c r="AG637" s="126" t="n"/>
      <c r="AH637" s="126" t="n"/>
      <c r="AI637" s="126" t="n"/>
      <c r="AJ637" s="126" t="n"/>
      <c r="AK637" s="126" t="n"/>
      <c r="AL637" s="126" t="n"/>
      <c r="AM637" s="126" t="n"/>
      <c r="AN637" s="126" t="n"/>
    </row>
    <row r="638" ht="21" customFormat="1" customHeight="1" s="127">
      <c r="A638" s="51">
        <f>IF($B638="","",ROW()-6)</f>
        <v/>
      </c>
      <c r="B638" s="268" t="n"/>
      <c r="C638" s="133" t="n"/>
      <c r="D638" s="50" t="n"/>
      <c r="E638" s="265" t="n"/>
      <c r="F638" s="133" t="n"/>
      <c r="G638" s="133" t="n"/>
      <c r="H638" s="50" t="n"/>
      <c r="I638" s="51">
        <f>IF($C638="","",IFERROR(INDEX(WorkerIDs,MATCH($C638,WorkerNames,0)),"?"))</f>
        <v/>
      </c>
      <c r="J638" s="253">
        <f>IF($B638="","",$B638-WEEKDAY($B638,2)+1)</f>
        <v/>
      </c>
      <c r="K638" s="142">
        <f>IF(OR($I638="",$I638="?",$D638&lt;&gt;"Advance",$B638=""),"",$I638&amp;"|"&amp;$J638&amp;"|"&amp;COUNTIFS($I$7:$I638,$I638,$J$7:$J638,$J638,$D$7:$D638,"Advance"))</f>
        <v/>
      </c>
      <c r="L638" s="266">
        <f>IF(OR($I638="",$I638="?",$B638=""),"",SUMPRODUCT((Weeks!$A$7:$A$59&lt;=$J638)*(Weeks!$X$5:$AI$5=$I638)*Weeks!$X$7:$AI$59)-SUMIFS($E$7:$E$1006,$I$7:$I$1006,$I638,$B$7:$B$1006,"&lt;="&amp;$B638))</f>
        <v/>
      </c>
      <c r="M638" s="132">
        <f>IF($B638&amp;$C638&amp;$D638&amp;$E638="","",IF($B638="","missing date",IF($C638="","missing worker",IF($I638="?","unknown worker - was the name changed on Workers?",IF($D638="","missing type",IF(N($E638)=0,"missing amount",IF(AND($E638&lt;0,$D638&lt;&gt;"Correction"),"negative amount - use a Correction to undo",IF(OR($B638&lt;Weeks!$A$7,$B638&gt;Weeks!$B$59),"date outside this workbook's year",IF(AND($D638="Advance",N($L638)&lt;0),"Warning: more than earned so far - worker now owes "&amp;TEXT(ROUND(-$L638,0),"#,##0"),"")))))))))</f>
        <v/>
      </c>
      <c r="N638" s="125" t="n"/>
      <c r="O638" s="126" t="n"/>
      <c r="P638" s="126" t="n"/>
      <c r="Q638" s="126" t="n"/>
      <c r="R638" s="126" t="n"/>
      <c r="S638" s="126" t="n"/>
      <c r="T638" s="126" t="n"/>
      <c r="U638" s="126" t="n"/>
      <c r="V638" s="126" t="n"/>
      <c r="W638" s="126" t="n"/>
      <c r="X638" s="126" t="n"/>
      <c r="Y638" s="126" t="n"/>
      <c r="Z638" s="126" t="n"/>
      <c r="AA638" s="126" t="n"/>
      <c r="AB638" s="126" t="n"/>
      <c r="AC638" s="126" t="n"/>
      <c r="AD638" s="126" t="n"/>
      <c r="AE638" s="126" t="n"/>
      <c r="AF638" s="126" t="n"/>
      <c r="AG638" s="126" t="n"/>
      <c r="AH638" s="126" t="n"/>
      <c r="AI638" s="126" t="n"/>
      <c r="AJ638" s="126" t="n"/>
      <c r="AK638" s="126" t="n"/>
      <c r="AL638" s="126" t="n"/>
      <c r="AM638" s="126" t="n"/>
      <c r="AN638" s="126" t="n"/>
    </row>
    <row r="639" ht="21" customFormat="1" customHeight="1" s="127">
      <c r="A639" s="51">
        <f>IF($B639="","",ROW()-6)</f>
        <v/>
      </c>
      <c r="B639" s="268" t="n"/>
      <c r="C639" s="133" t="n"/>
      <c r="D639" s="50" t="n"/>
      <c r="E639" s="265" t="n"/>
      <c r="F639" s="133" t="n"/>
      <c r="G639" s="133" t="n"/>
      <c r="H639" s="50" t="n"/>
      <c r="I639" s="51">
        <f>IF($C639="","",IFERROR(INDEX(WorkerIDs,MATCH($C639,WorkerNames,0)),"?"))</f>
        <v/>
      </c>
      <c r="J639" s="253">
        <f>IF($B639="","",$B639-WEEKDAY($B639,2)+1)</f>
        <v/>
      </c>
      <c r="K639" s="142">
        <f>IF(OR($I639="",$I639="?",$D639&lt;&gt;"Advance",$B639=""),"",$I639&amp;"|"&amp;$J639&amp;"|"&amp;COUNTIFS($I$7:$I639,$I639,$J$7:$J639,$J639,$D$7:$D639,"Advance"))</f>
        <v/>
      </c>
      <c r="L639" s="266">
        <f>IF(OR($I639="",$I639="?",$B639=""),"",SUMPRODUCT((Weeks!$A$7:$A$59&lt;=$J639)*(Weeks!$X$5:$AI$5=$I639)*Weeks!$X$7:$AI$59)-SUMIFS($E$7:$E$1006,$I$7:$I$1006,$I639,$B$7:$B$1006,"&lt;="&amp;$B639))</f>
        <v/>
      </c>
      <c r="M639" s="132">
        <f>IF($B639&amp;$C639&amp;$D639&amp;$E639="","",IF($B639="","missing date",IF($C639="","missing worker",IF($I639="?","unknown worker - was the name changed on Workers?",IF($D639="","missing type",IF(N($E639)=0,"missing amount",IF(AND($E639&lt;0,$D639&lt;&gt;"Correction"),"negative amount - use a Correction to undo",IF(OR($B639&lt;Weeks!$A$7,$B639&gt;Weeks!$B$59),"date outside this workbook's year",IF(AND($D639="Advance",N($L639)&lt;0),"Warning: more than earned so far - worker now owes "&amp;TEXT(ROUND(-$L639,0),"#,##0"),"")))))))))</f>
        <v/>
      </c>
      <c r="N639" s="125" t="n"/>
      <c r="O639" s="126" t="n"/>
      <c r="P639" s="126" t="n"/>
      <c r="Q639" s="126" t="n"/>
      <c r="R639" s="126" t="n"/>
      <c r="S639" s="126" t="n"/>
      <c r="T639" s="126" t="n"/>
      <c r="U639" s="126" t="n"/>
      <c r="V639" s="126" t="n"/>
      <c r="W639" s="126" t="n"/>
      <c r="X639" s="126" t="n"/>
      <c r="Y639" s="126" t="n"/>
      <c r="Z639" s="126" t="n"/>
      <c r="AA639" s="126" t="n"/>
      <c r="AB639" s="126" t="n"/>
      <c r="AC639" s="126" t="n"/>
      <c r="AD639" s="126" t="n"/>
      <c r="AE639" s="126" t="n"/>
      <c r="AF639" s="126" t="n"/>
      <c r="AG639" s="126" t="n"/>
      <c r="AH639" s="126" t="n"/>
      <c r="AI639" s="126" t="n"/>
      <c r="AJ639" s="126" t="n"/>
      <c r="AK639" s="126" t="n"/>
      <c r="AL639" s="126" t="n"/>
      <c r="AM639" s="126" t="n"/>
      <c r="AN639" s="126" t="n"/>
    </row>
    <row r="640" ht="21" customFormat="1" customHeight="1" s="127">
      <c r="A640" s="51">
        <f>IF($B640="","",ROW()-6)</f>
        <v/>
      </c>
      <c r="B640" s="268" t="n"/>
      <c r="C640" s="133" t="n"/>
      <c r="D640" s="50" t="n"/>
      <c r="E640" s="265" t="n"/>
      <c r="F640" s="133" t="n"/>
      <c r="G640" s="133" t="n"/>
      <c r="H640" s="50" t="n"/>
      <c r="I640" s="51">
        <f>IF($C640="","",IFERROR(INDEX(WorkerIDs,MATCH($C640,WorkerNames,0)),"?"))</f>
        <v/>
      </c>
      <c r="J640" s="253">
        <f>IF($B640="","",$B640-WEEKDAY($B640,2)+1)</f>
        <v/>
      </c>
      <c r="K640" s="142">
        <f>IF(OR($I640="",$I640="?",$D640&lt;&gt;"Advance",$B640=""),"",$I640&amp;"|"&amp;$J640&amp;"|"&amp;COUNTIFS($I$7:$I640,$I640,$J$7:$J640,$J640,$D$7:$D640,"Advance"))</f>
        <v/>
      </c>
      <c r="L640" s="266">
        <f>IF(OR($I640="",$I640="?",$B640=""),"",SUMPRODUCT((Weeks!$A$7:$A$59&lt;=$J640)*(Weeks!$X$5:$AI$5=$I640)*Weeks!$X$7:$AI$59)-SUMIFS($E$7:$E$1006,$I$7:$I$1006,$I640,$B$7:$B$1006,"&lt;="&amp;$B640))</f>
        <v/>
      </c>
      <c r="M640" s="132">
        <f>IF($B640&amp;$C640&amp;$D640&amp;$E640="","",IF($B640="","missing date",IF($C640="","missing worker",IF($I640="?","unknown worker - was the name changed on Workers?",IF($D640="","missing type",IF(N($E640)=0,"missing amount",IF(AND($E640&lt;0,$D640&lt;&gt;"Correction"),"negative amount - use a Correction to undo",IF(OR($B640&lt;Weeks!$A$7,$B640&gt;Weeks!$B$59),"date outside this workbook's year",IF(AND($D640="Advance",N($L640)&lt;0),"Warning: more than earned so far - worker now owes "&amp;TEXT(ROUND(-$L640,0),"#,##0"),"")))))))))</f>
        <v/>
      </c>
      <c r="N640" s="125" t="n"/>
      <c r="O640" s="126" t="n"/>
      <c r="P640" s="126" t="n"/>
      <c r="Q640" s="126" t="n"/>
      <c r="R640" s="126" t="n"/>
      <c r="S640" s="126" t="n"/>
      <c r="T640" s="126" t="n"/>
      <c r="U640" s="126" t="n"/>
      <c r="V640" s="126" t="n"/>
      <c r="W640" s="126" t="n"/>
      <c r="X640" s="126" t="n"/>
      <c r="Y640" s="126" t="n"/>
      <c r="Z640" s="126" t="n"/>
      <c r="AA640" s="126" t="n"/>
      <c r="AB640" s="126" t="n"/>
      <c r="AC640" s="126" t="n"/>
      <c r="AD640" s="126" t="n"/>
      <c r="AE640" s="126" t="n"/>
      <c r="AF640" s="126" t="n"/>
      <c r="AG640" s="126" t="n"/>
      <c r="AH640" s="126" t="n"/>
      <c r="AI640" s="126" t="n"/>
      <c r="AJ640" s="126" t="n"/>
      <c r="AK640" s="126" t="n"/>
      <c r="AL640" s="126" t="n"/>
      <c r="AM640" s="126" t="n"/>
      <c r="AN640" s="126" t="n"/>
    </row>
    <row r="641" ht="21" customFormat="1" customHeight="1" s="127">
      <c r="A641" s="51">
        <f>IF($B641="","",ROW()-6)</f>
        <v/>
      </c>
      <c r="B641" s="268" t="n"/>
      <c r="C641" s="133" t="n"/>
      <c r="D641" s="50" t="n"/>
      <c r="E641" s="265" t="n"/>
      <c r="F641" s="133" t="n"/>
      <c r="G641" s="133" t="n"/>
      <c r="H641" s="50" t="n"/>
      <c r="I641" s="51">
        <f>IF($C641="","",IFERROR(INDEX(WorkerIDs,MATCH($C641,WorkerNames,0)),"?"))</f>
        <v/>
      </c>
      <c r="J641" s="253">
        <f>IF($B641="","",$B641-WEEKDAY($B641,2)+1)</f>
        <v/>
      </c>
      <c r="K641" s="142">
        <f>IF(OR($I641="",$I641="?",$D641&lt;&gt;"Advance",$B641=""),"",$I641&amp;"|"&amp;$J641&amp;"|"&amp;COUNTIFS($I$7:$I641,$I641,$J$7:$J641,$J641,$D$7:$D641,"Advance"))</f>
        <v/>
      </c>
      <c r="L641" s="266">
        <f>IF(OR($I641="",$I641="?",$B641=""),"",SUMPRODUCT((Weeks!$A$7:$A$59&lt;=$J641)*(Weeks!$X$5:$AI$5=$I641)*Weeks!$X$7:$AI$59)-SUMIFS($E$7:$E$1006,$I$7:$I$1006,$I641,$B$7:$B$1006,"&lt;="&amp;$B641))</f>
        <v/>
      </c>
      <c r="M641" s="132">
        <f>IF($B641&amp;$C641&amp;$D641&amp;$E641="","",IF($B641="","missing date",IF($C641="","missing worker",IF($I641="?","unknown worker - was the name changed on Workers?",IF($D641="","missing type",IF(N($E641)=0,"missing amount",IF(AND($E641&lt;0,$D641&lt;&gt;"Correction"),"negative amount - use a Correction to undo",IF(OR($B641&lt;Weeks!$A$7,$B641&gt;Weeks!$B$59),"date outside this workbook's year",IF(AND($D641="Advance",N($L641)&lt;0),"Warning: more than earned so far - worker now owes "&amp;TEXT(ROUND(-$L641,0),"#,##0"),"")))))))))</f>
        <v/>
      </c>
      <c r="N641" s="125" t="n"/>
      <c r="O641" s="126" t="n"/>
      <c r="P641" s="126" t="n"/>
      <c r="Q641" s="126" t="n"/>
      <c r="R641" s="126" t="n"/>
      <c r="S641" s="126" t="n"/>
      <c r="T641" s="126" t="n"/>
      <c r="U641" s="126" t="n"/>
      <c r="V641" s="126" t="n"/>
      <c r="W641" s="126" t="n"/>
      <c r="X641" s="126" t="n"/>
      <c r="Y641" s="126" t="n"/>
      <c r="Z641" s="126" t="n"/>
      <c r="AA641" s="126" t="n"/>
      <c r="AB641" s="126" t="n"/>
      <c r="AC641" s="126" t="n"/>
      <c r="AD641" s="126" t="n"/>
      <c r="AE641" s="126" t="n"/>
      <c r="AF641" s="126" t="n"/>
      <c r="AG641" s="126" t="n"/>
      <c r="AH641" s="126" t="n"/>
      <c r="AI641" s="126" t="n"/>
      <c r="AJ641" s="126" t="n"/>
      <c r="AK641" s="126" t="n"/>
      <c r="AL641" s="126" t="n"/>
      <c r="AM641" s="126" t="n"/>
      <c r="AN641" s="126" t="n"/>
    </row>
    <row r="642" ht="21" customFormat="1" customHeight="1" s="127">
      <c r="A642" s="51">
        <f>IF($B642="","",ROW()-6)</f>
        <v/>
      </c>
      <c r="B642" s="268" t="n"/>
      <c r="C642" s="133" t="n"/>
      <c r="D642" s="50" t="n"/>
      <c r="E642" s="265" t="n"/>
      <c r="F642" s="133" t="n"/>
      <c r="G642" s="133" t="n"/>
      <c r="H642" s="50" t="n"/>
      <c r="I642" s="51">
        <f>IF($C642="","",IFERROR(INDEX(WorkerIDs,MATCH($C642,WorkerNames,0)),"?"))</f>
        <v/>
      </c>
      <c r="J642" s="253">
        <f>IF($B642="","",$B642-WEEKDAY($B642,2)+1)</f>
        <v/>
      </c>
      <c r="K642" s="142">
        <f>IF(OR($I642="",$I642="?",$D642&lt;&gt;"Advance",$B642=""),"",$I642&amp;"|"&amp;$J642&amp;"|"&amp;COUNTIFS($I$7:$I642,$I642,$J$7:$J642,$J642,$D$7:$D642,"Advance"))</f>
        <v/>
      </c>
      <c r="L642" s="266">
        <f>IF(OR($I642="",$I642="?",$B642=""),"",SUMPRODUCT((Weeks!$A$7:$A$59&lt;=$J642)*(Weeks!$X$5:$AI$5=$I642)*Weeks!$X$7:$AI$59)-SUMIFS($E$7:$E$1006,$I$7:$I$1006,$I642,$B$7:$B$1006,"&lt;="&amp;$B642))</f>
        <v/>
      </c>
      <c r="M642" s="132">
        <f>IF($B642&amp;$C642&amp;$D642&amp;$E642="","",IF($B642="","missing date",IF($C642="","missing worker",IF($I642="?","unknown worker - was the name changed on Workers?",IF($D642="","missing type",IF(N($E642)=0,"missing amount",IF(AND($E642&lt;0,$D642&lt;&gt;"Correction"),"negative amount - use a Correction to undo",IF(OR($B642&lt;Weeks!$A$7,$B642&gt;Weeks!$B$59),"date outside this workbook's year",IF(AND($D642="Advance",N($L642)&lt;0),"Warning: more than earned so far - worker now owes "&amp;TEXT(ROUND(-$L642,0),"#,##0"),"")))))))))</f>
        <v/>
      </c>
      <c r="N642" s="125" t="n"/>
      <c r="O642" s="126" t="n"/>
      <c r="P642" s="126" t="n"/>
      <c r="Q642" s="126" t="n"/>
      <c r="R642" s="126" t="n"/>
      <c r="S642" s="126" t="n"/>
      <c r="T642" s="126" t="n"/>
      <c r="U642" s="126" t="n"/>
      <c r="V642" s="126" t="n"/>
      <c r="W642" s="126" t="n"/>
      <c r="X642" s="126" t="n"/>
      <c r="Y642" s="126" t="n"/>
      <c r="Z642" s="126" t="n"/>
      <c r="AA642" s="126" t="n"/>
      <c r="AB642" s="126" t="n"/>
      <c r="AC642" s="126" t="n"/>
      <c r="AD642" s="126" t="n"/>
      <c r="AE642" s="126" t="n"/>
      <c r="AF642" s="126" t="n"/>
      <c r="AG642" s="126" t="n"/>
      <c r="AH642" s="126" t="n"/>
      <c r="AI642" s="126" t="n"/>
      <c r="AJ642" s="126" t="n"/>
      <c r="AK642" s="126" t="n"/>
      <c r="AL642" s="126" t="n"/>
      <c r="AM642" s="126" t="n"/>
      <c r="AN642" s="126" t="n"/>
    </row>
    <row r="643" ht="21" customFormat="1" customHeight="1" s="127">
      <c r="A643" s="51">
        <f>IF($B643="","",ROW()-6)</f>
        <v/>
      </c>
      <c r="B643" s="268" t="n"/>
      <c r="C643" s="133" t="n"/>
      <c r="D643" s="50" t="n"/>
      <c r="E643" s="265" t="n"/>
      <c r="F643" s="133" t="n"/>
      <c r="G643" s="133" t="n"/>
      <c r="H643" s="50" t="n"/>
      <c r="I643" s="51">
        <f>IF($C643="","",IFERROR(INDEX(WorkerIDs,MATCH($C643,WorkerNames,0)),"?"))</f>
        <v/>
      </c>
      <c r="J643" s="253">
        <f>IF($B643="","",$B643-WEEKDAY($B643,2)+1)</f>
        <v/>
      </c>
      <c r="K643" s="142">
        <f>IF(OR($I643="",$I643="?",$D643&lt;&gt;"Advance",$B643=""),"",$I643&amp;"|"&amp;$J643&amp;"|"&amp;COUNTIFS($I$7:$I643,$I643,$J$7:$J643,$J643,$D$7:$D643,"Advance"))</f>
        <v/>
      </c>
      <c r="L643" s="266">
        <f>IF(OR($I643="",$I643="?",$B643=""),"",SUMPRODUCT((Weeks!$A$7:$A$59&lt;=$J643)*(Weeks!$X$5:$AI$5=$I643)*Weeks!$X$7:$AI$59)-SUMIFS($E$7:$E$1006,$I$7:$I$1006,$I643,$B$7:$B$1006,"&lt;="&amp;$B643))</f>
        <v/>
      </c>
      <c r="M643" s="132">
        <f>IF($B643&amp;$C643&amp;$D643&amp;$E643="","",IF($B643="","missing date",IF($C643="","missing worker",IF($I643="?","unknown worker - was the name changed on Workers?",IF($D643="","missing type",IF(N($E643)=0,"missing amount",IF(AND($E643&lt;0,$D643&lt;&gt;"Correction"),"negative amount - use a Correction to undo",IF(OR($B643&lt;Weeks!$A$7,$B643&gt;Weeks!$B$59),"date outside this workbook's year",IF(AND($D643="Advance",N($L643)&lt;0),"Warning: more than earned so far - worker now owes "&amp;TEXT(ROUND(-$L643,0),"#,##0"),"")))))))))</f>
        <v/>
      </c>
      <c r="N643" s="125" t="n"/>
      <c r="O643" s="126" t="n"/>
      <c r="P643" s="126" t="n"/>
      <c r="Q643" s="126" t="n"/>
      <c r="R643" s="126" t="n"/>
      <c r="S643" s="126" t="n"/>
      <c r="T643" s="126" t="n"/>
      <c r="U643" s="126" t="n"/>
      <c r="V643" s="126" t="n"/>
      <c r="W643" s="126" t="n"/>
      <c r="X643" s="126" t="n"/>
      <c r="Y643" s="126" t="n"/>
      <c r="Z643" s="126" t="n"/>
      <c r="AA643" s="126" t="n"/>
      <c r="AB643" s="126" t="n"/>
      <c r="AC643" s="126" t="n"/>
      <c r="AD643" s="126" t="n"/>
      <c r="AE643" s="126" t="n"/>
      <c r="AF643" s="126" t="n"/>
      <c r="AG643" s="126" t="n"/>
      <c r="AH643" s="126" t="n"/>
      <c r="AI643" s="126" t="n"/>
      <c r="AJ643" s="126" t="n"/>
      <c r="AK643" s="126" t="n"/>
      <c r="AL643" s="126" t="n"/>
      <c r="AM643" s="126" t="n"/>
      <c r="AN643" s="126" t="n"/>
    </row>
    <row r="644" ht="21" customFormat="1" customHeight="1" s="127">
      <c r="A644" s="51">
        <f>IF($B644="","",ROW()-6)</f>
        <v/>
      </c>
      <c r="B644" s="268" t="n"/>
      <c r="C644" s="133" t="n"/>
      <c r="D644" s="50" t="n"/>
      <c r="E644" s="265" t="n"/>
      <c r="F644" s="133" t="n"/>
      <c r="G644" s="133" t="n"/>
      <c r="H644" s="50" t="n"/>
      <c r="I644" s="51">
        <f>IF($C644="","",IFERROR(INDEX(WorkerIDs,MATCH($C644,WorkerNames,0)),"?"))</f>
        <v/>
      </c>
      <c r="J644" s="253">
        <f>IF($B644="","",$B644-WEEKDAY($B644,2)+1)</f>
        <v/>
      </c>
      <c r="K644" s="142">
        <f>IF(OR($I644="",$I644="?",$D644&lt;&gt;"Advance",$B644=""),"",$I644&amp;"|"&amp;$J644&amp;"|"&amp;COUNTIFS($I$7:$I644,$I644,$J$7:$J644,$J644,$D$7:$D644,"Advance"))</f>
        <v/>
      </c>
      <c r="L644" s="266">
        <f>IF(OR($I644="",$I644="?",$B644=""),"",SUMPRODUCT((Weeks!$A$7:$A$59&lt;=$J644)*(Weeks!$X$5:$AI$5=$I644)*Weeks!$X$7:$AI$59)-SUMIFS($E$7:$E$1006,$I$7:$I$1006,$I644,$B$7:$B$1006,"&lt;="&amp;$B644))</f>
        <v/>
      </c>
      <c r="M644" s="132">
        <f>IF($B644&amp;$C644&amp;$D644&amp;$E644="","",IF($B644="","missing date",IF($C644="","missing worker",IF($I644="?","unknown worker - was the name changed on Workers?",IF($D644="","missing type",IF(N($E644)=0,"missing amount",IF(AND($E644&lt;0,$D644&lt;&gt;"Correction"),"negative amount - use a Correction to undo",IF(OR($B644&lt;Weeks!$A$7,$B644&gt;Weeks!$B$59),"date outside this workbook's year",IF(AND($D644="Advance",N($L644)&lt;0),"Warning: more than earned so far - worker now owes "&amp;TEXT(ROUND(-$L644,0),"#,##0"),"")))))))))</f>
        <v/>
      </c>
      <c r="N644" s="125" t="n"/>
      <c r="O644" s="126" t="n"/>
      <c r="P644" s="126" t="n"/>
      <c r="Q644" s="126" t="n"/>
      <c r="R644" s="126" t="n"/>
      <c r="S644" s="126" t="n"/>
      <c r="T644" s="126" t="n"/>
      <c r="U644" s="126" t="n"/>
      <c r="V644" s="126" t="n"/>
      <c r="W644" s="126" t="n"/>
      <c r="X644" s="126" t="n"/>
      <c r="Y644" s="126" t="n"/>
      <c r="Z644" s="126" t="n"/>
      <c r="AA644" s="126" t="n"/>
      <c r="AB644" s="126" t="n"/>
      <c r="AC644" s="126" t="n"/>
      <c r="AD644" s="126" t="n"/>
      <c r="AE644" s="126" t="n"/>
      <c r="AF644" s="126" t="n"/>
      <c r="AG644" s="126" t="n"/>
      <c r="AH644" s="126" t="n"/>
      <c r="AI644" s="126" t="n"/>
      <c r="AJ644" s="126" t="n"/>
      <c r="AK644" s="126" t="n"/>
      <c r="AL644" s="126" t="n"/>
      <c r="AM644" s="126" t="n"/>
      <c r="AN644" s="126" t="n"/>
    </row>
    <row r="645" ht="21" customFormat="1" customHeight="1" s="127">
      <c r="A645" s="51">
        <f>IF($B645="","",ROW()-6)</f>
        <v/>
      </c>
      <c r="B645" s="268" t="n"/>
      <c r="C645" s="133" t="n"/>
      <c r="D645" s="50" t="n"/>
      <c r="E645" s="265" t="n"/>
      <c r="F645" s="133" t="n"/>
      <c r="G645" s="133" t="n"/>
      <c r="H645" s="50" t="n"/>
      <c r="I645" s="51">
        <f>IF($C645="","",IFERROR(INDEX(WorkerIDs,MATCH($C645,WorkerNames,0)),"?"))</f>
        <v/>
      </c>
      <c r="J645" s="253">
        <f>IF($B645="","",$B645-WEEKDAY($B645,2)+1)</f>
        <v/>
      </c>
      <c r="K645" s="142">
        <f>IF(OR($I645="",$I645="?",$D645&lt;&gt;"Advance",$B645=""),"",$I645&amp;"|"&amp;$J645&amp;"|"&amp;COUNTIFS($I$7:$I645,$I645,$J$7:$J645,$J645,$D$7:$D645,"Advance"))</f>
        <v/>
      </c>
      <c r="L645" s="266">
        <f>IF(OR($I645="",$I645="?",$B645=""),"",SUMPRODUCT((Weeks!$A$7:$A$59&lt;=$J645)*(Weeks!$X$5:$AI$5=$I645)*Weeks!$X$7:$AI$59)-SUMIFS($E$7:$E$1006,$I$7:$I$1006,$I645,$B$7:$B$1006,"&lt;="&amp;$B645))</f>
        <v/>
      </c>
      <c r="M645" s="132">
        <f>IF($B645&amp;$C645&amp;$D645&amp;$E645="","",IF($B645="","missing date",IF($C645="","missing worker",IF($I645="?","unknown worker - was the name changed on Workers?",IF($D645="","missing type",IF(N($E645)=0,"missing amount",IF(AND($E645&lt;0,$D645&lt;&gt;"Correction"),"negative amount - use a Correction to undo",IF(OR($B645&lt;Weeks!$A$7,$B645&gt;Weeks!$B$59),"date outside this workbook's year",IF(AND($D645="Advance",N($L645)&lt;0),"Warning: more than earned so far - worker now owes "&amp;TEXT(ROUND(-$L645,0),"#,##0"),"")))))))))</f>
        <v/>
      </c>
      <c r="N645" s="125" t="n"/>
      <c r="O645" s="126" t="n"/>
      <c r="P645" s="126" t="n"/>
      <c r="Q645" s="126" t="n"/>
      <c r="R645" s="126" t="n"/>
      <c r="S645" s="126" t="n"/>
      <c r="T645" s="126" t="n"/>
      <c r="U645" s="126" t="n"/>
      <c r="V645" s="126" t="n"/>
      <c r="W645" s="126" t="n"/>
      <c r="X645" s="126" t="n"/>
      <c r="Y645" s="126" t="n"/>
      <c r="Z645" s="126" t="n"/>
      <c r="AA645" s="126" t="n"/>
      <c r="AB645" s="126" t="n"/>
      <c r="AC645" s="126" t="n"/>
      <c r="AD645" s="126" t="n"/>
      <c r="AE645" s="126" t="n"/>
      <c r="AF645" s="126" t="n"/>
      <c r="AG645" s="126" t="n"/>
      <c r="AH645" s="126" t="n"/>
      <c r="AI645" s="126" t="n"/>
      <c r="AJ645" s="126" t="n"/>
      <c r="AK645" s="126" t="n"/>
      <c r="AL645" s="126" t="n"/>
      <c r="AM645" s="126" t="n"/>
      <c r="AN645" s="126" t="n"/>
    </row>
    <row r="646" ht="21" customFormat="1" customHeight="1" s="127">
      <c r="A646" s="51">
        <f>IF($B646="","",ROW()-6)</f>
        <v/>
      </c>
      <c r="B646" s="268" t="n"/>
      <c r="C646" s="133" t="n"/>
      <c r="D646" s="50" t="n"/>
      <c r="E646" s="265" t="n"/>
      <c r="F646" s="133" t="n"/>
      <c r="G646" s="133" t="n"/>
      <c r="H646" s="50" t="n"/>
      <c r="I646" s="51">
        <f>IF($C646="","",IFERROR(INDEX(WorkerIDs,MATCH($C646,WorkerNames,0)),"?"))</f>
        <v/>
      </c>
      <c r="J646" s="253">
        <f>IF($B646="","",$B646-WEEKDAY($B646,2)+1)</f>
        <v/>
      </c>
      <c r="K646" s="142">
        <f>IF(OR($I646="",$I646="?",$D646&lt;&gt;"Advance",$B646=""),"",$I646&amp;"|"&amp;$J646&amp;"|"&amp;COUNTIFS($I$7:$I646,$I646,$J$7:$J646,$J646,$D$7:$D646,"Advance"))</f>
        <v/>
      </c>
      <c r="L646" s="266">
        <f>IF(OR($I646="",$I646="?",$B646=""),"",SUMPRODUCT((Weeks!$A$7:$A$59&lt;=$J646)*(Weeks!$X$5:$AI$5=$I646)*Weeks!$X$7:$AI$59)-SUMIFS($E$7:$E$1006,$I$7:$I$1006,$I646,$B$7:$B$1006,"&lt;="&amp;$B646))</f>
        <v/>
      </c>
      <c r="M646" s="132">
        <f>IF($B646&amp;$C646&amp;$D646&amp;$E646="","",IF($B646="","missing date",IF($C646="","missing worker",IF($I646="?","unknown worker - was the name changed on Workers?",IF($D646="","missing type",IF(N($E646)=0,"missing amount",IF(AND($E646&lt;0,$D646&lt;&gt;"Correction"),"negative amount - use a Correction to undo",IF(OR($B646&lt;Weeks!$A$7,$B646&gt;Weeks!$B$59),"date outside this workbook's year",IF(AND($D646="Advance",N($L646)&lt;0),"Warning: more than earned so far - worker now owes "&amp;TEXT(ROUND(-$L646,0),"#,##0"),"")))))))))</f>
        <v/>
      </c>
      <c r="N646" s="125" t="n"/>
      <c r="O646" s="126" t="n"/>
      <c r="P646" s="126" t="n"/>
      <c r="Q646" s="126" t="n"/>
      <c r="R646" s="126" t="n"/>
      <c r="S646" s="126" t="n"/>
      <c r="T646" s="126" t="n"/>
      <c r="U646" s="126" t="n"/>
      <c r="V646" s="126" t="n"/>
      <c r="W646" s="126" t="n"/>
      <c r="X646" s="126" t="n"/>
      <c r="Y646" s="126" t="n"/>
      <c r="Z646" s="126" t="n"/>
      <c r="AA646" s="126" t="n"/>
      <c r="AB646" s="126" t="n"/>
      <c r="AC646" s="126" t="n"/>
      <c r="AD646" s="126" t="n"/>
      <c r="AE646" s="126" t="n"/>
      <c r="AF646" s="126" t="n"/>
      <c r="AG646" s="126" t="n"/>
      <c r="AH646" s="126" t="n"/>
      <c r="AI646" s="126" t="n"/>
      <c r="AJ646" s="126" t="n"/>
      <c r="AK646" s="126" t="n"/>
      <c r="AL646" s="126" t="n"/>
      <c r="AM646" s="126" t="n"/>
      <c r="AN646" s="126" t="n"/>
    </row>
    <row r="647" ht="21" customFormat="1" customHeight="1" s="127">
      <c r="A647" s="51">
        <f>IF($B647="","",ROW()-6)</f>
        <v/>
      </c>
      <c r="B647" s="268" t="n"/>
      <c r="C647" s="133" t="n"/>
      <c r="D647" s="50" t="n"/>
      <c r="E647" s="265" t="n"/>
      <c r="F647" s="133" t="n"/>
      <c r="G647" s="133" t="n"/>
      <c r="H647" s="50" t="n"/>
      <c r="I647" s="51">
        <f>IF($C647="","",IFERROR(INDEX(WorkerIDs,MATCH($C647,WorkerNames,0)),"?"))</f>
        <v/>
      </c>
      <c r="J647" s="253">
        <f>IF($B647="","",$B647-WEEKDAY($B647,2)+1)</f>
        <v/>
      </c>
      <c r="K647" s="142">
        <f>IF(OR($I647="",$I647="?",$D647&lt;&gt;"Advance",$B647=""),"",$I647&amp;"|"&amp;$J647&amp;"|"&amp;COUNTIFS($I$7:$I647,$I647,$J$7:$J647,$J647,$D$7:$D647,"Advance"))</f>
        <v/>
      </c>
      <c r="L647" s="266">
        <f>IF(OR($I647="",$I647="?",$B647=""),"",SUMPRODUCT((Weeks!$A$7:$A$59&lt;=$J647)*(Weeks!$X$5:$AI$5=$I647)*Weeks!$X$7:$AI$59)-SUMIFS($E$7:$E$1006,$I$7:$I$1006,$I647,$B$7:$B$1006,"&lt;="&amp;$B647))</f>
        <v/>
      </c>
      <c r="M647" s="132">
        <f>IF($B647&amp;$C647&amp;$D647&amp;$E647="","",IF($B647="","missing date",IF($C647="","missing worker",IF($I647="?","unknown worker - was the name changed on Workers?",IF($D647="","missing type",IF(N($E647)=0,"missing amount",IF(AND($E647&lt;0,$D647&lt;&gt;"Correction"),"negative amount - use a Correction to undo",IF(OR($B647&lt;Weeks!$A$7,$B647&gt;Weeks!$B$59),"date outside this workbook's year",IF(AND($D647="Advance",N($L647)&lt;0),"Warning: more than earned so far - worker now owes "&amp;TEXT(ROUND(-$L647,0),"#,##0"),"")))))))))</f>
        <v/>
      </c>
      <c r="N647" s="125" t="n"/>
      <c r="O647" s="126" t="n"/>
      <c r="P647" s="126" t="n"/>
      <c r="Q647" s="126" t="n"/>
      <c r="R647" s="126" t="n"/>
      <c r="S647" s="126" t="n"/>
      <c r="T647" s="126" t="n"/>
      <c r="U647" s="126" t="n"/>
      <c r="V647" s="126" t="n"/>
      <c r="W647" s="126" t="n"/>
      <c r="X647" s="126" t="n"/>
      <c r="Y647" s="126" t="n"/>
      <c r="Z647" s="126" t="n"/>
      <c r="AA647" s="126" t="n"/>
      <c r="AB647" s="126" t="n"/>
      <c r="AC647" s="126" t="n"/>
      <c r="AD647" s="126" t="n"/>
      <c r="AE647" s="126" t="n"/>
      <c r="AF647" s="126" t="n"/>
      <c r="AG647" s="126" t="n"/>
      <c r="AH647" s="126" t="n"/>
      <c r="AI647" s="126" t="n"/>
      <c r="AJ647" s="126" t="n"/>
      <c r="AK647" s="126" t="n"/>
      <c r="AL647" s="126" t="n"/>
      <c r="AM647" s="126" t="n"/>
      <c r="AN647" s="126" t="n"/>
    </row>
    <row r="648" ht="21" customFormat="1" customHeight="1" s="127">
      <c r="A648" s="51">
        <f>IF($B648="","",ROW()-6)</f>
        <v/>
      </c>
      <c r="B648" s="268" t="n"/>
      <c r="C648" s="133" t="n"/>
      <c r="D648" s="50" t="n"/>
      <c r="E648" s="265" t="n"/>
      <c r="F648" s="133" t="n"/>
      <c r="G648" s="133" t="n"/>
      <c r="H648" s="50" t="n"/>
      <c r="I648" s="51">
        <f>IF($C648="","",IFERROR(INDEX(WorkerIDs,MATCH($C648,WorkerNames,0)),"?"))</f>
        <v/>
      </c>
      <c r="J648" s="253">
        <f>IF($B648="","",$B648-WEEKDAY($B648,2)+1)</f>
        <v/>
      </c>
      <c r="K648" s="142">
        <f>IF(OR($I648="",$I648="?",$D648&lt;&gt;"Advance",$B648=""),"",$I648&amp;"|"&amp;$J648&amp;"|"&amp;COUNTIFS($I$7:$I648,$I648,$J$7:$J648,$J648,$D$7:$D648,"Advance"))</f>
        <v/>
      </c>
      <c r="L648" s="266">
        <f>IF(OR($I648="",$I648="?",$B648=""),"",SUMPRODUCT((Weeks!$A$7:$A$59&lt;=$J648)*(Weeks!$X$5:$AI$5=$I648)*Weeks!$X$7:$AI$59)-SUMIFS($E$7:$E$1006,$I$7:$I$1006,$I648,$B$7:$B$1006,"&lt;="&amp;$B648))</f>
        <v/>
      </c>
      <c r="M648" s="132">
        <f>IF($B648&amp;$C648&amp;$D648&amp;$E648="","",IF($B648="","missing date",IF($C648="","missing worker",IF($I648="?","unknown worker - was the name changed on Workers?",IF($D648="","missing type",IF(N($E648)=0,"missing amount",IF(AND($E648&lt;0,$D648&lt;&gt;"Correction"),"negative amount - use a Correction to undo",IF(OR($B648&lt;Weeks!$A$7,$B648&gt;Weeks!$B$59),"date outside this workbook's year",IF(AND($D648="Advance",N($L648)&lt;0),"Warning: more than earned so far - worker now owes "&amp;TEXT(ROUND(-$L648,0),"#,##0"),"")))))))))</f>
        <v/>
      </c>
      <c r="N648" s="125" t="n"/>
      <c r="O648" s="126" t="n"/>
      <c r="P648" s="126" t="n"/>
      <c r="Q648" s="126" t="n"/>
      <c r="R648" s="126" t="n"/>
      <c r="S648" s="126" t="n"/>
      <c r="T648" s="126" t="n"/>
      <c r="U648" s="126" t="n"/>
      <c r="V648" s="126" t="n"/>
      <c r="W648" s="126" t="n"/>
      <c r="X648" s="126" t="n"/>
      <c r="Y648" s="126" t="n"/>
      <c r="Z648" s="126" t="n"/>
      <c r="AA648" s="126" t="n"/>
      <c r="AB648" s="126" t="n"/>
      <c r="AC648" s="126" t="n"/>
      <c r="AD648" s="126" t="n"/>
      <c r="AE648" s="126" t="n"/>
      <c r="AF648" s="126" t="n"/>
      <c r="AG648" s="126" t="n"/>
      <c r="AH648" s="126" t="n"/>
      <c r="AI648" s="126" t="n"/>
      <c r="AJ648" s="126" t="n"/>
      <c r="AK648" s="126" t="n"/>
      <c r="AL648" s="126" t="n"/>
      <c r="AM648" s="126" t="n"/>
      <c r="AN648" s="126" t="n"/>
    </row>
    <row r="649" ht="21" customFormat="1" customHeight="1" s="127">
      <c r="A649" s="51">
        <f>IF($B649="","",ROW()-6)</f>
        <v/>
      </c>
      <c r="B649" s="268" t="n"/>
      <c r="C649" s="133" t="n"/>
      <c r="D649" s="50" t="n"/>
      <c r="E649" s="265" t="n"/>
      <c r="F649" s="133" t="n"/>
      <c r="G649" s="133" t="n"/>
      <c r="H649" s="50" t="n"/>
      <c r="I649" s="51">
        <f>IF($C649="","",IFERROR(INDEX(WorkerIDs,MATCH($C649,WorkerNames,0)),"?"))</f>
        <v/>
      </c>
      <c r="J649" s="253">
        <f>IF($B649="","",$B649-WEEKDAY($B649,2)+1)</f>
        <v/>
      </c>
      <c r="K649" s="142">
        <f>IF(OR($I649="",$I649="?",$D649&lt;&gt;"Advance",$B649=""),"",$I649&amp;"|"&amp;$J649&amp;"|"&amp;COUNTIFS($I$7:$I649,$I649,$J$7:$J649,$J649,$D$7:$D649,"Advance"))</f>
        <v/>
      </c>
      <c r="L649" s="266">
        <f>IF(OR($I649="",$I649="?",$B649=""),"",SUMPRODUCT((Weeks!$A$7:$A$59&lt;=$J649)*(Weeks!$X$5:$AI$5=$I649)*Weeks!$X$7:$AI$59)-SUMIFS($E$7:$E$1006,$I$7:$I$1006,$I649,$B$7:$B$1006,"&lt;="&amp;$B649))</f>
        <v/>
      </c>
      <c r="M649" s="132">
        <f>IF($B649&amp;$C649&amp;$D649&amp;$E649="","",IF($B649="","missing date",IF($C649="","missing worker",IF($I649="?","unknown worker - was the name changed on Workers?",IF($D649="","missing type",IF(N($E649)=0,"missing amount",IF(AND($E649&lt;0,$D649&lt;&gt;"Correction"),"negative amount - use a Correction to undo",IF(OR($B649&lt;Weeks!$A$7,$B649&gt;Weeks!$B$59),"date outside this workbook's year",IF(AND($D649="Advance",N($L649)&lt;0),"Warning: more than earned so far - worker now owes "&amp;TEXT(ROUND(-$L649,0),"#,##0"),"")))))))))</f>
        <v/>
      </c>
      <c r="N649" s="125" t="n"/>
      <c r="O649" s="126" t="n"/>
      <c r="P649" s="126" t="n"/>
      <c r="Q649" s="126" t="n"/>
      <c r="R649" s="126" t="n"/>
      <c r="S649" s="126" t="n"/>
      <c r="T649" s="126" t="n"/>
      <c r="U649" s="126" t="n"/>
      <c r="V649" s="126" t="n"/>
      <c r="W649" s="126" t="n"/>
      <c r="X649" s="126" t="n"/>
      <c r="Y649" s="126" t="n"/>
      <c r="Z649" s="126" t="n"/>
      <c r="AA649" s="126" t="n"/>
      <c r="AB649" s="126" t="n"/>
      <c r="AC649" s="126" t="n"/>
      <c r="AD649" s="126" t="n"/>
      <c r="AE649" s="126" t="n"/>
      <c r="AF649" s="126" t="n"/>
      <c r="AG649" s="126" t="n"/>
      <c r="AH649" s="126" t="n"/>
      <c r="AI649" s="126" t="n"/>
      <c r="AJ649" s="126" t="n"/>
      <c r="AK649" s="126" t="n"/>
      <c r="AL649" s="126" t="n"/>
      <c r="AM649" s="126" t="n"/>
      <c r="AN649" s="126" t="n"/>
    </row>
    <row r="650" ht="21" customFormat="1" customHeight="1" s="127">
      <c r="A650" s="51">
        <f>IF($B650="","",ROW()-6)</f>
        <v/>
      </c>
      <c r="B650" s="268" t="n"/>
      <c r="C650" s="133" t="n"/>
      <c r="D650" s="50" t="n"/>
      <c r="E650" s="265" t="n"/>
      <c r="F650" s="133" t="n"/>
      <c r="G650" s="133" t="n"/>
      <c r="H650" s="50" t="n"/>
      <c r="I650" s="51">
        <f>IF($C650="","",IFERROR(INDEX(WorkerIDs,MATCH($C650,WorkerNames,0)),"?"))</f>
        <v/>
      </c>
      <c r="J650" s="253">
        <f>IF($B650="","",$B650-WEEKDAY($B650,2)+1)</f>
        <v/>
      </c>
      <c r="K650" s="142">
        <f>IF(OR($I650="",$I650="?",$D650&lt;&gt;"Advance",$B650=""),"",$I650&amp;"|"&amp;$J650&amp;"|"&amp;COUNTIFS($I$7:$I650,$I650,$J$7:$J650,$J650,$D$7:$D650,"Advance"))</f>
        <v/>
      </c>
      <c r="L650" s="266">
        <f>IF(OR($I650="",$I650="?",$B650=""),"",SUMPRODUCT((Weeks!$A$7:$A$59&lt;=$J650)*(Weeks!$X$5:$AI$5=$I650)*Weeks!$X$7:$AI$59)-SUMIFS($E$7:$E$1006,$I$7:$I$1006,$I650,$B$7:$B$1006,"&lt;="&amp;$B650))</f>
        <v/>
      </c>
      <c r="M650" s="132">
        <f>IF($B650&amp;$C650&amp;$D650&amp;$E650="","",IF($B650="","missing date",IF($C650="","missing worker",IF($I650="?","unknown worker - was the name changed on Workers?",IF($D650="","missing type",IF(N($E650)=0,"missing amount",IF(AND($E650&lt;0,$D650&lt;&gt;"Correction"),"negative amount - use a Correction to undo",IF(OR($B650&lt;Weeks!$A$7,$B650&gt;Weeks!$B$59),"date outside this workbook's year",IF(AND($D650="Advance",N($L650)&lt;0),"Warning: more than earned so far - worker now owes "&amp;TEXT(ROUND(-$L650,0),"#,##0"),"")))))))))</f>
        <v/>
      </c>
      <c r="N650" s="125" t="n"/>
      <c r="O650" s="126" t="n"/>
      <c r="P650" s="126" t="n"/>
      <c r="Q650" s="126" t="n"/>
      <c r="R650" s="126" t="n"/>
      <c r="S650" s="126" t="n"/>
      <c r="T650" s="126" t="n"/>
      <c r="U650" s="126" t="n"/>
      <c r="V650" s="126" t="n"/>
      <c r="W650" s="126" t="n"/>
      <c r="X650" s="126" t="n"/>
      <c r="Y650" s="126" t="n"/>
      <c r="Z650" s="126" t="n"/>
      <c r="AA650" s="126" t="n"/>
      <c r="AB650" s="126" t="n"/>
      <c r="AC650" s="126" t="n"/>
      <c r="AD650" s="126" t="n"/>
      <c r="AE650" s="126" t="n"/>
      <c r="AF650" s="126" t="n"/>
      <c r="AG650" s="126" t="n"/>
      <c r="AH650" s="126" t="n"/>
      <c r="AI650" s="126" t="n"/>
      <c r="AJ650" s="126" t="n"/>
      <c r="AK650" s="126" t="n"/>
      <c r="AL650" s="126" t="n"/>
      <c r="AM650" s="126" t="n"/>
      <c r="AN650" s="126" t="n"/>
    </row>
    <row r="651" ht="21" customFormat="1" customHeight="1" s="127">
      <c r="A651" s="51">
        <f>IF($B651="","",ROW()-6)</f>
        <v/>
      </c>
      <c r="B651" s="268" t="n"/>
      <c r="C651" s="133" t="n"/>
      <c r="D651" s="50" t="n"/>
      <c r="E651" s="265" t="n"/>
      <c r="F651" s="133" t="n"/>
      <c r="G651" s="133" t="n"/>
      <c r="H651" s="50" t="n"/>
      <c r="I651" s="51">
        <f>IF($C651="","",IFERROR(INDEX(WorkerIDs,MATCH($C651,WorkerNames,0)),"?"))</f>
        <v/>
      </c>
      <c r="J651" s="253">
        <f>IF($B651="","",$B651-WEEKDAY($B651,2)+1)</f>
        <v/>
      </c>
      <c r="K651" s="142">
        <f>IF(OR($I651="",$I651="?",$D651&lt;&gt;"Advance",$B651=""),"",$I651&amp;"|"&amp;$J651&amp;"|"&amp;COUNTIFS($I$7:$I651,$I651,$J$7:$J651,$J651,$D$7:$D651,"Advance"))</f>
        <v/>
      </c>
      <c r="L651" s="266">
        <f>IF(OR($I651="",$I651="?",$B651=""),"",SUMPRODUCT((Weeks!$A$7:$A$59&lt;=$J651)*(Weeks!$X$5:$AI$5=$I651)*Weeks!$X$7:$AI$59)-SUMIFS($E$7:$E$1006,$I$7:$I$1006,$I651,$B$7:$B$1006,"&lt;="&amp;$B651))</f>
        <v/>
      </c>
      <c r="M651" s="132">
        <f>IF($B651&amp;$C651&amp;$D651&amp;$E651="","",IF($B651="","missing date",IF($C651="","missing worker",IF($I651="?","unknown worker - was the name changed on Workers?",IF($D651="","missing type",IF(N($E651)=0,"missing amount",IF(AND($E651&lt;0,$D651&lt;&gt;"Correction"),"negative amount - use a Correction to undo",IF(OR($B651&lt;Weeks!$A$7,$B651&gt;Weeks!$B$59),"date outside this workbook's year",IF(AND($D651="Advance",N($L651)&lt;0),"Warning: more than earned so far - worker now owes "&amp;TEXT(ROUND(-$L651,0),"#,##0"),"")))))))))</f>
        <v/>
      </c>
      <c r="N651" s="125" t="n"/>
      <c r="O651" s="126" t="n"/>
      <c r="P651" s="126" t="n"/>
      <c r="Q651" s="126" t="n"/>
      <c r="R651" s="126" t="n"/>
      <c r="S651" s="126" t="n"/>
      <c r="T651" s="126" t="n"/>
      <c r="U651" s="126" t="n"/>
      <c r="V651" s="126" t="n"/>
      <c r="W651" s="126" t="n"/>
      <c r="X651" s="126" t="n"/>
      <c r="Y651" s="126" t="n"/>
      <c r="Z651" s="126" t="n"/>
      <c r="AA651" s="126" t="n"/>
      <c r="AB651" s="126" t="n"/>
      <c r="AC651" s="126" t="n"/>
      <c r="AD651" s="126" t="n"/>
      <c r="AE651" s="126" t="n"/>
      <c r="AF651" s="126" t="n"/>
      <c r="AG651" s="126" t="n"/>
      <c r="AH651" s="126" t="n"/>
      <c r="AI651" s="126" t="n"/>
      <c r="AJ651" s="126" t="n"/>
      <c r="AK651" s="126" t="n"/>
      <c r="AL651" s="126" t="n"/>
      <c r="AM651" s="126" t="n"/>
      <c r="AN651" s="126" t="n"/>
    </row>
    <row r="652" ht="21" customFormat="1" customHeight="1" s="127">
      <c r="A652" s="51">
        <f>IF($B652="","",ROW()-6)</f>
        <v/>
      </c>
      <c r="B652" s="268" t="n"/>
      <c r="C652" s="133" t="n"/>
      <c r="D652" s="50" t="n"/>
      <c r="E652" s="265" t="n"/>
      <c r="F652" s="133" t="n"/>
      <c r="G652" s="133" t="n"/>
      <c r="H652" s="50" t="n"/>
      <c r="I652" s="51">
        <f>IF($C652="","",IFERROR(INDEX(WorkerIDs,MATCH($C652,WorkerNames,0)),"?"))</f>
        <v/>
      </c>
      <c r="J652" s="253">
        <f>IF($B652="","",$B652-WEEKDAY($B652,2)+1)</f>
        <v/>
      </c>
      <c r="K652" s="142">
        <f>IF(OR($I652="",$I652="?",$D652&lt;&gt;"Advance",$B652=""),"",$I652&amp;"|"&amp;$J652&amp;"|"&amp;COUNTIFS($I$7:$I652,$I652,$J$7:$J652,$J652,$D$7:$D652,"Advance"))</f>
        <v/>
      </c>
      <c r="L652" s="266">
        <f>IF(OR($I652="",$I652="?",$B652=""),"",SUMPRODUCT((Weeks!$A$7:$A$59&lt;=$J652)*(Weeks!$X$5:$AI$5=$I652)*Weeks!$X$7:$AI$59)-SUMIFS($E$7:$E$1006,$I$7:$I$1006,$I652,$B$7:$B$1006,"&lt;="&amp;$B652))</f>
        <v/>
      </c>
      <c r="M652" s="132">
        <f>IF($B652&amp;$C652&amp;$D652&amp;$E652="","",IF($B652="","missing date",IF($C652="","missing worker",IF($I652="?","unknown worker - was the name changed on Workers?",IF($D652="","missing type",IF(N($E652)=0,"missing amount",IF(AND($E652&lt;0,$D652&lt;&gt;"Correction"),"negative amount - use a Correction to undo",IF(OR($B652&lt;Weeks!$A$7,$B652&gt;Weeks!$B$59),"date outside this workbook's year",IF(AND($D652="Advance",N($L652)&lt;0),"Warning: more than earned so far - worker now owes "&amp;TEXT(ROUND(-$L652,0),"#,##0"),"")))))))))</f>
        <v/>
      </c>
      <c r="N652" s="125" t="n"/>
      <c r="O652" s="126" t="n"/>
      <c r="P652" s="126" t="n"/>
      <c r="Q652" s="126" t="n"/>
      <c r="R652" s="126" t="n"/>
      <c r="S652" s="126" t="n"/>
      <c r="T652" s="126" t="n"/>
      <c r="U652" s="126" t="n"/>
      <c r="V652" s="126" t="n"/>
      <c r="W652" s="126" t="n"/>
      <c r="X652" s="126" t="n"/>
      <c r="Y652" s="126" t="n"/>
      <c r="Z652" s="126" t="n"/>
      <c r="AA652" s="126" t="n"/>
      <c r="AB652" s="126" t="n"/>
      <c r="AC652" s="126" t="n"/>
      <c r="AD652" s="126" t="n"/>
      <c r="AE652" s="126" t="n"/>
      <c r="AF652" s="126" t="n"/>
      <c r="AG652" s="126" t="n"/>
      <c r="AH652" s="126" t="n"/>
      <c r="AI652" s="126" t="n"/>
      <c r="AJ652" s="126" t="n"/>
      <c r="AK652" s="126" t="n"/>
      <c r="AL652" s="126" t="n"/>
      <c r="AM652" s="126" t="n"/>
      <c r="AN652" s="126" t="n"/>
    </row>
    <row r="653" ht="21" customFormat="1" customHeight="1" s="127">
      <c r="A653" s="51">
        <f>IF($B653="","",ROW()-6)</f>
        <v/>
      </c>
      <c r="B653" s="268" t="n"/>
      <c r="C653" s="133" t="n"/>
      <c r="D653" s="50" t="n"/>
      <c r="E653" s="265" t="n"/>
      <c r="F653" s="133" t="n"/>
      <c r="G653" s="133" t="n"/>
      <c r="H653" s="50" t="n"/>
      <c r="I653" s="51">
        <f>IF($C653="","",IFERROR(INDEX(WorkerIDs,MATCH($C653,WorkerNames,0)),"?"))</f>
        <v/>
      </c>
      <c r="J653" s="253">
        <f>IF($B653="","",$B653-WEEKDAY($B653,2)+1)</f>
        <v/>
      </c>
      <c r="K653" s="142">
        <f>IF(OR($I653="",$I653="?",$D653&lt;&gt;"Advance",$B653=""),"",$I653&amp;"|"&amp;$J653&amp;"|"&amp;COUNTIFS($I$7:$I653,$I653,$J$7:$J653,$J653,$D$7:$D653,"Advance"))</f>
        <v/>
      </c>
      <c r="L653" s="266">
        <f>IF(OR($I653="",$I653="?",$B653=""),"",SUMPRODUCT((Weeks!$A$7:$A$59&lt;=$J653)*(Weeks!$X$5:$AI$5=$I653)*Weeks!$X$7:$AI$59)-SUMIFS($E$7:$E$1006,$I$7:$I$1006,$I653,$B$7:$B$1006,"&lt;="&amp;$B653))</f>
        <v/>
      </c>
      <c r="M653" s="132">
        <f>IF($B653&amp;$C653&amp;$D653&amp;$E653="","",IF($B653="","missing date",IF($C653="","missing worker",IF($I653="?","unknown worker - was the name changed on Workers?",IF($D653="","missing type",IF(N($E653)=0,"missing amount",IF(AND($E653&lt;0,$D653&lt;&gt;"Correction"),"negative amount - use a Correction to undo",IF(OR($B653&lt;Weeks!$A$7,$B653&gt;Weeks!$B$59),"date outside this workbook's year",IF(AND($D653="Advance",N($L653)&lt;0),"Warning: more than earned so far - worker now owes "&amp;TEXT(ROUND(-$L653,0),"#,##0"),"")))))))))</f>
        <v/>
      </c>
      <c r="N653" s="125" t="n"/>
      <c r="O653" s="126" t="n"/>
      <c r="P653" s="126" t="n"/>
      <c r="Q653" s="126" t="n"/>
      <c r="R653" s="126" t="n"/>
      <c r="S653" s="126" t="n"/>
      <c r="T653" s="126" t="n"/>
      <c r="U653" s="126" t="n"/>
      <c r="V653" s="126" t="n"/>
      <c r="W653" s="126" t="n"/>
      <c r="X653" s="126" t="n"/>
      <c r="Y653" s="126" t="n"/>
      <c r="Z653" s="126" t="n"/>
      <c r="AA653" s="126" t="n"/>
      <c r="AB653" s="126" t="n"/>
      <c r="AC653" s="126" t="n"/>
      <c r="AD653" s="126" t="n"/>
      <c r="AE653" s="126" t="n"/>
      <c r="AF653" s="126" t="n"/>
      <c r="AG653" s="126" t="n"/>
      <c r="AH653" s="126" t="n"/>
      <c r="AI653" s="126" t="n"/>
      <c r="AJ653" s="126" t="n"/>
      <c r="AK653" s="126" t="n"/>
      <c r="AL653" s="126" t="n"/>
      <c r="AM653" s="126" t="n"/>
      <c r="AN653" s="126" t="n"/>
    </row>
    <row r="654" ht="21" customFormat="1" customHeight="1" s="127">
      <c r="A654" s="51">
        <f>IF($B654="","",ROW()-6)</f>
        <v/>
      </c>
      <c r="B654" s="268" t="n"/>
      <c r="C654" s="133" t="n"/>
      <c r="D654" s="50" t="n"/>
      <c r="E654" s="265" t="n"/>
      <c r="F654" s="133" t="n"/>
      <c r="G654" s="133" t="n"/>
      <c r="H654" s="50" t="n"/>
      <c r="I654" s="51">
        <f>IF($C654="","",IFERROR(INDEX(WorkerIDs,MATCH($C654,WorkerNames,0)),"?"))</f>
        <v/>
      </c>
      <c r="J654" s="253">
        <f>IF($B654="","",$B654-WEEKDAY($B654,2)+1)</f>
        <v/>
      </c>
      <c r="K654" s="142">
        <f>IF(OR($I654="",$I654="?",$D654&lt;&gt;"Advance",$B654=""),"",$I654&amp;"|"&amp;$J654&amp;"|"&amp;COUNTIFS($I$7:$I654,$I654,$J$7:$J654,$J654,$D$7:$D654,"Advance"))</f>
        <v/>
      </c>
      <c r="L654" s="266">
        <f>IF(OR($I654="",$I654="?",$B654=""),"",SUMPRODUCT((Weeks!$A$7:$A$59&lt;=$J654)*(Weeks!$X$5:$AI$5=$I654)*Weeks!$X$7:$AI$59)-SUMIFS($E$7:$E$1006,$I$7:$I$1006,$I654,$B$7:$B$1006,"&lt;="&amp;$B654))</f>
        <v/>
      </c>
      <c r="M654" s="132">
        <f>IF($B654&amp;$C654&amp;$D654&amp;$E654="","",IF($B654="","missing date",IF($C654="","missing worker",IF($I654="?","unknown worker - was the name changed on Workers?",IF($D654="","missing type",IF(N($E654)=0,"missing amount",IF(AND($E654&lt;0,$D654&lt;&gt;"Correction"),"negative amount - use a Correction to undo",IF(OR($B654&lt;Weeks!$A$7,$B654&gt;Weeks!$B$59),"date outside this workbook's year",IF(AND($D654="Advance",N($L654)&lt;0),"Warning: more than earned so far - worker now owes "&amp;TEXT(ROUND(-$L654,0),"#,##0"),"")))))))))</f>
        <v/>
      </c>
      <c r="N654" s="125" t="n"/>
      <c r="O654" s="126" t="n"/>
      <c r="P654" s="126" t="n"/>
      <c r="Q654" s="126" t="n"/>
      <c r="R654" s="126" t="n"/>
      <c r="S654" s="126" t="n"/>
      <c r="T654" s="126" t="n"/>
      <c r="U654" s="126" t="n"/>
      <c r="V654" s="126" t="n"/>
      <c r="W654" s="126" t="n"/>
      <c r="X654" s="126" t="n"/>
      <c r="Y654" s="126" t="n"/>
      <c r="Z654" s="126" t="n"/>
      <c r="AA654" s="126" t="n"/>
      <c r="AB654" s="126" t="n"/>
      <c r="AC654" s="126" t="n"/>
      <c r="AD654" s="126" t="n"/>
      <c r="AE654" s="126" t="n"/>
      <c r="AF654" s="126" t="n"/>
      <c r="AG654" s="126" t="n"/>
      <c r="AH654" s="126" t="n"/>
      <c r="AI654" s="126" t="n"/>
      <c r="AJ654" s="126" t="n"/>
      <c r="AK654" s="126" t="n"/>
      <c r="AL654" s="126" t="n"/>
      <c r="AM654" s="126" t="n"/>
      <c r="AN654" s="126" t="n"/>
    </row>
    <row r="655" ht="21" customFormat="1" customHeight="1" s="127">
      <c r="A655" s="51">
        <f>IF($B655="","",ROW()-6)</f>
        <v/>
      </c>
      <c r="B655" s="268" t="n"/>
      <c r="C655" s="133" t="n"/>
      <c r="D655" s="50" t="n"/>
      <c r="E655" s="265" t="n"/>
      <c r="F655" s="133" t="n"/>
      <c r="G655" s="133" t="n"/>
      <c r="H655" s="50" t="n"/>
      <c r="I655" s="51">
        <f>IF($C655="","",IFERROR(INDEX(WorkerIDs,MATCH($C655,WorkerNames,0)),"?"))</f>
        <v/>
      </c>
      <c r="J655" s="253">
        <f>IF($B655="","",$B655-WEEKDAY($B655,2)+1)</f>
        <v/>
      </c>
      <c r="K655" s="142">
        <f>IF(OR($I655="",$I655="?",$D655&lt;&gt;"Advance",$B655=""),"",$I655&amp;"|"&amp;$J655&amp;"|"&amp;COUNTIFS($I$7:$I655,$I655,$J$7:$J655,$J655,$D$7:$D655,"Advance"))</f>
        <v/>
      </c>
      <c r="L655" s="266">
        <f>IF(OR($I655="",$I655="?",$B655=""),"",SUMPRODUCT((Weeks!$A$7:$A$59&lt;=$J655)*(Weeks!$X$5:$AI$5=$I655)*Weeks!$X$7:$AI$59)-SUMIFS($E$7:$E$1006,$I$7:$I$1006,$I655,$B$7:$B$1006,"&lt;="&amp;$B655))</f>
        <v/>
      </c>
      <c r="M655" s="132">
        <f>IF($B655&amp;$C655&amp;$D655&amp;$E655="","",IF($B655="","missing date",IF($C655="","missing worker",IF($I655="?","unknown worker - was the name changed on Workers?",IF($D655="","missing type",IF(N($E655)=0,"missing amount",IF(AND($E655&lt;0,$D655&lt;&gt;"Correction"),"negative amount - use a Correction to undo",IF(OR($B655&lt;Weeks!$A$7,$B655&gt;Weeks!$B$59),"date outside this workbook's year",IF(AND($D655="Advance",N($L655)&lt;0),"Warning: more than earned so far - worker now owes "&amp;TEXT(ROUND(-$L655,0),"#,##0"),"")))))))))</f>
        <v/>
      </c>
      <c r="N655" s="125" t="n"/>
      <c r="O655" s="126" t="n"/>
      <c r="P655" s="126" t="n"/>
      <c r="Q655" s="126" t="n"/>
      <c r="R655" s="126" t="n"/>
      <c r="S655" s="126" t="n"/>
      <c r="T655" s="126" t="n"/>
      <c r="U655" s="126" t="n"/>
      <c r="V655" s="126" t="n"/>
      <c r="W655" s="126" t="n"/>
      <c r="X655" s="126" t="n"/>
      <c r="Y655" s="126" t="n"/>
      <c r="Z655" s="126" t="n"/>
      <c r="AA655" s="126" t="n"/>
      <c r="AB655" s="126" t="n"/>
      <c r="AC655" s="126" t="n"/>
      <c r="AD655" s="126" t="n"/>
      <c r="AE655" s="126" t="n"/>
      <c r="AF655" s="126" t="n"/>
      <c r="AG655" s="126" t="n"/>
      <c r="AH655" s="126" t="n"/>
      <c r="AI655" s="126" t="n"/>
      <c r="AJ655" s="126" t="n"/>
      <c r="AK655" s="126" t="n"/>
      <c r="AL655" s="126" t="n"/>
      <c r="AM655" s="126" t="n"/>
      <c r="AN655" s="126" t="n"/>
    </row>
    <row r="656" ht="21" customFormat="1" customHeight="1" s="127">
      <c r="A656" s="51">
        <f>IF($B656="","",ROW()-6)</f>
        <v/>
      </c>
      <c r="B656" s="268" t="n"/>
      <c r="C656" s="133" t="n"/>
      <c r="D656" s="50" t="n"/>
      <c r="E656" s="265" t="n"/>
      <c r="F656" s="133" t="n"/>
      <c r="G656" s="133" t="n"/>
      <c r="H656" s="50" t="n"/>
      <c r="I656" s="51">
        <f>IF($C656="","",IFERROR(INDEX(WorkerIDs,MATCH($C656,WorkerNames,0)),"?"))</f>
        <v/>
      </c>
      <c r="J656" s="253">
        <f>IF($B656="","",$B656-WEEKDAY($B656,2)+1)</f>
        <v/>
      </c>
      <c r="K656" s="142">
        <f>IF(OR($I656="",$I656="?",$D656&lt;&gt;"Advance",$B656=""),"",$I656&amp;"|"&amp;$J656&amp;"|"&amp;COUNTIFS($I$7:$I656,$I656,$J$7:$J656,$J656,$D$7:$D656,"Advance"))</f>
        <v/>
      </c>
      <c r="L656" s="266">
        <f>IF(OR($I656="",$I656="?",$B656=""),"",SUMPRODUCT((Weeks!$A$7:$A$59&lt;=$J656)*(Weeks!$X$5:$AI$5=$I656)*Weeks!$X$7:$AI$59)-SUMIFS($E$7:$E$1006,$I$7:$I$1006,$I656,$B$7:$B$1006,"&lt;="&amp;$B656))</f>
        <v/>
      </c>
      <c r="M656" s="132">
        <f>IF($B656&amp;$C656&amp;$D656&amp;$E656="","",IF($B656="","missing date",IF($C656="","missing worker",IF($I656="?","unknown worker - was the name changed on Workers?",IF($D656="","missing type",IF(N($E656)=0,"missing amount",IF(AND($E656&lt;0,$D656&lt;&gt;"Correction"),"negative amount - use a Correction to undo",IF(OR($B656&lt;Weeks!$A$7,$B656&gt;Weeks!$B$59),"date outside this workbook's year",IF(AND($D656="Advance",N($L656)&lt;0),"Warning: more than earned so far - worker now owes "&amp;TEXT(ROUND(-$L656,0),"#,##0"),"")))))))))</f>
        <v/>
      </c>
      <c r="N656" s="125" t="n"/>
      <c r="O656" s="126" t="n"/>
      <c r="P656" s="126" t="n"/>
      <c r="Q656" s="126" t="n"/>
      <c r="R656" s="126" t="n"/>
      <c r="S656" s="126" t="n"/>
      <c r="T656" s="126" t="n"/>
      <c r="U656" s="126" t="n"/>
      <c r="V656" s="126" t="n"/>
      <c r="W656" s="126" t="n"/>
      <c r="X656" s="126" t="n"/>
      <c r="Y656" s="126" t="n"/>
      <c r="Z656" s="126" t="n"/>
      <c r="AA656" s="126" t="n"/>
      <c r="AB656" s="126" t="n"/>
      <c r="AC656" s="126" t="n"/>
      <c r="AD656" s="126" t="n"/>
      <c r="AE656" s="126" t="n"/>
      <c r="AF656" s="126" t="n"/>
      <c r="AG656" s="126" t="n"/>
      <c r="AH656" s="126" t="n"/>
      <c r="AI656" s="126" t="n"/>
      <c r="AJ656" s="126" t="n"/>
      <c r="AK656" s="126" t="n"/>
      <c r="AL656" s="126" t="n"/>
      <c r="AM656" s="126" t="n"/>
      <c r="AN656" s="126" t="n"/>
    </row>
    <row r="657" ht="21" customFormat="1" customHeight="1" s="127">
      <c r="A657" s="51">
        <f>IF($B657="","",ROW()-6)</f>
        <v/>
      </c>
      <c r="B657" s="268" t="n"/>
      <c r="C657" s="133" t="n"/>
      <c r="D657" s="50" t="n"/>
      <c r="E657" s="265" t="n"/>
      <c r="F657" s="133" t="n"/>
      <c r="G657" s="133" t="n"/>
      <c r="H657" s="50" t="n"/>
      <c r="I657" s="51">
        <f>IF($C657="","",IFERROR(INDEX(WorkerIDs,MATCH($C657,WorkerNames,0)),"?"))</f>
        <v/>
      </c>
      <c r="J657" s="253">
        <f>IF($B657="","",$B657-WEEKDAY($B657,2)+1)</f>
        <v/>
      </c>
      <c r="K657" s="142">
        <f>IF(OR($I657="",$I657="?",$D657&lt;&gt;"Advance",$B657=""),"",$I657&amp;"|"&amp;$J657&amp;"|"&amp;COUNTIFS($I$7:$I657,$I657,$J$7:$J657,$J657,$D$7:$D657,"Advance"))</f>
        <v/>
      </c>
      <c r="L657" s="266">
        <f>IF(OR($I657="",$I657="?",$B657=""),"",SUMPRODUCT((Weeks!$A$7:$A$59&lt;=$J657)*(Weeks!$X$5:$AI$5=$I657)*Weeks!$X$7:$AI$59)-SUMIFS($E$7:$E$1006,$I$7:$I$1006,$I657,$B$7:$B$1006,"&lt;="&amp;$B657))</f>
        <v/>
      </c>
      <c r="M657" s="132">
        <f>IF($B657&amp;$C657&amp;$D657&amp;$E657="","",IF($B657="","missing date",IF($C657="","missing worker",IF($I657="?","unknown worker - was the name changed on Workers?",IF($D657="","missing type",IF(N($E657)=0,"missing amount",IF(AND($E657&lt;0,$D657&lt;&gt;"Correction"),"negative amount - use a Correction to undo",IF(OR($B657&lt;Weeks!$A$7,$B657&gt;Weeks!$B$59),"date outside this workbook's year",IF(AND($D657="Advance",N($L657)&lt;0),"Warning: more than earned so far - worker now owes "&amp;TEXT(ROUND(-$L657,0),"#,##0"),"")))))))))</f>
        <v/>
      </c>
      <c r="N657" s="125" t="n"/>
      <c r="O657" s="126" t="n"/>
      <c r="P657" s="126" t="n"/>
      <c r="Q657" s="126" t="n"/>
      <c r="R657" s="126" t="n"/>
      <c r="S657" s="126" t="n"/>
      <c r="T657" s="126" t="n"/>
      <c r="U657" s="126" t="n"/>
      <c r="V657" s="126" t="n"/>
      <c r="W657" s="126" t="n"/>
      <c r="X657" s="126" t="n"/>
      <c r="Y657" s="126" t="n"/>
      <c r="Z657" s="126" t="n"/>
      <c r="AA657" s="126" t="n"/>
      <c r="AB657" s="126" t="n"/>
      <c r="AC657" s="126" t="n"/>
      <c r="AD657" s="126" t="n"/>
      <c r="AE657" s="126" t="n"/>
      <c r="AF657" s="126" t="n"/>
      <c r="AG657" s="126" t="n"/>
      <c r="AH657" s="126" t="n"/>
      <c r="AI657" s="126" t="n"/>
      <c r="AJ657" s="126" t="n"/>
      <c r="AK657" s="126" t="n"/>
      <c r="AL657" s="126" t="n"/>
      <c r="AM657" s="126" t="n"/>
      <c r="AN657" s="126" t="n"/>
    </row>
    <row r="658" ht="21" customFormat="1" customHeight="1" s="127">
      <c r="A658" s="51">
        <f>IF($B658="","",ROW()-6)</f>
        <v/>
      </c>
      <c r="B658" s="268" t="n"/>
      <c r="C658" s="133" t="n"/>
      <c r="D658" s="50" t="n"/>
      <c r="E658" s="265" t="n"/>
      <c r="F658" s="133" t="n"/>
      <c r="G658" s="133" t="n"/>
      <c r="H658" s="50" t="n"/>
      <c r="I658" s="51">
        <f>IF($C658="","",IFERROR(INDEX(WorkerIDs,MATCH($C658,WorkerNames,0)),"?"))</f>
        <v/>
      </c>
      <c r="J658" s="253">
        <f>IF($B658="","",$B658-WEEKDAY($B658,2)+1)</f>
        <v/>
      </c>
      <c r="K658" s="142">
        <f>IF(OR($I658="",$I658="?",$D658&lt;&gt;"Advance",$B658=""),"",$I658&amp;"|"&amp;$J658&amp;"|"&amp;COUNTIFS($I$7:$I658,$I658,$J$7:$J658,$J658,$D$7:$D658,"Advance"))</f>
        <v/>
      </c>
      <c r="L658" s="266">
        <f>IF(OR($I658="",$I658="?",$B658=""),"",SUMPRODUCT((Weeks!$A$7:$A$59&lt;=$J658)*(Weeks!$X$5:$AI$5=$I658)*Weeks!$X$7:$AI$59)-SUMIFS($E$7:$E$1006,$I$7:$I$1006,$I658,$B$7:$B$1006,"&lt;="&amp;$B658))</f>
        <v/>
      </c>
      <c r="M658" s="132">
        <f>IF($B658&amp;$C658&amp;$D658&amp;$E658="","",IF($B658="","missing date",IF($C658="","missing worker",IF($I658="?","unknown worker - was the name changed on Workers?",IF($D658="","missing type",IF(N($E658)=0,"missing amount",IF(AND($E658&lt;0,$D658&lt;&gt;"Correction"),"negative amount - use a Correction to undo",IF(OR($B658&lt;Weeks!$A$7,$B658&gt;Weeks!$B$59),"date outside this workbook's year",IF(AND($D658="Advance",N($L658)&lt;0),"Warning: more than earned so far - worker now owes "&amp;TEXT(ROUND(-$L658,0),"#,##0"),"")))))))))</f>
        <v/>
      </c>
      <c r="N658" s="125" t="n"/>
      <c r="O658" s="126" t="n"/>
      <c r="P658" s="126" t="n"/>
      <c r="Q658" s="126" t="n"/>
      <c r="R658" s="126" t="n"/>
      <c r="S658" s="126" t="n"/>
      <c r="T658" s="126" t="n"/>
      <c r="U658" s="126" t="n"/>
      <c r="V658" s="126" t="n"/>
      <c r="W658" s="126" t="n"/>
      <c r="X658" s="126" t="n"/>
      <c r="Y658" s="126" t="n"/>
      <c r="Z658" s="126" t="n"/>
      <c r="AA658" s="126" t="n"/>
      <c r="AB658" s="126" t="n"/>
      <c r="AC658" s="126" t="n"/>
      <c r="AD658" s="126" t="n"/>
      <c r="AE658" s="126" t="n"/>
      <c r="AF658" s="126" t="n"/>
      <c r="AG658" s="126" t="n"/>
      <c r="AH658" s="126" t="n"/>
      <c r="AI658" s="126" t="n"/>
      <c r="AJ658" s="126" t="n"/>
      <c r="AK658" s="126" t="n"/>
      <c r="AL658" s="126" t="n"/>
      <c r="AM658" s="126" t="n"/>
      <c r="AN658" s="126" t="n"/>
    </row>
    <row r="659" ht="21" customFormat="1" customHeight="1" s="127">
      <c r="A659" s="51">
        <f>IF($B659="","",ROW()-6)</f>
        <v/>
      </c>
      <c r="B659" s="268" t="n"/>
      <c r="C659" s="133" t="n"/>
      <c r="D659" s="50" t="n"/>
      <c r="E659" s="265" t="n"/>
      <c r="F659" s="133" t="n"/>
      <c r="G659" s="133" t="n"/>
      <c r="H659" s="50" t="n"/>
      <c r="I659" s="51">
        <f>IF($C659="","",IFERROR(INDEX(WorkerIDs,MATCH($C659,WorkerNames,0)),"?"))</f>
        <v/>
      </c>
      <c r="J659" s="253">
        <f>IF($B659="","",$B659-WEEKDAY($B659,2)+1)</f>
        <v/>
      </c>
      <c r="K659" s="142">
        <f>IF(OR($I659="",$I659="?",$D659&lt;&gt;"Advance",$B659=""),"",$I659&amp;"|"&amp;$J659&amp;"|"&amp;COUNTIFS($I$7:$I659,$I659,$J$7:$J659,$J659,$D$7:$D659,"Advance"))</f>
        <v/>
      </c>
      <c r="L659" s="266">
        <f>IF(OR($I659="",$I659="?",$B659=""),"",SUMPRODUCT((Weeks!$A$7:$A$59&lt;=$J659)*(Weeks!$X$5:$AI$5=$I659)*Weeks!$X$7:$AI$59)-SUMIFS($E$7:$E$1006,$I$7:$I$1006,$I659,$B$7:$B$1006,"&lt;="&amp;$B659))</f>
        <v/>
      </c>
      <c r="M659" s="132">
        <f>IF($B659&amp;$C659&amp;$D659&amp;$E659="","",IF($B659="","missing date",IF($C659="","missing worker",IF($I659="?","unknown worker - was the name changed on Workers?",IF($D659="","missing type",IF(N($E659)=0,"missing amount",IF(AND($E659&lt;0,$D659&lt;&gt;"Correction"),"negative amount - use a Correction to undo",IF(OR($B659&lt;Weeks!$A$7,$B659&gt;Weeks!$B$59),"date outside this workbook's year",IF(AND($D659="Advance",N($L659)&lt;0),"Warning: more than earned so far - worker now owes "&amp;TEXT(ROUND(-$L659,0),"#,##0"),"")))))))))</f>
        <v/>
      </c>
      <c r="N659" s="125" t="n"/>
      <c r="O659" s="126" t="n"/>
      <c r="P659" s="126" t="n"/>
      <c r="Q659" s="126" t="n"/>
      <c r="R659" s="126" t="n"/>
      <c r="S659" s="126" t="n"/>
      <c r="T659" s="126" t="n"/>
      <c r="U659" s="126" t="n"/>
      <c r="V659" s="126" t="n"/>
      <c r="W659" s="126" t="n"/>
      <c r="X659" s="126" t="n"/>
      <c r="Y659" s="126" t="n"/>
      <c r="Z659" s="126" t="n"/>
      <c r="AA659" s="126" t="n"/>
      <c r="AB659" s="126" t="n"/>
      <c r="AC659" s="126" t="n"/>
      <c r="AD659" s="126" t="n"/>
      <c r="AE659" s="126" t="n"/>
      <c r="AF659" s="126" t="n"/>
      <c r="AG659" s="126" t="n"/>
      <c r="AH659" s="126" t="n"/>
      <c r="AI659" s="126" t="n"/>
      <c r="AJ659" s="126" t="n"/>
      <c r="AK659" s="126" t="n"/>
      <c r="AL659" s="126" t="n"/>
      <c r="AM659" s="126" t="n"/>
      <c r="AN659" s="126" t="n"/>
    </row>
    <row r="660" ht="21" customFormat="1" customHeight="1" s="127">
      <c r="A660" s="51">
        <f>IF($B660="","",ROW()-6)</f>
        <v/>
      </c>
      <c r="B660" s="268" t="n"/>
      <c r="C660" s="133" t="n"/>
      <c r="D660" s="50" t="n"/>
      <c r="E660" s="265" t="n"/>
      <c r="F660" s="133" t="n"/>
      <c r="G660" s="133" t="n"/>
      <c r="H660" s="50" t="n"/>
      <c r="I660" s="51">
        <f>IF($C660="","",IFERROR(INDEX(WorkerIDs,MATCH($C660,WorkerNames,0)),"?"))</f>
        <v/>
      </c>
      <c r="J660" s="253">
        <f>IF($B660="","",$B660-WEEKDAY($B660,2)+1)</f>
        <v/>
      </c>
      <c r="K660" s="142">
        <f>IF(OR($I660="",$I660="?",$D660&lt;&gt;"Advance",$B660=""),"",$I660&amp;"|"&amp;$J660&amp;"|"&amp;COUNTIFS($I$7:$I660,$I660,$J$7:$J660,$J660,$D$7:$D660,"Advance"))</f>
        <v/>
      </c>
      <c r="L660" s="266">
        <f>IF(OR($I660="",$I660="?",$B660=""),"",SUMPRODUCT((Weeks!$A$7:$A$59&lt;=$J660)*(Weeks!$X$5:$AI$5=$I660)*Weeks!$X$7:$AI$59)-SUMIFS($E$7:$E$1006,$I$7:$I$1006,$I660,$B$7:$B$1006,"&lt;="&amp;$B660))</f>
        <v/>
      </c>
      <c r="M660" s="132">
        <f>IF($B660&amp;$C660&amp;$D660&amp;$E660="","",IF($B660="","missing date",IF($C660="","missing worker",IF($I660="?","unknown worker - was the name changed on Workers?",IF($D660="","missing type",IF(N($E660)=0,"missing amount",IF(AND($E660&lt;0,$D660&lt;&gt;"Correction"),"negative amount - use a Correction to undo",IF(OR($B660&lt;Weeks!$A$7,$B660&gt;Weeks!$B$59),"date outside this workbook's year",IF(AND($D660="Advance",N($L660)&lt;0),"Warning: more than earned so far - worker now owes "&amp;TEXT(ROUND(-$L660,0),"#,##0"),"")))))))))</f>
        <v/>
      </c>
      <c r="N660" s="125" t="n"/>
      <c r="O660" s="126" t="n"/>
      <c r="P660" s="126" t="n"/>
      <c r="Q660" s="126" t="n"/>
      <c r="R660" s="126" t="n"/>
      <c r="S660" s="126" t="n"/>
      <c r="T660" s="126" t="n"/>
      <c r="U660" s="126" t="n"/>
      <c r="V660" s="126" t="n"/>
      <c r="W660" s="126" t="n"/>
      <c r="X660" s="126" t="n"/>
      <c r="Y660" s="126" t="n"/>
      <c r="Z660" s="126" t="n"/>
      <c r="AA660" s="126" t="n"/>
      <c r="AB660" s="126" t="n"/>
      <c r="AC660" s="126" t="n"/>
      <c r="AD660" s="126" t="n"/>
      <c r="AE660" s="126" t="n"/>
      <c r="AF660" s="126" t="n"/>
      <c r="AG660" s="126" t="n"/>
      <c r="AH660" s="126" t="n"/>
      <c r="AI660" s="126" t="n"/>
      <c r="AJ660" s="126" t="n"/>
      <c r="AK660" s="126" t="n"/>
      <c r="AL660" s="126" t="n"/>
      <c r="AM660" s="126" t="n"/>
      <c r="AN660" s="126" t="n"/>
    </row>
    <row r="661" ht="21" customFormat="1" customHeight="1" s="127">
      <c r="A661" s="51">
        <f>IF($B661="","",ROW()-6)</f>
        <v/>
      </c>
      <c r="B661" s="268" t="n"/>
      <c r="C661" s="133" t="n"/>
      <c r="D661" s="50" t="n"/>
      <c r="E661" s="265" t="n"/>
      <c r="F661" s="133" t="n"/>
      <c r="G661" s="133" t="n"/>
      <c r="H661" s="50" t="n"/>
      <c r="I661" s="51">
        <f>IF($C661="","",IFERROR(INDEX(WorkerIDs,MATCH($C661,WorkerNames,0)),"?"))</f>
        <v/>
      </c>
      <c r="J661" s="253">
        <f>IF($B661="","",$B661-WEEKDAY($B661,2)+1)</f>
        <v/>
      </c>
      <c r="K661" s="142">
        <f>IF(OR($I661="",$I661="?",$D661&lt;&gt;"Advance",$B661=""),"",$I661&amp;"|"&amp;$J661&amp;"|"&amp;COUNTIFS($I$7:$I661,$I661,$J$7:$J661,$J661,$D$7:$D661,"Advance"))</f>
        <v/>
      </c>
      <c r="L661" s="266">
        <f>IF(OR($I661="",$I661="?",$B661=""),"",SUMPRODUCT((Weeks!$A$7:$A$59&lt;=$J661)*(Weeks!$X$5:$AI$5=$I661)*Weeks!$X$7:$AI$59)-SUMIFS($E$7:$E$1006,$I$7:$I$1006,$I661,$B$7:$B$1006,"&lt;="&amp;$B661))</f>
        <v/>
      </c>
      <c r="M661" s="132">
        <f>IF($B661&amp;$C661&amp;$D661&amp;$E661="","",IF($B661="","missing date",IF($C661="","missing worker",IF($I661="?","unknown worker - was the name changed on Workers?",IF($D661="","missing type",IF(N($E661)=0,"missing amount",IF(AND($E661&lt;0,$D661&lt;&gt;"Correction"),"negative amount - use a Correction to undo",IF(OR($B661&lt;Weeks!$A$7,$B661&gt;Weeks!$B$59),"date outside this workbook's year",IF(AND($D661="Advance",N($L661)&lt;0),"Warning: more than earned so far - worker now owes "&amp;TEXT(ROUND(-$L661,0),"#,##0"),"")))))))))</f>
        <v/>
      </c>
      <c r="N661" s="125" t="n"/>
      <c r="O661" s="126" t="n"/>
      <c r="P661" s="126" t="n"/>
      <c r="Q661" s="126" t="n"/>
      <c r="R661" s="126" t="n"/>
      <c r="S661" s="126" t="n"/>
      <c r="T661" s="126" t="n"/>
      <c r="U661" s="126" t="n"/>
      <c r="V661" s="126" t="n"/>
      <c r="W661" s="126" t="n"/>
      <c r="X661" s="126" t="n"/>
      <c r="Y661" s="126" t="n"/>
      <c r="Z661" s="126" t="n"/>
      <c r="AA661" s="126" t="n"/>
      <c r="AB661" s="126" t="n"/>
      <c r="AC661" s="126" t="n"/>
      <c r="AD661" s="126" t="n"/>
      <c r="AE661" s="126" t="n"/>
      <c r="AF661" s="126" t="n"/>
      <c r="AG661" s="126" t="n"/>
      <c r="AH661" s="126" t="n"/>
      <c r="AI661" s="126" t="n"/>
      <c r="AJ661" s="126" t="n"/>
      <c r="AK661" s="126" t="n"/>
      <c r="AL661" s="126" t="n"/>
      <c r="AM661" s="126" t="n"/>
      <c r="AN661" s="126" t="n"/>
    </row>
    <row r="662" ht="21" customFormat="1" customHeight="1" s="127">
      <c r="A662" s="51">
        <f>IF($B662="","",ROW()-6)</f>
        <v/>
      </c>
      <c r="B662" s="268" t="n"/>
      <c r="C662" s="133" t="n"/>
      <c r="D662" s="50" t="n"/>
      <c r="E662" s="265" t="n"/>
      <c r="F662" s="133" t="n"/>
      <c r="G662" s="133" t="n"/>
      <c r="H662" s="50" t="n"/>
      <c r="I662" s="51">
        <f>IF($C662="","",IFERROR(INDEX(WorkerIDs,MATCH($C662,WorkerNames,0)),"?"))</f>
        <v/>
      </c>
      <c r="J662" s="253">
        <f>IF($B662="","",$B662-WEEKDAY($B662,2)+1)</f>
        <v/>
      </c>
      <c r="K662" s="142">
        <f>IF(OR($I662="",$I662="?",$D662&lt;&gt;"Advance",$B662=""),"",$I662&amp;"|"&amp;$J662&amp;"|"&amp;COUNTIFS($I$7:$I662,$I662,$J$7:$J662,$J662,$D$7:$D662,"Advance"))</f>
        <v/>
      </c>
      <c r="L662" s="266">
        <f>IF(OR($I662="",$I662="?",$B662=""),"",SUMPRODUCT((Weeks!$A$7:$A$59&lt;=$J662)*(Weeks!$X$5:$AI$5=$I662)*Weeks!$X$7:$AI$59)-SUMIFS($E$7:$E$1006,$I$7:$I$1006,$I662,$B$7:$B$1006,"&lt;="&amp;$B662))</f>
        <v/>
      </c>
      <c r="M662" s="132">
        <f>IF($B662&amp;$C662&amp;$D662&amp;$E662="","",IF($B662="","missing date",IF($C662="","missing worker",IF($I662="?","unknown worker - was the name changed on Workers?",IF($D662="","missing type",IF(N($E662)=0,"missing amount",IF(AND($E662&lt;0,$D662&lt;&gt;"Correction"),"negative amount - use a Correction to undo",IF(OR($B662&lt;Weeks!$A$7,$B662&gt;Weeks!$B$59),"date outside this workbook's year",IF(AND($D662="Advance",N($L662)&lt;0),"Warning: more than earned so far - worker now owes "&amp;TEXT(ROUND(-$L662,0),"#,##0"),"")))))))))</f>
        <v/>
      </c>
      <c r="N662" s="125" t="n"/>
      <c r="O662" s="126" t="n"/>
      <c r="P662" s="126" t="n"/>
      <c r="Q662" s="126" t="n"/>
      <c r="R662" s="126" t="n"/>
      <c r="S662" s="126" t="n"/>
      <c r="T662" s="126" t="n"/>
      <c r="U662" s="126" t="n"/>
      <c r="V662" s="126" t="n"/>
      <c r="W662" s="126" t="n"/>
      <c r="X662" s="126" t="n"/>
      <c r="Y662" s="126" t="n"/>
      <c r="Z662" s="126" t="n"/>
      <c r="AA662" s="126" t="n"/>
      <c r="AB662" s="126" t="n"/>
      <c r="AC662" s="126" t="n"/>
      <c r="AD662" s="126" t="n"/>
      <c r="AE662" s="126" t="n"/>
      <c r="AF662" s="126" t="n"/>
      <c r="AG662" s="126" t="n"/>
      <c r="AH662" s="126" t="n"/>
      <c r="AI662" s="126" t="n"/>
      <c r="AJ662" s="126" t="n"/>
      <c r="AK662" s="126" t="n"/>
      <c r="AL662" s="126" t="n"/>
      <c r="AM662" s="126" t="n"/>
      <c r="AN662" s="126" t="n"/>
    </row>
    <row r="663" ht="21" customFormat="1" customHeight="1" s="127">
      <c r="A663" s="51">
        <f>IF($B663="","",ROW()-6)</f>
        <v/>
      </c>
      <c r="B663" s="268" t="n"/>
      <c r="C663" s="133" t="n"/>
      <c r="D663" s="50" t="n"/>
      <c r="E663" s="265" t="n"/>
      <c r="F663" s="133" t="n"/>
      <c r="G663" s="133" t="n"/>
      <c r="H663" s="50" t="n"/>
      <c r="I663" s="51">
        <f>IF($C663="","",IFERROR(INDEX(WorkerIDs,MATCH($C663,WorkerNames,0)),"?"))</f>
        <v/>
      </c>
      <c r="J663" s="253">
        <f>IF($B663="","",$B663-WEEKDAY($B663,2)+1)</f>
        <v/>
      </c>
      <c r="K663" s="142">
        <f>IF(OR($I663="",$I663="?",$D663&lt;&gt;"Advance",$B663=""),"",$I663&amp;"|"&amp;$J663&amp;"|"&amp;COUNTIFS($I$7:$I663,$I663,$J$7:$J663,$J663,$D$7:$D663,"Advance"))</f>
        <v/>
      </c>
      <c r="L663" s="266">
        <f>IF(OR($I663="",$I663="?",$B663=""),"",SUMPRODUCT((Weeks!$A$7:$A$59&lt;=$J663)*(Weeks!$X$5:$AI$5=$I663)*Weeks!$X$7:$AI$59)-SUMIFS($E$7:$E$1006,$I$7:$I$1006,$I663,$B$7:$B$1006,"&lt;="&amp;$B663))</f>
        <v/>
      </c>
      <c r="M663" s="132">
        <f>IF($B663&amp;$C663&amp;$D663&amp;$E663="","",IF($B663="","missing date",IF($C663="","missing worker",IF($I663="?","unknown worker - was the name changed on Workers?",IF($D663="","missing type",IF(N($E663)=0,"missing amount",IF(AND($E663&lt;0,$D663&lt;&gt;"Correction"),"negative amount - use a Correction to undo",IF(OR($B663&lt;Weeks!$A$7,$B663&gt;Weeks!$B$59),"date outside this workbook's year",IF(AND($D663="Advance",N($L663)&lt;0),"Warning: more than earned so far - worker now owes "&amp;TEXT(ROUND(-$L663,0),"#,##0"),"")))))))))</f>
        <v/>
      </c>
      <c r="N663" s="125" t="n"/>
      <c r="O663" s="126" t="n"/>
      <c r="P663" s="126" t="n"/>
      <c r="Q663" s="126" t="n"/>
      <c r="R663" s="126" t="n"/>
      <c r="S663" s="126" t="n"/>
      <c r="T663" s="126" t="n"/>
      <c r="U663" s="126" t="n"/>
      <c r="V663" s="126" t="n"/>
      <c r="W663" s="126" t="n"/>
      <c r="X663" s="126" t="n"/>
      <c r="Y663" s="126" t="n"/>
      <c r="Z663" s="126" t="n"/>
      <c r="AA663" s="126" t="n"/>
      <c r="AB663" s="126" t="n"/>
      <c r="AC663" s="126" t="n"/>
      <c r="AD663" s="126" t="n"/>
      <c r="AE663" s="126" t="n"/>
      <c r="AF663" s="126" t="n"/>
      <c r="AG663" s="126" t="n"/>
      <c r="AH663" s="126" t="n"/>
      <c r="AI663" s="126" t="n"/>
      <c r="AJ663" s="126" t="n"/>
      <c r="AK663" s="126" t="n"/>
      <c r="AL663" s="126" t="n"/>
      <c r="AM663" s="126" t="n"/>
      <c r="AN663" s="126" t="n"/>
    </row>
    <row r="664" ht="21" customFormat="1" customHeight="1" s="127">
      <c r="A664" s="51">
        <f>IF($B664="","",ROW()-6)</f>
        <v/>
      </c>
      <c r="B664" s="268" t="n"/>
      <c r="C664" s="133" t="n"/>
      <c r="D664" s="50" t="n"/>
      <c r="E664" s="265" t="n"/>
      <c r="F664" s="133" t="n"/>
      <c r="G664" s="133" t="n"/>
      <c r="H664" s="50" t="n"/>
      <c r="I664" s="51">
        <f>IF($C664="","",IFERROR(INDEX(WorkerIDs,MATCH($C664,WorkerNames,0)),"?"))</f>
        <v/>
      </c>
      <c r="J664" s="253">
        <f>IF($B664="","",$B664-WEEKDAY($B664,2)+1)</f>
        <v/>
      </c>
      <c r="K664" s="142">
        <f>IF(OR($I664="",$I664="?",$D664&lt;&gt;"Advance",$B664=""),"",$I664&amp;"|"&amp;$J664&amp;"|"&amp;COUNTIFS($I$7:$I664,$I664,$J$7:$J664,$J664,$D$7:$D664,"Advance"))</f>
        <v/>
      </c>
      <c r="L664" s="266">
        <f>IF(OR($I664="",$I664="?",$B664=""),"",SUMPRODUCT((Weeks!$A$7:$A$59&lt;=$J664)*(Weeks!$X$5:$AI$5=$I664)*Weeks!$X$7:$AI$59)-SUMIFS($E$7:$E$1006,$I$7:$I$1006,$I664,$B$7:$B$1006,"&lt;="&amp;$B664))</f>
        <v/>
      </c>
      <c r="M664" s="132">
        <f>IF($B664&amp;$C664&amp;$D664&amp;$E664="","",IF($B664="","missing date",IF($C664="","missing worker",IF($I664="?","unknown worker - was the name changed on Workers?",IF($D664="","missing type",IF(N($E664)=0,"missing amount",IF(AND($E664&lt;0,$D664&lt;&gt;"Correction"),"negative amount - use a Correction to undo",IF(OR($B664&lt;Weeks!$A$7,$B664&gt;Weeks!$B$59),"date outside this workbook's year",IF(AND($D664="Advance",N($L664)&lt;0),"Warning: more than earned so far - worker now owes "&amp;TEXT(ROUND(-$L664,0),"#,##0"),"")))))))))</f>
        <v/>
      </c>
      <c r="N664" s="125" t="n"/>
      <c r="O664" s="126" t="n"/>
      <c r="P664" s="126" t="n"/>
      <c r="Q664" s="126" t="n"/>
      <c r="R664" s="126" t="n"/>
      <c r="S664" s="126" t="n"/>
      <c r="T664" s="126" t="n"/>
      <c r="U664" s="126" t="n"/>
      <c r="V664" s="126" t="n"/>
      <c r="W664" s="126" t="n"/>
      <c r="X664" s="126" t="n"/>
      <c r="Y664" s="126" t="n"/>
      <c r="Z664" s="126" t="n"/>
      <c r="AA664" s="126" t="n"/>
      <c r="AB664" s="126" t="n"/>
      <c r="AC664" s="126" t="n"/>
      <c r="AD664" s="126" t="n"/>
      <c r="AE664" s="126" t="n"/>
      <c r="AF664" s="126" t="n"/>
      <c r="AG664" s="126" t="n"/>
      <c r="AH664" s="126" t="n"/>
      <c r="AI664" s="126" t="n"/>
      <c r="AJ664" s="126" t="n"/>
      <c r="AK664" s="126" t="n"/>
      <c r="AL664" s="126" t="n"/>
      <c r="AM664" s="126" t="n"/>
      <c r="AN664" s="126" t="n"/>
    </row>
    <row r="665" ht="21" customFormat="1" customHeight="1" s="127">
      <c r="A665" s="51">
        <f>IF($B665="","",ROW()-6)</f>
        <v/>
      </c>
      <c r="B665" s="268" t="n"/>
      <c r="C665" s="133" t="n"/>
      <c r="D665" s="50" t="n"/>
      <c r="E665" s="265" t="n"/>
      <c r="F665" s="133" t="n"/>
      <c r="G665" s="133" t="n"/>
      <c r="H665" s="50" t="n"/>
      <c r="I665" s="51">
        <f>IF($C665="","",IFERROR(INDEX(WorkerIDs,MATCH($C665,WorkerNames,0)),"?"))</f>
        <v/>
      </c>
      <c r="J665" s="253">
        <f>IF($B665="","",$B665-WEEKDAY($B665,2)+1)</f>
        <v/>
      </c>
      <c r="K665" s="142">
        <f>IF(OR($I665="",$I665="?",$D665&lt;&gt;"Advance",$B665=""),"",$I665&amp;"|"&amp;$J665&amp;"|"&amp;COUNTIFS($I$7:$I665,$I665,$J$7:$J665,$J665,$D$7:$D665,"Advance"))</f>
        <v/>
      </c>
      <c r="L665" s="266">
        <f>IF(OR($I665="",$I665="?",$B665=""),"",SUMPRODUCT((Weeks!$A$7:$A$59&lt;=$J665)*(Weeks!$X$5:$AI$5=$I665)*Weeks!$X$7:$AI$59)-SUMIFS($E$7:$E$1006,$I$7:$I$1006,$I665,$B$7:$B$1006,"&lt;="&amp;$B665))</f>
        <v/>
      </c>
      <c r="M665" s="132">
        <f>IF($B665&amp;$C665&amp;$D665&amp;$E665="","",IF($B665="","missing date",IF($C665="","missing worker",IF($I665="?","unknown worker - was the name changed on Workers?",IF($D665="","missing type",IF(N($E665)=0,"missing amount",IF(AND($E665&lt;0,$D665&lt;&gt;"Correction"),"negative amount - use a Correction to undo",IF(OR($B665&lt;Weeks!$A$7,$B665&gt;Weeks!$B$59),"date outside this workbook's year",IF(AND($D665="Advance",N($L665)&lt;0),"Warning: more than earned so far - worker now owes "&amp;TEXT(ROUND(-$L665,0),"#,##0"),"")))))))))</f>
        <v/>
      </c>
      <c r="N665" s="125" t="n"/>
      <c r="O665" s="126" t="n"/>
      <c r="P665" s="126" t="n"/>
      <c r="Q665" s="126" t="n"/>
      <c r="R665" s="126" t="n"/>
      <c r="S665" s="126" t="n"/>
      <c r="T665" s="126" t="n"/>
      <c r="U665" s="126" t="n"/>
      <c r="V665" s="126" t="n"/>
      <c r="W665" s="126" t="n"/>
      <c r="X665" s="126" t="n"/>
      <c r="Y665" s="126" t="n"/>
      <c r="Z665" s="126" t="n"/>
      <c r="AA665" s="126" t="n"/>
      <c r="AB665" s="126" t="n"/>
      <c r="AC665" s="126" t="n"/>
      <c r="AD665" s="126" t="n"/>
      <c r="AE665" s="126" t="n"/>
      <c r="AF665" s="126" t="n"/>
      <c r="AG665" s="126" t="n"/>
      <c r="AH665" s="126" t="n"/>
      <c r="AI665" s="126" t="n"/>
      <c r="AJ665" s="126" t="n"/>
      <c r="AK665" s="126" t="n"/>
      <c r="AL665" s="126" t="n"/>
      <c r="AM665" s="126" t="n"/>
      <c r="AN665" s="126" t="n"/>
    </row>
    <row r="666" ht="21" customFormat="1" customHeight="1" s="127">
      <c r="A666" s="51">
        <f>IF($B666="","",ROW()-6)</f>
        <v/>
      </c>
      <c r="B666" s="268" t="n"/>
      <c r="C666" s="133" t="n"/>
      <c r="D666" s="50" t="n"/>
      <c r="E666" s="265" t="n"/>
      <c r="F666" s="133" t="n"/>
      <c r="G666" s="133" t="n"/>
      <c r="H666" s="50" t="n"/>
      <c r="I666" s="51">
        <f>IF($C666="","",IFERROR(INDEX(WorkerIDs,MATCH($C666,WorkerNames,0)),"?"))</f>
        <v/>
      </c>
      <c r="J666" s="253">
        <f>IF($B666="","",$B666-WEEKDAY($B666,2)+1)</f>
        <v/>
      </c>
      <c r="K666" s="142">
        <f>IF(OR($I666="",$I666="?",$D666&lt;&gt;"Advance",$B666=""),"",$I666&amp;"|"&amp;$J666&amp;"|"&amp;COUNTIFS($I$7:$I666,$I666,$J$7:$J666,$J666,$D$7:$D666,"Advance"))</f>
        <v/>
      </c>
      <c r="L666" s="266">
        <f>IF(OR($I666="",$I666="?",$B666=""),"",SUMPRODUCT((Weeks!$A$7:$A$59&lt;=$J666)*(Weeks!$X$5:$AI$5=$I666)*Weeks!$X$7:$AI$59)-SUMIFS($E$7:$E$1006,$I$7:$I$1006,$I666,$B$7:$B$1006,"&lt;="&amp;$B666))</f>
        <v/>
      </c>
      <c r="M666" s="132">
        <f>IF($B666&amp;$C666&amp;$D666&amp;$E666="","",IF($B666="","missing date",IF($C666="","missing worker",IF($I666="?","unknown worker - was the name changed on Workers?",IF($D666="","missing type",IF(N($E666)=0,"missing amount",IF(AND($E666&lt;0,$D666&lt;&gt;"Correction"),"negative amount - use a Correction to undo",IF(OR($B666&lt;Weeks!$A$7,$B666&gt;Weeks!$B$59),"date outside this workbook's year",IF(AND($D666="Advance",N($L666)&lt;0),"Warning: more than earned so far - worker now owes "&amp;TEXT(ROUND(-$L666,0),"#,##0"),"")))))))))</f>
        <v/>
      </c>
      <c r="N666" s="125" t="n"/>
      <c r="O666" s="126" t="n"/>
      <c r="P666" s="126" t="n"/>
      <c r="Q666" s="126" t="n"/>
      <c r="R666" s="126" t="n"/>
      <c r="S666" s="126" t="n"/>
      <c r="T666" s="126" t="n"/>
      <c r="U666" s="126" t="n"/>
      <c r="V666" s="126" t="n"/>
      <c r="W666" s="126" t="n"/>
      <c r="X666" s="126" t="n"/>
      <c r="Y666" s="126" t="n"/>
      <c r="Z666" s="126" t="n"/>
      <c r="AA666" s="126" t="n"/>
      <c r="AB666" s="126" t="n"/>
      <c r="AC666" s="126" t="n"/>
      <c r="AD666" s="126" t="n"/>
      <c r="AE666" s="126" t="n"/>
      <c r="AF666" s="126" t="n"/>
      <c r="AG666" s="126" t="n"/>
      <c r="AH666" s="126" t="n"/>
      <c r="AI666" s="126" t="n"/>
      <c r="AJ666" s="126" t="n"/>
      <c r="AK666" s="126" t="n"/>
      <c r="AL666" s="126" t="n"/>
      <c r="AM666" s="126" t="n"/>
      <c r="AN666" s="126" t="n"/>
    </row>
    <row r="667" ht="21" customFormat="1" customHeight="1" s="127">
      <c r="A667" s="51">
        <f>IF($B667="","",ROW()-6)</f>
        <v/>
      </c>
      <c r="B667" s="268" t="n"/>
      <c r="C667" s="133" t="n"/>
      <c r="D667" s="50" t="n"/>
      <c r="E667" s="265" t="n"/>
      <c r="F667" s="133" t="n"/>
      <c r="G667" s="133" t="n"/>
      <c r="H667" s="50" t="n"/>
      <c r="I667" s="51">
        <f>IF($C667="","",IFERROR(INDEX(WorkerIDs,MATCH($C667,WorkerNames,0)),"?"))</f>
        <v/>
      </c>
      <c r="J667" s="253">
        <f>IF($B667="","",$B667-WEEKDAY($B667,2)+1)</f>
        <v/>
      </c>
      <c r="K667" s="142">
        <f>IF(OR($I667="",$I667="?",$D667&lt;&gt;"Advance",$B667=""),"",$I667&amp;"|"&amp;$J667&amp;"|"&amp;COUNTIFS($I$7:$I667,$I667,$J$7:$J667,$J667,$D$7:$D667,"Advance"))</f>
        <v/>
      </c>
      <c r="L667" s="266">
        <f>IF(OR($I667="",$I667="?",$B667=""),"",SUMPRODUCT((Weeks!$A$7:$A$59&lt;=$J667)*(Weeks!$X$5:$AI$5=$I667)*Weeks!$X$7:$AI$59)-SUMIFS($E$7:$E$1006,$I$7:$I$1006,$I667,$B$7:$B$1006,"&lt;="&amp;$B667))</f>
        <v/>
      </c>
      <c r="M667" s="132">
        <f>IF($B667&amp;$C667&amp;$D667&amp;$E667="","",IF($B667="","missing date",IF($C667="","missing worker",IF($I667="?","unknown worker - was the name changed on Workers?",IF($D667="","missing type",IF(N($E667)=0,"missing amount",IF(AND($E667&lt;0,$D667&lt;&gt;"Correction"),"negative amount - use a Correction to undo",IF(OR($B667&lt;Weeks!$A$7,$B667&gt;Weeks!$B$59),"date outside this workbook's year",IF(AND($D667="Advance",N($L667)&lt;0),"Warning: more than earned so far - worker now owes "&amp;TEXT(ROUND(-$L667,0),"#,##0"),"")))))))))</f>
        <v/>
      </c>
      <c r="N667" s="125" t="n"/>
      <c r="O667" s="126" t="n"/>
      <c r="P667" s="126" t="n"/>
      <c r="Q667" s="126" t="n"/>
      <c r="R667" s="126" t="n"/>
      <c r="S667" s="126" t="n"/>
      <c r="T667" s="126" t="n"/>
      <c r="U667" s="126" t="n"/>
      <c r="V667" s="126" t="n"/>
      <c r="W667" s="126" t="n"/>
      <c r="X667" s="126" t="n"/>
      <c r="Y667" s="126" t="n"/>
      <c r="Z667" s="126" t="n"/>
      <c r="AA667" s="126" t="n"/>
      <c r="AB667" s="126" t="n"/>
      <c r="AC667" s="126" t="n"/>
      <c r="AD667" s="126" t="n"/>
      <c r="AE667" s="126" t="n"/>
      <c r="AF667" s="126" t="n"/>
      <c r="AG667" s="126" t="n"/>
      <c r="AH667" s="126" t="n"/>
      <c r="AI667" s="126" t="n"/>
      <c r="AJ667" s="126" t="n"/>
      <c r="AK667" s="126" t="n"/>
      <c r="AL667" s="126" t="n"/>
      <c r="AM667" s="126" t="n"/>
      <c r="AN667" s="126" t="n"/>
    </row>
    <row r="668" ht="21" customFormat="1" customHeight="1" s="127">
      <c r="A668" s="51">
        <f>IF($B668="","",ROW()-6)</f>
        <v/>
      </c>
      <c r="B668" s="268" t="n"/>
      <c r="C668" s="133" t="n"/>
      <c r="D668" s="50" t="n"/>
      <c r="E668" s="265" t="n"/>
      <c r="F668" s="133" t="n"/>
      <c r="G668" s="133" t="n"/>
      <c r="H668" s="50" t="n"/>
      <c r="I668" s="51">
        <f>IF($C668="","",IFERROR(INDEX(WorkerIDs,MATCH($C668,WorkerNames,0)),"?"))</f>
        <v/>
      </c>
      <c r="J668" s="253">
        <f>IF($B668="","",$B668-WEEKDAY($B668,2)+1)</f>
        <v/>
      </c>
      <c r="K668" s="142">
        <f>IF(OR($I668="",$I668="?",$D668&lt;&gt;"Advance",$B668=""),"",$I668&amp;"|"&amp;$J668&amp;"|"&amp;COUNTIFS($I$7:$I668,$I668,$J$7:$J668,$J668,$D$7:$D668,"Advance"))</f>
        <v/>
      </c>
      <c r="L668" s="266">
        <f>IF(OR($I668="",$I668="?",$B668=""),"",SUMPRODUCT((Weeks!$A$7:$A$59&lt;=$J668)*(Weeks!$X$5:$AI$5=$I668)*Weeks!$X$7:$AI$59)-SUMIFS($E$7:$E$1006,$I$7:$I$1006,$I668,$B$7:$B$1006,"&lt;="&amp;$B668))</f>
        <v/>
      </c>
      <c r="M668" s="132">
        <f>IF($B668&amp;$C668&amp;$D668&amp;$E668="","",IF($B668="","missing date",IF($C668="","missing worker",IF($I668="?","unknown worker - was the name changed on Workers?",IF($D668="","missing type",IF(N($E668)=0,"missing amount",IF(AND($E668&lt;0,$D668&lt;&gt;"Correction"),"negative amount - use a Correction to undo",IF(OR($B668&lt;Weeks!$A$7,$B668&gt;Weeks!$B$59),"date outside this workbook's year",IF(AND($D668="Advance",N($L668)&lt;0),"Warning: more than earned so far - worker now owes "&amp;TEXT(ROUND(-$L668,0),"#,##0"),"")))))))))</f>
        <v/>
      </c>
      <c r="N668" s="125" t="n"/>
      <c r="O668" s="126" t="n"/>
      <c r="P668" s="126" t="n"/>
      <c r="Q668" s="126" t="n"/>
      <c r="R668" s="126" t="n"/>
      <c r="S668" s="126" t="n"/>
      <c r="T668" s="126" t="n"/>
      <c r="U668" s="126" t="n"/>
      <c r="V668" s="126" t="n"/>
      <c r="W668" s="126" t="n"/>
      <c r="X668" s="126" t="n"/>
      <c r="Y668" s="126" t="n"/>
      <c r="Z668" s="126" t="n"/>
      <c r="AA668" s="126" t="n"/>
      <c r="AB668" s="126" t="n"/>
      <c r="AC668" s="126" t="n"/>
      <c r="AD668" s="126" t="n"/>
      <c r="AE668" s="126" t="n"/>
      <c r="AF668" s="126" t="n"/>
      <c r="AG668" s="126" t="n"/>
      <c r="AH668" s="126" t="n"/>
      <c r="AI668" s="126" t="n"/>
      <c r="AJ668" s="126" t="n"/>
      <c r="AK668" s="126" t="n"/>
      <c r="AL668" s="126" t="n"/>
      <c r="AM668" s="126" t="n"/>
      <c r="AN668" s="126" t="n"/>
    </row>
    <row r="669" ht="21" customFormat="1" customHeight="1" s="127">
      <c r="A669" s="51">
        <f>IF($B669="","",ROW()-6)</f>
        <v/>
      </c>
      <c r="B669" s="268" t="n"/>
      <c r="C669" s="133" t="n"/>
      <c r="D669" s="50" t="n"/>
      <c r="E669" s="265" t="n"/>
      <c r="F669" s="133" t="n"/>
      <c r="G669" s="133" t="n"/>
      <c r="H669" s="50" t="n"/>
      <c r="I669" s="51">
        <f>IF($C669="","",IFERROR(INDEX(WorkerIDs,MATCH($C669,WorkerNames,0)),"?"))</f>
        <v/>
      </c>
      <c r="J669" s="253">
        <f>IF($B669="","",$B669-WEEKDAY($B669,2)+1)</f>
        <v/>
      </c>
      <c r="K669" s="142">
        <f>IF(OR($I669="",$I669="?",$D669&lt;&gt;"Advance",$B669=""),"",$I669&amp;"|"&amp;$J669&amp;"|"&amp;COUNTIFS($I$7:$I669,$I669,$J$7:$J669,$J669,$D$7:$D669,"Advance"))</f>
        <v/>
      </c>
      <c r="L669" s="266">
        <f>IF(OR($I669="",$I669="?",$B669=""),"",SUMPRODUCT((Weeks!$A$7:$A$59&lt;=$J669)*(Weeks!$X$5:$AI$5=$I669)*Weeks!$X$7:$AI$59)-SUMIFS($E$7:$E$1006,$I$7:$I$1006,$I669,$B$7:$B$1006,"&lt;="&amp;$B669))</f>
        <v/>
      </c>
      <c r="M669" s="132">
        <f>IF($B669&amp;$C669&amp;$D669&amp;$E669="","",IF($B669="","missing date",IF($C669="","missing worker",IF($I669="?","unknown worker - was the name changed on Workers?",IF($D669="","missing type",IF(N($E669)=0,"missing amount",IF(AND($E669&lt;0,$D669&lt;&gt;"Correction"),"negative amount - use a Correction to undo",IF(OR($B669&lt;Weeks!$A$7,$B669&gt;Weeks!$B$59),"date outside this workbook's year",IF(AND($D669="Advance",N($L669)&lt;0),"Warning: more than earned so far - worker now owes "&amp;TEXT(ROUND(-$L669,0),"#,##0"),"")))))))))</f>
        <v/>
      </c>
      <c r="N669" s="125" t="n"/>
      <c r="O669" s="126" t="n"/>
      <c r="P669" s="126" t="n"/>
      <c r="Q669" s="126" t="n"/>
      <c r="R669" s="126" t="n"/>
      <c r="S669" s="126" t="n"/>
      <c r="T669" s="126" t="n"/>
      <c r="U669" s="126" t="n"/>
      <c r="V669" s="126" t="n"/>
      <c r="W669" s="126" t="n"/>
      <c r="X669" s="126" t="n"/>
      <c r="Y669" s="126" t="n"/>
      <c r="Z669" s="126" t="n"/>
      <c r="AA669" s="126" t="n"/>
      <c r="AB669" s="126" t="n"/>
      <c r="AC669" s="126" t="n"/>
      <c r="AD669" s="126" t="n"/>
      <c r="AE669" s="126" t="n"/>
      <c r="AF669" s="126" t="n"/>
      <c r="AG669" s="126" t="n"/>
      <c r="AH669" s="126" t="n"/>
      <c r="AI669" s="126" t="n"/>
      <c r="AJ669" s="126" t="n"/>
      <c r="AK669" s="126" t="n"/>
      <c r="AL669" s="126" t="n"/>
      <c r="AM669" s="126" t="n"/>
      <c r="AN669" s="126" t="n"/>
    </row>
    <row r="670" ht="21" customFormat="1" customHeight="1" s="127">
      <c r="A670" s="51">
        <f>IF($B670="","",ROW()-6)</f>
        <v/>
      </c>
      <c r="B670" s="268" t="n"/>
      <c r="C670" s="133" t="n"/>
      <c r="D670" s="50" t="n"/>
      <c r="E670" s="265" t="n"/>
      <c r="F670" s="133" t="n"/>
      <c r="G670" s="133" t="n"/>
      <c r="H670" s="50" t="n"/>
      <c r="I670" s="51">
        <f>IF($C670="","",IFERROR(INDEX(WorkerIDs,MATCH($C670,WorkerNames,0)),"?"))</f>
        <v/>
      </c>
      <c r="J670" s="253">
        <f>IF($B670="","",$B670-WEEKDAY($B670,2)+1)</f>
        <v/>
      </c>
      <c r="K670" s="142">
        <f>IF(OR($I670="",$I670="?",$D670&lt;&gt;"Advance",$B670=""),"",$I670&amp;"|"&amp;$J670&amp;"|"&amp;COUNTIFS($I$7:$I670,$I670,$J$7:$J670,$J670,$D$7:$D670,"Advance"))</f>
        <v/>
      </c>
      <c r="L670" s="266">
        <f>IF(OR($I670="",$I670="?",$B670=""),"",SUMPRODUCT((Weeks!$A$7:$A$59&lt;=$J670)*(Weeks!$X$5:$AI$5=$I670)*Weeks!$X$7:$AI$59)-SUMIFS($E$7:$E$1006,$I$7:$I$1006,$I670,$B$7:$B$1006,"&lt;="&amp;$B670))</f>
        <v/>
      </c>
      <c r="M670" s="132">
        <f>IF($B670&amp;$C670&amp;$D670&amp;$E670="","",IF($B670="","missing date",IF($C670="","missing worker",IF($I670="?","unknown worker - was the name changed on Workers?",IF($D670="","missing type",IF(N($E670)=0,"missing amount",IF(AND($E670&lt;0,$D670&lt;&gt;"Correction"),"negative amount - use a Correction to undo",IF(OR($B670&lt;Weeks!$A$7,$B670&gt;Weeks!$B$59),"date outside this workbook's year",IF(AND($D670="Advance",N($L670)&lt;0),"Warning: more than earned so far - worker now owes "&amp;TEXT(ROUND(-$L670,0),"#,##0"),"")))))))))</f>
        <v/>
      </c>
      <c r="N670" s="125" t="n"/>
      <c r="O670" s="126" t="n"/>
      <c r="P670" s="126" t="n"/>
      <c r="Q670" s="126" t="n"/>
      <c r="R670" s="126" t="n"/>
      <c r="S670" s="126" t="n"/>
      <c r="T670" s="126" t="n"/>
      <c r="U670" s="126" t="n"/>
      <c r="V670" s="126" t="n"/>
      <c r="W670" s="126" t="n"/>
      <c r="X670" s="126" t="n"/>
      <c r="Y670" s="126" t="n"/>
      <c r="Z670" s="126" t="n"/>
      <c r="AA670" s="126" t="n"/>
      <c r="AB670" s="126" t="n"/>
      <c r="AC670" s="126" t="n"/>
      <c r="AD670" s="126" t="n"/>
      <c r="AE670" s="126" t="n"/>
      <c r="AF670" s="126" t="n"/>
      <c r="AG670" s="126" t="n"/>
      <c r="AH670" s="126" t="n"/>
      <c r="AI670" s="126" t="n"/>
      <c r="AJ670" s="126" t="n"/>
      <c r="AK670" s="126" t="n"/>
      <c r="AL670" s="126" t="n"/>
      <c r="AM670" s="126" t="n"/>
      <c r="AN670" s="126" t="n"/>
    </row>
    <row r="671" ht="21" customFormat="1" customHeight="1" s="127">
      <c r="A671" s="51">
        <f>IF($B671="","",ROW()-6)</f>
        <v/>
      </c>
      <c r="B671" s="268" t="n"/>
      <c r="C671" s="133" t="n"/>
      <c r="D671" s="50" t="n"/>
      <c r="E671" s="265" t="n"/>
      <c r="F671" s="133" t="n"/>
      <c r="G671" s="133" t="n"/>
      <c r="H671" s="50" t="n"/>
      <c r="I671" s="51">
        <f>IF($C671="","",IFERROR(INDEX(WorkerIDs,MATCH($C671,WorkerNames,0)),"?"))</f>
        <v/>
      </c>
      <c r="J671" s="253">
        <f>IF($B671="","",$B671-WEEKDAY($B671,2)+1)</f>
        <v/>
      </c>
      <c r="K671" s="142">
        <f>IF(OR($I671="",$I671="?",$D671&lt;&gt;"Advance",$B671=""),"",$I671&amp;"|"&amp;$J671&amp;"|"&amp;COUNTIFS($I$7:$I671,$I671,$J$7:$J671,$J671,$D$7:$D671,"Advance"))</f>
        <v/>
      </c>
      <c r="L671" s="266">
        <f>IF(OR($I671="",$I671="?",$B671=""),"",SUMPRODUCT((Weeks!$A$7:$A$59&lt;=$J671)*(Weeks!$X$5:$AI$5=$I671)*Weeks!$X$7:$AI$59)-SUMIFS($E$7:$E$1006,$I$7:$I$1006,$I671,$B$7:$B$1006,"&lt;="&amp;$B671))</f>
        <v/>
      </c>
      <c r="M671" s="132">
        <f>IF($B671&amp;$C671&amp;$D671&amp;$E671="","",IF($B671="","missing date",IF($C671="","missing worker",IF($I671="?","unknown worker - was the name changed on Workers?",IF($D671="","missing type",IF(N($E671)=0,"missing amount",IF(AND($E671&lt;0,$D671&lt;&gt;"Correction"),"negative amount - use a Correction to undo",IF(OR($B671&lt;Weeks!$A$7,$B671&gt;Weeks!$B$59),"date outside this workbook's year",IF(AND($D671="Advance",N($L671)&lt;0),"Warning: more than earned so far - worker now owes "&amp;TEXT(ROUND(-$L671,0),"#,##0"),"")))))))))</f>
        <v/>
      </c>
      <c r="N671" s="125" t="n"/>
      <c r="O671" s="126" t="n"/>
      <c r="P671" s="126" t="n"/>
      <c r="Q671" s="126" t="n"/>
      <c r="R671" s="126" t="n"/>
      <c r="S671" s="126" t="n"/>
      <c r="T671" s="126" t="n"/>
      <c r="U671" s="126" t="n"/>
      <c r="V671" s="126" t="n"/>
      <c r="W671" s="126" t="n"/>
      <c r="X671" s="126" t="n"/>
      <c r="Y671" s="126" t="n"/>
      <c r="Z671" s="126" t="n"/>
      <c r="AA671" s="126" t="n"/>
      <c r="AB671" s="126" t="n"/>
      <c r="AC671" s="126" t="n"/>
      <c r="AD671" s="126" t="n"/>
      <c r="AE671" s="126" t="n"/>
      <c r="AF671" s="126" t="n"/>
      <c r="AG671" s="126" t="n"/>
      <c r="AH671" s="126" t="n"/>
      <c r="AI671" s="126" t="n"/>
      <c r="AJ671" s="126" t="n"/>
      <c r="AK671" s="126" t="n"/>
      <c r="AL671" s="126" t="n"/>
      <c r="AM671" s="126" t="n"/>
      <c r="AN671" s="126" t="n"/>
    </row>
    <row r="672" ht="21" customFormat="1" customHeight="1" s="127">
      <c r="A672" s="51">
        <f>IF($B672="","",ROW()-6)</f>
        <v/>
      </c>
      <c r="B672" s="268" t="n"/>
      <c r="C672" s="133" t="n"/>
      <c r="D672" s="50" t="n"/>
      <c r="E672" s="265" t="n"/>
      <c r="F672" s="133" t="n"/>
      <c r="G672" s="133" t="n"/>
      <c r="H672" s="50" t="n"/>
      <c r="I672" s="51">
        <f>IF($C672="","",IFERROR(INDEX(WorkerIDs,MATCH($C672,WorkerNames,0)),"?"))</f>
        <v/>
      </c>
      <c r="J672" s="253">
        <f>IF($B672="","",$B672-WEEKDAY($B672,2)+1)</f>
        <v/>
      </c>
      <c r="K672" s="142">
        <f>IF(OR($I672="",$I672="?",$D672&lt;&gt;"Advance",$B672=""),"",$I672&amp;"|"&amp;$J672&amp;"|"&amp;COUNTIFS($I$7:$I672,$I672,$J$7:$J672,$J672,$D$7:$D672,"Advance"))</f>
        <v/>
      </c>
      <c r="L672" s="266">
        <f>IF(OR($I672="",$I672="?",$B672=""),"",SUMPRODUCT((Weeks!$A$7:$A$59&lt;=$J672)*(Weeks!$X$5:$AI$5=$I672)*Weeks!$X$7:$AI$59)-SUMIFS($E$7:$E$1006,$I$7:$I$1006,$I672,$B$7:$B$1006,"&lt;="&amp;$B672))</f>
        <v/>
      </c>
      <c r="M672" s="132">
        <f>IF($B672&amp;$C672&amp;$D672&amp;$E672="","",IF($B672="","missing date",IF($C672="","missing worker",IF($I672="?","unknown worker - was the name changed on Workers?",IF($D672="","missing type",IF(N($E672)=0,"missing amount",IF(AND($E672&lt;0,$D672&lt;&gt;"Correction"),"negative amount - use a Correction to undo",IF(OR($B672&lt;Weeks!$A$7,$B672&gt;Weeks!$B$59),"date outside this workbook's year",IF(AND($D672="Advance",N($L672)&lt;0),"Warning: more than earned so far - worker now owes "&amp;TEXT(ROUND(-$L672,0),"#,##0"),"")))))))))</f>
        <v/>
      </c>
      <c r="N672" s="125" t="n"/>
      <c r="O672" s="126" t="n"/>
      <c r="P672" s="126" t="n"/>
      <c r="Q672" s="126" t="n"/>
      <c r="R672" s="126" t="n"/>
      <c r="S672" s="126" t="n"/>
      <c r="T672" s="126" t="n"/>
      <c r="U672" s="126" t="n"/>
      <c r="V672" s="126" t="n"/>
      <c r="W672" s="126" t="n"/>
      <c r="X672" s="126" t="n"/>
      <c r="Y672" s="126" t="n"/>
      <c r="Z672" s="126" t="n"/>
      <c r="AA672" s="126" t="n"/>
      <c r="AB672" s="126" t="n"/>
      <c r="AC672" s="126" t="n"/>
      <c r="AD672" s="126" t="n"/>
      <c r="AE672" s="126" t="n"/>
      <c r="AF672" s="126" t="n"/>
      <c r="AG672" s="126" t="n"/>
      <c r="AH672" s="126" t="n"/>
      <c r="AI672" s="126" t="n"/>
      <c r="AJ672" s="126" t="n"/>
      <c r="AK672" s="126" t="n"/>
      <c r="AL672" s="126" t="n"/>
      <c r="AM672" s="126" t="n"/>
      <c r="AN672" s="126" t="n"/>
    </row>
    <row r="673" ht="21" customFormat="1" customHeight="1" s="127">
      <c r="A673" s="51">
        <f>IF($B673="","",ROW()-6)</f>
        <v/>
      </c>
      <c r="B673" s="268" t="n"/>
      <c r="C673" s="133" t="n"/>
      <c r="D673" s="50" t="n"/>
      <c r="E673" s="265" t="n"/>
      <c r="F673" s="133" t="n"/>
      <c r="G673" s="133" t="n"/>
      <c r="H673" s="50" t="n"/>
      <c r="I673" s="51">
        <f>IF($C673="","",IFERROR(INDEX(WorkerIDs,MATCH($C673,WorkerNames,0)),"?"))</f>
        <v/>
      </c>
      <c r="J673" s="253">
        <f>IF($B673="","",$B673-WEEKDAY($B673,2)+1)</f>
        <v/>
      </c>
      <c r="K673" s="142">
        <f>IF(OR($I673="",$I673="?",$D673&lt;&gt;"Advance",$B673=""),"",$I673&amp;"|"&amp;$J673&amp;"|"&amp;COUNTIFS($I$7:$I673,$I673,$J$7:$J673,$J673,$D$7:$D673,"Advance"))</f>
        <v/>
      </c>
      <c r="L673" s="266">
        <f>IF(OR($I673="",$I673="?",$B673=""),"",SUMPRODUCT((Weeks!$A$7:$A$59&lt;=$J673)*(Weeks!$X$5:$AI$5=$I673)*Weeks!$X$7:$AI$59)-SUMIFS($E$7:$E$1006,$I$7:$I$1006,$I673,$B$7:$B$1006,"&lt;="&amp;$B673))</f>
        <v/>
      </c>
      <c r="M673" s="132">
        <f>IF($B673&amp;$C673&amp;$D673&amp;$E673="","",IF($B673="","missing date",IF($C673="","missing worker",IF($I673="?","unknown worker - was the name changed on Workers?",IF($D673="","missing type",IF(N($E673)=0,"missing amount",IF(AND($E673&lt;0,$D673&lt;&gt;"Correction"),"negative amount - use a Correction to undo",IF(OR($B673&lt;Weeks!$A$7,$B673&gt;Weeks!$B$59),"date outside this workbook's year",IF(AND($D673="Advance",N($L673)&lt;0),"Warning: more than earned so far - worker now owes "&amp;TEXT(ROUND(-$L673,0),"#,##0"),"")))))))))</f>
        <v/>
      </c>
      <c r="N673" s="125" t="n"/>
      <c r="O673" s="126" t="n"/>
      <c r="P673" s="126" t="n"/>
      <c r="Q673" s="126" t="n"/>
      <c r="R673" s="126" t="n"/>
      <c r="S673" s="126" t="n"/>
      <c r="T673" s="126" t="n"/>
      <c r="U673" s="126" t="n"/>
      <c r="V673" s="126" t="n"/>
      <c r="W673" s="126" t="n"/>
      <c r="X673" s="126" t="n"/>
      <c r="Y673" s="126" t="n"/>
      <c r="Z673" s="126" t="n"/>
      <c r="AA673" s="126" t="n"/>
      <c r="AB673" s="126" t="n"/>
      <c r="AC673" s="126" t="n"/>
      <c r="AD673" s="126" t="n"/>
      <c r="AE673" s="126" t="n"/>
      <c r="AF673" s="126" t="n"/>
      <c r="AG673" s="126" t="n"/>
      <c r="AH673" s="126" t="n"/>
      <c r="AI673" s="126" t="n"/>
      <c r="AJ673" s="126" t="n"/>
      <c r="AK673" s="126" t="n"/>
      <c r="AL673" s="126" t="n"/>
      <c r="AM673" s="126" t="n"/>
      <c r="AN673" s="126" t="n"/>
    </row>
    <row r="674" ht="21" customFormat="1" customHeight="1" s="127">
      <c r="A674" s="51">
        <f>IF($B674="","",ROW()-6)</f>
        <v/>
      </c>
      <c r="B674" s="268" t="n"/>
      <c r="C674" s="133" t="n"/>
      <c r="D674" s="50" t="n"/>
      <c r="E674" s="265" t="n"/>
      <c r="F674" s="133" t="n"/>
      <c r="G674" s="133" t="n"/>
      <c r="H674" s="50" t="n"/>
      <c r="I674" s="51">
        <f>IF($C674="","",IFERROR(INDEX(WorkerIDs,MATCH($C674,WorkerNames,0)),"?"))</f>
        <v/>
      </c>
      <c r="J674" s="253">
        <f>IF($B674="","",$B674-WEEKDAY($B674,2)+1)</f>
        <v/>
      </c>
      <c r="K674" s="142">
        <f>IF(OR($I674="",$I674="?",$D674&lt;&gt;"Advance",$B674=""),"",$I674&amp;"|"&amp;$J674&amp;"|"&amp;COUNTIFS($I$7:$I674,$I674,$J$7:$J674,$J674,$D$7:$D674,"Advance"))</f>
        <v/>
      </c>
      <c r="L674" s="266">
        <f>IF(OR($I674="",$I674="?",$B674=""),"",SUMPRODUCT((Weeks!$A$7:$A$59&lt;=$J674)*(Weeks!$X$5:$AI$5=$I674)*Weeks!$X$7:$AI$59)-SUMIFS($E$7:$E$1006,$I$7:$I$1006,$I674,$B$7:$B$1006,"&lt;="&amp;$B674))</f>
        <v/>
      </c>
      <c r="M674" s="132">
        <f>IF($B674&amp;$C674&amp;$D674&amp;$E674="","",IF($B674="","missing date",IF($C674="","missing worker",IF($I674="?","unknown worker - was the name changed on Workers?",IF($D674="","missing type",IF(N($E674)=0,"missing amount",IF(AND($E674&lt;0,$D674&lt;&gt;"Correction"),"negative amount - use a Correction to undo",IF(OR($B674&lt;Weeks!$A$7,$B674&gt;Weeks!$B$59),"date outside this workbook's year",IF(AND($D674="Advance",N($L674)&lt;0),"Warning: more than earned so far - worker now owes "&amp;TEXT(ROUND(-$L674,0),"#,##0"),"")))))))))</f>
        <v/>
      </c>
      <c r="N674" s="125" t="n"/>
      <c r="O674" s="126" t="n"/>
      <c r="P674" s="126" t="n"/>
      <c r="Q674" s="126" t="n"/>
      <c r="R674" s="126" t="n"/>
      <c r="S674" s="126" t="n"/>
      <c r="T674" s="126" t="n"/>
      <c r="U674" s="126" t="n"/>
      <c r="V674" s="126" t="n"/>
      <c r="W674" s="126" t="n"/>
      <c r="X674" s="126" t="n"/>
      <c r="Y674" s="126" t="n"/>
      <c r="Z674" s="126" t="n"/>
      <c r="AA674" s="126" t="n"/>
      <c r="AB674" s="126" t="n"/>
      <c r="AC674" s="126" t="n"/>
      <c r="AD674" s="126" t="n"/>
      <c r="AE674" s="126" t="n"/>
      <c r="AF674" s="126" t="n"/>
      <c r="AG674" s="126" t="n"/>
      <c r="AH674" s="126" t="n"/>
      <c r="AI674" s="126" t="n"/>
      <c r="AJ674" s="126" t="n"/>
      <c r="AK674" s="126" t="n"/>
      <c r="AL674" s="126" t="n"/>
      <c r="AM674" s="126" t="n"/>
      <c r="AN674" s="126" t="n"/>
    </row>
    <row r="675" ht="21" customFormat="1" customHeight="1" s="127">
      <c r="A675" s="51">
        <f>IF($B675="","",ROW()-6)</f>
        <v/>
      </c>
      <c r="B675" s="268" t="n"/>
      <c r="C675" s="133" t="n"/>
      <c r="D675" s="50" t="n"/>
      <c r="E675" s="265" t="n"/>
      <c r="F675" s="133" t="n"/>
      <c r="G675" s="133" t="n"/>
      <c r="H675" s="50" t="n"/>
      <c r="I675" s="51">
        <f>IF($C675="","",IFERROR(INDEX(WorkerIDs,MATCH($C675,WorkerNames,0)),"?"))</f>
        <v/>
      </c>
      <c r="J675" s="253">
        <f>IF($B675="","",$B675-WEEKDAY($B675,2)+1)</f>
        <v/>
      </c>
      <c r="K675" s="142">
        <f>IF(OR($I675="",$I675="?",$D675&lt;&gt;"Advance",$B675=""),"",$I675&amp;"|"&amp;$J675&amp;"|"&amp;COUNTIFS($I$7:$I675,$I675,$J$7:$J675,$J675,$D$7:$D675,"Advance"))</f>
        <v/>
      </c>
      <c r="L675" s="266">
        <f>IF(OR($I675="",$I675="?",$B675=""),"",SUMPRODUCT((Weeks!$A$7:$A$59&lt;=$J675)*(Weeks!$X$5:$AI$5=$I675)*Weeks!$X$7:$AI$59)-SUMIFS($E$7:$E$1006,$I$7:$I$1006,$I675,$B$7:$B$1006,"&lt;="&amp;$B675))</f>
        <v/>
      </c>
      <c r="M675" s="132">
        <f>IF($B675&amp;$C675&amp;$D675&amp;$E675="","",IF($B675="","missing date",IF($C675="","missing worker",IF($I675="?","unknown worker - was the name changed on Workers?",IF($D675="","missing type",IF(N($E675)=0,"missing amount",IF(AND($E675&lt;0,$D675&lt;&gt;"Correction"),"negative amount - use a Correction to undo",IF(OR($B675&lt;Weeks!$A$7,$B675&gt;Weeks!$B$59),"date outside this workbook's year",IF(AND($D675="Advance",N($L675)&lt;0),"Warning: more than earned so far - worker now owes "&amp;TEXT(ROUND(-$L675,0),"#,##0"),"")))))))))</f>
        <v/>
      </c>
      <c r="N675" s="125" t="n"/>
      <c r="O675" s="126" t="n"/>
      <c r="P675" s="126" t="n"/>
      <c r="Q675" s="126" t="n"/>
      <c r="R675" s="126" t="n"/>
      <c r="S675" s="126" t="n"/>
      <c r="T675" s="126" t="n"/>
      <c r="U675" s="126" t="n"/>
      <c r="V675" s="126" t="n"/>
      <c r="W675" s="126" t="n"/>
      <c r="X675" s="126" t="n"/>
      <c r="Y675" s="126" t="n"/>
      <c r="Z675" s="126" t="n"/>
      <c r="AA675" s="126" t="n"/>
      <c r="AB675" s="126" t="n"/>
      <c r="AC675" s="126" t="n"/>
      <c r="AD675" s="126" t="n"/>
      <c r="AE675" s="126" t="n"/>
      <c r="AF675" s="126" t="n"/>
      <c r="AG675" s="126" t="n"/>
      <c r="AH675" s="126" t="n"/>
      <c r="AI675" s="126" t="n"/>
      <c r="AJ675" s="126" t="n"/>
      <c r="AK675" s="126" t="n"/>
      <c r="AL675" s="126" t="n"/>
      <c r="AM675" s="126" t="n"/>
      <c r="AN675" s="126" t="n"/>
    </row>
    <row r="676" ht="21" customFormat="1" customHeight="1" s="127">
      <c r="A676" s="51">
        <f>IF($B676="","",ROW()-6)</f>
        <v/>
      </c>
      <c r="B676" s="268" t="n"/>
      <c r="C676" s="133" t="n"/>
      <c r="D676" s="50" t="n"/>
      <c r="E676" s="265" t="n"/>
      <c r="F676" s="133" t="n"/>
      <c r="G676" s="133" t="n"/>
      <c r="H676" s="50" t="n"/>
      <c r="I676" s="51">
        <f>IF($C676="","",IFERROR(INDEX(WorkerIDs,MATCH($C676,WorkerNames,0)),"?"))</f>
        <v/>
      </c>
      <c r="J676" s="253">
        <f>IF($B676="","",$B676-WEEKDAY($B676,2)+1)</f>
        <v/>
      </c>
      <c r="K676" s="142">
        <f>IF(OR($I676="",$I676="?",$D676&lt;&gt;"Advance",$B676=""),"",$I676&amp;"|"&amp;$J676&amp;"|"&amp;COUNTIFS($I$7:$I676,$I676,$J$7:$J676,$J676,$D$7:$D676,"Advance"))</f>
        <v/>
      </c>
      <c r="L676" s="266">
        <f>IF(OR($I676="",$I676="?",$B676=""),"",SUMPRODUCT((Weeks!$A$7:$A$59&lt;=$J676)*(Weeks!$X$5:$AI$5=$I676)*Weeks!$X$7:$AI$59)-SUMIFS($E$7:$E$1006,$I$7:$I$1006,$I676,$B$7:$B$1006,"&lt;="&amp;$B676))</f>
        <v/>
      </c>
      <c r="M676" s="132">
        <f>IF($B676&amp;$C676&amp;$D676&amp;$E676="","",IF($B676="","missing date",IF($C676="","missing worker",IF($I676="?","unknown worker - was the name changed on Workers?",IF($D676="","missing type",IF(N($E676)=0,"missing amount",IF(AND($E676&lt;0,$D676&lt;&gt;"Correction"),"negative amount - use a Correction to undo",IF(OR($B676&lt;Weeks!$A$7,$B676&gt;Weeks!$B$59),"date outside this workbook's year",IF(AND($D676="Advance",N($L676)&lt;0),"Warning: more than earned so far - worker now owes "&amp;TEXT(ROUND(-$L676,0),"#,##0"),"")))))))))</f>
        <v/>
      </c>
      <c r="N676" s="125" t="n"/>
      <c r="O676" s="126" t="n"/>
      <c r="P676" s="126" t="n"/>
      <c r="Q676" s="126" t="n"/>
      <c r="R676" s="126" t="n"/>
      <c r="S676" s="126" t="n"/>
      <c r="T676" s="126" t="n"/>
      <c r="U676" s="126" t="n"/>
      <c r="V676" s="126" t="n"/>
      <c r="W676" s="126" t="n"/>
      <c r="X676" s="126" t="n"/>
      <c r="Y676" s="126" t="n"/>
      <c r="Z676" s="126" t="n"/>
      <c r="AA676" s="126" t="n"/>
      <c r="AB676" s="126" t="n"/>
      <c r="AC676" s="126" t="n"/>
      <c r="AD676" s="126" t="n"/>
      <c r="AE676" s="126" t="n"/>
      <c r="AF676" s="126" t="n"/>
      <c r="AG676" s="126" t="n"/>
      <c r="AH676" s="126" t="n"/>
      <c r="AI676" s="126" t="n"/>
      <c r="AJ676" s="126" t="n"/>
      <c r="AK676" s="126" t="n"/>
      <c r="AL676" s="126" t="n"/>
      <c r="AM676" s="126" t="n"/>
      <c r="AN676" s="126" t="n"/>
    </row>
    <row r="677" ht="21" customFormat="1" customHeight="1" s="127">
      <c r="A677" s="51">
        <f>IF($B677="","",ROW()-6)</f>
        <v/>
      </c>
      <c r="B677" s="268" t="n"/>
      <c r="C677" s="133" t="n"/>
      <c r="D677" s="50" t="n"/>
      <c r="E677" s="265" t="n"/>
      <c r="F677" s="133" t="n"/>
      <c r="G677" s="133" t="n"/>
      <c r="H677" s="50" t="n"/>
      <c r="I677" s="51">
        <f>IF($C677="","",IFERROR(INDEX(WorkerIDs,MATCH($C677,WorkerNames,0)),"?"))</f>
        <v/>
      </c>
      <c r="J677" s="253">
        <f>IF($B677="","",$B677-WEEKDAY($B677,2)+1)</f>
        <v/>
      </c>
      <c r="K677" s="142">
        <f>IF(OR($I677="",$I677="?",$D677&lt;&gt;"Advance",$B677=""),"",$I677&amp;"|"&amp;$J677&amp;"|"&amp;COUNTIFS($I$7:$I677,$I677,$J$7:$J677,$J677,$D$7:$D677,"Advance"))</f>
        <v/>
      </c>
      <c r="L677" s="266">
        <f>IF(OR($I677="",$I677="?",$B677=""),"",SUMPRODUCT((Weeks!$A$7:$A$59&lt;=$J677)*(Weeks!$X$5:$AI$5=$I677)*Weeks!$X$7:$AI$59)-SUMIFS($E$7:$E$1006,$I$7:$I$1006,$I677,$B$7:$B$1006,"&lt;="&amp;$B677))</f>
        <v/>
      </c>
      <c r="M677" s="132">
        <f>IF($B677&amp;$C677&amp;$D677&amp;$E677="","",IF($B677="","missing date",IF($C677="","missing worker",IF($I677="?","unknown worker - was the name changed on Workers?",IF($D677="","missing type",IF(N($E677)=0,"missing amount",IF(AND($E677&lt;0,$D677&lt;&gt;"Correction"),"negative amount - use a Correction to undo",IF(OR($B677&lt;Weeks!$A$7,$B677&gt;Weeks!$B$59),"date outside this workbook's year",IF(AND($D677="Advance",N($L677)&lt;0),"Warning: more than earned so far - worker now owes "&amp;TEXT(ROUND(-$L677,0),"#,##0"),"")))))))))</f>
        <v/>
      </c>
      <c r="N677" s="125" t="n"/>
      <c r="O677" s="126" t="n"/>
      <c r="P677" s="126" t="n"/>
      <c r="Q677" s="126" t="n"/>
      <c r="R677" s="126" t="n"/>
      <c r="S677" s="126" t="n"/>
      <c r="T677" s="126" t="n"/>
      <c r="U677" s="126" t="n"/>
      <c r="V677" s="126" t="n"/>
      <c r="W677" s="126" t="n"/>
      <c r="X677" s="126" t="n"/>
      <c r="Y677" s="126" t="n"/>
      <c r="Z677" s="126" t="n"/>
      <c r="AA677" s="126" t="n"/>
      <c r="AB677" s="126" t="n"/>
      <c r="AC677" s="126" t="n"/>
      <c r="AD677" s="126" t="n"/>
      <c r="AE677" s="126" t="n"/>
      <c r="AF677" s="126" t="n"/>
      <c r="AG677" s="126" t="n"/>
      <c r="AH677" s="126" t="n"/>
      <c r="AI677" s="126" t="n"/>
      <c r="AJ677" s="126" t="n"/>
      <c r="AK677" s="126" t="n"/>
      <c r="AL677" s="126" t="n"/>
      <c r="AM677" s="126" t="n"/>
      <c r="AN677" s="126" t="n"/>
    </row>
    <row r="678" ht="21" customFormat="1" customHeight="1" s="127">
      <c r="A678" s="51">
        <f>IF($B678="","",ROW()-6)</f>
        <v/>
      </c>
      <c r="B678" s="268" t="n"/>
      <c r="C678" s="133" t="n"/>
      <c r="D678" s="50" t="n"/>
      <c r="E678" s="265" t="n"/>
      <c r="F678" s="133" t="n"/>
      <c r="G678" s="133" t="n"/>
      <c r="H678" s="50" t="n"/>
      <c r="I678" s="51">
        <f>IF($C678="","",IFERROR(INDEX(WorkerIDs,MATCH($C678,WorkerNames,0)),"?"))</f>
        <v/>
      </c>
      <c r="J678" s="253">
        <f>IF($B678="","",$B678-WEEKDAY($B678,2)+1)</f>
        <v/>
      </c>
      <c r="K678" s="142">
        <f>IF(OR($I678="",$I678="?",$D678&lt;&gt;"Advance",$B678=""),"",$I678&amp;"|"&amp;$J678&amp;"|"&amp;COUNTIFS($I$7:$I678,$I678,$J$7:$J678,$J678,$D$7:$D678,"Advance"))</f>
        <v/>
      </c>
      <c r="L678" s="266">
        <f>IF(OR($I678="",$I678="?",$B678=""),"",SUMPRODUCT((Weeks!$A$7:$A$59&lt;=$J678)*(Weeks!$X$5:$AI$5=$I678)*Weeks!$X$7:$AI$59)-SUMIFS($E$7:$E$1006,$I$7:$I$1006,$I678,$B$7:$B$1006,"&lt;="&amp;$B678))</f>
        <v/>
      </c>
      <c r="M678" s="132">
        <f>IF($B678&amp;$C678&amp;$D678&amp;$E678="","",IF($B678="","missing date",IF($C678="","missing worker",IF($I678="?","unknown worker - was the name changed on Workers?",IF($D678="","missing type",IF(N($E678)=0,"missing amount",IF(AND($E678&lt;0,$D678&lt;&gt;"Correction"),"negative amount - use a Correction to undo",IF(OR($B678&lt;Weeks!$A$7,$B678&gt;Weeks!$B$59),"date outside this workbook's year",IF(AND($D678="Advance",N($L678)&lt;0),"Warning: more than earned so far - worker now owes "&amp;TEXT(ROUND(-$L678,0),"#,##0"),"")))))))))</f>
        <v/>
      </c>
      <c r="N678" s="125" t="n"/>
      <c r="O678" s="126" t="n"/>
      <c r="P678" s="126" t="n"/>
      <c r="Q678" s="126" t="n"/>
      <c r="R678" s="126" t="n"/>
      <c r="S678" s="126" t="n"/>
      <c r="T678" s="126" t="n"/>
      <c r="U678" s="126" t="n"/>
      <c r="V678" s="126" t="n"/>
      <c r="W678" s="126" t="n"/>
      <c r="X678" s="126" t="n"/>
      <c r="Y678" s="126" t="n"/>
      <c r="Z678" s="126" t="n"/>
      <c r="AA678" s="126" t="n"/>
      <c r="AB678" s="126" t="n"/>
      <c r="AC678" s="126" t="n"/>
      <c r="AD678" s="126" t="n"/>
      <c r="AE678" s="126" t="n"/>
      <c r="AF678" s="126" t="n"/>
      <c r="AG678" s="126" t="n"/>
      <c r="AH678" s="126" t="n"/>
      <c r="AI678" s="126" t="n"/>
      <c r="AJ678" s="126" t="n"/>
      <c r="AK678" s="126" t="n"/>
      <c r="AL678" s="126" t="n"/>
      <c r="AM678" s="126" t="n"/>
      <c r="AN678" s="126" t="n"/>
    </row>
    <row r="679" ht="21" customFormat="1" customHeight="1" s="127">
      <c r="A679" s="51">
        <f>IF($B679="","",ROW()-6)</f>
        <v/>
      </c>
      <c r="B679" s="268" t="n"/>
      <c r="C679" s="133" t="n"/>
      <c r="D679" s="50" t="n"/>
      <c r="E679" s="265" t="n"/>
      <c r="F679" s="133" t="n"/>
      <c r="G679" s="133" t="n"/>
      <c r="H679" s="50" t="n"/>
      <c r="I679" s="51">
        <f>IF($C679="","",IFERROR(INDEX(WorkerIDs,MATCH($C679,WorkerNames,0)),"?"))</f>
        <v/>
      </c>
      <c r="J679" s="253">
        <f>IF($B679="","",$B679-WEEKDAY($B679,2)+1)</f>
        <v/>
      </c>
      <c r="K679" s="142">
        <f>IF(OR($I679="",$I679="?",$D679&lt;&gt;"Advance",$B679=""),"",$I679&amp;"|"&amp;$J679&amp;"|"&amp;COUNTIFS($I$7:$I679,$I679,$J$7:$J679,$J679,$D$7:$D679,"Advance"))</f>
        <v/>
      </c>
      <c r="L679" s="266">
        <f>IF(OR($I679="",$I679="?",$B679=""),"",SUMPRODUCT((Weeks!$A$7:$A$59&lt;=$J679)*(Weeks!$X$5:$AI$5=$I679)*Weeks!$X$7:$AI$59)-SUMIFS($E$7:$E$1006,$I$7:$I$1006,$I679,$B$7:$B$1006,"&lt;="&amp;$B679))</f>
        <v/>
      </c>
      <c r="M679" s="132">
        <f>IF($B679&amp;$C679&amp;$D679&amp;$E679="","",IF($B679="","missing date",IF($C679="","missing worker",IF($I679="?","unknown worker - was the name changed on Workers?",IF($D679="","missing type",IF(N($E679)=0,"missing amount",IF(AND($E679&lt;0,$D679&lt;&gt;"Correction"),"negative amount - use a Correction to undo",IF(OR($B679&lt;Weeks!$A$7,$B679&gt;Weeks!$B$59),"date outside this workbook's year",IF(AND($D679="Advance",N($L679)&lt;0),"Warning: more than earned so far - worker now owes "&amp;TEXT(ROUND(-$L679,0),"#,##0"),"")))))))))</f>
        <v/>
      </c>
      <c r="N679" s="125" t="n"/>
      <c r="O679" s="126" t="n"/>
      <c r="P679" s="126" t="n"/>
      <c r="Q679" s="126" t="n"/>
      <c r="R679" s="126" t="n"/>
      <c r="S679" s="126" t="n"/>
      <c r="T679" s="126" t="n"/>
      <c r="U679" s="126" t="n"/>
      <c r="V679" s="126" t="n"/>
      <c r="W679" s="126" t="n"/>
      <c r="X679" s="126" t="n"/>
      <c r="Y679" s="126" t="n"/>
      <c r="Z679" s="126" t="n"/>
      <c r="AA679" s="126" t="n"/>
      <c r="AB679" s="126" t="n"/>
      <c r="AC679" s="126" t="n"/>
      <c r="AD679" s="126" t="n"/>
      <c r="AE679" s="126" t="n"/>
      <c r="AF679" s="126" t="n"/>
      <c r="AG679" s="126" t="n"/>
      <c r="AH679" s="126" t="n"/>
      <c r="AI679" s="126" t="n"/>
      <c r="AJ679" s="126" t="n"/>
      <c r="AK679" s="126" t="n"/>
      <c r="AL679" s="126" t="n"/>
      <c r="AM679" s="126" t="n"/>
      <c r="AN679" s="126" t="n"/>
    </row>
    <row r="680" ht="21" customFormat="1" customHeight="1" s="127">
      <c r="A680" s="51">
        <f>IF($B680="","",ROW()-6)</f>
        <v/>
      </c>
      <c r="B680" s="268" t="n"/>
      <c r="C680" s="133" t="n"/>
      <c r="D680" s="50" t="n"/>
      <c r="E680" s="265" t="n"/>
      <c r="F680" s="133" t="n"/>
      <c r="G680" s="133" t="n"/>
      <c r="H680" s="50" t="n"/>
      <c r="I680" s="51">
        <f>IF($C680="","",IFERROR(INDEX(WorkerIDs,MATCH($C680,WorkerNames,0)),"?"))</f>
        <v/>
      </c>
      <c r="J680" s="253">
        <f>IF($B680="","",$B680-WEEKDAY($B680,2)+1)</f>
        <v/>
      </c>
      <c r="K680" s="142">
        <f>IF(OR($I680="",$I680="?",$D680&lt;&gt;"Advance",$B680=""),"",$I680&amp;"|"&amp;$J680&amp;"|"&amp;COUNTIFS($I$7:$I680,$I680,$J$7:$J680,$J680,$D$7:$D680,"Advance"))</f>
        <v/>
      </c>
      <c r="L680" s="266">
        <f>IF(OR($I680="",$I680="?",$B680=""),"",SUMPRODUCT((Weeks!$A$7:$A$59&lt;=$J680)*(Weeks!$X$5:$AI$5=$I680)*Weeks!$X$7:$AI$59)-SUMIFS($E$7:$E$1006,$I$7:$I$1006,$I680,$B$7:$B$1006,"&lt;="&amp;$B680))</f>
        <v/>
      </c>
      <c r="M680" s="132">
        <f>IF($B680&amp;$C680&amp;$D680&amp;$E680="","",IF($B680="","missing date",IF($C680="","missing worker",IF($I680="?","unknown worker - was the name changed on Workers?",IF($D680="","missing type",IF(N($E680)=0,"missing amount",IF(AND($E680&lt;0,$D680&lt;&gt;"Correction"),"negative amount - use a Correction to undo",IF(OR($B680&lt;Weeks!$A$7,$B680&gt;Weeks!$B$59),"date outside this workbook's year",IF(AND($D680="Advance",N($L680)&lt;0),"Warning: more than earned so far - worker now owes "&amp;TEXT(ROUND(-$L680,0),"#,##0"),"")))))))))</f>
        <v/>
      </c>
      <c r="N680" s="125" t="n"/>
      <c r="O680" s="126" t="n"/>
      <c r="P680" s="126" t="n"/>
      <c r="Q680" s="126" t="n"/>
      <c r="R680" s="126" t="n"/>
      <c r="S680" s="126" t="n"/>
      <c r="T680" s="126" t="n"/>
      <c r="U680" s="126" t="n"/>
      <c r="V680" s="126" t="n"/>
      <c r="W680" s="126" t="n"/>
      <c r="X680" s="126" t="n"/>
      <c r="Y680" s="126" t="n"/>
      <c r="Z680" s="126" t="n"/>
      <c r="AA680" s="126" t="n"/>
      <c r="AB680" s="126" t="n"/>
      <c r="AC680" s="126" t="n"/>
      <c r="AD680" s="126" t="n"/>
      <c r="AE680" s="126" t="n"/>
      <c r="AF680" s="126" t="n"/>
      <c r="AG680" s="126" t="n"/>
      <c r="AH680" s="126" t="n"/>
      <c r="AI680" s="126" t="n"/>
      <c r="AJ680" s="126" t="n"/>
      <c r="AK680" s="126" t="n"/>
      <c r="AL680" s="126" t="n"/>
      <c r="AM680" s="126" t="n"/>
      <c r="AN680" s="126" t="n"/>
    </row>
    <row r="681" ht="21" customFormat="1" customHeight="1" s="127">
      <c r="A681" s="51">
        <f>IF($B681="","",ROW()-6)</f>
        <v/>
      </c>
      <c r="B681" s="268" t="n"/>
      <c r="C681" s="133" t="n"/>
      <c r="D681" s="50" t="n"/>
      <c r="E681" s="265" t="n"/>
      <c r="F681" s="133" t="n"/>
      <c r="G681" s="133" t="n"/>
      <c r="H681" s="50" t="n"/>
      <c r="I681" s="51">
        <f>IF($C681="","",IFERROR(INDEX(WorkerIDs,MATCH($C681,WorkerNames,0)),"?"))</f>
        <v/>
      </c>
      <c r="J681" s="253">
        <f>IF($B681="","",$B681-WEEKDAY($B681,2)+1)</f>
        <v/>
      </c>
      <c r="K681" s="142">
        <f>IF(OR($I681="",$I681="?",$D681&lt;&gt;"Advance",$B681=""),"",$I681&amp;"|"&amp;$J681&amp;"|"&amp;COUNTIFS($I$7:$I681,$I681,$J$7:$J681,$J681,$D$7:$D681,"Advance"))</f>
        <v/>
      </c>
      <c r="L681" s="266">
        <f>IF(OR($I681="",$I681="?",$B681=""),"",SUMPRODUCT((Weeks!$A$7:$A$59&lt;=$J681)*(Weeks!$X$5:$AI$5=$I681)*Weeks!$X$7:$AI$59)-SUMIFS($E$7:$E$1006,$I$7:$I$1006,$I681,$B$7:$B$1006,"&lt;="&amp;$B681))</f>
        <v/>
      </c>
      <c r="M681" s="132">
        <f>IF($B681&amp;$C681&amp;$D681&amp;$E681="","",IF($B681="","missing date",IF($C681="","missing worker",IF($I681="?","unknown worker - was the name changed on Workers?",IF($D681="","missing type",IF(N($E681)=0,"missing amount",IF(AND($E681&lt;0,$D681&lt;&gt;"Correction"),"negative amount - use a Correction to undo",IF(OR($B681&lt;Weeks!$A$7,$B681&gt;Weeks!$B$59),"date outside this workbook's year",IF(AND($D681="Advance",N($L681)&lt;0),"Warning: more than earned so far - worker now owes "&amp;TEXT(ROUND(-$L681,0),"#,##0"),"")))))))))</f>
        <v/>
      </c>
      <c r="N681" s="125" t="n"/>
      <c r="O681" s="126" t="n"/>
      <c r="P681" s="126" t="n"/>
      <c r="Q681" s="126" t="n"/>
      <c r="R681" s="126" t="n"/>
      <c r="S681" s="126" t="n"/>
      <c r="T681" s="126" t="n"/>
      <c r="U681" s="126" t="n"/>
      <c r="V681" s="126" t="n"/>
      <c r="W681" s="126" t="n"/>
      <c r="X681" s="126" t="n"/>
      <c r="Y681" s="126" t="n"/>
      <c r="Z681" s="126" t="n"/>
      <c r="AA681" s="126" t="n"/>
      <c r="AB681" s="126" t="n"/>
      <c r="AC681" s="126" t="n"/>
      <c r="AD681" s="126" t="n"/>
      <c r="AE681" s="126" t="n"/>
      <c r="AF681" s="126" t="n"/>
      <c r="AG681" s="126" t="n"/>
      <c r="AH681" s="126" t="n"/>
      <c r="AI681" s="126" t="n"/>
      <c r="AJ681" s="126" t="n"/>
      <c r="AK681" s="126" t="n"/>
      <c r="AL681" s="126" t="n"/>
      <c r="AM681" s="126" t="n"/>
      <c r="AN681" s="126" t="n"/>
    </row>
    <row r="682" ht="21" customFormat="1" customHeight="1" s="127">
      <c r="A682" s="51">
        <f>IF($B682="","",ROW()-6)</f>
        <v/>
      </c>
      <c r="B682" s="268" t="n"/>
      <c r="C682" s="133" t="n"/>
      <c r="D682" s="50" t="n"/>
      <c r="E682" s="265" t="n"/>
      <c r="F682" s="133" t="n"/>
      <c r="G682" s="133" t="n"/>
      <c r="H682" s="50" t="n"/>
      <c r="I682" s="51">
        <f>IF($C682="","",IFERROR(INDEX(WorkerIDs,MATCH($C682,WorkerNames,0)),"?"))</f>
        <v/>
      </c>
      <c r="J682" s="253">
        <f>IF($B682="","",$B682-WEEKDAY($B682,2)+1)</f>
        <v/>
      </c>
      <c r="K682" s="142">
        <f>IF(OR($I682="",$I682="?",$D682&lt;&gt;"Advance",$B682=""),"",$I682&amp;"|"&amp;$J682&amp;"|"&amp;COUNTIFS($I$7:$I682,$I682,$J$7:$J682,$J682,$D$7:$D682,"Advance"))</f>
        <v/>
      </c>
      <c r="L682" s="266">
        <f>IF(OR($I682="",$I682="?",$B682=""),"",SUMPRODUCT((Weeks!$A$7:$A$59&lt;=$J682)*(Weeks!$X$5:$AI$5=$I682)*Weeks!$X$7:$AI$59)-SUMIFS($E$7:$E$1006,$I$7:$I$1006,$I682,$B$7:$B$1006,"&lt;="&amp;$B682))</f>
        <v/>
      </c>
      <c r="M682" s="132">
        <f>IF($B682&amp;$C682&amp;$D682&amp;$E682="","",IF($B682="","missing date",IF($C682="","missing worker",IF($I682="?","unknown worker - was the name changed on Workers?",IF($D682="","missing type",IF(N($E682)=0,"missing amount",IF(AND($E682&lt;0,$D682&lt;&gt;"Correction"),"negative amount - use a Correction to undo",IF(OR($B682&lt;Weeks!$A$7,$B682&gt;Weeks!$B$59),"date outside this workbook's year",IF(AND($D682="Advance",N($L682)&lt;0),"Warning: more than earned so far - worker now owes "&amp;TEXT(ROUND(-$L682,0),"#,##0"),"")))))))))</f>
        <v/>
      </c>
      <c r="N682" s="125" t="n"/>
      <c r="O682" s="126" t="n"/>
      <c r="P682" s="126" t="n"/>
      <c r="Q682" s="126" t="n"/>
      <c r="R682" s="126" t="n"/>
      <c r="S682" s="126" t="n"/>
      <c r="T682" s="126" t="n"/>
      <c r="U682" s="126" t="n"/>
      <c r="V682" s="126" t="n"/>
      <c r="W682" s="126" t="n"/>
      <c r="X682" s="126" t="n"/>
      <c r="Y682" s="126" t="n"/>
      <c r="Z682" s="126" t="n"/>
      <c r="AA682" s="126" t="n"/>
      <c r="AB682" s="126" t="n"/>
      <c r="AC682" s="126" t="n"/>
      <c r="AD682" s="126" t="n"/>
      <c r="AE682" s="126" t="n"/>
      <c r="AF682" s="126" t="n"/>
      <c r="AG682" s="126" t="n"/>
      <c r="AH682" s="126" t="n"/>
      <c r="AI682" s="126" t="n"/>
      <c r="AJ682" s="126" t="n"/>
      <c r="AK682" s="126" t="n"/>
      <c r="AL682" s="126" t="n"/>
      <c r="AM682" s="126" t="n"/>
      <c r="AN682" s="126" t="n"/>
    </row>
    <row r="683" ht="21" customFormat="1" customHeight="1" s="127">
      <c r="A683" s="51">
        <f>IF($B683="","",ROW()-6)</f>
        <v/>
      </c>
      <c r="B683" s="268" t="n"/>
      <c r="C683" s="133" t="n"/>
      <c r="D683" s="50" t="n"/>
      <c r="E683" s="265" t="n"/>
      <c r="F683" s="133" t="n"/>
      <c r="G683" s="133" t="n"/>
      <c r="H683" s="50" t="n"/>
      <c r="I683" s="51">
        <f>IF($C683="","",IFERROR(INDEX(WorkerIDs,MATCH($C683,WorkerNames,0)),"?"))</f>
        <v/>
      </c>
      <c r="J683" s="253">
        <f>IF($B683="","",$B683-WEEKDAY($B683,2)+1)</f>
        <v/>
      </c>
      <c r="K683" s="142">
        <f>IF(OR($I683="",$I683="?",$D683&lt;&gt;"Advance",$B683=""),"",$I683&amp;"|"&amp;$J683&amp;"|"&amp;COUNTIFS($I$7:$I683,$I683,$J$7:$J683,$J683,$D$7:$D683,"Advance"))</f>
        <v/>
      </c>
      <c r="L683" s="266">
        <f>IF(OR($I683="",$I683="?",$B683=""),"",SUMPRODUCT((Weeks!$A$7:$A$59&lt;=$J683)*(Weeks!$X$5:$AI$5=$I683)*Weeks!$X$7:$AI$59)-SUMIFS($E$7:$E$1006,$I$7:$I$1006,$I683,$B$7:$B$1006,"&lt;="&amp;$B683))</f>
        <v/>
      </c>
      <c r="M683" s="132">
        <f>IF($B683&amp;$C683&amp;$D683&amp;$E683="","",IF($B683="","missing date",IF($C683="","missing worker",IF($I683="?","unknown worker - was the name changed on Workers?",IF($D683="","missing type",IF(N($E683)=0,"missing amount",IF(AND($E683&lt;0,$D683&lt;&gt;"Correction"),"negative amount - use a Correction to undo",IF(OR($B683&lt;Weeks!$A$7,$B683&gt;Weeks!$B$59),"date outside this workbook's year",IF(AND($D683="Advance",N($L683)&lt;0),"Warning: more than earned so far - worker now owes "&amp;TEXT(ROUND(-$L683,0),"#,##0"),"")))))))))</f>
        <v/>
      </c>
      <c r="N683" s="125" t="n"/>
      <c r="O683" s="126" t="n"/>
      <c r="P683" s="126" t="n"/>
      <c r="Q683" s="126" t="n"/>
      <c r="R683" s="126" t="n"/>
      <c r="S683" s="126" t="n"/>
      <c r="T683" s="126" t="n"/>
      <c r="U683" s="126" t="n"/>
      <c r="V683" s="126" t="n"/>
      <c r="W683" s="126" t="n"/>
      <c r="X683" s="126" t="n"/>
      <c r="Y683" s="126" t="n"/>
      <c r="Z683" s="126" t="n"/>
      <c r="AA683" s="126" t="n"/>
      <c r="AB683" s="126" t="n"/>
      <c r="AC683" s="126" t="n"/>
      <c r="AD683" s="126" t="n"/>
      <c r="AE683" s="126" t="n"/>
      <c r="AF683" s="126" t="n"/>
      <c r="AG683" s="126" t="n"/>
      <c r="AH683" s="126" t="n"/>
      <c r="AI683" s="126" t="n"/>
      <c r="AJ683" s="126" t="n"/>
      <c r="AK683" s="126" t="n"/>
      <c r="AL683" s="126" t="n"/>
      <c r="AM683" s="126" t="n"/>
      <c r="AN683" s="126" t="n"/>
    </row>
    <row r="684" ht="21" customFormat="1" customHeight="1" s="127">
      <c r="A684" s="51">
        <f>IF($B684="","",ROW()-6)</f>
        <v/>
      </c>
      <c r="B684" s="268" t="n"/>
      <c r="C684" s="133" t="n"/>
      <c r="D684" s="50" t="n"/>
      <c r="E684" s="265" t="n"/>
      <c r="F684" s="133" t="n"/>
      <c r="G684" s="133" t="n"/>
      <c r="H684" s="50" t="n"/>
      <c r="I684" s="51">
        <f>IF($C684="","",IFERROR(INDEX(WorkerIDs,MATCH($C684,WorkerNames,0)),"?"))</f>
        <v/>
      </c>
      <c r="J684" s="253">
        <f>IF($B684="","",$B684-WEEKDAY($B684,2)+1)</f>
        <v/>
      </c>
      <c r="K684" s="142">
        <f>IF(OR($I684="",$I684="?",$D684&lt;&gt;"Advance",$B684=""),"",$I684&amp;"|"&amp;$J684&amp;"|"&amp;COUNTIFS($I$7:$I684,$I684,$J$7:$J684,$J684,$D$7:$D684,"Advance"))</f>
        <v/>
      </c>
      <c r="L684" s="266">
        <f>IF(OR($I684="",$I684="?",$B684=""),"",SUMPRODUCT((Weeks!$A$7:$A$59&lt;=$J684)*(Weeks!$X$5:$AI$5=$I684)*Weeks!$X$7:$AI$59)-SUMIFS($E$7:$E$1006,$I$7:$I$1006,$I684,$B$7:$B$1006,"&lt;="&amp;$B684))</f>
        <v/>
      </c>
      <c r="M684" s="132">
        <f>IF($B684&amp;$C684&amp;$D684&amp;$E684="","",IF($B684="","missing date",IF($C684="","missing worker",IF($I684="?","unknown worker - was the name changed on Workers?",IF($D684="","missing type",IF(N($E684)=0,"missing amount",IF(AND($E684&lt;0,$D684&lt;&gt;"Correction"),"negative amount - use a Correction to undo",IF(OR($B684&lt;Weeks!$A$7,$B684&gt;Weeks!$B$59),"date outside this workbook's year",IF(AND($D684="Advance",N($L684)&lt;0),"Warning: more than earned so far - worker now owes "&amp;TEXT(ROUND(-$L684,0),"#,##0"),"")))))))))</f>
        <v/>
      </c>
      <c r="N684" s="125" t="n"/>
      <c r="O684" s="126" t="n"/>
      <c r="P684" s="126" t="n"/>
      <c r="Q684" s="126" t="n"/>
      <c r="R684" s="126" t="n"/>
      <c r="S684" s="126" t="n"/>
      <c r="T684" s="126" t="n"/>
      <c r="U684" s="126" t="n"/>
      <c r="V684" s="126" t="n"/>
      <c r="W684" s="126" t="n"/>
      <c r="X684" s="126" t="n"/>
      <c r="Y684" s="126" t="n"/>
      <c r="Z684" s="126" t="n"/>
      <c r="AA684" s="126" t="n"/>
      <c r="AB684" s="126" t="n"/>
      <c r="AC684" s="126" t="n"/>
      <c r="AD684" s="126" t="n"/>
      <c r="AE684" s="126" t="n"/>
      <c r="AF684" s="126" t="n"/>
      <c r="AG684" s="126" t="n"/>
      <c r="AH684" s="126" t="n"/>
      <c r="AI684" s="126" t="n"/>
      <c r="AJ684" s="126" t="n"/>
      <c r="AK684" s="126" t="n"/>
      <c r="AL684" s="126" t="n"/>
      <c r="AM684" s="126" t="n"/>
      <c r="AN684" s="126" t="n"/>
    </row>
    <row r="685" ht="21" customFormat="1" customHeight="1" s="127">
      <c r="A685" s="51">
        <f>IF($B685="","",ROW()-6)</f>
        <v/>
      </c>
      <c r="B685" s="268" t="n"/>
      <c r="C685" s="133" t="n"/>
      <c r="D685" s="50" t="n"/>
      <c r="E685" s="265" t="n"/>
      <c r="F685" s="133" t="n"/>
      <c r="G685" s="133" t="n"/>
      <c r="H685" s="50" t="n"/>
      <c r="I685" s="51">
        <f>IF($C685="","",IFERROR(INDEX(WorkerIDs,MATCH($C685,WorkerNames,0)),"?"))</f>
        <v/>
      </c>
      <c r="J685" s="253">
        <f>IF($B685="","",$B685-WEEKDAY($B685,2)+1)</f>
        <v/>
      </c>
      <c r="K685" s="142">
        <f>IF(OR($I685="",$I685="?",$D685&lt;&gt;"Advance",$B685=""),"",$I685&amp;"|"&amp;$J685&amp;"|"&amp;COUNTIFS($I$7:$I685,$I685,$J$7:$J685,$J685,$D$7:$D685,"Advance"))</f>
        <v/>
      </c>
      <c r="L685" s="266">
        <f>IF(OR($I685="",$I685="?",$B685=""),"",SUMPRODUCT((Weeks!$A$7:$A$59&lt;=$J685)*(Weeks!$X$5:$AI$5=$I685)*Weeks!$X$7:$AI$59)-SUMIFS($E$7:$E$1006,$I$7:$I$1006,$I685,$B$7:$B$1006,"&lt;="&amp;$B685))</f>
        <v/>
      </c>
      <c r="M685" s="132">
        <f>IF($B685&amp;$C685&amp;$D685&amp;$E685="","",IF($B685="","missing date",IF($C685="","missing worker",IF($I685="?","unknown worker - was the name changed on Workers?",IF($D685="","missing type",IF(N($E685)=0,"missing amount",IF(AND($E685&lt;0,$D685&lt;&gt;"Correction"),"negative amount - use a Correction to undo",IF(OR($B685&lt;Weeks!$A$7,$B685&gt;Weeks!$B$59),"date outside this workbook's year",IF(AND($D685="Advance",N($L685)&lt;0),"Warning: more than earned so far - worker now owes "&amp;TEXT(ROUND(-$L685,0),"#,##0"),"")))))))))</f>
        <v/>
      </c>
      <c r="N685" s="125" t="n"/>
      <c r="O685" s="126" t="n"/>
      <c r="P685" s="126" t="n"/>
      <c r="Q685" s="126" t="n"/>
      <c r="R685" s="126" t="n"/>
      <c r="S685" s="126" t="n"/>
      <c r="T685" s="126" t="n"/>
      <c r="U685" s="126" t="n"/>
      <c r="V685" s="126" t="n"/>
      <c r="W685" s="126" t="n"/>
      <c r="X685" s="126" t="n"/>
      <c r="Y685" s="126" t="n"/>
      <c r="Z685" s="126" t="n"/>
      <c r="AA685" s="126" t="n"/>
      <c r="AB685" s="126" t="n"/>
      <c r="AC685" s="126" t="n"/>
      <c r="AD685" s="126" t="n"/>
      <c r="AE685" s="126" t="n"/>
      <c r="AF685" s="126" t="n"/>
      <c r="AG685" s="126" t="n"/>
      <c r="AH685" s="126" t="n"/>
      <c r="AI685" s="126" t="n"/>
      <c r="AJ685" s="126" t="n"/>
      <c r="AK685" s="126" t="n"/>
      <c r="AL685" s="126" t="n"/>
      <c r="AM685" s="126" t="n"/>
      <c r="AN685" s="126" t="n"/>
    </row>
    <row r="686" ht="21" customFormat="1" customHeight="1" s="127">
      <c r="A686" s="51">
        <f>IF($B686="","",ROW()-6)</f>
        <v/>
      </c>
      <c r="B686" s="268" t="n"/>
      <c r="C686" s="133" t="n"/>
      <c r="D686" s="50" t="n"/>
      <c r="E686" s="265" t="n"/>
      <c r="F686" s="133" t="n"/>
      <c r="G686" s="133" t="n"/>
      <c r="H686" s="50" t="n"/>
      <c r="I686" s="51">
        <f>IF($C686="","",IFERROR(INDEX(WorkerIDs,MATCH($C686,WorkerNames,0)),"?"))</f>
        <v/>
      </c>
      <c r="J686" s="253">
        <f>IF($B686="","",$B686-WEEKDAY($B686,2)+1)</f>
        <v/>
      </c>
      <c r="K686" s="142">
        <f>IF(OR($I686="",$I686="?",$D686&lt;&gt;"Advance",$B686=""),"",$I686&amp;"|"&amp;$J686&amp;"|"&amp;COUNTIFS($I$7:$I686,$I686,$J$7:$J686,$J686,$D$7:$D686,"Advance"))</f>
        <v/>
      </c>
      <c r="L686" s="266">
        <f>IF(OR($I686="",$I686="?",$B686=""),"",SUMPRODUCT((Weeks!$A$7:$A$59&lt;=$J686)*(Weeks!$X$5:$AI$5=$I686)*Weeks!$X$7:$AI$59)-SUMIFS($E$7:$E$1006,$I$7:$I$1006,$I686,$B$7:$B$1006,"&lt;="&amp;$B686))</f>
        <v/>
      </c>
      <c r="M686" s="132">
        <f>IF($B686&amp;$C686&amp;$D686&amp;$E686="","",IF($B686="","missing date",IF($C686="","missing worker",IF($I686="?","unknown worker - was the name changed on Workers?",IF($D686="","missing type",IF(N($E686)=0,"missing amount",IF(AND($E686&lt;0,$D686&lt;&gt;"Correction"),"negative amount - use a Correction to undo",IF(OR($B686&lt;Weeks!$A$7,$B686&gt;Weeks!$B$59),"date outside this workbook's year",IF(AND($D686="Advance",N($L686)&lt;0),"Warning: more than earned so far - worker now owes "&amp;TEXT(ROUND(-$L686,0),"#,##0"),"")))))))))</f>
        <v/>
      </c>
      <c r="N686" s="125" t="n"/>
      <c r="O686" s="126" t="n"/>
      <c r="P686" s="126" t="n"/>
      <c r="Q686" s="126" t="n"/>
      <c r="R686" s="126" t="n"/>
      <c r="S686" s="126" t="n"/>
      <c r="T686" s="126" t="n"/>
      <c r="U686" s="126" t="n"/>
      <c r="V686" s="126" t="n"/>
      <c r="W686" s="126" t="n"/>
      <c r="X686" s="126" t="n"/>
      <c r="Y686" s="126" t="n"/>
      <c r="Z686" s="126" t="n"/>
      <c r="AA686" s="126" t="n"/>
      <c r="AB686" s="126" t="n"/>
      <c r="AC686" s="126" t="n"/>
      <c r="AD686" s="126" t="n"/>
      <c r="AE686" s="126" t="n"/>
      <c r="AF686" s="126" t="n"/>
      <c r="AG686" s="126" t="n"/>
      <c r="AH686" s="126" t="n"/>
      <c r="AI686" s="126" t="n"/>
      <c r="AJ686" s="126" t="n"/>
      <c r="AK686" s="126" t="n"/>
      <c r="AL686" s="126" t="n"/>
      <c r="AM686" s="126" t="n"/>
      <c r="AN686" s="126" t="n"/>
    </row>
    <row r="687" ht="21" customFormat="1" customHeight="1" s="127">
      <c r="A687" s="51">
        <f>IF($B687="","",ROW()-6)</f>
        <v/>
      </c>
      <c r="B687" s="268" t="n"/>
      <c r="C687" s="133" t="n"/>
      <c r="D687" s="50" t="n"/>
      <c r="E687" s="265" t="n"/>
      <c r="F687" s="133" t="n"/>
      <c r="G687" s="133" t="n"/>
      <c r="H687" s="50" t="n"/>
      <c r="I687" s="51">
        <f>IF($C687="","",IFERROR(INDEX(WorkerIDs,MATCH($C687,WorkerNames,0)),"?"))</f>
        <v/>
      </c>
      <c r="J687" s="253">
        <f>IF($B687="","",$B687-WEEKDAY($B687,2)+1)</f>
        <v/>
      </c>
      <c r="K687" s="142">
        <f>IF(OR($I687="",$I687="?",$D687&lt;&gt;"Advance",$B687=""),"",$I687&amp;"|"&amp;$J687&amp;"|"&amp;COUNTIFS($I$7:$I687,$I687,$J$7:$J687,$J687,$D$7:$D687,"Advance"))</f>
        <v/>
      </c>
      <c r="L687" s="266">
        <f>IF(OR($I687="",$I687="?",$B687=""),"",SUMPRODUCT((Weeks!$A$7:$A$59&lt;=$J687)*(Weeks!$X$5:$AI$5=$I687)*Weeks!$X$7:$AI$59)-SUMIFS($E$7:$E$1006,$I$7:$I$1006,$I687,$B$7:$B$1006,"&lt;="&amp;$B687))</f>
        <v/>
      </c>
      <c r="M687" s="132">
        <f>IF($B687&amp;$C687&amp;$D687&amp;$E687="","",IF($B687="","missing date",IF($C687="","missing worker",IF($I687="?","unknown worker - was the name changed on Workers?",IF($D687="","missing type",IF(N($E687)=0,"missing amount",IF(AND($E687&lt;0,$D687&lt;&gt;"Correction"),"negative amount - use a Correction to undo",IF(OR($B687&lt;Weeks!$A$7,$B687&gt;Weeks!$B$59),"date outside this workbook's year",IF(AND($D687="Advance",N($L687)&lt;0),"Warning: more than earned so far - worker now owes "&amp;TEXT(ROUND(-$L687,0),"#,##0"),"")))))))))</f>
        <v/>
      </c>
      <c r="N687" s="125" t="n"/>
      <c r="O687" s="126" t="n"/>
      <c r="P687" s="126" t="n"/>
      <c r="Q687" s="126" t="n"/>
      <c r="R687" s="126" t="n"/>
      <c r="S687" s="126" t="n"/>
      <c r="T687" s="126" t="n"/>
      <c r="U687" s="126" t="n"/>
      <c r="V687" s="126" t="n"/>
      <c r="W687" s="126" t="n"/>
      <c r="X687" s="126" t="n"/>
      <c r="Y687" s="126" t="n"/>
      <c r="Z687" s="126" t="n"/>
      <c r="AA687" s="126" t="n"/>
      <c r="AB687" s="126" t="n"/>
      <c r="AC687" s="126" t="n"/>
      <c r="AD687" s="126" t="n"/>
      <c r="AE687" s="126" t="n"/>
      <c r="AF687" s="126" t="n"/>
      <c r="AG687" s="126" t="n"/>
      <c r="AH687" s="126" t="n"/>
      <c r="AI687" s="126" t="n"/>
      <c r="AJ687" s="126" t="n"/>
      <c r="AK687" s="126" t="n"/>
      <c r="AL687" s="126" t="n"/>
      <c r="AM687" s="126" t="n"/>
      <c r="AN687" s="126" t="n"/>
    </row>
    <row r="688" ht="21" customFormat="1" customHeight="1" s="127">
      <c r="A688" s="51">
        <f>IF($B688="","",ROW()-6)</f>
        <v/>
      </c>
      <c r="B688" s="268" t="n"/>
      <c r="C688" s="133" t="n"/>
      <c r="D688" s="50" t="n"/>
      <c r="E688" s="265" t="n"/>
      <c r="F688" s="133" t="n"/>
      <c r="G688" s="133" t="n"/>
      <c r="H688" s="50" t="n"/>
      <c r="I688" s="51">
        <f>IF($C688="","",IFERROR(INDEX(WorkerIDs,MATCH($C688,WorkerNames,0)),"?"))</f>
        <v/>
      </c>
      <c r="J688" s="253">
        <f>IF($B688="","",$B688-WEEKDAY($B688,2)+1)</f>
        <v/>
      </c>
      <c r="K688" s="142">
        <f>IF(OR($I688="",$I688="?",$D688&lt;&gt;"Advance",$B688=""),"",$I688&amp;"|"&amp;$J688&amp;"|"&amp;COUNTIFS($I$7:$I688,$I688,$J$7:$J688,$J688,$D$7:$D688,"Advance"))</f>
        <v/>
      </c>
      <c r="L688" s="266">
        <f>IF(OR($I688="",$I688="?",$B688=""),"",SUMPRODUCT((Weeks!$A$7:$A$59&lt;=$J688)*(Weeks!$X$5:$AI$5=$I688)*Weeks!$X$7:$AI$59)-SUMIFS($E$7:$E$1006,$I$7:$I$1006,$I688,$B$7:$B$1006,"&lt;="&amp;$B688))</f>
        <v/>
      </c>
      <c r="M688" s="132">
        <f>IF($B688&amp;$C688&amp;$D688&amp;$E688="","",IF($B688="","missing date",IF($C688="","missing worker",IF($I688="?","unknown worker - was the name changed on Workers?",IF($D688="","missing type",IF(N($E688)=0,"missing amount",IF(AND($E688&lt;0,$D688&lt;&gt;"Correction"),"negative amount - use a Correction to undo",IF(OR($B688&lt;Weeks!$A$7,$B688&gt;Weeks!$B$59),"date outside this workbook's year",IF(AND($D688="Advance",N($L688)&lt;0),"Warning: more than earned so far - worker now owes "&amp;TEXT(ROUND(-$L688,0),"#,##0"),"")))))))))</f>
        <v/>
      </c>
      <c r="N688" s="125" t="n"/>
      <c r="O688" s="126" t="n"/>
      <c r="P688" s="126" t="n"/>
      <c r="Q688" s="126" t="n"/>
      <c r="R688" s="126" t="n"/>
      <c r="S688" s="126" t="n"/>
      <c r="T688" s="126" t="n"/>
      <c r="U688" s="126" t="n"/>
      <c r="V688" s="126" t="n"/>
      <c r="W688" s="126" t="n"/>
      <c r="X688" s="126" t="n"/>
      <c r="Y688" s="126" t="n"/>
      <c r="Z688" s="126" t="n"/>
      <c r="AA688" s="126" t="n"/>
      <c r="AB688" s="126" t="n"/>
      <c r="AC688" s="126" t="n"/>
      <c r="AD688" s="126" t="n"/>
      <c r="AE688" s="126" t="n"/>
      <c r="AF688" s="126" t="n"/>
      <c r="AG688" s="126" t="n"/>
      <c r="AH688" s="126" t="n"/>
      <c r="AI688" s="126" t="n"/>
      <c r="AJ688" s="126" t="n"/>
      <c r="AK688" s="126" t="n"/>
      <c r="AL688" s="126" t="n"/>
      <c r="AM688" s="126" t="n"/>
      <c r="AN688" s="126" t="n"/>
    </row>
    <row r="689" ht="21" customFormat="1" customHeight="1" s="127">
      <c r="A689" s="51">
        <f>IF($B689="","",ROW()-6)</f>
        <v/>
      </c>
      <c r="B689" s="268" t="n"/>
      <c r="C689" s="133" t="n"/>
      <c r="D689" s="50" t="n"/>
      <c r="E689" s="265" t="n"/>
      <c r="F689" s="133" t="n"/>
      <c r="G689" s="133" t="n"/>
      <c r="H689" s="50" t="n"/>
      <c r="I689" s="51">
        <f>IF($C689="","",IFERROR(INDEX(WorkerIDs,MATCH($C689,WorkerNames,0)),"?"))</f>
        <v/>
      </c>
      <c r="J689" s="253">
        <f>IF($B689="","",$B689-WEEKDAY($B689,2)+1)</f>
        <v/>
      </c>
      <c r="K689" s="142">
        <f>IF(OR($I689="",$I689="?",$D689&lt;&gt;"Advance",$B689=""),"",$I689&amp;"|"&amp;$J689&amp;"|"&amp;COUNTIFS($I$7:$I689,$I689,$J$7:$J689,$J689,$D$7:$D689,"Advance"))</f>
        <v/>
      </c>
      <c r="L689" s="266">
        <f>IF(OR($I689="",$I689="?",$B689=""),"",SUMPRODUCT((Weeks!$A$7:$A$59&lt;=$J689)*(Weeks!$X$5:$AI$5=$I689)*Weeks!$X$7:$AI$59)-SUMIFS($E$7:$E$1006,$I$7:$I$1006,$I689,$B$7:$B$1006,"&lt;="&amp;$B689))</f>
        <v/>
      </c>
      <c r="M689" s="132">
        <f>IF($B689&amp;$C689&amp;$D689&amp;$E689="","",IF($B689="","missing date",IF($C689="","missing worker",IF($I689="?","unknown worker - was the name changed on Workers?",IF($D689="","missing type",IF(N($E689)=0,"missing amount",IF(AND($E689&lt;0,$D689&lt;&gt;"Correction"),"negative amount - use a Correction to undo",IF(OR($B689&lt;Weeks!$A$7,$B689&gt;Weeks!$B$59),"date outside this workbook's year",IF(AND($D689="Advance",N($L689)&lt;0),"Warning: more than earned so far - worker now owes "&amp;TEXT(ROUND(-$L689,0),"#,##0"),"")))))))))</f>
        <v/>
      </c>
      <c r="N689" s="125" t="n"/>
      <c r="O689" s="126" t="n"/>
      <c r="P689" s="126" t="n"/>
      <c r="Q689" s="126" t="n"/>
      <c r="R689" s="126" t="n"/>
      <c r="S689" s="126" t="n"/>
      <c r="T689" s="126" t="n"/>
      <c r="U689" s="126" t="n"/>
      <c r="V689" s="126" t="n"/>
      <c r="W689" s="126" t="n"/>
      <c r="X689" s="126" t="n"/>
      <c r="Y689" s="126" t="n"/>
      <c r="Z689" s="126" t="n"/>
      <c r="AA689" s="126" t="n"/>
      <c r="AB689" s="126" t="n"/>
      <c r="AC689" s="126" t="n"/>
      <c r="AD689" s="126" t="n"/>
      <c r="AE689" s="126" t="n"/>
      <c r="AF689" s="126" t="n"/>
      <c r="AG689" s="126" t="n"/>
      <c r="AH689" s="126" t="n"/>
      <c r="AI689" s="126" t="n"/>
      <c r="AJ689" s="126" t="n"/>
      <c r="AK689" s="126" t="n"/>
      <c r="AL689" s="126" t="n"/>
      <c r="AM689" s="126" t="n"/>
      <c r="AN689" s="126" t="n"/>
    </row>
    <row r="690" ht="21" customFormat="1" customHeight="1" s="127">
      <c r="A690" s="51">
        <f>IF($B690="","",ROW()-6)</f>
        <v/>
      </c>
      <c r="B690" s="268" t="n"/>
      <c r="C690" s="133" t="n"/>
      <c r="D690" s="50" t="n"/>
      <c r="E690" s="265" t="n"/>
      <c r="F690" s="133" t="n"/>
      <c r="G690" s="133" t="n"/>
      <c r="H690" s="50" t="n"/>
      <c r="I690" s="51">
        <f>IF($C690="","",IFERROR(INDEX(WorkerIDs,MATCH($C690,WorkerNames,0)),"?"))</f>
        <v/>
      </c>
      <c r="J690" s="253">
        <f>IF($B690="","",$B690-WEEKDAY($B690,2)+1)</f>
        <v/>
      </c>
      <c r="K690" s="142">
        <f>IF(OR($I690="",$I690="?",$D690&lt;&gt;"Advance",$B690=""),"",$I690&amp;"|"&amp;$J690&amp;"|"&amp;COUNTIFS($I$7:$I690,$I690,$J$7:$J690,$J690,$D$7:$D690,"Advance"))</f>
        <v/>
      </c>
      <c r="L690" s="266">
        <f>IF(OR($I690="",$I690="?",$B690=""),"",SUMPRODUCT((Weeks!$A$7:$A$59&lt;=$J690)*(Weeks!$X$5:$AI$5=$I690)*Weeks!$X$7:$AI$59)-SUMIFS($E$7:$E$1006,$I$7:$I$1006,$I690,$B$7:$B$1006,"&lt;="&amp;$B690))</f>
        <v/>
      </c>
      <c r="M690" s="132">
        <f>IF($B690&amp;$C690&amp;$D690&amp;$E690="","",IF($B690="","missing date",IF($C690="","missing worker",IF($I690="?","unknown worker - was the name changed on Workers?",IF($D690="","missing type",IF(N($E690)=0,"missing amount",IF(AND($E690&lt;0,$D690&lt;&gt;"Correction"),"negative amount - use a Correction to undo",IF(OR($B690&lt;Weeks!$A$7,$B690&gt;Weeks!$B$59),"date outside this workbook's year",IF(AND($D690="Advance",N($L690)&lt;0),"Warning: more than earned so far - worker now owes "&amp;TEXT(ROUND(-$L690,0),"#,##0"),"")))))))))</f>
        <v/>
      </c>
      <c r="N690" s="125" t="n"/>
      <c r="O690" s="126" t="n"/>
      <c r="P690" s="126" t="n"/>
      <c r="Q690" s="126" t="n"/>
      <c r="R690" s="126" t="n"/>
      <c r="S690" s="126" t="n"/>
      <c r="T690" s="126" t="n"/>
      <c r="U690" s="126" t="n"/>
      <c r="V690" s="126" t="n"/>
      <c r="W690" s="126" t="n"/>
      <c r="X690" s="126" t="n"/>
      <c r="Y690" s="126" t="n"/>
      <c r="Z690" s="126" t="n"/>
      <c r="AA690" s="126" t="n"/>
      <c r="AB690" s="126" t="n"/>
      <c r="AC690" s="126" t="n"/>
      <c r="AD690" s="126" t="n"/>
      <c r="AE690" s="126" t="n"/>
      <c r="AF690" s="126" t="n"/>
      <c r="AG690" s="126" t="n"/>
      <c r="AH690" s="126" t="n"/>
      <c r="AI690" s="126" t="n"/>
      <c r="AJ690" s="126" t="n"/>
      <c r="AK690" s="126" t="n"/>
      <c r="AL690" s="126" t="n"/>
      <c r="AM690" s="126" t="n"/>
      <c r="AN690" s="126" t="n"/>
    </row>
    <row r="691" ht="21" customFormat="1" customHeight="1" s="127">
      <c r="A691" s="51">
        <f>IF($B691="","",ROW()-6)</f>
        <v/>
      </c>
      <c r="B691" s="268" t="n"/>
      <c r="C691" s="133" t="n"/>
      <c r="D691" s="50" t="n"/>
      <c r="E691" s="265" t="n"/>
      <c r="F691" s="133" t="n"/>
      <c r="G691" s="133" t="n"/>
      <c r="H691" s="50" t="n"/>
      <c r="I691" s="51">
        <f>IF($C691="","",IFERROR(INDEX(WorkerIDs,MATCH($C691,WorkerNames,0)),"?"))</f>
        <v/>
      </c>
      <c r="J691" s="253">
        <f>IF($B691="","",$B691-WEEKDAY($B691,2)+1)</f>
        <v/>
      </c>
      <c r="K691" s="142">
        <f>IF(OR($I691="",$I691="?",$D691&lt;&gt;"Advance",$B691=""),"",$I691&amp;"|"&amp;$J691&amp;"|"&amp;COUNTIFS($I$7:$I691,$I691,$J$7:$J691,$J691,$D$7:$D691,"Advance"))</f>
        <v/>
      </c>
      <c r="L691" s="266">
        <f>IF(OR($I691="",$I691="?",$B691=""),"",SUMPRODUCT((Weeks!$A$7:$A$59&lt;=$J691)*(Weeks!$X$5:$AI$5=$I691)*Weeks!$X$7:$AI$59)-SUMIFS($E$7:$E$1006,$I$7:$I$1006,$I691,$B$7:$B$1006,"&lt;="&amp;$B691))</f>
        <v/>
      </c>
      <c r="M691" s="132">
        <f>IF($B691&amp;$C691&amp;$D691&amp;$E691="","",IF($B691="","missing date",IF($C691="","missing worker",IF($I691="?","unknown worker - was the name changed on Workers?",IF($D691="","missing type",IF(N($E691)=0,"missing amount",IF(AND($E691&lt;0,$D691&lt;&gt;"Correction"),"negative amount - use a Correction to undo",IF(OR($B691&lt;Weeks!$A$7,$B691&gt;Weeks!$B$59),"date outside this workbook's year",IF(AND($D691="Advance",N($L691)&lt;0),"Warning: more than earned so far - worker now owes "&amp;TEXT(ROUND(-$L691,0),"#,##0"),"")))))))))</f>
        <v/>
      </c>
      <c r="N691" s="125" t="n"/>
      <c r="O691" s="126" t="n"/>
      <c r="P691" s="126" t="n"/>
      <c r="Q691" s="126" t="n"/>
      <c r="R691" s="126" t="n"/>
      <c r="S691" s="126" t="n"/>
      <c r="T691" s="126" t="n"/>
      <c r="U691" s="126" t="n"/>
      <c r="V691" s="126" t="n"/>
      <c r="W691" s="126" t="n"/>
      <c r="X691" s="126" t="n"/>
      <c r="Y691" s="126" t="n"/>
      <c r="Z691" s="126" t="n"/>
      <c r="AA691" s="126" t="n"/>
      <c r="AB691" s="126" t="n"/>
      <c r="AC691" s="126" t="n"/>
      <c r="AD691" s="126" t="n"/>
      <c r="AE691" s="126" t="n"/>
      <c r="AF691" s="126" t="n"/>
      <c r="AG691" s="126" t="n"/>
      <c r="AH691" s="126" t="n"/>
      <c r="AI691" s="126" t="n"/>
      <c r="AJ691" s="126" t="n"/>
      <c r="AK691" s="126" t="n"/>
      <c r="AL691" s="126" t="n"/>
      <c r="AM691" s="126" t="n"/>
      <c r="AN691" s="126" t="n"/>
    </row>
    <row r="692" ht="21" customFormat="1" customHeight="1" s="127">
      <c r="A692" s="51">
        <f>IF($B692="","",ROW()-6)</f>
        <v/>
      </c>
      <c r="B692" s="268" t="n"/>
      <c r="C692" s="133" t="n"/>
      <c r="D692" s="50" t="n"/>
      <c r="E692" s="265" t="n"/>
      <c r="F692" s="133" t="n"/>
      <c r="G692" s="133" t="n"/>
      <c r="H692" s="50" t="n"/>
      <c r="I692" s="51">
        <f>IF($C692="","",IFERROR(INDEX(WorkerIDs,MATCH($C692,WorkerNames,0)),"?"))</f>
        <v/>
      </c>
      <c r="J692" s="253">
        <f>IF($B692="","",$B692-WEEKDAY($B692,2)+1)</f>
        <v/>
      </c>
      <c r="K692" s="142">
        <f>IF(OR($I692="",$I692="?",$D692&lt;&gt;"Advance",$B692=""),"",$I692&amp;"|"&amp;$J692&amp;"|"&amp;COUNTIFS($I$7:$I692,$I692,$J$7:$J692,$J692,$D$7:$D692,"Advance"))</f>
        <v/>
      </c>
      <c r="L692" s="266">
        <f>IF(OR($I692="",$I692="?",$B692=""),"",SUMPRODUCT((Weeks!$A$7:$A$59&lt;=$J692)*(Weeks!$X$5:$AI$5=$I692)*Weeks!$X$7:$AI$59)-SUMIFS($E$7:$E$1006,$I$7:$I$1006,$I692,$B$7:$B$1006,"&lt;="&amp;$B692))</f>
        <v/>
      </c>
      <c r="M692" s="132">
        <f>IF($B692&amp;$C692&amp;$D692&amp;$E692="","",IF($B692="","missing date",IF($C692="","missing worker",IF($I692="?","unknown worker - was the name changed on Workers?",IF($D692="","missing type",IF(N($E692)=0,"missing amount",IF(AND($E692&lt;0,$D692&lt;&gt;"Correction"),"negative amount - use a Correction to undo",IF(OR($B692&lt;Weeks!$A$7,$B692&gt;Weeks!$B$59),"date outside this workbook's year",IF(AND($D692="Advance",N($L692)&lt;0),"Warning: more than earned so far - worker now owes "&amp;TEXT(ROUND(-$L692,0),"#,##0"),"")))))))))</f>
        <v/>
      </c>
      <c r="N692" s="125" t="n"/>
      <c r="O692" s="126" t="n"/>
      <c r="P692" s="126" t="n"/>
      <c r="Q692" s="126" t="n"/>
      <c r="R692" s="126" t="n"/>
      <c r="S692" s="126" t="n"/>
      <c r="T692" s="126" t="n"/>
      <c r="U692" s="126" t="n"/>
      <c r="V692" s="126" t="n"/>
      <c r="W692" s="126" t="n"/>
      <c r="X692" s="126" t="n"/>
      <c r="Y692" s="126" t="n"/>
      <c r="Z692" s="126" t="n"/>
      <c r="AA692" s="126" t="n"/>
      <c r="AB692" s="126" t="n"/>
      <c r="AC692" s="126" t="n"/>
      <c r="AD692" s="126" t="n"/>
      <c r="AE692" s="126" t="n"/>
      <c r="AF692" s="126" t="n"/>
      <c r="AG692" s="126" t="n"/>
      <c r="AH692" s="126" t="n"/>
      <c r="AI692" s="126" t="n"/>
      <c r="AJ692" s="126" t="n"/>
      <c r="AK692" s="126" t="n"/>
      <c r="AL692" s="126" t="n"/>
      <c r="AM692" s="126" t="n"/>
      <c r="AN692" s="126" t="n"/>
    </row>
    <row r="693" ht="21" customFormat="1" customHeight="1" s="127">
      <c r="A693" s="51">
        <f>IF($B693="","",ROW()-6)</f>
        <v/>
      </c>
      <c r="B693" s="268" t="n"/>
      <c r="C693" s="133" t="n"/>
      <c r="D693" s="50" t="n"/>
      <c r="E693" s="265" t="n"/>
      <c r="F693" s="133" t="n"/>
      <c r="G693" s="133" t="n"/>
      <c r="H693" s="50" t="n"/>
      <c r="I693" s="51">
        <f>IF($C693="","",IFERROR(INDEX(WorkerIDs,MATCH($C693,WorkerNames,0)),"?"))</f>
        <v/>
      </c>
      <c r="J693" s="253">
        <f>IF($B693="","",$B693-WEEKDAY($B693,2)+1)</f>
        <v/>
      </c>
      <c r="K693" s="142">
        <f>IF(OR($I693="",$I693="?",$D693&lt;&gt;"Advance",$B693=""),"",$I693&amp;"|"&amp;$J693&amp;"|"&amp;COUNTIFS($I$7:$I693,$I693,$J$7:$J693,$J693,$D$7:$D693,"Advance"))</f>
        <v/>
      </c>
      <c r="L693" s="266">
        <f>IF(OR($I693="",$I693="?",$B693=""),"",SUMPRODUCT((Weeks!$A$7:$A$59&lt;=$J693)*(Weeks!$X$5:$AI$5=$I693)*Weeks!$X$7:$AI$59)-SUMIFS($E$7:$E$1006,$I$7:$I$1006,$I693,$B$7:$B$1006,"&lt;="&amp;$B693))</f>
        <v/>
      </c>
      <c r="M693" s="132">
        <f>IF($B693&amp;$C693&amp;$D693&amp;$E693="","",IF($B693="","missing date",IF($C693="","missing worker",IF($I693="?","unknown worker - was the name changed on Workers?",IF($D693="","missing type",IF(N($E693)=0,"missing amount",IF(AND($E693&lt;0,$D693&lt;&gt;"Correction"),"negative amount - use a Correction to undo",IF(OR($B693&lt;Weeks!$A$7,$B693&gt;Weeks!$B$59),"date outside this workbook's year",IF(AND($D693="Advance",N($L693)&lt;0),"Warning: more than earned so far - worker now owes "&amp;TEXT(ROUND(-$L693,0),"#,##0"),"")))))))))</f>
        <v/>
      </c>
      <c r="N693" s="125" t="n"/>
      <c r="O693" s="126" t="n"/>
      <c r="P693" s="126" t="n"/>
      <c r="Q693" s="126" t="n"/>
      <c r="R693" s="126" t="n"/>
      <c r="S693" s="126" t="n"/>
      <c r="T693" s="126" t="n"/>
      <c r="U693" s="126" t="n"/>
      <c r="V693" s="126" t="n"/>
      <c r="W693" s="126" t="n"/>
      <c r="X693" s="126" t="n"/>
      <c r="Y693" s="126" t="n"/>
      <c r="Z693" s="126" t="n"/>
      <c r="AA693" s="126" t="n"/>
      <c r="AB693" s="126" t="n"/>
      <c r="AC693" s="126" t="n"/>
      <c r="AD693" s="126" t="n"/>
      <c r="AE693" s="126" t="n"/>
      <c r="AF693" s="126" t="n"/>
      <c r="AG693" s="126" t="n"/>
      <c r="AH693" s="126" t="n"/>
      <c r="AI693" s="126" t="n"/>
      <c r="AJ693" s="126" t="n"/>
      <c r="AK693" s="126" t="n"/>
      <c r="AL693" s="126" t="n"/>
      <c r="AM693" s="126" t="n"/>
      <c r="AN693" s="126" t="n"/>
    </row>
    <row r="694" ht="21" customFormat="1" customHeight="1" s="127">
      <c r="A694" s="51">
        <f>IF($B694="","",ROW()-6)</f>
        <v/>
      </c>
      <c r="B694" s="268" t="n"/>
      <c r="C694" s="133" t="n"/>
      <c r="D694" s="50" t="n"/>
      <c r="E694" s="265" t="n"/>
      <c r="F694" s="133" t="n"/>
      <c r="G694" s="133" t="n"/>
      <c r="H694" s="50" t="n"/>
      <c r="I694" s="51">
        <f>IF($C694="","",IFERROR(INDEX(WorkerIDs,MATCH($C694,WorkerNames,0)),"?"))</f>
        <v/>
      </c>
      <c r="J694" s="253">
        <f>IF($B694="","",$B694-WEEKDAY($B694,2)+1)</f>
        <v/>
      </c>
      <c r="K694" s="142">
        <f>IF(OR($I694="",$I694="?",$D694&lt;&gt;"Advance",$B694=""),"",$I694&amp;"|"&amp;$J694&amp;"|"&amp;COUNTIFS($I$7:$I694,$I694,$J$7:$J694,$J694,$D$7:$D694,"Advance"))</f>
        <v/>
      </c>
      <c r="L694" s="266">
        <f>IF(OR($I694="",$I694="?",$B694=""),"",SUMPRODUCT((Weeks!$A$7:$A$59&lt;=$J694)*(Weeks!$X$5:$AI$5=$I694)*Weeks!$X$7:$AI$59)-SUMIFS($E$7:$E$1006,$I$7:$I$1006,$I694,$B$7:$B$1006,"&lt;="&amp;$B694))</f>
        <v/>
      </c>
      <c r="M694" s="132">
        <f>IF($B694&amp;$C694&amp;$D694&amp;$E694="","",IF($B694="","missing date",IF($C694="","missing worker",IF($I694="?","unknown worker - was the name changed on Workers?",IF($D694="","missing type",IF(N($E694)=0,"missing amount",IF(AND($E694&lt;0,$D694&lt;&gt;"Correction"),"negative amount - use a Correction to undo",IF(OR($B694&lt;Weeks!$A$7,$B694&gt;Weeks!$B$59),"date outside this workbook's year",IF(AND($D694="Advance",N($L694)&lt;0),"Warning: more than earned so far - worker now owes "&amp;TEXT(ROUND(-$L694,0),"#,##0"),"")))))))))</f>
        <v/>
      </c>
      <c r="N694" s="125" t="n"/>
      <c r="O694" s="126" t="n"/>
      <c r="P694" s="126" t="n"/>
      <c r="Q694" s="126" t="n"/>
      <c r="R694" s="126" t="n"/>
      <c r="S694" s="126" t="n"/>
      <c r="T694" s="126" t="n"/>
      <c r="U694" s="126" t="n"/>
      <c r="V694" s="126" t="n"/>
      <c r="W694" s="126" t="n"/>
      <c r="X694" s="126" t="n"/>
      <c r="Y694" s="126" t="n"/>
      <c r="Z694" s="126" t="n"/>
      <c r="AA694" s="126" t="n"/>
      <c r="AB694" s="126" t="n"/>
      <c r="AC694" s="126" t="n"/>
      <c r="AD694" s="126" t="n"/>
      <c r="AE694" s="126" t="n"/>
      <c r="AF694" s="126" t="n"/>
      <c r="AG694" s="126" t="n"/>
      <c r="AH694" s="126" t="n"/>
      <c r="AI694" s="126" t="n"/>
      <c r="AJ694" s="126" t="n"/>
      <c r="AK694" s="126" t="n"/>
      <c r="AL694" s="126" t="n"/>
      <c r="AM694" s="126" t="n"/>
      <c r="AN694" s="126" t="n"/>
    </row>
    <row r="695" ht="21" customFormat="1" customHeight="1" s="127">
      <c r="A695" s="51">
        <f>IF($B695="","",ROW()-6)</f>
        <v/>
      </c>
      <c r="B695" s="268" t="n"/>
      <c r="C695" s="133" t="n"/>
      <c r="D695" s="50" t="n"/>
      <c r="E695" s="265" t="n"/>
      <c r="F695" s="133" t="n"/>
      <c r="G695" s="133" t="n"/>
      <c r="H695" s="50" t="n"/>
      <c r="I695" s="51">
        <f>IF($C695="","",IFERROR(INDEX(WorkerIDs,MATCH($C695,WorkerNames,0)),"?"))</f>
        <v/>
      </c>
      <c r="J695" s="253">
        <f>IF($B695="","",$B695-WEEKDAY($B695,2)+1)</f>
        <v/>
      </c>
      <c r="K695" s="142">
        <f>IF(OR($I695="",$I695="?",$D695&lt;&gt;"Advance",$B695=""),"",$I695&amp;"|"&amp;$J695&amp;"|"&amp;COUNTIFS($I$7:$I695,$I695,$J$7:$J695,$J695,$D$7:$D695,"Advance"))</f>
        <v/>
      </c>
      <c r="L695" s="266">
        <f>IF(OR($I695="",$I695="?",$B695=""),"",SUMPRODUCT((Weeks!$A$7:$A$59&lt;=$J695)*(Weeks!$X$5:$AI$5=$I695)*Weeks!$X$7:$AI$59)-SUMIFS($E$7:$E$1006,$I$7:$I$1006,$I695,$B$7:$B$1006,"&lt;="&amp;$B695))</f>
        <v/>
      </c>
      <c r="M695" s="132">
        <f>IF($B695&amp;$C695&amp;$D695&amp;$E695="","",IF($B695="","missing date",IF($C695="","missing worker",IF($I695="?","unknown worker - was the name changed on Workers?",IF($D695="","missing type",IF(N($E695)=0,"missing amount",IF(AND($E695&lt;0,$D695&lt;&gt;"Correction"),"negative amount - use a Correction to undo",IF(OR($B695&lt;Weeks!$A$7,$B695&gt;Weeks!$B$59),"date outside this workbook's year",IF(AND($D695="Advance",N($L695)&lt;0),"Warning: more than earned so far - worker now owes "&amp;TEXT(ROUND(-$L695,0),"#,##0"),"")))))))))</f>
        <v/>
      </c>
      <c r="N695" s="125" t="n"/>
      <c r="O695" s="126" t="n"/>
      <c r="P695" s="126" t="n"/>
      <c r="Q695" s="126" t="n"/>
      <c r="R695" s="126" t="n"/>
      <c r="S695" s="126" t="n"/>
      <c r="T695" s="126" t="n"/>
      <c r="U695" s="126" t="n"/>
      <c r="V695" s="126" t="n"/>
      <c r="W695" s="126" t="n"/>
      <c r="X695" s="126" t="n"/>
      <c r="Y695" s="126" t="n"/>
      <c r="Z695" s="126" t="n"/>
      <c r="AA695" s="126" t="n"/>
      <c r="AB695" s="126" t="n"/>
      <c r="AC695" s="126" t="n"/>
      <c r="AD695" s="126" t="n"/>
      <c r="AE695" s="126" t="n"/>
      <c r="AF695" s="126" t="n"/>
      <c r="AG695" s="126" t="n"/>
      <c r="AH695" s="126" t="n"/>
      <c r="AI695" s="126" t="n"/>
      <c r="AJ695" s="126" t="n"/>
      <c r="AK695" s="126" t="n"/>
      <c r="AL695" s="126" t="n"/>
      <c r="AM695" s="126" t="n"/>
      <c r="AN695" s="126" t="n"/>
    </row>
    <row r="696" ht="21" customFormat="1" customHeight="1" s="127">
      <c r="A696" s="51">
        <f>IF($B696="","",ROW()-6)</f>
        <v/>
      </c>
      <c r="B696" s="268" t="n"/>
      <c r="C696" s="133" t="n"/>
      <c r="D696" s="50" t="n"/>
      <c r="E696" s="265" t="n"/>
      <c r="F696" s="133" t="n"/>
      <c r="G696" s="133" t="n"/>
      <c r="H696" s="50" t="n"/>
      <c r="I696" s="51">
        <f>IF($C696="","",IFERROR(INDEX(WorkerIDs,MATCH($C696,WorkerNames,0)),"?"))</f>
        <v/>
      </c>
      <c r="J696" s="253">
        <f>IF($B696="","",$B696-WEEKDAY($B696,2)+1)</f>
        <v/>
      </c>
      <c r="K696" s="142">
        <f>IF(OR($I696="",$I696="?",$D696&lt;&gt;"Advance",$B696=""),"",$I696&amp;"|"&amp;$J696&amp;"|"&amp;COUNTIFS($I$7:$I696,$I696,$J$7:$J696,$J696,$D$7:$D696,"Advance"))</f>
        <v/>
      </c>
      <c r="L696" s="266">
        <f>IF(OR($I696="",$I696="?",$B696=""),"",SUMPRODUCT((Weeks!$A$7:$A$59&lt;=$J696)*(Weeks!$X$5:$AI$5=$I696)*Weeks!$X$7:$AI$59)-SUMIFS($E$7:$E$1006,$I$7:$I$1006,$I696,$B$7:$B$1006,"&lt;="&amp;$B696))</f>
        <v/>
      </c>
      <c r="M696" s="132">
        <f>IF($B696&amp;$C696&amp;$D696&amp;$E696="","",IF($B696="","missing date",IF($C696="","missing worker",IF($I696="?","unknown worker - was the name changed on Workers?",IF($D696="","missing type",IF(N($E696)=0,"missing amount",IF(AND($E696&lt;0,$D696&lt;&gt;"Correction"),"negative amount - use a Correction to undo",IF(OR($B696&lt;Weeks!$A$7,$B696&gt;Weeks!$B$59),"date outside this workbook's year",IF(AND($D696="Advance",N($L696)&lt;0),"Warning: more than earned so far - worker now owes "&amp;TEXT(ROUND(-$L696,0),"#,##0"),"")))))))))</f>
        <v/>
      </c>
      <c r="N696" s="125" t="n"/>
      <c r="O696" s="126" t="n"/>
      <c r="P696" s="126" t="n"/>
      <c r="Q696" s="126" t="n"/>
      <c r="R696" s="126" t="n"/>
      <c r="S696" s="126" t="n"/>
      <c r="T696" s="126" t="n"/>
      <c r="U696" s="126" t="n"/>
      <c r="V696" s="126" t="n"/>
      <c r="W696" s="126" t="n"/>
      <c r="X696" s="126" t="n"/>
      <c r="Y696" s="126" t="n"/>
      <c r="Z696" s="126" t="n"/>
      <c r="AA696" s="126" t="n"/>
      <c r="AB696" s="126" t="n"/>
      <c r="AC696" s="126" t="n"/>
      <c r="AD696" s="126" t="n"/>
      <c r="AE696" s="126" t="n"/>
      <c r="AF696" s="126" t="n"/>
      <c r="AG696" s="126" t="n"/>
      <c r="AH696" s="126" t="n"/>
      <c r="AI696" s="126" t="n"/>
      <c r="AJ696" s="126" t="n"/>
      <c r="AK696" s="126" t="n"/>
      <c r="AL696" s="126" t="n"/>
      <c r="AM696" s="126" t="n"/>
      <c r="AN696" s="126" t="n"/>
    </row>
    <row r="697" ht="21" customFormat="1" customHeight="1" s="127">
      <c r="A697" s="51">
        <f>IF($B697="","",ROW()-6)</f>
        <v/>
      </c>
      <c r="B697" s="268" t="n"/>
      <c r="C697" s="133" t="n"/>
      <c r="D697" s="50" t="n"/>
      <c r="E697" s="265" t="n"/>
      <c r="F697" s="133" t="n"/>
      <c r="G697" s="133" t="n"/>
      <c r="H697" s="50" t="n"/>
      <c r="I697" s="51">
        <f>IF($C697="","",IFERROR(INDEX(WorkerIDs,MATCH($C697,WorkerNames,0)),"?"))</f>
        <v/>
      </c>
      <c r="J697" s="253">
        <f>IF($B697="","",$B697-WEEKDAY($B697,2)+1)</f>
        <v/>
      </c>
      <c r="K697" s="142">
        <f>IF(OR($I697="",$I697="?",$D697&lt;&gt;"Advance",$B697=""),"",$I697&amp;"|"&amp;$J697&amp;"|"&amp;COUNTIFS($I$7:$I697,$I697,$J$7:$J697,$J697,$D$7:$D697,"Advance"))</f>
        <v/>
      </c>
      <c r="L697" s="266">
        <f>IF(OR($I697="",$I697="?",$B697=""),"",SUMPRODUCT((Weeks!$A$7:$A$59&lt;=$J697)*(Weeks!$X$5:$AI$5=$I697)*Weeks!$X$7:$AI$59)-SUMIFS($E$7:$E$1006,$I$7:$I$1006,$I697,$B$7:$B$1006,"&lt;="&amp;$B697))</f>
        <v/>
      </c>
      <c r="M697" s="132">
        <f>IF($B697&amp;$C697&amp;$D697&amp;$E697="","",IF($B697="","missing date",IF($C697="","missing worker",IF($I697="?","unknown worker - was the name changed on Workers?",IF($D697="","missing type",IF(N($E697)=0,"missing amount",IF(AND($E697&lt;0,$D697&lt;&gt;"Correction"),"negative amount - use a Correction to undo",IF(OR($B697&lt;Weeks!$A$7,$B697&gt;Weeks!$B$59),"date outside this workbook's year",IF(AND($D697="Advance",N($L697)&lt;0),"Warning: more than earned so far - worker now owes "&amp;TEXT(ROUND(-$L697,0),"#,##0"),"")))))))))</f>
        <v/>
      </c>
      <c r="N697" s="125" t="n"/>
      <c r="O697" s="126" t="n"/>
      <c r="P697" s="126" t="n"/>
      <c r="Q697" s="126" t="n"/>
      <c r="R697" s="126" t="n"/>
      <c r="S697" s="126" t="n"/>
      <c r="T697" s="126" t="n"/>
      <c r="U697" s="126" t="n"/>
      <c r="V697" s="126" t="n"/>
      <c r="W697" s="126" t="n"/>
      <c r="X697" s="126" t="n"/>
      <c r="Y697" s="126" t="n"/>
      <c r="Z697" s="126" t="n"/>
      <c r="AA697" s="126" t="n"/>
      <c r="AB697" s="126" t="n"/>
      <c r="AC697" s="126" t="n"/>
      <c r="AD697" s="126" t="n"/>
      <c r="AE697" s="126" t="n"/>
      <c r="AF697" s="126" t="n"/>
      <c r="AG697" s="126" t="n"/>
      <c r="AH697" s="126" t="n"/>
      <c r="AI697" s="126" t="n"/>
      <c r="AJ697" s="126" t="n"/>
      <c r="AK697" s="126" t="n"/>
      <c r="AL697" s="126" t="n"/>
      <c r="AM697" s="126" t="n"/>
      <c r="AN697" s="126" t="n"/>
    </row>
    <row r="698" ht="21" customFormat="1" customHeight="1" s="127">
      <c r="A698" s="51">
        <f>IF($B698="","",ROW()-6)</f>
        <v/>
      </c>
      <c r="B698" s="268" t="n"/>
      <c r="C698" s="133" t="n"/>
      <c r="D698" s="50" t="n"/>
      <c r="E698" s="265" t="n"/>
      <c r="F698" s="133" t="n"/>
      <c r="G698" s="133" t="n"/>
      <c r="H698" s="50" t="n"/>
      <c r="I698" s="51">
        <f>IF($C698="","",IFERROR(INDEX(WorkerIDs,MATCH($C698,WorkerNames,0)),"?"))</f>
        <v/>
      </c>
      <c r="J698" s="253">
        <f>IF($B698="","",$B698-WEEKDAY($B698,2)+1)</f>
        <v/>
      </c>
      <c r="K698" s="142">
        <f>IF(OR($I698="",$I698="?",$D698&lt;&gt;"Advance",$B698=""),"",$I698&amp;"|"&amp;$J698&amp;"|"&amp;COUNTIFS($I$7:$I698,$I698,$J$7:$J698,$J698,$D$7:$D698,"Advance"))</f>
        <v/>
      </c>
      <c r="L698" s="266">
        <f>IF(OR($I698="",$I698="?",$B698=""),"",SUMPRODUCT((Weeks!$A$7:$A$59&lt;=$J698)*(Weeks!$X$5:$AI$5=$I698)*Weeks!$X$7:$AI$59)-SUMIFS($E$7:$E$1006,$I$7:$I$1006,$I698,$B$7:$B$1006,"&lt;="&amp;$B698))</f>
        <v/>
      </c>
      <c r="M698" s="132">
        <f>IF($B698&amp;$C698&amp;$D698&amp;$E698="","",IF($B698="","missing date",IF($C698="","missing worker",IF($I698="?","unknown worker - was the name changed on Workers?",IF($D698="","missing type",IF(N($E698)=0,"missing amount",IF(AND($E698&lt;0,$D698&lt;&gt;"Correction"),"negative amount - use a Correction to undo",IF(OR($B698&lt;Weeks!$A$7,$B698&gt;Weeks!$B$59),"date outside this workbook's year",IF(AND($D698="Advance",N($L698)&lt;0),"Warning: more than earned so far - worker now owes "&amp;TEXT(ROUND(-$L698,0),"#,##0"),"")))))))))</f>
        <v/>
      </c>
      <c r="N698" s="125" t="n"/>
      <c r="O698" s="126" t="n"/>
      <c r="P698" s="126" t="n"/>
      <c r="Q698" s="126" t="n"/>
      <c r="R698" s="126" t="n"/>
      <c r="S698" s="126" t="n"/>
      <c r="T698" s="126" t="n"/>
      <c r="U698" s="126" t="n"/>
      <c r="V698" s="126" t="n"/>
      <c r="W698" s="126" t="n"/>
      <c r="X698" s="126" t="n"/>
      <c r="Y698" s="126" t="n"/>
      <c r="Z698" s="126" t="n"/>
      <c r="AA698" s="126" t="n"/>
      <c r="AB698" s="126" t="n"/>
      <c r="AC698" s="126" t="n"/>
      <c r="AD698" s="126" t="n"/>
      <c r="AE698" s="126" t="n"/>
      <c r="AF698" s="126" t="n"/>
      <c r="AG698" s="126" t="n"/>
      <c r="AH698" s="126" t="n"/>
      <c r="AI698" s="126" t="n"/>
      <c r="AJ698" s="126" t="n"/>
      <c r="AK698" s="126" t="n"/>
      <c r="AL698" s="126" t="n"/>
      <c r="AM698" s="126" t="n"/>
      <c r="AN698" s="126" t="n"/>
    </row>
    <row r="699" ht="21" customFormat="1" customHeight="1" s="127">
      <c r="A699" s="51">
        <f>IF($B699="","",ROW()-6)</f>
        <v/>
      </c>
      <c r="B699" s="268" t="n"/>
      <c r="C699" s="133" t="n"/>
      <c r="D699" s="50" t="n"/>
      <c r="E699" s="265" t="n"/>
      <c r="F699" s="133" t="n"/>
      <c r="G699" s="133" t="n"/>
      <c r="H699" s="50" t="n"/>
      <c r="I699" s="51">
        <f>IF($C699="","",IFERROR(INDEX(WorkerIDs,MATCH($C699,WorkerNames,0)),"?"))</f>
        <v/>
      </c>
      <c r="J699" s="253">
        <f>IF($B699="","",$B699-WEEKDAY($B699,2)+1)</f>
        <v/>
      </c>
      <c r="K699" s="142">
        <f>IF(OR($I699="",$I699="?",$D699&lt;&gt;"Advance",$B699=""),"",$I699&amp;"|"&amp;$J699&amp;"|"&amp;COUNTIFS($I$7:$I699,$I699,$J$7:$J699,$J699,$D$7:$D699,"Advance"))</f>
        <v/>
      </c>
      <c r="L699" s="266">
        <f>IF(OR($I699="",$I699="?",$B699=""),"",SUMPRODUCT((Weeks!$A$7:$A$59&lt;=$J699)*(Weeks!$X$5:$AI$5=$I699)*Weeks!$X$7:$AI$59)-SUMIFS($E$7:$E$1006,$I$7:$I$1006,$I699,$B$7:$B$1006,"&lt;="&amp;$B699))</f>
        <v/>
      </c>
      <c r="M699" s="132">
        <f>IF($B699&amp;$C699&amp;$D699&amp;$E699="","",IF($B699="","missing date",IF($C699="","missing worker",IF($I699="?","unknown worker - was the name changed on Workers?",IF($D699="","missing type",IF(N($E699)=0,"missing amount",IF(AND($E699&lt;0,$D699&lt;&gt;"Correction"),"negative amount - use a Correction to undo",IF(OR($B699&lt;Weeks!$A$7,$B699&gt;Weeks!$B$59),"date outside this workbook's year",IF(AND($D699="Advance",N($L699)&lt;0),"Warning: more than earned so far - worker now owes "&amp;TEXT(ROUND(-$L699,0),"#,##0"),"")))))))))</f>
        <v/>
      </c>
      <c r="N699" s="125" t="n"/>
      <c r="O699" s="126" t="n"/>
      <c r="P699" s="126" t="n"/>
      <c r="Q699" s="126" t="n"/>
      <c r="R699" s="126" t="n"/>
      <c r="S699" s="126" t="n"/>
      <c r="T699" s="126" t="n"/>
      <c r="U699" s="126" t="n"/>
      <c r="V699" s="126" t="n"/>
      <c r="W699" s="126" t="n"/>
      <c r="X699" s="126" t="n"/>
      <c r="Y699" s="126" t="n"/>
      <c r="Z699" s="126" t="n"/>
      <c r="AA699" s="126" t="n"/>
      <c r="AB699" s="126" t="n"/>
      <c r="AC699" s="126" t="n"/>
      <c r="AD699" s="126" t="n"/>
      <c r="AE699" s="126" t="n"/>
      <c r="AF699" s="126" t="n"/>
      <c r="AG699" s="126" t="n"/>
      <c r="AH699" s="126" t="n"/>
      <c r="AI699" s="126" t="n"/>
      <c r="AJ699" s="126" t="n"/>
      <c r="AK699" s="126" t="n"/>
      <c r="AL699" s="126" t="n"/>
      <c r="AM699" s="126" t="n"/>
      <c r="AN699" s="126" t="n"/>
    </row>
    <row r="700" ht="21" customFormat="1" customHeight="1" s="127">
      <c r="A700" s="51">
        <f>IF($B700="","",ROW()-6)</f>
        <v/>
      </c>
      <c r="B700" s="268" t="n"/>
      <c r="C700" s="133" t="n"/>
      <c r="D700" s="50" t="n"/>
      <c r="E700" s="265" t="n"/>
      <c r="F700" s="133" t="n"/>
      <c r="G700" s="133" t="n"/>
      <c r="H700" s="50" t="n"/>
      <c r="I700" s="51">
        <f>IF($C700="","",IFERROR(INDEX(WorkerIDs,MATCH($C700,WorkerNames,0)),"?"))</f>
        <v/>
      </c>
      <c r="J700" s="253">
        <f>IF($B700="","",$B700-WEEKDAY($B700,2)+1)</f>
        <v/>
      </c>
      <c r="K700" s="142">
        <f>IF(OR($I700="",$I700="?",$D700&lt;&gt;"Advance",$B700=""),"",$I700&amp;"|"&amp;$J700&amp;"|"&amp;COUNTIFS($I$7:$I700,$I700,$J$7:$J700,$J700,$D$7:$D700,"Advance"))</f>
        <v/>
      </c>
      <c r="L700" s="266">
        <f>IF(OR($I700="",$I700="?",$B700=""),"",SUMPRODUCT((Weeks!$A$7:$A$59&lt;=$J700)*(Weeks!$X$5:$AI$5=$I700)*Weeks!$X$7:$AI$59)-SUMIFS($E$7:$E$1006,$I$7:$I$1006,$I700,$B$7:$B$1006,"&lt;="&amp;$B700))</f>
        <v/>
      </c>
      <c r="M700" s="132">
        <f>IF($B700&amp;$C700&amp;$D700&amp;$E700="","",IF($B700="","missing date",IF($C700="","missing worker",IF($I700="?","unknown worker - was the name changed on Workers?",IF($D700="","missing type",IF(N($E700)=0,"missing amount",IF(AND($E700&lt;0,$D700&lt;&gt;"Correction"),"negative amount - use a Correction to undo",IF(OR($B700&lt;Weeks!$A$7,$B700&gt;Weeks!$B$59),"date outside this workbook's year",IF(AND($D700="Advance",N($L700)&lt;0),"Warning: more than earned so far - worker now owes "&amp;TEXT(ROUND(-$L700,0),"#,##0"),"")))))))))</f>
        <v/>
      </c>
      <c r="N700" s="125" t="n"/>
      <c r="O700" s="126" t="n"/>
      <c r="P700" s="126" t="n"/>
      <c r="Q700" s="126" t="n"/>
      <c r="R700" s="126" t="n"/>
      <c r="S700" s="126" t="n"/>
      <c r="T700" s="126" t="n"/>
      <c r="U700" s="126" t="n"/>
      <c r="V700" s="126" t="n"/>
      <c r="W700" s="126" t="n"/>
      <c r="X700" s="126" t="n"/>
      <c r="Y700" s="126" t="n"/>
      <c r="Z700" s="126" t="n"/>
      <c r="AA700" s="126" t="n"/>
      <c r="AB700" s="126" t="n"/>
      <c r="AC700" s="126" t="n"/>
      <c r="AD700" s="126" t="n"/>
      <c r="AE700" s="126" t="n"/>
      <c r="AF700" s="126" t="n"/>
      <c r="AG700" s="126" t="n"/>
      <c r="AH700" s="126" t="n"/>
      <c r="AI700" s="126" t="n"/>
      <c r="AJ700" s="126" t="n"/>
      <c r="AK700" s="126" t="n"/>
      <c r="AL700" s="126" t="n"/>
      <c r="AM700" s="126" t="n"/>
      <c r="AN700" s="126" t="n"/>
    </row>
    <row r="701" ht="21" customFormat="1" customHeight="1" s="127">
      <c r="A701" s="51">
        <f>IF($B701="","",ROW()-6)</f>
        <v/>
      </c>
      <c r="B701" s="268" t="n"/>
      <c r="C701" s="133" t="n"/>
      <c r="D701" s="50" t="n"/>
      <c r="E701" s="265" t="n"/>
      <c r="F701" s="133" t="n"/>
      <c r="G701" s="133" t="n"/>
      <c r="H701" s="50" t="n"/>
      <c r="I701" s="51">
        <f>IF($C701="","",IFERROR(INDEX(WorkerIDs,MATCH($C701,WorkerNames,0)),"?"))</f>
        <v/>
      </c>
      <c r="J701" s="253">
        <f>IF($B701="","",$B701-WEEKDAY($B701,2)+1)</f>
        <v/>
      </c>
      <c r="K701" s="142">
        <f>IF(OR($I701="",$I701="?",$D701&lt;&gt;"Advance",$B701=""),"",$I701&amp;"|"&amp;$J701&amp;"|"&amp;COUNTIFS($I$7:$I701,$I701,$J$7:$J701,$J701,$D$7:$D701,"Advance"))</f>
        <v/>
      </c>
      <c r="L701" s="266">
        <f>IF(OR($I701="",$I701="?",$B701=""),"",SUMPRODUCT((Weeks!$A$7:$A$59&lt;=$J701)*(Weeks!$X$5:$AI$5=$I701)*Weeks!$X$7:$AI$59)-SUMIFS($E$7:$E$1006,$I$7:$I$1006,$I701,$B$7:$B$1006,"&lt;="&amp;$B701))</f>
        <v/>
      </c>
      <c r="M701" s="132">
        <f>IF($B701&amp;$C701&amp;$D701&amp;$E701="","",IF($B701="","missing date",IF($C701="","missing worker",IF($I701="?","unknown worker - was the name changed on Workers?",IF($D701="","missing type",IF(N($E701)=0,"missing amount",IF(AND($E701&lt;0,$D701&lt;&gt;"Correction"),"negative amount - use a Correction to undo",IF(OR($B701&lt;Weeks!$A$7,$B701&gt;Weeks!$B$59),"date outside this workbook's year",IF(AND($D701="Advance",N($L701)&lt;0),"Warning: more than earned so far - worker now owes "&amp;TEXT(ROUND(-$L701,0),"#,##0"),"")))))))))</f>
        <v/>
      </c>
      <c r="N701" s="125" t="n"/>
      <c r="O701" s="126" t="n"/>
      <c r="P701" s="126" t="n"/>
      <c r="Q701" s="126" t="n"/>
      <c r="R701" s="126" t="n"/>
      <c r="S701" s="126" t="n"/>
      <c r="T701" s="126" t="n"/>
      <c r="U701" s="126" t="n"/>
      <c r="V701" s="126" t="n"/>
      <c r="W701" s="126" t="n"/>
      <c r="X701" s="126" t="n"/>
      <c r="Y701" s="126" t="n"/>
      <c r="Z701" s="126" t="n"/>
      <c r="AA701" s="126" t="n"/>
      <c r="AB701" s="126" t="n"/>
      <c r="AC701" s="126" t="n"/>
      <c r="AD701" s="126" t="n"/>
      <c r="AE701" s="126" t="n"/>
      <c r="AF701" s="126" t="n"/>
      <c r="AG701" s="126" t="n"/>
      <c r="AH701" s="126" t="n"/>
      <c r="AI701" s="126" t="n"/>
      <c r="AJ701" s="126" t="n"/>
      <c r="AK701" s="126" t="n"/>
      <c r="AL701" s="126" t="n"/>
      <c r="AM701" s="126" t="n"/>
      <c r="AN701" s="126" t="n"/>
    </row>
    <row r="702" ht="21" customFormat="1" customHeight="1" s="127">
      <c r="A702" s="51">
        <f>IF($B702="","",ROW()-6)</f>
        <v/>
      </c>
      <c r="B702" s="268" t="n"/>
      <c r="C702" s="133" t="n"/>
      <c r="D702" s="50" t="n"/>
      <c r="E702" s="265" t="n"/>
      <c r="F702" s="133" t="n"/>
      <c r="G702" s="133" t="n"/>
      <c r="H702" s="50" t="n"/>
      <c r="I702" s="51">
        <f>IF($C702="","",IFERROR(INDEX(WorkerIDs,MATCH($C702,WorkerNames,0)),"?"))</f>
        <v/>
      </c>
      <c r="J702" s="253">
        <f>IF($B702="","",$B702-WEEKDAY($B702,2)+1)</f>
        <v/>
      </c>
      <c r="K702" s="142">
        <f>IF(OR($I702="",$I702="?",$D702&lt;&gt;"Advance",$B702=""),"",$I702&amp;"|"&amp;$J702&amp;"|"&amp;COUNTIFS($I$7:$I702,$I702,$J$7:$J702,$J702,$D$7:$D702,"Advance"))</f>
        <v/>
      </c>
      <c r="L702" s="266">
        <f>IF(OR($I702="",$I702="?",$B702=""),"",SUMPRODUCT((Weeks!$A$7:$A$59&lt;=$J702)*(Weeks!$X$5:$AI$5=$I702)*Weeks!$X$7:$AI$59)-SUMIFS($E$7:$E$1006,$I$7:$I$1006,$I702,$B$7:$B$1006,"&lt;="&amp;$B702))</f>
        <v/>
      </c>
      <c r="M702" s="132">
        <f>IF($B702&amp;$C702&amp;$D702&amp;$E702="","",IF($B702="","missing date",IF($C702="","missing worker",IF($I702="?","unknown worker - was the name changed on Workers?",IF($D702="","missing type",IF(N($E702)=0,"missing amount",IF(AND($E702&lt;0,$D702&lt;&gt;"Correction"),"negative amount - use a Correction to undo",IF(OR($B702&lt;Weeks!$A$7,$B702&gt;Weeks!$B$59),"date outside this workbook's year",IF(AND($D702="Advance",N($L702)&lt;0),"Warning: more than earned so far - worker now owes "&amp;TEXT(ROUND(-$L702,0),"#,##0"),"")))))))))</f>
        <v/>
      </c>
      <c r="N702" s="125" t="n"/>
      <c r="O702" s="126" t="n"/>
      <c r="P702" s="126" t="n"/>
      <c r="Q702" s="126" t="n"/>
      <c r="R702" s="126" t="n"/>
      <c r="S702" s="126" t="n"/>
      <c r="T702" s="126" t="n"/>
      <c r="U702" s="126" t="n"/>
      <c r="V702" s="126" t="n"/>
      <c r="W702" s="126" t="n"/>
      <c r="X702" s="126" t="n"/>
      <c r="Y702" s="126" t="n"/>
      <c r="Z702" s="126" t="n"/>
      <c r="AA702" s="126" t="n"/>
      <c r="AB702" s="126" t="n"/>
      <c r="AC702" s="126" t="n"/>
      <c r="AD702" s="126" t="n"/>
      <c r="AE702" s="126" t="n"/>
      <c r="AF702" s="126" t="n"/>
      <c r="AG702" s="126" t="n"/>
      <c r="AH702" s="126" t="n"/>
      <c r="AI702" s="126" t="n"/>
      <c r="AJ702" s="126" t="n"/>
      <c r="AK702" s="126" t="n"/>
      <c r="AL702" s="126" t="n"/>
      <c r="AM702" s="126" t="n"/>
      <c r="AN702" s="126" t="n"/>
    </row>
    <row r="703" ht="21" customFormat="1" customHeight="1" s="127">
      <c r="A703" s="51">
        <f>IF($B703="","",ROW()-6)</f>
        <v/>
      </c>
      <c r="B703" s="268" t="n"/>
      <c r="C703" s="133" t="n"/>
      <c r="D703" s="50" t="n"/>
      <c r="E703" s="265" t="n"/>
      <c r="F703" s="133" t="n"/>
      <c r="G703" s="133" t="n"/>
      <c r="H703" s="50" t="n"/>
      <c r="I703" s="51">
        <f>IF($C703="","",IFERROR(INDEX(WorkerIDs,MATCH($C703,WorkerNames,0)),"?"))</f>
        <v/>
      </c>
      <c r="J703" s="253">
        <f>IF($B703="","",$B703-WEEKDAY($B703,2)+1)</f>
        <v/>
      </c>
      <c r="K703" s="142">
        <f>IF(OR($I703="",$I703="?",$D703&lt;&gt;"Advance",$B703=""),"",$I703&amp;"|"&amp;$J703&amp;"|"&amp;COUNTIFS($I$7:$I703,$I703,$J$7:$J703,$J703,$D$7:$D703,"Advance"))</f>
        <v/>
      </c>
      <c r="L703" s="266">
        <f>IF(OR($I703="",$I703="?",$B703=""),"",SUMPRODUCT((Weeks!$A$7:$A$59&lt;=$J703)*(Weeks!$X$5:$AI$5=$I703)*Weeks!$X$7:$AI$59)-SUMIFS($E$7:$E$1006,$I$7:$I$1006,$I703,$B$7:$B$1006,"&lt;="&amp;$B703))</f>
        <v/>
      </c>
      <c r="M703" s="132">
        <f>IF($B703&amp;$C703&amp;$D703&amp;$E703="","",IF($B703="","missing date",IF($C703="","missing worker",IF($I703="?","unknown worker - was the name changed on Workers?",IF($D703="","missing type",IF(N($E703)=0,"missing amount",IF(AND($E703&lt;0,$D703&lt;&gt;"Correction"),"negative amount - use a Correction to undo",IF(OR($B703&lt;Weeks!$A$7,$B703&gt;Weeks!$B$59),"date outside this workbook's year",IF(AND($D703="Advance",N($L703)&lt;0),"Warning: more than earned so far - worker now owes "&amp;TEXT(ROUND(-$L703,0),"#,##0"),"")))))))))</f>
        <v/>
      </c>
      <c r="N703" s="125" t="n"/>
      <c r="O703" s="126" t="n"/>
      <c r="P703" s="126" t="n"/>
      <c r="Q703" s="126" t="n"/>
      <c r="R703" s="126" t="n"/>
      <c r="S703" s="126" t="n"/>
      <c r="T703" s="126" t="n"/>
      <c r="U703" s="126" t="n"/>
      <c r="V703" s="126" t="n"/>
      <c r="W703" s="126" t="n"/>
      <c r="X703" s="126" t="n"/>
      <c r="Y703" s="126" t="n"/>
      <c r="Z703" s="126" t="n"/>
      <c r="AA703" s="126" t="n"/>
      <c r="AB703" s="126" t="n"/>
      <c r="AC703" s="126" t="n"/>
      <c r="AD703" s="126" t="n"/>
      <c r="AE703" s="126" t="n"/>
      <c r="AF703" s="126" t="n"/>
      <c r="AG703" s="126" t="n"/>
      <c r="AH703" s="126" t="n"/>
      <c r="AI703" s="126" t="n"/>
      <c r="AJ703" s="126" t="n"/>
      <c r="AK703" s="126" t="n"/>
      <c r="AL703" s="126" t="n"/>
      <c r="AM703" s="126" t="n"/>
      <c r="AN703" s="126" t="n"/>
    </row>
    <row r="704" ht="21" customFormat="1" customHeight="1" s="127">
      <c r="A704" s="51">
        <f>IF($B704="","",ROW()-6)</f>
        <v/>
      </c>
      <c r="B704" s="268" t="n"/>
      <c r="C704" s="133" t="n"/>
      <c r="D704" s="50" t="n"/>
      <c r="E704" s="265" t="n"/>
      <c r="F704" s="133" t="n"/>
      <c r="G704" s="133" t="n"/>
      <c r="H704" s="50" t="n"/>
      <c r="I704" s="51">
        <f>IF($C704="","",IFERROR(INDEX(WorkerIDs,MATCH($C704,WorkerNames,0)),"?"))</f>
        <v/>
      </c>
      <c r="J704" s="253">
        <f>IF($B704="","",$B704-WEEKDAY($B704,2)+1)</f>
        <v/>
      </c>
      <c r="K704" s="142">
        <f>IF(OR($I704="",$I704="?",$D704&lt;&gt;"Advance",$B704=""),"",$I704&amp;"|"&amp;$J704&amp;"|"&amp;COUNTIFS($I$7:$I704,$I704,$J$7:$J704,$J704,$D$7:$D704,"Advance"))</f>
        <v/>
      </c>
      <c r="L704" s="266">
        <f>IF(OR($I704="",$I704="?",$B704=""),"",SUMPRODUCT((Weeks!$A$7:$A$59&lt;=$J704)*(Weeks!$X$5:$AI$5=$I704)*Weeks!$X$7:$AI$59)-SUMIFS($E$7:$E$1006,$I$7:$I$1006,$I704,$B$7:$B$1006,"&lt;="&amp;$B704))</f>
        <v/>
      </c>
      <c r="M704" s="132">
        <f>IF($B704&amp;$C704&amp;$D704&amp;$E704="","",IF($B704="","missing date",IF($C704="","missing worker",IF($I704="?","unknown worker - was the name changed on Workers?",IF($D704="","missing type",IF(N($E704)=0,"missing amount",IF(AND($E704&lt;0,$D704&lt;&gt;"Correction"),"negative amount - use a Correction to undo",IF(OR($B704&lt;Weeks!$A$7,$B704&gt;Weeks!$B$59),"date outside this workbook's year",IF(AND($D704="Advance",N($L704)&lt;0),"Warning: more than earned so far - worker now owes "&amp;TEXT(ROUND(-$L704,0),"#,##0"),"")))))))))</f>
        <v/>
      </c>
      <c r="N704" s="125" t="n"/>
      <c r="O704" s="126" t="n"/>
      <c r="P704" s="126" t="n"/>
      <c r="Q704" s="126" t="n"/>
      <c r="R704" s="126" t="n"/>
      <c r="S704" s="126" t="n"/>
      <c r="T704" s="126" t="n"/>
      <c r="U704" s="126" t="n"/>
      <c r="V704" s="126" t="n"/>
      <c r="W704" s="126" t="n"/>
      <c r="X704" s="126" t="n"/>
      <c r="Y704" s="126" t="n"/>
      <c r="Z704" s="126" t="n"/>
      <c r="AA704" s="126" t="n"/>
      <c r="AB704" s="126" t="n"/>
      <c r="AC704" s="126" t="n"/>
      <c r="AD704" s="126" t="n"/>
      <c r="AE704" s="126" t="n"/>
      <c r="AF704" s="126" t="n"/>
      <c r="AG704" s="126" t="n"/>
      <c r="AH704" s="126" t="n"/>
      <c r="AI704" s="126" t="n"/>
      <c r="AJ704" s="126" t="n"/>
      <c r="AK704" s="126" t="n"/>
      <c r="AL704" s="126" t="n"/>
      <c r="AM704" s="126" t="n"/>
      <c r="AN704" s="126" t="n"/>
    </row>
    <row r="705" ht="21" customFormat="1" customHeight="1" s="127">
      <c r="A705" s="51">
        <f>IF($B705="","",ROW()-6)</f>
        <v/>
      </c>
      <c r="B705" s="268" t="n"/>
      <c r="C705" s="133" t="n"/>
      <c r="D705" s="50" t="n"/>
      <c r="E705" s="265" t="n"/>
      <c r="F705" s="133" t="n"/>
      <c r="G705" s="133" t="n"/>
      <c r="H705" s="50" t="n"/>
      <c r="I705" s="51">
        <f>IF($C705="","",IFERROR(INDEX(WorkerIDs,MATCH($C705,WorkerNames,0)),"?"))</f>
        <v/>
      </c>
      <c r="J705" s="253">
        <f>IF($B705="","",$B705-WEEKDAY($B705,2)+1)</f>
        <v/>
      </c>
      <c r="K705" s="142">
        <f>IF(OR($I705="",$I705="?",$D705&lt;&gt;"Advance",$B705=""),"",$I705&amp;"|"&amp;$J705&amp;"|"&amp;COUNTIFS($I$7:$I705,$I705,$J$7:$J705,$J705,$D$7:$D705,"Advance"))</f>
        <v/>
      </c>
      <c r="L705" s="266">
        <f>IF(OR($I705="",$I705="?",$B705=""),"",SUMPRODUCT((Weeks!$A$7:$A$59&lt;=$J705)*(Weeks!$X$5:$AI$5=$I705)*Weeks!$X$7:$AI$59)-SUMIFS($E$7:$E$1006,$I$7:$I$1006,$I705,$B$7:$B$1006,"&lt;="&amp;$B705))</f>
        <v/>
      </c>
      <c r="M705" s="132">
        <f>IF($B705&amp;$C705&amp;$D705&amp;$E705="","",IF($B705="","missing date",IF($C705="","missing worker",IF($I705="?","unknown worker - was the name changed on Workers?",IF($D705="","missing type",IF(N($E705)=0,"missing amount",IF(AND($E705&lt;0,$D705&lt;&gt;"Correction"),"negative amount - use a Correction to undo",IF(OR($B705&lt;Weeks!$A$7,$B705&gt;Weeks!$B$59),"date outside this workbook's year",IF(AND($D705="Advance",N($L705)&lt;0),"Warning: more than earned so far - worker now owes "&amp;TEXT(ROUND(-$L705,0),"#,##0"),"")))))))))</f>
        <v/>
      </c>
      <c r="N705" s="125" t="n"/>
      <c r="O705" s="126" t="n"/>
      <c r="P705" s="126" t="n"/>
      <c r="Q705" s="126" t="n"/>
      <c r="R705" s="126" t="n"/>
      <c r="S705" s="126" t="n"/>
      <c r="T705" s="126" t="n"/>
      <c r="U705" s="126" t="n"/>
      <c r="V705" s="126" t="n"/>
      <c r="W705" s="126" t="n"/>
      <c r="X705" s="126" t="n"/>
      <c r="Y705" s="126" t="n"/>
      <c r="Z705" s="126" t="n"/>
      <c r="AA705" s="126" t="n"/>
      <c r="AB705" s="126" t="n"/>
      <c r="AC705" s="126" t="n"/>
      <c r="AD705" s="126" t="n"/>
      <c r="AE705" s="126" t="n"/>
      <c r="AF705" s="126" t="n"/>
      <c r="AG705" s="126" t="n"/>
      <c r="AH705" s="126" t="n"/>
      <c r="AI705" s="126" t="n"/>
      <c r="AJ705" s="126" t="n"/>
      <c r="AK705" s="126" t="n"/>
      <c r="AL705" s="126" t="n"/>
      <c r="AM705" s="126" t="n"/>
      <c r="AN705" s="126" t="n"/>
    </row>
    <row r="706" ht="21" customFormat="1" customHeight="1" s="127">
      <c r="A706" s="51">
        <f>IF($B706="","",ROW()-6)</f>
        <v/>
      </c>
      <c r="B706" s="268" t="n"/>
      <c r="C706" s="133" t="n"/>
      <c r="D706" s="50" t="n"/>
      <c r="E706" s="265" t="n"/>
      <c r="F706" s="133" t="n"/>
      <c r="G706" s="133" t="n"/>
      <c r="H706" s="50" t="n"/>
      <c r="I706" s="51">
        <f>IF($C706="","",IFERROR(INDEX(WorkerIDs,MATCH($C706,WorkerNames,0)),"?"))</f>
        <v/>
      </c>
      <c r="J706" s="253">
        <f>IF($B706="","",$B706-WEEKDAY($B706,2)+1)</f>
        <v/>
      </c>
      <c r="K706" s="142">
        <f>IF(OR($I706="",$I706="?",$D706&lt;&gt;"Advance",$B706=""),"",$I706&amp;"|"&amp;$J706&amp;"|"&amp;COUNTIFS($I$7:$I706,$I706,$J$7:$J706,$J706,$D$7:$D706,"Advance"))</f>
        <v/>
      </c>
      <c r="L706" s="266">
        <f>IF(OR($I706="",$I706="?",$B706=""),"",SUMPRODUCT((Weeks!$A$7:$A$59&lt;=$J706)*(Weeks!$X$5:$AI$5=$I706)*Weeks!$X$7:$AI$59)-SUMIFS($E$7:$E$1006,$I$7:$I$1006,$I706,$B$7:$B$1006,"&lt;="&amp;$B706))</f>
        <v/>
      </c>
      <c r="M706" s="132">
        <f>IF($B706&amp;$C706&amp;$D706&amp;$E706="","",IF($B706="","missing date",IF($C706="","missing worker",IF($I706="?","unknown worker - was the name changed on Workers?",IF($D706="","missing type",IF(N($E706)=0,"missing amount",IF(AND($E706&lt;0,$D706&lt;&gt;"Correction"),"negative amount - use a Correction to undo",IF(OR($B706&lt;Weeks!$A$7,$B706&gt;Weeks!$B$59),"date outside this workbook's year",IF(AND($D706="Advance",N($L706)&lt;0),"Warning: more than earned so far - worker now owes "&amp;TEXT(ROUND(-$L706,0),"#,##0"),"")))))))))</f>
        <v/>
      </c>
      <c r="N706" s="125" t="n"/>
      <c r="O706" s="126" t="n"/>
      <c r="P706" s="126" t="n"/>
      <c r="Q706" s="126" t="n"/>
      <c r="R706" s="126" t="n"/>
      <c r="S706" s="126" t="n"/>
      <c r="T706" s="126" t="n"/>
      <c r="U706" s="126" t="n"/>
      <c r="V706" s="126" t="n"/>
      <c r="W706" s="126" t="n"/>
      <c r="X706" s="126" t="n"/>
      <c r="Y706" s="126" t="n"/>
      <c r="Z706" s="126" t="n"/>
      <c r="AA706" s="126" t="n"/>
      <c r="AB706" s="126" t="n"/>
      <c r="AC706" s="126" t="n"/>
      <c r="AD706" s="126" t="n"/>
      <c r="AE706" s="126" t="n"/>
      <c r="AF706" s="126" t="n"/>
      <c r="AG706" s="126" t="n"/>
      <c r="AH706" s="126" t="n"/>
      <c r="AI706" s="126" t="n"/>
      <c r="AJ706" s="126" t="n"/>
      <c r="AK706" s="126" t="n"/>
      <c r="AL706" s="126" t="n"/>
      <c r="AM706" s="126" t="n"/>
      <c r="AN706" s="126" t="n"/>
    </row>
    <row r="707" ht="21" customFormat="1" customHeight="1" s="127">
      <c r="A707" s="51">
        <f>IF($B707="","",ROW()-6)</f>
        <v/>
      </c>
      <c r="B707" s="268" t="n"/>
      <c r="C707" s="133" t="n"/>
      <c r="D707" s="50" t="n"/>
      <c r="E707" s="265" t="n"/>
      <c r="F707" s="133" t="n"/>
      <c r="G707" s="133" t="n"/>
      <c r="H707" s="50" t="n"/>
      <c r="I707" s="51">
        <f>IF($C707="","",IFERROR(INDEX(WorkerIDs,MATCH($C707,WorkerNames,0)),"?"))</f>
        <v/>
      </c>
      <c r="J707" s="253">
        <f>IF($B707="","",$B707-WEEKDAY($B707,2)+1)</f>
        <v/>
      </c>
      <c r="K707" s="142">
        <f>IF(OR($I707="",$I707="?",$D707&lt;&gt;"Advance",$B707=""),"",$I707&amp;"|"&amp;$J707&amp;"|"&amp;COUNTIFS($I$7:$I707,$I707,$J$7:$J707,$J707,$D$7:$D707,"Advance"))</f>
        <v/>
      </c>
      <c r="L707" s="266">
        <f>IF(OR($I707="",$I707="?",$B707=""),"",SUMPRODUCT((Weeks!$A$7:$A$59&lt;=$J707)*(Weeks!$X$5:$AI$5=$I707)*Weeks!$X$7:$AI$59)-SUMIFS($E$7:$E$1006,$I$7:$I$1006,$I707,$B$7:$B$1006,"&lt;="&amp;$B707))</f>
        <v/>
      </c>
      <c r="M707" s="132">
        <f>IF($B707&amp;$C707&amp;$D707&amp;$E707="","",IF($B707="","missing date",IF($C707="","missing worker",IF($I707="?","unknown worker - was the name changed on Workers?",IF($D707="","missing type",IF(N($E707)=0,"missing amount",IF(AND($E707&lt;0,$D707&lt;&gt;"Correction"),"negative amount - use a Correction to undo",IF(OR($B707&lt;Weeks!$A$7,$B707&gt;Weeks!$B$59),"date outside this workbook's year",IF(AND($D707="Advance",N($L707)&lt;0),"Warning: more than earned so far - worker now owes "&amp;TEXT(ROUND(-$L707,0),"#,##0"),"")))))))))</f>
        <v/>
      </c>
      <c r="N707" s="125" t="n"/>
      <c r="O707" s="126" t="n"/>
      <c r="P707" s="126" t="n"/>
      <c r="Q707" s="126" t="n"/>
      <c r="R707" s="126" t="n"/>
      <c r="S707" s="126" t="n"/>
      <c r="T707" s="126" t="n"/>
      <c r="U707" s="126" t="n"/>
      <c r="V707" s="126" t="n"/>
      <c r="W707" s="126" t="n"/>
      <c r="X707" s="126" t="n"/>
      <c r="Y707" s="126" t="n"/>
      <c r="Z707" s="126" t="n"/>
      <c r="AA707" s="126" t="n"/>
      <c r="AB707" s="126" t="n"/>
      <c r="AC707" s="126" t="n"/>
      <c r="AD707" s="126" t="n"/>
      <c r="AE707" s="126" t="n"/>
      <c r="AF707" s="126" t="n"/>
      <c r="AG707" s="126" t="n"/>
      <c r="AH707" s="126" t="n"/>
      <c r="AI707" s="126" t="n"/>
      <c r="AJ707" s="126" t="n"/>
      <c r="AK707" s="126" t="n"/>
      <c r="AL707" s="126" t="n"/>
      <c r="AM707" s="126" t="n"/>
      <c r="AN707" s="126" t="n"/>
    </row>
    <row r="708" ht="21" customFormat="1" customHeight="1" s="127">
      <c r="A708" s="51">
        <f>IF($B708="","",ROW()-6)</f>
        <v/>
      </c>
      <c r="B708" s="268" t="n"/>
      <c r="C708" s="133" t="n"/>
      <c r="D708" s="50" t="n"/>
      <c r="E708" s="265" t="n"/>
      <c r="F708" s="133" t="n"/>
      <c r="G708" s="133" t="n"/>
      <c r="H708" s="50" t="n"/>
      <c r="I708" s="51">
        <f>IF($C708="","",IFERROR(INDEX(WorkerIDs,MATCH($C708,WorkerNames,0)),"?"))</f>
        <v/>
      </c>
      <c r="J708" s="253">
        <f>IF($B708="","",$B708-WEEKDAY($B708,2)+1)</f>
        <v/>
      </c>
      <c r="K708" s="142">
        <f>IF(OR($I708="",$I708="?",$D708&lt;&gt;"Advance",$B708=""),"",$I708&amp;"|"&amp;$J708&amp;"|"&amp;COUNTIFS($I$7:$I708,$I708,$J$7:$J708,$J708,$D$7:$D708,"Advance"))</f>
        <v/>
      </c>
      <c r="L708" s="266">
        <f>IF(OR($I708="",$I708="?",$B708=""),"",SUMPRODUCT((Weeks!$A$7:$A$59&lt;=$J708)*(Weeks!$X$5:$AI$5=$I708)*Weeks!$X$7:$AI$59)-SUMIFS($E$7:$E$1006,$I$7:$I$1006,$I708,$B$7:$B$1006,"&lt;="&amp;$B708))</f>
        <v/>
      </c>
      <c r="M708" s="132">
        <f>IF($B708&amp;$C708&amp;$D708&amp;$E708="","",IF($B708="","missing date",IF($C708="","missing worker",IF($I708="?","unknown worker - was the name changed on Workers?",IF($D708="","missing type",IF(N($E708)=0,"missing amount",IF(AND($E708&lt;0,$D708&lt;&gt;"Correction"),"negative amount - use a Correction to undo",IF(OR($B708&lt;Weeks!$A$7,$B708&gt;Weeks!$B$59),"date outside this workbook's year",IF(AND($D708="Advance",N($L708)&lt;0),"Warning: more than earned so far - worker now owes "&amp;TEXT(ROUND(-$L708,0),"#,##0"),"")))))))))</f>
        <v/>
      </c>
      <c r="N708" s="125" t="n"/>
      <c r="O708" s="126" t="n"/>
      <c r="P708" s="126" t="n"/>
      <c r="Q708" s="126" t="n"/>
      <c r="R708" s="126" t="n"/>
      <c r="S708" s="126" t="n"/>
      <c r="T708" s="126" t="n"/>
      <c r="U708" s="126" t="n"/>
      <c r="V708" s="126" t="n"/>
      <c r="W708" s="126" t="n"/>
      <c r="X708" s="126" t="n"/>
      <c r="Y708" s="126" t="n"/>
      <c r="Z708" s="126" t="n"/>
      <c r="AA708" s="126" t="n"/>
      <c r="AB708" s="126" t="n"/>
      <c r="AC708" s="126" t="n"/>
      <c r="AD708" s="126" t="n"/>
      <c r="AE708" s="126" t="n"/>
      <c r="AF708" s="126" t="n"/>
      <c r="AG708" s="126" t="n"/>
      <c r="AH708" s="126" t="n"/>
      <c r="AI708" s="126" t="n"/>
      <c r="AJ708" s="126" t="n"/>
      <c r="AK708" s="126" t="n"/>
      <c r="AL708" s="126" t="n"/>
      <c r="AM708" s="126" t="n"/>
      <c r="AN708" s="126" t="n"/>
    </row>
    <row r="709" ht="21" customFormat="1" customHeight="1" s="127">
      <c r="A709" s="51">
        <f>IF($B709="","",ROW()-6)</f>
        <v/>
      </c>
      <c r="B709" s="268" t="n"/>
      <c r="C709" s="133" t="n"/>
      <c r="D709" s="50" t="n"/>
      <c r="E709" s="265" t="n"/>
      <c r="F709" s="133" t="n"/>
      <c r="G709" s="133" t="n"/>
      <c r="H709" s="50" t="n"/>
      <c r="I709" s="51">
        <f>IF($C709="","",IFERROR(INDEX(WorkerIDs,MATCH($C709,WorkerNames,0)),"?"))</f>
        <v/>
      </c>
      <c r="J709" s="253">
        <f>IF($B709="","",$B709-WEEKDAY($B709,2)+1)</f>
        <v/>
      </c>
      <c r="K709" s="142">
        <f>IF(OR($I709="",$I709="?",$D709&lt;&gt;"Advance",$B709=""),"",$I709&amp;"|"&amp;$J709&amp;"|"&amp;COUNTIFS($I$7:$I709,$I709,$J$7:$J709,$J709,$D$7:$D709,"Advance"))</f>
        <v/>
      </c>
      <c r="L709" s="266">
        <f>IF(OR($I709="",$I709="?",$B709=""),"",SUMPRODUCT((Weeks!$A$7:$A$59&lt;=$J709)*(Weeks!$X$5:$AI$5=$I709)*Weeks!$X$7:$AI$59)-SUMIFS($E$7:$E$1006,$I$7:$I$1006,$I709,$B$7:$B$1006,"&lt;="&amp;$B709))</f>
        <v/>
      </c>
      <c r="M709" s="132">
        <f>IF($B709&amp;$C709&amp;$D709&amp;$E709="","",IF($B709="","missing date",IF($C709="","missing worker",IF($I709="?","unknown worker - was the name changed on Workers?",IF($D709="","missing type",IF(N($E709)=0,"missing amount",IF(AND($E709&lt;0,$D709&lt;&gt;"Correction"),"negative amount - use a Correction to undo",IF(OR($B709&lt;Weeks!$A$7,$B709&gt;Weeks!$B$59),"date outside this workbook's year",IF(AND($D709="Advance",N($L709)&lt;0),"Warning: more than earned so far - worker now owes "&amp;TEXT(ROUND(-$L709,0),"#,##0"),"")))))))))</f>
        <v/>
      </c>
      <c r="N709" s="125" t="n"/>
      <c r="O709" s="126" t="n"/>
      <c r="P709" s="126" t="n"/>
      <c r="Q709" s="126" t="n"/>
      <c r="R709" s="126" t="n"/>
      <c r="S709" s="126" t="n"/>
      <c r="T709" s="126" t="n"/>
      <c r="U709" s="126" t="n"/>
      <c r="V709" s="126" t="n"/>
      <c r="W709" s="126" t="n"/>
      <c r="X709" s="126" t="n"/>
      <c r="Y709" s="126" t="n"/>
      <c r="Z709" s="126" t="n"/>
      <c r="AA709" s="126" t="n"/>
      <c r="AB709" s="126" t="n"/>
      <c r="AC709" s="126" t="n"/>
      <c r="AD709" s="126" t="n"/>
      <c r="AE709" s="126" t="n"/>
      <c r="AF709" s="126" t="n"/>
      <c r="AG709" s="126" t="n"/>
      <c r="AH709" s="126" t="n"/>
      <c r="AI709" s="126" t="n"/>
      <c r="AJ709" s="126" t="n"/>
      <c r="AK709" s="126" t="n"/>
      <c r="AL709" s="126" t="n"/>
      <c r="AM709" s="126" t="n"/>
      <c r="AN709" s="126" t="n"/>
    </row>
    <row r="710" ht="21" customFormat="1" customHeight="1" s="127">
      <c r="A710" s="51">
        <f>IF($B710="","",ROW()-6)</f>
        <v/>
      </c>
      <c r="B710" s="268" t="n"/>
      <c r="C710" s="133" t="n"/>
      <c r="D710" s="50" t="n"/>
      <c r="E710" s="265" t="n"/>
      <c r="F710" s="133" t="n"/>
      <c r="G710" s="133" t="n"/>
      <c r="H710" s="50" t="n"/>
      <c r="I710" s="51">
        <f>IF($C710="","",IFERROR(INDEX(WorkerIDs,MATCH($C710,WorkerNames,0)),"?"))</f>
        <v/>
      </c>
      <c r="J710" s="253">
        <f>IF($B710="","",$B710-WEEKDAY($B710,2)+1)</f>
        <v/>
      </c>
      <c r="K710" s="142">
        <f>IF(OR($I710="",$I710="?",$D710&lt;&gt;"Advance",$B710=""),"",$I710&amp;"|"&amp;$J710&amp;"|"&amp;COUNTIFS($I$7:$I710,$I710,$J$7:$J710,$J710,$D$7:$D710,"Advance"))</f>
        <v/>
      </c>
      <c r="L710" s="266">
        <f>IF(OR($I710="",$I710="?",$B710=""),"",SUMPRODUCT((Weeks!$A$7:$A$59&lt;=$J710)*(Weeks!$X$5:$AI$5=$I710)*Weeks!$X$7:$AI$59)-SUMIFS($E$7:$E$1006,$I$7:$I$1006,$I710,$B$7:$B$1006,"&lt;="&amp;$B710))</f>
        <v/>
      </c>
      <c r="M710" s="132">
        <f>IF($B710&amp;$C710&amp;$D710&amp;$E710="","",IF($B710="","missing date",IF($C710="","missing worker",IF($I710="?","unknown worker - was the name changed on Workers?",IF($D710="","missing type",IF(N($E710)=0,"missing amount",IF(AND($E710&lt;0,$D710&lt;&gt;"Correction"),"negative amount - use a Correction to undo",IF(OR($B710&lt;Weeks!$A$7,$B710&gt;Weeks!$B$59),"date outside this workbook's year",IF(AND($D710="Advance",N($L710)&lt;0),"Warning: more than earned so far - worker now owes "&amp;TEXT(ROUND(-$L710,0),"#,##0"),"")))))))))</f>
        <v/>
      </c>
      <c r="N710" s="125" t="n"/>
      <c r="O710" s="126" t="n"/>
      <c r="P710" s="126" t="n"/>
      <c r="Q710" s="126" t="n"/>
      <c r="R710" s="126" t="n"/>
      <c r="S710" s="126" t="n"/>
      <c r="T710" s="126" t="n"/>
      <c r="U710" s="126" t="n"/>
      <c r="V710" s="126" t="n"/>
      <c r="W710" s="126" t="n"/>
      <c r="X710" s="126" t="n"/>
      <c r="Y710" s="126" t="n"/>
      <c r="Z710" s="126" t="n"/>
      <c r="AA710" s="126" t="n"/>
      <c r="AB710" s="126" t="n"/>
      <c r="AC710" s="126" t="n"/>
      <c r="AD710" s="126" t="n"/>
      <c r="AE710" s="126" t="n"/>
      <c r="AF710" s="126" t="n"/>
      <c r="AG710" s="126" t="n"/>
      <c r="AH710" s="126" t="n"/>
      <c r="AI710" s="126" t="n"/>
      <c r="AJ710" s="126" t="n"/>
      <c r="AK710" s="126" t="n"/>
      <c r="AL710" s="126" t="n"/>
      <c r="AM710" s="126" t="n"/>
      <c r="AN710" s="126" t="n"/>
    </row>
    <row r="711" ht="21" customFormat="1" customHeight="1" s="127">
      <c r="A711" s="51">
        <f>IF($B711="","",ROW()-6)</f>
        <v/>
      </c>
      <c r="B711" s="268" t="n"/>
      <c r="C711" s="133" t="n"/>
      <c r="D711" s="50" t="n"/>
      <c r="E711" s="265" t="n"/>
      <c r="F711" s="133" t="n"/>
      <c r="G711" s="133" t="n"/>
      <c r="H711" s="50" t="n"/>
      <c r="I711" s="51">
        <f>IF($C711="","",IFERROR(INDEX(WorkerIDs,MATCH($C711,WorkerNames,0)),"?"))</f>
        <v/>
      </c>
      <c r="J711" s="253">
        <f>IF($B711="","",$B711-WEEKDAY($B711,2)+1)</f>
        <v/>
      </c>
      <c r="K711" s="142">
        <f>IF(OR($I711="",$I711="?",$D711&lt;&gt;"Advance",$B711=""),"",$I711&amp;"|"&amp;$J711&amp;"|"&amp;COUNTIFS($I$7:$I711,$I711,$J$7:$J711,$J711,$D$7:$D711,"Advance"))</f>
        <v/>
      </c>
      <c r="L711" s="266">
        <f>IF(OR($I711="",$I711="?",$B711=""),"",SUMPRODUCT((Weeks!$A$7:$A$59&lt;=$J711)*(Weeks!$X$5:$AI$5=$I711)*Weeks!$X$7:$AI$59)-SUMIFS($E$7:$E$1006,$I$7:$I$1006,$I711,$B$7:$B$1006,"&lt;="&amp;$B711))</f>
        <v/>
      </c>
      <c r="M711" s="132">
        <f>IF($B711&amp;$C711&amp;$D711&amp;$E711="","",IF($B711="","missing date",IF($C711="","missing worker",IF($I711="?","unknown worker - was the name changed on Workers?",IF($D711="","missing type",IF(N($E711)=0,"missing amount",IF(AND($E711&lt;0,$D711&lt;&gt;"Correction"),"negative amount - use a Correction to undo",IF(OR($B711&lt;Weeks!$A$7,$B711&gt;Weeks!$B$59),"date outside this workbook's year",IF(AND($D711="Advance",N($L711)&lt;0),"Warning: more than earned so far - worker now owes "&amp;TEXT(ROUND(-$L711,0),"#,##0"),"")))))))))</f>
        <v/>
      </c>
      <c r="N711" s="125" t="n"/>
      <c r="O711" s="126" t="n"/>
      <c r="P711" s="126" t="n"/>
      <c r="Q711" s="126" t="n"/>
      <c r="R711" s="126" t="n"/>
      <c r="S711" s="126" t="n"/>
      <c r="T711" s="126" t="n"/>
      <c r="U711" s="126" t="n"/>
      <c r="V711" s="126" t="n"/>
      <c r="W711" s="126" t="n"/>
      <c r="X711" s="126" t="n"/>
      <c r="Y711" s="126" t="n"/>
      <c r="Z711" s="126" t="n"/>
      <c r="AA711" s="126" t="n"/>
      <c r="AB711" s="126" t="n"/>
      <c r="AC711" s="126" t="n"/>
      <c r="AD711" s="126" t="n"/>
      <c r="AE711" s="126" t="n"/>
      <c r="AF711" s="126" t="n"/>
      <c r="AG711" s="126" t="n"/>
      <c r="AH711" s="126" t="n"/>
      <c r="AI711" s="126" t="n"/>
      <c r="AJ711" s="126" t="n"/>
      <c r="AK711" s="126" t="n"/>
      <c r="AL711" s="126" t="n"/>
      <c r="AM711" s="126" t="n"/>
      <c r="AN711" s="126" t="n"/>
    </row>
    <row r="712" ht="21" customFormat="1" customHeight="1" s="127">
      <c r="A712" s="51">
        <f>IF($B712="","",ROW()-6)</f>
        <v/>
      </c>
      <c r="B712" s="268" t="n"/>
      <c r="C712" s="133" t="n"/>
      <c r="D712" s="50" t="n"/>
      <c r="E712" s="265" t="n"/>
      <c r="F712" s="133" t="n"/>
      <c r="G712" s="133" t="n"/>
      <c r="H712" s="50" t="n"/>
      <c r="I712" s="51">
        <f>IF($C712="","",IFERROR(INDEX(WorkerIDs,MATCH($C712,WorkerNames,0)),"?"))</f>
        <v/>
      </c>
      <c r="J712" s="253">
        <f>IF($B712="","",$B712-WEEKDAY($B712,2)+1)</f>
        <v/>
      </c>
      <c r="K712" s="142">
        <f>IF(OR($I712="",$I712="?",$D712&lt;&gt;"Advance",$B712=""),"",$I712&amp;"|"&amp;$J712&amp;"|"&amp;COUNTIFS($I$7:$I712,$I712,$J$7:$J712,$J712,$D$7:$D712,"Advance"))</f>
        <v/>
      </c>
      <c r="L712" s="266">
        <f>IF(OR($I712="",$I712="?",$B712=""),"",SUMPRODUCT((Weeks!$A$7:$A$59&lt;=$J712)*(Weeks!$X$5:$AI$5=$I712)*Weeks!$X$7:$AI$59)-SUMIFS($E$7:$E$1006,$I$7:$I$1006,$I712,$B$7:$B$1006,"&lt;="&amp;$B712))</f>
        <v/>
      </c>
      <c r="M712" s="132">
        <f>IF($B712&amp;$C712&amp;$D712&amp;$E712="","",IF($B712="","missing date",IF($C712="","missing worker",IF($I712="?","unknown worker - was the name changed on Workers?",IF($D712="","missing type",IF(N($E712)=0,"missing amount",IF(AND($E712&lt;0,$D712&lt;&gt;"Correction"),"negative amount - use a Correction to undo",IF(OR($B712&lt;Weeks!$A$7,$B712&gt;Weeks!$B$59),"date outside this workbook's year",IF(AND($D712="Advance",N($L712)&lt;0),"Warning: more than earned so far - worker now owes "&amp;TEXT(ROUND(-$L712,0),"#,##0"),"")))))))))</f>
        <v/>
      </c>
      <c r="N712" s="125" t="n"/>
      <c r="O712" s="126" t="n"/>
      <c r="P712" s="126" t="n"/>
      <c r="Q712" s="126" t="n"/>
      <c r="R712" s="126" t="n"/>
      <c r="S712" s="126" t="n"/>
      <c r="T712" s="126" t="n"/>
      <c r="U712" s="126" t="n"/>
      <c r="V712" s="126" t="n"/>
      <c r="W712" s="126" t="n"/>
      <c r="X712" s="126" t="n"/>
      <c r="Y712" s="126" t="n"/>
      <c r="Z712" s="126" t="n"/>
      <c r="AA712" s="126" t="n"/>
      <c r="AB712" s="126" t="n"/>
      <c r="AC712" s="126" t="n"/>
      <c r="AD712" s="126" t="n"/>
      <c r="AE712" s="126" t="n"/>
      <c r="AF712" s="126" t="n"/>
      <c r="AG712" s="126" t="n"/>
      <c r="AH712" s="126" t="n"/>
      <c r="AI712" s="126" t="n"/>
      <c r="AJ712" s="126" t="n"/>
      <c r="AK712" s="126" t="n"/>
      <c r="AL712" s="126" t="n"/>
      <c r="AM712" s="126" t="n"/>
      <c r="AN712" s="126" t="n"/>
    </row>
    <row r="713" ht="21" customFormat="1" customHeight="1" s="127">
      <c r="A713" s="51">
        <f>IF($B713="","",ROW()-6)</f>
        <v/>
      </c>
      <c r="B713" s="268" t="n"/>
      <c r="C713" s="133" t="n"/>
      <c r="D713" s="50" t="n"/>
      <c r="E713" s="265" t="n"/>
      <c r="F713" s="133" t="n"/>
      <c r="G713" s="133" t="n"/>
      <c r="H713" s="50" t="n"/>
      <c r="I713" s="51">
        <f>IF($C713="","",IFERROR(INDEX(WorkerIDs,MATCH($C713,WorkerNames,0)),"?"))</f>
        <v/>
      </c>
      <c r="J713" s="253">
        <f>IF($B713="","",$B713-WEEKDAY($B713,2)+1)</f>
        <v/>
      </c>
      <c r="K713" s="142">
        <f>IF(OR($I713="",$I713="?",$D713&lt;&gt;"Advance",$B713=""),"",$I713&amp;"|"&amp;$J713&amp;"|"&amp;COUNTIFS($I$7:$I713,$I713,$J$7:$J713,$J713,$D$7:$D713,"Advance"))</f>
        <v/>
      </c>
      <c r="L713" s="266">
        <f>IF(OR($I713="",$I713="?",$B713=""),"",SUMPRODUCT((Weeks!$A$7:$A$59&lt;=$J713)*(Weeks!$X$5:$AI$5=$I713)*Weeks!$X$7:$AI$59)-SUMIFS($E$7:$E$1006,$I$7:$I$1006,$I713,$B$7:$B$1006,"&lt;="&amp;$B713))</f>
        <v/>
      </c>
      <c r="M713" s="132">
        <f>IF($B713&amp;$C713&amp;$D713&amp;$E713="","",IF($B713="","missing date",IF($C713="","missing worker",IF($I713="?","unknown worker - was the name changed on Workers?",IF($D713="","missing type",IF(N($E713)=0,"missing amount",IF(AND($E713&lt;0,$D713&lt;&gt;"Correction"),"negative amount - use a Correction to undo",IF(OR($B713&lt;Weeks!$A$7,$B713&gt;Weeks!$B$59),"date outside this workbook's year",IF(AND($D713="Advance",N($L713)&lt;0),"Warning: more than earned so far - worker now owes "&amp;TEXT(ROUND(-$L713,0),"#,##0"),"")))))))))</f>
        <v/>
      </c>
      <c r="N713" s="125" t="n"/>
      <c r="O713" s="126" t="n"/>
      <c r="P713" s="126" t="n"/>
      <c r="Q713" s="126" t="n"/>
      <c r="R713" s="126" t="n"/>
      <c r="S713" s="126" t="n"/>
      <c r="T713" s="126" t="n"/>
      <c r="U713" s="126" t="n"/>
      <c r="V713" s="126" t="n"/>
      <c r="W713" s="126" t="n"/>
      <c r="X713" s="126" t="n"/>
      <c r="Y713" s="126" t="n"/>
      <c r="Z713" s="126" t="n"/>
      <c r="AA713" s="126" t="n"/>
      <c r="AB713" s="126" t="n"/>
      <c r="AC713" s="126" t="n"/>
      <c r="AD713" s="126" t="n"/>
      <c r="AE713" s="126" t="n"/>
      <c r="AF713" s="126" t="n"/>
      <c r="AG713" s="126" t="n"/>
      <c r="AH713" s="126" t="n"/>
      <c r="AI713" s="126" t="n"/>
      <c r="AJ713" s="126" t="n"/>
      <c r="AK713" s="126" t="n"/>
      <c r="AL713" s="126" t="n"/>
      <c r="AM713" s="126" t="n"/>
      <c r="AN713" s="126" t="n"/>
    </row>
    <row r="714" ht="21" customFormat="1" customHeight="1" s="127">
      <c r="A714" s="51">
        <f>IF($B714="","",ROW()-6)</f>
        <v/>
      </c>
      <c r="B714" s="268" t="n"/>
      <c r="C714" s="133" t="n"/>
      <c r="D714" s="50" t="n"/>
      <c r="E714" s="265" t="n"/>
      <c r="F714" s="133" t="n"/>
      <c r="G714" s="133" t="n"/>
      <c r="H714" s="50" t="n"/>
      <c r="I714" s="51">
        <f>IF($C714="","",IFERROR(INDEX(WorkerIDs,MATCH($C714,WorkerNames,0)),"?"))</f>
        <v/>
      </c>
      <c r="J714" s="253">
        <f>IF($B714="","",$B714-WEEKDAY($B714,2)+1)</f>
        <v/>
      </c>
      <c r="K714" s="142">
        <f>IF(OR($I714="",$I714="?",$D714&lt;&gt;"Advance",$B714=""),"",$I714&amp;"|"&amp;$J714&amp;"|"&amp;COUNTIFS($I$7:$I714,$I714,$J$7:$J714,$J714,$D$7:$D714,"Advance"))</f>
        <v/>
      </c>
      <c r="L714" s="266">
        <f>IF(OR($I714="",$I714="?",$B714=""),"",SUMPRODUCT((Weeks!$A$7:$A$59&lt;=$J714)*(Weeks!$X$5:$AI$5=$I714)*Weeks!$X$7:$AI$59)-SUMIFS($E$7:$E$1006,$I$7:$I$1006,$I714,$B$7:$B$1006,"&lt;="&amp;$B714))</f>
        <v/>
      </c>
      <c r="M714" s="132">
        <f>IF($B714&amp;$C714&amp;$D714&amp;$E714="","",IF($B714="","missing date",IF($C714="","missing worker",IF($I714="?","unknown worker - was the name changed on Workers?",IF($D714="","missing type",IF(N($E714)=0,"missing amount",IF(AND($E714&lt;0,$D714&lt;&gt;"Correction"),"negative amount - use a Correction to undo",IF(OR($B714&lt;Weeks!$A$7,$B714&gt;Weeks!$B$59),"date outside this workbook's year",IF(AND($D714="Advance",N($L714)&lt;0),"Warning: more than earned so far - worker now owes "&amp;TEXT(ROUND(-$L714,0),"#,##0"),"")))))))))</f>
        <v/>
      </c>
      <c r="N714" s="125" t="n"/>
      <c r="O714" s="126" t="n"/>
      <c r="P714" s="126" t="n"/>
      <c r="Q714" s="126" t="n"/>
      <c r="R714" s="126" t="n"/>
      <c r="S714" s="126" t="n"/>
      <c r="T714" s="126" t="n"/>
      <c r="U714" s="126" t="n"/>
      <c r="V714" s="126" t="n"/>
      <c r="W714" s="126" t="n"/>
      <c r="X714" s="126" t="n"/>
      <c r="Y714" s="126" t="n"/>
      <c r="Z714" s="126" t="n"/>
      <c r="AA714" s="126" t="n"/>
      <c r="AB714" s="126" t="n"/>
      <c r="AC714" s="126" t="n"/>
      <c r="AD714" s="126" t="n"/>
      <c r="AE714" s="126" t="n"/>
      <c r="AF714" s="126" t="n"/>
      <c r="AG714" s="126" t="n"/>
      <c r="AH714" s="126" t="n"/>
      <c r="AI714" s="126" t="n"/>
      <c r="AJ714" s="126" t="n"/>
      <c r="AK714" s="126" t="n"/>
      <c r="AL714" s="126" t="n"/>
      <c r="AM714" s="126" t="n"/>
      <c r="AN714" s="126" t="n"/>
    </row>
    <row r="715" ht="21" customFormat="1" customHeight="1" s="127">
      <c r="A715" s="51">
        <f>IF($B715="","",ROW()-6)</f>
        <v/>
      </c>
      <c r="B715" s="268" t="n"/>
      <c r="C715" s="133" t="n"/>
      <c r="D715" s="50" t="n"/>
      <c r="E715" s="265" t="n"/>
      <c r="F715" s="133" t="n"/>
      <c r="G715" s="133" t="n"/>
      <c r="H715" s="50" t="n"/>
      <c r="I715" s="51">
        <f>IF($C715="","",IFERROR(INDEX(WorkerIDs,MATCH($C715,WorkerNames,0)),"?"))</f>
        <v/>
      </c>
      <c r="J715" s="253">
        <f>IF($B715="","",$B715-WEEKDAY($B715,2)+1)</f>
        <v/>
      </c>
      <c r="K715" s="142">
        <f>IF(OR($I715="",$I715="?",$D715&lt;&gt;"Advance",$B715=""),"",$I715&amp;"|"&amp;$J715&amp;"|"&amp;COUNTIFS($I$7:$I715,$I715,$J$7:$J715,$J715,$D$7:$D715,"Advance"))</f>
        <v/>
      </c>
      <c r="L715" s="266">
        <f>IF(OR($I715="",$I715="?",$B715=""),"",SUMPRODUCT((Weeks!$A$7:$A$59&lt;=$J715)*(Weeks!$X$5:$AI$5=$I715)*Weeks!$X$7:$AI$59)-SUMIFS($E$7:$E$1006,$I$7:$I$1006,$I715,$B$7:$B$1006,"&lt;="&amp;$B715))</f>
        <v/>
      </c>
      <c r="M715" s="132">
        <f>IF($B715&amp;$C715&amp;$D715&amp;$E715="","",IF($B715="","missing date",IF($C715="","missing worker",IF($I715="?","unknown worker - was the name changed on Workers?",IF($D715="","missing type",IF(N($E715)=0,"missing amount",IF(AND($E715&lt;0,$D715&lt;&gt;"Correction"),"negative amount - use a Correction to undo",IF(OR($B715&lt;Weeks!$A$7,$B715&gt;Weeks!$B$59),"date outside this workbook's year",IF(AND($D715="Advance",N($L715)&lt;0),"Warning: more than earned so far - worker now owes "&amp;TEXT(ROUND(-$L715,0),"#,##0"),"")))))))))</f>
        <v/>
      </c>
      <c r="N715" s="125" t="n"/>
      <c r="O715" s="126" t="n"/>
      <c r="P715" s="126" t="n"/>
      <c r="Q715" s="126" t="n"/>
      <c r="R715" s="126" t="n"/>
      <c r="S715" s="126" t="n"/>
      <c r="T715" s="126" t="n"/>
      <c r="U715" s="126" t="n"/>
      <c r="V715" s="126" t="n"/>
      <c r="W715" s="126" t="n"/>
      <c r="X715" s="126" t="n"/>
      <c r="Y715" s="126" t="n"/>
      <c r="Z715" s="126" t="n"/>
      <c r="AA715" s="126" t="n"/>
      <c r="AB715" s="126" t="n"/>
      <c r="AC715" s="126" t="n"/>
      <c r="AD715" s="126" t="n"/>
      <c r="AE715" s="126" t="n"/>
      <c r="AF715" s="126" t="n"/>
      <c r="AG715" s="126" t="n"/>
      <c r="AH715" s="126" t="n"/>
      <c r="AI715" s="126" t="n"/>
      <c r="AJ715" s="126" t="n"/>
      <c r="AK715" s="126" t="n"/>
      <c r="AL715" s="126" t="n"/>
      <c r="AM715" s="126" t="n"/>
      <c r="AN715" s="126" t="n"/>
    </row>
    <row r="716" ht="21" customFormat="1" customHeight="1" s="127">
      <c r="A716" s="51">
        <f>IF($B716="","",ROW()-6)</f>
        <v/>
      </c>
      <c r="B716" s="268" t="n"/>
      <c r="C716" s="133" t="n"/>
      <c r="D716" s="50" t="n"/>
      <c r="E716" s="265" t="n"/>
      <c r="F716" s="133" t="n"/>
      <c r="G716" s="133" t="n"/>
      <c r="H716" s="50" t="n"/>
      <c r="I716" s="51">
        <f>IF($C716="","",IFERROR(INDEX(WorkerIDs,MATCH($C716,WorkerNames,0)),"?"))</f>
        <v/>
      </c>
      <c r="J716" s="253">
        <f>IF($B716="","",$B716-WEEKDAY($B716,2)+1)</f>
        <v/>
      </c>
      <c r="K716" s="142">
        <f>IF(OR($I716="",$I716="?",$D716&lt;&gt;"Advance",$B716=""),"",$I716&amp;"|"&amp;$J716&amp;"|"&amp;COUNTIFS($I$7:$I716,$I716,$J$7:$J716,$J716,$D$7:$D716,"Advance"))</f>
        <v/>
      </c>
      <c r="L716" s="266">
        <f>IF(OR($I716="",$I716="?",$B716=""),"",SUMPRODUCT((Weeks!$A$7:$A$59&lt;=$J716)*(Weeks!$X$5:$AI$5=$I716)*Weeks!$X$7:$AI$59)-SUMIFS($E$7:$E$1006,$I$7:$I$1006,$I716,$B$7:$B$1006,"&lt;="&amp;$B716))</f>
        <v/>
      </c>
      <c r="M716" s="132">
        <f>IF($B716&amp;$C716&amp;$D716&amp;$E716="","",IF($B716="","missing date",IF($C716="","missing worker",IF($I716="?","unknown worker - was the name changed on Workers?",IF($D716="","missing type",IF(N($E716)=0,"missing amount",IF(AND($E716&lt;0,$D716&lt;&gt;"Correction"),"negative amount - use a Correction to undo",IF(OR($B716&lt;Weeks!$A$7,$B716&gt;Weeks!$B$59),"date outside this workbook's year",IF(AND($D716="Advance",N($L716)&lt;0),"Warning: more than earned so far - worker now owes "&amp;TEXT(ROUND(-$L716,0),"#,##0"),"")))))))))</f>
        <v/>
      </c>
      <c r="N716" s="125" t="n"/>
      <c r="O716" s="126" t="n"/>
      <c r="P716" s="126" t="n"/>
      <c r="Q716" s="126" t="n"/>
      <c r="R716" s="126" t="n"/>
      <c r="S716" s="126" t="n"/>
      <c r="T716" s="126" t="n"/>
      <c r="U716" s="126" t="n"/>
      <c r="V716" s="126" t="n"/>
      <c r="W716" s="126" t="n"/>
      <c r="X716" s="126" t="n"/>
      <c r="Y716" s="126" t="n"/>
      <c r="Z716" s="126" t="n"/>
      <c r="AA716" s="126" t="n"/>
      <c r="AB716" s="126" t="n"/>
      <c r="AC716" s="126" t="n"/>
      <c r="AD716" s="126" t="n"/>
      <c r="AE716" s="126" t="n"/>
      <c r="AF716" s="126" t="n"/>
      <c r="AG716" s="126" t="n"/>
      <c r="AH716" s="126" t="n"/>
      <c r="AI716" s="126" t="n"/>
      <c r="AJ716" s="126" t="n"/>
      <c r="AK716" s="126" t="n"/>
      <c r="AL716" s="126" t="n"/>
      <c r="AM716" s="126" t="n"/>
      <c r="AN716" s="126" t="n"/>
    </row>
    <row r="717" ht="21" customFormat="1" customHeight="1" s="127">
      <c r="A717" s="51">
        <f>IF($B717="","",ROW()-6)</f>
        <v/>
      </c>
      <c r="B717" s="268" t="n"/>
      <c r="C717" s="133" t="n"/>
      <c r="D717" s="50" t="n"/>
      <c r="E717" s="265" t="n"/>
      <c r="F717" s="133" t="n"/>
      <c r="G717" s="133" t="n"/>
      <c r="H717" s="50" t="n"/>
      <c r="I717" s="51">
        <f>IF($C717="","",IFERROR(INDEX(WorkerIDs,MATCH($C717,WorkerNames,0)),"?"))</f>
        <v/>
      </c>
      <c r="J717" s="253">
        <f>IF($B717="","",$B717-WEEKDAY($B717,2)+1)</f>
        <v/>
      </c>
      <c r="K717" s="142">
        <f>IF(OR($I717="",$I717="?",$D717&lt;&gt;"Advance",$B717=""),"",$I717&amp;"|"&amp;$J717&amp;"|"&amp;COUNTIFS($I$7:$I717,$I717,$J$7:$J717,$J717,$D$7:$D717,"Advance"))</f>
        <v/>
      </c>
      <c r="L717" s="266">
        <f>IF(OR($I717="",$I717="?",$B717=""),"",SUMPRODUCT((Weeks!$A$7:$A$59&lt;=$J717)*(Weeks!$X$5:$AI$5=$I717)*Weeks!$X$7:$AI$59)-SUMIFS($E$7:$E$1006,$I$7:$I$1006,$I717,$B$7:$B$1006,"&lt;="&amp;$B717))</f>
        <v/>
      </c>
      <c r="M717" s="132">
        <f>IF($B717&amp;$C717&amp;$D717&amp;$E717="","",IF($B717="","missing date",IF($C717="","missing worker",IF($I717="?","unknown worker - was the name changed on Workers?",IF($D717="","missing type",IF(N($E717)=0,"missing amount",IF(AND($E717&lt;0,$D717&lt;&gt;"Correction"),"negative amount - use a Correction to undo",IF(OR($B717&lt;Weeks!$A$7,$B717&gt;Weeks!$B$59),"date outside this workbook's year",IF(AND($D717="Advance",N($L717)&lt;0),"Warning: more than earned so far - worker now owes "&amp;TEXT(ROUND(-$L717,0),"#,##0"),"")))))))))</f>
        <v/>
      </c>
      <c r="N717" s="125" t="n"/>
      <c r="O717" s="126" t="n"/>
      <c r="P717" s="126" t="n"/>
      <c r="Q717" s="126" t="n"/>
      <c r="R717" s="126" t="n"/>
      <c r="S717" s="126" t="n"/>
      <c r="T717" s="126" t="n"/>
      <c r="U717" s="126" t="n"/>
      <c r="V717" s="126" t="n"/>
      <c r="W717" s="126" t="n"/>
      <c r="X717" s="126" t="n"/>
      <c r="Y717" s="126" t="n"/>
      <c r="Z717" s="126" t="n"/>
      <c r="AA717" s="126" t="n"/>
      <c r="AB717" s="126" t="n"/>
      <c r="AC717" s="126" t="n"/>
      <c r="AD717" s="126" t="n"/>
      <c r="AE717" s="126" t="n"/>
      <c r="AF717" s="126" t="n"/>
      <c r="AG717" s="126" t="n"/>
      <c r="AH717" s="126" t="n"/>
      <c r="AI717" s="126" t="n"/>
      <c r="AJ717" s="126" t="n"/>
      <c r="AK717" s="126" t="n"/>
      <c r="AL717" s="126" t="n"/>
      <c r="AM717" s="126" t="n"/>
      <c r="AN717" s="126" t="n"/>
    </row>
    <row r="718" ht="21" customFormat="1" customHeight="1" s="127">
      <c r="A718" s="51">
        <f>IF($B718="","",ROW()-6)</f>
        <v/>
      </c>
      <c r="B718" s="268" t="n"/>
      <c r="C718" s="133" t="n"/>
      <c r="D718" s="50" t="n"/>
      <c r="E718" s="265" t="n"/>
      <c r="F718" s="133" t="n"/>
      <c r="G718" s="133" t="n"/>
      <c r="H718" s="50" t="n"/>
      <c r="I718" s="51">
        <f>IF($C718="","",IFERROR(INDEX(WorkerIDs,MATCH($C718,WorkerNames,0)),"?"))</f>
        <v/>
      </c>
      <c r="J718" s="253">
        <f>IF($B718="","",$B718-WEEKDAY($B718,2)+1)</f>
        <v/>
      </c>
      <c r="K718" s="142">
        <f>IF(OR($I718="",$I718="?",$D718&lt;&gt;"Advance",$B718=""),"",$I718&amp;"|"&amp;$J718&amp;"|"&amp;COUNTIFS($I$7:$I718,$I718,$J$7:$J718,$J718,$D$7:$D718,"Advance"))</f>
        <v/>
      </c>
      <c r="L718" s="266">
        <f>IF(OR($I718="",$I718="?",$B718=""),"",SUMPRODUCT((Weeks!$A$7:$A$59&lt;=$J718)*(Weeks!$X$5:$AI$5=$I718)*Weeks!$X$7:$AI$59)-SUMIFS($E$7:$E$1006,$I$7:$I$1006,$I718,$B$7:$B$1006,"&lt;="&amp;$B718))</f>
        <v/>
      </c>
      <c r="M718" s="132">
        <f>IF($B718&amp;$C718&amp;$D718&amp;$E718="","",IF($B718="","missing date",IF($C718="","missing worker",IF($I718="?","unknown worker - was the name changed on Workers?",IF($D718="","missing type",IF(N($E718)=0,"missing amount",IF(AND($E718&lt;0,$D718&lt;&gt;"Correction"),"negative amount - use a Correction to undo",IF(OR($B718&lt;Weeks!$A$7,$B718&gt;Weeks!$B$59),"date outside this workbook's year",IF(AND($D718="Advance",N($L718)&lt;0),"Warning: more than earned so far - worker now owes "&amp;TEXT(ROUND(-$L718,0),"#,##0"),"")))))))))</f>
        <v/>
      </c>
      <c r="N718" s="125" t="n"/>
      <c r="O718" s="126" t="n"/>
      <c r="P718" s="126" t="n"/>
      <c r="Q718" s="126" t="n"/>
      <c r="R718" s="126" t="n"/>
      <c r="S718" s="126" t="n"/>
      <c r="T718" s="126" t="n"/>
      <c r="U718" s="126" t="n"/>
      <c r="V718" s="126" t="n"/>
      <c r="W718" s="126" t="n"/>
      <c r="X718" s="126" t="n"/>
      <c r="Y718" s="126" t="n"/>
      <c r="Z718" s="126" t="n"/>
      <c r="AA718" s="126" t="n"/>
      <c r="AB718" s="126" t="n"/>
      <c r="AC718" s="126" t="n"/>
      <c r="AD718" s="126" t="n"/>
      <c r="AE718" s="126" t="n"/>
      <c r="AF718" s="126" t="n"/>
      <c r="AG718" s="126" t="n"/>
      <c r="AH718" s="126" t="n"/>
      <c r="AI718" s="126" t="n"/>
      <c r="AJ718" s="126" t="n"/>
      <c r="AK718" s="126" t="n"/>
      <c r="AL718" s="126" t="n"/>
      <c r="AM718" s="126" t="n"/>
      <c r="AN718" s="126" t="n"/>
    </row>
    <row r="719" ht="21" customFormat="1" customHeight="1" s="127">
      <c r="A719" s="51">
        <f>IF($B719="","",ROW()-6)</f>
        <v/>
      </c>
      <c r="B719" s="268" t="n"/>
      <c r="C719" s="133" t="n"/>
      <c r="D719" s="50" t="n"/>
      <c r="E719" s="265" t="n"/>
      <c r="F719" s="133" t="n"/>
      <c r="G719" s="133" t="n"/>
      <c r="H719" s="50" t="n"/>
      <c r="I719" s="51">
        <f>IF($C719="","",IFERROR(INDEX(WorkerIDs,MATCH($C719,WorkerNames,0)),"?"))</f>
        <v/>
      </c>
      <c r="J719" s="253">
        <f>IF($B719="","",$B719-WEEKDAY($B719,2)+1)</f>
        <v/>
      </c>
      <c r="K719" s="142">
        <f>IF(OR($I719="",$I719="?",$D719&lt;&gt;"Advance",$B719=""),"",$I719&amp;"|"&amp;$J719&amp;"|"&amp;COUNTIFS($I$7:$I719,$I719,$J$7:$J719,$J719,$D$7:$D719,"Advance"))</f>
        <v/>
      </c>
      <c r="L719" s="266">
        <f>IF(OR($I719="",$I719="?",$B719=""),"",SUMPRODUCT((Weeks!$A$7:$A$59&lt;=$J719)*(Weeks!$X$5:$AI$5=$I719)*Weeks!$X$7:$AI$59)-SUMIFS($E$7:$E$1006,$I$7:$I$1006,$I719,$B$7:$B$1006,"&lt;="&amp;$B719))</f>
        <v/>
      </c>
      <c r="M719" s="132">
        <f>IF($B719&amp;$C719&amp;$D719&amp;$E719="","",IF($B719="","missing date",IF($C719="","missing worker",IF($I719="?","unknown worker - was the name changed on Workers?",IF($D719="","missing type",IF(N($E719)=0,"missing amount",IF(AND($E719&lt;0,$D719&lt;&gt;"Correction"),"negative amount - use a Correction to undo",IF(OR($B719&lt;Weeks!$A$7,$B719&gt;Weeks!$B$59),"date outside this workbook's year",IF(AND($D719="Advance",N($L719)&lt;0),"Warning: more than earned so far - worker now owes "&amp;TEXT(ROUND(-$L719,0),"#,##0"),"")))))))))</f>
        <v/>
      </c>
      <c r="N719" s="125" t="n"/>
      <c r="O719" s="126" t="n"/>
      <c r="P719" s="126" t="n"/>
      <c r="Q719" s="126" t="n"/>
      <c r="R719" s="126" t="n"/>
      <c r="S719" s="126" t="n"/>
      <c r="T719" s="126" t="n"/>
      <c r="U719" s="126" t="n"/>
      <c r="V719" s="126" t="n"/>
      <c r="W719" s="126" t="n"/>
      <c r="X719" s="126" t="n"/>
      <c r="Y719" s="126" t="n"/>
      <c r="Z719" s="126" t="n"/>
      <c r="AA719" s="126" t="n"/>
      <c r="AB719" s="126" t="n"/>
      <c r="AC719" s="126" t="n"/>
      <c r="AD719" s="126" t="n"/>
      <c r="AE719" s="126" t="n"/>
      <c r="AF719" s="126" t="n"/>
      <c r="AG719" s="126" t="n"/>
      <c r="AH719" s="126" t="n"/>
      <c r="AI719" s="126" t="n"/>
      <c r="AJ719" s="126" t="n"/>
      <c r="AK719" s="126" t="n"/>
      <c r="AL719" s="126" t="n"/>
      <c r="AM719" s="126" t="n"/>
      <c r="AN719" s="126" t="n"/>
    </row>
    <row r="720" ht="21" customFormat="1" customHeight="1" s="127">
      <c r="A720" s="51">
        <f>IF($B720="","",ROW()-6)</f>
        <v/>
      </c>
      <c r="B720" s="268" t="n"/>
      <c r="C720" s="133" t="n"/>
      <c r="D720" s="50" t="n"/>
      <c r="E720" s="265" t="n"/>
      <c r="F720" s="133" t="n"/>
      <c r="G720" s="133" t="n"/>
      <c r="H720" s="50" t="n"/>
      <c r="I720" s="51">
        <f>IF($C720="","",IFERROR(INDEX(WorkerIDs,MATCH($C720,WorkerNames,0)),"?"))</f>
        <v/>
      </c>
      <c r="J720" s="253">
        <f>IF($B720="","",$B720-WEEKDAY($B720,2)+1)</f>
        <v/>
      </c>
      <c r="K720" s="142">
        <f>IF(OR($I720="",$I720="?",$D720&lt;&gt;"Advance",$B720=""),"",$I720&amp;"|"&amp;$J720&amp;"|"&amp;COUNTIFS($I$7:$I720,$I720,$J$7:$J720,$J720,$D$7:$D720,"Advance"))</f>
        <v/>
      </c>
      <c r="L720" s="266">
        <f>IF(OR($I720="",$I720="?",$B720=""),"",SUMPRODUCT((Weeks!$A$7:$A$59&lt;=$J720)*(Weeks!$X$5:$AI$5=$I720)*Weeks!$X$7:$AI$59)-SUMIFS($E$7:$E$1006,$I$7:$I$1006,$I720,$B$7:$B$1006,"&lt;="&amp;$B720))</f>
        <v/>
      </c>
      <c r="M720" s="132">
        <f>IF($B720&amp;$C720&amp;$D720&amp;$E720="","",IF($B720="","missing date",IF($C720="","missing worker",IF($I720="?","unknown worker - was the name changed on Workers?",IF($D720="","missing type",IF(N($E720)=0,"missing amount",IF(AND($E720&lt;0,$D720&lt;&gt;"Correction"),"negative amount - use a Correction to undo",IF(OR($B720&lt;Weeks!$A$7,$B720&gt;Weeks!$B$59),"date outside this workbook's year",IF(AND($D720="Advance",N($L720)&lt;0),"Warning: more than earned so far - worker now owes "&amp;TEXT(ROUND(-$L720,0),"#,##0"),"")))))))))</f>
        <v/>
      </c>
      <c r="N720" s="125" t="n"/>
      <c r="O720" s="126" t="n"/>
      <c r="P720" s="126" t="n"/>
      <c r="Q720" s="126" t="n"/>
      <c r="R720" s="126" t="n"/>
      <c r="S720" s="126" t="n"/>
      <c r="T720" s="126" t="n"/>
      <c r="U720" s="126" t="n"/>
      <c r="V720" s="126" t="n"/>
      <c r="W720" s="126" t="n"/>
      <c r="X720" s="126" t="n"/>
      <c r="Y720" s="126" t="n"/>
      <c r="Z720" s="126" t="n"/>
      <c r="AA720" s="126" t="n"/>
      <c r="AB720" s="126" t="n"/>
      <c r="AC720" s="126" t="n"/>
      <c r="AD720" s="126" t="n"/>
      <c r="AE720" s="126" t="n"/>
      <c r="AF720" s="126" t="n"/>
      <c r="AG720" s="126" t="n"/>
      <c r="AH720" s="126" t="n"/>
      <c r="AI720" s="126" t="n"/>
      <c r="AJ720" s="126" t="n"/>
      <c r="AK720" s="126" t="n"/>
      <c r="AL720" s="126" t="n"/>
      <c r="AM720" s="126" t="n"/>
      <c r="AN720" s="126" t="n"/>
    </row>
    <row r="721" ht="21" customFormat="1" customHeight="1" s="127">
      <c r="A721" s="51">
        <f>IF($B721="","",ROW()-6)</f>
        <v/>
      </c>
      <c r="B721" s="268" t="n"/>
      <c r="C721" s="133" t="n"/>
      <c r="D721" s="50" t="n"/>
      <c r="E721" s="265" t="n"/>
      <c r="F721" s="133" t="n"/>
      <c r="G721" s="133" t="n"/>
      <c r="H721" s="50" t="n"/>
      <c r="I721" s="51">
        <f>IF($C721="","",IFERROR(INDEX(WorkerIDs,MATCH($C721,WorkerNames,0)),"?"))</f>
        <v/>
      </c>
      <c r="J721" s="253">
        <f>IF($B721="","",$B721-WEEKDAY($B721,2)+1)</f>
        <v/>
      </c>
      <c r="K721" s="142">
        <f>IF(OR($I721="",$I721="?",$D721&lt;&gt;"Advance",$B721=""),"",$I721&amp;"|"&amp;$J721&amp;"|"&amp;COUNTIFS($I$7:$I721,$I721,$J$7:$J721,$J721,$D$7:$D721,"Advance"))</f>
        <v/>
      </c>
      <c r="L721" s="266">
        <f>IF(OR($I721="",$I721="?",$B721=""),"",SUMPRODUCT((Weeks!$A$7:$A$59&lt;=$J721)*(Weeks!$X$5:$AI$5=$I721)*Weeks!$X$7:$AI$59)-SUMIFS($E$7:$E$1006,$I$7:$I$1006,$I721,$B$7:$B$1006,"&lt;="&amp;$B721))</f>
        <v/>
      </c>
      <c r="M721" s="132">
        <f>IF($B721&amp;$C721&amp;$D721&amp;$E721="","",IF($B721="","missing date",IF($C721="","missing worker",IF($I721="?","unknown worker - was the name changed on Workers?",IF($D721="","missing type",IF(N($E721)=0,"missing amount",IF(AND($E721&lt;0,$D721&lt;&gt;"Correction"),"negative amount - use a Correction to undo",IF(OR($B721&lt;Weeks!$A$7,$B721&gt;Weeks!$B$59),"date outside this workbook's year",IF(AND($D721="Advance",N($L721)&lt;0),"Warning: more than earned so far - worker now owes "&amp;TEXT(ROUND(-$L721,0),"#,##0"),"")))))))))</f>
        <v/>
      </c>
      <c r="N721" s="125" t="n"/>
      <c r="O721" s="126" t="n"/>
      <c r="P721" s="126" t="n"/>
      <c r="Q721" s="126" t="n"/>
      <c r="R721" s="126" t="n"/>
      <c r="S721" s="126" t="n"/>
      <c r="T721" s="126" t="n"/>
      <c r="U721" s="126" t="n"/>
      <c r="V721" s="126" t="n"/>
      <c r="W721" s="126" t="n"/>
      <c r="X721" s="126" t="n"/>
      <c r="Y721" s="126" t="n"/>
      <c r="Z721" s="126" t="n"/>
      <c r="AA721" s="126" t="n"/>
      <c r="AB721" s="126" t="n"/>
      <c r="AC721" s="126" t="n"/>
      <c r="AD721" s="126" t="n"/>
      <c r="AE721" s="126" t="n"/>
      <c r="AF721" s="126" t="n"/>
      <c r="AG721" s="126" t="n"/>
      <c r="AH721" s="126" t="n"/>
      <c r="AI721" s="126" t="n"/>
      <c r="AJ721" s="126" t="n"/>
      <c r="AK721" s="126" t="n"/>
      <c r="AL721" s="126" t="n"/>
      <c r="AM721" s="126" t="n"/>
      <c r="AN721" s="126" t="n"/>
    </row>
    <row r="722" ht="21" customFormat="1" customHeight="1" s="127">
      <c r="A722" s="51">
        <f>IF($B722="","",ROW()-6)</f>
        <v/>
      </c>
      <c r="B722" s="268" t="n"/>
      <c r="C722" s="133" t="n"/>
      <c r="D722" s="50" t="n"/>
      <c r="E722" s="265" t="n"/>
      <c r="F722" s="133" t="n"/>
      <c r="G722" s="133" t="n"/>
      <c r="H722" s="50" t="n"/>
      <c r="I722" s="51">
        <f>IF($C722="","",IFERROR(INDEX(WorkerIDs,MATCH($C722,WorkerNames,0)),"?"))</f>
        <v/>
      </c>
      <c r="J722" s="253">
        <f>IF($B722="","",$B722-WEEKDAY($B722,2)+1)</f>
        <v/>
      </c>
      <c r="K722" s="142">
        <f>IF(OR($I722="",$I722="?",$D722&lt;&gt;"Advance",$B722=""),"",$I722&amp;"|"&amp;$J722&amp;"|"&amp;COUNTIFS($I$7:$I722,$I722,$J$7:$J722,$J722,$D$7:$D722,"Advance"))</f>
        <v/>
      </c>
      <c r="L722" s="266">
        <f>IF(OR($I722="",$I722="?",$B722=""),"",SUMPRODUCT((Weeks!$A$7:$A$59&lt;=$J722)*(Weeks!$X$5:$AI$5=$I722)*Weeks!$X$7:$AI$59)-SUMIFS($E$7:$E$1006,$I$7:$I$1006,$I722,$B$7:$B$1006,"&lt;="&amp;$B722))</f>
        <v/>
      </c>
      <c r="M722" s="132">
        <f>IF($B722&amp;$C722&amp;$D722&amp;$E722="","",IF($B722="","missing date",IF($C722="","missing worker",IF($I722="?","unknown worker - was the name changed on Workers?",IF($D722="","missing type",IF(N($E722)=0,"missing amount",IF(AND($E722&lt;0,$D722&lt;&gt;"Correction"),"negative amount - use a Correction to undo",IF(OR($B722&lt;Weeks!$A$7,$B722&gt;Weeks!$B$59),"date outside this workbook's year",IF(AND($D722="Advance",N($L722)&lt;0),"Warning: more than earned so far - worker now owes "&amp;TEXT(ROUND(-$L722,0),"#,##0"),"")))))))))</f>
        <v/>
      </c>
      <c r="N722" s="125" t="n"/>
      <c r="O722" s="126" t="n"/>
      <c r="P722" s="126" t="n"/>
      <c r="Q722" s="126" t="n"/>
      <c r="R722" s="126" t="n"/>
      <c r="S722" s="126" t="n"/>
      <c r="T722" s="126" t="n"/>
      <c r="U722" s="126" t="n"/>
      <c r="V722" s="126" t="n"/>
      <c r="W722" s="126" t="n"/>
      <c r="X722" s="126" t="n"/>
      <c r="Y722" s="126" t="n"/>
      <c r="Z722" s="126" t="n"/>
      <c r="AA722" s="126" t="n"/>
      <c r="AB722" s="126" t="n"/>
      <c r="AC722" s="126" t="n"/>
      <c r="AD722" s="126" t="n"/>
      <c r="AE722" s="126" t="n"/>
      <c r="AF722" s="126" t="n"/>
      <c r="AG722" s="126" t="n"/>
      <c r="AH722" s="126" t="n"/>
      <c r="AI722" s="126" t="n"/>
      <c r="AJ722" s="126" t="n"/>
      <c r="AK722" s="126" t="n"/>
      <c r="AL722" s="126" t="n"/>
      <c r="AM722" s="126" t="n"/>
      <c r="AN722" s="126" t="n"/>
    </row>
    <row r="723" ht="21" customFormat="1" customHeight="1" s="127">
      <c r="A723" s="51">
        <f>IF($B723="","",ROW()-6)</f>
        <v/>
      </c>
      <c r="B723" s="268" t="n"/>
      <c r="C723" s="133" t="n"/>
      <c r="D723" s="50" t="n"/>
      <c r="E723" s="265" t="n"/>
      <c r="F723" s="133" t="n"/>
      <c r="G723" s="133" t="n"/>
      <c r="H723" s="50" t="n"/>
      <c r="I723" s="51">
        <f>IF($C723="","",IFERROR(INDEX(WorkerIDs,MATCH($C723,WorkerNames,0)),"?"))</f>
        <v/>
      </c>
      <c r="J723" s="253">
        <f>IF($B723="","",$B723-WEEKDAY($B723,2)+1)</f>
        <v/>
      </c>
      <c r="K723" s="142">
        <f>IF(OR($I723="",$I723="?",$D723&lt;&gt;"Advance",$B723=""),"",$I723&amp;"|"&amp;$J723&amp;"|"&amp;COUNTIFS($I$7:$I723,$I723,$J$7:$J723,$J723,$D$7:$D723,"Advance"))</f>
        <v/>
      </c>
      <c r="L723" s="266">
        <f>IF(OR($I723="",$I723="?",$B723=""),"",SUMPRODUCT((Weeks!$A$7:$A$59&lt;=$J723)*(Weeks!$X$5:$AI$5=$I723)*Weeks!$X$7:$AI$59)-SUMIFS($E$7:$E$1006,$I$7:$I$1006,$I723,$B$7:$B$1006,"&lt;="&amp;$B723))</f>
        <v/>
      </c>
      <c r="M723" s="132">
        <f>IF($B723&amp;$C723&amp;$D723&amp;$E723="","",IF($B723="","missing date",IF($C723="","missing worker",IF($I723="?","unknown worker - was the name changed on Workers?",IF($D723="","missing type",IF(N($E723)=0,"missing amount",IF(AND($E723&lt;0,$D723&lt;&gt;"Correction"),"negative amount - use a Correction to undo",IF(OR($B723&lt;Weeks!$A$7,$B723&gt;Weeks!$B$59),"date outside this workbook's year",IF(AND($D723="Advance",N($L723)&lt;0),"Warning: more than earned so far - worker now owes "&amp;TEXT(ROUND(-$L723,0),"#,##0"),"")))))))))</f>
        <v/>
      </c>
      <c r="N723" s="125" t="n"/>
      <c r="O723" s="126" t="n"/>
      <c r="P723" s="126" t="n"/>
      <c r="Q723" s="126" t="n"/>
      <c r="R723" s="126" t="n"/>
      <c r="S723" s="126" t="n"/>
      <c r="T723" s="126" t="n"/>
      <c r="U723" s="126" t="n"/>
      <c r="V723" s="126" t="n"/>
      <c r="W723" s="126" t="n"/>
      <c r="X723" s="126" t="n"/>
      <c r="Y723" s="126" t="n"/>
      <c r="Z723" s="126" t="n"/>
      <c r="AA723" s="126" t="n"/>
      <c r="AB723" s="126" t="n"/>
      <c r="AC723" s="126" t="n"/>
      <c r="AD723" s="126" t="n"/>
      <c r="AE723" s="126" t="n"/>
      <c r="AF723" s="126" t="n"/>
      <c r="AG723" s="126" t="n"/>
      <c r="AH723" s="126" t="n"/>
      <c r="AI723" s="126" t="n"/>
      <c r="AJ723" s="126" t="n"/>
      <c r="AK723" s="126" t="n"/>
      <c r="AL723" s="126" t="n"/>
      <c r="AM723" s="126" t="n"/>
      <c r="AN723" s="126" t="n"/>
    </row>
    <row r="724" ht="21" customFormat="1" customHeight="1" s="127">
      <c r="A724" s="51">
        <f>IF($B724="","",ROW()-6)</f>
        <v/>
      </c>
      <c r="B724" s="268" t="n"/>
      <c r="C724" s="133" t="n"/>
      <c r="D724" s="50" t="n"/>
      <c r="E724" s="265" t="n"/>
      <c r="F724" s="133" t="n"/>
      <c r="G724" s="133" t="n"/>
      <c r="H724" s="50" t="n"/>
      <c r="I724" s="51">
        <f>IF($C724="","",IFERROR(INDEX(WorkerIDs,MATCH($C724,WorkerNames,0)),"?"))</f>
        <v/>
      </c>
      <c r="J724" s="253">
        <f>IF($B724="","",$B724-WEEKDAY($B724,2)+1)</f>
        <v/>
      </c>
      <c r="K724" s="142">
        <f>IF(OR($I724="",$I724="?",$D724&lt;&gt;"Advance",$B724=""),"",$I724&amp;"|"&amp;$J724&amp;"|"&amp;COUNTIFS($I$7:$I724,$I724,$J$7:$J724,$J724,$D$7:$D724,"Advance"))</f>
        <v/>
      </c>
      <c r="L724" s="266">
        <f>IF(OR($I724="",$I724="?",$B724=""),"",SUMPRODUCT((Weeks!$A$7:$A$59&lt;=$J724)*(Weeks!$X$5:$AI$5=$I724)*Weeks!$X$7:$AI$59)-SUMIFS($E$7:$E$1006,$I$7:$I$1006,$I724,$B$7:$B$1006,"&lt;="&amp;$B724))</f>
        <v/>
      </c>
      <c r="M724" s="132">
        <f>IF($B724&amp;$C724&amp;$D724&amp;$E724="","",IF($B724="","missing date",IF($C724="","missing worker",IF($I724="?","unknown worker - was the name changed on Workers?",IF($D724="","missing type",IF(N($E724)=0,"missing amount",IF(AND($E724&lt;0,$D724&lt;&gt;"Correction"),"negative amount - use a Correction to undo",IF(OR($B724&lt;Weeks!$A$7,$B724&gt;Weeks!$B$59),"date outside this workbook's year",IF(AND($D724="Advance",N($L724)&lt;0),"Warning: more than earned so far - worker now owes "&amp;TEXT(ROUND(-$L724,0),"#,##0"),"")))))))))</f>
        <v/>
      </c>
      <c r="N724" s="125" t="n"/>
      <c r="O724" s="126" t="n"/>
      <c r="P724" s="126" t="n"/>
      <c r="Q724" s="126" t="n"/>
      <c r="R724" s="126" t="n"/>
      <c r="S724" s="126" t="n"/>
      <c r="T724" s="126" t="n"/>
      <c r="U724" s="126" t="n"/>
      <c r="V724" s="126" t="n"/>
      <c r="W724" s="126" t="n"/>
      <c r="X724" s="126" t="n"/>
      <c r="Y724" s="126" t="n"/>
      <c r="Z724" s="126" t="n"/>
      <c r="AA724" s="126" t="n"/>
      <c r="AB724" s="126" t="n"/>
      <c r="AC724" s="126" t="n"/>
      <c r="AD724" s="126" t="n"/>
      <c r="AE724" s="126" t="n"/>
      <c r="AF724" s="126" t="n"/>
      <c r="AG724" s="126" t="n"/>
      <c r="AH724" s="126" t="n"/>
      <c r="AI724" s="126" t="n"/>
      <c r="AJ724" s="126" t="n"/>
      <c r="AK724" s="126" t="n"/>
      <c r="AL724" s="126" t="n"/>
      <c r="AM724" s="126" t="n"/>
      <c r="AN724" s="126" t="n"/>
    </row>
    <row r="725" ht="21" customFormat="1" customHeight="1" s="127">
      <c r="A725" s="51">
        <f>IF($B725="","",ROW()-6)</f>
        <v/>
      </c>
      <c r="B725" s="268" t="n"/>
      <c r="C725" s="133" t="n"/>
      <c r="D725" s="50" t="n"/>
      <c r="E725" s="265" t="n"/>
      <c r="F725" s="133" t="n"/>
      <c r="G725" s="133" t="n"/>
      <c r="H725" s="50" t="n"/>
      <c r="I725" s="51">
        <f>IF($C725="","",IFERROR(INDEX(WorkerIDs,MATCH($C725,WorkerNames,0)),"?"))</f>
        <v/>
      </c>
      <c r="J725" s="253">
        <f>IF($B725="","",$B725-WEEKDAY($B725,2)+1)</f>
        <v/>
      </c>
      <c r="K725" s="142">
        <f>IF(OR($I725="",$I725="?",$D725&lt;&gt;"Advance",$B725=""),"",$I725&amp;"|"&amp;$J725&amp;"|"&amp;COUNTIFS($I$7:$I725,$I725,$J$7:$J725,$J725,$D$7:$D725,"Advance"))</f>
        <v/>
      </c>
      <c r="L725" s="266">
        <f>IF(OR($I725="",$I725="?",$B725=""),"",SUMPRODUCT((Weeks!$A$7:$A$59&lt;=$J725)*(Weeks!$X$5:$AI$5=$I725)*Weeks!$X$7:$AI$59)-SUMIFS($E$7:$E$1006,$I$7:$I$1006,$I725,$B$7:$B$1006,"&lt;="&amp;$B725))</f>
        <v/>
      </c>
      <c r="M725" s="132">
        <f>IF($B725&amp;$C725&amp;$D725&amp;$E725="","",IF($B725="","missing date",IF($C725="","missing worker",IF($I725="?","unknown worker - was the name changed on Workers?",IF($D725="","missing type",IF(N($E725)=0,"missing amount",IF(AND($E725&lt;0,$D725&lt;&gt;"Correction"),"negative amount - use a Correction to undo",IF(OR($B725&lt;Weeks!$A$7,$B725&gt;Weeks!$B$59),"date outside this workbook's year",IF(AND($D725="Advance",N($L725)&lt;0),"Warning: more than earned so far - worker now owes "&amp;TEXT(ROUND(-$L725,0),"#,##0"),"")))))))))</f>
        <v/>
      </c>
      <c r="N725" s="125" t="n"/>
      <c r="O725" s="126" t="n"/>
      <c r="P725" s="126" t="n"/>
      <c r="Q725" s="126" t="n"/>
      <c r="R725" s="126" t="n"/>
      <c r="S725" s="126" t="n"/>
      <c r="T725" s="126" t="n"/>
      <c r="U725" s="126" t="n"/>
      <c r="V725" s="126" t="n"/>
      <c r="W725" s="126" t="n"/>
      <c r="X725" s="126" t="n"/>
      <c r="Y725" s="126" t="n"/>
      <c r="Z725" s="126" t="n"/>
      <c r="AA725" s="126" t="n"/>
      <c r="AB725" s="126" t="n"/>
      <c r="AC725" s="126" t="n"/>
      <c r="AD725" s="126" t="n"/>
      <c r="AE725" s="126" t="n"/>
      <c r="AF725" s="126" t="n"/>
      <c r="AG725" s="126" t="n"/>
      <c r="AH725" s="126" t="n"/>
      <c r="AI725" s="126" t="n"/>
      <c r="AJ725" s="126" t="n"/>
      <c r="AK725" s="126" t="n"/>
      <c r="AL725" s="126" t="n"/>
      <c r="AM725" s="126" t="n"/>
      <c r="AN725" s="126" t="n"/>
    </row>
    <row r="726" ht="21" customFormat="1" customHeight="1" s="127">
      <c r="A726" s="51">
        <f>IF($B726="","",ROW()-6)</f>
        <v/>
      </c>
      <c r="B726" s="268" t="n"/>
      <c r="C726" s="133" t="n"/>
      <c r="D726" s="50" t="n"/>
      <c r="E726" s="265" t="n"/>
      <c r="F726" s="133" t="n"/>
      <c r="G726" s="133" t="n"/>
      <c r="H726" s="50" t="n"/>
      <c r="I726" s="51">
        <f>IF($C726="","",IFERROR(INDEX(WorkerIDs,MATCH($C726,WorkerNames,0)),"?"))</f>
        <v/>
      </c>
      <c r="J726" s="253">
        <f>IF($B726="","",$B726-WEEKDAY($B726,2)+1)</f>
        <v/>
      </c>
      <c r="K726" s="142">
        <f>IF(OR($I726="",$I726="?",$D726&lt;&gt;"Advance",$B726=""),"",$I726&amp;"|"&amp;$J726&amp;"|"&amp;COUNTIFS($I$7:$I726,$I726,$J$7:$J726,$J726,$D$7:$D726,"Advance"))</f>
        <v/>
      </c>
      <c r="L726" s="266">
        <f>IF(OR($I726="",$I726="?",$B726=""),"",SUMPRODUCT((Weeks!$A$7:$A$59&lt;=$J726)*(Weeks!$X$5:$AI$5=$I726)*Weeks!$X$7:$AI$59)-SUMIFS($E$7:$E$1006,$I$7:$I$1006,$I726,$B$7:$B$1006,"&lt;="&amp;$B726))</f>
        <v/>
      </c>
      <c r="M726" s="132">
        <f>IF($B726&amp;$C726&amp;$D726&amp;$E726="","",IF($B726="","missing date",IF($C726="","missing worker",IF($I726="?","unknown worker - was the name changed on Workers?",IF($D726="","missing type",IF(N($E726)=0,"missing amount",IF(AND($E726&lt;0,$D726&lt;&gt;"Correction"),"negative amount - use a Correction to undo",IF(OR($B726&lt;Weeks!$A$7,$B726&gt;Weeks!$B$59),"date outside this workbook's year",IF(AND($D726="Advance",N($L726)&lt;0),"Warning: more than earned so far - worker now owes "&amp;TEXT(ROUND(-$L726,0),"#,##0"),"")))))))))</f>
        <v/>
      </c>
      <c r="N726" s="125" t="n"/>
      <c r="O726" s="126" t="n"/>
      <c r="P726" s="126" t="n"/>
      <c r="Q726" s="126" t="n"/>
      <c r="R726" s="126" t="n"/>
      <c r="S726" s="126" t="n"/>
      <c r="T726" s="126" t="n"/>
      <c r="U726" s="126" t="n"/>
      <c r="V726" s="126" t="n"/>
      <c r="W726" s="126" t="n"/>
      <c r="X726" s="126" t="n"/>
      <c r="Y726" s="126" t="n"/>
      <c r="Z726" s="126" t="n"/>
      <c r="AA726" s="126" t="n"/>
      <c r="AB726" s="126" t="n"/>
      <c r="AC726" s="126" t="n"/>
      <c r="AD726" s="126" t="n"/>
      <c r="AE726" s="126" t="n"/>
      <c r="AF726" s="126" t="n"/>
      <c r="AG726" s="126" t="n"/>
      <c r="AH726" s="126" t="n"/>
      <c r="AI726" s="126" t="n"/>
      <c r="AJ726" s="126" t="n"/>
      <c r="AK726" s="126" t="n"/>
      <c r="AL726" s="126" t="n"/>
      <c r="AM726" s="126" t="n"/>
      <c r="AN726" s="126" t="n"/>
    </row>
    <row r="727" ht="21" customFormat="1" customHeight="1" s="127">
      <c r="A727" s="51">
        <f>IF($B727="","",ROW()-6)</f>
        <v/>
      </c>
      <c r="B727" s="268" t="n"/>
      <c r="C727" s="133" t="n"/>
      <c r="D727" s="50" t="n"/>
      <c r="E727" s="265" t="n"/>
      <c r="F727" s="133" t="n"/>
      <c r="G727" s="133" t="n"/>
      <c r="H727" s="50" t="n"/>
      <c r="I727" s="51">
        <f>IF($C727="","",IFERROR(INDEX(WorkerIDs,MATCH($C727,WorkerNames,0)),"?"))</f>
        <v/>
      </c>
      <c r="J727" s="253">
        <f>IF($B727="","",$B727-WEEKDAY($B727,2)+1)</f>
        <v/>
      </c>
      <c r="K727" s="142">
        <f>IF(OR($I727="",$I727="?",$D727&lt;&gt;"Advance",$B727=""),"",$I727&amp;"|"&amp;$J727&amp;"|"&amp;COUNTIFS($I$7:$I727,$I727,$J$7:$J727,$J727,$D$7:$D727,"Advance"))</f>
        <v/>
      </c>
      <c r="L727" s="266">
        <f>IF(OR($I727="",$I727="?",$B727=""),"",SUMPRODUCT((Weeks!$A$7:$A$59&lt;=$J727)*(Weeks!$X$5:$AI$5=$I727)*Weeks!$X$7:$AI$59)-SUMIFS($E$7:$E$1006,$I$7:$I$1006,$I727,$B$7:$B$1006,"&lt;="&amp;$B727))</f>
        <v/>
      </c>
      <c r="M727" s="132">
        <f>IF($B727&amp;$C727&amp;$D727&amp;$E727="","",IF($B727="","missing date",IF($C727="","missing worker",IF($I727="?","unknown worker - was the name changed on Workers?",IF($D727="","missing type",IF(N($E727)=0,"missing amount",IF(AND($E727&lt;0,$D727&lt;&gt;"Correction"),"negative amount - use a Correction to undo",IF(OR($B727&lt;Weeks!$A$7,$B727&gt;Weeks!$B$59),"date outside this workbook's year",IF(AND($D727="Advance",N($L727)&lt;0),"Warning: more than earned so far - worker now owes "&amp;TEXT(ROUND(-$L727,0),"#,##0"),"")))))))))</f>
        <v/>
      </c>
      <c r="N727" s="125" t="n"/>
      <c r="O727" s="126" t="n"/>
      <c r="P727" s="126" t="n"/>
      <c r="Q727" s="126" t="n"/>
      <c r="R727" s="126" t="n"/>
      <c r="S727" s="126" t="n"/>
      <c r="T727" s="126" t="n"/>
      <c r="U727" s="126" t="n"/>
      <c r="V727" s="126" t="n"/>
      <c r="W727" s="126" t="n"/>
      <c r="X727" s="126" t="n"/>
      <c r="Y727" s="126" t="n"/>
      <c r="Z727" s="126" t="n"/>
      <c r="AA727" s="126" t="n"/>
      <c r="AB727" s="126" t="n"/>
      <c r="AC727" s="126" t="n"/>
      <c r="AD727" s="126" t="n"/>
      <c r="AE727" s="126" t="n"/>
      <c r="AF727" s="126" t="n"/>
      <c r="AG727" s="126" t="n"/>
      <c r="AH727" s="126" t="n"/>
      <c r="AI727" s="126" t="n"/>
      <c r="AJ727" s="126" t="n"/>
      <c r="AK727" s="126" t="n"/>
      <c r="AL727" s="126" t="n"/>
      <c r="AM727" s="126" t="n"/>
      <c r="AN727" s="126" t="n"/>
    </row>
    <row r="728" ht="21" customFormat="1" customHeight="1" s="127">
      <c r="A728" s="51">
        <f>IF($B728="","",ROW()-6)</f>
        <v/>
      </c>
      <c r="B728" s="268" t="n"/>
      <c r="C728" s="133" t="n"/>
      <c r="D728" s="50" t="n"/>
      <c r="E728" s="265" t="n"/>
      <c r="F728" s="133" t="n"/>
      <c r="G728" s="133" t="n"/>
      <c r="H728" s="50" t="n"/>
      <c r="I728" s="51">
        <f>IF($C728="","",IFERROR(INDEX(WorkerIDs,MATCH($C728,WorkerNames,0)),"?"))</f>
        <v/>
      </c>
      <c r="J728" s="253">
        <f>IF($B728="","",$B728-WEEKDAY($B728,2)+1)</f>
        <v/>
      </c>
      <c r="K728" s="142">
        <f>IF(OR($I728="",$I728="?",$D728&lt;&gt;"Advance",$B728=""),"",$I728&amp;"|"&amp;$J728&amp;"|"&amp;COUNTIFS($I$7:$I728,$I728,$J$7:$J728,$J728,$D$7:$D728,"Advance"))</f>
        <v/>
      </c>
      <c r="L728" s="266">
        <f>IF(OR($I728="",$I728="?",$B728=""),"",SUMPRODUCT((Weeks!$A$7:$A$59&lt;=$J728)*(Weeks!$X$5:$AI$5=$I728)*Weeks!$X$7:$AI$59)-SUMIFS($E$7:$E$1006,$I$7:$I$1006,$I728,$B$7:$B$1006,"&lt;="&amp;$B728))</f>
        <v/>
      </c>
      <c r="M728" s="132">
        <f>IF($B728&amp;$C728&amp;$D728&amp;$E728="","",IF($B728="","missing date",IF($C728="","missing worker",IF($I728="?","unknown worker - was the name changed on Workers?",IF($D728="","missing type",IF(N($E728)=0,"missing amount",IF(AND($E728&lt;0,$D728&lt;&gt;"Correction"),"negative amount - use a Correction to undo",IF(OR($B728&lt;Weeks!$A$7,$B728&gt;Weeks!$B$59),"date outside this workbook's year",IF(AND($D728="Advance",N($L728)&lt;0),"Warning: more than earned so far - worker now owes "&amp;TEXT(ROUND(-$L728,0),"#,##0"),"")))))))))</f>
        <v/>
      </c>
      <c r="N728" s="125" t="n"/>
      <c r="O728" s="126" t="n"/>
      <c r="P728" s="126" t="n"/>
      <c r="Q728" s="126" t="n"/>
      <c r="R728" s="126" t="n"/>
      <c r="S728" s="126" t="n"/>
      <c r="T728" s="126" t="n"/>
      <c r="U728" s="126" t="n"/>
      <c r="V728" s="126" t="n"/>
      <c r="W728" s="126" t="n"/>
      <c r="X728" s="126" t="n"/>
      <c r="Y728" s="126" t="n"/>
      <c r="Z728" s="126" t="n"/>
      <c r="AA728" s="126" t="n"/>
      <c r="AB728" s="126" t="n"/>
      <c r="AC728" s="126" t="n"/>
      <c r="AD728" s="126" t="n"/>
      <c r="AE728" s="126" t="n"/>
      <c r="AF728" s="126" t="n"/>
      <c r="AG728" s="126" t="n"/>
      <c r="AH728" s="126" t="n"/>
      <c r="AI728" s="126" t="n"/>
      <c r="AJ728" s="126" t="n"/>
      <c r="AK728" s="126" t="n"/>
      <c r="AL728" s="126" t="n"/>
      <c r="AM728" s="126" t="n"/>
      <c r="AN728" s="126" t="n"/>
    </row>
    <row r="729" ht="21" customFormat="1" customHeight="1" s="127">
      <c r="A729" s="51">
        <f>IF($B729="","",ROW()-6)</f>
        <v/>
      </c>
      <c r="B729" s="268" t="n"/>
      <c r="C729" s="133" t="n"/>
      <c r="D729" s="50" t="n"/>
      <c r="E729" s="265" t="n"/>
      <c r="F729" s="133" t="n"/>
      <c r="G729" s="133" t="n"/>
      <c r="H729" s="50" t="n"/>
      <c r="I729" s="51">
        <f>IF($C729="","",IFERROR(INDEX(WorkerIDs,MATCH($C729,WorkerNames,0)),"?"))</f>
        <v/>
      </c>
      <c r="J729" s="253">
        <f>IF($B729="","",$B729-WEEKDAY($B729,2)+1)</f>
        <v/>
      </c>
      <c r="K729" s="142">
        <f>IF(OR($I729="",$I729="?",$D729&lt;&gt;"Advance",$B729=""),"",$I729&amp;"|"&amp;$J729&amp;"|"&amp;COUNTIFS($I$7:$I729,$I729,$J$7:$J729,$J729,$D$7:$D729,"Advance"))</f>
        <v/>
      </c>
      <c r="L729" s="266">
        <f>IF(OR($I729="",$I729="?",$B729=""),"",SUMPRODUCT((Weeks!$A$7:$A$59&lt;=$J729)*(Weeks!$X$5:$AI$5=$I729)*Weeks!$X$7:$AI$59)-SUMIFS($E$7:$E$1006,$I$7:$I$1006,$I729,$B$7:$B$1006,"&lt;="&amp;$B729))</f>
        <v/>
      </c>
      <c r="M729" s="132">
        <f>IF($B729&amp;$C729&amp;$D729&amp;$E729="","",IF($B729="","missing date",IF($C729="","missing worker",IF($I729="?","unknown worker - was the name changed on Workers?",IF($D729="","missing type",IF(N($E729)=0,"missing amount",IF(AND($E729&lt;0,$D729&lt;&gt;"Correction"),"negative amount - use a Correction to undo",IF(OR($B729&lt;Weeks!$A$7,$B729&gt;Weeks!$B$59),"date outside this workbook's year",IF(AND($D729="Advance",N($L729)&lt;0),"Warning: more than earned so far - worker now owes "&amp;TEXT(ROUND(-$L729,0),"#,##0"),"")))))))))</f>
        <v/>
      </c>
      <c r="N729" s="125" t="n"/>
      <c r="O729" s="126" t="n"/>
      <c r="P729" s="126" t="n"/>
      <c r="Q729" s="126" t="n"/>
      <c r="R729" s="126" t="n"/>
      <c r="S729" s="126" t="n"/>
      <c r="T729" s="126" t="n"/>
      <c r="U729" s="126" t="n"/>
      <c r="V729" s="126" t="n"/>
      <c r="W729" s="126" t="n"/>
      <c r="X729" s="126" t="n"/>
      <c r="Y729" s="126" t="n"/>
      <c r="Z729" s="126" t="n"/>
      <c r="AA729" s="126" t="n"/>
      <c r="AB729" s="126" t="n"/>
      <c r="AC729" s="126" t="n"/>
      <c r="AD729" s="126" t="n"/>
      <c r="AE729" s="126" t="n"/>
      <c r="AF729" s="126" t="n"/>
      <c r="AG729" s="126" t="n"/>
      <c r="AH729" s="126" t="n"/>
      <c r="AI729" s="126" t="n"/>
      <c r="AJ729" s="126" t="n"/>
      <c r="AK729" s="126" t="n"/>
      <c r="AL729" s="126" t="n"/>
      <c r="AM729" s="126" t="n"/>
      <c r="AN729" s="126" t="n"/>
    </row>
    <row r="730" ht="21" customFormat="1" customHeight="1" s="127">
      <c r="A730" s="51">
        <f>IF($B730="","",ROW()-6)</f>
        <v/>
      </c>
      <c r="B730" s="268" t="n"/>
      <c r="C730" s="133" t="n"/>
      <c r="D730" s="50" t="n"/>
      <c r="E730" s="265" t="n"/>
      <c r="F730" s="133" t="n"/>
      <c r="G730" s="133" t="n"/>
      <c r="H730" s="50" t="n"/>
      <c r="I730" s="51">
        <f>IF($C730="","",IFERROR(INDEX(WorkerIDs,MATCH($C730,WorkerNames,0)),"?"))</f>
        <v/>
      </c>
      <c r="J730" s="253">
        <f>IF($B730="","",$B730-WEEKDAY($B730,2)+1)</f>
        <v/>
      </c>
      <c r="K730" s="142">
        <f>IF(OR($I730="",$I730="?",$D730&lt;&gt;"Advance",$B730=""),"",$I730&amp;"|"&amp;$J730&amp;"|"&amp;COUNTIFS($I$7:$I730,$I730,$J$7:$J730,$J730,$D$7:$D730,"Advance"))</f>
        <v/>
      </c>
      <c r="L730" s="266">
        <f>IF(OR($I730="",$I730="?",$B730=""),"",SUMPRODUCT((Weeks!$A$7:$A$59&lt;=$J730)*(Weeks!$X$5:$AI$5=$I730)*Weeks!$X$7:$AI$59)-SUMIFS($E$7:$E$1006,$I$7:$I$1006,$I730,$B$7:$B$1006,"&lt;="&amp;$B730))</f>
        <v/>
      </c>
      <c r="M730" s="132">
        <f>IF($B730&amp;$C730&amp;$D730&amp;$E730="","",IF($B730="","missing date",IF($C730="","missing worker",IF($I730="?","unknown worker - was the name changed on Workers?",IF($D730="","missing type",IF(N($E730)=0,"missing amount",IF(AND($E730&lt;0,$D730&lt;&gt;"Correction"),"negative amount - use a Correction to undo",IF(OR($B730&lt;Weeks!$A$7,$B730&gt;Weeks!$B$59),"date outside this workbook's year",IF(AND($D730="Advance",N($L730)&lt;0),"Warning: more than earned so far - worker now owes "&amp;TEXT(ROUND(-$L730,0),"#,##0"),"")))))))))</f>
        <v/>
      </c>
      <c r="N730" s="125" t="n"/>
      <c r="O730" s="126" t="n"/>
      <c r="P730" s="126" t="n"/>
      <c r="Q730" s="126" t="n"/>
      <c r="R730" s="126" t="n"/>
      <c r="S730" s="126" t="n"/>
      <c r="T730" s="126" t="n"/>
      <c r="U730" s="126" t="n"/>
      <c r="V730" s="126" t="n"/>
      <c r="W730" s="126" t="n"/>
      <c r="X730" s="126" t="n"/>
      <c r="Y730" s="126" t="n"/>
      <c r="Z730" s="126" t="n"/>
      <c r="AA730" s="126" t="n"/>
      <c r="AB730" s="126" t="n"/>
      <c r="AC730" s="126" t="n"/>
      <c r="AD730" s="126" t="n"/>
      <c r="AE730" s="126" t="n"/>
      <c r="AF730" s="126" t="n"/>
      <c r="AG730" s="126" t="n"/>
      <c r="AH730" s="126" t="n"/>
      <c r="AI730" s="126" t="n"/>
      <c r="AJ730" s="126" t="n"/>
      <c r="AK730" s="126" t="n"/>
      <c r="AL730" s="126" t="n"/>
      <c r="AM730" s="126" t="n"/>
      <c r="AN730" s="126" t="n"/>
    </row>
    <row r="731" ht="21" customFormat="1" customHeight="1" s="127">
      <c r="A731" s="51">
        <f>IF($B731="","",ROW()-6)</f>
        <v/>
      </c>
      <c r="B731" s="268" t="n"/>
      <c r="C731" s="133" t="n"/>
      <c r="D731" s="50" t="n"/>
      <c r="E731" s="265" t="n"/>
      <c r="F731" s="133" t="n"/>
      <c r="G731" s="133" t="n"/>
      <c r="H731" s="50" t="n"/>
      <c r="I731" s="51">
        <f>IF($C731="","",IFERROR(INDEX(WorkerIDs,MATCH($C731,WorkerNames,0)),"?"))</f>
        <v/>
      </c>
      <c r="J731" s="253">
        <f>IF($B731="","",$B731-WEEKDAY($B731,2)+1)</f>
        <v/>
      </c>
      <c r="K731" s="142">
        <f>IF(OR($I731="",$I731="?",$D731&lt;&gt;"Advance",$B731=""),"",$I731&amp;"|"&amp;$J731&amp;"|"&amp;COUNTIFS($I$7:$I731,$I731,$J$7:$J731,$J731,$D$7:$D731,"Advance"))</f>
        <v/>
      </c>
      <c r="L731" s="266">
        <f>IF(OR($I731="",$I731="?",$B731=""),"",SUMPRODUCT((Weeks!$A$7:$A$59&lt;=$J731)*(Weeks!$X$5:$AI$5=$I731)*Weeks!$X$7:$AI$59)-SUMIFS($E$7:$E$1006,$I$7:$I$1006,$I731,$B$7:$B$1006,"&lt;="&amp;$B731))</f>
        <v/>
      </c>
      <c r="M731" s="132">
        <f>IF($B731&amp;$C731&amp;$D731&amp;$E731="","",IF($B731="","missing date",IF($C731="","missing worker",IF($I731="?","unknown worker - was the name changed on Workers?",IF($D731="","missing type",IF(N($E731)=0,"missing amount",IF(AND($E731&lt;0,$D731&lt;&gt;"Correction"),"negative amount - use a Correction to undo",IF(OR($B731&lt;Weeks!$A$7,$B731&gt;Weeks!$B$59),"date outside this workbook's year",IF(AND($D731="Advance",N($L731)&lt;0),"Warning: more than earned so far - worker now owes "&amp;TEXT(ROUND(-$L731,0),"#,##0"),"")))))))))</f>
        <v/>
      </c>
      <c r="N731" s="125" t="n"/>
      <c r="O731" s="126" t="n"/>
      <c r="P731" s="126" t="n"/>
      <c r="Q731" s="126" t="n"/>
      <c r="R731" s="126" t="n"/>
      <c r="S731" s="126" t="n"/>
      <c r="T731" s="126" t="n"/>
      <c r="U731" s="126" t="n"/>
      <c r="V731" s="126" t="n"/>
      <c r="W731" s="126" t="n"/>
      <c r="X731" s="126" t="n"/>
      <c r="Y731" s="126" t="n"/>
      <c r="Z731" s="126" t="n"/>
      <c r="AA731" s="126" t="n"/>
      <c r="AB731" s="126" t="n"/>
      <c r="AC731" s="126" t="n"/>
      <c r="AD731" s="126" t="n"/>
      <c r="AE731" s="126" t="n"/>
      <c r="AF731" s="126" t="n"/>
      <c r="AG731" s="126" t="n"/>
      <c r="AH731" s="126" t="n"/>
      <c r="AI731" s="126" t="n"/>
      <c r="AJ731" s="126" t="n"/>
      <c r="AK731" s="126" t="n"/>
      <c r="AL731" s="126" t="n"/>
      <c r="AM731" s="126" t="n"/>
      <c r="AN731" s="126" t="n"/>
    </row>
    <row r="732" ht="21" customFormat="1" customHeight="1" s="127">
      <c r="A732" s="51">
        <f>IF($B732="","",ROW()-6)</f>
        <v/>
      </c>
      <c r="B732" s="268" t="n"/>
      <c r="C732" s="133" t="n"/>
      <c r="D732" s="50" t="n"/>
      <c r="E732" s="265" t="n"/>
      <c r="F732" s="133" t="n"/>
      <c r="G732" s="133" t="n"/>
      <c r="H732" s="50" t="n"/>
      <c r="I732" s="51">
        <f>IF($C732="","",IFERROR(INDEX(WorkerIDs,MATCH($C732,WorkerNames,0)),"?"))</f>
        <v/>
      </c>
      <c r="J732" s="253">
        <f>IF($B732="","",$B732-WEEKDAY($B732,2)+1)</f>
        <v/>
      </c>
      <c r="K732" s="142">
        <f>IF(OR($I732="",$I732="?",$D732&lt;&gt;"Advance",$B732=""),"",$I732&amp;"|"&amp;$J732&amp;"|"&amp;COUNTIFS($I$7:$I732,$I732,$J$7:$J732,$J732,$D$7:$D732,"Advance"))</f>
        <v/>
      </c>
      <c r="L732" s="266">
        <f>IF(OR($I732="",$I732="?",$B732=""),"",SUMPRODUCT((Weeks!$A$7:$A$59&lt;=$J732)*(Weeks!$X$5:$AI$5=$I732)*Weeks!$X$7:$AI$59)-SUMIFS($E$7:$E$1006,$I$7:$I$1006,$I732,$B$7:$B$1006,"&lt;="&amp;$B732))</f>
        <v/>
      </c>
      <c r="M732" s="132">
        <f>IF($B732&amp;$C732&amp;$D732&amp;$E732="","",IF($B732="","missing date",IF($C732="","missing worker",IF($I732="?","unknown worker - was the name changed on Workers?",IF($D732="","missing type",IF(N($E732)=0,"missing amount",IF(AND($E732&lt;0,$D732&lt;&gt;"Correction"),"negative amount - use a Correction to undo",IF(OR($B732&lt;Weeks!$A$7,$B732&gt;Weeks!$B$59),"date outside this workbook's year",IF(AND($D732="Advance",N($L732)&lt;0),"Warning: more than earned so far - worker now owes "&amp;TEXT(ROUND(-$L732,0),"#,##0"),"")))))))))</f>
        <v/>
      </c>
      <c r="N732" s="125" t="n"/>
      <c r="O732" s="126" t="n"/>
      <c r="P732" s="126" t="n"/>
      <c r="Q732" s="126" t="n"/>
      <c r="R732" s="126" t="n"/>
      <c r="S732" s="126" t="n"/>
      <c r="T732" s="126" t="n"/>
      <c r="U732" s="126" t="n"/>
      <c r="V732" s="126" t="n"/>
      <c r="W732" s="126" t="n"/>
      <c r="X732" s="126" t="n"/>
      <c r="Y732" s="126" t="n"/>
      <c r="Z732" s="126" t="n"/>
      <c r="AA732" s="126" t="n"/>
      <c r="AB732" s="126" t="n"/>
      <c r="AC732" s="126" t="n"/>
      <c r="AD732" s="126" t="n"/>
      <c r="AE732" s="126" t="n"/>
      <c r="AF732" s="126" t="n"/>
      <c r="AG732" s="126" t="n"/>
      <c r="AH732" s="126" t="n"/>
      <c r="AI732" s="126" t="n"/>
      <c r="AJ732" s="126" t="n"/>
      <c r="AK732" s="126" t="n"/>
      <c r="AL732" s="126" t="n"/>
      <c r="AM732" s="126" t="n"/>
      <c r="AN732" s="126" t="n"/>
    </row>
    <row r="733" ht="21" customFormat="1" customHeight="1" s="127">
      <c r="A733" s="51">
        <f>IF($B733="","",ROW()-6)</f>
        <v/>
      </c>
      <c r="B733" s="268" t="n"/>
      <c r="C733" s="133" t="n"/>
      <c r="D733" s="50" t="n"/>
      <c r="E733" s="265" t="n"/>
      <c r="F733" s="133" t="n"/>
      <c r="G733" s="133" t="n"/>
      <c r="H733" s="50" t="n"/>
      <c r="I733" s="51">
        <f>IF($C733="","",IFERROR(INDEX(WorkerIDs,MATCH($C733,WorkerNames,0)),"?"))</f>
        <v/>
      </c>
      <c r="J733" s="253">
        <f>IF($B733="","",$B733-WEEKDAY($B733,2)+1)</f>
        <v/>
      </c>
      <c r="K733" s="142">
        <f>IF(OR($I733="",$I733="?",$D733&lt;&gt;"Advance",$B733=""),"",$I733&amp;"|"&amp;$J733&amp;"|"&amp;COUNTIFS($I$7:$I733,$I733,$J$7:$J733,$J733,$D$7:$D733,"Advance"))</f>
        <v/>
      </c>
      <c r="L733" s="266">
        <f>IF(OR($I733="",$I733="?",$B733=""),"",SUMPRODUCT((Weeks!$A$7:$A$59&lt;=$J733)*(Weeks!$X$5:$AI$5=$I733)*Weeks!$X$7:$AI$59)-SUMIFS($E$7:$E$1006,$I$7:$I$1006,$I733,$B$7:$B$1006,"&lt;="&amp;$B733))</f>
        <v/>
      </c>
      <c r="M733" s="132">
        <f>IF($B733&amp;$C733&amp;$D733&amp;$E733="","",IF($B733="","missing date",IF($C733="","missing worker",IF($I733="?","unknown worker - was the name changed on Workers?",IF($D733="","missing type",IF(N($E733)=0,"missing amount",IF(AND($E733&lt;0,$D733&lt;&gt;"Correction"),"negative amount - use a Correction to undo",IF(OR($B733&lt;Weeks!$A$7,$B733&gt;Weeks!$B$59),"date outside this workbook's year",IF(AND($D733="Advance",N($L733)&lt;0),"Warning: more than earned so far - worker now owes "&amp;TEXT(ROUND(-$L733,0),"#,##0"),"")))))))))</f>
        <v/>
      </c>
      <c r="N733" s="125" t="n"/>
      <c r="O733" s="126" t="n"/>
      <c r="P733" s="126" t="n"/>
      <c r="Q733" s="126" t="n"/>
      <c r="R733" s="126" t="n"/>
      <c r="S733" s="126" t="n"/>
      <c r="T733" s="126" t="n"/>
      <c r="U733" s="126" t="n"/>
      <c r="V733" s="126" t="n"/>
      <c r="W733" s="126" t="n"/>
      <c r="X733" s="126" t="n"/>
      <c r="Y733" s="126" t="n"/>
      <c r="Z733" s="126" t="n"/>
      <c r="AA733" s="126" t="n"/>
      <c r="AB733" s="126" t="n"/>
      <c r="AC733" s="126" t="n"/>
      <c r="AD733" s="126" t="n"/>
      <c r="AE733" s="126" t="n"/>
      <c r="AF733" s="126" t="n"/>
      <c r="AG733" s="126" t="n"/>
      <c r="AH733" s="126" t="n"/>
      <c r="AI733" s="126" t="n"/>
      <c r="AJ733" s="126" t="n"/>
      <c r="AK733" s="126" t="n"/>
      <c r="AL733" s="126" t="n"/>
      <c r="AM733" s="126" t="n"/>
      <c r="AN733" s="126" t="n"/>
    </row>
    <row r="734" ht="21" customFormat="1" customHeight="1" s="127">
      <c r="A734" s="51">
        <f>IF($B734="","",ROW()-6)</f>
        <v/>
      </c>
      <c r="B734" s="268" t="n"/>
      <c r="C734" s="133" t="n"/>
      <c r="D734" s="50" t="n"/>
      <c r="E734" s="265" t="n"/>
      <c r="F734" s="133" t="n"/>
      <c r="G734" s="133" t="n"/>
      <c r="H734" s="50" t="n"/>
      <c r="I734" s="51">
        <f>IF($C734="","",IFERROR(INDEX(WorkerIDs,MATCH($C734,WorkerNames,0)),"?"))</f>
        <v/>
      </c>
      <c r="J734" s="253">
        <f>IF($B734="","",$B734-WEEKDAY($B734,2)+1)</f>
        <v/>
      </c>
      <c r="K734" s="142">
        <f>IF(OR($I734="",$I734="?",$D734&lt;&gt;"Advance",$B734=""),"",$I734&amp;"|"&amp;$J734&amp;"|"&amp;COUNTIFS($I$7:$I734,$I734,$J$7:$J734,$J734,$D$7:$D734,"Advance"))</f>
        <v/>
      </c>
      <c r="L734" s="266">
        <f>IF(OR($I734="",$I734="?",$B734=""),"",SUMPRODUCT((Weeks!$A$7:$A$59&lt;=$J734)*(Weeks!$X$5:$AI$5=$I734)*Weeks!$X$7:$AI$59)-SUMIFS($E$7:$E$1006,$I$7:$I$1006,$I734,$B$7:$B$1006,"&lt;="&amp;$B734))</f>
        <v/>
      </c>
      <c r="M734" s="132">
        <f>IF($B734&amp;$C734&amp;$D734&amp;$E734="","",IF($B734="","missing date",IF($C734="","missing worker",IF($I734="?","unknown worker - was the name changed on Workers?",IF($D734="","missing type",IF(N($E734)=0,"missing amount",IF(AND($E734&lt;0,$D734&lt;&gt;"Correction"),"negative amount - use a Correction to undo",IF(OR($B734&lt;Weeks!$A$7,$B734&gt;Weeks!$B$59),"date outside this workbook's year",IF(AND($D734="Advance",N($L734)&lt;0),"Warning: more than earned so far - worker now owes "&amp;TEXT(ROUND(-$L734,0),"#,##0"),"")))))))))</f>
        <v/>
      </c>
      <c r="N734" s="125" t="n"/>
      <c r="O734" s="126" t="n"/>
      <c r="P734" s="126" t="n"/>
      <c r="Q734" s="126" t="n"/>
      <c r="R734" s="126" t="n"/>
      <c r="S734" s="126" t="n"/>
      <c r="T734" s="126" t="n"/>
      <c r="U734" s="126" t="n"/>
      <c r="V734" s="126" t="n"/>
      <c r="W734" s="126" t="n"/>
      <c r="X734" s="126" t="n"/>
      <c r="Y734" s="126" t="n"/>
      <c r="Z734" s="126" t="n"/>
      <c r="AA734" s="126" t="n"/>
      <c r="AB734" s="126" t="n"/>
      <c r="AC734" s="126" t="n"/>
      <c r="AD734" s="126" t="n"/>
      <c r="AE734" s="126" t="n"/>
      <c r="AF734" s="126" t="n"/>
      <c r="AG734" s="126" t="n"/>
      <c r="AH734" s="126" t="n"/>
      <c r="AI734" s="126" t="n"/>
      <c r="AJ734" s="126" t="n"/>
      <c r="AK734" s="126" t="n"/>
      <c r="AL734" s="126" t="n"/>
      <c r="AM734" s="126" t="n"/>
      <c r="AN734" s="126" t="n"/>
    </row>
    <row r="735" ht="21" customFormat="1" customHeight="1" s="127">
      <c r="A735" s="51">
        <f>IF($B735="","",ROW()-6)</f>
        <v/>
      </c>
      <c r="B735" s="268" t="n"/>
      <c r="C735" s="133" t="n"/>
      <c r="D735" s="50" t="n"/>
      <c r="E735" s="265" t="n"/>
      <c r="F735" s="133" t="n"/>
      <c r="G735" s="133" t="n"/>
      <c r="H735" s="50" t="n"/>
      <c r="I735" s="51">
        <f>IF($C735="","",IFERROR(INDEX(WorkerIDs,MATCH($C735,WorkerNames,0)),"?"))</f>
        <v/>
      </c>
      <c r="J735" s="253">
        <f>IF($B735="","",$B735-WEEKDAY($B735,2)+1)</f>
        <v/>
      </c>
      <c r="K735" s="142">
        <f>IF(OR($I735="",$I735="?",$D735&lt;&gt;"Advance",$B735=""),"",$I735&amp;"|"&amp;$J735&amp;"|"&amp;COUNTIFS($I$7:$I735,$I735,$J$7:$J735,$J735,$D$7:$D735,"Advance"))</f>
        <v/>
      </c>
      <c r="L735" s="266">
        <f>IF(OR($I735="",$I735="?",$B735=""),"",SUMPRODUCT((Weeks!$A$7:$A$59&lt;=$J735)*(Weeks!$X$5:$AI$5=$I735)*Weeks!$X$7:$AI$59)-SUMIFS($E$7:$E$1006,$I$7:$I$1006,$I735,$B$7:$B$1006,"&lt;="&amp;$B735))</f>
        <v/>
      </c>
      <c r="M735" s="132">
        <f>IF($B735&amp;$C735&amp;$D735&amp;$E735="","",IF($B735="","missing date",IF($C735="","missing worker",IF($I735="?","unknown worker - was the name changed on Workers?",IF($D735="","missing type",IF(N($E735)=0,"missing amount",IF(AND($E735&lt;0,$D735&lt;&gt;"Correction"),"negative amount - use a Correction to undo",IF(OR($B735&lt;Weeks!$A$7,$B735&gt;Weeks!$B$59),"date outside this workbook's year",IF(AND($D735="Advance",N($L735)&lt;0),"Warning: more than earned so far - worker now owes "&amp;TEXT(ROUND(-$L735,0),"#,##0"),"")))))))))</f>
        <v/>
      </c>
      <c r="N735" s="125" t="n"/>
      <c r="O735" s="126" t="n"/>
      <c r="P735" s="126" t="n"/>
      <c r="Q735" s="126" t="n"/>
      <c r="R735" s="126" t="n"/>
      <c r="S735" s="126" t="n"/>
      <c r="T735" s="126" t="n"/>
      <c r="U735" s="126" t="n"/>
      <c r="V735" s="126" t="n"/>
      <c r="W735" s="126" t="n"/>
      <c r="X735" s="126" t="n"/>
      <c r="Y735" s="126" t="n"/>
      <c r="Z735" s="126" t="n"/>
      <c r="AA735" s="126" t="n"/>
      <c r="AB735" s="126" t="n"/>
      <c r="AC735" s="126" t="n"/>
      <c r="AD735" s="126" t="n"/>
      <c r="AE735" s="126" t="n"/>
      <c r="AF735" s="126" t="n"/>
      <c r="AG735" s="126" t="n"/>
      <c r="AH735" s="126" t="n"/>
      <c r="AI735" s="126" t="n"/>
      <c r="AJ735" s="126" t="n"/>
      <c r="AK735" s="126" t="n"/>
      <c r="AL735" s="126" t="n"/>
      <c r="AM735" s="126" t="n"/>
      <c r="AN735" s="126" t="n"/>
    </row>
    <row r="736" ht="21" customFormat="1" customHeight="1" s="127">
      <c r="A736" s="51">
        <f>IF($B736="","",ROW()-6)</f>
        <v/>
      </c>
      <c r="B736" s="268" t="n"/>
      <c r="C736" s="133" t="n"/>
      <c r="D736" s="50" t="n"/>
      <c r="E736" s="265" t="n"/>
      <c r="F736" s="133" t="n"/>
      <c r="G736" s="133" t="n"/>
      <c r="H736" s="50" t="n"/>
      <c r="I736" s="51">
        <f>IF($C736="","",IFERROR(INDEX(WorkerIDs,MATCH($C736,WorkerNames,0)),"?"))</f>
        <v/>
      </c>
      <c r="J736" s="253">
        <f>IF($B736="","",$B736-WEEKDAY($B736,2)+1)</f>
        <v/>
      </c>
      <c r="K736" s="142">
        <f>IF(OR($I736="",$I736="?",$D736&lt;&gt;"Advance",$B736=""),"",$I736&amp;"|"&amp;$J736&amp;"|"&amp;COUNTIFS($I$7:$I736,$I736,$J$7:$J736,$J736,$D$7:$D736,"Advance"))</f>
        <v/>
      </c>
      <c r="L736" s="266">
        <f>IF(OR($I736="",$I736="?",$B736=""),"",SUMPRODUCT((Weeks!$A$7:$A$59&lt;=$J736)*(Weeks!$X$5:$AI$5=$I736)*Weeks!$X$7:$AI$59)-SUMIFS($E$7:$E$1006,$I$7:$I$1006,$I736,$B$7:$B$1006,"&lt;="&amp;$B736))</f>
        <v/>
      </c>
      <c r="M736" s="132">
        <f>IF($B736&amp;$C736&amp;$D736&amp;$E736="","",IF($B736="","missing date",IF($C736="","missing worker",IF($I736="?","unknown worker - was the name changed on Workers?",IF($D736="","missing type",IF(N($E736)=0,"missing amount",IF(AND($E736&lt;0,$D736&lt;&gt;"Correction"),"negative amount - use a Correction to undo",IF(OR($B736&lt;Weeks!$A$7,$B736&gt;Weeks!$B$59),"date outside this workbook's year",IF(AND($D736="Advance",N($L736)&lt;0),"Warning: more than earned so far - worker now owes "&amp;TEXT(ROUND(-$L736,0),"#,##0"),"")))))))))</f>
        <v/>
      </c>
      <c r="N736" s="125" t="n"/>
      <c r="O736" s="126" t="n"/>
      <c r="P736" s="126" t="n"/>
      <c r="Q736" s="126" t="n"/>
      <c r="R736" s="126" t="n"/>
      <c r="S736" s="126" t="n"/>
      <c r="T736" s="126" t="n"/>
      <c r="U736" s="126" t="n"/>
      <c r="V736" s="126" t="n"/>
      <c r="W736" s="126" t="n"/>
      <c r="X736" s="126" t="n"/>
      <c r="Y736" s="126" t="n"/>
      <c r="Z736" s="126" t="n"/>
      <c r="AA736" s="126" t="n"/>
      <c r="AB736" s="126" t="n"/>
      <c r="AC736" s="126" t="n"/>
      <c r="AD736" s="126" t="n"/>
      <c r="AE736" s="126" t="n"/>
      <c r="AF736" s="126" t="n"/>
      <c r="AG736" s="126" t="n"/>
      <c r="AH736" s="126" t="n"/>
      <c r="AI736" s="126" t="n"/>
      <c r="AJ736" s="126" t="n"/>
      <c r="AK736" s="126" t="n"/>
      <c r="AL736" s="126" t="n"/>
      <c r="AM736" s="126" t="n"/>
      <c r="AN736" s="126" t="n"/>
    </row>
    <row r="737" ht="21" customFormat="1" customHeight="1" s="127">
      <c r="A737" s="51">
        <f>IF($B737="","",ROW()-6)</f>
        <v/>
      </c>
      <c r="B737" s="268" t="n"/>
      <c r="C737" s="133" t="n"/>
      <c r="D737" s="50" t="n"/>
      <c r="E737" s="265" t="n"/>
      <c r="F737" s="133" t="n"/>
      <c r="G737" s="133" t="n"/>
      <c r="H737" s="50" t="n"/>
      <c r="I737" s="51">
        <f>IF($C737="","",IFERROR(INDEX(WorkerIDs,MATCH($C737,WorkerNames,0)),"?"))</f>
        <v/>
      </c>
      <c r="J737" s="253">
        <f>IF($B737="","",$B737-WEEKDAY($B737,2)+1)</f>
        <v/>
      </c>
      <c r="K737" s="142">
        <f>IF(OR($I737="",$I737="?",$D737&lt;&gt;"Advance",$B737=""),"",$I737&amp;"|"&amp;$J737&amp;"|"&amp;COUNTIFS($I$7:$I737,$I737,$J$7:$J737,$J737,$D$7:$D737,"Advance"))</f>
        <v/>
      </c>
      <c r="L737" s="266">
        <f>IF(OR($I737="",$I737="?",$B737=""),"",SUMPRODUCT((Weeks!$A$7:$A$59&lt;=$J737)*(Weeks!$X$5:$AI$5=$I737)*Weeks!$X$7:$AI$59)-SUMIFS($E$7:$E$1006,$I$7:$I$1006,$I737,$B$7:$B$1006,"&lt;="&amp;$B737))</f>
        <v/>
      </c>
      <c r="M737" s="132">
        <f>IF($B737&amp;$C737&amp;$D737&amp;$E737="","",IF($B737="","missing date",IF($C737="","missing worker",IF($I737="?","unknown worker - was the name changed on Workers?",IF($D737="","missing type",IF(N($E737)=0,"missing amount",IF(AND($E737&lt;0,$D737&lt;&gt;"Correction"),"negative amount - use a Correction to undo",IF(OR($B737&lt;Weeks!$A$7,$B737&gt;Weeks!$B$59),"date outside this workbook's year",IF(AND($D737="Advance",N($L737)&lt;0),"Warning: more than earned so far - worker now owes "&amp;TEXT(ROUND(-$L737,0),"#,##0"),"")))))))))</f>
        <v/>
      </c>
      <c r="N737" s="125" t="n"/>
      <c r="O737" s="126" t="n"/>
      <c r="P737" s="126" t="n"/>
      <c r="Q737" s="126" t="n"/>
      <c r="R737" s="126" t="n"/>
      <c r="S737" s="126" t="n"/>
      <c r="T737" s="126" t="n"/>
      <c r="U737" s="126" t="n"/>
      <c r="V737" s="126" t="n"/>
      <c r="W737" s="126" t="n"/>
      <c r="X737" s="126" t="n"/>
      <c r="Y737" s="126" t="n"/>
      <c r="Z737" s="126" t="n"/>
      <c r="AA737" s="126" t="n"/>
      <c r="AB737" s="126" t="n"/>
      <c r="AC737" s="126" t="n"/>
      <c r="AD737" s="126" t="n"/>
      <c r="AE737" s="126" t="n"/>
      <c r="AF737" s="126" t="n"/>
      <c r="AG737" s="126" t="n"/>
      <c r="AH737" s="126" t="n"/>
      <c r="AI737" s="126" t="n"/>
      <c r="AJ737" s="126" t="n"/>
      <c r="AK737" s="126" t="n"/>
      <c r="AL737" s="126" t="n"/>
      <c r="AM737" s="126" t="n"/>
      <c r="AN737" s="126" t="n"/>
    </row>
    <row r="738" ht="21" customFormat="1" customHeight="1" s="127">
      <c r="A738" s="51">
        <f>IF($B738="","",ROW()-6)</f>
        <v/>
      </c>
      <c r="B738" s="268" t="n"/>
      <c r="C738" s="133" t="n"/>
      <c r="D738" s="50" t="n"/>
      <c r="E738" s="265" t="n"/>
      <c r="F738" s="133" t="n"/>
      <c r="G738" s="133" t="n"/>
      <c r="H738" s="50" t="n"/>
      <c r="I738" s="51">
        <f>IF($C738="","",IFERROR(INDEX(WorkerIDs,MATCH($C738,WorkerNames,0)),"?"))</f>
        <v/>
      </c>
      <c r="J738" s="253">
        <f>IF($B738="","",$B738-WEEKDAY($B738,2)+1)</f>
        <v/>
      </c>
      <c r="K738" s="142">
        <f>IF(OR($I738="",$I738="?",$D738&lt;&gt;"Advance",$B738=""),"",$I738&amp;"|"&amp;$J738&amp;"|"&amp;COUNTIFS($I$7:$I738,$I738,$J$7:$J738,$J738,$D$7:$D738,"Advance"))</f>
        <v/>
      </c>
      <c r="L738" s="266">
        <f>IF(OR($I738="",$I738="?",$B738=""),"",SUMPRODUCT((Weeks!$A$7:$A$59&lt;=$J738)*(Weeks!$X$5:$AI$5=$I738)*Weeks!$X$7:$AI$59)-SUMIFS($E$7:$E$1006,$I$7:$I$1006,$I738,$B$7:$B$1006,"&lt;="&amp;$B738))</f>
        <v/>
      </c>
      <c r="M738" s="132">
        <f>IF($B738&amp;$C738&amp;$D738&amp;$E738="","",IF($B738="","missing date",IF($C738="","missing worker",IF($I738="?","unknown worker - was the name changed on Workers?",IF($D738="","missing type",IF(N($E738)=0,"missing amount",IF(AND($E738&lt;0,$D738&lt;&gt;"Correction"),"negative amount - use a Correction to undo",IF(OR($B738&lt;Weeks!$A$7,$B738&gt;Weeks!$B$59),"date outside this workbook's year",IF(AND($D738="Advance",N($L738)&lt;0),"Warning: more than earned so far - worker now owes "&amp;TEXT(ROUND(-$L738,0),"#,##0"),"")))))))))</f>
        <v/>
      </c>
      <c r="N738" s="125" t="n"/>
      <c r="O738" s="126" t="n"/>
      <c r="P738" s="126" t="n"/>
      <c r="Q738" s="126" t="n"/>
      <c r="R738" s="126" t="n"/>
      <c r="S738" s="126" t="n"/>
      <c r="T738" s="126" t="n"/>
      <c r="U738" s="126" t="n"/>
      <c r="V738" s="126" t="n"/>
      <c r="W738" s="126" t="n"/>
      <c r="X738" s="126" t="n"/>
      <c r="Y738" s="126" t="n"/>
      <c r="Z738" s="126" t="n"/>
      <c r="AA738" s="126" t="n"/>
      <c r="AB738" s="126" t="n"/>
      <c r="AC738" s="126" t="n"/>
      <c r="AD738" s="126" t="n"/>
      <c r="AE738" s="126" t="n"/>
      <c r="AF738" s="126" t="n"/>
      <c r="AG738" s="126" t="n"/>
      <c r="AH738" s="126" t="n"/>
      <c r="AI738" s="126" t="n"/>
      <c r="AJ738" s="126" t="n"/>
      <c r="AK738" s="126" t="n"/>
      <c r="AL738" s="126" t="n"/>
      <c r="AM738" s="126" t="n"/>
      <c r="AN738" s="126" t="n"/>
    </row>
    <row r="739" ht="21" customFormat="1" customHeight="1" s="127">
      <c r="A739" s="51">
        <f>IF($B739="","",ROW()-6)</f>
        <v/>
      </c>
      <c r="B739" s="268" t="n"/>
      <c r="C739" s="133" t="n"/>
      <c r="D739" s="50" t="n"/>
      <c r="E739" s="265" t="n"/>
      <c r="F739" s="133" t="n"/>
      <c r="G739" s="133" t="n"/>
      <c r="H739" s="50" t="n"/>
      <c r="I739" s="51">
        <f>IF($C739="","",IFERROR(INDEX(WorkerIDs,MATCH($C739,WorkerNames,0)),"?"))</f>
        <v/>
      </c>
      <c r="J739" s="253">
        <f>IF($B739="","",$B739-WEEKDAY($B739,2)+1)</f>
        <v/>
      </c>
      <c r="K739" s="142">
        <f>IF(OR($I739="",$I739="?",$D739&lt;&gt;"Advance",$B739=""),"",$I739&amp;"|"&amp;$J739&amp;"|"&amp;COUNTIFS($I$7:$I739,$I739,$J$7:$J739,$J739,$D$7:$D739,"Advance"))</f>
        <v/>
      </c>
      <c r="L739" s="266">
        <f>IF(OR($I739="",$I739="?",$B739=""),"",SUMPRODUCT((Weeks!$A$7:$A$59&lt;=$J739)*(Weeks!$X$5:$AI$5=$I739)*Weeks!$X$7:$AI$59)-SUMIFS($E$7:$E$1006,$I$7:$I$1006,$I739,$B$7:$B$1006,"&lt;="&amp;$B739))</f>
        <v/>
      </c>
      <c r="M739" s="132">
        <f>IF($B739&amp;$C739&amp;$D739&amp;$E739="","",IF($B739="","missing date",IF($C739="","missing worker",IF($I739="?","unknown worker - was the name changed on Workers?",IF($D739="","missing type",IF(N($E739)=0,"missing amount",IF(AND($E739&lt;0,$D739&lt;&gt;"Correction"),"negative amount - use a Correction to undo",IF(OR($B739&lt;Weeks!$A$7,$B739&gt;Weeks!$B$59),"date outside this workbook's year",IF(AND($D739="Advance",N($L739)&lt;0),"Warning: more than earned so far - worker now owes "&amp;TEXT(ROUND(-$L739,0),"#,##0"),"")))))))))</f>
        <v/>
      </c>
      <c r="N739" s="125" t="n"/>
      <c r="O739" s="126" t="n"/>
      <c r="P739" s="126" t="n"/>
      <c r="Q739" s="126" t="n"/>
      <c r="R739" s="126" t="n"/>
      <c r="S739" s="126" t="n"/>
      <c r="T739" s="126" t="n"/>
      <c r="U739" s="126" t="n"/>
      <c r="V739" s="126" t="n"/>
      <c r="W739" s="126" t="n"/>
      <c r="X739" s="126" t="n"/>
      <c r="Y739" s="126" t="n"/>
      <c r="Z739" s="126" t="n"/>
      <c r="AA739" s="126" t="n"/>
      <c r="AB739" s="126" t="n"/>
      <c r="AC739" s="126" t="n"/>
      <c r="AD739" s="126" t="n"/>
      <c r="AE739" s="126" t="n"/>
      <c r="AF739" s="126" t="n"/>
      <c r="AG739" s="126" t="n"/>
      <c r="AH739" s="126" t="n"/>
      <c r="AI739" s="126" t="n"/>
      <c r="AJ739" s="126" t="n"/>
      <c r="AK739" s="126" t="n"/>
      <c r="AL739" s="126" t="n"/>
      <c r="AM739" s="126" t="n"/>
      <c r="AN739" s="126" t="n"/>
    </row>
    <row r="740" ht="21" customFormat="1" customHeight="1" s="127">
      <c r="A740" s="51">
        <f>IF($B740="","",ROW()-6)</f>
        <v/>
      </c>
      <c r="B740" s="268" t="n"/>
      <c r="C740" s="133" t="n"/>
      <c r="D740" s="50" t="n"/>
      <c r="E740" s="265" t="n"/>
      <c r="F740" s="133" t="n"/>
      <c r="G740" s="133" t="n"/>
      <c r="H740" s="50" t="n"/>
      <c r="I740" s="51">
        <f>IF($C740="","",IFERROR(INDEX(WorkerIDs,MATCH($C740,WorkerNames,0)),"?"))</f>
        <v/>
      </c>
      <c r="J740" s="253">
        <f>IF($B740="","",$B740-WEEKDAY($B740,2)+1)</f>
        <v/>
      </c>
      <c r="K740" s="142">
        <f>IF(OR($I740="",$I740="?",$D740&lt;&gt;"Advance",$B740=""),"",$I740&amp;"|"&amp;$J740&amp;"|"&amp;COUNTIFS($I$7:$I740,$I740,$J$7:$J740,$J740,$D$7:$D740,"Advance"))</f>
        <v/>
      </c>
      <c r="L740" s="266">
        <f>IF(OR($I740="",$I740="?",$B740=""),"",SUMPRODUCT((Weeks!$A$7:$A$59&lt;=$J740)*(Weeks!$X$5:$AI$5=$I740)*Weeks!$X$7:$AI$59)-SUMIFS($E$7:$E$1006,$I$7:$I$1006,$I740,$B$7:$B$1006,"&lt;="&amp;$B740))</f>
        <v/>
      </c>
      <c r="M740" s="132">
        <f>IF($B740&amp;$C740&amp;$D740&amp;$E740="","",IF($B740="","missing date",IF($C740="","missing worker",IF($I740="?","unknown worker - was the name changed on Workers?",IF($D740="","missing type",IF(N($E740)=0,"missing amount",IF(AND($E740&lt;0,$D740&lt;&gt;"Correction"),"negative amount - use a Correction to undo",IF(OR($B740&lt;Weeks!$A$7,$B740&gt;Weeks!$B$59),"date outside this workbook's year",IF(AND($D740="Advance",N($L740)&lt;0),"Warning: more than earned so far - worker now owes "&amp;TEXT(ROUND(-$L740,0),"#,##0"),"")))))))))</f>
        <v/>
      </c>
      <c r="N740" s="125" t="n"/>
      <c r="O740" s="126" t="n"/>
      <c r="P740" s="126" t="n"/>
      <c r="Q740" s="126" t="n"/>
      <c r="R740" s="126" t="n"/>
      <c r="S740" s="126" t="n"/>
      <c r="T740" s="126" t="n"/>
      <c r="U740" s="126" t="n"/>
      <c r="V740" s="126" t="n"/>
      <c r="W740" s="126" t="n"/>
      <c r="X740" s="126" t="n"/>
      <c r="Y740" s="126" t="n"/>
      <c r="Z740" s="126" t="n"/>
      <c r="AA740" s="126" t="n"/>
      <c r="AB740" s="126" t="n"/>
      <c r="AC740" s="126" t="n"/>
      <c r="AD740" s="126" t="n"/>
      <c r="AE740" s="126" t="n"/>
      <c r="AF740" s="126" t="n"/>
      <c r="AG740" s="126" t="n"/>
      <c r="AH740" s="126" t="n"/>
      <c r="AI740" s="126" t="n"/>
      <c r="AJ740" s="126" t="n"/>
      <c r="AK740" s="126" t="n"/>
      <c r="AL740" s="126" t="n"/>
      <c r="AM740" s="126" t="n"/>
      <c r="AN740" s="126" t="n"/>
    </row>
    <row r="741" ht="21" customFormat="1" customHeight="1" s="127">
      <c r="A741" s="51">
        <f>IF($B741="","",ROW()-6)</f>
        <v/>
      </c>
      <c r="B741" s="268" t="n"/>
      <c r="C741" s="133" t="n"/>
      <c r="D741" s="50" t="n"/>
      <c r="E741" s="265" t="n"/>
      <c r="F741" s="133" t="n"/>
      <c r="G741" s="133" t="n"/>
      <c r="H741" s="50" t="n"/>
      <c r="I741" s="51">
        <f>IF($C741="","",IFERROR(INDEX(WorkerIDs,MATCH($C741,WorkerNames,0)),"?"))</f>
        <v/>
      </c>
      <c r="J741" s="253">
        <f>IF($B741="","",$B741-WEEKDAY($B741,2)+1)</f>
        <v/>
      </c>
      <c r="K741" s="142">
        <f>IF(OR($I741="",$I741="?",$D741&lt;&gt;"Advance",$B741=""),"",$I741&amp;"|"&amp;$J741&amp;"|"&amp;COUNTIFS($I$7:$I741,$I741,$J$7:$J741,$J741,$D$7:$D741,"Advance"))</f>
        <v/>
      </c>
      <c r="L741" s="266">
        <f>IF(OR($I741="",$I741="?",$B741=""),"",SUMPRODUCT((Weeks!$A$7:$A$59&lt;=$J741)*(Weeks!$X$5:$AI$5=$I741)*Weeks!$X$7:$AI$59)-SUMIFS($E$7:$E$1006,$I$7:$I$1006,$I741,$B$7:$B$1006,"&lt;="&amp;$B741))</f>
        <v/>
      </c>
      <c r="M741" s="132">
        <f>IF($B741&amp;$C741&amp;$D741&amp;$E741="","",IF($B741="","missing date",IF($C741="","missing worker",IF($I741="?","unknown worker - was the name changed on Workers?",IF($D741="","missing type",IF(N($E741)=0,"missing amount",IF(AND($E741&lt;0,$D741&lt;&gt;"Correction"),"negative amount - use a Correction to undo",IF(OR($B741&lt;Weeks!$A$7,$B741&gt;Weeks!$B$59),"date outside this workbook's year",IF(AND($D741="Advance",N($L741)&lt;0),"Warning: more than earned so far - worker now owes "&amp;TEXT(ROUND(-$L741,0),"#,##0"),"")))))))))</f>
        <v/>
      </c>
      <c r="N741" s="125" t="n"/>
      <c r="O741" s="126" t="n"/>
      <c r="P741" s="126" t="n"/>
      <c r="Q741" s="126" t="n"/>
      <c r="R741" s="126" t="n"/>
      <c r="S741" s="126" t="n"/>
      <c r="T741" s="126" t="n"/>
      <c r="U741" s="126" t="n"/>
      <c r="V741" s="126" t="n"/>
      <c r="W741" s="126" t="n"/>
      <c r="X741" s="126" t="n"/>
      <c r="Y741" s="126" t="n"/>
      <c r="Z741" s="126" t="n"/>
      <c r="AA741" s="126" t="n"/>
      <c r="AB741" s="126" t="n"/>
      <c r="AC741" s="126" t="n"/>
      <c r="AD741" s="126" t="n"/>
      <c r="AE741" s="126" t="n"/>
      <c r="AF741" s="126" t="n"/>
      <c r="AG741" s="126" t="n"/>
      <c r="AH741" s="126" t="n"/>
      <c r="AI741" s="126" t="n"/>
      <c r="AJ741" s="126" t="n"/>
      <c r="AK741" s="126" t="n"/>
      <c r="AL741" s="126" t="n"/>
      <c r="AM741" s="126" t="n"/>
      <c r="AN741" s="126" t="n"/>
    </row>
    <row r="742" ht="21" customFormat="1" customHeight="1" s="127">
      <c r="A742" s="51">
        <f>IF($B742="","",ROW()-6)</f>
        <v/>
      </c>
      <c r="B742" s="268" t="n"/>
      <c r="C742" s="133" t="n"/>
      <c r="D742" s="50" t="n"/>
      <c r="E742" s="265" t="n"/>
      <c r="F742" s="133" t="n"/>
      <c r="G742" s="133" t="n"/>
      <c r="H742" s="50" t="n"/>
      <c r="I742" s="51">
        <f>IF($C742="","",IFERROR(INDEX(WorkerIDs,MATCH($C742,WorkerNames,0)),"?"))</f>
        <v/>
      </c>
      <c r="J742" s="253">
        <f>IF($B742="","",$B742-WEEKDAY($B742,2)+1)</f>
        <v/>
      </c>
      <c r="K742" s="142">
        <f>IF(OR($I742="",$I742="?",$D742&lt;&gt;"Advance",$B742=""),"",$I742&amp;"|"&amp;$J742&amp;"|"&amp;COUNTIFS($I$7:$I742,$I742,$J$7:$J742,$J742,$D$7:$D742,"Advance"))</f>
        <v/>
      </c>
      <c r="L742" s="266">
        <f>IF(OR($I742="",$I742="?",$B742=""),"",SUMPRODUCT((Weeks!$A$7:$A$59&lt;=$J742)*(Weeks!$X$5:$AI$5=$I742)*Weeks!$X$7:$AI$59)-SUMIFS($E$7:$E$1006,$I$7:$I$1006,$I742,$B$7:$B$1006,"&lt;="&amp;$B742))</f>
        <v/>
      </c>
      <c r="M742" s="132">
        <f>IF($B742&amp;$C742&amp;$D742&amp;$E742="","",IF($B742="","missing date",IF($C742="","missing worker",IF($I742="?","unknown worker - was the name changed on Workers?",IF($D742="","missing type",IF(N($E742)=0,"missing amount",IF(AND($E742&lt;0,$D742&lt;&gt;"Correction"),"negative amount - use a Correction to undo",IF(OR($B742&lt;Weeks!$A$7,$B742&gt;Weeks!$B$59),"date outside this workbook's year",IF(AND($D742="Advance",N($L742)&lt;0),"Warning: more than earned so far - worker now owes "&amp;TEXT(ROUND(-$L742,0),"#,##0"),"")))))))))</f>
        <v/>
      </c>
      <c r="N742" s="125" t="n"/>
      <c r="O742" s="126" t="n"/>
      <c r="P742" s="126" t="n"/>
      <c r="Q742" s="126" t="n"/>
      <c r="R742" s="126" t="n"/>
      <c r="S742" s="126" t="n"/>
      <c r="T742" s="126" t="n"/>
      <c r="U742" s="126" t="n"/>
      <c r="V742" s="126" t="n"/>
      <c r="W742" s="126" t="n"/>
      <c r="X742" s="126" t="n"/>
      <c r="Y742" s="126" t="n"/>
      <c r="Z742" s="126" t="n"/>
      <c r="AA742" s="126" t="n"/>
      <c r="AB742" s="126" t="n"/>
      <c r="AC742" s="126" t="n"/>
      <c r="AD742" s="126" t="n"/>
      <c r="AE742" s="126" t="n"/>
      <c r="AF742" s="126" t="n"/>
      <c r="AG742" s="126" t="n"/>
      <c r="AH742" s="126" t="n"/>
      <c r="AI742" s="126" t="n"/>
      <c r="AJ742" s="126" t="n"/>
      <c r="AK742" s="126" t="n"/>
      <c r="AL742" s="126" t="n"/>
      <c r="AM742" s="126" t="n"/>
      <c r="AN742" s="126" t="n"/>
    </row>
    <row r="743" ht="21" customFormat="1" customHeight="1" s="127">
      <c r="A743" s="51">
        <f>IF($B743="","",ROW()-6)</f>
        <v/>
      </c>
      <c r="B743" s="268" t="n"/>
      <c r="C743" s="133" t="n"/>
      <c r="D743" s="50" t="n"/>
      <c r="E743" s="265" t="n"/>
      <c r="F743" s="133" t="n"/>
      <c r="G743" s="133" t="n"/>
      <c r="H743" s="50" t="n"/>
      <c r="I743" s="51">
        <f>IF($C743="","",IFERROR(INDEX(WorkerIDs,MATCH($C743,WorkerNames,0)),"?"))</f>
        <v/>
      </c>
      <c r="J743" s="253">
        <f>IF($B743="","",$B743-WEEKDAY($B743,2)+1)</f>
        <v/>
      </c>
      <c r="K743" s="142">
        <f>IF(OR($I743="",$I743="?",$D743&lt;&gt;"Advance",$B743=""),"",$I743&amp;"|"&amp;$J743&amp;"|"&amp;COUNTIFS($I$7:$I743,$I743,$J$7:$J743,$J743,$D$7:$D743,"Advance"))</f>
        <v/>
      </c>
      <c r="L743" s="266">
        <f>IF(OR($I743="",$I743="?",$B743=""),"",SUMPRODUCT((Weeks!$A$7:$A$59&lt;=$J743)*(Weeks!$X$5:$AI$5=$I743)*Weeks!$X$7:$AI$59)-SUMIFS($E$7:$E$1006,$I$7:$I$1006,$I743,$B$7:$B$1006,"&lt;="&amp;$B743))</f>
        <v/>
      </c>
      <c r="M743" s="132">
        <f>IF($B743&amp;$C743&amp;$D743&amp;$E743="","",IF($B743="","missing date",IF($C743="","missing worker",IF($I743="?","unknown worker - was the name changed on Workers?",IF($D743="","missing type",IF(N($E743)=0,"missing amount",IF(AND($E743&lt;0,$D743&lt;&gt;"Correction"),"negative amount - use a Correction to undo",IF(OR($B743&lt;Weeks!$A$7,$B743&gt;Weeks!$B$59),"date outside this workbook's year",IF(AND($D743="Advance",N($L743)&lt;0),"Warning: more than earned so far - worker now owes "&amp;TEXT(ROUND(-$L743,0),"#,##0"),"")))))))))</f>
        <v/>
      </c>
      <c r="N743" s="125" t="n"/>
      <c r="O743" s="126" t="n"/>
      <c r="P743" s="126" t="n"/>
      <c r="Q743" s="126" t="n"/>
      <c r="R743" s="126" t="n"/>
      <c r="S743" s="126" t="n"/>
      <c r="T743" s="126" t="n"/>
      <c r="U743" s="126" t="n"/>
      <c r="V743" s="126" t="n"/>
      <c r="W743" s="126" t="n"/>
      <c r="X743" s="126" t="n"/>
      <c r="Y743" s="126" t="n"/>
      <c r="Z743" s="126" t="n"/>
      <c r="AA743" s="126" t="n"/>
      <c r="AB743" s="126" t="n"/>
      <c r="AC743" s="126" t="n"/>
      <c r="AD743" s="126" t="n"/>
      <c r="AE743" s="126" t="n"/>
      <c r="AF743" s="126" t="n"/>
      <c r="AG743" s="126" t="n"/>
      <c r="AH743" s="126" t="n"/>
      <c r="AI743" s="126" t="n"/>
      <c r="AJ743" s="126" t="n"/>
      <c r="AK743" s="126" t="n"/>
      <c r="AL743" s="126" t="n"/>
      <c r="AM743" s="126" t="n"/>
      <c r="AN743" s="126" t="n"/>
    </row>
    <row r="744" ht="21" customFormat="1" customHeight="1" s="127">
      <c r="A744" s="51">
        <f>IF($B744="","",ROW()-6)</f>
        <v/>
      </c>
      <c r="B744" s="268" t="n"/>
      <c r="C744" s="133" t="n"/>
      <c r="D744" s="50" t="n"/>
      <c r="E744" s="265" t="n"/>
      <c r="F744" s="133" t="n"/>
      <c r="G744" s="133" t="n"/>
      <c r="H744" s="50" t="n"/>
      <c r="I744" s="51">
        <f>IF($C744="","",IFERROR(INDEX(WorkerIDs,MATCH($C744,WorkerNames,0)),"?"))</f>
        <v/>
      </c>
      <c r="J744" s="253">
        <f>IF($B744="","",$B744-WEEKDAY($B744,2)+1)</f>
        <v/>
      </c>
      <c r="K744" s="142">
        <f>IF(OR($I744="",$I744="?",$D744&lt;&gt;"Advance",$B744=""),"",$I744&amp;"|"&amp;$J744&amp;"|"&amp;COUNTIFS($I$7:$I744,$I744,$J$7:$J744,$J744,$D$7:$D744,"Advance"))</f>
        <v/>
      </c>
      <c r="L744" s="266">
        <f>IF(OR($I744="",$I744="?",$B744=""),"",SUMPRODUCT((Weeks!$A$7:$A$59&lt;=$J744)*(Weeks!$X$5:$AI$5=$I744)*Weeks!$X$7:$AI$59)-SUMIFS($E$7:$E$1006,$I$7:$I$1006,$I744,$B$7:$B$1006,"&lt;="&amp;$B744))</f>
        <v/>
      </c>
      <c r="M744" s="132">
        <f>IF($B744&amp;$C744&amp;$D744&amp;$E744="","",IF($B744="","missing date",IF($C744="","missing worker",IF($I744="?","unknown worker - was the name changed on Workers?",IF($D744="","missing type",IF(N($E744)=0,"missing amount",IF(AND($E744&lt;0,$D744&lt;&gt;"Correction"),"negative amount - use a Correction to undo",IF(OR($B744&lt;Weeks!$A$7,$B744&gt;Weeks!$B$59),"date outside this workbook's year",IF(AND($D744="Advance",N($L744)&lt;0),"Warning: more than earned so far - worker now owes "&amp;TEXT(ROUND(-$L744,0),"#,##0"),"")))))))))</f>
        <v/>
      </c>
      <c r="N744" s="125" t="n"/>
      <c r="O744" s="126" t="n"/>
      <c r="P744" s="126" t="n"/>
      <c r="Q744" s="126" t="n"/>
      <c r="R744" s="126" t="n"/>
      <c r="S744" s="126" t="n"/>
      <c r="T744" s="126" t="n"/>
      <c r="U744" s="126" t="n"/>
      <c r="V744" s="126" t="n"/>
      <c r="W744" s="126" t="n"/>
      <c r="X744" s="126" t="n"/>
      <c r="Y744" s="126" t="n"/>
      <c r="Z744" s="126" t="n"/>
      <c r="AA744" s="126" t="n"/>
      <c r="AB744" s="126" t="n"/>
      <c r="AC744" s="126" t="n"/>
      <c r="AD744" s="126" t="n"/>
      <c r="AE744" s="126" t="n"/>
      <c r="AF744" s="126" t="n"/>
      <c r="AG744" s="126" t="n"/>
      <c r="AH744" s="126" t="n"/>
      <c r="AI744" s="126" t="n"/>
      <c r="AJ744" s="126" t="n"/>
      <c r="AK744" s="126" t="n"/>
      <c r="AL744" s="126" t="n"/>
      <c r="AM744" s="126" t="n"/>
      <c r="AN744" s="126" t="n"/>
    </row>
    <row r="745" ht="21" customFormat="1" customHeight="1" s="127">
      <c r="A745" s="51">
        <f>IF($B745="","",ROW()-6)</f>
        <v/>
      </c>
      <c r="B745" s="268" t="n"/>
      <c r="C745" s="133" t="n"/>
      <c r="D745" s="50" t="n"/>
      <c r="E745" s="265" t="n"/>
      <c r="F745" s="133" t="n"/>
      <c r="G745" s="133" t="n"/>
      <c r="H745" s="50" t="n"/>
      <c r="I745" s="51">
        <f>IF($C745="","",IFERROR(INDEX(WorkerIDs,MATCH($C745,WorkerNames,0)),"?"))</f>
        <v/>
      </c>
      <c r="J745" s="253">
        <f>IF($B745="","",$B745-WEEKDAY($B745,2)+1)</f>
        <v/>
      </c>
      <c r="K745" s="142">
        <f>IF(OR($I745="",$I745="?",$D745&lt;&gt;"Advance",$B745=""),"",$I745&amp;"|"&amp;$J745&amp;"|"&amp;COUNTIFS($I$7:$I745,$I745,$J$7:$J745,$J745,$D$7:$D745,"Advance"))</f>
        <v/>
      </c>
      <c r="L745" s="266">
        <f>IF(OR($I745="",$I745="?",$B745=""),"",SUMPRODUCT((Weeks!$A$7:$A$59&lt;=$J745)*(Weeks!$X$5:$AI$5=$I745)*Weeks!$X$7:$AI$59)-SUMIFS($E$7:$E$1006,$I$7:$I$1006,$I745,$B$7:$B$1006,"&lt;="&amp;$B745))</f>
        <v/>
      </c>
      <c r="M745" s="132">
        <f>IF($B745&amp;$C745&amp;$D745&amp;$E745="","",IF($B745="","missing date",IF($C745="","missing worker",IF($I745="?","unknown worker - was the name changed on Workers?",IF($D745="","missing type",IF(N($E745)=0,"missing amount",IF(AND($E745&lt;0,$D745&lt;&gt;"Correction"),"negative amount - use a Correction to undo",IF(OR($B745&lt;Weeks!$A$7,$B745&gt;Weeks!$B$59),"date outside this workbook's year",IF(AND($D745="Advance",N($L745)&lt;0),"Warning: more than earned so far - worker now owes "&amp;TEXT(ROUND(-$L745,0),"#,##0"),"")))))))))</f>
        <v/>
      </c>
      <c r="N745" s="125" t="n"/>
      <c r="O745" s="126" t="n"/>
      <c r="P745" s="126" t="n"/>
      <c r="Q745" s="126" t="n"/>
      <c r="R745" s="126" t="n"/>
      <c r="S745" s="126" t="n"/>
      <c r="T745" s="126" t="n"/>
      <c r="U745" s="126" t="n"/>
      <c r="V745" s="126" t="n"/>
      <c r="W745" s="126" t="n"/>
      <c r="X745" s="126" t="n"/>
      <c r="Y745" s="126" t="n"/>
      <c r="Z745" s="126" t="n"/>
      <c r="AA745" s="126" t="n"/>
      <c r="AB745" s="126" t="n"/>
      <c r="AC745" s="126" t="n"/>
      <c r="AD745" s="126" t="n"/>
      <c r="AE745" s="126" t="n"/>
      <c r="AF745" s="126" t="n"/>
      <c r="AG745" s="126" t="n"/>
      <c r="AH745" s="126" t="n"/>
      <c r="AI745" s="126" t="n"/>
      <c r="AJ745" s="126" t="n"/>
      <c r="AK745" s="126" t="n"/>
      <c r="AL745" s="126" t="n"/>
      <c r="AM745" s="126" t="n"/>
      <c r="AN745" s="126" t="n"/>
    </row>
    <row r="746" ht="21" customFormat="1" customHeight="1" s="127">
      <c r="A746" s="51">
        <f>IF($B746="","",ROW()-6)</f>
        <v/>
      </c>
      <c r="B746" s="268" t="n"/>
      <c r="C746" s="133" t="n"/>
      <c r="D746" s="50" t="n"/>
      <c r="E746" s="265" t="n"/>
      <c r="F746" s="133" t="n"/>
      <c r="G746" s="133" t="n"/>
      <c r="H746" s="50" t="n"/>
      <c r="I746" s="51">
        <f>IF($C746="","",IFERROR(INDEX(WorkerIDs,MATCH($C746,WorkerNames,0)),"?"))</f>
        <v/>
      </c>
      <c r="J746" s="253">
        <f>IF($B746="","",$B746-WEEKDAY($B746,2)+1)</f>
        <v/>
      </c>
      <c r="K746" s="142">
        <f>IF(OR($I746="",$I746="?",$D746&lt;&gt;"Advance",$B746=""),"",$I746&amp;"|"&amp;$J746&amp;"|"&amp;COUNTIFS($I$7:$I746,$I746,$J$7:$J746,$J746,$D$7:$D746,"Advance"))</f>
        <v/>
      </c>
      <c r="L746" s="266">
        <f>IF(OR($I746="",$I746="?",$B746=""),"",SUMPRODUCT((Weeks!$A$7:$A$59&lt;=$J746)*(Weeks!$X$5:$AI$5=$I746)*Weeks!$X$7:$AI$59)-SUMIFS($E$7:$E$1006,$I$7:$I$1006,$I746,$B$7:$B$1006,"&lt;="&amp;$B746))</f>
        <v/>
      </c>
      <c r="M746" s="132">
        <f>IF($B746&amp;$C746&amp;$D746&amp;$E746="","",IF($B746="","missing date",IF($C746="","missing worker",IF($I746="?","unknown worker - was the name changed on Workers?",IF($D746="","missing type",IF(N($E746)=0,"missing amount",IF(AND($E746&lt;0,$D746&lt;&gt;"Correction"),"negative amount - use a Correction to undo",IF(OR($B746&lt;Weeks!$A$7,$B746&gt;Weeks!$B$59),"date outside this workbook's year",IF(AND($D746="Advance",N($L746)&lt;0),"Warning: more than earned so far - worker now owes "&amp;TEXT(ROUND(-$L746,0),"#,##0"),"")))))))))</f>
        <v/>
      </c>
      <c r="N746" s="125" t="n"/>
      <c r="O746" s="126" t="n"/>
      <c r="P746" s="126" t="n"/>
      <c r="Q746" s="126" t="n"/>
      <c r="R746" s="126" t="n"/>
      <c r="S746" s="126" t="n"/>
      <c r="T746" s="126" t="n"/>
      <c r="U746" s="126" t="n"/>
      <c r="V746" s="126" t="n"/>
      <c r="W746" s="126" t="n"/>
      <c r="X746" s="126" t="n"/>
      <c r="Y746" s="126" t="n"/>
      <c r="Z746" s="126" t="n"/>
      <c r="AA746" s="126" t="n"/>
      <c r="AB746" s="126" t="n"/>
      <c r="AC746" s="126" t="n"/>
      <c r="AD746" s="126" t="n"/>
      <c r="AE746" s="126" t="n"/>
      <c r="AF746" s="126" t="n"/>
      <c r="AG746" s="126" t="n"/>
      <c r="AH746" s="126" t="n"/>
      <c r="AI746" s="126" t="n"/>
      <c r="AJ746" s="126" t="n"/>
      <c r="AK746" s="126" t="n"/>
      <c r="AL746" s="126" t="n"/>
      <c r="AM746" s="126" t="n"/>
      <c r="AN746" s="126" t="n"/>
    </row>
    <row r="747" ht="21" customFormat="1" customHeight="1" s="127">
      <c r="A747" s="51">
        <f>IF($B747="","",ROW()-6)</f>
        <v/>
      </c>
      <c r="B747" s="268" t="n"/>
      <c r="C747" s="133" t="n"/>
      <c r="D747" s="50" t="n"/>
      <c r="E747" s="265" t="n"/>
      <c r="F747" s="133" t="n"/>
      <c r="G747" s="133" t="n"/>
      <c r="H747" s="50" t="n"/>
      <c r="I747" s="51">
        <f>IF($C747="","",IFERROR(INDEX(WorkerIDs,MATCH($C747,WorkerNames,0)),"?"))</f>
        <v/>
      </c>
      <c r="J747" s="253">
        <f>IF($B747="","",$B747-WEEKDAY($B747,2)+1)</f>
        <v/>
      </c>
      <c r="K747" s="142">
        <f>IF(OR($I747="",$I747="?",$D747&lt;&gt;"Advance",$B747=""),"",$I747&amp;"|"&amp;$J747&amp;"|"&amp;COUNTIFS($I$7:$I747,$I747,$J$7:$J747,$J747,$D$7:$D747,"Advance"))</f>
        <v/>
      </c>
      <c r="L747" s="266">
        <f>IF(OR($I747="",$I747="?",$B747=""),"",SUMPRODUCT((Weeks!$A$7:$A$59&lt;=$J747)*(Weeks!$X$5:$AI$5=$I747)*Weeks!$X$7:$AI$59)-SUMIFS($E$7:$E$1006,$I$7:$I$1006,$I747,$B$7:$B$1006,"&lt;="&amp;$B747))</f>
        <v/>
      </c>
      <c r="M747" s="132">
        <f>IF($B747&amp;$C747&amp;$D747&amp;$E747="","",IF($B747="","missing date",IF($C747="","missing worker",IF($I747="?","unknown worker - was the name changed on Workers?",IF($D747="","missing type",IF(N($E747)=0,"missing amount",IF(AND($E747&lt;0,$D747&lt;&gt;"Correction"),"negative amount - use a Correction to undo",IF(OR($B747&lt;Weeks!$A$7,$B747&gt;Weeks!$B$59),"date outside this workbook's year",IF(AND($D747="Advance",N($L747)&lt;0),"Warning: more than earned so far - worker now owes "&amp;TEXT(ROUND(-$L747,0),"#,##0"),"")))))))))</f>
        <v/>
      </c>
      <c r="N747" s="125" t="n"/>
      <c r="O747" s="126" t="n"/>
      <c r="P747" s="126" t="n"/>
      <c r="Q747" s="126" t="n"/>
      <c r="R747" s="126" t="n"/>
      <c r="S747" s="126" t="n"/>
      <c r="T747" s="126" t="n"/>
      <c r="U747" s="126" t="n"/>
      <c r="V747" s="126" t="n"/>
      <c r="W747" s="126" t="n"/>
      <c r="X747" s="126" t="n"/>
      <c r="Y747" s="126" t="n"/>
      <c r="Z747" s="126" t="n"/>
      <c r="AA747" s="126" t="n"/>
      <c r="AB747" s="126" t="n"/>
      <c r="AC747" s="126" t="n"/>
      <c r="AD747" s="126" t="n"/>
      <c r="AE747" s="126" t="n"/>
      <c r="AF747" s="126" t="n"/>
      <c r="AG747" s="126" t="n"/>
      <c r="AH747" s="126" t="n"/>
      <c r="AI747" s="126" t="n"/>
      <c r="AJ747" s="126" t="n"/>
      <c r="AK747" s="126" t="n"/>
      <c r="AL747" s="126" t="n"/>
      <c r="AM747" s="126" t="n"/>
      <c r="AN747" s="126" t="n"/>
    </row>
    <row r="748" ht="21" customFormat="1" customHeight="1" s="127">
      <c r="A748" s="51">
        <f>IF($B748="","",ROW()-6)</f>
        <v/>
      </c>
      <c r="B748" s="268" t="n"/>
      <c r="C748" s="133" t="n"/>
      <c r="D748" s="50" t="n"/>
      <c r="E748" s="265" t="n"/>
      <c r="F748" s="133" t="n"/>
      <c r="G748" s="133" t="n"/>
      <c r="H748" s="50" t="n"/>
      <c r="I748" s="51">
        <f>IF($C748="","",IFERROR(INDEX(WorkerIDs,MATCH($C748,WorkerNames,0)),"?"))</f>
        <v/>
      </c>
      <c r="J748" s="253">
        <f>IF($B748="","",$B748-WEEKDAY($B748,2)+1)</f>
        <v/>
      </c>
      <c r="K748" s="142">
        <f>IF(OR($I748="",$I748="?",$D748&lt;&gt;"Advance",$B748=""),"",$I748&amp;"|"&amp;$J748&amp;"|"&amp;COUNTIFS($I$7:$I748,$I748,$J$7:$J748,$J748,$D$7:$D748,"Advance"))</f>
        <v/>
      </c>
      <c r="L748" s="266">
        <f>IF(OR($I748="",$I748="?",$B748=""),"",SUMPRODUCT((Weeks!$A$7:$A$59&lt;=$J748)*(Weeks!$X$5:$AI$5=$I748)*Weeks!$X$7:$AI$59)-SUMIFS($E$7:$E$1006,$I$7:$I$1006,$I748,$B$7:$B$1006,"&lt;="&amp;$B748))</f>
        <v/>
      </c>
      <c r="M748" s="132">
        <f>IF($B748&amp;$C748&amp;$D748&amp;$E748="","",IF($B748="","missing date",IF($C748="","missing worker",IF($I748="?","unknown worker - was the name changed on Workers?",IF($D748="","missing type",IF(N($E748)=0,"missing amount",IF(AND($E748&lt;0,$D748&lt;&gt;"Correction"),"negative amount - use a Correction to undo",IF(OR($B748&lt;Weeks!$A$7,$B748&gt;Weeks!$B$59),"date outside this workbook's year",IF(AND($D748="Advance",N($L748)&lt;0),"Warning: more than earned so far - worker now owes "&amp;TEXT(ROUND(-$L748,0),"#,##0"),"")))))))))</f>
        <v/>
      </c>
      <c r="N748" s="125" t="n"/>
      <c r="O748" s="126" t="n"/>
      <c r="P748" s="126" t="n"/>
      <c r="Q748" s="126" t="n"/>
      <c r="R748" s="126" t="n"/>
      <c r="S748" s="126" t="n"/>
      <c r="T748" s="126" t="n"/>
      <c r="U748" s="126" t="n"/>
      <c r="V748" s="126" t="n"/>
      <c r="W748" s="126" t="n"/>
      <c r="X748" s="126" t="n"/>
      <c r="Y748" s="126" t="n"/>
      <c r="Z748" s="126" t="n"/>
      <c r="AA748" s="126" t="n"/>
      <c r="AB748" s="126" t="n"/>
      <c r="AC748" s="126" t="n"/>
      <c r="AD748" s="126" t="n"/>
      <c r="AE748" s="126" t="n"/>
      <c r="AF748" s="126" t="n"/>
      <c r="AG748" s="126" t="n"/>
      <c r="AH748" s="126" t="n"/>
      <c r="AI748" s="126" t="n"/>
      <c r="AJ748" s="126" t="n"/>
      <c r="AK748" s="126" t="n"/>
      <c r="AL748" s="126" t="n"/>
      <c r="AM748" s="126" t="n"/>
      <c r="AN748" s="126" t="n"/>
    </row>
    <row r="749" ht="21" customFormat="1" customHeight="1" s="127">
      <c r="A749" s="51">
        <f>IF($B749="","",ROW()-6)</f>
        <v/>
      </c>
      <c r="B749" s="268" t="n"/>
      <c r="C749" s="133" t="n"/>
      <c r="D749" s="50" t="n"/>
      <c r="E749" s="265" t="n"/>
      <c r="F749" s="133" t="n"/>
      <c r="G749" s="133" t="n"/>
      <c r="H749" s="50" t="n"/>
      <c r="I749" s="51">
        <f>IF($C749="","",IFERROR(INDEX(WorkerIDs,MATCH($C749,WorkerNames,0)),"?"))</f>
        <v/>
      </c>
      <c r="J749" s="253">
        <f>IF($B749="","",$B749-WEEKDAY($B749,2)+1)</f>
        <v/>
      </c>
      <c r="K749" s="142">
        <f>IF(OR($I749="",$I749="?",$D749&lt;&gt;"Advance",$B749=""),"",$I749&amp;"|"&amp;$J749&amp;"|"&amp;COUNTIFS($I$7:$I749,$I749,$J$7:$J749,$J749,$D$7:$D749,"Advance"))</f>
        <v/>
      </c>
      <c r="L749" s="266">
        <f>IF(OR($I749="",$I749="?",$B749=""),"",SUMPRODUCT((Weeks!$A$7:$A$59&lt;=$J749)*(Weeks!$X$5:$AI$5=$I749)*Weeks!$X$7:$AI$59)-SUMIFS($E$7:$E$1006,$I$7:$I$1006,$I749,$B$7:$B$1006,"&lt;="&amp;$B749))</f>
        <v/>
      </c>
      <c r="M749" s="132">
        <f>IF($B749&amp;$C749&amp;$D749&amp;$E749="","",IF($B749="","missing date",IF($C749="","missing worker",IF($I749="?","unknown worker - was the name changed on Workers?",IF($D749="","missing type",IF(N($E749)=0,"missing amount",IF(AND($E749&lt;0,$D749&lt;&gt;"Correction"),"negative amount - use a Correction to undo",IF(OR($B749&lt;Weeks!$A$7,$B749&gt;Weeks!$B$59),"date outside this workbook's year",IF(AND($D749="Advance",N($L749)&lt;0),"Warning: more than earned so far - worker now owes "&amp;TEXT(ROUND(-$L749,0),"#,##0"),"")))))))))</f>
        <v/>
      </c>
      <c r="N749" s="125" t="n"/>
      <c r="O749" s="126" t="n"/>
      <c r="P749" s="126" t="n"/>
      <c r="Q749" s="126" t="n"/>
      <c r="R749" s="126" t="n"/>
      <c r="S749" s="126" t="n"/>
      <c r="T749" s="126" t="n"/>
      <c r="U749" s="126" t="n"/>
      <c r="V749" s="126" t="n"/>
      <c r="W749" s="126" t="n"/>
      <c r="X749" s="126" t="n"/>
      <c r="Y749" s="126" t="n"/>
      <c r="Z749" s="126" t="n"/>
      <c r="AA749" s="126" t="n"/>
      <c r="AB749" s="126" t="n"/>
      <c r="AC749" s="126" t="n"/>
      <c r="AD749" s="126" t="n"/>
      <c r="AE749" s="126" t="n"/>
      <c r="AF749" s="126" t="n"/>
      <c r="AG749" s="126" t="n"/>
      <c r="AH749" s="126" t="n"/>
      <c r="AI749" s="126" t="n"/>
      <c r="AJ749" s="126" t="n"/>
      <c r="AK749" s="126" t="n"/>
      <c r="AL749" s="126" t="n"/>
      <c r="AM749" s="126" t="n"/>
      <c r="AN749" s="126" t="n"/>
    </row>
    <row r="750" ht="21" customFormat="1" customHeight="1" s="127">
      <c r="A750" s="51">
        <f>IF($B750="","",ROW()-6)</f>
        <v/>
      </c>
      <c r="B750" s="268" t="n"/>
      <c r="C750" s="133" t="n"/>
      <c r="D750" s="50" t="n"/>
      <c r="E750" s="265" t="n"/>
      <c r="F750" s="133" t="n"/>
      <c r="G750" s="133" t="n"/>
      <c r="H750" s="50" t="n"/>
      <c r="I750" s="51">
        <f>IF($C750="","",IFERROR(INDEX(WorkerIDs,MATCH($C750,WorkerNames,0)),"?"))</f>
        <v/>
      </c>
      <c r="J750" s="253">
        <f>IF($B750="","",$B750-WEEKDAY($B750,2)+1)</f>
        <v/>
      </c>
      <c r="K750" s="142">
        <f>IF(OR($I750="",$I750="?",$D750&lt;&gt;"Advance",$B750=""),"",$I750&amp;"|"&amp;$J750&amp;"|"&amp;COUNTIFS($I$7:$I750,$I750,$J$7:$J750,$J750,$D$7:$D750,"Advance"))</f>
        <v/>
      </c>
      <c r="L750" s="266">
        <f>IF(OR($I750="",$I750="?",$B750=""),"",SUMPRODUCT((Weeks!$A$7:$A$59&lt;=$J750)*(Weeks!$X$5:$AI$5=$I750)*Weeks!$X$7:$AI$59)-SUMIFS($E$7:$E$1006,$I$7:$I$1006,$I750,$B$7:$B$1006,"&lt;="&amp;$B750))</f>
        <v/>
      </c>
      <c r="M750" s="132">
        <f>IF($B750&amp;$C750&amp;$D750&amp;$E750="","",IF($B750="","missing date",IF($C750="","missing worker",IF($I750="?","unknown worker - was the name changed on Workers?",IF($D750="","missing type",IF(N($E750)=0,"missing amount",IF(AND($E750&lt;0,$D750&lt;&gt;"Correction"),"negative amount - use a Correction to undo",IF(OR($B750&lt;Weeks!$A$7,$B750&gt;Weeks!$B$59),"date outside this workbook's year",IF(AND($D750="Advance",N($L750)&lt;0),"Warning: more than earned so far - worker now owes "&amp;TEXT(ROUND(-$L750,0),"#,##0"),"")))))))))</f>
        <v/>
      </c>
      <c r="N750" s="125" t="n"/>
      <c r="O750" s="126" t="n"/>
      <c r="P750" s="126" t="n"/>
      <c r="Q750" s="126" t="n"/>
      <c r="R750" s="126" t="n"/>
      <c r="S750" s="126" t="n"/>
      <c r="T750" s="126" t="n"/>
      <c r="U750" s="126" t="n"/>
      <c r="V750" s="126" t="n"/>
      <c r="W750" s="126" t="n"/>
      <c r="X750" s="126" t="n"/>
      <c r="Y750" s="126" t="n"/>
      <c r="Z750" s="126" t="n"/>
      <c r="AA750" s="126" t="n"/>
      <c r="AB750" s="126" t="n"/>
      <c r="AC750" s="126" t="n"/>
      <c r="AD750" s="126" t="n"/>
      <c r="AE750" s="126" t="n"/>
      <c r="AF750" s="126" t="n"/>
      <c r="AG750" s="126" t="n"/>
      <c r="AH750" s="126" t="n"/>
      <c r="AI750" s="126" t="n"/>
      <c r="AJ750" s="126" t="n"/>
      <c r="AK750" s="126" t="n"/>
      <c r="AL750" s="126" t="n"/>
      <c r="AM750" s="126" t="n"/>
      <c r="AN750" s="126" t="n"/>
    </row>
    <row r="751" ht="21" customFormat="1" customHeight="1" s="127">
      <c r="A751" s="51">
        <f>IF($B751="","",ROW()-6)</f>
        <v/>
      </c>
      <c r="B751" s="268" t="n"/>
      <c r="C751" s="133" t="n"/>
      <c r="D751" s="50" t="n"/>
      <c r="E751" s="265" t="n"/>
      <c r="F751" s="133" t="n"/>
      <c r="G751" s="133" t="n"/>
      <c r="H751" s="50" t="n"/>
      <c r="I751" s="51">
        <f>IF($C751="","",IFERROR(INDEX(WorkerIDs,MATCH($C751,WorkerNames,0)),"?"))</f>
        <v/>
      </c>
      <c r="J751" s="253">
        <f>IF($B751="","",$B751-WEEKDAY($B751,2)+1)</f>
        <v/>
      </c>
      <c r="K751" s="142">
        <f>IF(OR($I751="",$I751="?",$D751&lt;&gt;"Advance",$B751=""),"",$I751&amp;"|"&amp;$J751&amp;"|"&amp;COUNTIFS($I$7:$I751,$I751,$J$7:$J751,$J751,$D$7:$D751,"Advance"))</f>
        <v/>
      </c>
      <c r="L751" s="266">
        <f>IF(OR($I751="",$I751="?",$B751=""),"",SUMPRODUCT((Weeks!$A$7:$A$59&lt;=$J751)*(Weeks!$X$5:$AI$5=$I751)*Weeks!$X$7:$AI$59)-SUMIFS($E$7:$E$1006,$I$7:$I$1006,$I751,$B$7:$B$1006,"&lt;="&amp;$B751))</f>
        <v/>
      </c>
      <c r="M751" s="132">
        <f>IF($B751&amp;$C751&amp;$D751&amp;$E751="","",IF($B751="","missing date",IF($C751="","missing worker",IF($I751="?","unknown worker - was the name changed on Workers?",IF($D751="","missing type",IF(N($E751)=0,"missing amount",IF(AND($E751&lt;0,$D751&lt;&gt;"Correction"),"negative amount - use a Correction to undo",IF(OR($B751&lt;Weeks!$A$7,$B751&gt;Weeks!$B$59),"date outside this workbook's year",IF(AND($D751="Advance",N($L751)&lt;0),"Warning: more than earned so far - worker now owes "&amp;TEXT(ROUND(-$L751,0),"#,##0"),"")))))))))</f>
        <v/>
      </c>
      <c r="N751" s="125" t="n"/>
      <c r="O751" s="126" t="n"/>
      <c r="P751" s="126" t="n"/>
      <c r="Q751" s="126" t="n"/>
      <c r="R751" s="126" t="n"/>
      <c r="S751" s="126" t="n"/>
      <c r="T751" s="126" t="n"/>
      <c r="U751" s="126" t="n"/>
      <c r="V751" s="126" t="n"/>
      <c r="W751" s="126" t="n"/>
      <c r="X751" s="126" t="n"/>
      <c r="Y751" s="126" t="n"/>
      <c r="Z751" s="126" t="n"/>
      <c r="AA751" s="126" t="n"/>
      <c r="AB751" s="126" t="n"/>
      <c r="AC751" s="126" t="n"/>
      <c r="AD751" s="126" t="n"/>
      <c r="AE751" s="126" t="n"/>
      <c r="AF751" s="126" t="n"/>
      <c r="AG751" s="126" t="n"/>
      <c r="AH751" s="126" t="n"/>
      <c r="AI751" s="126" t="n"/>
      <c r="AJ751" s="126" t="n"/>
      <c r="AK751" s="126" t="n"/>
      <c r="AL751" s="126" t="n"/>
      <c r="AM751" s="126" t="n"/>
      <c r="AN751" s="126" t="n"/>
    </row>
    <row r="752" ht="21" customFormat="1" customHeight="1" s="127">
      <c r="A752" s="51">
        <f>IF($B752="","",ROW()-6)</f>
        <v/>
      </c>
      <c r="B752" s="268" t="n"/>
      <c r="C752" s="133" t="n"/>
      <c r="D752" s="50" t="n"/>
      <c r="E752" s="265" t="n"/>
      <c r="F752" s="133" t="n"/>
      <c r="G752" s="133" t="n"/>
      <c r="H752" s="50" t="n"/>
      <c r="I752" s="51">
        <f>IF($C752="","",IFERROR(INDEX(WorkerIDs,MATCH($C752,WorkerNames,0)),"?"))</f>
        <v/>
      </c>
      <c r="J752" s="253">
        <f>IF($B752="","",$B752-WEEKDAY($B752,2)+1)</f>
        <v/>
      </c>
      <c r="K752" s="142">
        <f>IF(OR($I752="",$I752="?",$D752&lt;&gt;"Advance",$B752=""),"",$I752&amp;"|"&amp;$J752&amp;"|"&amp;COUNTIFS($I$7:$I752,$I752,$J$7:$J752,$J752,$D$7:$D752,"Advance"))</f>
        <v/>
      </c>
      <c r="L752" s="266">
        <f>IF(OR($I752="",$I752="?",$B752=""),"",SUMPRODUCT((Weeks!$A$7:$A$59&lt;=$J752)*(Weeks!$X$5:$AI$5=$I752)*Weeks!$X$7:$AI$59)-SUMIFS($E$7:$E$1006,$I$7:$I$1006,$I752,$B$7:$B$1006,"&lt;="&amp;$B752))</f>
        <v/>
      </c>
      <c r="M752" s="132">
        <f>IF($B752&amp;$C752&amp;$D752&amp;$E752="","",IF($B752="","missing date",IF($C752="","missing worker",IF($I752="?","unknown worker - was the name changed on Workers?",IF($D752="","missing type",IF(N($E752)=0,"missing amount",IF(AND($E752&lt;0,$D752&lt;&gt;"Correction"),"negative amount - use a Correction to undo",IF(OR($B752&lt;Weeks!$A$7,$B752&gt;Weeks!$B$59),"date outside this workbook's year",IF(AND($D752="Advance",N($L752)&lt;0),"Warning: more than earned so far - worker now owes "&amp;TEXT(ROUND(-$L752,0),"#,##0"),"")))))))))</f>
        <v/>
      </c>
      <c r="N752" s="125" t="n"/>
      <c r="O752" s="126" t="n"/>
      <c r="P752" s="126" t="n"/>
      <c r="Q752" s="126" t="n"/>
      <c r="R752" s="126" t="n"/>
      <c r="S752" s="126" t="n"/>
      <c r="T752" s="126" t="n"/>
      <c r="U752" s="126" t="n"/>
      <c r="V752" s="126" t="n"/>
      <c r="W752" s="126" t="n"/>
      <c r="X752" s="126" t="n"/>
      <c r="Y752" s="126" t="n"/>
      <c r="Z752" s="126" t="n"/>
      <c r="AA752" s="126" t="n"/>
      <c r="AB752" s="126" t="n"/>
      <c r="AC752" s="126" t="n"/>
      <c r="AD752" s="126" t="n"/>
      <c r="AE752" s="126" t="n"/>
      <c r="AF752" s="126" t="n"/>
      <c r="AG752" s="126" t="n"/>
      <c r="AH752" s="126" t="n"/>
      <c r="AI752" s="126" t="n"/>
      <c r="AJ752" s="126" t="n"/>
      <c r="AK752" s="126" t="n"/>
      <c r="AL752" s="126" t="n"/>
      <c r="AM752" s="126" t="n"/>
      <c r="AN752" s="126" t="n"/>
    </row>
    <row r="753" ht="21" customFormat="1" customHeight="1" s="127">
      <c r="A753" s="51">
        <f>IF($B753="","",ROW()-6)</f>
        <v/>
      </c>
      <c r="B753" s="268" t="n"/>
      <c r="C753" s="133" t="n"/>
      <c r="D753" s="50" t="n"/>
      <c r="E753" s="265" t="n"/>
      <c r="F753" s="133" t="n"/>
      <c r="G753" s="133" t="n"/>
      <c r="H753" s="50" t="n"/>
      <c r="I753" s="51">
        <f>IF($C753="","",IFERROR(INDEX(WorkerIDs,MATCH($C753,WorkerNames,0)),"?"))</f>
        <v/>
      </c>
      <c r="J753" s="253">
        <f>IF($B753="","",$B753-WEEKDAY($B753,2)+1)</f>
        <v/>
      </c>
      <c r="K753" s="142">
        <f>IF(OR($I753="",$I753="?",$D753&lt;&gt;"Advance",$B753=""),"",$I753&amp;"|"&amp;$J753&amp;"|"&amp;COUNTIFS($I$7:$I753,$I753,$J$7:$J753,$J753,$D$7:$D753,"Advance"))</f>
        <v/>
      </c>
      <c r="L753" s="266">
        <f>IF(OR($I753="",$I753="?",$B753=""),"",SUMPRODUCT((Weeks!$A$7:$A$59&lt;=$J753)*(Weeks!$X$5:$AI$5=$I753)*Weeks!$X$7:$AI$59)-SUMIFS($E$7:$E$1006,$I$7:$I$1006,$I753,$B$7:$B$1006,"&lt;="&amp;$B753))</f>
        <v/>
      </c>
      <c r="M753" s="132">
        <f>IF($B753&amp;$C753&amp;$D753&amp;$E753="","",IF($B753="","missing date",IF($C753="","missing worker",IF($I753="?","unknown worker - was the name changed on Workers?",IF($D753="","missing type",IF(N($E753)=0,"missing amount",IF(AND($E753&lt;0,$D753&lt;&gt;"Correction"),"negative amount - use a Correction to undo",IF(OR($B753&lt;Weeks!$A$7,$B753&gt;Weeks!$B$59),"date outside this workbook's year",IF(AND($D753="Advance",N($L753)&lt;0),"Warning: more than earned so far - worker now owes "&amp;TEXT(ROUND(-$L753,0),"#,##0"),"")))))))))</f>
        <v/>
      </c>
      <c r="N753" s="125" t="n"/>
      <c r="O753" s="126" t="n"/>
      <c r="P753" s="126" t="n"/>
      <c r="Q753" s="126" t="n"/>
      <c r="R753" s="126" t="n"/>
      <c r="S753" s="126" t="n"/>
      <c r="T753" s="126" t="n"/>
      <c r="U753" s="126" t="n"/>
      <c r="V753" s="126" t="n"/>
      <c r="W753" s="126" t="n"/>
      <c r="X753" s="126" t="n"/>
      <c r="Y753" s="126" t="n"/>
      <c r="Z753" s="126" t="n"/>
      <c r="AA753" s="126" t="n"/>
      <c r="AB753" s="126" t="n"/>
      <c r="AC753" s="126" t="n"/>
      <c r="AD753" s="126" t="n"/>
      <c r="AE753" s="126" t="n"/>
      <c r="AF753" s="126" t="n"/>
      <c r="AG753" s="126" t="n"/>
      <c r="AH753" s="126" t="n"/>
      <c r="AI753" s="126" t="n"/>
      <c r="AJ753" s="126" t="n"/>
      <c r="AK753" s="126" t="n"/>
      <c r="AL753" s="126" t="n"/>
      <c r="AM753" s="126" t="n"/>
      <c r="AN753" s="126" t="n"/>
    </row>
    <row r="754" ht="21" customFormat="1" customHeight="1" s="127">
      <c r="A754" s="51">
        <f>IF($B754="","",ROW()-6)</f>
        <v/>
      </c>
      <c r="B754" s="268" t="n"/>
      <c r="C754" s="133" t="n"/>
      <c r="D754" s="50" t="n"/>
      <c r="E754" s="265" t="n"/>
      <c r="F754" s="133" t="n"/>
      <c r="G754" s="133" t="n"/>
      <c r="H754" s="50" t="n"/>
      <c r="I754" s="51">
        <f>IF($C754="","",IFERROR(INDEX(WorkerIDs,MATCH($C754,WorkerNames,0)),"?"))</f>
        <v/>
      </c>
      <c r="J754" s="253">
        <f>IF($B754="","",$B754-WEEKDAY($B754,2)+1)</f>
        <v/>
      </c>
      <c r="K754" s="142">
        <f>IF(OR($I754="",$I754="?",$D754&lt;&gt;"Advance",$B754=""),"",$I754&amp;"|"&amp;$J754&amp;"|"&amp;COUNTIFS($I$7:$I754,$I754,$J$7:$J754,$J754,$D$7:$D754,"Advance"))</f>
        <v/>
      </c>
      <c r="L754" s="266">
        <f>IF(OR($I754="",$I754="?",$B754=""),"",SUMPRODUCT((Weeks!$A$7:$A$59&lt;=$J754)*(Weeks!$X$5:$AI$5=$I754)*Weeks!$X$7:$AI$59)-SUMIFS($E$7:$E$1006,$I$7:$I$1006,$I754,$B$7:$B$1006,"&lt;="&amp;$B754))</f>
        <v/>
      </c>
      <c r="M754" s="132">
        <f>IF($B754&amp;$C754&amp;$D754&amp;$E754="","",IF($B754="","missing date",IF($C754="","missing worker",IF($I754="?","unknown worker - was the name changed on Workers?",IF($D754="","missing type",IF(N($E754)=0,"missing amount",IF(AND($E754&lt;0,$D754&lt;&gt;"Correction"),"negative amount - use a Correction to undo",IF(OR($B754&lt;Weeks!$A$7,$B754&gt;Weeks!$B$59),"date outside this workbook's year",IF(AND($D754="Advance",N($L754)&lt;0),"Warning: more than earned so far - worker now owes "&amp;TEXT(ROUND(-$L754,0),"#,##0"),"")))))))))</f>
        <v/>
      </c>
      <c r="N754" s="125" t="n"/>
      <c r="O754" s="126" t="n"/>
      <c r="P754" s="126" t="n"/>
      <c r="Q754" s="126" t="n"/>
      <c r="R754" s="126" t="n"/>
      <c r="S754" s="126" t="n"/>
      <c r="T754" s="126" t="n"/>
      <c r="U754" s="126" t="n"/>
      <c r="V754" s="126" t="n"/>
      <c r="W754" s="126" t="n"/>
      <c r="X754" s="126" t="n"/>
      <c r="Y754" s="126" t="n"/>
      <c r="Z754" s="126" t="n"/>
      <c r="AA754" s="126" t="n"/>
      <c r="AB754" s="126" t="n"/>
      <c r="AC754" s="126" t="n"/>
      <c r="AD754" s="126" t="n"/>
      <c r="AE754" s="126" t="n"/>
      <c r="AF754" s="126" t="n"/>
      <c r="AG754" s="126" t="n"/>
      <c r="AH754" s="126" t="n"/>
      <c r="AI754" s="126" t="n"/>
      <c r="AJ754" s="126" t="n"/>
      <c r="AK754" s="126" t="n"/>
      <c r="AL754" s="126" t="n"/>
      <c r="AM754" s="126" t="n"/>
      <c r="AN754" s="126" t="n"/>
    </row>
    <row r="755" ht="21" customFormat="1" customHeight="1" s="127">
      <c r="A755" s="51">
        <f>IF($B755="","",ROW()-6)</f>
        <v/>
      </c>
      <c r="B755" s="268" t="n"/>
      <c r="C755" s="133" t="n"/>
      <c r="D755" s="50" t="n"/>
      <c r="E755" s="265" t="n"/>
      <c r="F755" s="133" t="n"/>
      <c r="G755" s="133" t="n"/>
      <c r="H755" s="50" t="n"/>
      <c r="I755" s="51">
        <f>IF($C755="","",IFERROR(INDEX(WorkerIDs,MATCH($C755,WorkerNames,0)),"?"))</f>
        <v/>
      </c>
      <c r="J755" s="253">
        <f>IF($B755="","",$B755-WEEKDAY($B755,2)+1)</f>
        <v/>
      </c>
      <c r="K755" s="142">
        <f>IF(OR($I755="",$I755="?",$D755&lt;&gt;"Advance",$B755=""),"",$I755&amp;"|"&amp;$J755&amp;"|"&amp;COUNTIFS($I$7:$I755,$I755,$J$7:$J755,$J755,$D$7:$D755,"Advance"))</f>
        <v/>
      </c>
      <c r="L755" s="266">
        <f>IF(OR($I755="",$I755="?",$B755=""),"",SUMPRODUCT((Weeks!$A$7:$A$59&lt;=$J755)*(Weeks!$X$5:$AI$5=$I755)*Weeks!$X$7:$AI$59)-SUMIFS($E$7:$E$1006,$I$7:$I$1006,$I755,$B$7:$B$1006,"&lt;="&amp;$B755))</f>
        <v/>
      </c>
      <c r="M755" s="132">
        <f>IF($B755&amp;$C755&amp;$D755&amp;$E755="","",IF($B755="","missing date",IF($C755="","missing worker",IF($I755="?","unknown worker - was the name changed on Workers?",IF($D755="","missing type",IF(N($E755)=0,"missing amount",IF(AND($E755&lt;0,$D755&lt;&gt;"Correction"),"negative amount - use a Correction to undo",IF(OR($B755&lt;Weeks!$A$7,$B755&gt;Weeks!$B$59),"date outside this workbook's year",IF(AND($D755="Advance",N($L755)&lt;0),"Warning: more than earned so far - worker now owes "&amp;TEXT(ROUND(-$L755,0),"#,##0"),"")))))))))</f>
        <v/>
      </c>
      <c r="N755" s="125" t="n"/>
      <c r="O755" s="126" t="n"/>
      <c r="P755" s="126" t="n"/>
      <c r="Q755" s="126" t="n"/>
      <c r="R755" s="126" t="n"/>
      <c r="S755" s="126" t="n"/>
      <c r="T755" s="126" t="n"/>
      <c r="U755" s="126" t="n"/>
      <c r="V755" s="126" t="n"/>
      <c r="W755" s="126" t="n"/>
      <c r="X755" s="126" t="n"/>
      <c r="Y755" s="126" t="n"/>
      <c r="Z755" s="126" t="n"/>
      <c r="AA755" s="126" t="n"/>
      <c r="AB755" s="126" t="n"/>
      <c r="AC755" s="126" t="n"/>
      <c r="AD755" s="126" t="n"/>
      <c r="AE755" s="126" t="n"/>
      <c r="AF755" s="126" t="n"/>
      <c r="AG755" s="126" t="n"/>
      <c r="AH755" s="126" t="n"/>
      <c r="AI755" s="126" t="n"/>
      <c r="AJ755" s="126" t="n"/>
      <c r="AK755" s="126" t="n"/>
      <c r="AL755" s="126" t="n"/>
      <c r="AM755" s="126" t="n"/>
      <c r="AN755" s="126" t="n"/>
    </row>
    <row r="756" ht="21" customFormat="1" customHeight="1" s="127">
      <c r="A756" s="51">
        <f>IF($B756="","",ROW()-6)</f>
        <v/>
      </c>
      <c r="B756" s="268" t="n"/>
      <c r="C756" s="133" t="n"/>
      <c r="D756" s="50" t="n"/>
      <c r="E756" s="265" t="n"/>
      <c r="F756" s="133" t="n"/>
      <c r="G756" s="133" t="n"/>
      <c r="H756" s="50" t="n"/>
      <c r="I756" s="51">
        <f>IF($C756="","",IFERROR(INDEX(WorkerIDs,MATCH($C756,WorkerNames,0)),"?"))</f>
        <v/>
      </c>
      <c r="J756" s="253">
        <f>IF($B756="","",$B756-WEEKDAY($B756,2)+1)</f>
        <v/>
      </c>
      <c r="K756" s="142">
        <f>IF(OR($I756="",$I756="?",$D756&lt;&gt;"Advance",$B756=""),"",$I756&amp;"|"&amp;$J756&amp;"|"&amp;COUNTIFS($I$7:$I756,$I756,$J$7:$J756,$J756,$D$7:$D756,"Advance"))</f>
        <v/>
      </c>
      <c r="L756" s="266">
        <f>IF(OR($I756="",$I756="?",$B756=""),"",SUMPRODUCT((Weeks!$A$7:$A$59&lt;=$J756)*(Weeks!$X$5:$AI$5=$I756)*Weeks!$X$7:$AI$59)-SUMIFS($E$7:$E$1006,$I$7:$I$1006,$I756,$B$7:$B$1006,"&lt;="&amp;$B756))</f>
        <v/>
      </c>
      <c r="M756" s="132">
        <f>IF($B756&amp;$C756&amp;$D756&amp;$E756="","",IF($B756="","missing date",IF($C756="","missing worker",IF($I756="?","unknown worker - was the name changed on Workers?",IF($D756="","missing type",IF(N($E756)=0,"missing amount",IF(AND($E756&lt;0,$D756&lt;&gt;"Correction"),"negative amount - use a Correction to undo",IF(OR($B756&lt;Weeks!$A$7,$B756&gt;Weeks!$B$59),"date outside this workbook's year",IF(AND($D756="Advance",N($L756)&lt;0),"Warning: more than earned so far - worker now owes "&amp;TEXT(ROUND(-$L756,0),"#,##0"),"")))))))))</f>
        <v/>
      </c>
      <c r="N756" s="125" t="n"/>
      <c r="O756" s="126" t="n"/>
      <c r="P756" s="126" t="n"/>
      <c r="Q756" s="126" t="n"/>
      <c r="R756" s="126" t="n"/>
      <c r="S756" s="126" t="n"/>
      <c r="T756" s="126" t="n"/>
      <c r="U756" s="126" t="n"/>
      <c r="V756" s="126" t="n"/>
      <c r="W756" s="126" t="n"/>
      <c r="X756" s="126" t="n"/>
      <c r="Y756" s="126" t="n"/>
      <c r="Z756" s="126" t="n"/>
      <c r="AA756" s="126" t="n"/>
      <c r="AB756" s="126" t="n"/>
      <c r="AC756" s="126" t="n"/>
      <c r="AD756" s="126" t="n"/>
      <c r="AE756" s="126" t="n"/>
      <c r="AF756" s="126" t="n"/>
      <c r="AG756" s="126" t="n"/>
      <c r="AH756" s="126" t="n"/>
      <c r="AI756" s="126" t="n"/>
      <c r="AJ756" s="126" t="n"/>
      <c r="AK756" s="126" t="n"/>
      <c r="AL756" s="126" t="n"/>
      <c r="AM756" s="126" t="n"/>
      <c r="AN756" s="126" t="n"/>
    </row>
    <row r="757" ht="21" customFormat="1" customHeight="1" s="127">
      <c r="A757" s="51">
        <f>IF($B757="","",ROW()-6)</f>
        <v/>
      </c>
      <c r="B757" s="268" t="n"/>
      <c r="C757" s="133" t="n"/>
      <c r="D757" s="50" t="n"/>
      <c r="E757" s="265" t="n"/>
      <c r="F757" s="133" t="n"/>
      <c r="G757" s="133" t="n"/>
      <c r="H757" s="50" t="n"/>
      <c r="I757" s="51">
        <f>IF($C757="","",IFERROR(INDEX(WorkerIDs,MATCH($C757,WorkerNames,0)),"?"))</f>
        <v/>
      </c>
      <c r="J757" s="253">
        <f>IF($B757="","",$B757-WEEKDAY($B757,2)+1)</f>
        <v/>
      </c>
      <c r="K757" s="142">
        <f>IF(OR($I757="",$I757="?",$D757&lt;&gt;"Advance",$B757=""),"",$I757&amp;"|"&amp;$J757&amp;"|"&amp;COUNTIFS($I$7:$I757,$I757,$J$7:$J757,$J757,$D$7:$D757,"Advance"))</f>
        <v/>
      </c>
      <c r="L757" s="266">
        <f>IF(OR($I757="",$I757="?",$B757=""),"",SUMPRODUCT((Weeks!$A$7:$A$59&lt;=$J757)*(Weeks!$X$5:$AI$5=$I757)*Weeks!$X$7:$AI$59)-SUMIFS($E$7:$E$1006,$I$7:$I$1006,$I757,$B$7:$B$1006,"&lt;="&amp;$B757))</f>
        <v/>
      </c>
      <c r="M757" s="132">
        <f>IF($B757&amp;$C757&amp;$D757&amp;$E757="","",IF($B757="","missing date",IF($C757="","missing worker",IF($I757="?","unknown worker - was the name changed on Workers?",IF($D757="","missing type",IF(N($E757)=0,"missing amount",IF(AND($E757&lt;0,$D757&lt;&gt;"Correction"),"negative amount - use a Correction to undo",IF(OR($B757&lt;Weeks!$A$7,$B757&gt;Weeks!$B$59),"date outside this workbook's year",IF(AND($D757="Advance",N($L757)&lt;0),"Warning: more than earned so far - worker now owes "&amp;TEXT(ROUND(-$L757,0),"#,##0"),"")))))))))</f>
        <v/>
      </c>
      <c r="N757" s="125" t="n"/>
      <c r="O757" s="126" t="n"/>
      <c r="P757" s="126" t="n"/>
      <c r="Q757" s="126" t="n"/>
      <c r="R757" s="126" t="n"/>
      <c r="S757" s="126" t="n"/>
      <c r="T757" s="126" t="n"/>
      <c r="U757" s="126" t="n"/>
      <c r="V757" s="126" t="n"/>
      <c r="W757" s="126" t="n"/>
      <c r="X757" s="126" t="n"/>
      <c r="Y757" s="126" t="n"/>
      <c r="Z757" s="126" t="n"/>
      <c r="AA757" s="126" t="n"/>
      <c r="AB757" s="126" t="n"/>
      <c r="AC757" s="126" t="n"/>
      <c r="AD757" s="126" t="n"/>
      <c r="AE757" s="126" t="n"/>
      <c r="AF757" s="126" t="n"/>
      <c r="AG757" s="126" t="n"/>
      <c r="AH757" s="126" t="n"/>
      <c r="AI757" s="126" t="n"/>
      <c r="AJ757" s="126" t="n"/>
      <c r="AK757" s="126" t="n"/>
      <c r="AL757" s="126" t="n"/>
      <c r="AM757" s="126" t="n"/>
      <c r="AN757" s="126" t="n"/>
    </row>
    <row r="758" ht="21" customFormat="1" customHeight="1" s="127">
      <c r="A758" s="51">
        <f>IF($B758="","",ROW()-6)</f>
        <v/>
      </c>
      <c r="B758" s="268" t="n"/>
      <c r="C758" s="133" t="n"/>
      <c r="D758" s="50" t="n"/>
      <c r="E758" s="265" t="n"/>
      <c r="F758" s="133" t="n"/>
      <c r="G758" s="133" t="n"/>
      <c r="H758" s="50" t="n"/>
      <c r="I758" s="51">
        <f>IF($C758="","",IFERROR(INDEX(WorkerIDs,MATCH($C758,WorkerNames,0)),"?"))</f>
        <v/>
      </c>
      <c r="J758" s="253">
        <f>IF($B758="","",$B758-WEEKDAY($B758,2)+1)</f>
        <v/>
      </c>
      <c r="K758" s="142">
        <f>IF(OR($I758="",$I758="?",$D758&lt;&gt;"Advance",$B758=""),"",$I758&amp;"|"&amp;$J758&amp;"|"&amp;COUNTIFS($I$7:$I758,$I758,$J$7:$J758,$J758,$D$7:$D758,"Advance"))</f>
        <v/>
      </c>
      <c r="L758" s="266">
        <f>IF(OR($I758="",$I758="?",$B758=""),"",SUMPRODUCT((Weeks!$A$7:$A$59&lt;=$J758)*(Weeks!$X$5:$AI$5=$I758)*Weeks!$X$7:$AI$59)-SUMIFS($E$7:$E$1006,$I$7:$I$1006,$I758,$B$7:$B$1006,"&lt;="&amp;$B758))</f>
        <v/>
      </c>
      <c r="M758" s="132">
        <f>IF($B758&amp;$C758&amp;$D758&amp;$E758="","",IF($B758="","missing date",IF($C758="","missing worker",IF($I758="?","unknown worker - was the name changed on Workers?",IF($D758="","missing type",IF(N($E758)=0,"missing amount",IF(AND($E758&lt;0,$D758&lt;&gt;"Correction"),"negative amount - use a Correction to undo",IF(OR($B758&lt;Weeks!$A$7,$B758&gt;Weeks!$B$59),"date outside this workbook's year",IF(AND($D758="Advance",N($L758)&lt;0),"Warning: more than earned so far - worker now owes "&amp;TEXT(ROUND(-$L758,0),"#,##0"),"")))))))))</f>
        <v/>
      </c>
      <c r="N758" s="125" t="n"/>
      <c r="O758" s="126" t="n"/>
      <c r="P758" s="126" t="n"/>
      <c r="Q758" s="126" t="n"/>
      <c r="R758" s="126" t="n"/>
      <c r="S758" s="126" t="n"/>
      <c r="T758" s="126" t="n"/>
      <c r="U758" s="126" t="n"/>
      <c r="V758" s="126" t="n"/>
      <c r="W758" s="126" t="n"/>
      <c r="X758" s="126" t="n"/>
      <c r="Y758" s="126" t="n"/>
      <c r="Z758" s="126" t="n"/>
      <c r="AA758" s="126" t="n"/>
      <c r="AB758" s="126" t="n"/>
      <c r="AC758" s="126" t="n"/>
      <c r="AD758" s="126" t="n"/>
      <c r="AE758" s="126" t="n"/>
      <c r="AF758" s="126" t="n"/>
      <c r="AG758" s="126" t="n"/>
      <c r="AH758" s="126" t="n"/>
      <c r="AI758" s="126" t="n"/>
      <c r="AJ758" s="126" t="n"/>
      <c r="AK758" s="126" t="n"/>
      <c r="AL758" s="126" t="n"/>
      <c r="AM758" s="126" t="n"/>
      <c r="AN758" s="126" t="n"/>
    </row>
    <row r="759" ht="21" customFormat="1" customHeight="1" s="127">
      <c r="A759" s="51">
        <f>IF($B759="","",ROW()-6)</f>
        <v/>
      </c>
      <c r="B759" s="268" t="n"/>
      <c r="C759" s="133" t="n"/>
      <c r="D759" s="50" t="n"/>
      <c r="E759" s="265" t="n"/>
      <c r="F759" s="133" t="n"/>
      <c r="G759" s="133" t="n"/>
      <c r="H759" s="50" t="n"/>
      <c r="I759" s="51">
        <f>IF($C759="","",IFERROR(INDEX(WorkerIDs,MATCH($C759,WorkerNames,0)),"?"))</f>
        <v/>
      </c>
      <c r="J759" s="253">
        <f>IF($B759="","",$B759-WEEKDAY($B759,2)+1)</f>
        <v/>
      </c>
      <c r="K759" s="142">
        <f>IF(OR($I759="",$I759="?",$D759&lt;&gt;"Advance",$B759=""),"",$I759&amp;"|"&amp;$J759&amp;"|"&amp;COUNTIFS($I$7:$I759,$I759,$J$7:$J759,$J759,$D$7:$D759,"Advance"))</f>
        <v/>
      </c>
      <c r="L759" s="266">
        <f>IF(OR($I759="",$I759="?",$B759=""),"",SUMPRODUCT((Weeks!$A$7:$A$59&lt;=$J759)*(Weeks!$X$5:$AI$5=$I759)*Weeks!$X$7:$AI$59)-SUMIFS($E$7:$E$1006,$I$7:$I$1006,$I759,$B$7:$B$1006,"&lt;="&amp;$B759))</f>
        <v/>
      </c>
      <c r="M759" s="132">
        <f>IF($B759&amp;$C759&amp;$D759&amp;$E759="","",IF($B759="","missing date",IF($C759="","missing worker",IF($I759="?","unknown worker - was the name changed on Workers?",IF($D759="","missing type",IF(N($E759)=0,"missing amount",IF(AND($E759&lt;0,$D759&lt;&gt;"Correction"),"negative amount - use a Correction to undo",IF(OR($B759&lt;Weeks!$A$7,$B759&gt;Weeks!$B$59),"date outside this workbook's year",IF(AND($D759="Advance",N($L759)&lt;0),"Warning: more than earned so far - worker now owes "&amp;TEXT(ROUND(-$L759,0),"#,##0"),"")))))))))</f>
        <v/>
      </c>
      <c r="N759" s="125" t="n"/>
      <c r="O759" s="126" t="n"/>
      <c r="P759" s="126" t="n"/>
      <c r="Q759" s="126" t="n"/>
      <c r="R759" s="126" t="n"/>
      <c r="S759" s="126" t="n"/>
      <c r="T759" s="126" t="n"/>
      <c r="U759" s="126" t="n"/>
      <c r="V759" s="126" t="n"/>
      <c r="W759" s="126" t="n"/>
      <c r="X759" s="126" t="n"/>
      <c r="Y759" s="126" t="n"/>
      <c r="Z759" s="126" t="n"/>
      <c r="AA759" s="126" t="n"/>
      <c r="AB759" s="126" t="n"/>
      <c r="AC759" s="126" t="n"/>
      <c r="AD759" s="126" t="n"/>
      <c r="AE759" s="126" t="n"/>
      <c r="AF759" s="126" t="n"/>
      <c r="AG759" s="126" t="n"/>
      <c r="AH759" s="126" t="n"/>
      <c r="AI759" s="126" t="n"/>
      <c r="AJ759" s="126" t="n"/>
      <c r="AK759" s="126" t="n"/>
      <c r="AL759" s="126" t="n"/>
      <c r="AM759" s="126" t="n"/>
      <c r="AN759" s="126" t="n"/>
    </row>
    <row r="760" ht="21" customFormat="1" customHeight="1" s="127">
      <c r="A760" s="51">
        <f>IF($B760="","",ROW()-6)</f>
        <v/>
      </c>
      <c r="B760" s="268" t="n"/>
      <c r="C760" s="133" t="n"/>
      <c r="D760" s="50" t="n"/>
      <c r="E760" s="265" t="n"/>
      <c r="F760" s="133" t="n"/>
      <c r="G760" s="133" t="n"/>
      <c r="H760" s="50" t="n"/>
      <c r="I760" s="51">
        <f>IF($C760="","",IFERROR(INDEX(WorkerIDs,MATCH($C760,WorkerNames,0)),"?"))</f>
        <v/>
      </c>
      <c r="J760" s="253">
        <f>IF($B760="","",$B760-WEEKDAY($B760,2)+1)</f>
        <v/>
      </c>
      <c r="K760" s="142">
        <f>IF(OR($I760="",$I760="?",$D760&lt;&gt;"Advance",$B760=""),"",$I760&amp;"|"&amp;$J760&amp;"|"&amp;COUNTIFS($I$7:$I760,$I760,$J$7:$J760,$J760,$D$7:$D760,"Advance"))</f>
        <v/>
      </c>
      <c r="L760" s="266">
        <f>IF(OR($I760="",$I760="?",$B760=""),"",SUMPRODUCT((Weeks!$A$7:$A$59&lt;=$J760)*(Weeks!$X$5:$AI$5=$I760)*Weeks!$X$7:$AI$59)-SUMIFS($E$7:$E$1006,$I$7:$I$1006,$I760,$B$7:$B$1006,"&lt;="&amp;$B760))</f>
        <v/>
      </c>
      <c r="M760" s="132">
        <f>IF($B760&amp;$C760&amp;$D760&amp;$E760="","",IF($B760="","missing date",IF($C760="","missing worker",IF($I760="?","unknown worker - was the name changed on Workers?",IF($D760="","missing type",IF(N($E760)=0,"missing amount",IF(AND($E760&lt;0,$D760&lt;&gt;"Correction"),"negative amount - use a Correction to undo",IF(OR($B760&lt;Weeks!$A$7,$B760&gt;Weeks!$B$59),"date outside this workbook's year",IF(AND($D760="Advance",N($L760)&lt;0),"Warning: more than earned so far - worker now owes "&amp;TEXT(ROUND(-$L760,0),"#,##0"),"")))))))))</f>
        <v/>
      </c>
      <c r="N760" s="125" t="n"/>
      <c r="O760" s="126" t="n"/>
      <c r="P760" s="126" t="n"/>
      <c r="Q760" s="126" t="n"/>
      <c r="R760" s="126" t="n"/>
      <c r="S760" s="126" t="n"/>
      <c r="T760" s="126" t="n"/>
      <c r="U760" s="126" t="n"/>
      <c r="V760" s="126" t="n"/>
      <c r="W760" s="126" t="n"/>
      <c r="X760" s="126" t="n"/>
      <c r="Y760" s="126" t="n"/>
      <c r="Z760" s="126" t="n"/>
      <c r="AA760" s="126" t="n"/>
      <c r="AB760" s="126" t="n"/>
      <c r="AC760" s="126" t="n"/>
      <c r="AD760" s="126" t="n"/>
      <c r="AE760" s="126" t="n"/>
      <c r="AF760" s="126" t="n"/>
      <c r="AG760" s="126" t="n"/>
      <c r="AH760" s="126" t="n"/>
      <c r="AI760" s="126" t="n"/>
      <c r="AJ760" s="126" t="n"/>
      <c r="AK760" s="126" t="n"/>
      <c r="AL760" s="126" t="n"/>
      <c r="AM760" s="126" t="n"/>
      <c r="AN760" s="126" t="n"/>
    </row>
    <row r="761" ht="21" customFormat="1" customHeight="1" s="127">
      <c r="A761" s="51">
        <f>IF($B761="","",ROW()-6)</f>
        <v/>
      </c>
      <c r="B761" s="268" t="n"/>
      <c r="C761" s="133" t="n"/>
      <c r="D761" s="50" t="n"/>
      <c r="E761" s="265" t="n"/>
      <c r="F761" s="133" t="n"/>
      <c r="G761" s="133" t="n"/>
      <c r="H761" s="50" t="n"/>
      <c r="I761" s="51">
        <f>IF($C761="","",IFERROR(INDEX(WorkerIDs,MATCH($C761,WorkerNames,0)),"?"))</f>
        <v/>
      </c>
      <c r="J761" s="253">
        <f>IF($B761="","",$B761-WEEKDAY($B761,2)+1)</f>
        <v/>
      </c>
      <c r="K761" s="142">
        <f>IF(OR($I761="",$I761="?",$D761&lt;&gt;"Advance",$B761=""),"",$I761&amp;"|"&amp;$J761&amp;"|"&amp;COUNTIFS($I$7:$I761,$I761,$J$7:$J761,$J761,$D$7:$D761,"Advance"))</f>
        <v/>
      </c>
      <c r="L761" s="266">
        <f>IF(OR($I761="",$I761="?",$B761=""),"",SUMPRODUCT((Weeks!$A$7:$A$59&lt;=$J761)*(Weeks!$X$5:$AI$5=$I761)*Weeks!$X$7:$AI$59)-SUMIFS($E$7:$E$1006,$I$7:$I$1006,$I761,$B$7:$B$1006,"&lt;="&amp;$B761))</f>
        <v/>
      </c>
      <c r="M761" s="132">
        <f>IF($B761&amp;$C761&amp;$D761&amp;$E761="","",IF($B761="","missing date",IF($C761="","missing worker",IF($I761="?","unknown worker - was the name changed on Workers?",IF($D761="","missing type",IF(N($E761)=0,"missing amount",IF(AND($E761&lt;0,$D761&lt;&gt;"Correction"),"negative amount - use a Correction to undo",IF(OR($B761&lt;Weeks!$A$7,$B761&gt;Weeks!$B$59),"date outside this workbook's year",IF(AND($D761="Advance",N($L761)&lt;0),"Warning: more than earned so far - worker now owes "&amp;TEXT(ROUND(-$L761,0),"#,##0"),"")))))))))</f>
        <v/>
      </c>
      <c r="N761" s="125" t="n"/>
      <c r="O761" s="126" t="n"/>
      <c r="P761" s="126" t="n"/>
      <c r="Q761" s="126" t="n"/>
      <c r="R761" s="126" t="n"/>
      <c r="S761" s="126" t="n"/>
      <c r="T761" s="126" t="n"/>
      <c r="U761" s="126" t="n"/>
      <c r="V761" s="126" t="n"/>
      <c r="W761" s="126" t="n"/>
      <c r="X761" s="126" t="n"/>
      <c r="Y761" s="126" t="n"/>
      <c r="Z761" s="126" t="n"/>
      <c r="AA761" s="126" t="n"/>
      <c r="AB761" s="126" t="n"/>
      <c r="AC761" s="126" t="n"/>
      <c r="AD761" s="126" t="n"/>
      <c r="AE761" s="126" t="n"/>
      <c r="AF761" s="126" t="n"/>
      <c r="AG761" s="126" t="n"/>
      <c r="AH761" s="126" t="n"/>
      <c r="AI761" s="126" t="n"/>
      <c r="AJ761" s="126" t="n"/>
      <c r="AK761" s="126" t="n"/>
      <c r="AL761" s="126" t="n"/>
      <c r="AM761" s="126" t="n"/>
      <c r="AN761" s="126" t="n"/>
    </row>
    <row r="762" ht="21" customFormat="1" customHeight="1" s="127">
      <c r="A762" s="51">
        <f>IF($B762="","",ROW()-6)</f>
        <v/>
      </c>
      <c r="B762" s="268" t="n"/>
      <c r="C762" s="133" t="n"/>
      <c r="D762" s="50" t="n"/>
      <c r="E762" s="265" t="n"/>
      <c r="F762" s="133" t="n"/>
      <c r="G762" s="133" t="n"/>
      <c r="H762" s="50" t="n"/>
      <c r="I762" s="51">
        <f>IF($C762="","",IFERROR(INDEX(WorkerIDs,MATCH($C762,WorkerNames,0)),"?"))</f>
        <v/>
      </c>
      <c r="J762" s="253">
        <f>IF($B762="","",$B762-WEEKDAY($B762,2)+1)</f>
        <v/>
      </c>
      <c r="K762" s="142">
        <f>IF(OR($I762="",$I762="?",$D762&lt;&gt;"Advance",$B762=""),"",$I762&amp;"|"&amp;$J762&amp;"|"&amp;COUNTIFS($I$7:$I762,$I762,$J$7:$J762,$J762,$D$7:$D762,"Advance"))</f>
        <v/>
      </c>
      <c r="L762" s="266">
        <f>IF(OR($I762="",$I762="?",$B762=""),"",SUMPRODUCT((Weeks!$A$7:$A$59&lt;=$J762)*(Weeks!$X$5:$AI$5=$I762)*Weeks!$X$7:$AI$59)-SUMIFS($E$7:$E$1006,$I$7:$I$1006,$I762,$B$7:$B$1006,"&lt;="&amp;$B762))</f>
        <v/>
      </c>
      <c r="M762" s="132">
        <f>IF($B762&amp;$C762&amp;$D762&amp;$E762="","",IF($B762="","missing date",IF($C762="","missing worker",IF($I762="?","unknown worker - was the name changed on Workers?",IF($D762="","missing type",IF(N($E762)=0,"missing amount",IF(AND($E762&lt;0,$D762&lt;&gt;"Correction"),"negative amount - use a Correction to undo",IF(OR($B762&lt;Weeks!$A$7,$B762&gt;Weeks!$B$59),"date outside this workbook's year",IF(AND($D762="Advance",N($L762)&lt;0),"Warning: more than earned so far - worker now owes "&amp;TEXT(ROUND(-$L762,0),"#,##0"),"")))))))))</f>
        <v/>
      </c>
      <c r="N762" s="125" t="n"/>
      <c r="O762" s="126" t="n"/>
      <c r="P762" s="126" t="n"/>
      <c r="Q762" s="126" t="n"/>
      <c r="R762" s="126" t="n"/>
      <c r="S762" s="126" t="n"/>
      <c r="T762" s="126" t="n"/>
      <c r="U762" s="126" t="n"/>
      <c r="V762" s="126" t="n"/>
      <c r="W762" s="126" t="n"/>
      <c r="X762" s="126" t="n"/>
      <c r="Y762" s="126" t="n"/>
      <c r="Z762" s="126" t="n"/>
      <c r="AA762" s="126" t="n"/>
      <c r="AB762" s="126" t="n"/>
      <c r="AC762" s="126" t="n"/>
      <c r="AD762" s="126" t="n"/>
      <c r="AE762" s="126" t="n"/>
      <c r="AF762" s="126" t="n"/>
      <c r="AG762" s="126" t="n"/>
      <c r="AH762" s="126" t="n"/>
      <c r="AI762" s="126" t="n"/>
      <c r="AJ762" s="126" t="n"/>
      <c r="AK762" s="126" t="n"/>
      <c r="AL762" s="126" t="n"/>
      <c r="AM762" s="126" t="n"/>
      <c r="AN762" s="126" t="n"/>
    </row>
    <row r="763" ht="21" customFormat="1" customHeight="1" s="127">
      <c r="A763" s="51">
        <f>IF($B763="","",ROW()-6)</f>
        <v/>
      </c>
      <c r="B763" s="268" t="n"/>
      <c r="C763" s="133" t="n"/>
      <c r="D763" s="50" t="n"/>
      <c r="E763" s="265" t="n"/>
      <c r="F763" s="133" t="n"/>
      <c r="G763" s="133" t="n"/>
      <c r="H763" s="50" t="n"/>
      <c r="I763" s="51">
        <f>IF($C763="","",IFERROR(INDEX(WorkerIDs,MATCH($C763,WorkerNames,0)),"?"))</f>
        <v/>
      </c>
      <c r="J763" s="253">
        <f>IF($B763="","",$B763-WEEKDAY($B763,2)+1)</f>
        <v/>
      </c>
      <c r="K763" s="142">
        <f>IF(OR($I763="",$I763="?",$D763&lt;&gt;"Advance",$B763=""),"",$I763&amp;"|"&amp;$J763&amp;"|"&amp;COUNTIFS($I$7:$I763,$I763,$J$7:$J763,$J763,$D$7:$D763,"Advance"))</f>
        <v/>
      </c>
      <c r="L763" s="266">
        <f>IF(OR($I763="",$I763="?",$B763=""),"",SUMPRODUCT((Weeks!$A$7:$A$59&lt;=$J763)*(Weeks!$X$5:$AI$5=$I763)*Weeks!$X$7:$AI$59)-SUMIFS($E$7:$E$1006,$I$7:$I$1006,$I763,$B$7:$B$1006,"&lt;="&amp;$B763))</f>
        <v/>
      </c>
      <c r="M763" s="132">
        <f>IF($B763&amp;$C763&amp;$D763&amp;$E763="","",IF($B763="","missing date",IF($C763="","missing worker",IF($I763="?","unknown worker - was the name changed on Workers?",IF($D763="","missing type",IF(N($E763)=0,"missing amount",IF(AND($E763&lt;0,$D763&lt;&gt;"Correction"),"negative amount - use a Correction to undo",IF(OR($B763&lt;Weeks!$A$7,$B763&gt;Weeks!$B$59),"date outside this workbook's year",IF(AND($D763="Advance",N($L763)&lt;0),"Warning: more than earned so far - worker now owes "&amp;TEXT(ROUND(-$L763,0),"#,##0"),"")))))))))</f>
        <v/>
      </c>
      <c r="N763" s="125" t="n"/>
      <c r="O763" s="126" t="n"/>
      <c r="P763" s="126" t="n"/>
      <c r="Q763" s="126" t="n"/>
      <c r="R763" s="126" t="n"/>
      <c r="S763" s="126" t="n"/>
      <c r="T763" s="126" t="n"/>
      <c r="U763" s="126" t="n"/>
      <c r="V763" s="126" t="n"/>
      <c r="W763" s="126" t="n"/>
      <c r="X763" s="126" t="n"/>
      <c r="Y763" s="126" t="n"/>
      <c r="Z763" s="126" t="n"/>
      <c r="AA763" s="126" t="n"/>
      <c r="AB763" s="126" t="n"/>
      <c r="AC763" s="126" t="n"/>
      <c r="AD763" s="126" t="n"/>
      <c r="AE763" s="126" t="n"/>
      <c r="AF763" s="126" t="n"/>
      <c r="AG763" s="126" t="n"/>
      <c r="AH763" s="126" t="n"/>
      <c r="AI763" s="126" t="n"/>
      <c r="AJ763" s="126" t="n"/>
      <c r="AK763" s="126" t="n"/>
      <c r="AL763" s="126" t="n"/>
      <c r="AM763" s="126" t="n"/>
      <c r="AN763" s="126" t="n"/>
    </row>
    <row r="764" ht="21" customFormat="1" customHeight="1" s="127">
      <c r="A764" s="51">
        <f>IF($B764="","",ROW()-6)</f>
        <v/>
      </c>
      <c r="B764" s="268" t="n"/>
      <c r="C764" s="133" t="n"/>
      <c r="D764" s="50" t="n"/>
      <c r="E764" s="265" t="n"/>
      <c r="F764" s="133" t="n"/>
      <c r="G764" s="133" t="n"/>
      <c r="H764" s="50" t="n"/>
      <c r="I764" s="51">
        <f>IF($C764="","",IFERROR(INDEX(WorkerIDs,MATCH($C764,WorkerNames,0)),"?"))</f>
        <v/>
      </c>
      <c r="J764" s="253">
        <f>IF($B764="","",$B764-WEEKDAY($B764,2)+1)</f>
        <v/>
      </c>
      <c r="K764" s="142">
        <f>IF(OR($I764="",$I764="?",$D764&lt;&gt;"Advance",$B764=""),"",$I764&amp;"|"&amp;$J764&amp;"|"&amp;COUNTIFS($I$7:$I764,$I764,$J$7:$J764,$J764,$D$7:$D764,"Advance"))</f>
        <v/>
      </c>
      <c r="L764" s="266">
        <f>IF(OR($I764="",$I764="?",$B764=""),"",SUMPRODUCT((Weeks!$A$7:$A$59&lt;=$J764)*(Weeks!$X$5:$AI$5=$I764)*Weeks!$X$7:$AI$59)-SUMIFS($E$7:$E$1006,$I$7:$I$1006,$I764,$B$7:$B$1006,"&lt;="&amp;$B764))</f>
        <v/>
      </c>
      <c r="M764" s="132">
        <f>IF($B764&amp;$C764&amp;$D764&amp;$E764="","",IF($B764="","missing date",IF($C764="","missing worker",IF($I764="?","unknown worker - was the name changed on Workers?",IF($D764="","missing type",IF(N($E764)=0,"missing amount",IF(AND($E764&lt;0,$D764&lt;&gt;"Correction"),"negative amount - use a Correction to undo",IF(OR($B764&lt;Weeks!$A$7,$B764&gt;Weeks!$B$59),"date outside this workbook's year",IF(AND($D764="Advance",N($L764)&lt;0),"Warning: more than earned so far - worker now owes "&amp;TEXT(ROUND(-$L764,0),"#,##0"),"")))))))))</f>
        <v/>
      </c>
      <c r="N764" s="125" t="n"/>
      <c r="O764" s="126" t="n"/>
      <c r="P764" s="126" t="n"/>
      <c r="Q764" s="126" t="n"/>
      <c r="R764" s="126" t="n"/>
      <c r="S764" s="126" t="n"/>
      <c r="T764" s="126" t="n"/>
      <c r="U764" s="126" t="n"/>
      <c r="V764" s="126" t="n"/>
      <c r="W764" s="126" t="n"/>
      <c r="X764" s="126" t="n"/>
      <c r="Y764" s="126" t="n"/>
      <c r="Z764" s="126" t="n"/>
      <c r="AA764" s="126" t="n"/>
      <c r="AB764" s="126" t="n"/>
      <c r="AC764" s="126" t="n"/>
      <c r="AD764" s="126" t="n"/>
      <c r="AE764" s="126" t="n"/>
      <c r="AF764" s="126" t="n"/>
      <c r="AG764" s="126" t="n"/>
      <c r="AH764" s="126" t="n"/>
      <c r="AI764" s="126" t="n"/>
      <c r="AJ764" s="126" t="n"/>
      <c r="AK764" s="126" t="n"/>
      <c r="AL764" s="126" t="n"/>
      <c r="AM764" s="126" t="n"/>
      <c r="AN764" s="126" t="n"/>
    </row>
    <row r="765" ht="21" customFormat="1" customHeight="1" s="127">
      <c r="A765" s="51">
        <f>IF($B765="","",ROW()-6)</f>
        <v/>
      </c>
      <c r="B765" s="268" t="n"/>
      <c r="C765" s="133" t="n"/>
      <c r="D765" s="50" t="n"/>
      <c r="E765" s="265" t="n"/>
      <c r="F765" s="133" t="n"/>
      <c r="G765" s="133" t="n"/>
      <c r="H765" s="50" t="n"/>
      <c r="I765" s="51">
        <f>IF($C765="","",IFERROR(INDEX(WorkerIDs,MATCH($C765,WorkerNames,0)),"?"))</f>
        <v/>
      </c>
      <c r="J765" s="253">
        <f>IF($B765="","",$B765-WEEKDAY($B765,2)+1)</f>
        <v/>
      </c>
      <c r="K765" s="142">
        <f>IF(OR($I765="",$I765="?",$D765&lt;&gt;"Advance",$B765=""),"",$I765&amp;"|"&amp;$J765&amp;"|"&amp;COUNTIFS($I$7:$I765,$I765,$J$7:$J765,$J765,$D$7:$D765,"Advance"))</f>
        <v/>
      </c>
      <c r="L765" s="266">
        <f>IF(OR($I765="",$I765="?",$B765=""),"",SUMPRODUCT((Weeks!$A$7:$A$59&lt;=$J765)*(Weeks!$X$5:$AI$5=$I765)*Weeks!$X$7:$AI$59)-SUMIFS($E$7:$E$1006,$I$7:$I$1006,$I765,$B$7:$B$1006,"&lt;="&amp;$B765))</f>
        <v/>
      </c>
      <c r="M765" s="132">
        <f>IF($B765&amp;$C765&amp;$D765&amp;$E765="","",IF($B765="","missing date",IF($C765="","missing worker",IF($I765="?","unknown worker - was the name changed on Workers?",IF($D765="","missing type",IF(N($E765)=0,"missing amount",IF(AND($E765&lt;0,$D765&lt;&gt;"Correction"),"negative amount - use a Correction to undo",IF(OR($B765&lt;Weeks!$A$7,$B765&gt;Weeks!$B$59),"date outside this workbook's year",IF(AND($D765="Advance",N($L765)&lt;0),"Warning: more than earned so far - worker now owes "&amp;TEXT(ROUND(-$L765,0),"#,##0"),"")))))))))</f>
        <v/>
      </c>
      <c r="N765" s="125" t="n"/>
      <c r="O765" s="126" t="n"/>
      <c r="P765" s="126" t="n"/>
      <c r="Q765" s="126" t="n"/>
      <c r="R765" s="126" t="n"/>
      <c r="S765" s="126" t="n"/>
      <c r="T765" s="126" t="n"/>
      <c r="U765" s="126" t="n"/>
      <c r="V765" s="126" t="n"/>
      <c r="W765" s="126" t="n"/>
      <c r="X765" s="126" t="n"/>
      <c r="Y765" s="126" t="n"/>
      <c r="Z765" s="126" t="n"/>
      <c r="AA765" s="126" t="n"/>
      <c r="AB765" s="126" t="n"/>
      <c r="AC765" s="126" t="n"/>
      <c r="AD765" s="126" t="n"/>
      <c r="AE765" s="126" t="n"/>
      <c r="AF765" s="126" t="n"/>
      <c r="AG765" s="126" t="n"/>
      <c r="AH765" s="126" t="n"/>
      <c r="AI765" s="126" t="n"/>
      <c r="AJ765" s="126" t="n"/>
      <c r="AK765" s="126" t="n"/>
      <c r="AL765" s="126" t="n"/>
      <c r="AM765" s="126" t="n"/>
      <c r="AN765" s="126" t="n"/>
    </row>
    <row r="766" ht="21" customFormat="1" customHeight="1" s="127">
      <c r="A766" s="51">
        <f>IF($B766="","",ROW()-6)</f>
        <v/>
      </c>
      <c r="B766" s="268" t="n"/>
      <c r="C766" s="133" t="n"/>
      <c r="D766" s="50" t="n"/>
      <c r="E766" s="265" t="n"/>
      <c r="F766" s="133" t="n"/>
      <c r="G766" s="133" t="n"/>
      <c r="H766" s="50" t="n"/>
      <c r="I766" s="51">
        <f>IF($C766="","",IFERROR(INDEX(WorkerIDs,MATCH($C766,WorkerNames,0)),"?"))</f>
        <v/>
      </c>
      <c r="J766" s="253">
        <f>IF($B766="","",$B766-WEEKDAY($B766,2)+1)</f>
        <v/>
      </c>
      <c r="K766" s="142">
        <f>IF(OR($I766="",$I766="?",$D766&lt;&gt;"Advance",$B766=""),"",$I766&amp;"|"&amp;$J766&amp;"|"&amp;COUNTIFS($I$7:$I766,$I766,$J$7:$J766,$J766,$D$7:$D766,"Advance"))</f>
        <v/>
      </c>
      <c r="L766" s="266">
        <f>IF(OR($I766="",$I766="?",$B766=""),"",SUMPRODUCT((Weeks!$A$7:$A$59&lt;=$J766)*(Weeks!$X$5:$AI$5=$I766)*Weeks!$X$7:$AI$59)-SUMIFS($E$7:$E$1006,$I$7:$I$1006,$I766,$B$7:$B$1006,"&lt;="&amp;$B766))</f>
        <v/>
      </c>
      <c r="M766" s="132">
        <f>IF($B766&amp;$C766&amp;$D766&amp;$E766="","",IF($B766="","missing date",IF($C766="","missing worker",IF($I766="?","unknown worker - was the name changed on Workers?",IF($D766="","missing type",IF(N($E766)=0,"missing amount",IF(AND($E766&lt;0,$D766&lt;&gt;"Correction"),"negative amount - use a Correction to undo",IF(OR($B766&lt;Weeks!$A$7,$B766&gt;Weeks!$B$59),"date outside this workbook's year",IF(AND($D766="Advance",N($L766)&lt;0),"Warning: more than earned so far - worker now owes "&amp;TEXT(ROUND(-$L766,0),"#,##0"),"")))))))))</f>
        <v/>
      </c>
      <c r="N766" s="125" t="n"/>
      <c r="O766" s="126" t="n"/>
      <c r="P766" s="126" t="n"/>
      <c r="Q766" s="126" t="n"/>
      <c r="R766" s="126" t="n"/>
      <c r="S766" s="126" t="n"/>
      <c r="T766" s="126" t="n"/>
      <c r="U766" s="126" t="n"/>
      <c r="V766" s="126" t="n"/>
      <c r="W766" s="126" t="n"/>
      <c r="X766" s="126" t="n"/>
      <c r="Y766" s="126" t="n"/>
      <c r="Z766" s="126" t="n"/>
      <c r="AA766" s="126" t="n"/>
      <c r="AB766" s="126" t="n"/>
      <c r="AC766" s="126" t="n"/>
      <c r="AD766" s="126" t="n"/>
      <c r="AE766" s="126" t="n"/>
      <c r="AF766" s="126" t="n"/>
      <c r="AG766" s="126" t="n"/>
      <c r="AH766" s="126" t="n"/>
      <c r="AI766" s="126" t="n"/>
      <c r="AJ766" s="126" t="n"/>
      <c r="AK766" s="126" t="n"/>
      <c r="AL766" s="126" t="n"/>
      <c r="AM766" s="126" t="n"/>
      <c r="AN766" s="126" t="n"/>
    </row>
    <row r="767" ht="21" customFormat="1" customHeight="1" s="127">
      <c r="A767" s="51">
        <f>IF($B767="","",ROW()-6)</f>
        <v/>
      </c>
      <c r="B767" s="268" t="n"/>
      <c r="C767" s="133" t="n"/>
      <c r="D767" s="50" t="n"/>
      <c r="E767" s="265" t="n"/>
      <c r="F767" s="133" t="n"/>
      <c r="G767" s="133" t="n"/>
      <c r="H767" s="50" t="n"/>
      <c r="I767" s="51">
        <f>IF($C767="","",IFERROR(INDEX(WorkerIDs,MATCH($C767,WorkerNames,0)),"?"))</f>
        <v/>
      </c>
      <c r="J767" s="253">
        <f>IF($B767="","",$B767-WEEKDAY($B767,2)+1)</f>
        <v/>
      </c>
      <c r="K767" s="142">
        <f>IF(OR($I767="",$I767="?",$D767&lt;&gt;"Advance",$B767=""),"",$I767&amp;"|"&amp;$J767&amp;"|"&amp;COUNTIFS($I$7:$I767,$I767,$J$7:$J767,$J767,$D$7:$D767,"Advance"))</f>
        <v/>
      </c>
      <c r="L767" s="266">
        <f>IF(OR($I767="",$I767="?",$B767=""),"",SUMPRODUCT((Weeks!$A$7:$A$59&lt;=$J767)*(Weeks!$X$5:$AI$5=$I767)*Weeks!$X$7:$AI$59)-SUMIFS($E$7:$E$1006,$I$7:$I$1006,$I767,$B$7:$B$1006,"&lt;="&amp;$B767))</f>
        <v/>
      </c>
      <c r="M767" s="132">
        <f>IF($B767&amp;$C767&amp;$D767&amp;$E767="","",IF($B767="","missing date",IF($C767="","missing worker",IF($I767="?","unknown worker - was the name changed on Workers?",IF($D767="","missing type",IF(N($E767)=0,"missing amount",IF(AND($E767&lt;0,$D767&lt;&gt;"Correction"),"negative amount - use a Correction to undo",IF(OR($B767&lt;Weeks!$A$7,$B767&gt;Weeks!$B$59),"date outside this workbook's year",IF(AND($D767="Advance",N($L767)&lt;0),"Warning: more than earned so far - worker now owes "&amp;TEXT(ROUND(-$L767,0),"#,##0"),"")))))))))</f>
        <v/>
      </c>
      <c r="N767" s="125" t="n"/>
      <c r="O767" s="126" t="n"/>
      <c r="P767" s="126" t="n"/>
      <c r="Q767" s="126" t="n"/>
      <c r="R767" s="126" t="n"/>
      <c r="S767" s="126" t="n"/>
      <c r="T767" s="126" t="n"/>
      <c r="U767" s="126" t="n"/>
      <c r="V767" s="126" t="n"/>
      <c r="W767" s="126" t="n"/>
      <c r="X767" s="126" t="n"/>
      <c r="Y767" s="126" t="n"/>
      <c r="Z767" s="126" t="n"/>
      <c r="AA767" s="126" t="n"/>
      <c r="AB767" s="126" t="n"/>
      <c r="AC767" s="126" t="n"/>
      <c r="AD767" s="126" t="n"/>
      <c r="AE767" s="126" t="n"/>
      <c r="AF767" s="126" t="n"/>
      <c r="AG767" s="126" t="n"/>
      <c r="AH767" s="126" t="n"/>
      <c r="AI767" s="126" t="n"/>
      <c r="AJ767" s="126" t="n"/>
      <c r="AK767" s="126" t="n"/>
      <c r="AL767" s="126" t="n"/>
      <c r="AM767" s="126" t="n"/>
      <c r="AN767" s="126" t="n"/>
    </row>
    <row r="768" ht="21" customFormat="1" customHeight="1" s="127">
      <c r="A768" s="51">
        <f>IF($B768="","",ROW()-6)</f>
        <v/>
      </c>
      <c r="B768" s="268" t="n"/>
      <c r="C768" s="133" t="n"/>
      <c r="D768" s="50" t="n"/>
      <c r="E768" s="265" t="n"/>
      <c r="F768" s="133" t="n"/>
      <c r="G768" s="133" t="n"/>
      <c r="H768" s="50" t="n"/>
      <c r="I768" s="51">
        <f>IF($C768="","",IFERROR(INDEX(WorkerIDs,MATCH($C768,WorkerNames,0)),"?"))</f>
        <v/>
      </c>
      <c r="J768" s="253">
        <f>IF($B768="","",$B768-WEEKDAY($B768,2)+1)</f>
        <v/>
      </c>
      <c r="K768" s="142">
        <f>IF(OR($I768="",$I768="?",$D768&lt;&gt;"Advance",$B768=""),"",$I768&amp;"|"&amp;$J768&amp;"|"&amp;COUNTIFS($I$7:$I768,$I768,$J$7:$J768,$J768,$D$7:$D768,"Advance"))</f>
        <v/>
      </c>
      <c r="L768" s="266">
        <f>IF(OR($I768="",$I768="?",$B768=""),"",SUMPRODUCT((Weeks!$A$7:$A$59&lt;=$J768)*(Weeks!$X$5:$AI$5=$I768)*Weeks!$X$7:$AI$59)-SUMIFS($E$7:$E$1006,$I$7:$I$1006,$I768,$B$7:$B$1006,"&lt;="&amp;$B768))</f>
        <v/>
      </c>
      <c r="M768" s="132">
        <f>IF($B768&amp;$C768&amp;$D768&amp;$E768="","",IF($B768="","missing date",IF($C768="","missing worker",IF($I768="?","unknown worker - was the name changed on Workers?",IF($D768="","missing type",IF(N($E768)=0,"missing amount",IF(AND($E768&lt;0,$D768&lt;&gt;"Correction"),"negative amount - use a Correction to undo",IF(OR($B768&lt;Weeks!$A$7,$B768&gt;Weeks!$B$59),"date outside this workbook's year",IF(AND($D768="Advance",N($L768)&lt;0),"Warning: more than earned so far - worker now owes "&amp;TEXT(ROUND(-$L768,0),"#,##0"),"")))))))))</f>
        <v/>
      </c>
      <c r="N768" s="125" t="n"/>
      <c r="O768" s="126" t="n"/>
      <c r="P768" s="126" t="n"/>
      <c r="Q768" s="126" t="n"/>
      <c r="R768" s="126" t="n"/>
      <c r="S768" s="126" t="n"/>
      <c r="T768" s="126" t="n"/>
      <c r="U768" s="126" t="n"/>
      <c r="V768" s="126" t="n"/>
      <c r="W768" s="126" t="n"/>
      <c r="X768" s="126" t="n"/>
      <c r="Y768" s="126" t="n"/>
      <c r="Z768" s="126" t="n"/>
      <c r="AA768" s="126" t="n"/>
      <c r="AB768" s="126" t="n"/>
      <c r="AC768" s="126" t="n"/>
      <c r="AD768" s="126" t="n"/>
      <c r="AE768" s="126" t="n"/>
      <c r="AF768" s="126" t="n"/>
      <c r="AG768" s="126" t="n"/>
      <c r="AH768" s="126" t="n"/>
      <c r="AI768" s="126" t="n"/>
      <c r="AJ768" s="126" t="n"/>
      <c r="AK768" s="126" t="n"/>
      <c r="AL768" s="126" t="n"/>
      <c r="AM768" s="126" t="n"/>
      <c r="AN768" s="126" t="n"/>
    </row>
    <row r="769" ht="21" customFormat="1" customHeight="1" s="127">
      <c r="A769" s="51">
        <f>IF($B769="","",ROW()-6)</f>
        <v/>
      </c>
      <c r="B769" s="268" t="n"/>
      <c r="C769" s="133" t="n"/>
      <c r="D769" s="50" t="n"/>
      <c r="E769" s="265" t="n"/>
      <c r="F769" s="133" t="n"/>
      <c r="G769" s="133" t="n"/>
      <c r="H769" s="50" t="n"/>
      <c r="I769" s="51">
        <f>IF($C769="","",IFERROR(INDEX(WorkerIDs,MATCH($C769,WorkerNames,0)),"?"))</f>
        <v/>
      </c>
      <c r="J769" s="253">
        <f>IF($B769="","",$B769-WEEKDAY($B769,2)+1)</f>
        <v/>
      </c>
      <c r="K769" s="142">
        <f>IF(OR($I769="",$I769="?",$D769&lt;&gt;"Advance",$B769=""),"",$I769&amp;"|"&amp;$J769&amp;"|"&amp;COUNTIFS($I$7:$I769,$I769,$J$7:$J769,$J769,$D$7:$D769,"Advance"))</f>
        <v/>
      </c>
      <c r="L769" s="266">
        <f>IF(OR($I769="",$I769="?",$B769=""),"",SUMPRODUCT((Weeks!$A$7:$A$59&lt;=$J769)*(Weeks!$X$5:$AI$5=$I769)*Weeks!$X$7:$AI$59)-SUMIFS($E$7:$E$1006,$I$7:$I$1006,$I769,$B$7:$B$1006,"&lt;="&amp;$B769))</f>
        <v/>
      </c>
      <c r="M769" s="132">
        <f>IF($B769&amp;$C769&amp;$D769&amp;$E769="","",IF($B769="","missing date",IF($C769="","missing worker",IF($I769="?","unknown worker - was the name changed on Workers?",IF($D769="","missing type",IF(N($E769)=0,"missing amount",IF(AND($E769&lt;0,$D769&lt;&gt;"Correction"),"negative amount - use a Correction to undo",IF(OR($B769&lt;Weeks!$A$7,$B769&gt;Weeks!$B$59),"date outside this workbook's year",IF(AND($D769="Advance",N($L769)&lt;0),"Warning: more than earned so far - worker now owes "&amp;TEXT(ROUND(-$L769,0),"#,##0"),"")))))))))</f>
        <v/>
      </c>
      <c r="N769" s="125" t="n"/>
      <c r="O769" s="126" t="n"/>
      <c r="P769" s="126" t="n"/>
      <c r="Q769" s="126" t="n"/>
      <c r="R769" s="126" t="n"/>
      <c r="S769" s="126" t="n"/>
      <c r="T769" s="126" t="n"/>
      <c r="U769" s="126" t="n"/>
      <c r="V769" s="126" t="n"/>
      <c r="W769" s="126" t="n"/>
      <c r="X769" s="126" t="n"/>
      <c r="Y769" s="126" t="n"/>
      <c r="Z769" s="126" t="n"/>
      <c r="AA769" s="126" t="n"/>
      <c r="AB769" s="126" t="n"/>
      <c r="AC769" s="126" t="n"/>
      <c r="AD769" s="126" t="n"/>
      <c r="AE769" s="126" t="n"/>
      <c r="AF769" s="126" t="n"/>
      <c r="AG769" s="126" t="n"/>
      <c r="AH769" s="126" t="n"/>
      <c r="AI769" s="126" t="n"/>
      <c r="AJ769" s="126" t="n"/>
      <c r="AK769" s="126" t="n"/>
      <c r="AL769" s="126" t="n"/>
      <c r="AM769" s="126" t="n"/>
      <c r="AN769" s="126" t="n"/>
    </row>
    <row r="770" ht="21" customFormat="1" customHeight="1" s="127">
      <c r="A770" s="51">
        <f>IF($B770="","",ROW()-6)</f>
        <v/>
      </c>
      <c r="B770" s="268" t="n"/>
      <c r="C770" s="133" t="n"/>
      <c r="D770" s="50" t="n"/>
      <c r="E770" s="265" t="n"/>
      <c r="F770" s="133" t="n"/>
      <c r="G770" s="133" t="n"/>
      <c r="H770" s="50" t="n"/>
      <c r="I770" s="51">
        <f>IF($C770="","",IFERROR(INDEX(WorkerIDs,MATCH($C770,WorkerNames,0)),"?"))</f>
        <v/>
      </c>
      <c r="J770" s="253">
        <f>IF($B770="","",$B770-WEEKDAY($B770,2)+1)</f>
        <v/>
      </c>
      <c r="K770" s="142">
        <f>IF(OR($I770="",$I770="?",$D770&lt;&gt;"Advance",$B770=""),"",$I770&amp;"|"&amp;$J770&amp;"|"&amp;COUNTIFS($I$7:$I770,$I770,$J$7:$J770,$J770,$D$7:$D770,"Advance"))</f>
        <v/>
      </c>
      <c r="L770" s="266">
        <f>IF(OR($I770="",$I770="?",$B770=""),"",SUMPRODUCT((Weeks!$A$7:$A$59&lt;=$J770)*(Weeks!$X$5:$AI$5=$I770)*Weeks!$X$7:$AI$59)-SUMIFS($E$7:$E$1006,$I$7:$I$1006,$I770,$B$7:$B$1006,"&lt;="&amp;$B770))</f>
        <v/>
      </c>
      <c r="M770" s="132">
        <f>IF($B770&amp;$C770&amp;$D770&amp;$E770="","",IF($B770="","missing date",IF($C770="","missing worker",IF($I770="?","unknown worker - was the name changed on Workers?",IF($D770="","missing type",IF(N($E770)=0,"missing amount",IF(AND($E770&lt;0,$D770&lt;&gt;"Correction"),"negative amount - use a Correction to undo",IF(OR($B770&lt;Weeks!$A$7,$B770&gt;Weeks!$B$59),"date outside this workbook's year",IF(AND($D770="Advance",N($L770)&lt;0),"Warning: more than earned so far - worker now owes "&amp;TEXT(ROUND(-$L770,0),"#,##0"),"")))))))))</f>
        <v/>
      </c>
      <c r="N770" s="125" t="n"/>
      <c r="O770" s="126" t="n"/>
      <c r="P770" s="126" t="n"/>
      <c r="Q770" s="126" t="n"/>
      <c r="R770" s="126" t="n"/>
      <c r="S770" s="126" t="n"/>
      <c r="T770" s="126" t="n"/>
      <c r="U770" s="126" t="n"/>
      <c r="V770" s="126" t="n"/>
      <c r="W770" s="126" t="n"/>
      <c r="X770" s="126" t="n"/>
      <c r="Y770" s="126" t="n"/>
      <c r="Z770" s="126" t="n"/>
      <c r="AA770" s="126" t="n"/>
      <c r="AB770" s="126" t="n"/>
      <c r="AC770" s="126" t="n"/>
      <c r="AD770" s="126" t="n"/>
      <c r="AE770" s="126" t="n"/>
      <c r="AF770" s="126" t="n"/>
      <c r="AG770" s="126" t="n"/>
      <c r="AH770" s="126" t="n"/>
      <c r="AI770" s="126" t="n"/>
      <c r="AJ770" s="126" t="n"/>
      <c r="AK770" s="126" t="n"/>
      <c r="AL770" s="126" t="n"/>
      <c r="AM770" s="126" t="n"/>
      <c r="AN770" s="126" t="n"/>
    </row>
    <row r="771" ht="21" customFormat="1" customHeight="1" s="127">
      <c r="A771" s="51">
        <f>IF($B771="","",ROW()-6)</f>
        <v/>
      </c>
      <c r="B771" s="268" t="n"/>
      <c r="C771" s="133" t="n"/>
      <c r="D771" s="50" t="n"/>
      <c r="E771" s="265" t="n"/>
      <c r="F771" s="133" t="n"/>
      <c r="G771" s="133" t="n"/>
      <c r="H771" s="50" t="n"/>
      <c r="I771" s="51">
        <f>IF($C771="","",IFERROR(INDEX(WorkerIDs,MATCH($C771,WorkerNames,0)),"?"))</f>
        <v/>
      </c>
      <c r="J771" s="253">
        <f>IF($B771="","",$B771-WEEKDAY($B771,2)+1)</f>
        <v/>
      </c>
      <c r="K771" s="142">
        <f>IF(OR($I771="",$I771="?",$D771&lt;&gt;"Advance",$B771=""),"",$I771&amp;"|"&amp;$J771&amp;"|"&amp;COUNTIFS($I$7:$I771,$I771,$J$7:$J771,$J771,$D$7:$D771,"Advance"))</f>
        <v/>
      </c>
      <c r="L771" s="266">
        <f>IF(OR($I771="",$I771="?",$B771=""),"",SUMPRODUCT((Weeks!$A$7:$A$59&lt;=$J771)*(Weeks!$X$5:$AI$5=$I771)*Weeks!$X$7:$AI$59)-SUMIFS($E$7:$E$1006,$I$7:$I$1006,$I771,$B$7:$B$1006,"&lt;="&amp;$B771))</f>
        <v/>
      </c>
      <c r="M771" s="132">
        <f>IF($B771&amp;$C771&amp;$D771&amp;$E771="","",IF($B771="","missing date",IF($C771="","missing worker",IF($I771="?","unknown worker - was the name changed on Workers?",IF($D771="","missing type",IF(N($E771)=0,"missing amount",IF(AND($E771&lt;0,$D771&lt;&gt;"Correction"),"negative amount - use a Correction to undo",IF(OR($B771&lt;Weeks!$A$7,$B771&gt;Weeks!$B$59),"date outside this workbook's year",IF(AND($D771="Advance",N($L771)&lt;0),"Warning: more than earned so far - worker now owes "&amp;TEXT(ROUND(-$L771,0),"#,##0"),"")))))))))</f>
        <v/>
      </c>
      <c r="N771" s="125" t="n"/>
      <c r="O771" s="126" t="n"/>
      <c r="P771" s="126" t="n"/>
      <c r="Q771" s="126" t="n"/>
      <c r="R771" s="126" t="n"/>
      <c r="S771" s="126" t="n"/>
      <c r="T771" s="126" t="n"/>
      <c r="U771" s="126" t="n"/>
      <c r="V771" s="126" t="n"/>
      <c r="W771" s="126" t="n"/>
      <c r="X771" s="126" t="n"/>
      <c r="Y771" s="126" t="n"/>
      <c r="Z771" s="126" t="n"/>
      <c r="AA771" s="126" t="n"/>
      <c r="AB771" s="126" t="n"/>
      <c r="AC771" s="126" t="n"/>
      <c r="AD771" s="126" t="n"/>
      <c r="AE771" s="126" t="n"/>
      <c r="AF771" s="126" t="n"/>
      <c r="AG771" s="126" t="n"/>
      <c r="AH771" s="126" t="n"/>
      <c r="AI771" s="126" t="n"/>
      <c r="AJ771" s="126" t="n"/>
      <c r="AK771" s="126" t="n"/>
      <c r="AL771" s="126" t="n"/>
      <c r="AM771" s="126" t="n"/>
      <c r="AN771" s="126" t="n"/>
    </row>
    <row r="772" ht="21" customFormat="1" customHeight="1" s="127">
      <c r="A772" s="51">
        <f>IF($B772="","",ROW()-6)</f>
        <v/>
      </c>
      <c r="B772" s="268" t="n"/>
      <c r="C772" s="133" t="n"/>
      <c r="D772" s="50" t="n"/>
      <c r="E772" s="265" t="n"/>
      <c r="F772" s="133" t="n"/>
      <c r="G772" s="133" t="n"/>
      <c r="H772" s="50" t="n"/>
      <c r="I772" s="51">
        <f>IF($C772="","",IFERROR(INDEX(WorkerIDs,MATCH($C772,WorkerNames,0)),"?"))</f>
        <v/>
      </c>
      <c r="J772" s="253">
        <f>IF($B772="","",$B772-WEEKDAY($B772,2)+1)</f>
        <v/>
      </c>
      <c r="K772" s="142">
        <f>IF(OR($I772="",$I772="?",$D772&lt;&gt;"Advance",$B772=""),"",$I772&amp;"|"&amp;$J772&amp;"|"&amp;COUNTIFS($I$7:$I772,$I772,$J$7:$J772,$J772,$D$7:$D772,"Advance"))</f>
        <v/>
      </c>
      <c r="L772" s="266">
        <f>IF(OR($I772="",$I772="?",$B772=""),"",SUMPRODUCT((Weeks!$A$7:$A$59&lt;=$J772)*(Weeks!$X$5:$AI$5=$I772)*Weeks!$X$7:$AI$59)-SUMIFS($E$7:$E$1006,$I$7:$I$1006,$I772,$B$7:$B$1006,"&lt;="&amp;$B772))</f>
        <v/>
      </c>
      <c r="M772" s="132">
        <f>IF($B772&amp;$C772&amp;$D772&amp;$E772="","",IF($B772="","missing date",IF($C772="","missing worker",IF($I772="?","unknown worker - was the name changed on Workers?",IF($D772="","missing type",IF(N($E772)=0,"missing amount",IF(AND($E772&lt;0,$D772&lt;&gt;"Correction"),"negative amount - use a Correction to undo",IF(OR($B772&lt;Weeks!$A$7,$B772&gt;Weeks!$B$59),"date outside this workbook's year",IF(AND($D772="Advance",N($L772)&lt;0),"Warning: more than earned so far - worker now owes "&amp;TEXT(ROUND(-$L772,0),"#,##0"),"")))))))))</f>
        <v/>
      </c>
      <c r="N772" s="125" t="n"/>
      <c r="O772" s="126" t="n"/>
      <c r="P772" s="126" t="n"/>
      <c r="Q772" s="126" t="n"/>
      <c r="R772" s="126" t="n"/>
      <c r="S772" s="126" t="n"/>
      <c r="T772" s="126" t="n"/>
      <c r="U772" s="126" t="n"/>
      <c r="V772" s="126" t="n"/>
      <c r="W772" s="126" t="n"/>
      <c r="X772" s="126" t="n"/>
      <c r="Y772" s="126" t="n"/>
      <c r="Z772" s="126" t="n"/>
      <c r="AA772" s="126" t="n"/>
      <c r="AB772" s="126" t="n"/>
      <c r="AC772" s="126" t="n"/>
      <c r="AD772" s="126" t="n"/>
      <c r="AE772" s="126" t="n"/>
      <c r="AF772" s="126" t="n"/>
      <c r="AG772" s="126" t="n"/>
      <c r="AH772" s="126" t="n"/>
      <c r="AI772" s="126" t="n"/>
      <c r="AJ772" s="126" t="n"/>
      <c r="AK772" s="126" t="n"/>
      <c r="AL772" s="126" t="n"/>
      <c r="AM772" s="126" t="n"/>
      <c r="AN772" s="126" t="n"/>
    </row>
    <row r="773" ht="21" customFormat="1" customHeight="1" s="127">
      <c r="A773" s="51">
        <f>IF($B773="","",ROW()-6)</f>
        <v/>
      </c>
      <c r="B773" s="268" t="n"/>
      <c r="C773" s="133" t="n"/>
      <c r="D773" s="50" t="n"/>
      <c r="E773" s="265" t="n"/>
      <c r="F773" s="133" t="n"/>
      <c r="G773" s="133" t="n"/>
      <c r="H773" s="50" t="n"/>
      <c r="I773" s="51">
        <f>IF($C773="","",IFERROR(INDEX(WorkerIDs,MATCH($C773,WorkerNames,0)),"?"))</f>
        <v/>
      </c>
      <c r="J773" s="253">
        <f>IF($B773="","",$B773-WEEKDAY($B773,2)+1)</f>
        <v/>
      </c>
      <c r="K773" s="142">
        <f>IF(OR($I773="",$I773="?",$D773&lt;&gt;"Advance",$B773=""),"",$I773&amp;"|"&amp;$J773&amp;"|"&amp;COUNTIFS($I$7:$I773,$I773,$J$7:$J773,$J773,$D$7:$D773,"Advance"))</f>
        <v/>
      </c>
      <c r="L773" s="266">
        <f>IF(OR($I773="",$I773="?",$B773=""),"",SUMPRODUCT((Weeks!$A$7:$A$59&lt;=$J773)*(Weeks!$X$5:$AI$5=$I773)*Weeks!$X$7:$AI$59)-SUMIFS($E$7:$E$1006,$I$7:$I$1006,$I773,$B$7:$B$1006,"&lt;="&amp;$B773))</f>
        <v/>
      </c>
      <c r="M773" s="132">
        <f>IF($B773&amp;$C773&amp;$D773&amp;$E773="","",IF($B773="","missing date",IF($C773="","missing worker",IF($I773="?","unknown worker - was the name changed on Workers?",IF($D773="","missing type",IF(N($E773)=0,"missing amount",IF(AND($E773&lt;0,$D773&lt;&gt;"Correction"),"negative amount - use a Correction to undo",IF(OR($B773&lt;Weeks!$A$7,$B773&gt;Weeks!$B$59),"date outside this workbook's year",IF(AND($D773="Advance",N($L773)&lt;0),"Warning: more than earned so far - worker now owes "&amp;TEXT(ROUND(-$L773,0),"#,##0"),"")))))))))</f>
        <v/>
      </c>
      <c r="N773" s="125" t="n"/>
      <c r="O773" s="126" t="n"/>
      <c r="P773" s="126" t="n"/>
      <c r="Q773" s="126" t="n"/>
      <c r="R773" s="126" t="n"/>
      <c r="S773" s="126" t="n"/>
      <c r="T773" s="126" t="n"/>
      <c r="U773" s="126" t="n"/>
      <c r="V773" s="126" t="n"/>
      <c r="W773" s="126" t="n"/>
      <c r="X773" s="126" t="n"/>
      <c r="Y773" s="126" t="n"/>
      <c r="Z773" s="126" t="n"/>
      <c r="AA773" s="126" t="n"/>
      <c r="AB773" s="126" t="n"/>
      <c r="AC773" s="126" t="n"/>
      <c r="AD773" s="126" t="n"/>
      <c r="AE773" s="126" t="n"/>
      <c r="AF773" s="126" t="n"/>
      <c r="AG773" s="126" t="n"/>
      <c r="AH773" s="126" t="n"/>
      <c r="AI773" s="126" t="n"/>
      <c r="AJ773" s="126" t="n"/>
      <c r="AK773" s="126" t="n"/>
      <c r="AL773" s="126" t="n"/>
      <c r="AM773" s="126" t="n"/>
      <c r="AN773" s="126" t="n"/>
    </row>
    <row r="774" ht="21" customFormat="1" customHeight="1" s="127">
      <c r="A774" s="51">
        <f>IF($B774="","",ROW()-6)</f>
        <v/>
      </c>
      <c r="B774" s="268" t="n"/>
      <c r="C774" s="133" t="n"/>
      <c r="D774" s="50" t="n"/>
      <c r="E774" s="265" t="n"/>
      <c r="F774" s="133" t="n"/>
      <c r="G774" s="133" t="n"/>
      <c r="H774" s="50" t="n"/>
      <c r="I774" s="51">
        <f>IF($C774="","",IFERROR(INDEX(WorkerIDs,MATCH($C774,WorkerNames,0)),"?"))</f>
        <v/>
      </c>
      <c r="J774" s="253">
        <f>IF($B774="","",$B774-WEEKDAY($B774,2)+1)</f>
        <v/>
      </c>
      <c r="K774" s="142">
        <f>IF(OR($I774="",$I774="?",$D774&lt;&gt;"Advance",$B774=""),"",$I774&amp;"|"&amp;$J774&amp;"|"&amp;COUNTIFS($I$7:$I774,$I774,$J$7:$J774,$J774,$D$7:$D774,"Advance"))</f>
        <v/>
      </c>
      <c r="L774" s="266">
        <f>IF(OR($I774="",$I774="?",$B774=""),"",SUMPRODUCT((Weeks!$A$7:$A$59&lt;=$J774)*(Weeks!$X$5:$AI$5=$I774)*Weeks!$X$7:$AI$59)-SUMIFS($E$7:$E$1006,$I$7:$I$1006,$I774,$B$7:$B$1006,"&lt;="&amp;$B774))</f>
        <v/>
      </c>
      <c r="M774" s="132">
        <f>IF($B774&amp;$C774&amp;$D774&amp;$E774="","",IF($B774="","missing date",IF($C774="","missing worker",IF($I774="?","unknown worker - was the name changed on Workers?",IF($D774="","missing type",IF(N($E774)=0,"missing amount",IF(AND($E774&lt;0,$D774&lt;&gt;"Correction"),"negative amount - use a Correction to undo",IF(OR($B774&lt;Weeks!$A$7,$B774&gt;Weeks!$B$59),"date outside this workbook's year",IF(AND($D774="Advance",N($L774)&lt;0),"Warning: more than earned so far - worker now owes "&amp;TEXT(ROUND(-$L774,0),"#,##0"),"")))))))))</f>
        <v/>
      </c>
      <c r="N774" s="125" t="n"/>
      <c r="O774" s="126" t="n"/>
      <c r="P774" s="126" t="n"/>
      <c r="Q774" s="126" t="n"/>
      <c r="R774" s="126" t="n"/>
      <c r="S774" s="126" t="n"/>
      <c r="T774" s="126" t="n"/>
      <c r="U774" s="126" t="n"/>
      <c r="V774" s="126" t="n"/>
      <c r="W774" s="126" t="n"/>
      <c r="X774" s="126" t="n"/>
      <c r="Y774" s="126" t="n"/>
      <c r="Z774" s="126" t="n"/>
      <c r="AA774" s="126" t="n"/>
      <c r="AB774" s="126" t="n"/>
      <c r="AC774" s="126" t="n"/>
      <c r="AD774" s="126" t="n"/>
      <c r="AE774" s="126" t="n"/>
      <c r="AF774" s="126" t="n"/>
      <c r="AG774" s="126" t="n"/>
      <c r="AH774" s="126" t="n"/>
      <c r="AI774" s="126" t="n"/>
      <c r="AJ774" s="126" t="n"/>
      <c r="AK774" s="126" t="n"/>
      <c r="AL774" s="126" t="n"/>
      <c r="AM774" s="126" t="n"/>
      <c r="AN774" s="126" t="n"/>
    </row>
    <row r="775" ht="21" customFormat="1" customHeight="1" s="127">
      <c r="A775" s="51">
        <f>IF($B775="","",ROW()-6)</f>
        <v/>
      </c>
      <c r="B775" s="268" t="n"/>
      <c r="C775" s="133" t="n"/>
      <c r="D775" s="50" t="n"/>
      <c r="E775" s="265" t="n"/>
      <c r="F775" s="133" t="n"/>
      <c r="G775" s="133" t="n"/>
      <c r="H775" s="50" t="n"/>
      <c r="I775" s="51">
        <f>IF($C775="","",IFERROR(INDEX(WorkerIDs,MATCH($C775,WorkerNames,0)),"?"))</f>
        <v/>
      </c>
      <c r="J775" s="253">
        <f>IF($B775="","",$B775-WEEKDAY($B775,2)+1)</f>
        <v/>
      </c>
      <c r="K775" s="142">
        <f>IF(OR($I775="",$I775="?",$D775&lt;&gt;"Advance",$B775=""),"",$I775&amp;"|"&amp;$J775&amp;"|"&amp;COUNTIFS($I$7:$I775,$I775,$J$7:$J775,$J775,$D$7:$D775,"Advance"))</f>
        <v/>
      </c>
      <c r="L775" s="266">
        <f>IF(OR($I775="",$I775="?",$B775=""),"",SUMPRODUCT((Weeks!$A$7:$A$59&lt;=$J775)*(Weeks!$X$5:$AI$5=$I775)*Weeks!$X$7:$AI$59)-SUMIFS($E$7:$E$1006,$I$7:$I$1006,$I775,$B$7:$B$1006,"&lt;="&amp;$B775))</f>
        <v/>
      </c>
      <c r="M775" s="132">
        <f>IF($B775&amp;$C775&amp;$D775&amp;$E775="","",IF($B775="","missing date",IF($C775="","missing worker",IF($I775="?","unknown worker - was the name changed on Workers?",IF($D775="","missing type",IF(N($E775)=0,"missing amount",IF(AND($E775&lt;0,$D775&lt;&gt;"Correction"),"negative amount - use a Correction to undo",IF(OR($B775&lt;Weeks!$A$7,$B775&gt;Weeks!$B$59),"date outside this workbook's year",IF(AND($D775="Advance",N($L775)&lt;0),"Warning: more than earned so far - worker now owes "&amp;TEXT(ROUND(-$L775,0),"#,##0"),"")))))))))</f>
        <v/>
      </c>
      <c r="N775" s="125" t="n"/>
      <c r="O775" s="126" t="n"/>
      <c r="P775" s="126" t="n"/>
      <c r="Q775" s="126" t="n"/>
      <c r="R775" s="126" t="n"/>
      <c r="S775" s="126" t="n"/>
      <c r="T775" s="126" t="n"/>
      <c r="U775" s="126" t="n"/>
      <c r="V775" s="126" t="n"/>
      <c r="W775" s="126" t="n"/>
      <c r="X775" s="126" t="n"/>
      <c r="Y775" s="126" t="n"/>
      <c r="Z775" s="126" t="n"/>
      <c r="AA775" s="126" t="n"/>
      <c r="AB775" s="126" t="n"/>
      <c r="AC775" s="126" t="n"/>
      <c r="AD775" s="126" t="n"/>
      <c r="AE775" s="126" t="n"/>
      <c r="AF775" s="126" t="n"/>
      <c r="AG775" s="126" t="n"/>
      <c r="AH775" s="126" t="n"/>
      <c r="AI775" s="126" t="n"/>
      <c r="AJ775" s="126" t="n"/>
      <c r="AK775" s="126" t="n"/>
      <c r="AL775" s="126" t="n"/>
      <c r="AM775" s="126" t="n"/>
      <c r="AN775" s="126" t="n"/>
    </row>
    <row r="776" ht="21" customFormat="1" customHeight="1" s="127">
      <c r="A776" s="51">
        <f>IF($B776="","",ROW()-6)</f>
        <v/>
      </c>
      <c r="B776" s="268" t="n"/>
      <c r="C776" s="133" t="n"/>
      <c r="D776" s="50" t="n"/>
      <c r="E776" s="265" t="n"/>
      <c r="F776" s="133" t="n"/>
      <c r="G776" s="133" t="n"/>
      <c r="H776" s="50" t="n"/>
      <c r="I776" s="51">
        <f>IF($C776="","",IFERROR(INDEX(WorkerIDs,MATCH($C776,WorkerNames,0)),"?"))</f>
        <v/>
      </c>
      <c r="J776" s="253">
        <f>IF($B776="","",$B776-WEEKDAY($B776,2)+1)</f>
        <v/>
      </c>
      <c r="K776" s="142">
        <f>IF(OR($I776="",$I776="?",$D776&lt;&gt;"Advance",$B776=""),"",$I776&amp;"|"&amp;$J776&amp;"|"&amp;COUNTIFS($I$7:$I776,$I776,$J$7:$J776,$J776,$D$7:$D776,"Advance"))</f>
        <v/>
      </c>
      <c r="L776" s="266">
        <f>IF(OR($I776="",$I776="?",$B776=""),"",SUMPRODUCT((Weeks!$A$7:$A$59&lt;=$J776)*(Weeks!$X$5:$AI$5=$I776)*Weeks!$X$7:$AI$59)-SUMIFS($E$7:$E$1006,$I$7:$I$1006,$I776,$B$7:$B$1006,"&lt;="&amp;$B776))</f>
        <v/>
      </c>
      <c r="M776" s="132">
        <f>IF($B776&amp;$C776&amp;$D776&amp;$E776="","",IF($B776="","missing date",IF($C776="","missing worker",IF($I776="?","unknown worker - was the name changed on Workers?",IF($D776="","missing type",IF(N($E776)=0,"missing amount",IF(AND($E776&lt;0,$D776&lt;&gt;"Correction"),"negative amount - use a Correction to undo",IF(OR($B776&lt;Weeks!$A$7,$B776&gt;Weeks!$B$59),"date outside this workbook's year",IF(AND($D776="Advance",N($L776)&lt;0),"Warning: more than earned so far - worker now owes "&amp;TEXT(ROUND(-$L776,0),"#,##0"),"")))))))))</f>
        <v/>
      </c>
      <c r="N776" s="125" t="n"/>
      <c r="O776" s="126" t="n"/>
      <c r="P776" s="126" t="n"/>
      <c r="Q776" s="126" t="n"/>
      <c r="R776" s="126" t="n"/>
      <c r="S776" s="126" t="n"/>
      <c r="T776" s="126" t="n"/>
      <c r="U776" s="126" t="n"/>
      <c r="V776" s="126" t="n"/>
      <c r="W776" s="126" t="n"/>
      <c r="X776" s="126" t="n"/>
      <c r="Y776" s="126" t="n"/>
      <c r="Z776" s="126" t="n"/>
      <c r="AA776" s="126" t="n"/>
      <c r="AB776" s="126" t="n"/>
      <c r="AC776" s="126" t="n"/>
      <c r="AD776" s="126" t="n"/>
      <c r="AE776" s="126" t="n"/>
      <c r="AF776" s="126" t="n"/>
      <c r="AG776" s="126" t="n"/>
      <c r="AH776" s="126" t="n"/>
      <c r="AI776" s="126" t="n"/>
      <c r="AJ776" s="126" t="n"/>
      <c r="AK776" s="126" t="n"/>
      <c r="AL776" s="126" t="n"/>
      <c r="AM776" s="126" t="n"/>
      <c r="AN776" s="126" t="n"/>
    </row>
    <row r="777" ht="21" customFormat="1" customHeight="1" s="127">
      <c r="A777" s="51">
        <f>IF($B777="","",ROW()-6)</f>
        <v/>
      </c>
      <c r="B777" s="268" t="n"/>
      <c r="C777" s="133" t="n"/>
      <c r="D777" s="50" t="n"/>
      <c r="E777" s="265" t="n"/>
      <c r="F777" s="133" t="n"/>
      <c r="G777" s="133" t="n"/>
      <c r="H777" s="50" t="n"/>
      <c r="I777" s="51">
        <f>IF($C777="","",IFERROR(INDEX(WorkerIDs,MATCH($C777,WorkerNames,0)),"?"))</f>
        <v/>
      </c>
      <c r="J777" s="253">
        <f>IF($B777="","",$B777-WEEKDAY($B777,2)+1)</f>
        <v/>
      </c>
      <c r="K777" s="142">
        <f>IF(OR($I777="",$I777="?",$D777&lt;&gt;"Advance",$B777=""),"",$I777&amp;"|"&amp;$J777&amp;"|"&amp;COUNTIFS($I$7:$I777,$I777,$J$7:$J777,$J777,$D$7:$D777,"Advance"))</f>
        <v/>
      </c>
      <c r="L777" s="266">
        <f>IF(OR($I777="",$I777="?",$B777=""),"",SUMPRODUCT((Weeks!$A$7:$A$59&lt;=$J777)*(Weeks!$X$5:$AI$5=$I777)*Weeks!$X$7:$AI$59)-SUMIFS($E$7:$E$1006,$I$7:$I$1006,$I777,$B$7:$B$1006,"&lt;="&amp;$B777))</f>
        <v/>
      </c>
      <c r="M777" s="132">
        <f>IF($B777&amp;$C777&amp;$D777&amp;$E777="","",IF($B777="","missing date",IF($C777="","missing worker",IF($I777="?","unknown worker - was the name changed on Workers?",IF($D777="","missing type",IF(N($E777)=0,"missing amount",IF(AND($E777&lt;0,$D777&lt;&gt;"Correction"),"negative amount - use a Correction to undo",IF(OR($B777&lt;Weeks!$A$7,$B777&gt;Weeks!$B$59),"date outside this workbook's year",IF(AND($D777="Advance",N($L777)&lt;0),"Warning: more than earned so far - worker now owes "&amp;TEXT(ROUND(-$L777,0),"#,##0"),"")))))))))</f>
        <v/>
      </c>
      <c r="N777" s="125" t="n"/>
      <c r="O777" s="126" t="n"/>
      <c r="P777" s="126" t="n"/>
      <c r="Q777" s="126" t="n"/>
      <c r="R777" s="126" t="n"/>
      <c r="S777" s="126" t="n"/>
      <c r="T777" s="126" t="n"/>
      <c r="U777" s="126" t="n"/>
      <c r="V777" s="126" t="n"/>
      <c r="W777" s="126" t="n"/>
      <c r="X777" s="126" t="n"/>
      <c r="Y777" s="126" t="n"/>
      <c r="Z777" s="126" t="n"/>
      <c r="AA777" s="126" t="n"/>
      <c r="AB777" s="126" t="n"/>
      <c r="AC777" s="126" t="n"/>
      <c r="AD777" s="126" t="n"/>
      <c r="AE777" s="126" t="n"/>
      <c r="AF777" s="126" t="n"/>
      <c r="AG777" s="126" t="n"/>
      <c r="AH777" s="126" t="n"/>
      <c r="AI777" s="126" t="n"/>
      <c r="AJ777" s="126" t="n"/>
      <c r="AK777" s="126" t="n"/>
      <c r="AL777" s="126" t="n"/>
      <c r="AM777" s="126" t="n"/>
      <c r="AN777" s="126" t="n"/>
    </row>
    <row r="778" ht="21" customFormat="1" customHeight="1" s="127">
      <c r="A778" s="51">
        <f>IF($B778="","",ROW()-6)</f>
        <v/>
      </c>
      <c r="B778" s="268" t="n"/>
      <c r="C778" s="133" t="n"/>
      <c r="D778" s="50" t="n"/>
      <c r="E778" s="265" t="n"/>
      <c r="F778" s="133" t="n"/>
      <c r="G778" s="133" t="n"/>
      <c r="H778" s="50" t="n"/>
      <c r="I778" s="51">
        <f>IF($C778="","",IFERROR(INDEX(WorkerIDs,MATCH($C778,WorkerNames,0)),"?"))</f>
        <v/>
      </c>
      <c r="J778" s="253">
        <f>IF($B778="","",$B778-WEEKDAY($B778,2)+1)</f>
        <v/>
      </c>
      <c r="K778" s="142">
        <f>IF(OR($I778="",$I778="?",$D778&lt;&gt;"Advance",$B778=""),"",$I778&amp;"|"&amp;$J778&amp;"|"&amp;COUNTIFS($I$7:$I778,$I778,$J$7:$J778,$J778,$D$7:$D778,"Advance"))</f>
        <v/>
      </c>
      <c r="L778" s="266">
        <f>IF(OR($I778="",$I778="?",$B778=""),"",SUMPRODUCT((Weeks!$A$7:$A$59&lt;=$J778)*(Weeks!$X$5:$AI$5=$I778)*Weeks!$X$7:$AI$59)-SUMIFS($E$7:$E$1006,$I$7:$I$1006,$I778,$B$7:$B$1006,"&lt;="&amp;$B778))</f>
        <v/>
      </c>
      <c r="M778" s="132">
        <f>IF($B778&amp;$C778&amp;$D778&amp;$E778="","",IF($B778="","missing date",IF($C778="","missing worker",IF($I778="?","unknown worker - was the name changed on Workers?",IF($D778="","missing type",IF(N($E778)=0,"missing amount",IF(AND($E778&lt;0,$D778&lt;&gt;"Correction"),"negative amount - use a Correction to undo",IF(OR($B778&lt;Weeks!$A$7,$B778&gt;Weeks!$B$59),"date outside this workbook's year",IF(AND($D778="Advance",N($L778)&lt;0),"Warning: more than earned so far - worker now owes "&amp;TEXT(ROUND(-$L778,0),"#,##0"),"")))))))))</f>
        <v/>
      </c>
      <c r="N778" s="125" t="n"/>
      <c r="O778" s="126" t="n"/>
      <c r="P778" s="126" t="n"/>
      <c r="Q778" s="126" t="n"/>
      <c r="R778" s="126" t="n"/>
      <c r="S778" s="126" t="n"/>
      <c r="T778" s="126" t="n"/>
      <c r="U778" s="126" t="n"/>
      <c r="V778" s="126" t="n"/>
      <c r="W778" s="126" t="n"/>
      <c r="X778" s="126" t="n"/>
      <c r="Y778" s="126" t="n"/>
      <c r="Z778" s="126" t="n"/>
      <c r="AA778" s="126" t="n"/>
      <c r="AB778" s="126" t="n"/>
      <c r="AC778" s="126" t="n"/>
      <c r="AD778" s="126" t="n"/>
      <c r="AE778" s="126" t="n"/>
      <c r="AF778" s="126" t="n"/>
      <c r="AG778" s="126" t="n"/>
      <c r="AH778" s="126" t="n"/>
      <c r="AI778" s="126" t="n"/>
      <c r="AJ778" s="126" t="n"/>
      <c r="AK778" s="126" t="n"/>
      <c r="AL778" s="126" t="n"/>
      <c r="AM778" s="126" t="n"/>
      <c r="AN778" s="126" t="n"/>
    </row>
    <row r="779" ht="21" customFormat="1" customHeight="1" s="127">
      <c r="A779" s="51">
        <f>IF($B779="","",ROW()-6)</f>
        <v/>
      </c>
      <c r="B779" s="268" t="n"/>
      <c r="C779" s="133" t="n"/>
      <c r="D779" s="50" t="n"/>
      <c r="E779" s="265" t="n"/>
      <c r="F779" s="133" t="n"/>
      <c r="G779" s="133" t="n"/>
      <c r="H779" s="50" t="n"/>
      <c r="I779" s="51">
        <f>IF($C779="","",IFERROR(INDEX(WorkerIDs,MATCH($C779,WorkerNames,0)),"?"))</f>
        <v/>
      </c>
      <c r="J779" s="253">
        <f>IF($B779="","",$B779-WEEKDAY($B779,2)+1)</f>
        <v/>
      </c>
      <c r="K779" s="142">
        <f>IF(OR($I779="",$I779="?",$D779&lt;&gt;"Advance",$B779=""),"",$I779&amp;"|"&amp;$J779&amp;"|"&amp;COUNTIFS($I$7:$I779,$I779,$J$7:$J779,$J779,$D$7:$D779,"Advance"))</f>
        <v/>
      </c>
      <c r="L779" s="266">
        <f>IF(OR($I779="",$I779="?",$B779=""),"",SUMPRODUCT((Weeks!$A$7:$A$59&lt;=$J779)*(Weeks!$X$5:$AI$5=$I779)*Weeks!$X$7:$AI$59)-SUMIFS($E$7:$E$1006,$I$7:$I$1006,$I779,$B$7:$B$1006,"&lt;="&amp;$B779))</f>
        <v/>
      </c>
      <c r="M779" s="132">
        <f>IF($B779&amp;$C779&amp;$D779&amp;$E779="","",IF($B779="","missing date",IF($C779="","missing worker",IF($I779="?","unknown worker - was the name changed on Workers?",IF($D779="","missing type",IF(N($E779)=0,"missing amount",IF(AND($E779&lt;0,$D779&lt;&gt;"Correction"),"negative amount - use a Correction to undo",IF(OR($B779&lt;Weeks!$A$7,$B779&gt;Weeks!$B$59),"date outside this workbook's year",IF(AND($D779="Advance",N($L779)&lt;0),"Warning: more than earned so far - worker now owes "&amp;TEXT(ROUND(-$L779,0),"#,##0"),"")))))))))</f>
        <v/>
      </c>
      <c r="N779" s="125" t="n"/>
      <c r="O779" s="126" t="n"/>
      <c r="P779" s="126" t="n"/>
      <c r="Q779" s="126" t="n"/>
      <c r="R779" s="126" t="n"/>
      <c r="S779" s="126" t="n"/>
      <c r="T779" s="126" t="n"/>
      <c r="U779" s="126" t="n"/>
      <c r="V779" s="126" t="n"/>
      <c r="W779" s="126" t="n"/>
      <c r="X779" s="126" t="n"/>
      <c r="Y779" s="126" t="n"/>
      <c r="Z779" s="126" t="n"/>
      <c r="AA779" s="126" t="n"/>
      <c r="AB779" s="126" t="n"/>
      <c r="AC779" s="126" t="n"/>
      <c r="AD779" s="126" t="n"/>
      <c r="AE779" s="126" t="n"/>
      <c r="AF779" s="126" t="n"/>
      <c r="AG779" s="126" t="n"/>
      <c r="AH779" s="126" t="n"/>
      <c r="AI779" s="126" t="n"/>
      <c r="AJ779" s="126" t="n"/>
      <c r="AK779" s="126" t="n"/>
      <c r="AL779" s="126" t="n"/>
      <c r="AM779" s="126" t="n"/>
      <c r="AN779" s="126" t="n"/>
    </row>
    <row r="780" ht="21" customFormat="1" customHeight="1" s="127">
      <c r="A780" s="51">
        <f>IF($B780="","",ROW()-6)</f>
        <v/>
      </c>
      <c r="B780" s="268" t="n"/>
      <c r="C780" s="133" t="n"/>
      <c r="D780" s="50" t="n"/>
      <c r="E780" s="265" t="n"/>
      <c r="F780" s="133" t="n"/>
      <c r="G780" s="133" t="n"/>
      <c r="H780" s="50" t="n"/>
      <c r="I780" s="51">
        <f>IF($C780="","",IFERROR(INDEX(WorkerIDs,MATCH($C780,WorkerNames,0)),"?"))</f>
        <v/>
      </c>
      <c r="J780" s="253">
        <f>IF($B780="","",$B780-WEEKDAY($B780,2)+1)</f>
        <v/>
      </c>
      <c r="K780" s="142">
        <f>IF(OR($I780="",$I780="?",$D780&lt;&gt;"Advance",$B780=""),"",$I780&amp;"|"&amp;$J780&amp;"|"&amp;COUNTIFS($I$7:$I780,$I780,$J$7:$J780,$J780,$D$7:$D780,"Advance"))</f>
        <v/>
      </c>
      <c r="L780" s="266">
        <f>IF(OR($I780="",$I780="?",$B780=""),"",SUMPRODUCT((Weeks!$A$7:$A$59&lt;=$J780)*(Weeks!$X$5:$AI$5=$I780)*Weeks!$X$7:$AI$59)-SUMIFS($E$7:$E$1006,$I$7:$I$1006,$I780,$B$7:$B$1006,"&lt;="&amp;$B780))</f>
        <v/>
      </c>
      <c r="M780" s="132">
        <f>IF($B780&amp;$C780&amp;$D780&amp;$E780="","",IF($B780="","missing date",IF($C780="","missing worker",IF($I780="?","unknown worker - was the name changed on Workers?",IF($D780="","missing type",IF(N($E780)=0,"missing amount",IF(AND($E780&lt;0,$D780&lt;&gt;"Correction"),"negative amount - use a Correction to undo",IF(OR($B780&lt;Weeks!$A$7,$B780&gt;Weeks!$B$59),"date outside this workbook's year",IF(AND($D780="Advance",N($L780)&lt;0),"Warning: more than earned so far - worker now owes "&amp;TEXT(ROUND(-$L780,0),"#,##0"),"")))))))))</f>
        <v/>
      </c>
      <c r="N780" s="125" t="n"/>
      <c r="O780" s="126" t="n"/>
      <c r="P780" s="126" t="n"/>
      <c r="Q780" s="126" t="n"/>
      <c r="R780" s="126" t="n"/>
      <c r="S780" s="126" t="n"/>
      <c r="T780" s="126" t="n"/>
      <c r="U780" s="126" t="n"/>
      <c r="V780" s="126" t="n"/>
      <c r="W780" s="126" t="n"/>
      <c r="X780" s="126" t="n"/>
      <c r="Y780" s="126" t="n"/>
      <c r="Z780" s="126" t="n"/>
      <c r="AA780" s="126" t="n"/>
      <c r="AB780" s="126" t="n"/>
      <c r="AC780" s="126" t="n"/>
      <c r="AD780" s="126" t="n"/>
      <c r="AE780" s="126" t="n"/>
      <c r="AF780" s="126" t="n"/>
      <c r="AG780" s="126" t="n"/>
      <c r="AH780" s="126" t="n"/>
      <c r="AI780" s="126" t="n"/>
      <c r="AJ780" s="126" t="n"/>
      <c r="AK780" s="126" t="n"/>
      <c r="AL780" s="126" t="n"/>
      <c r="AM780" s="126" t="n"/>
      <c r="AN780" s="126" t="n"/>
    </row>
    <row r="781" ht="21" customFormat="1" customHeight="1" s="127">
      <c r="A781" s="51">
        <f>IF($B781="","",ROW()-6)</f>
        <v/>
      </c>
      <c r="B781" s="268" t="n"/>
      <c r="C781" s="133" t="n"/>
      <c r="D781" s="50" t="n"/>
      <c r="E781" s="265" t="n"/>
      <c r="F781" s="133" t="n"/>
      <c r="G781" s="133" t="n"/>
      <c r="H781" s="50" t="n"/>
      <c r="I781" s="51">
        <f>IF($C781="","",IFERROR(INDEX(WorkerIDs,MATCH($C781,WorkerNames,0)),"?"))</f>
        <v/>
      </c>
      <c r="J781" s="253">
        <f>IF($B781="","",$B781-WEEKDAY($B781,2)+1)</f>
        <v/>
      </c>
      <c r="K781" s="142">
        <f>IF(OR($I781="",$I781="?",$D781&lt;&gt;"Advance",$B781=""),"",$I781&amp;"|"&amp;$J781&amp;"|"&amp;COUNTIFS($I$7:$I781,$I781,$J$7:$J781,$J781,$D$7:$D781,"Advance"))</f>
        <v/>
      </c>
      <c r="L781" s="266">
        <f>IF(OR($I781="",$I781="?",$B781=""),"",SUMPRODUCT((Weeks!$A$7:$A$59&lt;=$J781)*(Weeks!$X$5:$AI$5=$I781)*Weeks!$X$7:$AI$59)-SUMIFS($E$7:$E$1006,$I$7:$I$1006,$I781,$B$7:$B$1006,"&lt;="&amp;$B781))</f>
        <v/>
      </c>
      <c r="M781" s="132">
        <f>IF($B781&amp;$C781&amp;$D781&amp;$E781="","",IF($B781="","missing date",IF($C781="","missing worker",IF($I781="?","unknown worker - was the name changed on Workers?",IF($D781="","missing type",IF(N($E781)=0,"missing amount",IF(AND($E781&lt;0,$D781&lt;&gt;"Correction"),"negative amount - use a Correction to undo",IF(OR($B781&lt;Weeks!$A$7,$B781&gt;Weeks!$B$59),"date outside this workbook's year",IF(AND($D781="Advance",N($L781)&lt;0),"Warning: more than earned so far - worker now owes "&amp;TEXT(ROUND(-$L781,0),"#,##0"),"")))))))))</f>
        <v/>
      </c>
      <c r="N781" s="125" t="n"/>
      <c r="O781" s="126" t="n"/>
      <c r="P781" s="126" t="n"/>
      <c r="Q781" s="126" t="n"/>
      <c r="R781" s="126" t="n"/>
      <c r="S781" s="126" t="n"/>
      <c r="T781" s="126" t="n"/>
      <c r="U781" s="126" t="n"/>
      <c r="V781" s="126" t="n"/>
      <c r="W781" s="126" t="n"/>
      <c r="X781" s="126" t="n"/>
      <c r="Y781" s="126" t="n"/>
      <c r="Z781" s="126" t="n"/>
      <c r="AA781" s="126" t="n"/>
      <c r="AB781" s="126" t="n"/>
      <c r="AC781" s="126" t="n"/>
      <c r="AD781" s="126" t="n"/>
      <c r="AE781" s="126" t="n"/>
      <c r="AF781" s="126" t="n"/>
      <c r="AG781" s="126" t="n"/>
      <c r="AH781" s="126" t="n"/>
      <c r="AI781" s="126" t="n"/>
      <c r="AJ781" s="126" t="n"/>
      <c r="AK781" s="126" t="n"/>
      <c r="AL781" s="126" t="n"/>
      <c r="AM781" s="126" t="n"/>
      <c r="AN781" s="126" t="n"/>
    </row>
    <row r="782" ht="21" customFormat="1" customHeight="1" s="127">
      <c r="A782" s="51">
        <f>IF($B782="","",ROW()-6)</f>
        <v/>
      </c>
      <c r="B782" s="268" t="n"/>
      <c r="C782" s="133" t="n"/>
      <c r="D782" s="50" t="n"/>
      <c r="E782" s="265" t="n"/>
      <c r="F782" s="133" t="n"/>
      <c r="G782" s="133" t="n"/>
      <c r="H782" s="50" t="n"/>
      <c r="I782" s="51">
        <f>IF($C782="","",IFERROR(INDEX(WorkerIDs,MATCH($C782,WorkerNames,0)),"?"))</f>
        <v/>
      </c>
      <c r="J782" s="253">
        <f>IF($B782="","",$B782-WEEKDAY($B782,2)+1)</f>
        <v/>
      </c>
      <c r="K782" s="142">
        <f>IF(OR($I782="",$I782="?",$D782&lt;&gt;"Advance",$B782=""),"",$I782&amp;"|"&amp;$J782&amp;"|"&amp;COUNTIFS($I$7:$I782,$I782,$J$7:$J782,$J782,$D$7:$D782,"Advance"))</f>
        <v/>
      </c>
      <c r="L782" s="266">
        <f>IF(OR($I782="",$I782="?",$B782=""),"",SUMPRODUCT((Weeks!$A$7:$A$59&lt;=$J782)*(Weeks!$X$5:$AI$5=$I782)*Weeks!$X$7:$AI$59)-SUMIFS($E$7:$E$1006,$I$7:$I$1006,$I782,$B$7:$B$1006,"&lt;="&amp;$B782))</f>
        <v/>
      </c>
      <c r="M782" s="132">
        <f>IF($B782&amp;$C782&amp;$D782&amp;$E782="","",IF($B782="","missing date",IF($C782="","missing worker",IF($I782="?","unknown worker - was the name changed on Workers?",IF($D782="","missing type",IF(N($E782)=0,"missing amount",IF(AND($E782&lt;0,$D782&lt;&gt;"Correction"),"negative amount - use a Correction to undo",IF(OR($B782&lt;Weeks!$A$7,$B782&gt;Weeks!$B$59),"date outside this workbook's year",IF(AND($D782="Advance",N($L782)&lt;0),"Warning: more than earned so far - worker now owes "&amp;TEXT(ROUND(-$L782,0),"#,##0"),"")))))))))</f>
        <v/>
      </c>
      <c r="N782" s="125" t="n"/>
      <c r="O782" s="126" t="n"/>
      <c r="P782" s="126" t="n"/>
      <c r="Q782" s="126" t="n"/>
      <c r="R782" s="126" t="n"/>
      <c r="S782" s="126" t="n"/>
      <c r="T782" s="126" t="n"/>
      <c r="U782" s="126" t="n"/>
      <c r="V782" s="126" t="n"/>
      <c r="W782" s="126" t="n"/>
      <c r="X782" s="126" t="n"/>
      <c r="Y782" s="126" t="n"/>
      <c r="Z782" s="126" t="n"/>
      <c r="AA782" s="126" t="n"/>
      <c r="AB782" s="126" t="n"/>
      <c r="AC782" s="126" t="n"/>
      <c r="AD782" s="126" t="n"/>
      <c r="AE782" s="126" t="n"/>
      <c r="AF782" s="126" t="n"/>
      <c r="AG782" s="126" t="n"/>
      <c r="AH782" s="126" t="n"/>
      <c r="AI782" s="126" t="n"/>
      <c r="AJ782" s="126" t="n"/>
      <c r="AK782" s="126" t="n"/>
      <c r="AL782" s="126" t="n"/>
      <c r="AM782" s="126" t="n"/>
      <c r="AN782" s="126" t="n"/>
    </row>
    <row r="783" ht="21" customFormat="1" customHeight="1" s="127">
      <c r="A783" s="51">
        <f>IF($B783="","",ROW()-6)</f>
        <v/>
      </c>
      <c r="B783" s="268" t="n"/>
      <c r="C783" s="133" t="n"/>
      <c r="D783" s="50" t="n"/>
      <c r="E783" s="265" t="n"/>
      <c r="F783" s="133" t="n"/>
      <c r="G783" s="133" t="n"/>
      <c r="H783" s="50" t="n"/>
      <c r="I783" s="51">
        <f>IF($C783="","",IFERROR(INDEX(WorkerIDs,MATCH($C783,WorkerNames,0)),"?"))</f>
        <v/>
      </c>
      <c r="J783" s="253">
        <f>IF($B783="","",$B783-WEEKDAY($B783,2)+1)</f>
        <v/>
      </c>
      <c r="K783" s="142">
        <f>IF(OR($I783="",$I783="?",$D783&lt;&gt;"Advance",$B783=""),"",$I783&amp;"|"&amp;$J783&amp;"|"&amp;COUNTIFS($I$7:$I783,$I783,$J$7:$J783,$J783,$D$7:$D783,"Advance"))</f>
        <v/>
      </c>
      <c r="L783" s="266">
        <f>IF(OR($I783="",$I783="?",$B783=""),"",SUMPRODUCT((Weeks!$A$7:$A$59&lt;=$J783)*(Weeks!$X$5:$AI$5=$I783)*Weeks!$X$7:$AI$59)-SUMIFS($E$7:$E$1006,$I$7:$I$1006,$I783,$B$7:$B$1006,"&lt;="&amp;$B783))</f>
        <v/>
      </c>
      <c r="M783" s="132">
        <f>IF($B783&amp;$C783&amp;$D783&amp;$E783="","",IF($B783="","missing date",IF($C783="","missing worker",IF($I783="?","unknown worker - was the name changed on Workers?",IF($D783="","missing type",IF(N($E783)=0,"missing amount",IF(AND($E783&lt;0,$D783&lt;&gt;"Correction"),"negative amount - use a Correction to undo",IF(OR($B783&lt;Weeks!$A$7,$B783&gt;Weeks!$B$59),"date outside this workbook's year",IF(AND($D783="Advance",N($L783)&lt;0),"Warning: more than earned so far - worker now owes "&amp;TEXT(ROUND(-$L783,0),"#,##0"),"")))))))))</f>
        <v/>
      </c>
      <c r="N783" s="125" t="n"/>
      <c r="O783" s="126" t="n"/>
      <c r="P783" s="126" t="n"/>
      <c r="Q783" s="126" t="n"/>
      <c r="R783" s="126" t="n"/>
      <c r="S783" s="126" t="n"/>
      <c r="T783" s="126" t="n"/>
      <c r="U783" s="126" t="n"/>
      <c r="V783" s="126" t="n"/>
      <c r="W783" s="126" t="n"/>
      <c r="X783" s="126" t="n"/>
      <c r="Y783" s="126" t="n"/>
      <c r="Z783" s="126" t="n"/>
      <c r="AA783" s="126" t="n"/>
      <c r="AB783" s="126" t="n"/>
      <c r="AC783" s="126" t="n"/>
      <c r="AD783" s="126" t="n"/>
      <c r="AE783" s="126" t="n"/>
      <c r="AF783" s="126" t="n"/>
      <c r="AG783" s="126" t="n"/>
      <c r="AH783" s="126" t="n"/>
      <c r="AI783" s="126" t="n"/>
      <c r="AJ783" s="126" t="n"/>
      <c r="AK783" s="126" t="n"/>
      <c r="AL783" s="126" t="n"/>
      <c r="AM783" s="126" t="n"/>
      <c r="AN783" s="126" t="n"/>
    </row>
    <row r="784" ht="21" customFormat="1" customHeight="1" s="127">
      <c r="A784" s="51">
        <f>IF($B784="","",ROW()-6)</f>
        <v/>
      </c>
      <c r="B784" s="268" t="n"/>
      <c r="C784" s="133" t="n"/>
      <c r="D784" s="50" t="n"/>
      <c r="E784" s="265" t="n"/>
      <c r="F784" s="133" t="n"/>
      <c r="G784" s="133" t="n"/>
      <c r="H784" s="50" t="n"/>
      <c r="I784" s="51">
        <f>IF($C784="","",IFERROR(INDEX(WorkerIDs,MATCH($C784,WorkerNames,0)),"?"))</f>
        <v/>
      </c>
      <c r="J784" s="253">
        <f>IF($B784="","",$B784-WEEKDAY($B784,2)+1)</f>
        <v/>
      </c>
      <c r="K784" s="142">
        <f>IF(OR($I784="",$I784="?",$D784&lt;&gt;"Advance",$B784=""),"",$I784&amp;"|"&amp;$J784&amp;"|"&amp;COUNTIFS($I$7:$I784,$I784,$J$7:$J784,$J784,$D$7:$D784,"Advance"))</f>
        <v/>
      </c>
      <c r="L784" s="266">
        <f>IF(OR($I784="",$I784="?",$B784=""),"",SUMPRODUCT((Weeks!$A$7:$A$59&lt;=$J784)*(Weeks!$X$5:$AI$5=$I784)*Weeks!$X$7:$AI$59)-SUMIFS($E$7:$E$1006,$I$7:$I$1006,$I784,$B$7:$B$1006,"&lt;="&amp;$B784))</f>
        <v/>
      </c>
      <c r="M784" s="132">
        <f>IF($B784&amp;$C784&amp;$D784&amp;$E784="","",IF($B784="","missing date",IF($C784="","missing worker",IF($I784="?","unknown worker - was the name changed on Workers?",IF($D784="","missing type",IF(N($E784)=0,"missing amount",IF(AND($E784&lt;0,$D784&lt;&gt;"Correction"),"negative amount - use a Correction to undo",IF(OR($B784&lt;Weeks!$A$7,$B784&gt;Weeks!$B$59),"date outside this workbook's year",IF(AND($D784="Advance",N($L784)&lt;0),"Warning: more than earned so far - worker now owes "&amp;TEXT(ROUND(-$L784,0),"#,##0"),"")))))))))</f>
        <v/>
      </c>
      <c r="N784" s="125" t="n"/>
      <c r="O784" s="126" t="n"/>
      <c r="P784" s="126" t="n"/>
      <c r="Q784" s="126" t="n"/>
      <c r="R784" s="126" t="n"/>
      <c r="S784" s="126" t="n"/>
      <c r="T784" s="126" t="n"/>
      <c r="U784" s="126" t="n"/>
      <c r="V784" s="126" t="n"/>
      <c r="W784" s="126" t="n"/>
      <c r="X784" s="126" t="n"/>
      <c r="Y784" s="126" t="n"/>
      <c r="Z784" s="126" t="n"/>
      <c r="AA784" s="126" t="n"/>
      <c r="AB784" s="126" t="n"/>
      <c r="AC784" s="126" t="n"/>
      <c r="AD784" s="126" t="n"/>
      <c r="AE784" s="126" t="n"/>
      <c r="AF784" s="126" t="n"/>
      <c r="AG784" s="126" t="n"/>
      <c r="AH784" s="126" t="n"/>
      <c r="AI784" s="126" t="n"/>
      <c r="AJ784" s="126" t="n"/>
      <c r="AK784" s="126" t="n"/>
      <c r="AL784" s="126" t="n"/>
      <c r="AM784" s="126" t="n"/>
      <c r="AN784" s="126" t="n"/>
    </row>
    <row r="785" ht="21" customFormat="1" customHeight="1" s="127">
      <c r="A785" s="51">
        <f>IF($B785="","",ROW()-6)</f>
        <v/>
      </c>
      <c r="B785" s="268" t="n"/>
      <c r="C785" s="133" t="n"/>
      <c r="D785" s="50" t="n"/>
      <c r="E785" s="265" t="n"/>
      <c r="F785" s="133" t="n"/>
      <c r="G785" s="133" t="n"/>
      <c r="H785" s="50" t="n"/>
      <c r="I785" s="51">
        <f>IF($C785="","",IFERROR(INDEX(WorkerIDs,MATCH($C785,WorkerNames,0)),"?"))</f>
        <v/>
      </c>
      <c r="J785" s="253">
        <f>IF($B785="","",$B785-WEEKDAY($B785,2)+1)</f>
        <v/>
      </c>
      <c r="K785" s="142">
        <f>IF(OR($I785="",$I785="?",$D785&lt;&gt;"Advance",$B785=""),"",$I785&amp;"|"&amp;$J785&amp;"|"&amp;COUNTIFS($I$7:$I785,$I785,$J$7:$J785,$J785,$D$7:$D785,"Advance"))</f>
        <v/>
      </c>
      <c r="L785" s="266">
        <f>IF(OR($I785="",$I785="?",$B785=""),"",SUMPRODUCT((Weeks!$A$7:$A$59&lt;=$J785)*(Weeks!$X$5:$AI$5=$I785)*Weeks!$X$7:$AI$59)-SUMIFS($E$7:$E$1006,$I$7:$I$1006,$I785,$B$7:$B$1006,"&lt;="&amp;$B785))</f>
        <v/>
      </c>
      <c r="M785" s="132">
        <f>IF($B785&amp;$C785&amp;$D785&amp;$E785="","",IF($B785="","missing date",IF($C785="","missing worker",IF($I785="?","unknown worker - was the name changed on Workers?",IF($D785="","missing type",IF(N($E785)=0,"missing amount",IF(AND($E785&lt;0,$D785&lt;&gt;"Correction"),"negative amount - use a Correction to undo",IF(OR($B785&lt;Weeks!$A$7,$B785&gt;Weeks!$B$59),"date outside this workbook's year",IF(AND($D785="Advance",N($L785)&lt;0),"Warning: more than earned so far - worker now owes "&amp;TEXT(ROUND(-$L785,0),"#,##0"),"")))))))))</f>
        <v/>
      </c>
      <c r="N785" s="125" t="n"/>
      <c r="O785" s="126" t="n"/>
      <c r="P785" s="126" t="n"/>
      <c r="Q785" s="126" t="n"/>
      <c r="R785" s="126" t="n"/>
      <c r="S785" s="126" t="n"/>
      <c r="T785" s="126" t="n"/>
      <c r="U785" s="126" t="n"/>
      <c r="V785" s="126" t="n"/>
      <c r="W785" s="126" t="n"/>
      <c r="X785" s="126" t="n"/>
      <c r="Y785" s="126" t="n"/>
      <c r="Z785" s="126" t="n"/>
      <c r="AA785" s="126" t="n"/>
      <c r="AB785" s="126" t="n"/>
      <c r="AC785" s="126" t="n"/>
      <c r="AD785" s="126" t="n"/>
      <c r="AE785" s="126" t="n"/>
      <c r="AF785" s="126" t="n"/>
      <c r="AG785" s="126" t="n"/>
      <c r="AH785" s="126" t="n"/>
      <c r="AI785" s="126" t="n"/>
      <c r="AJ785" s="126" t="n"/>
      <c r="AK785" s="126" t="n"/>
      <c r="AL785" s="126" t="n"/>
      <c r="AM785" s="126" t="n"/>
      <c r="AN785" s="126" t="n"/>
    </row>
    <row r="786" ht="21" customFormat="1" customHeight="1" s="127">
      <c r="A786" s="51">
        <f>IF($B786="","",ROW()-6)</f>
        <v/>
      </c>
      <c r="B786" s="268" t="n"/>
      <c r="C786" s="133" t="n"/>
      <c r="D786" s="50" t="n"/>
      <c r="E786" s="265" t="n"/>
      <c r="F786" s="133" t="n"/>
      <c r="G786" s="133" t="n"/>
      <c r="H786" s="50" t="n"/>
      <c r="I786" s="51">
        <f>IF($C786="","",IFERROR(INDEX(WorkerIDs,MATCH($C786,WorkerNames,0)),"?"))</f>
        <v/>
      </c>
      <c r="J786" s="253">
        <f>IF($B786="","",$B786-WEEKDAY($B786,2)+1)</f>
        <v/>
      </c>
      <c r="K786" s="142">
        <f>IF(OR($I786="",$I786="?",$D786&lt;&gt;"Advance",$B786=""),"",$I786&amp;"|"&amp;$J786&amp;"|"&amp;COUNTIFS($I$7:$I786,$I786,$J$7:$J786,$J786,$D$7:$D786,"Advance"))</f>
        <v/>
      </c>
      <c r="L786" s="266">
        <f>IF(OR($I786="",$I786="?",$B786=""),"",SUMPRODUCT((Weeks!$A$7:$A$59&lt;=$J786)*(Weeks!$X$5:$AI$5=$I786)*Weeks!$X$7:$AI$59)-SUMIFS($E$7:$E$1006,$I$7:$I$1006,$I786,$B$7:$B$1006,"&lt;="&amp;$B786))</f>
        <v/>
      </c>
      <c r="M786" s="132">
        <f>IF($B786&amp;$C786&amp;$D786&amp;$E786="","",IF($B786="","missing date",IF($C786="","missing worker",IF($I786="?","unknown worker - was the name changed on Workers?",IF($D786="","missing type",IF(N($E786)=0,"missing amount",IF(AND($E786&lt;0,$D786&lt;&gt;"Correction"),"negative amount - use a Correction to undo",IF(OR($B786&lt;Weeks!$A$7,$B786&gt;Weeks!$B$59),"date outside this workbook's year",IF(AND($D786="Advance",N($L786)&lt;0),"Warning: more than earned so far - worker now owes "&amp;TEXT(ROUND(-$L786,0),"#,##0"),"")))))))))</f>
        <v/>
      </c>
      <c r="N786" s="125" t="n"/>
      <c r="O786" s="126" t="n"/>
      <c r="P786" s="126" t="n"/>
      <c r="Q786" s="126" t="n"/>
      <c r="R786" s="126" t="n"/>
      <c r="S786" s="126" t="n"/>
      <c r="T786" s="126" t="n"/>
      <c r="U786" s="126" t="n"/>
      <c r="V786" s="126" t="n"/>
      <c r="W786" s="126" t="n"/>
      <c r="X786" s="126" t="n"/>
      <c r="Y786" s="126" t="n"/>
      <c r="Z786" s="126" t="n"/>
      <c r="AA786" s="126" t="n"/>
      <c r="AB786" s="126" t="n"/>
      <c r="AC786" s="126" t="n"/>
      <c r="AD786" s="126" t="n"/>
      <c r="AE786" s="126" t="n"/>
      <c r="AF786" s="126" t="n"/>
      <c r="AG786" s="126" t="n"/>
      <c r="AH786" s="126" t="n"/>
      <c r="AI786" s="126" t="n"/>
      <c r="AJ786" s="126" t="n"/>
      <c r="AK786" s="126" t="n"/>
      <c r="AL786" s="126" t="n"/>
      <c r="AM786" s="126" t="n"/>
      <c r="AN786" s="126" t="n"/>
    </row>
    <row r="787" ht="21" customFormat="1" customHeight="1" s="127">
      <c r="A787" s="51">
        <f>IF($B787="","",ROW()-6)</f>
        <v/>
      </c>
      <c r="B787" s="268" t="n"/>
      <c r="C787" s="133" t="n"/>
      <c r="D787" s="50" t="n"/>
      <c r="E787" s="265" t="n"/>
      <c r="F787" s="133" t="n"/>
      <c r="G787" s="133" t="n"/>
      <c r="H787" s="50" t="n"/>
      <c r="I787" s="51">
        <f>IF($C787="","",IFERROR(INDEX(WorkerIDs,MATCH($C787,WorkerNames,0)),"?"))</f>
        <v/>
      </c>
      <c r="J787" s="253">
        <f>IF($B787="","",$B787-WEEKDAY($B787,2)+1)</f>
        <v/>
      </c>
      <c r="K787" s="142">
        <f>IF(OR($I787="",$I787="?",$D787&lt;&gt;"Advance",$B787=""),"",$I787&amp;"|"&amp;$J787&amp;"|"&amp;COUNTIFS($I$7:$I787,$I787,$J$7:$J787,$J787,$D$7:$D787,"Advance"))</f>
        <v/>
      </c>
      <c r="L787" s="266">
        <f>IF(OR($I787="",$I787="?",$B787=""),"",SUMPRODUCT((Weeks!$A$7:$A$59&lt;=$J787)*(Weeks!$X$5:$AI$5=$I787)*Weeks!$X$7:$AI$59)-SUMIFS($E$7:$E$1006,$I$7:$I$1006,$I787,$B$7:$B$1006,"&lt;="&amp;$B787))</f>
        <v/>
      </c>
      <c r="M787" s="132">
        <f>IF($B787&amp;$C787&amp;$D787&amp;$E787="","",IF($B787="","missing date",IF($C787="","missing worker",IF($I787="?","unknown worker - was the name changed on Workers?",IF($D787="","missing type",IF(N($E787)=0,"missing amount",IF(AND($E787&lt;0,$D787&lt;&gt;"Correction"),"negative amount - use a Correction to undo",IF(OR($B787&lt;Weeks!$A$7,$B787&gt;Weeks!$B$59),"date outside this workbook's year",IF(AND($D787="Advance",N($L787)&lt;0),"Warning: more than earned so far - worker now owes "&amp;TEXT(ROUND(-$L787,0),"#,##0"),"")))))))))</f>
        <v/>
      </c>
      <c r="N787" s="125" t="n"/>
      <c r="O787" s="126" t="n"/>
      <c r="P787" s="126" t="n"/>
      <c r="Q787" s="126" t="n"/>
      <c r="R787" s="126" t="n"/>
      <c r="S787" s="126" t="n"/>
      <c r="T787" s="126" t="n"/>
      <c r="U787" s="126" t="n"/>
      <c r="V787" s="126" t="n"/>
      <c r="W787" s="126" t="n"/>
      <c r="X787" s="126" t="n"/>
      <c r="Y787" s="126" t="n"/>
      <c r="Z787" s="126" t="n"/>
      <c r="AA787" s="126" t="n"/>
      <c r="AB787" s="126" t="n"/>
      <c r="AC787" s="126" t="n"/>
      <c r="AD787" s="126" t="n"/>
      <c r="AE787" s="126" t="n"/>
      <c r="AF787" s="126" t="n"/>
      <c r="AG787" s="126" t="n"/>
      <c r="AH787" s="126" t="n"/>
      <c r="AI787" s="126" t="n"/>
      <c r="AJ787" s="126" t="n"/>
      <c r="AK787" s="126" t="n"/>
      <c r="AL787" s="126" t="n"/>
      <c r="AM787" s="126" t="n"/>
      <c r="AN787" s="126" t="n"/>
    </row>
    <row r="788" ht="21" customFormat="1" customHeight="1" s="127">
      <c r="A788" s="51">
        <f>IF($B788="","",ROW()-6)</f>
        <v/>
      </c>
      <c r="B788" s="268" t="n"/>
      <c r="C788" s="133" t="n"/>
      <c r="D788" s="50" t="n"/>
      <c r="E788" s="265" t="n"/>
      <c r="F788" s="133" t="n"/>
      <c r="G788" s="133" t="n"/>
      <c r="H788" s="50" t="n"/>
      <c r="I788" s="51">
        <f>IF($C788="","",IFERROR(INDEX(WorkerIDs,MATCH($C788,WorkerNames,0)),"?"))</f>
        <v/>
      </c>
      <c r="J788" s="253">
        <f>IF($B788="","",$B788-WEEKDAY($B788,2)+1)</f>
        <v/>
      </c>
      <c r="K788" s="142">
        <f>IF(OR($I788="",$I788="?",$D788&lt;&gt;"Advance",$B788=""),"",$I788&amp;"|"&amp;$J788&amp;"|"&amp;COUNTIFS($I$7:$I788,$I788,$J$7:$J788,$J788,$D$7:$D788,"Advance"))</f>
        <v/>
      </c>
      <c r="L788" s="266">
        <f>IF(OR($I788="",$I788="?",$B788=""),"",SUMPRODUCT((Weeks!$A$7:$A$59&lt;=$J788)*(Weeks!$X$5:$AI$5=$I788)*Weeks!$X$7:$AI$59)-SUMIFS($E$7:$E$1006,$I$7:$I$1006,$I788,$B$7:$B$1006,"&lt;="&amp;$B788))</f>
        <v/>
      </c>
      <c r="M788" s="132">
        <f>IF($B788&amp;$C788&amp;$D788&amp;$E788="","",IF($B788="","missing date",IF($C788="","missing worker",IF($I788="?","unknown worker - was the name changed on Workers?",IF($D788="","missing type",IF(N($E788)=0,"missing amount",IF(AND($E788&lt;0,$D788&lt;&gt;"Correction"),"negative amount - use a Correction to undo",IF(OR($B788&lt;Weeks!$A$7,$B788&gt;Weeks!$B$59),"date outside this workbook's year",IF(AND($D788="Advance",N($L788)&lt;0),"Warning: more than earned so far - worker now owes "&amp;TEXT(ROUND(-$L788,0),"#,##0"),"")))))))))</f>
        <v/>
      </c>
      <c r="N788" s="125" t="n"/>
      <c r="O788" s="126" t="n"/>
      <c r="P788" s="126" t="n"/>
      <c r="Q788" s="126" t="n"/>
      <c r="R788" s="126" t="n"/>
      <c r="S788" s="126" t="n"/>
      <c r="T788" s="126" t="n"/>
      <c r="U788" s="126" t="n"/>
      <c r="V788" s="126" t="n"/>
      <c r="W788" s="126" t="n"/>
      <c r="X788" s="126" t="n"/>
      <c r="Y788" s="126" t="n"/>
      <c r="Z788" s="126" t="n"/>
      <c r="AA788" s="126" t="n"/>
      <c r="AB788" s="126" t="n"/>
      <c r="AC788" s="126" t="n"/>
      <c r="AD788" s="126" t="n"/>
      <c r="AE788" s="126" t="n"/>
      <c r="AF788" s="126" t="n"/>
      <c r="AG788" s="126" t="n"/>
      <c r="AH788" s="126" t="n"/>
      <c r="AI788" s="126" t="n"/>
      <c r="AJ788" s="126" t="n"/>
      <c r="AK788" s="126" t="n"/>
      <c r="AL788" s="126" t="n"/>
      <c r="AM788" s="126" t="n"/>
      <c r="AN788" s="126" t="n"/>
    </row>
    <row r="789" ht="21" customFormat="1" customHeight="1" s="127">
      <c r="A789" s="51">
        <f>IF($B789="","",ROW()-6)</f>
        <v/>
      </c>
      <c r="B789" s="268" t="n"/>
      <c r="C789" s="133" t="n"/>
      <c r="D789" s="50" t="n"/>
      <c r="E789" s="265" t="n"/>
      <c r="F789" s="133" t="n"/>
      <c r="G789" s="133" t="n"/>
      <c r="H789" s="50" t="n"/>
      <c r="I789" s="51">
        <f>IF($C789="","",IFERROR(INDEX(WorkerIDs,MATCH($C789,WorkerNames,0)),"?"))</f>
        <v/>
      </c>
      <c r="J789" s="253">
        <f>IF($B789="","",$B789-WEEKDAY($B789,2)+1)</f>
        <v/>
      </c>
      <c r="K789" s="142">
        <f>IF(OR($I789="",$I789="?",$D789&lt;&gt;"Advance",$B789=""),"",$I789&amp;"|"&amp;$J789&amp;"|"&amp;COUNTIFS($I$7:$I789,$I789,$J$7:$J789,$J789,$D$7:$D789,"Advance"))</f>
        <v/>
      </c>
      <c r="L789" s="266">
        <f>IF(OR($I789="",$I789="?",$B789=""),"",SUMPRODUCT((Weeks!$A$7:$A$59&lt;=$J789)*(Weeks!$X$5:$AI$5=$I789)*Weeks!$X$7:$AI$59)-SUMIFS($E$7:$E$1006,$I$7:$I$1006,$I789,$B$7:$B$1006,"&lt;="&amp;$B789))</f>
        <v/>
      </c>
      <c r="M789" s="132">
        <f>IF($B789&amp;$C789&amp;$D789&amp;$E789="","",IF($B789="","missing date",IF($C789="","missing worker",IF($I789="?","unknown worker - was the name changed on Workers?",IF($D789="","missing type",IF(N($E789)=0,"missing amount",IF(AND($E789&lt;0,$D789&lt;&gt;"Correction"),"negative amount - use a Correction to undo",IF(OR($B789&lt;Weeks!$A$7,$B789&gt;Weeks!$B$59),"date outside this workbook's year",IF(AND($D789="Advance",N($L789)&lt;0),"Warning: more than earned so far - worker now owes "&amp;TEXT(ROUND(-$L789,0),"#,##0"),"")))))))))</f>
        <v/>
      </c>
      <c r="N789" s="125" t="n"/>
      <c r="O789" s="126" t="n"/>
      <c r="P789" s="126" t="n"/>
      <c r="Q789" s="126" t="n"/>
      <c r="R789" s="126" t="n"/>
      <c r="S789" s="126" t="n"/>
      <c r="T789" s="126" t="n"/>
      <c r="U789" s="126" t="n"/>
      <c r="V789" s="126" t="n"/>
      <c r="W789" s="126" t="n"/>
      <c r="X789" s="126" t="n"/>
      <c r="Y789" s="126" t="n"/>
      <c r="Z789" s="126" t="n"/>
      <c r="AA789" s="126" t="n"/>
      <c r="AB789" s="126" t="n"/>
      <c r="AC789" s="126" t="n"/>
      <c r="AD789" s="126" t="n"/>
      <c r="AE789" s="126" t="n"/>
      <c r="AF789" s="126" t="n"/>
      <c r="AG789" s="126" t="n"/>
      <c r="AH789" s="126" t="n"/>
      <c r="AI789" s="126" t="n"/>
      <c r="AJ789" s="126" t="n"/>
      <c r="AK789" s="126" t="n"/>
      <c r="AL789" s="126" t="n"/>
      <c r="AM789" s="126" t="n"/>
      <c r="AN789" s="126" t="n"/>
    </row>
    <row r="790" ht="21" customFormat="1" customHeight="1" s="127">
      <c r="A790" s="51">
        <f>IF($B790="","",ROW()-6)</f>
        <v/>
      </c>
      <c r="B790" s="268" t="n"/>
      <c r="C790" s="133" t="n"/>
      <c r="D790" s="50" t="n"/>
      <c r="E790" s="265" t="n"/>
      <c r="F790" s="133" t="n"/>
      <c r="G790" s="133" t="n"/>
      <c r="H790" s="50" t="n"/>
      <c r="I790" s="51">
        <f>IF($C790="","",IFERROR(INDEX(WorkerIDs,MATCH($C790,WorkerNames,0)),"?"))</f>
        <v/>
      </c>
      <c r="J790" s="253">
        <f>IF($B790="","",$B790-WEEKDAY($B790,2)+1)</f>
        <v/>
      </c>
      <c r="K790" s="142">
        <f>IF(OR($I790="",$I790="?",$D790&lt;&gt;"Advance",$B790=""),"",$I790&amp;"|"&amp;$J790&amp;"|"&amp;COUNTIFS($I$7:$I790,$I790,$J$7:$J790,$J790,$D$7:$D790,"Advance"))</f>
        <v/>
      </c>
      <c r="L790" s="266">
        <f>IF(OR($I790="",$I790="?",$B790=""),"",SUMPRODUCT((Weeks!$A$7:$A$59&lt;=$J790)*(Weeks!$X$5:$AI$5=$I790)*Weeks!$X$7:$AI$59)-SUMIFS($E$7:$E$1006,$I$7:$I$1006,$I790,$B$7:$B$1006,"&lt;="&amp;$B790))</f>
        <v/>
      </c>
      <c r="M790" s="132">
        <f>IF($B790&amp;$C790&amp;$D790&amp;$E790="","",IF($B790="","missing date",IF($C790="","missing worker",IF($I790="?","unknown worker - was the name changed on Workers?",IF($D790="","missing type",IF(N($E790)=0,"missing amount",IF(AND($E790&lt;0,$D790&lt;&gt;"Correction"),"negative amount - use a Correction to undo",IF(OR($B790&lt;Weeks!$A$7,$B790&gt;Weeks!$B$59),"date outside this workbook's year",IF(AND($D790="Advance",N($L790)&lt;0),"Warning: more than earned so far - worker now owes "&amp;TEXT(ROUND(-$L790,0),"#,##0"),"")))))))))</f>
        <v/>
      </c>
      <c r="N790" s="125" t="n"/>
      <c r="O790" s="126" t="n"/>
      <c r="P790" s="126" t="n"/>
      <c r="Q790" s="126" t="n"/>
      <c r="R790" s="126" t="n"/>
      <c r="S790" s="126" t="n"/>
      <c r="T790" s="126" t="n"/>
      <c r="U790" s="126" t="n"/>
      <c r="V790" s="126" t="n"/>
      <c r="W790" s="126" t="n"/>
      <c r="X790" s="126" t="n"/>
      <c r="Y790" s="126" t="n"/>
      <c r="Z790" s="126" t="n"/>
      <c r="AA790" s="126" t="n"/>
      <c r="AB790" s="126" t="n"/>
      <c r="AC790" s="126" t="n"/>
      <c r="AD790" s="126" t="n"/>
      <c r="AE790" s="126" t="n"/>
      <c r="AF790" s="126" t="n"/>
      <c r="AG790" s="126" t="n"/>
      <c r="AH790" s="126" t="n"/>
      <c r="AI790" s="126" t="n"/>
      <c r="AJ790" s="126" t="n"/>
      <c r="AK790" s="126" t="n"/>
      <c r="AL790" s="126" t="n"/>
      <c r="AM790" s="126" t="n"/>
      <c r="AN790" s="126" t="n"/>
    </row>
    <row r="791" ht="21" customFormat="1" customHeight="1" s="127">
      <c r="A791" s="51">
        <f>IF($B791="","",ROW()-6)</f>
        <v/>
      </c>
      <c r="B791" s="268" t="n"/>
      <c r="C791" s="133" t="n"/>
      <c r="D791" s="50" t="n"/>
      <c r="E791" s="265" t="n"/>
      <c r="F791" s="133" t="n"/>
      <c r="G791" s="133" t="n"/>
      <c r="H791" s="50" t="n"/>
      <c r="I791" s="51">
        <f>IF($C791="","",IFERROR(INDEX(WorkerIDs,MATCH($C791,WorkerNames,0)),"?"))</f>
        <v/>
      </c>
      <c r="J791" s="253">
        <f>IF($B791="","",$B791-WEEKDAY($B791,2)+1)</f>
        <v/>
      </c>
      <c r="K791" s="142">
        <f>IF(OR($I791="",$I791="?",$D791&lt;&gt;"Advance",$B791=""),"",$I791&amp;"|"&amp;$J791&amp;"|"&amp;COUNTIFS($I$7:$I791,$I791,$J$7:$J791,$J791,$D$7:$D791,"Advance"))</f>
        <v/>
      </c>
      <c r="L791" s="266">
        <f>IF(OR($I791="",$I791="?",$B791=""),"",SUMPRODUCT((Weeks!$A$7:$A$59&lt;=$J791)*(Weeks!$X$5:$AI$5=$I791)*Weeks!$X$7:$AI$59)-SUMIFS($E$7:$E$1006,$I$7:$I$1006,$I791,$B$7:$B$1006,"&lt;="&amp;$B791))</f>
        <v/>
      </c>
      <c r="M791" s="132">
        <f>IF($B791&amp;$C791&amp;$D791&amp;$E791="","",IF($B791="","missing date",IF($C791="","missing worker",IF($I791="?","unknown worker - was the name changed on Workers?",IF($D791="","missing type",IF(N($E791)=0,"missing amount",IF(AND($E791&lt;0,$D791&lt;&gt;"Correction"),"negative amount - use a Correction to undo",IF(OR($B791&lt;Weeks!$A$7,$B791&gt;Weeks!$B$59),"date outside this workbook's year",IF(AND($D791="Advance",N($L791)&lt;0),"Warning: more than earned so far - worker now owes "&amp;TEXT(ROUND(-$L791,0),"#,##0"),"")))))))))</f>
        <v/>
      </c>
      <c r="N791" s="125" t="n"/>
      <c r="O791" s="126" t="n"/>
      <c r="P791" s="126" t="n"/>
      <c r="Q791" s="126" t="n"/>
      <c r="R791" s="126" t="n"/>
      <c r="S791" s="126" t="n"/>
      <c r="T791" s="126" t="n"/>
      <c r="U791" s="126" t="n"/>
      <c r="V791" s="126" t="n"/>
      <c r="W791" s="126" t="n"/>
      <c r="X791" s="126" t="n"/>
      <c r="Y791" s="126" t="n"/>
      <c r="Z791" s="126" t="n"/>
      <c r="AA791" s="126" t="n"/>
      <c r="AB791" s="126" t="n"/>
      <c r="AC791" s="126" t="n"/>
      <c r="AD791" s="126" t="n"/>
      <c r="AE791" s="126" t="n"/>
      <c r="AF791" s="126" t="n"/>
      <c r="AG791" s="126" t="n"/>
      <c r="AH791" s="126" t="n"/>
      <c r="AI791" s="126" t="n"/>
      <c r="AJ791" s="126" t="n"/>
      <c r="AK791" s="126" t="n"/>
      <c r="AL791" s="126" t="n"/>
      <c r="AM791" s="126" t="n"/>
      <c r="AN791" s="126" t="n"/>
    </row>
    <row r="792" ht="21" customFormat="1" customHeight="1" s="127">
      <c r="A792" s="51">
        <f>IF($B792="","",ROW()-6)</f>
        <v/>
      </c>
      <c r="B792" s="268" t="n"/>
      <c r="C792" s="133" t="n"/>
      <c r="D792" s="50" t="n"/>
      <c r="E792" s="265" t="n"/>
      <c r="F792" s="133" t="n"/>
      <c r="G792" s="133" t="n"/>
      <c r="H792" s="50" t="n"/>
      <c r="I792" s="51">
        <f>IF($C792="","",IFERROR(INDEX(WorkerIDs,MATCH($C792,WorkerNames,0)),"?"))</f>
        <v/>
      </c>
      <c r="J792" s="253">
        <f>IF($B792="","",$B792-WEEKDAY($B792,2)+1)</f>
        <v/>
      </c>
      <c r="K792" s="142">
        <f>IF(OR($I792="",$I792="?",$D792&lt;&gt;"Advance",$B792=""),"",$I792&amp;"|"&amp;$J792&amp;"|"&amp;COUNTIFS($I$7:$I792,$I792,$J$7:$J792,$J792,$D$7:$D792,"Advance"))</f>
        <v/>
      </c>
      <c r="L792" s="266">
        <f>IF(OR($I792="",$I792="?",$B792=""),"",SUMPRODUCT((Weeks!$A$7:$A$59&lt;=$J792)*(Weeks!$X$5:$AI$5=$I792)*Weeks!$X$7:$AI$59)-SUMIFS($E$7:$E$1006,$I$7:$I$1006,$I792,$B$7:$B$1006,"&lt;="&amp;$B792))</f>
        <v/>
      </c>
      <c r="M792" s="132">
        <f>IF($B792&amp;$C792&amp;$D792&amp;$E792="","",IF($B792="","missing date",IF($C792="","missing worker",IF($I792="?","unknown worker - was the name changed on Workers?",IF($D792="","missing type",IF(N($E792)=0,"missing amount",IF(AND($E792&lt;0,$D792&lt;&gt;"Correction"),"negative amount - use a Correction to undo",IF(OR($B792&lt;Weeks!$A$7,$B792&gt;Weeks!$B$59),"date outside this workbook's year",IF(AND($D792="Advance",N($L792)&lt;0),"Warning: more than earned so far - worker now owes "&amp;TEXT(ROUND(-$L792,0),"#,##0"),"")))))))))</f>
        <v/>
      </c>
      <c r="N792" s="125" t="n"/>
      <c r="O792" s="126" t="n"/>
      <c r="P792" s="126" t="n"/>
      <c r="Q792" s="126" t="n"/>
      <c r="R792" s="126" t="n"/>
      <c r="S792" s="126" t="n"/>
      <c r="T792" s="126" t="n"/>
      <c r="U792" s="126" t="n"/>
      <c r="V792" s="126" t="n"/>
      <c r="W792" s="126" t="n"/>
      <c r="X792" s="126" t="n"/>
      <c r="Y792" s="126" t="n"/>
      <c r="Z792" s="126" t="n"/>
      <c r="AA792" s="126" t="n"/>
      <c r="AB792" s="126" t="n"/>
      <c r="AC792" s="126" t="n"/>
      <c r="AD792" s="126" t="n"/>
      <c r="AE792" s="126" t="n"/>
      <c r="AF792" s="126" t="n"/>
      <c r="AG792" s="126" t="n"/>
      <c r="AH792" s="126" t="n"/>
      <c r="AI792" s="126" t="n"/>
      <c r="AJ792" s="126" t="n"/>
      <c r="AK792" s="126" t="n"/>
      <c r="AL792" s="126" t="n"/>
      <c r="AM792" s="126" t="n"/>
      <c r="AN792" s="126" t="n"/>
    </row>
    <row r="793" ht="21" customFormat="1" customHeight="1" s="127">
      <c r="A793" s="51">
        <f>IF($B793="","",ROW()-6)</f>
        <v/>
      </c>
      <c r="B793" s="268" t="n"/>
      <c r="C793" s="133" t="n"/>
      <c r="D793" s="50" t="n"/>
      <c r="E793" s="265" t="n"/>
      <c r="F793" s="133" t="n"/>
      <c r="G793" s="133" t="n"/>
      <c r="H793" s="50" t="n"/>
      <c r="I793" s="51">
        <f>IF($C793="","",IFERROR(INDEX(WorkerIDs,MATCH($C793,WorkerNames,0)),"?"))</f>
        <v/>
      </c>
      <c r="J793" s="253">
        <f>IF($B793="","",$B793-WEEKDAY($B793,2)+1)</f>
        <v/>
      </c>
      <c r="K793" s="142">
        <f>IF(OR($I793="",$I793="?",$D793&lt;&gt;"Advance",$B793=""),"",$I793&amp;"|"&amp;$J793&amp;"|"&amp;COUNTIFS($I$7:$I793,$I793,$J$7:$J793,$J793,$D$7:$D793,"Advance"))</f>
        <v/>
      </c>
      <c r="L793" s="266">
        <f>IF(OR($I793="",$I793="?",$B793=""),"",SUMPRODUCT((Weeks!$A$7:$A$59&lt;=$J793)*(Weeks!$X$5:$AI$5=$I793)*Weeks!$X$7:$AI$59)-SUMIFS($E$7:$E$1006,$I$7:$I$1006,$I793,$B$7:$B$1006,"&lt;="&amp;$B793))</f>
        <v/>
      </c>
      <c r="M793" s="132">
        <f>IF($B793&amp;$C793&amp;$D793&amp;$E793="","",IF($B793="","missing date",IF($C793="","missing worker",IF($I793="?","unknown worker - was the name changed on Workers?",IF($D793="","missing type",IF(N($E793)=0,"missing amount",IF(AND($E793&lt;0,$D793&lt;&gt;"Correction"),"negative amount - use a Correction to undo",IF(OR($B793&lt;Weeks!$A$7,$B793&gt;Weeks!$B$59),"date outside this workbook's year",IF(AND($D793="Advance",N($L793)&lt;0),"Warning: more than earned so far - worker now owes "&amp;TEXT(ROUND(-$L793,0),"#,##0"),"")))))))))</f>
        <v/>
      </c>
      <c r="N793" s="125" t="n"/>
      <c r="O793" s="126" t="n"/>
      <c r="P793" s="126" t="n"/>
      <c r="Q793" s="126" t="n"/>
      <c r="R793" s="126" t="n"/>
      <c r="S793" s="126" t="n"/>
      <c r="T793" s="126" t="n"/>
      <c r="U793" s="126" t="n"/>
      <c r="V793" s="126" t="n"/>
      <c r="W793" s="126" t="n"/>
      <c r="X793" s="126" t="n"/>
      <c r="Y793" s="126" t="n"/>
      <c r="Z793" s="126" t="n"/>
      <c r="AA793" s="126" t="n"/>
      <c r="AB793" s="126" t="n"/>
      <c r="AC793" s="126" t="n"/>
      <c r="AD793" s="126" t="n"/>
      <c r="AE793" s="126" t="n"/>
      <c r="AF793" s="126" t="n"/>
      <c r="AG793" s="126" t="n"/>
      <c r="AH793" s="126" t="n"/>
      <c r="AI793" s="126" t="n"/>
      <c r="AJ793" s="126" t="n"/>
      <c r="AK793" s="126" t="n"/>
      <c r="AL793" s="126" t="n"/>
      <c r="AM793" s="126" t="n"/>
      <c r="AN793" s="126" t="n"/>
    </row>
    <row r="794" ht="21" customFormat="1" customHeight="1" s="127">
      <c r="A794" s="51">
        <f>IF($B794="","",ROW()-6)</f>
        <v/>
      </c>
      <c r="B794" s="268" t="n"/>
      <c r="C794" s="133" t="n"/>
      <c r="D794" s="50" t="n"/>
      <c r="E794" s="265" t="n"/>
      <c r="F794" s="133" t="n"/>
      <c r="G794" s="133" t="n"/>
      <c r="H794" s="50" t="n"/>
      <c r="I794" s="51">
        <f>IF($C794="","",IFERROR(INDEX(WorkerIDs,MATCH($C794,WorkerNames,0)),"?"))</f>
        <v/>
      </c>
      <c r="J794" s="253">
        <f>IF($B794="","",$B794-WEEKDAY($B794,2)+1)</f>
        <v/>
      </c>
      <c r="K794" s="142">
        <f>IF(OR($I794="",$I794="?",$D794&lt;&gt;"Advance",$B794=""),"",$I794&amp;"|"&amp;$J794&amp;"|"&amp;COUNTIFS($I$7:$I794,$I794,$J$7:$J794,$J794,$D$7:$D794,"Advance"))</f>
        <v/>
      </c>
      <c r="L794" s="266">
        <f>IF(OR($I794="",$I794="?",$B794=""),"",SUMPRODUCT((Weeks!$A$7:$A$59&lt;=$J794)*(Weeks!$X$5:$AI$5=$I794)*Weeks!$X$7:$AI$59)-SUMIFS($E$7:$E$1006,$I$7:$I$1006,$I794,$B$7:$B$1006,"&lt;="&amp;$B794))</f>
        <v/>
      </c>
      <c r="M794" s="132">
        <f>IF($B794&amp;$C794&amp;$D794&amp;$E794="","",IF($B794="","missing date",IF($C794="","missing worker",IF($I794="?","unknown worker - was the name changed on Workers?",IF($D794="","missing type",IF(N($E794)=0,"missing amount",IF(AND($E794&lt;0,$D794&lt;&gt;"Correction"),"negative amount - use a Correction to undo",IF(OR($B794&lt;Weeks!$A$7,$B794&gt;Weeks!$B$59),"date outside this workbook's year",IF(AND($D794="Advance",N($L794)&lt;0),"Warning: more than earned so far - worker now owes "&amp;TEXT(ROUND(-$L794,0),"#,##0"),"")))))))))</f>
        <v/>
      </c>
      <c r="N794" s="125" t="n"/>
      <c r="O794" s="126" t="n"/>
      <c r="P794" s="126" t="n"/>
      <c r="Q794" s="126" t="n"/>
      <c r="R794" s="126" t="n"/>
      <c r="S794" s="126" t="n"/>
      <c r="T794" s="126" t="n"/>
      <c r="U794" s="126" t="n"/>
      <c r="V794" s="126" t="n"/>
      <c r="W794" s="126" t="n"/>
      <c r="X794" s="126" t="n"/>
      <c r="Y794" s="126" t="n"/>
      <c r="Z794" s="126" t="n"/>
      <c r="AA794" s="126" t="n"/>
      <c r="AB794" s="126" t="n"/>
      <c r="AC794" s="126" t="n"/>
      <c r="AD794" s="126" t="n"/>
      <c r="AE794" s="126" t="n"/>
      <c r="AF794" s="126" t="n"/>
      <c r="AG794" s="126" t="n"/>
      <c r="AH794" s="126" t="n"/>
      <c r="AI794" s="126" t="n"/>
      <c r="AJ794" s="126" t="n"/>
      <c r="AK794" s="126" t="n"/>
      <c r="AL794" s="126" t="n"/>
      <c r="AM794" s="126" t="n"/>
      <c r="AN794" s="126" t="n"/>
    </row>
    <row r="795" ht="21" customFormat="1" customHeight="1" s="127">
      <c r="A795" s="51">
        <f>IF($B795="","",ROW()-6)</f>
        <v/>
      </c>
      <c r="B795" s="268" t="n"/>
      <c r="C795" s="133" t="n"/>
      <c r="D795" s="50" t="n"/>
      <c r="E795" s="265" t="n"/>
      <c r="F795" s="133" t="n"/>
      <c r="G795" s="133" t="n"/>
      <c r="H795" s="50" t="n"/>
      <c r="I795" s="51">
        <f>IF($C795="","",IFERROR(INDEX(WorkerIDs,MATCH($C795,WorkerNames,0)),"?"))</f>
        <v/>
      </c>
      <c r="J795" s="253">
        <f>IF($B795="","",$B795-WEEKDAY($B795,2)+1)</f>
        <v/>
      </c>
      <c r="K795" s="142">
        <f>IF(OR($I795="",$I795="?",$D795&lt;&gt;"Advance",$B795=""),"",$I795&amp;"|"&amp;$J795&amp;"|"&amp;COUNTIFS($I$7:$I795,$I795,$J$7:$J795,$J795,$D$7:$D795,"Advance"))</f>
        <v/>
      </c>
      <c r="L795" s="266">
        <f>IF(OR($I795="",$I795="?",$B795=""),"",SUMPRODUCT((Weeks!$A$7:$A$59&lt;=$J795)*(Weeks!$X$5:$AI$5=$I795)*Weeks!$X$7:$AI$59)-SUMIFS($E$7:$E$1006,$I$7:$I$1006,$I795,$B$7:$B$1006,"&lt;="&amp;$B795))</f>
        <v/>
      </c>
      <c r="M795" s="132">
        <f>IF($B795&amp;$C795&amp;$D795&amp;$E795="","",IF($B795="","missing date",IF($C795="","missing worker",IF($I795="?","unknown worker - was the name changed on Workers?",IF($D795="","missing type",IF(N($E795)=0,"missing amount",IF(AND($E795&lt;0,$D795&lt;&gt;"Correction"),"negative amount - use a Correction to undo",IF(OR($B795&lt;Weeks!$A$7,$B795&gt;Weeks!$B$59),"date outside this workbook's year",IF(AND($D795="Advance",N($L795)&lt;0),"Warning: more than earned so far - worker now owes "&amp;TEXT(ROUND(-$L795,0),"#,##0"),"")))))))))</f>
        <v/>
      </c>
      <c r="N795" s="125" t="n"/>
      <c r="O795" s="126" t="n"/>
      <c r="P795" s="126" t="n"/>
      <c r="Q795" s="126" t="n"/>
      <c r="R795" s="126" t="n"/>
      <c r="S795" s="126" t="n"/>
      <c r="T795" s="126" t="n"/>
      <c r="U795" s="126" t="n"/>
      <c r="V795" s="126" t="n"/>
      <c r="W795" s="126" t="n"/>
      <c r="X795" s="126" t="n"/>
      <c r="Y795" s="126" t="n"/>
      <c r="Z795" s="126" t="n"/>
      <c r="AA795" s="126" t="n"/>
      <c r="AB795" s="126" t="n"/>
      <c r="AC795" s="126" t="n"/>
      <c r="AD795" s="126" t="n"/>
      <c r="AE795" s="126" t="n"/>
      <c r="AF795" s="126" t="n"/>
      <c r="AG795" s="126" t="n"/>
      <c r="AH795" s="126" t="n"/>
      <c r="AI795" s="126" t="n"/>
      <c r="AJ795" s="126" t="n"/>
      <c r="AK795" s="126" t="n"/>
      <c r="AL795" s="126" t="n"/>
      <c r="AM795" s="126" t="n"/>
      <c r="AN795" s="126" t="n"/>
    </row>
    <row r="796" ht="21" customFormat="1" customHeight="1" s="127">
      <c r="A796" s="51">
        <f>IF($B796="","",ROW()-6)</f>
        <v/>
      </c>
      <c r="B796" s="268" t="n"/>
      <c r="C796" s="133" t="n"/>
      <c r="D796" s="50" t="n"/>
      <c r="E796" s="265" t="n"/>
      <c r="F796" s="133" t="n"/>
      <c r="G796" s="133" t="n"/>
      <c r="H796" s="50" t="n"/>
      <c r="I796" s="51">
        <f>IF($C796="","",IFERROR(INDEX(WorkerIDs,MATCH($C796,WorkerNames,0)),"?"))</f>
        <v/>
      </c>
      <c r="J796" s="253">
        <f>IF($B796="","",$B796-WEEKDAY($B796,2)+1)</f>
        <v/>
      </c>
      <c r="K796" s="142">
        <f>IF(OR($I796="",$I796="?",$D796&lt;&gt;"Advance",$B796=""),"",$I796&amp;"|"&amp;$J796&amp;"|"&amp;COUNTIFS($I$7:$I796,$I796,$J$7:$J796,$J796,$D$7:$D796,"Advance"))</f>
        <v/>
      </c>
      <c r="L796" s="266">
        <f>IF(OR($I796="",$I796="?",$B796=""),"",SUMPRODUCT((Weeks!$A$7:$A$59&lt;=$J796)*(Weeks!$X$5:$AI$5=$I796)*Weeks!$X$7:$AI$59)-SUMIFS($E$7:$E$1006,$I$7:$I$1006,$I796,$B$7:$B$1006,"&lt;="&amp;$B796))</f>
        <v/>
      </c>
      <c r="M796" s="132">
        <f>IF($B796&amp;$C796&amp;$D796&amp;$E796="","",IF($B796="","missing date",IF($C796="","missing worker",IF($I796="?","unknown worker - was the name changed on Workers?",IF($D796="","missing type",IF(N($E796)=0,"missing amount",IF(AND($E796&lt;0,$D796&lt;&gt;"Correction"),"negative amount - use a Correction to undo",IF(OR($B796&lt;Weeks!$A$7,$B796&gt;Weeks!$B$59),"date outside this workbook's year",IF(AND($D796="Advance",N($L796)&lt;0),"Warning: more than earned so far - worker now owes "&amp;TEXT(ROUND(-$L796,0),"#,##0"),"")))))))))</f>
        <v/>
      </c>
      <c r="N796" s="125" t="n"/>
      <c r="O796" s="126" t="n"/>
      <c r="P796" s="126" t="n"/>
      <c r="Q796" s="126" t="n"/>
      <c r="R796" s="126" t="n"/>
      <c r="S796" s="126" t="n"/>
      <c r="T796" s="126" t="n"/>
      <c r="U796" s="126" t="n"/>
      <c r="V796" s="126" t="n"/>
      <c r="W796" s="126" t="n"/>
      <c r="X796" s="126" t="n"/>
      <c r="Y796" s="126" t="n"/>
      <c r="Z796" s="126" t="n"/>
      <c r="AA796" s="126" t="n"/>
      <c r="AB796" s="126" t="n"/>
      <c r="AC796" s="126" t="n"/>
      <c r="AD796" s="126" t="n"/>
      <c r="AE796" s="126" t="n"/>
      <c r="AF796" s="126" t="n"/>
      <c r="AG796" s="126" t="n"/>
      <c r="AH796" s="126" t="n"/>
      <c r="AI796" s="126" t="n"/>
      <c r="AJ796" s="126" t="n"/>
      <c r="AK796" s="126" t="n"/>
      <c r="AL796" s="126" t="n"/>
      <c r="AM796" s="126" t="n"/>
      <c r="AN796" s="126" t="n"/>
    </row>
    <row r="797" ht="21" customFormat="1" customHeight="1" s="127">
      <c r="A797" s="51">
        <f>IF($B797="","",ROW()-6)</f>
        <v/>
      </c>
      <c r="B797" s="268" t="n"/>
      <c r="C797" s="133" t="n"/>
      <c r="D797" s="50" t="n"/>
      <c r="E797" s="265" t="n"/>
      <c r="F797" s="133" t="n"/>
      <c r="G797" s="133" t="n"/>
      <c r="H797" s="50" t="n"/>
      <c r="I797" s="51">
        <f>IF($C797="","",IFERROR(INDEX(WorkerIDs,MATCH($C797,WorkerNames,0)),"?"))</f>
        <v/>
      </c>
      <c r="J797" s="253">
        <f>IF($B797="","",$B797-WEEKDAY($B797,2)+1)</f>
        <v/>
      </c>
      <c r="K797" s="142">
        <f>IF(OR($I797="",$I797="?",$D797&lt;&gt;"Advance",$B797=""),"",$I797&amp;"|"&amp;$J797&amp;"|"&amp;COUNTIFS($I$7:$I797,$I797,$J$7:$J797,$J797,$D$7:$D797,"Advance"))</f>
        <v/>
      </c>
      <c r="L797" s="266">
        <f>IF(OR($I797="",$I797="?",$B797=""),"",SUMPRODUCT((Weeks!$A$7:$A$59&lt;=$J797)*(Weeks!$X$5:$AI$5=$I797)*Weeks!$X$7:$AI$59)-SUMIFS($E$7:$E$1006,$I$7:$I$1006,$I797,$B$7:$B$1006,"&lt;="&amp;$B797))</f>
        <v/>
      </c>
      <c r="M797" s="132">
        <f>IF($B797&amp;$C797&amp;$D797&amp;$E797="","",IF($B797="","missing date",IF($C797="","missing worker",IF($I797="?","unknown worker - was the name changed on Workers?",IF($D797="","missing type",IF(N($E797)=0,"missing amount",IF(AND($E797&lt;0,$D797&lt;&gt;"Correction"),"negative amount - use a Correction to undo",IF(OR($B797&lt;Weeks!$A$7,$B797&gt;Weeks!$B$59),"date outside this workbook's year",IF(AND($D797="Advance",N($L797)&lt;0),"Warning: more than earned so far - worker now owes "&amp;TEXT(ROUND(-$L797,0),"#,##0"),"")))))))))</f>
        <v/>
      </c>
      <c r="N797" s="125" t="n"/>
      <c r="O797" s="126" t="n"/>
      <c r="P797" s="126" t="n"/>
      <c r="Q797" s="126" t="n"/>
      <c r="R797" s="126" t="n"/>
      <c r="S797" s="126" t="n"/>
      <c r="T797" s="126" t="n"/>
      <c r="U797" s="126" t="n"/>
      <c r="V797" s="126" t="n"/>
      <c r="W797" s="126" t="n"/>
      <c r="X797" s="126" t="n"/>
      <c r="Y797" s="126" t="n"/>
      <c r="Z797" s="126" t="n"/>
      <c r="AA797" s="126" t="n"/>
      <c r="AB797" s="126" t="n"/>
      <c r="AC797" s="126" t="n"/>
      <c r="AD797" s="126" t="n"/>
      <c r="AE797" s="126" t="n"/>
      <c r="AF797" s="126" t="n"/>
      <c r="AG797" s="126" t="n"/>
      <c r="AH797" s="126" t="n"/>
      <c r="AI797" s="126" t="n"/>
      <c r="AJ797" s="126" t="n"/>
      <c r="AK797" s="126" t="n"/>
      <c r="AL797" s="126" t="n"/>
      <c r="AM797" s="126" t="n"/>
      <c r="AN797" s="126" t="n"/>
    </row>
    <row r="798" ht="21" customFormat="1" customHeight="1" s="127">
      <c r="A798" s="51">
        <f>IF($B798="","",ROW()-6)</f>
        <v/>
      </c>
      <c r="B798" s="268" t="n"/>
      <c r="C798" s="133" t="n"/>
      <c r="D798" s="50" t="n"/>
      <c r="E798" s="265" t="n"/>
      <c r="F798" s="133" t="n"/>
      <c r="G798" s="133" t="n"/>
      <c r="H798" s="50" t="n"/>
      <c r="I798" s="51">
        <f>IF($C798="","",IFERROR(INDEX(WorkerIDs,MATCH($C798,WorkerNames,0)),"?"))</f>
        <v/>
      </c>
      <c r="J798" s="253">
        <f>IF($B798="","",$B798-WEEKDAY($B798,2)+1)</f>
        <v/>
      </c>
      <c r="K798" s="142">
        <f>IF(OR($I798="",$I798="?",$D798&lt;&gt;"Advance",$B798=""),"",$I798&amp;"|"&amp;$J798&amp;"|"&amp;COUNTIFS($I$7:$I798,$I798,$J$7:$J798,$J798,$D$7:$D798,"Advance"))</f>
        <v/>
      </c>
      <c r="L798" s="266">
        <f>IF(OR($I798="",$I798="?",$B798=""),"",SUMPRODUCT((Weeks!$A$7:$A$59&lt;=$J798)*(Weeks!$X$5:$AI$5=$I798)*Weeks!$X$7:$AI$59)-SUMIFS($E$7:$E$1006,$I$7:$I$1006,$I798,$B$7:$B$1006,"&lt;="&amp;$B798))</f>
        <v/>
      </c>
      <c r="M798" s="132">
        <f>IF($B798&amp;$C798&amp;$D798&amp;$E798="","",IF($B798="","missing date",IF($C798="","missing worker",IF($I798="?","unknown worker - was the name changed on Workers?",IF($D798="","missing type",IF(N($E798)=0,"missing amount",IF(AND($E798&lt;0,$D798&lt;&gt;"Correction"),"negative amount - use a Correction to undo",IF(OR($B798&lt;Weeks!$A$7,$B798&gt;Weeks!$B$59),"date outside this workbook's year",IF(AND($D798="Advance",N($L798)&lt;0),"Warning: more than earned so far - worker now owes "&amp;TEXT(ROUND(-$L798,0),"#,##0"),"")))))))))</f>
        <v/>
      </c>
      <c r="N798" s="125" t="n"/>
      <c r="O798" s="126" t="n"/>
      <c r="P798" s="126" t="n"/>
      <c r="Q798" s="126" t="n"/>
      <c r="R798" s="126" t="n"/>
      <c r="S798" s="126" t="n"/>
      <c r="T798" s="126" t="n"/>
      <c r="U798" s="126" t="n"/>
      <c r="V798" s="126" t="n"/>
      <c r="W798" s="126" t="n"/>
      <c r="X798" s="126" t="n"/>
      <c r="Y798" s="126" t="n"/>
      <c r="Z798" s="126" t="n"/>
      <c r="AA798" s="126" t="n"/>
      <c r="AB798" s="126" t="n"/>
      <c r="AC798" s="126" t="n"/>
      <c r="AD798" s="126" t="n"/>
      <c r="AE798" s="126" t="n"/>
      <c r="AF798" s="126" t="n"/>
      <c r="AG798" s="126" t="n"/>
      <c r="AH798" s="126" t="n"/>
      <c r="AI798" s="126" t="n"/>
      <c r="AJ798" s="126" t="n"/>
      <c r="AK798" s="126" t="n"/>
      <c r="AL798" s="126" t="n"/>
      <c r="AM798" s="126" t="n"/>
      <c r="AN798" s="126" t="n"/>
    </row>
    <row r="799" ht="21" customFormat="1" customHeight="1" s="127">
      <c r="A799" s="51">
        <f>IF($B799="","",ROW()-6)</f>
        <v/>
      </c>
      <c r="B799" s="268" t="n"/>
      <c r="C799" s="133" t="n"/>
      <c r="D799" s="50" t="n"/>
      <c r="E799" s="265" t="n"/>
      <c r="F799" s="133" t="n"/>
      <c r="G799" s="133" t="n"/>
      <c r="H799" s="50" t="n"/>
      <c r="I799" s="51">
        <f>IF($C799="","",IFERROR(INDEX(WorkerIDs,MATCH($C799,WorkerNames,0)),"?"))</f>
        <v/>
      </c>
      <c r="J799" s="253">
        <f>IF($B799="","",$B799-WEEKDAY($B799,2)+1)</f>
        <v/>
      </c>
      <c r="K799" s="142">
        <f>IF(OR($I799="",$I799="?",$D799&lt;&gt;"Advance",$B799=""),"",$I799&amp;"|"&amp;$J799&amp;"|"&amp;COUNTIFS($I$7:$I799,$I799,$J$7:$J799,$J799,$D$7:$D799,"Advance"))</f>
        <v/>
      </c>
      <c r="L799" s="266">
        <f>IF(OR($I799="",$I799="?",$B799=""),"",SUMPRODUCT((Weeks!$A$7:$A$59&lt;=$J799)*(Weeks!$X$5:$AI$5=$I799)*Weeks!$X$7:$AI$59)-SUMIFS($E$7:$E$1006,$I$7:$I$1006,$I799,$B$7:$B$1006,"&lt;="&amp;$B799))</f>
        <v/>
      </c>
      <c r="M799" s="132">
        <f>IF($B799&amp;$C799&amp;$D799&amp;$E799="","",IF($B799="","missing date",IF($C799="","missing worker",IF($I799="?","unknown worker - was the name changed on Workers?",IF($D799="","missing type",IF(N($E799)=0,"missing amount",IF(AND($E799&lt;0,$D799&lt;&gt;"Correction"),"negative amount - use a Correction to undo",IF(OR($B799&lt;Weeks!$A$7,$B799&gt;Weeks!$B$59),"date outside this workbook's year",IF(AND($D799="Advance",N($L799)&lt;0),"Warning: more than earned so far - worker now owes "&amp;TEXT(ROUND(-$L799,0),"#,##0"),"")))))))))</f>
        <v/>
      </c>
      <c r="N799" s="125" t="n"/>
      <c r="O799" s="126" t="n"/>
      <c r="P799" s="126" t="n"/>
      <c r="Q799" s="126" t="n"/>
      <c r="R799" s="126" t="n"/>
      <c r="S799" s="126" t="n"/>
      <c r="T799" s="126" t="n"/>
      <c r="U799" s="126" t="n"/>
      <c r="V799" s="126" t="n"/>
      <c r="W799" s="126" t="n"/>
      <c r="X799" s="126" t="n"/>
      <c r="Y799" s="126" t="n"/>
      <c r="Z799" s="126" t="n"/>
      <c r="AA799" s="126" t="n"/>
      <c r="AB799" s="126" t="n"/>
      <c r="AC799" s="126" t="n"/>
      <c r="AD799" s="126" t="n"/>
      <c r="AE799" s="126" t="n"/>
      <c r="AF799" s="126" t="n"/>
      <c r="AG799" s="126" t="n"/>
      <c r="AH799" s="126" t="n"/>
      <c r="AI799" s="126" t="n"/>
      <c r="AJ799" s="126" t="n"/>
      <c r="AK799" s="126" t="n"/>
      <c r="AL799" s="126" t="n"/>
      <c r="AM799" s="126" t="n"/>
      <c r="AN799" s="126" t="n"/>
    </row>
    <row r="800" ht="21" customFormat="1" customHeight="1" s="127">
      <c r="A800" s="51">
        <f>IF($B800="","",ROW()-6)</f>
        <v/>
      </c>
      <c r="B800" s="268" t="n"/>
      <c r="C800" s="133" t="n"/>
      <c r="D800" s="50" t="n"/>
      <c r="E800" s="265" t="n"/>
      <c r="F800" s="133" t="n"/>
      <c r="G800" s="133" t="n"/>
      <c r="H800" s="50" t="n"/>
      <c r="I800" s="51">
        <f>IF($C800="","",IFERROR(INDEX(WorkerIDs,MATCH($C800,WorkerNames,0)),"?"))</f>
        <v/>
      </c>
      <c r="J800" s="253">
        <f>IF($B800="","",$B800-WEEKDAY($B800,2)+1)</f>
        <v/>
      </c>
      <c r="K800" s="142">
        <f>IF(OR($I800="",$I800="?",$D800&lt;&gt;"Advance",$B800=""),"",$I800&amp;"|"&amp;$J800&amp;"|"&amp;COUNTIFS($I$7:$I800,$I800,$J$7:$J800,$J800,$D$7:$D800,"Advance"))</f>
        <v/>
      </c>
      <c r="L800" s="266">
        <f>IF(OR($I800="",$I800="?",$B800=""),"",SUMPRODUCT((Weeks!$A$7:$A$59&lt;=$J800)*(Weeks!$X$5:$AI$5=$I800)*Weeks!$X$7:$AI$59)-SUMIFS($E$7:$E$1006,$I$7:$I$1006,$I800,$B$7:$B$1006,"&lt;="&amp;$B800))</f>
        <v/>
      </c>
      <c r="M800" s="132">
        <f>IF($B800&amp;$C800&amp;$D800&amp;$E800="","",IF($B800="","missing date",IF($C800="","missing worker",IF($I800="?","unknown worker - was the name changed on Workers?",IF($D800="","missing type",IF(N($E800)=0,"missing amount",IF(AND($E800&lt;0,$D800&lt;&gt;"Correction"),"negative amount - use a Correction to undo",IF(OR($B800&lt;Weeks!$A$7,$B800&gt;Weeks!$B$59),"date outside this workbook's year",IF(AND($D800="Advance",N($L800)&lt;0),"Warning: more than earned so far - worker now owes "&amp;TEXT(ROUND(-$L800,0),"#,##0"),"")))))))))</f>
        <v/>
      </c>
      <c r="N800" s="125" t="n"/>
      <c r="O800" s="126" t="n"/>
      <c r="P800" s="126" t="n"/>
      <c r="Q800" s="126" t="n"/>
      <c r="R800" s="126" t="n"/>
      <c r="S800" s="126" t="n"/>
      <c r="T800" s="126" t="n"/>
      <c r="U800" s="126" t="n"/>
      <c r="V800" s="126" t="n"/>
      <c r="W800" s="126" t="n"/>
      <c r="X800" s="126" t="n"/>
      <c r="Y800" s="126" t="n"/>
      <c r="Z800" s="126" t="n"/>
      <c r="AA800" s="126" t="n"/>
      <c r="AB800" s="126" t="n"/>
      <c r="AC800" s="126" t="n"/>
      <c r="AD800" s="126" t="n"/>
      <c r="AE800" s="126" t="n"/>
      <c r="AF800" s="126" t="n"/>
      <c r="AG800" s="126" t="n"/>
      <c r="AH800" s="126" t="n"/>
      <c r="AI800" s="126" t="n"/>
      <c r="AJ800" s="126" t="n"/>
      <c r="AK800" s="126" t="n"/>
      <c r="AL800" s="126" t="n"/>
      <c r="AM800" s="126" t="n"/>
      <c r="AN800" s="126" t="n"/>
    </row>
    <row r="801" ht="21" customFormat="1" customHeight="1" s="127">
      <c r="A801" s="51">
        <f>IF($B801="","",ROW()-6)</f>
        <v/>
      </c>
      <c r="B801" s="268" t="n"/>
      <c r="C801" s="133" t="n"/>
      <c r="D801" s="50" t="n"/>
      <c r="E801" s="265" t="n"/>
      <c r="F801" s="133" t="n"/>
      <c r="G801" s="133" t="n"/>
      <c r="H801" s="50" t="n"/>
      <c r="I801" s="51">
        <f>IF($C801="","",IFERROR(INDEX(WorkerIDs,MATCH($C801,WorkerNames,0)),"?"))</f>
        <v/>
      </c>
      <c r="J801" s="253">
        <f>IF($B801="","",$B801-WEEKDAY($B801,2)+1)</f>
        <v/>
      </c>
      <c r="K801" s="142">
        <f>IF(OR($I801="",$I801="?",$D801&lt;&gt;"Advance",$B801=""),"",$I801&amp;"|"&amp;$J801&amp;"|"&amp;COUNTIFS($I$7:$I801,$I801,$J$7:$J801,$J801,$D$7:$D801,"Advance"))</f>
        <v/>
      </c>
      <c r="L801" s="266">
        <f>IF(OR($I801="",$I801="?",$B801=""),"",SUMPRODUCT((Weeks!$A$7:$A$59&lt;=$J801)*(Weeks!$X$5:$AI$5=$I801)*Weeks!$X$7:$AI$59)-SUMIFS($E$7:$E$1006,$I$7:$I$1006,$I801,$B$7:$B$1006,"&lt;="&amp;$B801))</f>
        <v/>
      </c>
      <c r="M801" s="132">
        <f>IF($B801&amp;$C801&amp;$D801&amp;$E801="","",IF($B801="","missing date",IF($C801="","missing worker",IF($I801="?","unknown worker - was the name changed on Workers?",IF($D801="","missing type",IF(N($E801)=0,"missing amount",IF(AND($E801&lt;0,$D801&lt;&gt;"Correction"),"negative amount - use a Correction to undo",IF(OR($B801&lt;Weeks!$A$7,$B801&gt;Weeks!$B$59),"date outside this workbook's year",IF(AND($D801="Advance",N($L801)&lt;0),"Warning: more than earned so far - worker now owes "&amp;TEXT(ROUND(-$L801,0),"#,##0"),"")))))))))</f>
        <v/>
      </c>
      <c r="N801" s="125" t="n"/>
      <c r="O801" s="126" t="n"/>
      <c r="P801" s="126" t="n"/>
      <c r="Q801" s="126" t="n"/>
      <c r="R801" s="126" t="n"/>
      <c r="S801" s="126" t="n"/>
      <c r="T801" s="126" t="n"/>
      <c r="U801" s="126" t="n"/>
      <c r="V801" s="126" t="n"/>
      <c r="W801" s="126" t="n"/>
      <c r="X801" s="126" t="n"/>
      <c r="Y801" s="126" t="n"/>
      <c r="Z801" s="126" t="n"/>
      <c r="AA801" s="126" t="n"/>
      <c r="AB801" s="126" t="n"/>
      <c r="AC801" s="126" t="n"/>
      <c r="AD801" s="126" t="n"/>
      <c r="AE801" s="126" t="n"/>
      <c r="AF801" s="126" t="n"/>
      <c r="AG801" s="126" t="n"/>
      <c r="AH801" s="126" t="n"/>
      <c r="AI801" s="126" t="n"/>
      <c r="AJ801" s="126" t="n"/>
      <c r="AK801" s="126" t="n"/>
      <c r="AL801" s="126" t="n"/>
      <c r="AM801" s="126" t="n"/>
      <c r="AN801" s="126" t="n"/>
    </row>
    <row r="802" ht="21" customFormat="1" customHeight="1" s="127">
      <c r="A802" s="51">
        <f>IF($B802="","",ROW()-6)</f>
        <v/>
      </c>
      <c r="B802" s="268" t="n"/>
      <c r="C802" s="133" t="n"/>
      <c r="D802" s="50" t="n"/>
      <c r="E802" s="265" t="n"/>
      <c r="F802" s="133" t="n"/>
      <c r="G802" s="133" t="n"/>
      <c r="H802" s="50" t="n"/>
      <c r="I802" s="51">
        <f>IF($C802="","",IFERROR(INDEX(WorkerIDs,MATCH($C802,WorkerNames,0)),"?"))</f>
        <v/>
      </c>
      <c r="J802" s="253">
        <f>IF($B802="","",$B802-WEEKDAY($B802,2)+1)</f>
        <v/>
      </c>
      <c r="K802" s="142">
        <f>IF(OR($I802="",$I802="?",$D802&lt;&gt;"Advance",$B802=""),"",$I802&amp;"|"&amp;$J802&amp;"|"&amp;COUNTIFS($I$7:$I802,$I802,$J$7:$J802,$J802,$D$7:$D802,"Advance"))</f>
        <v/>
      </c>
      <c r="L802" s="266">
        <f>IF(OR($I802="",$I802="?",$B802=""),"",SUMPRODUCT((Weeks!$A$7:$A$59&lt;=$J802)*(Weeks!$X$5:$AI$5=$I802)*Weeks!$X$7:$AI$59)-SUMIFS($E$7:$E$1006,$I$7:$I$1006,$I802,$B$7:$B$1006,"&lt;="&amp;$B802))</f>
        <v/>
      </c>
      <c r="M802" s="132">
        <f>IF($B802&amp;$C802&amp;$D802&amp;$E802="","",IF($B802="","missing date",IF($C802="","missing worker",IF($I802="?","unknown worker - was the name changed on Workers?",IF($D802="","missing type",IF(N($E802)=0,"missing amount",IF(AND($E802&lt;0,$D802&lt;&gt;"Correction"),"negative amount - use a Correction to undo",IF(OR($B802&lt;Weeks!$A$7,$B802&gt;Weeks!$B$59),"date outside this workbook's year",IF(AND($D802="Advance",N($L802)&lt;0),"Warning: more than earned so far - worker now owes "&amp;TEXT(ROUND(-$L802,0),"#,##0"),"")))))))))</f>
        <v/>
      </c>
      <c r="N802" s="125" t="n"/>
      <c r="O802" s="126" t="n"/>
      <c r="P802" s="126" t="n"/>
      <c r="Q802" s="126" t="n"/>
      <c r="R802" s="126" t="n"/>
      <c r="S802" s="126" t="n"/>
      <c r="T802" s="126" t="n"/>
      <c r="U802" s="126" t="n"/>
      <c r="V802" s="126" t="n"/>
      <c r="W802" s="126" t="n"/>
      <c r="X802" s="126" t="n"/>
      <c r="Y802" s="126" t="n"/>
      <c r="Z802" s="126" t="n"/>
      <c r="AA802" s="126" t="n"/>
      <c r="AB802" s="126" t="n"/>
      <c r="AC802" s="126" t="n"/>
      <c r="AD802" s="126" t="n"/>
      <c r="AE802" s="126" t="n"/>
      <c r="AF802" s="126" t="n"/>
      <c r="AG802" s="126" t="n"/>
      <c r="AH802" s="126" t="n"/>
      <c r="AI802" s="126" t="n"/>
      <c r="AJ802" s="126" t="n"/>
      <c r="AK802" s="126" t="n"/>
      <c r="AL802" s="126" t="n"/>
      <c r="AM802" s="126" t="n"/>
      <c r="AN802" s="126" t="n"/>
    </row>
    <row r="803" ht="21" customFormat="1" customHeight="1" s="127">
      <c r="A803" s="51">
        <f>IF($B803="","",ROW()-6)</f>
        <v/>
      </c>
      <c r="B803" s="268" t="n"/>
      <c r="C803" s="133" t="n"/>
      <c r="D803" s="50" t="n"/>
      <c r="E803" s="265" t="n"/>
      <c r="F803" s="133" t="n"/>
      <c r="G803" s="133" t="n"/>
      <c r="H803" s="50" t="n"/>
      <c r="I803" s="51">
        <f>IF($C803="","",IFERROR(INDEX(WorkerIDs,MATCH($C803,WorkerNames,0)),"?"))</f>
        <v/>
      </c>
      <c r="J803" s="253">
        <f>IF($B803="","",$B803-WEEKDAY($B803,2)+1)</f>
        <v/>
      </c>
      <c r="K803" s="142">
        <f>IF(OR($I803="",$I803="?",$D803&lt;&gt;"Advance",$B803=""),"",$I803&amp;"|"&amp;$J803&amp;"|"&amp;COUNTIFS($I$7:$I803,$I803,$J$7:$J803,$J803,$D$7:$D803,"Advance"))</f>
        <v/>
      </c>
      <c r="L803" s="266">
        <f>IF(OR($I803="",$I803="?",$B803=""),"",SUMPRODUCT((Weeks!$A$7:$A$59&lt;=$J803)*(Weeks!$X$5:$AI$5=$I803)*Weeks!$X$7:$AI$59)-SUMIFS($E$7:$E$1006,$I$7:$I$1006,$I803,$B$7:$B$1006,"&lt;="&amp;$B803))</f>
        <v/>
      </c>
      <c r="M803" s="132">
        <f>IF($B803&amp;$C803&amp;$D803&amp;$E803="","",IF($B803="","missing date",IF($C803="","missing worker",IF($I803="?","unknown worker - was the name changed on Workers?",IF($D803="","missing type",IF(N($E803)=0,"missing amount",IF(AND($E803&lt;0,$D803&lt;&gt;"Correction"),"negative amount - use a Correction to undo",IF(OR($B803&lt;Weeks!$A$7,$B803&gt;Weeks!$B$59),"date outside this workbook's year",IF(AND($D803="Advance",N($L803)&lt;0),"Warning: more than earned so far - worker now owes "&amp;TEXT(ROUND(-$L803,0),"#,##0"),"")))))))))</f>
        <v/>
      </c>
      <c r="N803" s="125" t="n"/>
      <c r="O803" s="126" t="n"/>
      <c r="P803" s="126" t="n"/>
      <c r="Q803" s="126" t="n"/>
      <c r="R803" s="126" t="n"/>
      <c r="S803" s="126" t="n"/>
      <c r="T803" s="126" t="n"/>
      <c r="U803" s="126" t="n"/>
      <c r="V803" s="126" t="n"/>
      <c r="W803" s="126" t="n"/>
      <c r="X803" s="126" t="n"/>
      <c r="Y803" s="126" t="n"/>
      <c r="Z803" s="126" t="n"/>
      <c r="AA803" s="126" t="n"/>
      <c r="AB803" s="126" t="n"/>
      <c r="AC803" s="126" t="n"/>
      <c r="AD803" s="126" t="n"/>
      <c r="AE803" s="126" t="n"/>
      <c r="AF803" s="126" t="n"/>
      <c r="AG803" s="126" t="n"/>
      <c r="AH803" s="126" t="n"/>
      <c r="AI803" s="126" t="n"/>
      <c r="AJ803" s="126" t="n"/>
      <c r="AK803" s="126" t="n"/>
      <c r="AL803" s="126" t="n"/>
      <c r="AM803" s="126" t="n"/>
      <c r="AN803" s="126" t="n"/>
    </row>
    <row r="804" ht="21" customFormat="1" customHeight="1" s="127">
      <c r="A804" s="51">
        <f>IF($B804="","",ROW()-6)</f>
        <v/>
      </c>
      <c r="B804" s="268" t="n"/>
      <c r="C804" s="133" t="n"/>
      <c r="D804" s="50" t="n"/>
      <c r="E804" s="265" t="n"/>
      <c r="F804" s="133" t="n"/>
      <c r="G804" s="133" t="n"/>
      <c r="H804" s="50" t="n"/>
      <c r="I804" s="51">
        <f>IF($C804="","",IFERROR(INDEX(WorkerIDs,MATCH($C804,WorkerNames,0)),"?"))</f>
        <v/>
      </c>
      <c r="J804" s="253">
        <f>IF($B804="","",$B804-WEEKDAY($B804,2)+1)</f>
        <v/>
      </c>
      <c r="K804" s="142">
        <f>IF(OR($I804="",$I804="?",$D804&lt;&gt;"Advance",$B804=""),"",$I804&amp;"|"&amp;$J804&amp;"|"&amp;COUNTIFS($I$7:$I804,$I804,$J$7:$J804,$J804,$D$7:$D804,"Advance"))</f>
        <v/>
      </c>
      <c r="L804" s="266">
        <f>IF(OR($I804="",$I804="?",$B804=""),"",SUMPRODUCT((Weeks!$A$7:$A$59&lt;=$J804)*(Weeks!$X$5:$AI$5=$I804)*Weeks!$X$7:$AI$59)-SUMIFS($E$7:$E$1006,$I$7:$I$1006,$I804,$B$7:$B$1006,"&lt;="&amp;$B804))</f>
        <v/>
      </c>
      <c r="M804" s="132">
        <f>IF($B804&amp;$C804&amp;$D804&amp;$E804="","",IF($B804="","missing date",IF($C804="","missing worker",IF($I804="?","unknown worker - was the name changed on Workers?",IF($D804="","missing type",IF(N($E804)=0,"missing amount",IF(AND($E804&lt;0,$D804&lt;&gt;"Correction"),"negative amount - use a Correction to undo",IF(OR($B804&lt;Weeks!$A$7,$B804&gt;Weeks!$B$59),"date outside this workbook's year",IF(AND($D804="Advance",N($L804)&lt;0),"Warning: more than earned so far - worker now owes "&amp;TEXT(ROUND(-$L804,0),"#,##0"),"")))))))))</f>
        <v/>
      </c>
      <c r="N804" s="125" t="n"/>
      <c r="O804" s="126" t="n"/>
      <c r="P804" s="126" t="n"/>
      <c r="Q804" s="126" t="n"/>
      <c r="R804" s="126" t="n"/>
      <c r="S804" s="126" t="n"/>
      <c r="T804" s="126" t="n"/>
      <c r="U804" s="126" t="n"/>
      <c r="V804" s="126" t="n"/>
      <c r="W804" s="126" t="n"/>
      <c r="X804" s="126" t="n"/>
      <c r="Y804" s="126" t="n"/>
      <c r="Z804" s="126" t="n"/>
      <c r="AA804" s="126" t="n"/>
      <c r="AB804" s="126" t="n"/>
      <c r="AC804" s="126" t="n"/>
      <c r="AD804" s="126" t="n"/>
      <c r="AE804" s="126" t="n"/>
      <c r="AF804" s="126" t="n"/>
      <c r="AG804" s="126" t="n"/>
      <c r="AH804" s="126" t="n"/>
      <c r="AI804" s="126" t="n"/>
      <c r="AJ804" s="126" t="n"/>
      <c r="AK804" s="126" t="n"/>
      <c r="AL804" s="126" t="n"/>
      <c r="AM804" s="126" t="n"/>
      <c r="AN804" s="126" t="n"/>
    </row>
    <row r="805" ht="21" customFormat="1" customHeight="1" s="127">
      <c r="A805" s="51">
        <f>IF($B805="","",ROW()-6)</f>
        <v/>
      </c>
      <c r="B805" s="268" t="n"/>
      <c r="C805" s="133" t="n"/>
      <c r="D805" s="50" t="n"/>
      <c r="E805" s="265" t="n"/>
      <c r="F805" s="133" t="n"/>
      <c r="G805" s="133" t="n"/>
      <c r="H805" s="50" t="n"/>
      <c r="I805" s="51">
        <f>IF($C805="","",IFERROR(INDEX(WorkerIDs,MATCH($C805,WorkerNames,0)),"?"))</f>
        <v/>
      </c>
      <c r="J805" s="253">
        <f>IF($B805="","",$B805-WEEKDAY($B805,2)+1)</f>
        <v/>
      </c>
      <c r="K805" s="142">
        <f>IF(OR($I805="",$I805="?",$D805&lt;&gt;"Advance",$B805=""),"",$I805&amp;"|"&amp;$J805&amp;"|"&amp;COUNTIFS($I$7:$I805,$I805,$J$7:$J805,$J805,$D$7:$D805,"Advance"))</f>
        <v/>
      </c>
      <c r="L805" s="266">
        <f>IF(OR($I805="",$I805="?",$B805=""),"",SUMPRODUCT((Weeks!$A$7:$A$59&lt;=$J805)*(Weeks!$X$5:$AI$5=$I805)*Weeks!$X$7:$AI$59)-SUMIFS($E$7:$E$1006,$I$7:$I$1006,$I805,$B$7:$B$1006,"&lt;="&amp;$B805))</f>
        <v/>
      </c>
      <c r="M805" s="132">
        <f>IF($B805&amp;$C805&amp;$D805&amp;$E805="","",IF($B805="","missing date",IF($C805="","missing worker",IF($I805="?","unknown worker - was the name changed on Workers?",IF($D805="","missing type",IF(N($E805)=0,"missing amount",IF(AND($E805&lt;0,$D805&lt;&gt;"Correction"),"negative amount - use a Correction to undo",IF(OR($B805&lt;Weeks!$A$7,$B805&gt;Weeks!$B$59),"date outside this workbook's year",IF(AND($D805="Advance",N($L805)&lt;0),"Warning: more than earned so far - worker now owes "&amp;TEXT(ROUND(-$L805,0),"#,##0"),"")))))))))</f>
        <v/>
      </c>
      <c r="N805" s="125" t="n"/>
      <c r="O805" s="126" t="n"/>
      <c r="P805" s="126" t="n"/>
      <c r="Q805" s="126" t="n"/>
      <c r="R805" s="126" t="n"/>
      <c r="S805" s="126" t="n"/>
      <c r="T805" s="126" t="n"/>
      <c r="U805" s="126" t="n"/>
      <c r="V805" s="126" t="n"/>
      <c r="W805" s="126" t="n"/>
      <c r="X805" s="126" t="n"/>
      <c r="Y805" s="126" t="n"/>
      <c r="Z805" s="126" t="n"/>
      <c r="AA805" s="126" t="n"/>
      <c r="AB805" s="126" t="n"/>
      <c r="AC805" s="126" t="n"/>
      <c r="AD805" s="126" t="n"/>
      <c r="AE805" s="126" t="n"/>
      <c r="AF805" s="126" t="n"/>
      <c r="AG805" s="126" t="n"/>
      <c r="AH805" s="126" t="n"/>
      <c r="AI805" s="126" t="n"/>
      <c r="AJ805" s="126" t="n"/>
      <c r="AK805" s="126" t="n"/>
      <c r="AL805" s="126" t="n"/>
      <c r="AM805" s="126" t="n"/>
      <c r="AN805" s="126" t="n"/>
    </row>
    <row r="806" ht="21" customFormat="1" customHeight="1" s="127">
      <c r="A806" s="51">
        <f>IF($B806="","",ROW()-6)</f>
        <v/>
      </c>
      <c r="B806" s="268" t="n"/>
      <c r="C806" s="133" t="n"/>
      <c r="D806" s="50" t="n"/>
      <c r="E806" s="265" t="n"/>
      <c r="F806" s="133" t="n"/>
      <c r="G806" s="133" t="n"/>
      <c r="H806" s="50" t="n"/>
      <c r="I806" s="51">
        <f>IF($C806="","",IFERROR(INDEX(WorkerIDs,MATCH($C806,WorkerNames,0)),"?"))</f>
        <v/>
      </c>
      <c r="J806" s="253">
        <f>IF($B806="","",$B806-WEEKDAY($B806,2)+1)</f>
        <v/>
      </c>
      <c r="K806" s="142">
        <f>IF(OR($I806="",$I806="?",$D806&lt;&gt;"Advance",$B806=""),"",$I806&amp;"|"&amp;$J806&amp;"|"&amp;COUNTIFS($I$7:$I806,$I806,$J$7:$J806,$J806,$D$7:$D806,"Advance"))</f>
        <v/>
      </c>
      <c r="L806" s="266">
        <f>IF(OR($I806="",$I806="?",$B806=""),"",SUMPRODUCT((Weeks!$A$7:$A$59&lt;=$J806)*(Weeks!$X$5:$AI$5=$I806)*Weeks!$X$7:$AI$59)-SUMIFS($E$7:$E$1006,$I$7:$I$1006,$I806,$B$7:$B$1006,"&lt;="&amp;$B806))</f>
        <v/>
      </c>
      <c r="M806" s="132">
        <f>IF($B806&amp;$C806&amp;$D806&amp;$E806="","",IF($B806="","missing date",IF($C806="","missing worker",IF($I806="?","unknown worker - was the name changed on Workers?",IF($D806="","missing type",IF(N($E806)=0,"missing amount",IF(AND($E806&lt;0,$D806&lt;&gt;"Correction"),"negative amount - use a Correction to undo",IF(OR($B806&lt;Weeks!$A$7,$B806&gt;Weeks!$B$59),"date outside this workbook's year",IF(AND($D806="Advance",N($L806)&lt;0),"Warning: more than earned so far - worker now owes "&amp;TEXT(ROUND(-$L806,0),"#,##0"),"")))))))))</f>
        <v/>
      </c>
      <c r="N806" s="125" t="n"/>
      <c r="O806" s="126" t="n"/>
      <c r="P806" s="126" t="n"/>
      <c r="Q806" s="126" t="n"/>
      <c r="R806" s="126" t="n"/>
      <c r="S806" s="126" t="n"/>
      <c r="T806" s="126" t="n"/>
      <c r="U806" s="126" t="n"/>
      <c r="V806" s="126" t="n"/>
      <c r="W806" s="126" t="n"/>
      <c r="X806" s="126" t="n"/>
      <c r="Y806" s="126" t="n"/>
      <c r="Z806" s="126" t="n"/>
      <c r="AA806" s="126" t="n"/>
      <c r="AB806" s="126" t="n"/>
      <c r="AC806" s="126" t="n"/>
      <c r="AD806" s="126" t="n"/>
      <c r="AE806" s="126" t="n"/>
      <c r="AF806" s="126" t="n"/>
      <c r="AG806" s="126" t="n"/>
      <c r="AH806" s="126" t="n"/>
      <c r="AI806" s="126" t="n"/>
      <c r="AJ806" s="126" t="n"/>
      <c r="AK806" s="126" t="n"/>
      <c r="AL806" s="126" t="n"/>
      <c r="AM806" s="126" t="n"/>
      <c r="AN806" s="126" t="n"/>
    </row>
    <row r="807" ht="21" customFormat="1" customHeight="1" s="127">
      <c r="A807" s="51">
        <f>IF($B807="","",ROW()-6)</f>
        <v/>
      </c>
      <c r="B807" s="268" t="n"/>
      <c r="C807" s="133" t="n"/>
      <c r="D807" s="50" t="n"/>
      <c r="E807" s="265" t="n"/>
      <c r="F807" s="133" t="n"/>
      <c r="G807" s="133" t="n"/>
      <c r="H807" s="50" t="n"/>
      <c r="I807" s="51">
        <f>IF($C807="","",IFERROR(INDEX(WorkerIDs,MATCH($C807,WorkerNames,0)),"?"))</f>
        <v/>
      </c>
      <c r="J807" s="253">
        <f>IF($B807="","",$B807-WEEKDAY($B807,2)+1)</f>
        <v/>
      </c>
      <c r="K807" s="142">
        <f>IF(OR($I807="",$I807="?",$D807&lt;&gt;"Advance",$B807=""),"",$I807&amp;"|"&amp;$J807&amp;"|"&amp;COUNTIFS($I$7:$I807,$I807,$J$7:$J807,$J807,$D$7:$D807,"Advance"))</f>
        <v/>
      </c>
      <c r="L807" s="266">
        <f>IF(OR($I807="",$I807="?",$B807=""),"",SUMPRODUCT((Weeks!$A$7:$A$59&lt;=$J807)*(Weeks!$X$5:$AI$5=$I807)*Weeks!$X$7:$AI$59)-SUMIFS($E$7:$E$1006,$I$7:$I$1006,$I807,$B$7:$B$1006,"&lt;="&amp;$B807))</f>
        <v/>
      </c>
      <c r="M807" s="132">
        <f>IF($B807&amp;$C807&amp;$D807&amp;$E807="","",IF($B807="","missing date",IF($C807="","missing worker",IF($I807="?","unknown worker - was the name changed on Workers?",IF($D807="","missing type",IF(N($E807)=0,"missing amount",IF(AND($E807&lt;0,$D807&lt;&gt;"Correction"),"negative amount - use a Correction to undo",IF(OR($B807&lt;Weeks!$A$7,$B807&gt;Weeks!$B$59),"date outside this workbook's year",IF(AND($D807="Advance",N($L807)&lt;0),"Warning: more than earned so far - worker now owes "&amp;TEXT(ROUND(-$L807,0),"#,##0"),"")))))))))</f>
        <v/>
      </c>
      <c r="N807" s="125" t="n"/>
      <c r="O807" s="126" t="n"/>
      <c r="P807" s="126" t="n"/>
      <c r="Q807" s="126" t="n"/>
      <c r="R807" s="126" t="n"/>
      <c r="S807" s="126" t="n"/>
      <c r="T807" s="126" t="n"/>
      <c r="U807" s="126" t="n"/>
      <c r="V807" s="126" t="n"/>
      <c r="W807" s="126" t="n"/>
      <c r="X807" s="126" t="n"/>
      <c r="Y807" s="126" t="n"/>
      <c r="Z807" s="126" t="n"/>
      <c r="AA807" s="126" t="n"/>
      <c r="AB807" s="126" t="n"/>
      <c r="AC807" s="126" t="n"/>
      <c r="AD807" s="126" t="n"/>
      <c r="AE807" s="126" t="n"/>
      <c r="AF807" s="126" t="n"/>
      <c r="AG807" s="126" t="n"/>
      <c r="AH807" s="126" t="n"/>
      <c r="AI807" s="126" t="n"/>
      <c r="AJ807" s="126" t="n"/>
      <c r="AK807" s="126" t="n"/>
      <c r="AL807" s="126" t="n"/>
      <c r="AM807" s="126" t="n"/>
      <c r="AN807" s="126" t="n"/>
    </row>
    <row r="808" ht="21" customFormat="1" customHeight="1" s="127">
      <c r="A808" s="51">
        <f>IF($B808="","",ROW()-6)</f>
        <v/>
      </c>
      <c r="B808" s="268" t="n"/>
      <c r="C808" s="133" t="n"/>
      <c r="D808" s="50" t="n"/>
      <c r="E808" s="265" t="n"/>
      <c r="F808" s="133" t="n"/>
      <c r="G808" s="133" t="n"/>
      <c r="H808" s="50" t="n"/>
      <c r="I808" s="51">
        <f>IF($C808="","",IFERROR(INDEX(WorkerIDs,MATCH($C808,WorkerNames,0)),"?"))</f>
        <v/>
      </c>
      <c r="J808" s="253">
        <f>IF($B808="","",$B808-WEEKDAY($B808,2)+1)</f>
        <v/>
      </c>
      <c r="K808" s="142">
        <f>IF(OR($I808="",$I808="?",$D808&lt;&gt;"Advance",$B808=""),"",$I808&amp;"|"&amp;$J808&amp;"|"&amp;COUNTIFS($I$7:$I808,$I808,$J$7:$J808,$J808,$D$7:$D808,"Advance"))</f>
        <v/>
      </c>
      <c r="L808" s="266">
        <f>IF(OR($I808="",$I808="?",$B808=""),"",SUMPRODUCT((Weeks!$A$7:$A$59&lt;=$J808)*(Weeks!$X$5:$AI$5=$I808)*Weeks!$X$7:$AI$59)-SUMIFS($E$7:$E$1006,$I$7:$I$1006,$I808,$B$7:$B$1006,"&lt;="&amp;$B808))</f>
        <v/>
      </c>
      <c r="M808" s="132">
        <f>IF($B808&amp;$C808&amp;$D808&amp;$E808="","",IF($B808="","missing date",IF($C808="","missing worker",IF($I808="?","unknown worker - was the name changed on Workers?",IF($D808="","missing type",IF(N($E808)=0,"missing amount",IF(AND($E808&lt;0,$D808&lt;&gt;"Correction"),"negative amount - use a Correction to undo",IF(OR($B808&lt;Weeks!$A$7,$B808&gt;Weeks!$B$59),"date outside this workbook's year",IF(AND($D808="Advance",N($L808)&lt;0),"Warning: more than earned so far - worker now owes "&amp;TEXT(ROUND(-$L808,0),"#,##0"),"")))))))))</f>
        <v/>
      </c>
      <c r="N808" s="125" t="n"/>
      <c r="O808" s="126" t="n"/>
      <c r="P808" s="126" t="n"/>
      <c r="Q808" s="126" t="n"/>
      <c r="R808" s="126" t="n"/>
      <c r="S808" s="126" t="n"/>
      <c r="T808" s="126" t="n"/>
      <c r="U808" s="126" t="n"/>
      <c r="V808" s="126" t="n"/>
      <c r="W808" s="126" t="n"/>
      <c r="X808" s="126" t="n"/>
      <c r="Y808" s="126" t="n"/>
      <c r="Z808" s="126" t="n"/>
      <c r="AA808" s="126" t="n"/>
      <c r="AB808" s="126" t="n"/>
      <c r="AC808" s="126" t="n"/>
      <c r="AD808" s="126" t="n"/>
      <c r="AE808" s="126" t="n"/>
      <c r="AF808" s="126" t="n"/>
      <c r="AG808" s="126" t="n"/>
      <c r="AH808" s="126" t="n"/>
      <c r="AI808" s="126" t="n"/>
      <c r="AJ808" s="126" t="n"/>
      <c r="AK808" s="126" t="n"/>
      <c r="AL808" s="126" t="n"/>
      <c r="AM808" s="126" t="n"/>
      <c r="AN808" s="126" t="n"/>
    </row>
    <row r="809" ht="21" customFormat="1" customHeight="1" s="127">
      <c r="A809" s="51">
        <f>IF($B809="","",ROW()-6)</f>
        <v/>
      </c>
      <c r="B809" s="268" t="n"/>
      <c r="C809" s="133" t="n"/>
      <c r="D809" s="50" t="n"/>
      <c r="E809" s="265" t="n"/>
      <c r="F809" s="133" t="n"/>
      <c r="G809" s="133" t="n"/>
      <c r="H809" s="50" t="n"/>
      <c r="I809" s="51">
        <f>IF($C809="","",IFERROR(INDEX(WorkerIDs,MATCH($C809,WorkerNames,0)),"?"))</f>
        <v/>
      </c>
      <c r="J809" s="253">
        <f>IF($B809="","",$B809-WEEKDAY($B809,2)+1)</f>
        <v/>
      </c>
      <c r="K809" s="142">
        <f>IF(OR($I809="",$I809="?",$D809&lt;&gt;"Advance",$B809=""),"",$I809&amp;"|"&amp;$J809&amp;"|"&amp;COUNTIFS($I$7:$I809,$I809,$J$7:$J809,$J809,$D$7:$D809,"Advance"))</f>
        <v/>
      </c>
      <c r="L809" s="266">
        <f>IF(OR($I809="",$I809="?",$B809=""),"",SUMPRODUCT((Weeks!$A$7:$A$59&lt;=$J809)*(Weeks!$X$5:$AI$5=$I809)*Weeks!$X$7:$AI$59)-SUMIFS($E$7:$E$1006,$I$7:$I$1006,$I809,$B$7:$B$1006,"&lt;="&amp;$B809))</f>
        <v/>
      </c>
      <c r="M809" s="132">
        <f>IF($B809&amp;$C809&amp;$D809&amp;$E809="","",IF($B809="","missing date",IF($C809="","missing worker",IF($I809="?","unknown worker - was the name changed on Workers?",IF($D809="","missing type",IF(N($E809)=0,"missing amount",IF(AND($E809&lt;0,$D809&lt;&gt;"Correction"),"negative amount - use a Correction to undo",IF(OR($B809&lt;Weeks!$A$7,$B809&gt;Weeks!$B$59),"date outside this workbook's year",IF(AND($D809="Advance",N($L809)&lt;0),"Warning: more than earned so far - worker now owes "&amp;TEXT(ROUND(-$L809,0),"#,##0"),"")))))))))</f>
        <v/>
      </c>
      <c r="N809" s="125" t="n"/>
      <c r="O809" s="126" t="n"/>
      <c r="P809" s="126" t="n"/>
      <c r="Q809" s="126" t="n"/>
      <c r="R809" s="126" t="n"/>
      <c r="S809" s="126" t="n"/>
      <c r="T809" s="126" t="n"/>
      <c r="U809" s="126" t="n"/>
      <c r="V809" s="126" t="n"/>
      <c r="W809" s="126" t="n"/>
      <c r="X809" s="126" t="n"/>
      <c r="Y809" s="126" t="n"/>
      <c r="Z809" s="126" t="n"/>
      <c r="AA809" s="126" t="n"/>
      <c r="AB809" s="126" t="n"/>
      <c r="AC809" s="126" t="n"/>
      <c r="AD809" s="126" t="n"/>
      <c r="AE809" s="126" t="n"/>
      <c r="AF809" s="126" t="n"/>
      <c r="AG809" s="126" t="n"/>
      <c r="AH809" s="126" t="n"/>
      <c r="AI809" s="126" t="n"/>
      <c r="AJ809" s="126" t="n"/>
      <c r="AK809" s="126" t="n"/>
      <c r="AL809" s="126" t="n"/>
      <c r="AM809" s="126" t="n"/>
      <c r="AN809" s="126" t="n"/>
    </row>
    <row r="810" ht="21" customFormat="1" customHeight="1" s="127">
      <c r="A810" s="51">
        <f>IF($B810="","",ROW()-6)</f>
        <v/>
      </c>
      <c r="B810" s="268" t="n"/>
      <c r="C810" s="133" t="n"/>
      <c r="D810" s="50" t="n"/>
      <c r="E810" s="265" t="n"/>
      <c r="F810" s="133" t="n"/>
      <c r="G810" s="133" t="n"/>
      <c r="H810" s="50" t="n"/>
      <c r="I810" s="51">
        <f>IF($C810="","",IFERROR(INDEX(WorkerIDs,MATCH($C810,WorkerNames,0)),"?"))</f>
        <v/>
      </c>
      <c r="J810" s="253">
        <f>IF($B810="","",$B810-WEEKDAY($B810,2)+1)</f>
        <v/>
      </c>
      <c r="K810" s="142">
        <f>IF(OR($I810="",$I810="?",$D810&lt;&gt;"Advance",$B810=""),"",$I810&amp;"|"&amp;$J810&amp;"|"&amp;COUNTIFS($I$7:$I810,$I810,$J$7:$J810,$J810,$D$7:$D810,"Advance"))</f>
        <v/>
      </c>
      <c r="L810" s="266">
        <f>IF(OR($I810="",$I810="?",$B810=""),"",SUMPRODUCT((Weeks!$A$7:$A$59&lt;=$J810)*(Weeks!$X$5:$AI$5=$I810)*Weeks!$X$7:$AI$59)-SUMIFS($E$7:$E$1006,$I$7:$I$1006,$I810,$B$7:$B$1006,"&lt;="&amp;$B810))</f>
        <v/>
      </c>
      <c r="M810" s="132">
        <f>IF($B810&amp;$C810&amp;$D810&amp;$E810="","",IF($B810="","missing date",IF($C810="","missing worker",IF($I810="?","unknown worker - was the name changed on Workers?",IF($D810="","missing type",IF(N($E810)=0,"missing amount",IF(AND($E810&lt;0,$D810&lt;&gt;"Correction"),"negative amount - use a Correction to undo",IF(OR($B810&lt;Weeks!$A$7,$B810&gt;Weeks!$B$59),"date outside this workbook's year",IF(AND($D810="Advance",N($L810)&lt;0),"Warning: more than earned so far - worker now owes "&amp;TEXT(ROUND(-$L810,0),"#,##0"),"")))))))))</f>
        <v/>
      </c>
      <c r="N810" s="125" t="n"/>
      <c r="O810" s="126" t="n"/>
      <c r="P810" s="126" t="n"/>
      <c r="Q810" s="126" t="n"/>
      <c r="R810" s="126" t="n"/>
      <c r="S810" s="126" t="n"/>
      <c r="T810" s="126" t="n"/>
      <c r="U810" s="126" t="n"/>
      <c r="V810" s="126" t="n"/>
      <c r="W810" s="126" t="n"/>
      <c r="X810" s="126" t="n"/>
      <c r="Y810" s="126" t="n"/>
      <c r="Z810" s="126" t="n"/>
      <c r="AA810" s="126" t="n"/>
      <c r="AB810" s="126" t="n"/>
      <c r="AC810" s="126" t="n"/>
      <c r="AD810" s="126" t="n"/>
      <c r="AE810" s="126" t="n"/>
      <c r="AF810" s="126" t="n"/>
      <c r="AG810" s="126" t="n"/>
      <c r="AH810" s="126" t="n"/>
      <c r="AI810" s="126" t="n"/>
      <c r="AJ810" s="126" t="n"/>
      <c r="AK810" s="126" t="n"/>
      <c r="AL810" s="126" t="n"/>
      <c r="AM810" s="126" t="n"/>
      <c r="AN810" s="126" t="n"/>
    </row>
    <row r="811" ht="21" customFormat="1" customHeight="1" s="127">
      <c r="A811" s="51">
        <f>IF($B811="","",ROW()-6)</f>
        <v/>
      </c>
      <c r="B811" s="268" t="n"/>
      <c r="C811" s="133" t="n"/>
      <c r="D811" s="50" t="n"/>
      <c r="E811" s="265" t="n"/>
      <c r="F811" s="133" t="n"/>
      <c r="G811" s="133" t="n"/>
      <c r="H811" s="50" t="n"/>
      <c r="I811" s="51">
        <f>IF($C811="","",IFERROR(INDEX(WorkerIDs,MATCH($C811,WorkerNames,0)),"?"))</f>
        <v/>
      </c>
      <c r="J811" s="253">
        <f>IF($B811="","",$B811-WEEKDAY($B811,2)+1)</f>
        <v/>
      </c>
      <c r="K811" s="142">
        <f>IF(OR($I811="",$I811="?",$D811&lt;&gt;"Advance",$B811=""),"",$I811&amp;"|"&amp;$J811&amp;"|"&amp;COUNTIFS($I$7:$I811,$I811,$J$7:$J811,$J811,$D$7:$D811,"Advance"))</f>
        <v/>
      </c>
      <c r="L811" s="266">
        <f>IF(OR($I811="",$I811="?",$B811=""),"",SUMPRODUCT((Weeks!$A$7:$A$59&lt;=$J811)*(Weeks!$X$5:$AI$5=$I811)*Weeks!$X$7:$AI$59)-SUMIFS($E$7:$E$1006,$I$7:$I$1006,$I811,$B$7:$B$1006,"&lt;="&amp;$B811))</f>
        <v/>
      </c>
      <c r="M811" s="132">
        <f>IF($B811&amp;$C811&amp;$D811&amp;$E811="","",IF($B811="","missing date",IF($C811="","missing worker",IF($I811="?","unknown worker - was the name changed on Workers?",IF($D811="","missing type",IF(N($E811)=0,"missing amount",IF(AND($E811&lt;0,$D811&lt;&gt;"Correction"),"negative amount - use a Correction to undo",IF(OR($B811&lt;Weeks!$A$7,$B811&gt;Weeks!$B$59),"date outside this workbook's year",IF(AND($D811="Advance",N($L811)&lt;0),"Warning: more than earned so far - worker now owes "&amp;TEXT(ROUND(-$L811,0),"#,##0"),"")))))))))</f>
        <v/>
      </c>
      <c r="N811" s="125" t="n"/>
      <c r="O811" s="126" t="n"/>
      <c r="P811" s="126" t="n"/>
      <c r="Q811" s="126" t="n"/>
      <c r="R811" s="126" t="n"/>
      <c r="S811" s="126" t="n"/>
      <c r="T811" s="126" t="n"/>
      <c r="U811" s="126" t="n"/>
      <c r="V811" s="126" t="n"/>
      <c r="W811" s="126" t="n"/>
      <c r="X811" s="126" t="n"/>
      <c r="Y811" s="126" t="n"/>
      <c r="Z811" s="126" t="n"/>
      <c r="AA811" s="126" t="n"/>
      <c r="AB811" s="126" t="n"/>
      <c r="AC811" s="126" t="n"/>
      <c r="AD811" s="126" t="n"/>
      <c r="AE811" s="126" t="n"/>
      <c r="AF811" s="126" t="n"/>
      <c r="AG811" s="126" t="n"/>
      <c r="AH811" s="126" t="n"/>
      <c r="AI811" s="126" t="n"/>
      <c r="AJ811" s="126" t="n"/>
      <c r="AK811" s="126" t="n"/>
      <c r="AL811" s="126" t="n"/>
      <c r="AM811" s="126" t="n"/>
      <c r="AN811" s="126" t="n"/>
    </row>
    <row r="812" ht="21" customFormat="1" customHeight="1" s="127">
      <c r="A812" s="51">
        <f>IF($B812="","",ROW()-6)</f>
        <v/>
      </c>
      <c r="B812" s="268" t="n"/>
      <c r="C812" s="133" t="n"/>
      <c r="D812" s="50" t="n"/>
      <c r="E812" s="265" t="n"/>
      <c r="F812" s="133" t="n"/>
      <c r="G812" s="133" t="n"/>
      <c r="H812" s="50" t="n"/>
      <c r="I812" s="51">
        <f>IF($C812="","",IFERROR(INDEX(WorkerIDs,MATCH($C812,WorkerNames,0)),"?"))</f>
        <v/>
      </c>
      <c r="J812" s="253">
        <f>IF($B812="","",$B812-WEEKDAY($B812,2)+1)</f>
        <v/>
      </c>
      <c r="K812" s="142">
        <f>IF(OR($I812="",$I812="?",$D812&lt;&gt;"Advance",$B812=""),"",$I812&amp;"|"&amp;$J812&amp;"|"&amp;COUNTIFS($I$7:$I812,$I812,$J$7:$J812,$J812,$D$7:$D812,"Advance"))</f>
        <v/>
      </c>
      <c r="L812" s="266">
        <f>IF(OR($I812="",$I812="?",$B812=""),"",SUMPRODUCT((Weeks!$A$7:$A$59&lt;=$J812)*(Weeks!$X$5:$AI$5=$I812)*Weeks!$X$7:$AI$59)-SUMIFS($E$7:$E$1006,$I$7:$I$1006,$I812,$B$7:$B$1006,"&lt;="&amp;$B812))</f>
        <v/>
      </c>
      <c r="M812" s="132">
        <f>IF($B812&amp;$C812&amp;$D812&amp;$E812="","",IF($B812="","missing date",IF($C812="","missing worker",IF($I812="?","unknown worker - was the name changed on Workers?",IF($D812="","missing type",IF(N($E812)=0,"missing amount",IF(AND($E812&lt;0,$D812&lt;&gt;"Correction"),"negative amount - use a Correction to undo",IF(OR($B812&lt;Weeks!$A$7,$B812&gt;Weeks!$B$59),"date outside this workbook's year",IF(AND($D812="Advance",N($L812)&lt;0),"Warning: more than earned so far - worker now owes "&amp;TEXT(ROUND(-$L812,0),"#,##0"),"")))))))))</f>
        <v/>
      </c>
      <c r="N812" s="125" t="n"/>
      <c r="O812" s="126" t="n"/>
      <c r="P812" s="126" t="n"/>
      <c r="Q812" s="126" t="n"/>
      <c r="R812" s="126" t="n"/>
      <c r="S812" s="126" t="n"/>
      <c r="T812" s="126" t="n"/>
      <c r="U812" s="126" t="n"/>
      <c r="V812" s="126" t="n"/>
      <c r="W812" s="126" t="n"/>
      <c r="X812" s="126" t="n"/>
      <c r="Y812" s="126" t="n"/>
      <c r="Z812" s="126" t="n"/>
      <c r="AA812" s="126" t="n"/>
      <c r="AB812" s="126" t="n"/>
      <c r="AC812" s="126" t="n"/>
      <c r="AD812" s="126" t="n"/>
      <c r="AE812" s="126" t="n"/>
      <c r="AF812" s="126" t="n"/>
      <c r="AG812" s="126" t="n"/>
      <c r="AH812" s="126" t="n"/>
      <c r="AI812" s="126" t="n"/>
      <c r="AJ812" s="126" t="n"/>
      <c r="AK812" s="126" t="n"/>
      <c r="AL812" s="126" t="n"/>
      <c r="AM812" s="126" t="n"/>
      <c r="AN812" s="126" t="n"/>
    </row>
    <row r="813" ht="21" customFormat="1" customHeight="1" s="127">
      <c r="A813" s="51">
        <f>IF($B813="","",ROW()-6)</f>
        <v/>
      </c>
      <c r="B813" s="268" t="n"/>
      <c r="C813" s="133" t="n"/>
      <c r="D813" s="50" t="n"/>
      <c r="E813" s="265" t="n"/>
      <c r="F813" s="133" t="n"/>
      <c r="G813" s="133" t="n"/>
      <c r="H813" s="50" t="n"/>
      <c r="I813" s="51">
        <f>IF($C813="","",IFERROR(INDEX(WorkerIDs,MATCH($C813,WorkerNames,0)),"?"))</f>
        <v/>
      </c>
      <c r="J813" s="253">
        <f>IF($B813="","",$B813-WEEKDAY($B813,2)+1)</f>
        <v/>
      </c>
      <c r="K813" s="142">
        <f>IF(OR($I813="",$I813="?",$D813&lt;&gt;"Advance",$B813=""),"",$I813&amp;"|"&amp;$J813&amp;"|"&amp;COUNTIFS($I$7:$I813,$I813,$J$7:$J813,$J813,$D$7:$D813,"Advance"))</f>
        <v/>
      </c>
      <c r="L813" s="266">
        <f>IF(OR($I813="",$I813="?",$B813=""),"",SUMPRODUCT((Weeks!$A$7:$A$59&lt;=$J813)*(Weeks!$X$5:$AI$5=$I813)*Weeks!$X$7:$AI$59)-SUMIFS($E$7:$E$1006,$I$7:$I$1006,$I813,$B$7:$B$1006,"&lt;="&amp;$B813))</f>
        <v/>
      </c>
      <c r="M813" s="132">
        <f>IF($B813&amp;$C813&amp;$D813&amp;$E813="","",IF($B813="","missing date",IF($C813="","missing worker",IF($I813="?","unknown worker - was the name changed on Workers?",IF($D813="","missing type",IF(N($E813)=0,"missing amount",IF(AND($E813&lt;0,$D813&lt;&gt;"Correction"),"negative amount - use a Correction to undo",IF(OR($B813&lt;Weeks!$A$7,$B813&gt;Weeks!$B$59),"date outside this workbook's year",IF(AND($D813="Advance",N($L813)&lt;0),"Warning: more than earned so far - worker now owes "&amp;TEXT(ROUND(-$L813,0),"#,##0"),"")))))))))</f>
        <v/>
      </c>
      <c r="N813" s="125" t="n"/>
      <c r="O813" s="126" t="n"/>
      <c r="P813" s="126" t="n"/>
      <c r="Q813" s="126" t="n"/>
      <c r="R813" s="126" t="n"/>
      <c r="S813" s="126" t="n"/>
      <c r="T813" s="126" t="n"/>
      <c r="U813" s="126" t="n"/>
      <c r="V813" s="126" t="n"/>
      <c r="W813" s="126" t="n"/>
      <c r="X813" s="126" t="n"/>
      <c r="Y813" s="126" t="n"/>
      <c r="Z813" s="126" t="n"/>
      <c r="AA813" s="126" t="n"/>
      <c r="AB813" s="126" t="n"/>
      <c r="AC813" s="126" t="n"/>
      <c r="AD813" s="126" t="n"/>
      <c r="AE813" s="126" t="n"/>
      <c r="AF813" s="126" t="n"/>
      <c r="AG813" s="126" t="n"/>
      <c r="AH813" s="126" t="n"/>
      <c r="AI813" s="126" t="n"/>
      <c r="AJ813" s="126" t="n"/>
      <c r="AK813" s="126" t="n"/>
      <c r="AL813" s="126" t="n"/>
      <c r="AM813" s="126" t="n"/>
      <c r="AN813" s="126" t="n"/>
    </row>
    <row r="814" ht="21" customFormat="1" customHeight="1" s="127">
      <c r="A814" s="51">
        <f>IF($B814="","",ROW()-6)</f>
        <v/>
      </c>
      <c r="B814" s="268" t="n"/>
      <c r="C814" s="133" t="n"/>
      <c r="D814" s="50" t="n"/>
      <c r="E814" s="265" t="n"/>
      <c r="F814" s="133" t="n"/>
      <c r="G814" s="133" t="n"/>
      <c r="H814" s="50" t="n"/>
      <c r="I814" s="51">
        <f>IF($C814="","",IFERROR(INDEX(WorkerIDs,MATCH($C814,WorkerNames,0)),"?"))</f>
        <v/>
      </c>
      <c r="J814" s="253">
        <f>IF($B814="","",$B814-WEEKDAY($B814,2)+1)</f>
        <v/>
      </c>
      <c r="K814" s="142">
        <f>IF(OR($I814="",$I814="?",$D814&lt;&gt;"Advance",$B814=""),"",$I814&amp;"|"&amp;$J814&amp;"|"&amp;COUNTIFS($I$7:$I814,$I814,$J$7:$J814,$J814,$D$7:$D814,"Advance"))</f>
        <v/>
      </c>
      <c r="L814" s="266">
        <f>IF(OR($I814="",$I814="?",$B814=""),"",SUMPRODUCT((Weeks!$A$7:$A$59&lt;=$J814)*(Weeks!$X$5:$AI$5=$I814)*Weeks!$X$7:$AI$59)-SUMIFS($E$7:$E$1006,$I$7:$I$1006,$I814,$B$7:$B$1006,"&lt;="&amp;$B814))</f>
        <v/>
      </c>
      <c r="M814" s="132">
        <f>IF($B814&amp;$C814&amp;$D814&amp;$E814="","",IF($B814="","missing date",IF($C814="","missing worker",IF($I814="?","unknown worker - was the name changed on Workers?",IF($D814="","missing type",IF(N($E814)=0,"missing amount",IF(AND($E814&lt;0,$D814&lt;&gt;"Correction"),"negative amount - use a Correction to undo",IF(OR($B814&lt;Weeks!$A$7,$B814&gt;Weeks!$B$59),"date outside this workbook's year",IF(AND($D814="Advance",N($L814)&lt;0),"Warning: more than earned so far - worker now owes "&amp;TEXT(ROUND(-$L814,0),"#,##0"),"")))))))))</f>
        <v/>
      </c>
      <c r="N814" s="125" t="n"/>
      <c r="O814" s="126" t="n"/>
      <c r="P814" s="126" t="n"/>
      <c r="Q814" s="126" t="n"/>
      <c r="R814" s="126" t="n"/>
      <c r="S814" s="126" t="n"/>
      <c r="T814" s="126" t="n"/>
      <c r="U814" s="126" t="n"/>
      <c r="V814" s="126" t="n"/>
      <c r="W814" s="126" t="n"/>
      <c r="X814" s="126" t="n"/>
      <c r="Y814" s="126" t="n"/>
      <c r="Z814" s="126" t="n"/>
      <c r="AA814" s="126" t="n"/>
      <c r="AB814" s="126" t="n"/>
      <c r="AC814" s="126" t="n"/>
      <c r="AD814" s="126" t="n"/>
      <c r="AE814" s="126" t="n"/>
      <c r="AF814" s="126" t="n"/>
      <c r="AG814" s="126" t="n"/>
      <c r="AH814" s="126" t="n"/>
      <c r="AI814" s="126" t="n"/>
      <c r="AJ814" s="126" t="n"/>
      <c r="AK814" s="126" t="n"/>
      <c r="AL814" s="126" t="n"/>
      <c r="AM814" s="126" t="n"/>
      <c r="AN814" s="126" t="n"/>
    </row>
    <row r="815" ht="21" customFormat="1" customHeight="1" s="127">
      <c r="A815" s="51">
        <f>IF($B815="","",ROW()-6)</f>
        <v/>
      </c>
      <c r="B815" s="268" t="n"/>
      <c r="C815" s="133" t="n"/>
      <c r="D815" s="50" t="n"/>
      <c r="E815" s="265" t="n"/>
      <c r="F815" s="133" t="n"/>
      <c r="G815" s="133" t="n"/>
      <c r="H815" s="50" t="n"/>
      <c r="I815" s="51">
        <f>IF($C815="","",IFERROR(INDEX(WorkerIDs,MATCH($C815,WorkerNames,0)),"?"))</f>
        <v/>
      </c>
      <c r="J815" s="253">
        <f>IF($B815="","",$B815-WEEKDAY($B815,2)+1)</f>
        <v/>
      </c>
      <c r="K815" s="142">
        <f>IF(OR($I815="",$I815="?",$D815&lt;&gt;"Advance",$B815=""),"",$I815&amp;"|"&amp;$J815&amp;"|"&amp;COUNTIFS($I$7:$I815,$I815,$J$7:$J815,$J815,$D$7:$D815,"Advance"))</f>
        <v/>
      </c>
      <c r="L815" s="266">
        <f>IF(OR($I815="",$I815="?",$B815=""),"",SUMPRODUCT((Weeks!$A$7:$A$59&lt;=$J815)*(Weeks!$X$5:$AI$5=$I815)*Weeks!$X$7:$AI$59)-SUMIFS($E$7:$E$1006,$I$7:$I$1006,$I815,$B$7:$B$1006,"&lt;="&amp;$B815))</f>
        <v/>
      </c>
      <c r="M815" s="132">
        <f>IF($B815&amp;$C815&amp;$D815&amp;$E815="","",IF($B815="","missing date",IF($C815="","missing worker",IF($I815="?","unknown worker - was the name changed on Workers?",IF($D815="","missing type",IF(N($E815)=0,"missing amount",IF(AND($E815&lt;0,$D815&lt;&gt;"Correction"),"negative amount - use a Correction to undo",IF(OR($B815&lt;Weeks!$A$7,$B815&gt;Weeks!$B$59),"date outside this workbook's year",IF(AND($D815="Advance",N($L815)&lt;0),"Warning: more than earned so far - worker now owes "&amp;TEXT(ROUND(-$L815,0),"#,##0"),"")))))))))</f>
        <v/>
      </c>
      <c r="N815" s="125" t="n"/>
      <c r="O815" s="126" t="n"/>
      <c r="P815" s="126" t="n"/>
      <c r="Q815" s="126" t="n"/>
      <c r="R815" s="126" t="n"/>
      <c r="S815" s="126" t="n"/>
      <c r="T815" s="126" t="n"/>
      <c r="U815" s="126" t="n"/>
      <c r="V815" s="126" t="n"/>
      <c r="W815" s="126" t="n"/>
      <c r="X815" s="126" t="n"/>
      <c r="Y815" s="126" t="n"/>
      <c r="Z815" s="126" t="n"/>
      <c r="AA815" s="126" t="n"/>
      <c r="AB815" s="126" t="n"/>
      <c r="AC815" s="126" t="n"/>
      <c r="AD815" s="126" t="n"/>
      <c r="AE815" s="126" t="n"/>
      <c r="AF815" s="126" t="n"/>
      <c r="AG815" s="126" t="n"/>
      <c r="AH815" s="126" t="n"/>
      <c r="AI815" s="126" t="n"/>
      <c r="AJ815" s="126" t="n"/>
      <c r="AK815" s="126" t="n"/>
      <c r="AL815" s="126" t="n"/>
      <c r="AM815" s="126" t="n"/>
      <c r="AN815" s="126" t="n"/>
    </row>
    <row r="816" ht="21" customFormat="1" customHeight="1" s="127">
      <c r="A816" s="51">
        <f>IF($B816="","",ROW()-6)</f>
        <v/>
      </c>
      <c r="B816" s="268" t="n"/>
      <c r="C816" s="133" t="n"/>
      <c r="D816" s="50" t="n"/>
      <c r="E816" s="265" t="n"/>
      <c r="F816" s="133" t="n"/>
      <c r="G816" s="133" t="n"/>
      <c r="H816" s="50" t="n"/>
      <c r="I816" s="51">
        <f>IF($C816="","",IFERROR(INDEX(WorkerIDs,MATCH($C816,WorkerNames,0)),"?"))</f>
        <v/>
      </c>
      <c r="J816" s="253">
        <f>IF($B816="","",$B816-WEEKDAY($B816,2)+1)</f>
        <v/>
      </c>
      <c r="K816" s="142">
        <f>IF(OR($I816="",$I816="?",$D816&lt;&gt;"Advance",$B816=""),"",$I816&amp;"|"&amp;$J816&amp;"|"&amp;COUNTIFS($I$7:$I816,$I816,$J$7:$J816,$J816,$D$7:$D816,"Advance"))</f>
        <v/>
      </c>
      <c r="L816" s="266">
        <f>IF(OR($I816="",$I816="?",$B816=""),"",SUMPRODUCT((Weeks!$A$7:$A$59&lt;=$J816)*(Weeks!$X$5:$AI$5=$I816)*Weeks!$X$7:$AI$59)-SUMIFS($E$7:$E$1006,$I$7:$I$1006,$I816,$B$7:$B$1006,"&lt;="&amp;$B816))</f>
        <v/>
      </c>
      <c r="M816" s="132">
        <f>IF($B816&amp;$C816&amp;$D816&amp;$E816="","",IF($B816="","missing date",IF($C816="","missing worker",IF($I816="?","unknown worker - was the name changed on Workers?",IF($D816="","missing type",IF(N($E816)=0,"missing amount",IF(AND($E816&lt;0,$D816&lt;&gt;"Correction"),"negative amount - use a Correction to undo",IF(OR($B816&lt;Weeks!$A$7,$B816&gt;Weeks!$B$59),"date outside this workbook's year",IF(AND($D816="Advance",N($L816)&lt;0),"Warning: more than earned so far - worker now owes "&amp;TEXT(ROUND(-$L816,0),"#,##0"),"")))))))))</f>
        <v/>
      </c>
      <c r="N816" s="125" t="n"/>
      <c r="O816" s="126" t="n"/>
      <c r="P816" s="126" t="n"/>
      <c r="Q816" s="126" t="n"/>
      <c r="R816" s="126" t="n"/>
      <c r="S816" s="126" t="n"/>
      <c r="T816" s="126" t="n"/>
      <c r="U816" s="126" t="n"/>
      <c r="V816" s="126" t="n"/>
      <c r="W816" s="126" t="n"/>
      <c r="X816" s="126" t="n"/>
      <c r="Y816" s="126" t="n"/>
      <c r="Z816" s="126" t="n"/>
      <c r="AA816" s="126" t="n"/>
      <c r="AB816" s="126" t="n"/>
      <c r="AC816" s="126" t="n"/>
      <c r="AD816" s="126" t="n"/>
      <c r="AE816" s="126" t="n"/>
      <c r="AF816" s="126" t="n"/>
      <c r="AG816" s="126" t="n"/>
      <c r="AH816" s="126" t="n"/>
      <c r="AI816" s="126" t="n"/>
      <c r="AJ816" s="126" t="n"/>
      <c r="AK816" s="126" t="n"/>
      <c r="AL816" s="126" t="n"/>
      <c r="AM816" s="126" t="n"/>
      <c r="AN816" s="126" t="n"/>
    </row>
    <row r="817" ht="21" customFormat="1" customHeight="1" s="127">
      <c r="A817" s="51">
        <f>IF($B817="","",ROW()-6)</f>
        <v/>
      </c>
      <c r="B817" s="268" t="n"/>
      <c r="C817" s="133" t="n"/>
      <c r="D817" s="50" t="n"/>
      <c r="E817" s="265" t="n"/>
      <c r="F817" s="133" t="n"/>
      <c r="G817" s="133" t="n"/>
      <c r="H817" s="50" t="n"/>
      <c r="I817" s="51">
        <f>IF($C817="","",IFERROR(INDEX(WorkerIDs,MATCH($C817,WorkerNames,0)),"?"))</f>
        <v/>
      </c>
      <c r="J817" s="253">
        <f>IF($B817="","",$B817-WEEKDAY($B817,2)+1)</f>
        <v/>
      </c>
      <c r="K817" s="142">
        <f>IF(OR($I817="",$I817="?",$D817&lt;&gt;"Advance",$B817=""),"",$I817&amp;"|"&amp;$J817&amp;"|"&amp;COUNTIFS($I$7:$I817,$I817,$J$7:$J817,$J817,$D$7:$D817,"Advance"))</f>
        <v/>
      </c>
      <c r="L817" s="266">
        <f>IF(OR($I817="",$I817="?",$B817=""),"",SUMPRODUCT((Weeks!$A$7:$A$59&lt;=$J817)*(Weeks!$X$5:$AI$5=$I817)*Weeks!$X$7:$AI$59)-SUMIFS($E$7:$E$1006,$I$7:$I$1006,$I817,$B$7:$B$1006,"&lt;="&amp;$B817))</f>
        <v/>
      </c>
      <c r="M817" s="132">
        <f>IF($B817&amp;$C817&amp;$D817&amp;$E817="","",IF($B817="","missing date",IF($C817="","missing worker",IF($I817="?","unknown worker - was the name changed on Workers?",IF($D817="","missing type",IF(N($E817)=0,"missing amount",IF(AND($E817&lt;0,$D817&lt;&gt;"Correction"),"negative amount - use a Correction to undo",IF(OR($B817&lt;Weeks!$A$7,$B817&gt;Weeks!$B$59),"date outside this workbook's year",IF(AND($D817="Advance",N($L817)&lt;0),"Warning: more than earned so far - worker now owes "&amp;TEXT(ROUND(-$L817,0),"#,##0"),"")))))))))</f>
        <v/>
      </c>
      <c r="N817" s="125" t="n"/>
      <c r="O817" s="126" t="n"/>
      <c r="P817" s="126" t="n"/>
      <c r="Q817" s="126" t="n"/>
      <c r="R817" s="126" t="n"/>
      <c r="S817" s="126" t="n"/>
      <c r="T817" s="126" t="n"/>
      <c r="U817" s="126" t="n"/>
      <c r="V817" s="126" t="n"/>
      <c r="W817" s="126" t="n"/>
      <c r="X817" s="126" t="n"/>
      <c r="Y817" s="126" t="n"/>
      <c r="Z817" s="126" t="n"/>
      <c r="AA817" s="126" t="n"/>
      <c r="AB817" s="126" t="n"/>
      <c r="AC817" s="126" t="n"/>
      <c r="AD817" s="126" t="n"/>
      <c r="AE817" s="126" t="n"/>
      <c r="AF817" s="126" t="n"/>
      <c r="AG817" s="126" t="n"/>
      <c r="AH817" s="126" t="n"/>
      <c r="AI817" s="126" t="n"/>
      <c r="AJ817" s="126" t="n"/>
      <c r="AK817" s="126" t="n"/>
      <c r="AL817" s="126" t="n"/>
      <c r="AM817" s="126" t="n"/>
      <c r="AN817" s="126" t="n"/>
    </row>
    <row r="818" ht="21" customFormat="1" customHeight="1" s="127">
      <c r="A818" s="51">
        <f>IF($B818="","",ROW()-6)</f>
        <v/>
      </c>
      <c r="B818" s="268" t="n"/>
      <c r="C818" s="133" t="n"/>
      <c r="D818" s="50" t="n"/>
      <c r="E818" s="265" t="n"/>
      <c r="F818" s="133" t="n"/>
      <c r="G818" s="133" t="n"/>
      <c r="H818" s="50" t="n"/>
      <c r="I818" s="51">
        <f>IF($C818="","",IFERROR(INDEX(WorkerIDs,MATCH($C818,WorkerNames,0)),"?"))</f>
        <v/>
      </c>
      <c r="J818" s="253">
        <f>IF($B818="","",$B818-WEEKDAY($B818,2)+1)</f>
        <v/>
      </c>
      <c r="K818" s="142">
        <f>IF(OR($I818="",$I818="?",$D818&lt;&gt;"Advance",$B818=""),"",$I818&amp;"|"&amp;$J818&amp;"|"&amp;COUNTIFS($I$7:$I818,$I818,$J$7:$J818,$J818,$D$7:$D818,"Advance"))</f>
        <v/>
      </c>
      <c r="L818" s="266">
        <f>IF(OR($I818="",$I818="?",$B818=""),"",SUMPRODUCT((Weeks!$A$7:$A$59&lt;=$J818)*(Weeks!$X$5:$AI$5=$I818)*Weeks!$X$7:$AI$59)-SUMIFS($E$7:$E$1006,$I$7:$I$1006,$I818,$B$7:$B$1006,"&lt;="&amp;$B818))</f>
        <v/>
      </c>
      <c r="M818" s="132">
        <f>IF($B818&amp;$C818&amp;$D818&amp;$E818="","",IF($B818="","missing date",IF($C818="","missing worker",IF($I818="?","unknown worker - was the name changed on Workers?",IF($D818="","missing type",IF(N($E818)=0,"missing amount",IF(AND($E818&lt;0,$D818&lt;&gt;"Correction"),"negative amount - use a Correction to undo",IF(OR($B818&lt;Weeks!$A$7,$B818&gt;Weeks!$B$59),"date outside this workbook's year",IF(AND($D818="Advance",N($L818)&lt;0),"Warning: more than earned so far - worker now owes "&amp;TEXT(ROUND(-$L818,0),"#,##0"),"")))))))))</f>
        <v/>
      </c>
      <c r="N818" s="125" t="n"/>
      <c r="O818" s="126" t="n"/>
      <c r="P818" s="126" t="n"/>
      <c r="Q818" s="126" t="n"/>
      <c r="R818" s="126" t="n"/>
      <c r="S818" s="126" t="n"/>
      <c r="T818" s="126" t="n"/>
      <c r="U818" s="126" t="n"/>
      <c r="V818" s="126" t="n"/>
      <c r="W818" s="126" t="n"/>
      <c r="X818" s="126" t="n"/>
      <c r="Y818" s="126" t="n"/>
      <c r="Z818" s="126" t="n"/>
      <c r="AA818" s="126" t="n"/>
      <c r="AB818" s="126" t="n"/>
      <c r="AC818" s="126" t="n"/>
      <c r="AD818" s="126" t="n"/>
      <c r="AE818" s="126" t="n"/>
      <c r="AF818" s="126" t="n"/>
      <c r="AG818" s="126" t="n"/>
      <c r="AH818" s="126" t="n"/>
      <c r="AI818" s="126" t="n"/>
      <c r="AJ818" s="126" t="n"/>
      <c r="AK818" s="126" t="n"/>
      <c r="AL818" s="126" t="n"/>
      <c r="AM818" s="126" t="n"/>
      <c r="AN818" s="126" t="n"/>
    </row>
    <row r="819" ht="21" customFormat="1" customHeight="1" s="127">
      <c r="A819" s="51">
        <f>IF($B819="","",ROW()-6)</f>
        <v/>
      </c>
      <c r="B819" s="268" t="n"/>
      <c r="C819" s="133" t="n"/>
      <c r="D819" s="50" t="n"/>
      <c r="E819" s="265" t="n"/>
      <c r="F819" s="133" t="n"/>
      <c r="G819" s="133" t="n"/>
      <c r="H819" s="50" t="n"/>
      <c r="I819" s="51">
        <f>IF($C819="","",IFERROR(INDEX(WorkerIDs,MATCH($C819,WorkerNames,0)),"?"))</f>
        <v/>
      </c>
      <c r="J819" s="253">
        <f>IF($B819="","",$B819-WEEKDAY($B819,2)+1)</f>
        <v/>
      </c>
      <c r="K819" s="142">
        <f>IF(OR($I819="",$I819="?",$D819&lt;&gt;"Advance",$B819=""),"",$I819&amp;"|"&amp;$J819&amp;"|"&amp;COUNTIFS($I$7:$I819,$I819,$J$7:$J819,$J819,$D$7:$D819,"Advance"))</f>
        <v/>
      </c>
      <c r="L819" s="266">
        <f>IF(OR($I819="",$I819="?",$B819=""),"",SUMPRODUCT((Weeks!$A$7:$A$59&lt;=$J819)*(Weeks!$X$5:$AI$5=$I819)*Weeks!$X$7:$AI$59)-SUMIFS($E$7:$E$1006,$I$7:$I$1006,$I819,$B$7:$B$1006,"&lt;="&amp;$B819))</f>
        <v/>
      </c>
      <c r="M819" s="132">
        <f>IF($B819&amp;$C819&amp;$D819&amp;$E819="","",IF($B819="","missing date",IF($C819="","missing worker",IF($I819="?","unknown worker - was the name changed on Workers?",IF($D819="","missing type",IF(N($E819)=0,"missing amount",IF(AND($E819&lt;0,$D819&lt;&gt;"Correction"),"negative amount - use a Correction to undo",IF(OR($B819&lt;Weeks!$A$7,$B819&gt;Weeks!$B$59),"date outside this workbook's year",IF(AND($D819="Advance",N($L819)&lt;0),"Warning: more than earned so far - worker now owes "&amp;TEXT(ROUND(-$L819,0),"#,##0"),"")))))))))</f>
        <v/>
      </c>
      <c r="N819" s="125" t="n"/>
      <c r="O819" s="126" t="n"/>
      <c r="P819" s="126" t="n"/>
      <c r="Q819" s="126" t="n"/>
      <c r="R819" s="126" t="n"/>
      <c r="S819" s="126" t="n"/>
      <c r="T819" s="126" t="n"/>
      <c r="U819" s="126" t="n"/>
      <c r="V819" s="126" t="n"/>
      <c r="W819" s="126" t="n"/>
      <c r="X819" s="126" t="n"/>
      <c r="Y819" s="126" t="n"/>
      <c r="Z819" s="126" t="n"/>
      <c r="AA819" s="126" t="n"/>
      <c r="AB819" s="126" t="n"/>
      <c r="AC819" s="126" t="n"/>
      <c r="AD819" s="126" t="n"/>
      <c r="AE819" s="126" t="n"/>
      <c r="AF819" s="126" t="n"/>
      <c r="AG819" s="126" t="n"/>
      <c r="AH819" s="126" t="n"/>
      <c r="AI819" s="126" t="n"/>
      <c r="AJ819" s="126" t="n"/>
      <c r="AK819" s="126" t="n"/>
      <c r="AL819" s="126" t="n"/>
      <c r="AM819" s="126" t="n"/>
      <c r="AN819" s="126" t="n"/>
    </row>
    <row r="820" ht="21" customFormat="1" customHeight="1" s="127">
      <c r="A820" s="51">
        <f>IF($B820="","",ROW()-6)</f>
        <v/>
      </c>
      <c r="B820" s="268" t="n"/>
      <c r="C820" s="133" t="n"/>
      <c r="D820" s="50" t="n"/>
      <c r="E820" s="265" t="n"/>
      <c r="F820" s="133" t="n"/>
      <c r="G820" s="133" t="n"/>
      <c r="H820" s="50" t="n"/>
      <c r="I820" s="51">
        <f>IF($C820="","",IFERROR(INDEX(WorkerIDs,MATCH($C820,WorkerNames,0)),"?"))</f>
        <v/>
      </c>
      <c r="J820" s="253">
        <f>IF($B820="","",$B820-WEEKDAY($B820,2)+1)</f>
        <v/>
      </c>
      <c r="K820" s="142">
        <f>IF(OR($I820="",$I820="?",$D820&lt;&gt;"Advance",$B820=""),"",$I820&amp;"|"&amp;$J820&amp;"|"&amp;COUNTIFS($I$7:$I820,$I820,$J$7:$J820,$J820,$D$7:$D820,"Advance"))</f>
        <v/>
      </c>
      <c r="L820" s="266">
        <f>IF(OR($I820="",$I820="?",$B820=""),"",SUMPRODUCT((Weeks!$A$7:$A$59&lt;=$J820)*(Weeks!$X$5:$AI$5=$I820)*Weeks!$X$7:$AI$59)-SUMIFS($E$7:$E$1006,$I$7:$I$1006,$I820,$B$7:$B$1006,"&lt;="&amp;$B820))</f>
        <v/>
      </c>
      <c r="M820" s="132">
        <f>IF($B820&amp;$C820&amp;$D820&amp;$E820="","",IF($B820="","missing date",IF($C820="","missing worker",IF($I820="?","unknown worker - was the name changed on Workers?",IF($D820="","missing type",IF(N($E820)=0,"missing amount",IF(AND($E820&lt;0,$D820&lt;&gt;"Correction"),"negative amount - use a Correction to undo",IF(OR($B820&lt;Weeks!$A$7,$B820&gt;Weeks!$B$59),"date outside this workbook's year",IF(AND($D820="Advance",N($L820)&lt;0),"Warning: more than earned so far - worker now owes "&amp;TEXT(ROUND(-$L820,0),"#,##0"),"")))))))))</f>
        <v/>
      </c>
      <c r="N820" s="125" t="n"/>
      <c r="O820" s="126" t="n"/>
      <c r="P820" s="126" t="n"/>
      <c r="Q820" s="126" t="n"/>
      <c r="R820" s="126" t="n"/>
      <c r="S820" s="126" t="n"/>
      <c r="T820" s="126" t="n"/>
      <c r="U820" s="126" t="n"/>
      <c r="V820" s="126" t="n"/>
      <c r="W820" s="126" t="n"/>
      <c r="X820" s="126" t="n"/>
      <c r="Y820" s="126" t="n"/>
      <c r="Z820" s="126" t="n"/>
      <c r="AA820" s="126" t="n"/>
      <c r="AB820" s="126" t="n"/>
      <c r="AC820" s="126" t="n"/>
      <c r="AD820" s="126" t="n"/>
      <c r="AE820" s="126" t="n"/>
      <c r="AF820" s="126" t="n"/>
      <c r="AG820" s="126" t="n"/>
      <c r="AH820" s="126" t="n"/>
      <c r="AI820" s="126" t="n"/>
      <c r="AJ820" s="126" t="n"/>
      <c r="AK820" s="126" t="n"/>
      <c r="AL820" s="126" t="n"/>
      <c r="AM820" s="126" t="n"/>
      <c r="AN820" s="126" t="n"/>
    </row>
    <row r="821" ht="21" customFormat="1" customHeight="1" s="127">
      <c r="A821" s="51">
        <f>IF($B821="","",ROW()-6)</f>
        <v/>
      </c>
      <c r="B821" s="268" t="n"/>
      <c r="C821" s="133" t="n"/>
      <c r="D821" s="50" t="n"/>
      <c r="E821" s="265" t="n"/>
      <c r="F821" s="133" t="n"/>
      <c r="G821" s="133" t="n"/>
      <c r="H821" s="50" t="n"/>
      <c r="I821" s="51">
        <f>IF($C821="","",IFERROR(INDEX(WorkerIDs,MATCH($C821,WorkerNames,0)),"?"))</f>
        <v/>
      </c>
      <c r="J821" s="253">
        <f>IF($B821="","",$B821-WEEKDAY($B821,2)+1)</f>
        <v/>
      </c>
      <c r="K821" s="142">
        <f>IF(OR($I821="",$I821="?",$D821&lt;&gt;"Advance",$B821=""),"",$I821&amp;"|"&amp;$J821&amp;"|"&amp;COUNTIFS($I$7:$I821,$I821,$J$7:$J821,$J821,$D$7:$D821,"Advance"))</f>
        <v/>
      </c>
      <c r="L821" s="266">
        <f>IF(OR($I821="",$I821="?",$B821=""),"",SUMPRODUCT((Weeks!$A$7:$A$59&lt;=$J821)*(Weeks!$X$5:$AI$5=$I821)*Weeks!$X$7:$AI$59)-SUMIFS($E$7:$E$1006,$I$7:$I$1006,$I821,$B$7:$B$1006,"&lt;="&amp;$B821))</f>
        <v/>
      </c>
      <c r="M821" s="132">
        <f>IF($B821&amp;$C821&amp;$D821&amp;$E821="","",IF($B821="","missing date",IF($C821="","missing worker",IF($I821="?","unknown worker - was the name changed on Workers?",IF($D821="","missing type",IF(N($E821)=0,"missing amount",IF(AND($E821&lt;0,$D821&lt;&gt;"Correction"),"negative amount - use a Correction to undo",IF(OR($B821&lt;Weeks!$A$7,$B821&gt;Weeks!$B$59),"date outside this workbook's year",IF(AND($D821="Advance",N($L821)&lt;0),"Warning: more than earned so far - worker now owes "&amp;TEXT(ROUND(-$L821,0),"#,##0"),"")))))))))</f>
        <v/>
      </c>
      <c r="N821" s="125" t="n"/>
      <c r="O821" s="126" t="n"/>
      <c r="P821" s="126" t="n"/>
      <c r="Q821" s="126" t="n"/>
      <c r="R821" s="126" t="n"/>
      <c r="S821" s="126" t="n"/>
      <c r="T821" s="126" t="n"/>
      <c r="U821" s="126" t="n"/>
      <c r="V821" s="126" t="n"/>
      <c r="W821" s="126" t="n"/>
      <c r="X821" s="126" t="n"/>
      <c r="Y821" s="126" t="n"/>
      <c r="Z821" s="126" t="n"/>
      <c r="AA821" s="126" t="n"/>
      <c r="AB821" s="126" t="n"/>
      <c r="AC821" s="126" t="n"/>
      <c r="AD821" s="126" t="n"/>
      <c r="AE821" s="126" t="n"/>
      <c r="AF821" s="126" t="n"/>
      <c r="AG821" s="126" t="n"/>
      <c r="AH821" s="126" t="n"/>
      <c r="AI821" s="126" t="n"/>
      <c r="AJ821" s="126" t="n"/>
      <c r="AK821" s="126" t="n"/>
      <c r="AL821" s="126" t="n"/>
      <c r="AM821" s="126" t="n"/>
      <c r="AN821" s="126" t="n"/>
    </row>
    <row r="822" ht="21" customFormat="1" customHeight="1" s="127">
      <c r="A822" s="51">
        <f>IF($B822="","",ROW()-6)</f>
        <v/>
      </c>
      <c r="B822" s="268" t="n"/>
      <c r="C822" s="133" t="n"/>
      <c r="D822" s="50" t="n"/>
      <c r="E822" s="265" t="n"/>
      <c r="F822" s="133" t="n"/>
      <c r="G822" s="133" t="n"/>
      <c r="H822" s="50" t="n"/>
      <c r="I822" s="51">
        <f>IF($C822="","",IFERROR(INDEX(WorkerIDs,MATCH($C822,WorkerNames,0)),"?"))</f>
        <v/>
      </c>
      <c r="J822" s="253">
        <f>IF($B822="","",$B822-WEEKDAY($B822,2)+1)</f>
        <v/>
      </c>
      <c r="K822" s="142">
        <f>IF(OR($I822="",$I822="?",$D822&lt;&gt;"Advance",$B822=""),"",$I822&amp;"|"&amp;$J822&amp;"|"&amp;COUNTIFS($I$7:$I822,$I822,$J$7:$J822,$J822,$D$7:$D822,"Advance"))</f>
        <v/>
      </c>
      <c r="L822" s="266">
        <f>IF(OR($I822="",$I822="?",$B822=""),"",SUMPRODUCT((Weeks!$A$7:$A$59&lt;=$J822)*(Weeks!$X$5:$AI$5=$I822)*Weeks!$X$7:$AI$59)-SUMIFS($E$7:$E$1006,$I$7:$I$1006,$I822,$B$7:$B$1006,"&lt;="&amp;$B822))</f>
        <v/>
      </c>
      <c r="M822" s="132">
        <f>IF($B822&amp;$C822&amp;$D822&amp;$E822="","",IF($B822="","missing date",IF($C822="","missing worker",IF($I822="?","unknown worker - was the name changed on Workers?",IF($D822="","missing type",IF(N($E822)=0,"missing amount",IF(AND($E822&lt;0,$D822&lt;&gt;"Correction"),"negative amount - use a Correction to undo",IF(OR($B822&lt;Weeks!$A$7,$B822&gt;Weeks!$B$59),"date outside this workbook's year",IF(AND($D822="Advance",N($L822)&lt;0),"Warning: more than earned so far - worker now owes "&amp;TEXT(ROUND(-$L822,0),"#,##0"),"")))))))))</f>
        <v/>
      </c>
      <c r="N822" s="125" t="n"/>
      <c r="O822" s="126" t="n"/>
      <c r="P822" s="126" t="n"/>
      <c r="Q822" s="126" t="n"/>
      <c r="R822" s="126" t="n"/>
      <c r="S822" s="126" t="n"/>
      <c r="T822" s="126" t="n"/>
      <c r="U822" s="126" t="n"/>
      <c r="V822" s="126" t="n"/>
      <c r="W822" s="126" t="n"/>
      <c r="X822" s="126" t="n"/>
      <c r="Y822" s="126" t="n"/>
      <c r="Z822" s="126" t="n"/>
      <c r="AA822" s="126" t="n"/>
      <c r="AB822" s="126" t="n"/>
      <c r="AC822" s="126" t="n"/>
      <c r="AD822" s="126" t="n"/>
      <c r="AE822" s="126" t="n"/>
      <c r="AF822" s="126" t="n"/>
      <c r="AG822" s="126" t="n"/>
      <c r="AH822" s="126" t="n"/>
      <c r="AI822" s="126" t="n"/>
      <c r="AJ822" s="126" t="n"/>
      <c r="AK822" s="126" t="n"/>
      <c r="AL822" s="126" t="n"/>
      <c r="AM822" s="126" t="n"/>
      <c r="AN822" s="126" t="n"/>
    </row>
    <row r="823" ht="21" customFormat="1" customHeight="1" s="127">
      <c r="A823" s="51">
        <f>IF($B823="","",ROW()-6)</f>
        <v/>
      </c>
      <c r="B823" s="268" t="n"/>
      <c r="C823" s="133" t="n"/>
      <c r="D823" s="50" t="n"/>
      <c r="E823" s="265" t="n"/>
      <c r="F823" s="133" t="n"/>
      <c r="G823" s="133" t="n"/>
      <c r="H823" s="50" t="n"/>
      <c r="I823" s="51">
        <f>IF($C823="","",IFERROR(INDEX(WorkerIDs,MATCH($C823,WorkerNames,0)),"?"))</f>
        <v/>
      </c>
      <c r="J823" s="253">
        <f>IF($B823="","",$B823-WEEKDAY($B823,2)+1)</f>
        <v/>
      </c>
      <c r="K823" s="142">
        <f>IF(OR($I823="",$I823="?",$D823&lt;&gt;"Advance",$B823=""),"",$I823&amp;"|"&amp;$J823&amp;"|"&amp;COUNTIFS($I$7:$I823,$I823,$J$7:$J823,$J823,$D$7:$D823,"Advance"))</f>
        <v/>
      </c>
      <c r="L823" s="266">
        <f>IF(OR($I823="",$I823="?",$B823=""),"",SUMPRODUCT((Weeks!$A$7:$A$59&lt;=$J823)*(Weeks!$X$5:$AI$5=$I823)*Weeks!$X$7:$AI$59)-SUMIFS($E$7:$E$1006,$I$7:$I$1006,$I823,$B$7:$B$1006,"&lt;="&amp;$B823))</f>
        <v/>
      </c>
      <c r="M823" s="132">
        <f>IF($B823&amp;$C823&amp;$D823&amp;$E823="","",IF($B823="","missing date",IF($C823="","missing worker",IF($I823="?","unknown worker - was the name changed on Workers?",IF($D823="","missing type",IF(N($E823)=0,"missing amount",IF(AND($E823&lt;0,$D823&lt;&gt;"Correction"),"negative amount - use a Correction to undo",IF(OR($B823&lt;Weeks!$A$7,$B823&gt;Weeks!$B$59),"date outside this workbook's year",IF(AND($D823="Advance",N($L823)&lt;0),"Warning: more than earned so far - worker now owes "&amp;TEXT(ROUND(-$L823,0),"#,##0"),"")))))))))</f>
        <v/>
      </c>
      <c r="N823" s="125" t="n"/>
      <c r="O823" s="126" t="n"/>
      <c r="P823" s="126" t="n"/>
      <c r="Q823" s="126" t="n"/>
      <c r="R823" s="126" t="n"/>
      <c r="S823" s="126" t="n"/>
      <c r="T823" s="126" t="n"/>
      <c r="U823" s="126" t="n"/>
      <c r="V823" s="126" t="n"/>
      <c r="W823" s="126" t="n"/>
      <c r="X823" s="126" t="n"/>
      <c r="Y823" s="126" t="n"/>
      <c r="Z823" s="126" t="n"/>
      <c r="AA823" s="126" t="n"/>
      <c r="AB823" s="126" t="n"/>
      <c r="AC823" s="126" t="n"/>
      <c r="AD823" s="126" t="n"/>
      <c r="AE823" s="126" t="n"/>
      <c r="AF823" s="126" t="n"/>
      <c r="AG823" s="126" t="n"/>
      <c r="AH823" s="126" t="n"/>
      <c r="AI823" s="126" t="n"/>
      <c r="AJ823" s="126" t="n"/>
      <c r="AK823" s="126" t="n"/>
      <c r="AL823" s="126" t="n"/>
      <c r="AM823" s="126" t="n"/>
      <c r="AN823" s="126" t="n"/>
    </row>
    <row r="824" ht="21" customFormat="1" customHeight="1" s="127">
      <c r="A824" s="51">
        <f>IF($B824="","",ROW()-6)</f>
        <v/>
      </c>
      <c r="B824" s="268" t="n"/>
      <c r="C824" s="133" t="n"/>
      <c r="D824" s="50" t="n"/>
      <c r="E824" s="265" t="n"/>
      <c r="F824" s="133" t="n"/>
      <c r="G824" s="133" t="n"/>
      <c r="H824" s="50" t="n"/>
      <c r="I824" s="51">
        <f>IF($C824="","",IFERROR(INDEX(WorkerIDs,MATCH($C824,WorkerNames,0)),"?"))</f>
        <v/>
      </c>
      <c r="J824" s="253">
        <f>IF($B824="","",$B824-WEEKDAY($B824,2)+1)</f>
        <v/>
      </c>
      <c r="K824" s="142">
        <f>IF(OR($I824="",$I824="?",$D824&lt;&gt;"Advance",$B824=""),"",$I824&amp;"|"&amp;$J824&amp;"|"&amp;COUNTIFS($I$7:$I824,$I824,$J$7:$J824,$J824,$D$7:$D824,"Advance"))</f>
        <v/>
      </c>
      <c r="L824" s="266">
        <f>IF(OR($I824="",$I824="?",$B824=""),"",SUMPRODUCT((Weeks!$A$7:$A$59&lt;=$J824)*(Weeks!$X$5:$AI$5=$I824)*Weeks!$X$7:$AI$59)-SUMIFS($E$7:$E$1006,$I$7:$I$1006,$I824,$B$7:$B$1006,"&lt;="&amp;$B824))</f>
        <v/>
      </c>
      <c r="M824" s="132">
        <f>IF($B824&amp;$C824&amp;$D824&amp;$E824="","",IF($B824="","missing date",IF($C824="","missing worker",IF($I824="?","unknown worker - was the name changed on Workers?",IF($D824="","missing type",IF(N($E824)=0,"missing amount",IF(AND($E824&lt;0,$D824&lt;&gt;"Correction"),"negative amount - use a Correction to undo",IF(OR($B824&lt;Weeks!$A$7,$B824&gt;Weeks!$B$59),"date outside this workbook's year",IF(AND($D824="Advance",N($L824)&lt;0),"Warning: more than earned so far - worker now owes "&amp;TEXT(ROUND(-$L824,0),"#,##0"),"")))))))))</f>
        <v/>
      </c>
      <c r="N824" s="125" t="n"/>
      <c r="O824" s="126" t="n"/>
      <c r="P824" s="126" t="n"/>
      <c r="Q824" s="126" t="n"/>
      <c r="R824" s="126" t="n"/>
      <c r="S824" s="126" t="n"/>
      <c r="T824" s="126" t="n"/>
      <c r="U824" s="126" t="n"/>
      <c r="V824" s="126" t="n"/>
      <c r="W824" s="126" t="n"/>
      <c r="X824" s="126" t="n"/>
      <c r="Y824" s="126" t="n"/>
      <c r="Z824" s="126" t="n"/>
      <c r="AA824" s="126" t="n"/>
      <c r="AB824" s="126" t="n"/>
      <c r="AC824" s="126" t="n"/>
      <c r="AD824" s="126" t="n"/>
      <c r="AE824" s="126" t="n"/>
      <c r="AF824" s="126" t="n"/>
      <c r="AG824" s="126" t="n"/>
      <c r="AH824" s="126" t="n"/>
      <c r="AI824" s="126" t="n"/>
      <c r="AJ824" s="126" t="n"/>
      <c r="AK824" s="126" t="n"/>
      <c r="AL824" s="126" t="n"/>
      <c r="AM824" s="126" t="n"/>
      <c r="AN824" s="126" t="n"/>
    </row>
    <row r="825" ht="21" customFormat="1" customHeight="1" s="127">
      <c r="A825" s="51">
        <f>IF($B825="","",ROW()-6)</f>
        <v/>
      </c>
      <c r="B825" s="268" t="n"/>
      <c r="C825" s="133" t="n"/>
      <c r="D825" s="50" t="n"/>
      <c r="E825" s="265" t="n"/>
      <c r="F825" s="133" t="n"/>
      <c r="G825" s="133" t="n"/>
      <c r="H825" s="50" t="n"/>
      <c r="I825" s="51">
        <f>IF($C825="","",IFERROR(INDEX(WorkerIDs,MATCH($C825,WorkerNames,0)),"?"))</f>
        <v/>
      </c>
      <c r="J825" s="253">
        <f>IF($B825="","",$B825-WEEKDAY($B825,2)+1)</f>
        <v/>
      </c>
      <c r="K825" s="142">
        <f>IF(OR($I825="",$I825="?",$D825&lt;&gt;"Advance",$B825=""),"",$I825&amp;"|"&amp;$J825&amp;"|"&amp;COUNTIFS($I$7:$I825,$I825,$J$7:$J825,$J825,$D$7:$D825,"Advance"))</f>
        <v/>
      </c>
      <c r="L825" s="266">
        <f>IF(OR($I825="",$I825="?",$B825=""),"",SUMPRODUCT((Weeks!$A$7:$A$59&lt;=$J825)*(Weeks!$X$5:$AI$5=$I825)*Weeks!$X$7:$AI$59)-SUMIFS($E$7:$E$1006,$I$7:$I$1006,$I825,$B$7:$B$1006,"&lt;="&amp;$B825))</f>
        <v/>
      </c>
      <c r="M825" s="132">
        <f>IF($B825&amp;$C825&amp;$D825&amp;$E825="","",IF($B825="","missing date",IF($C825="","missing worker",IF($I825="?","unknown worker - was the name changed on Workers?",IF($D825="","missing type",IF(N($E825)=0,"missing amount",IF(AND($E825&lt;0,$D825&lt;&gt;"Correction"),"negative amount - use a Correction to undo",IF(OR($B825&lt;Weeks!$A$7,$B825&gt;Weeks!$B$59),"date outside this workbook's year",IF(AND($D825="Advance",N($L825)&lt;0),"Warning: more than earned so far - worker now owes "&amp;TEXT(ROUND(-$L825,0),"#,##0"),"")))))))))</f>
        <v/>
      </c>
      <c r="N825" s="125" t="n"/>
      <c r="O825" s="126" t="n"/>
      <c r="P825" s="126" t="n"/>
      <c r="Q825" s="126" t="n"/>
      <c r="R825" s="126" t="n"/>
      <c r="S825" s="126" t="n"/>
      <c r="T825" s="126" t="n"/>
      <c r="U825" s="126" t="n"/>
      <c r="V825" s="126" t="n"/>
      <c r="W825" s="126" t="n"/>
      <c r="X825" s="126" t="n"/>
      <c r="Y825" s="126" t="n"/>
      <c r="Z825" s="126" t="n"/>
      <c r="AA825" s="126" t="n"/>
      <c r="AB825" s="126" t="n"/>
      <c r="AC825" s="126" t="n"/>
      <c r="AD825" s="126" t="n"/>
      <c r="AE825" s="126" t="n"/>
      <c r="AF825" s="126" t="n"/>
      <c r="AG825" s="126" t="n"/>
      <c r="AH825" s="126" t="n"/>
      <c r="AI825" s="126" t="n"/>
      <c r="AJ825" s="126" t="n"/>
      <c r="AK825" s="126" t="n"/>
      <c r="AL825" s="126" t="n"/>
      <c r="AM825" s="126" t="n"/>
      <c r="AN825" s="126" t="n"/>
    </row>
    <row r="826" ht="21" customFormat="1" customHeight="1" s="127">
      <c r="A826" s="51">
        <f>IF($B826="","",ROW()-6)</f>
        <v/>
      </c>
      <c r="B826" s="268" t="n"/>
      <c r="C826" s="133" t="n"/>
      <c r="D826" s="50" t="n"/>
      <c r="E826" s="265" t="n"/>
      <c r="F826" s="133" t="n"/>
      <c r="G826" s="133" t="n"/>
      <c r="H826" s="50" t="n"/>
      <c r="I826" s="51">
        <f>IF($C826="","",IFERROR(INDEX(WorkerIDs,MATCH($C826,WorkerNames,0)),"?"))</f>
        <v/>
      </c>
      <c r="J826" s="253">
        <f>IF($B826="","",$B826-WEEKDAY($B826,2)+1)</f>
        <v/>
      </c>
      <c r="K826" s="142">
        <f>IF(OR($I826="",$I826="?",$D826&lt;&gt;"Advance",$B826=""),"",$I826&amp;"|"&amp;$J826&amp;"|"&amp;COUNTIFS($I$7:$I826,$I826,$J$7:$J826,$J826,$D$7:$D826,"Advance"))</f>
        <v/>
      </c>
      <c r="L826" s="266">
        <f>IF(OR($I826="",$I826="?",$B826=""),"",SUMPRODUCT((Weeks!$A$7:$A$59&lt;=$J826)*(Weeks!$X$5:$AI$5=$I826)*Weeks!$X$7:$AI$59)-SUMIFS($E$7:$E$1006,$I$7:$I$1006,$I826,$B$7:$B$1006,"&lt;="&amp;$B826))</f>
        <v/>
      </c>
      <c r="M826" s="132">
        <f>IF($B826&amp;$C826&amp;$D826&amp;$E826="","",IF($B826="","missing date",IF($C826="","missing worker",IF($I826="?","unknown worker - was the name changed on Workers?",IF($D826="","missing type",IF(N($E826)=0,"missing amount",IF(AND($E826&lt;0,$D826&lt;&gt;"Correction"),"negative amount - use a Correction to undo",IF(OR($B826&lt;Weeks!$A$7,$B826&gt;Weeks!$B$59),"date outside this workbook's year",IF(AND($D826="Advance",N($L826)&lt;0),"Warning: more than earned so far - worker now owes "&amp;TEXT(ROUND(-$L826,0),"#,##0"),"")))))))))</f>
        <v/>
      </c>
      <c r="N826" s="125" t="n"/>
      <c r="O826" s="126" t="n"/>
      <c r="P826" s="126" t="n"/>
      <c r="Q826" s="126" t="n"/>
      <c r="R826" s="126" t="n"/>
      <c r="S826" s="126" t="n"/>
      <c r="T826" s="126" t="n"/>
      <c r="U826" s="126" t="n"/>
      <c r="V826" s="126" t="n"/>
      <c r="W826" s="126" t="n"/>
      <c r="X826" s="126" t="n"/>
      <c r="Y826" s="126" t="n"/>
      <c r="Z826" s="126" t="n"/>
      <c r="AA826" s="126" t="n"/>
      <c r="AB826" s="126" t="n"/>
      <c r="AC826" s="126" t="n"/>
      <c r="AD826" s="126" t="n"/>
      <c r="AE826" s="126" t="n"/>
      <c r="AF826" s="126" t="n"/>
      <c r="AG826" s="126" t="n"/>
      <c r="AH826" s="126" t="n"/>
      <c r="AI826" s="126" t="n"/>
      <c r="AJ826" s="126" t="n"/>
      <c r="AK826" s="126" t="n"/>
      <c r="AL826" s="126" t="n"/>
      <c r="AM826" s="126" t="n"/>
      <c r="AN826" s="126" t="n"/>
    </row>
    <row r="827" ht="21" customFormat="1" customHeight="1" s="127">
      <c r="A827" s="51">
        <f>IF($B827="","",ROW()-6)</f>
        <v/>
      </c>
      <c r="B827" s="268" t="n"/>
      <c r="C827" s="133" t="n"/>
      <c r="D827" s="50" t="n"/>
      <c r="E827" s="265" t="n"/>
      <c r="F827" s="133" t="n"/>
      <c r="G827" s="133" t="n"/>
      <c r="H827" s="50" t="n"/>
      <c r="I827" s="51">
        <f>IF($C827="","",IFERROR(INDEX(WorkerIDs,MATCH($C827,WorkerNames,0)),"?"))</f>
        <v/>
      </c>
      <c r="J827" s="253">
        <f>IF($B827="","",$B827-WEEKDAY($B827,2)+1)</f>
        <v/>
      </c>
      <c r="K827" s="142">
        <f>IF(OR($I827="",$I827="?",$D827&lt;&gt;"Advance",$B827=""),"",$I827&amp;"|"&amp;$J827&amp;"|"&amp;COUNTIFS($I$7:$I827,$I827,$J$7:$J827,$J827,$D$7:$D827,"Advance"))</f>
        <v/>
      </c>
      <c r="L827" s="266">
        <f>IF(OR($I827="",$I827="?",$B827=""),"",SUMPRODUCT((Weeks!$A$7:$A$59&lt;=$J827)*(Weeks!$X$5:$AI$5=$I827)*Weeks!$X$7:$AI$59)-SUMIFS($E$7:$E$1006,$I$7:$I$1006,$I827,$B$7:$B$1006,"&lt;="&amp;$B827))</f>
        <v/>
      </c>
      <c r="M827" s="132">
        <f>IF($B827&amp;$C827&amp;$D827&amp;$E827="","",IF($B827="","missing date",IF($C827="","missing worker",IF($I827="?","unknown worker - was the name changed on Workers?",IF($D827="","missing type",IF(N($E827)=0,"missing amount",IF(AND($E827&lt;0,$D827&lt;&gt;"Correction"),"negative amount - use a Correction to undo",IF(OR($B827&lt;Weeks!$A$7,$B827&gt;Weeks!$B$59),"date outside this workbook's year",IF(AND($D827="Advance",N($L827)&lt;0),"Warning: more than earned so far - worker now owes "&amp;TEXT(ROUND(-$L827,0),"#,##0"),"")))))))))</f>
        <v/>
      </c>
      <c r="N827" s="125" t="n"/>
      <c r="O827" s="126" t="n"/>
      <c r="P827" s="126" t="n"/>
      <c r="Q827" s="126" t="n"/>
      <c r="R827" s="126" t="n"/>
      <c r="S827" s="126" t="n"/>
      <c r="T827" s="126" t="n"/>
      <c r="U827" s="126" t="n"/>
      <c r="V827" s="126" t="n"/>
      <c r="W827" s="126" t="n"/>
      <c r="X827" s="126" t="n"/>
      <c r="Y827" s="126" t="n"/>
      <c r="Z827" s="126" t="n"/>
      <c r="AA827" s="126" t="n"/>
      <c r="AB827" s="126" t="n"/>
      <c r="AC827" s="126" t="n"/>
      <c r="AD827" s="126" t="n"/>
      <c r="AE827" s="126" t="n"/>
      <c r="AF827" s="126" t="n"/>
      <c r="AG827" s="126" t="n"/>
      <c r="AH827" s="126" t="n"/>
      <c r="AI827" s="126" t="n"/>
      <c r="AJ827" s="126" t="n"/>
      <c r="AK827" s="126" t="n"/>
      <c r="AL827" s="126" t="n"/>
      <c r="AM827" s="126" t="n"/>
      <c r="AN827" s="126" t="n"/>
    </row>
    <row r="828" ht="21" customFormat="1" customHeight="1" s="127">
      <c r="A828" s="51">
        <f>IF($B828="","",ROW()-6)</f>
        <v/>
      </c>
      <c r="B828" s="268" t="n"/>
      <c r="C828" s="133" t="n"/>
      <c r="D828" s="50" t="n"/>
      <c r="E828" s="265" t="n"/>
      <c r="F828" s="133" t="n"/>
      <c r="G828" s="133" t="n"/>
      <c r="H828" s="50" t="n"/>
      <c r="I828" s="51">
        <f>IF($C828="","",IFERROR(INDEX(WorkerIDs,MATCH($C828,WorkerNames,0)),"?"))</f>
        <v/>
      </c>
      <c r="J828" s="253">
        <f>IF($B828="","",$B828-WEEKDAY($B828,2)+1)</f>
        <v/>
      </c>
      <c r="K828" s="142">
        <f>IF(OR($I828="",$I828="?",$D828&lt;&gt;"Advance",$B828=""),"",$I828&amp;"|"&amp;$J828&amp;"|"&amp;COUNTIFS($I$7:$I828,$I828,$J$7:$J828,$J828,$D$7:$D828,"Advance"))</f>
        <v/>
      </c>
      <c r="L828" s="266">
        <f>IF(OR($I828="",$I828="?",$B828=""),"",SUMPRODUCT((Weeks!$A$7:$A$59&lt;=$J828)*(Weeks!$X$5:$AI$5=$I828)*Weeks!$X$7:$AI$59)-SUMIFS($E$7:$E$1006,$I$7:$I$1006,$I828,$B$7:$B$1006,"&lt;="&amp;$B828))</f>
        <v/>
      </c>
      <c r="M828" s="132">
        <f>IF($B828&amp;$C828&amp;$D828&amp;$E828="","",IF($B828="","missing date",IF($C828="","missing worker",IF($I828="?","unknown worker - was the name changed on Workers?",IF($D828="","missing type",IF(N($E828)=0,"missing amount",IF(AND($E828&lt;0,$D828&lt;&gt;"Correction"),"negative amount - use a Correction to undo",IF(OR($B828&lt;Weeks!$A$7,$B828&gt;Weeks!$B$59),"date outside this workbook's year",IF(AND($D828="Advance",N($L828)&lt;0),"Warning: more than earned so far - worker now owes "&amp;TEXT(ROUND(-$L828,0),"#,##0"),"")))))))))</f>
        <v/>
      </c>
      <c r="N828" s="125" t="n"/>
      <c r="O828" s="126" t="n"/>
      <c r="P828" s="126" t="n"/>
      <c r="Q828" s="126" t="n"/>
      <c r="R828" s="126" t="n"/>
      <c r="S828" s="126" t="n"/>
      <c r="T828" s="126" t="n"/>
      <c r="U828" s="126" t="n"/>
      <c r="V828" s="126" t="n"/>
      <c r="W828" s="126" t="n"/>
      <c r="X828" s="126" t="n"/>
      <c r="Y828" s="126" t="n"/>
      <c r="Z828" s="126" t="n"/>
      <c r="AA828" s="126" t="n"/>
      <c r="AB828" s="126" t="n"/>
      <c r="AC828" s="126" t="n"/>
      <c r="AD828" s="126" t="n"/>
      <c r="AE828" s="126" t="n"/>
      <c r="AF828" s="126" t="n"/>
      <c r="AG828" s="126" t="n"/>
      <c r="AH828" s="126" t="n"/>
      <c r="AI828" s="126" t="n"/>
      <c r="AJ828" s="126" t="n"/>
      <c r="AK828" s="126" t="n"/>
      <c r="AL828" s="126" t="n"/>
      <c r="AM828" s="126" t="n"/>
      <c r="AN828" s="126" t="n"/>
    </row>
    <row r="829" ht="21" customFormat="1" customHeight="1" s="127">
      <c r="A829" s="51">
        <f>IF($B829="","",ROW()-6)</f>
        <v/>
      </c>
      <c r="B829" s="268" t="n"/>
      <c r="C829" s="133" t="n"/>
      <c r="D829" s="50" t="n"/>
      <c r="E829" s="265" t="n"/>
      <c r="F829" s="133" t="n"/>
      <c r="G829" s="133" t="n"/>
      <c r="H829" s="50" t="n"/>
      <c r="I829" s="51">
        <f>IF($C829="","",IFERROR(INDEX(WorkerIDs,MATCH($C829,WorkerNames,0)),"?"))</f>
        <v/>
      </c>
      <c r="J829" s="253">
        <f>IF($B829="","",$B829-WEEKDAY($B829,2)+1)</f>
        <v/>
      </c>
      <c r="K829" s="142">
        <f>IF(OR($I829="",$I829="?",$D829&lt;&gt;"Advance",$B829=""),"",$I829&amp;"|"&amp;$J829&amp;"|"&amp;COUNTIFS($I$7:$I829,$I829,$J$7:$J829,$J829,$D$7:$D829,"Advance"))</f>
        <v/>
      </c>
      <c r="L829" s="266">
        <f>IF(OR($I829="",$I829="?",$B829=""),"",SUMPRODUCT((Weeks!$A$7:$A$59&lt;=$J829)*(Weeks!$X$5:$AI$5=$I829)*Weeks!$X$7:$AI$59)-SUMIFS($E$7:$E$1006,$I$7:$I$1006,$I829,$B$7:$B$1006,"&lt;="&amp;$B829))</f>
        <v/>
      </c>
      <c r="M829" s="132">
        <f>IF($B829&amp;$C829&amp;$D829&amp;$E829="","",IF($B829="","missing date",IF($C829="","missing worker",IF($I829="?","unknown worker - was the name changed on Workers?",IF($D829="","missing type",IF(N($E829)=0,"missing amount",IF(AND($E829&lt;0,$D829&lt;&gt;"Correction"),"negative amount - use a Correction to undo",IF(OR($B829&lt;Weeks!$A$7,$B829&gt;Weeks!$B$59),"date outside this workbook's year",IF(AND($D829="Advance",N($L829)&lt;0),"Warning: more than earned so far - worker now owes "&amp;TEXT(ROUND(-$L829,0),"#,##0"),"")))))))))</f>
        <v/>
      </c>
      <c r="N829" s="125" t="n"/>
      <c r="O829" s="126" t="n"/>
      <c r="P829" s="126" t="n"/>
      <c r="Q829" s="126" t="n"/>
      <c r="R829" s="126" t="n"/>
      <c r="S829" s="126" t="n"/>
      <c r="T829" s="126" t="n"/>
      <c r="U829" s="126" t="n"/>
      <c r="V829" s="126" t="n"/>
      <c r="W829" s="126" t="n"/>
      <c r="X829" s="126" t="n"/>
      <c r="Y829" s="126" t="n"/>
      <c r="Z829" s="126" t="n"/>
      <c r="AA829" s="126" t="n"/>
      <c r="AB829" s="126" t="n"/>
      <c r="AC829" s="126" t="n"/>
      <c r="AD829" s="126" t="n"/>
      <c r="AE829" s="126" t="n"/>
      <c r="AF829" s="126" t="n"/>
      <c r="AG829" s="126" t="n"/>
      <c r="AH829" s="126" t="n"/>
      <c r="AI829" s="126" t="n"/>
      <c r="AJ829" s="126" t="n"/>
      <c r="AK829" s="126" t="n"/>
      <c r="AL829" s="126" t="n"/>
      <c r="AM829" s="126" t="n"/>
      <c r="AN829" s="126" t="n"/>
    </row>
    <row r="830" ht="21" customFormat="1" customHeight="1" s="127">
      <c r="A830" s="51">
        <f>IF($B830="","",ROW()-6)</f>
        <v/>
      </c>
      <c r="B830" s="268" t="n"/>
      <c r="C830" s="133" t="n"/>
      <c r="D830" s="50" t="n"/>
      <c r="E830" s="265" t="n"/>
      <c r="F830" s="133" t="n"/>
      <c r="G830" s="133" t="n"/>
      <c r="H830" s="50" t="n"/>
      <c r="I830" s="51">
        <f>IF($C830="","",IFERROR(INDEX(WorkerIDs,MATCH($C830,WorkerNames,0)),"?"))</f>
        <v/>
      </c>
      <c r="J830" s="253">
        <f>IF($B830="","",$B830-WEEKDAY($B830,2)+1)</f>
        <v/>
      </c>
      <c r="K830" s="142">
        <f>IF(OR($I830="",$I830="?",$D830&lt;&gt;"Advance",$B830=""),"",$I830&amp;"|"&amp;$J830&amp;"|"&amp;COUNTIFS($I$7:$I830,$I830,$J$7:$J830,$J830,$D$7:$D830,"Advance"))</f>
        <v/>
      </c>
      <c r="L830" s="266">
        <f>IF(OR($I830="",$I830="?",$B830=""),"",SUMPRODUCT((Weeks!$A$7:$A$59&lt;=$J830)*(Weeks!$X$5:$AI$5=$I830)*Weeks!$X$7:$AI$59)-SUMIFS($E$7:$E$1006,$I$7:$I$1006,$I830,$B$7:$B$1006,"&lt;="&amp;$B830))</f>
        <v/>
      </c>
      <c r="M830" s="132">
        <f>IF($B830&amp;$C830&amp;$D830&amp;$E830="","",IF($B830="","missing date",IF($C830="","missing worker",IF($I830="?","unknown worker - was the name changed on Workers?",IF($D830="","missing type",IF(N($E830)=0,"missing amount",IF(AND($E830&lt;0,$D830&lt;&gt;"Correction"),"negative amount - use a Correction to undo",IF(OR($B830&lt;Weeks!$A$7,$B830&gt;Weeks!$B$59),"date outside this workbook's year",IF(AND($D830="Advance",N($L830)&lt;0),"Warning: more than earned so far - worker now owes "&amp;TEXT(ROUND(-$L830,0),"#,##0"),"")))))))))</f>
        <v/>
      </c>
      <c r="N830" s="125" t="n"/>
      <c r="O830" s="126" t="n"/>
      <c r="P830" s="126" t="n"/>
      <c r="Q830" s="126" t="n"/>
      <c r="R830" s="126" t="n"/>
      <c r="S830" s="126" t="n"/>
      <c r="T830" s="126" t="n"/>
      <c r="U830" s="126" t="n"/>
      <c r="V830" s="126" t="n"/>
      <c r="W830" s="126" t="n"/>
      <c r="X830" s="126" t="n"/>
      <c r="Y830" s="126" t="n"/>
      <c r="Z830" s="126" t="n"/>
      <c r="AA830" s="126" t="n"/>
      <c r="AB830" s="126" t="n"/>
      <c r="AC830" s="126" t="n"/>
      <c r="AD830" s="126" t="n"/>
      <c r="AE830" s="126" t="n"/>
      <c r="AF830" s="126" t="n"/>
      <c r="AG830" s="126" t="n"/>
      <c r="AH830" s="126" t="n"/>
      <c r="AI830" s="126" t="n"/>
      <c r="AJ830" s="126" t="n"/>
      <c r="AK830" s="126" t="n"/>
      <c r="AL830" s="126" t="n"/>
      <c r="AM830" s="126" t="n"/>
      <c r="AN830" s="126" t="n"/>
    </row>
    <row r="831" ht="21" customFormat="1" customHeight="1" s="127">
      <c r="A831" s="51">
        <f>IF($B831="","",ROW()-6)</f>
        <v/>
      </c>
      <c r="B831" s="268" t="n"/>
      <c r="C831" s="133" t="n"/>
      <c r="D831" s="50" t="n"/>
      <c r="E831" s="265" t="n"/>
      <c r="F831" s="133" t="n"/>
      <c r="G831" s="133" t="n"/>
      <c r="H831" s="50" t="n"/>
      <c r="I831" s="51">
        <f>IF($C831="","",IFERROR(INDEX(WorkerIDs,MATCH($C831,WorkerNames,0)),"?"))</f>
        <v/>
      </c>
      <c r="J831" s="253">
        <f>IF($B831="","",$B831-WEEKDAY($B831,2)+1)</f>
        <v/>
      </c>
      <c r="K831" s="142">
        <f>IF(OR($I831="",$I831="?",$D831&lt;&gt;"Advance",$B831=""),"",$I831&amp;"|"&amp;$J831&amp;"|"&amp;COUNTIFS($I$7:$I831,$I831,$J$7:$J831,$J831,$D$7:$D831,"Advance"))</f>
        <v/>
      </c>
      <c r="L831" s="266">
        <f>IF(OR($I831="",$I831="?",$B831=""),"",SUMPRODUCT((Weeks!$A$7:$A$59&lt;=$J831)*(Weeks!$X$5:$AI$5=$I831)*Weeks!$X$7:$AI$59)-SUMIFS($E$7:$E$1006,$I$7:$I$1006,$I831,$B$7:$B$1006,"&lt;="&amp;$B831))</f>
        <v/>
      </c>
      <c r="M831" s="132">
        <f>IF($B831&amp;$C831&amp;$D831&amp;$E831="","",IF($B831="","missing date",IF($C831="","missing worker",IF($I831="?","unknown worker - was the name changed on Workers?",IF($D831="","missing type",IF(N($E831)=0,"missing amount",IF(AND($E831&lt;0,$D831&lt;&gt;"Correction"),"negative amount - use a Correction to undo",IF(OR($B831&lt;Weeks!$A$7,$B831&gt;Weeks!$B$59),"date outside this workbook's year",IF(AND($D831="Advance",N($L831)&lt;0),"Warning: more than earned so far - worker now owes "&amp;TEXT(ROUND(-$L831,0),"#,##0"),"")))))))))</f>
        <v/>
      </c>
      <c r="N831" s="125" t="n"/>
      <c r="O831" s="126" t="n"/>
      <c r="P831" s="126" t="n"/>
      <c r="Q831" s="126" t="n"/>
      <c r="R831" s="126" t="n"/>
      <c r="S831" s="126" t="n"/>
      <c r="T831" s="126" t="n"/>
      <c r="U831" s="126" t="n"/>
      <c r="V831" s="126" t="n"/>
      <c r="W831" s="126" t="n"/>
      <c r="X831" s="126" t="n"/>
      <c r="Y831" s="126" t="n"/>
      <c r="Z831" s="126" t="n"/>
      <c r="AA831" s="126" t="n"/>
      <c r="AB831" s="126" t="n"/>
      <c r="AC831" s="126" t="n"/>
      <c r="AD831" s="126" t="n"/>
      <c r="AE831" s="126" t="n"/>
      <c r="AF831" s="126" t="n"/>
      <c r="AG831" s="126" t="n"/>
      <c r="AH831" s="126" t="n"/>
      <c r="AI831" s="126" t="n"/>
      <c r="AJ831" s="126" t="n"/>
      <c r="AK831" s="126" t="n"/>
      <c r="AL831" s="126" t="n"/>
      <c r="AM831" s="126" t="n"/>
      <c r="AN831" s="126" t="n"/>
    </row>
    <row r="832" ht="21" customFormat="1" customHeight="1" s="127">
      <c r="A832" s="51">
        <f>IF($B832="","",ROW()-6)</f>
        <v/>
      </c>
      <c r="B832" s="268" t="n"/>
      <c r="C832" s="133" t="n"/>
      <c r="D832" s="50" t="n"/>
      <c r="E832" s="265" t="n"/>
      <c r="F832" s="133" t="n"/>
      <c r="G832" s="133" t="n"/>
      <c r="H832" s="50" t="n"/>
      <c r="I832" s="51">
        <f>IF($C832="","",IFERROR(INDEX(WorkerIDs,MATCH($C832,WorkerNames,0)),"?"))</f>
        <v/>
      </c>
      <c r="J832" s="253">
        <f>IF($B832="","",$B832-WEEKDAY($B832,2)+1)</f>
        <v/>
      </c>
      <c r="K832" s="142">
        <f>IF(OR($I832="",$I832="?",$D832&lt;&gt;"Advance",$B832=""),"",$I832&amp;"|"&amp;$J832&amp;"|"&amp;COUNTIFS($I$7:$I832,$I832,$J$7:$J832,$J832,$D$7:$D832,"Advance"))</f>
        <v/>
      </c>
      <c r="L832" s="266">
        <f>IF(OR($I832="",$I832="?",$B832=""),"",SUMPRODUCT((Weeks!$A$7:$A$59&lt;=$J832)*(Weeks!$X$5:$AI$5=$I832)*Weeks!$X$7:$AI$59)-SUMIFS($E$7:$E$1006,$I$7:$I$1006,$I832,$B$7:$B$1006,"&lt;="&amp;$B832))</f>
        <v/>
      </c>
      <c r="M832" s="132">
        <f>IF($B832&amp;$C832&amp;$D832&amp;$E832="","",IF($B832="","missing date",IF($C832="","missing worker",IF($I832="?","unknown worker - was the name changed on Workers?",IF($D832="","missing type",IF(N($E832)=0,"missing amount",IF(AND($E832&lt;0,$D832&lt;&gt;"Correction"),"negative amount - use a Correction to undo",IF(OR($B832&lt;Weeks!$A$7,$B832&gt;Weeks!$B$59),"date outside this workbook's year",IF(AND($D832="Advance",N($L832)&lt;0),"Warning: more than earned so far - worker now owes "&amp;TEXT(ROUND(-$L832,0),"#,##0"),"")))))))))</f>
        <v/>
      </c>
      <c r="N832" s="125" t="n"/>
      <c r="O832" s="126" t="n"/>
      <c r="P832" s="126" t="n"/>
      <c r="Q832" s="126" t="n"/>
      <c r="R832" s="126" t="n"/>
      <c r="S832" s="126" t="n"/>
      <c r="T832" s="126" t="n"/>
      <c r="U832" s="126" t="n"/>
      <c r="V832" s="126" t="n"/>
      <c r="W832" s="126" t="n"/>
      <c r="X832" s="126" t="n"/>
      <c r="Y832" s="126" t="n"/>
      <c r="Z832" s="126" t="n"/>
      <c r="AA832" s="126" t="n"/>
      <c r="AB832" s="126" t="n"/>
      <c r="AC832" s="126" t="n"/>
      <c r="AD832" s="126" t="n"/>
      <c r="AE832" s="126" t="n"/>
      <c r="AF832" s="126" t="n"/>
      <c r="AG832" s="126" t="n"/>
      <c r="AH832" s="126" t="n"/>
      <c r="AI832" s="126" t="n"/>
      <c r="AJ832" s="126" t="n"/>
      <c r="AK832" s="126" t="n"/>
      <c r="AL832" s="126" t="n"/>
      <c r="AM832" s="126" t="n"/>
      <c r="AN832" s="126" t="n"/>
    </row>
    <row r="833" ht="21" customFormat="1" customHeight="1" s="127">
      <c r="A833" s="51">
        <f>IF($B833="","",ROW()-6)</f>
        <v/>
      </c>
      <c r="B833" s="268" t="n"/>
      <c r="C833" s="133" t="n"/>
      <c r="D833" s="50" t="n"/>
      <c r="E833" s="265" t="n"/>
      <c r="F833" s="133" t="n"/>
      <c r="G833" s="133" t="n"/>
      <c r="H833" s="50" t="n"/>
      <c r="I833" s="51">
        <f>IF($C833="","",IFERROR(INDEX(WorkerIDs,MATCH($C833,WorkerNames,0)),"?"))</f>
        <v/>
      </c>
      <c r="J833" s="253">
        <f>IF($B833="","",$B833-WEEKDAY($B833,2)+1)</f>
        <v/>
      </c>
      <c r="K833" s="142">
        <f>IF(OR($I833="",$I833="?",$D833&lt;&gt;"Advance",$B833=""),"",$I833&amp;"|"&amp;$J833&amp;"|"&amp;COUNTIFS($I$7:$I833,$I833,$J$7:$J833,$J833,$D$7:$D833,"Advance"))</f>
        <v/>
      </c>
      <c r="L833" s="266">
        <f>IF(OR($I833="",$I833="?",$B833=""),"",SUMPRODUCT((Weeks!$A$7:$A$59&lt;=$J833)*(Weeks!$X$5:$AI$5=$I833)*Weeks!$X$7:$AI$59)-SUMIFS($E$7:$E$1006,$I$7:$I$1006,$I833,$B$7:$B$1006,"&lt;="&amp;$B833))</f>
        <v/>
      </c>
      <c r="M833" s="132">
        <f>IF($B833&amp;$C833&amp;$D833&amp;$E833="","",IF($B833="","missing date",IF($C833="","missing worker",IF($I833="?","unknown worker - was the name changed on Workers?",IF($D833="","missing type",IF(N($E833)=0,"missing amount",IF(AND($E833&lt;0,$D833&lt;&gt;"Correction"),"negative amount - use a Correction to undo",IF(OR($B833&lt;Weeks!$A$7,$B833&gt;Weeks!$B$59),"date outside this workbook's year",IF(AND($D833="Advance",N($L833)&lt;0),"Warning: more than earned so far - worker now owes "&amp;TEXT(ROUND(-$L833,0),"#,##0"),"")))))))))</f>
        <v/>
      </c>
      <c r="N833" s="125" t="n"/>
      <c r="O833" s="126" t="n"/>
      <c r="P833" s="126" t="n"/>
      <c r="Q833" s="126" t="n"/>
      <c r="R833" s="126" t="n"/>
      <c r="S833" s="126" t="n"/>
      <c r="T833" s="126" t="n"/>
      <c r="U833" s="126" t="n"/>
      <c r="V833" s="126" t="n"/>
      <c r="W833" s="126" t="n"/>
      <c r="X833" s="126" t="n"/>
      <c r="Y833" s="126" t="n"/>
      <c r="Z833" s="126" t="n"/>
      <c r="AA833" s="126" t="n"/>
      <c r="AB833" s="126" t="n"/>
      <c r="AC833" s="126" t="n"/>
      <c r="AD833" s="126" t="n"/>
      <c r="AE833" s="126" t="n"/>
      <c r="AF833" s="126" t="n"/>
      <c r="AG833" s="126" t="n"/>
      <c r="AH833" s="126" t="n"/>
      <c r="AI833" s="126" t="n"/>
      <c r="AJ833" s="126" t="n"/>
      <c r="AK833" s="126" t="n"/>
      <c r="AL833" s="126" t="n"/>
      <c r="AM833" s="126" t="n"/>
      <c r="AN833" s="126" t="n"/>
    </row>
    <row r="834" ht="21" customFormat="1" customHeight="1" s="127">
      <c r="A834" s="51">
        <f>IF($B834="","",ROW()-6)</f>
        <v/>
      </c>
      <c r="B834" s="268" t="n"/>
      <c r="C834" s="133" t="n"/>
      <c r="D834" s="50" t="n"/>
      <c r="E834" s="265" t="n"/>
      <c r="F834" s="133" t="n"/>
      <c r="G834" s="133" t="n"/>
      <c r="H834" s="50" t="n"/>
      <c r="I834" s="51">
        <f>IF($C834="","",IFERROR(INDEX(WorkerIDs,MATCH($C834,WorkerNames,0)),"?"))</f>
        <v/>
      </c>
      <c r="J834" s="253">
        <f>IF($B834="","",$B834-WEEKDAY($B834,2)+1)</f>
        <v/>
      </c>
      <c r="K834" s="142">
        <f>IF(OR($I834="",$I834="?",$D834&lt;&gt;"Advance",$B834=""),"",$I834&amp;"|"&amp;$J834&amp;"|"&amp;COUNTIFS($I$7:$I834,$I834,$J$7:$J834,$J834,$D$7:$D834,"Advance"))</f>
        <v/>
      </c>
      <c r="L834" s="266">
        <f>IF(OR($I834="",$I834="?",$B834=""),"",SUMPRODUCT((Weeks!$A$7:$A$59&lt;=$J834)*(Weeks!$X$5:$AI$5=$I834)*Weeks!$X$7:$AI$59)-SUMIFS($E$7:$E$1006,$I$7:$I$1006,$I834,$B$7:$B$1006,"&lt;="&amp;$B834))</f>
        <v/>
      </c>
      <c r="M834" s="132">
        <f>IF($B834&amp;$C834&amp;$D834&amp;$E834="","",IF($B834="","missing date",IF($C834="","missing worker",IF($I834="?","unknown worker - was the name changed on Workers?",IF($D834="","missing type",IF(N($E834)=0,"missing amount",IF(AND($E834&lt;0,$D834&lt;&gt;"Correction"),"negative amount - use a Correction to undo",IF(OR($B834&lt;Weeks!$A$7,$B834&gt;Weeks!$B$59),"date outside this workbook's year",IF(AND($D834="Advance",N($L834)&lt;0),"Warning: more than earned so far - worker now owes "&amp;TEXT(ROUND(-$L834,0),"#,##0"),"")))))))))</f>
        <v/>
      </c>
      <c r="N834" s="125" t="n"/>
      <c r="O834" s="126" t="n"/>
      <c r="P834" s="126" t="n"/>
      <c r="Q834" s="126" t="n"/>
      <c r="R834" s="126" t="n"/>
      <c r="S834" s="126" t="n"/>
      <c r="T834" s="126" t="n"/>
      <c r="U834" s="126" t="n"/>
      <c r="V834" s="126" t="n"/>
      <c r="W834" s="126" t="n"/>
      <c r="X834" s="126" t="n"/>
      <c r="Y834" s="126" t="n"/>
      <c r="Z834" s="126" t="n"/>
      <c r="AA834" s="126" t="n"/>
      <c r="AB834" s="126" t="n"/>
      <c r="AC834" s="126" t="n"/>
      <c r="AD834" s="126" t="n"/>
      <c r="AE834" s="126" t="n"/>
      <c r="AF834" s="126" t="n"/>
      <c r="AG834" s="126" t="n"/>
      <c r="AH834" s="126" t="n"/>
      <c r="AI834" s="126" t="n"/>
      <c r="AJ834" s="126" t="n"/>
      <c r="AK834" s="126" t="n"/>
      <c r="AL834" s="126" t="n"/>
      <c r="AM834" s="126" t="n"/>
      <c r="AN834" s="126" t="n"/>
    </row>
    <row r="835" ht="21" customFormat="1" customHeight="1" s="127">
      <c r="A835" s="51">
        <f>IF($B835="","",ROW()-6)</f>
        <v/>
      </c>
      <c r="B835" s="268" t="n"/>
      <c r="C835" s="133" t="n"/>
      <c r="D835" s="50" t="n"/>
      <c r="E835" s="265" t="n"/>
      <c r="F835" s="133" t="n"/>
      <c r="G835" s="133" t="n"/>
      <c r="H835" s="50" t="n"/>
      <c r="I835" s="51">
        <f>IF($C835="","",IFERROR(INDEX(WorkerIDs,MATCH($C835,WorkerNames,0)),"?"))</f>
        <v/>
      </c>
      <c r="J835" s="253">
        <f>IF($B835="","",$B835-WEEKDAY($B835,2)+1)</f>
        <v/>
      </c>
      <c r="K835" s="142">
        <f>IF(OR($I835="",$I835="?",$D835&lt;&gt;"Advance",$B835=""),"",$I835&amp;"|"&amp;$J835&amp;"|"&amp;COUNTIFS($I$7:$I835,$I835,$J$7:$J835,$J835,$D$7:$D835,"Advance"))</f>
        <v/>
      </c>
      <c r="L835" s="266">
        <f>IF(OR($I835="",$I835="?",$B835=""),"",SUMPRODUCT((Weeks!$A$7:$A$59&lt;=$J835)*(Weeks!$X$5:$AI$5=$I835)*Weeks!$X$7:$AI$59)-SUMIFS($E$7:$E$1006,$I$7:$I$1006,$I835,$B$7:$B$1006,"&lt;="&amp;$B835))</f>
        <v/>
      </c>
      <c r="M835" s="132">
        <f>IF($B835&amp;$C835&amp;$D835&amp;$E835="","",IF($B835="","missing date",IF($C835="","missing worker",IF($I835="?","unknown worker - was the name changed on Workers?",IF($D835="","missing type",IF(N($E835)=0,"missing amount",IF(AND($E835&lt;0,$D835&lt;&gt;"Correction"),"negative amount - use a Correction to undo",IF(OR($B835&lt;Weeks!$A$7,$B835&gt;Weeks!$B$59),"date outside this workbook's year",IF(AND($D835="Advance",N($L835)&lt;0),"Warning: more than earned so far - worker now owes "&amp;TEXT(ROUND(-$L835,0),"#,##0"),"")))))))))</f>
        <v/>
      </c>
      <c r="N835" s="125" t="n"/>
      <c r="O835" s="126" t="n"/>
      <c r="P835" s="126" t="n"/>
      <c r="Q835" s="126" t="n"/>
      <c r="R835" s="126" t="n"/>
      <c r="S835" s="126" t="n"/>
      <c r="T835" s="126" t="n"/>
      <c r="U835" s="126" t="n"/>
      <c r="V835" s="126" t="n"/>
      <c r="W835" s="126" t="n"/>
      <c r="X835" s="126" t="n"/>
      <c r="Y835" s="126" t="n"/>
      <c r="Z835" s="126" t="n"/>
      <c r="AA835" s="126" t="n"/>
      <c r="AB835" s="126" t="n"/>
      <c r="AC835" s="126" t="n"/>
      <c r="AD835" s="126" t="n"/>
      <c r="AE835" s="126" t="n"/>
      <c r="AF835" s="126" t="n"/>
      <c r="AG835" s="126" t="n"/>
      <c r="AH835" s="126" t="n"/>
      <c r="AI835" s="126" t="n"/>
      <c r="AJ835" s="126" t="n"/>
      <c r="AK835" s="126" t="n"/>
      <c r="AL835" s="126" t="n"/>
      <c r="AM835" s="126" t="n"/>
      <c r="AN835" s="126" t="n"/>
    </row>
    <row r="836" ht="21" customFormat="1" customHeight="1" s="127">
      <c r="A836" s="51">
        <f>IF($B836="","",ROW()-6)</f>
        <v/>
      </c>
      <c r="B836" s="268" t="n"/>
      <c r="C836" s="133" t="n"/>
      <c r="D836" s="50" t="n"/>
      <c r="E836" s="265" t="n"/>
      <c r="F836" s="133" t="n"/>
      <c r="G836" s="133" t="n"/>
      <c r="H836" s="50" t="n"/>
      <c r="I836" s="51">
        <f>IF($C836="","",IFERROR(INDEX(WorkerIDs,MATCH($C836,WorkerNames,0)),"?"))</f>
        <v/>
      </c>
      <c r="J836" s="253">
        <f>IF($B836="","",$B836-WEEKDAY($B836,2)+1)</f>
        <v/>
      </c>
      <c r="K836" s="142">
        <f>IF(OR($I836="",$I836="?",$D836&lt;&gt;"Advance",$B836=""),"",$I836&amp;"|"&amp;$J836&amp;"|"&amp;COUNTIFS($I$7:$I836,$I836,$J$7:$J836,$J836,$D$7:$D836,"Advance"))</f>
        <v/>
      </c>
      <c r="L836" s="266">
        <f>IF(OR($I836="",$I836="?",$B836=""),"",SUMPRODUCT((Weeks!$A$7:$A$59&lt;=$J836)*(Weeks!$X$5:$AI$5=$I836)*Weeks!$X$7:$AI$59)-SUMIFS($E$7:$E$1006,$I$7:$I$1006,$I836,$B$7:$B$1006,"&lt;="&amp;$B836))</f>
        <v/>
      </c>
      <c r="M836" s="132">
        <f>IF($B836&amp;$C836&amp;$D836&amp;$E836="","",IF($B836="","missing date",IF($C836="","missing worker",IF($I836="?","unknown worker - was the name changed on Workers?",IF($D836="","missing type",IF(N($E836)=0,"missing amount",IF(AND($E836&lt;0,$D836&lt;&gt;"Correction"),"negative amount - use a Correction to undo",IF(OR($B836&lt;Weeks!$A$7,$B836&gt;Weeks!$B$59),"date outside this workbook's year",IF(AND($D836="Advance",N($L836)&lt;0),"Warning: more than earned so far - worker now owes "&amp;TEXT(ROUND(-$L836,0),"#,##0"),"")))))))))</f>
        <v/>
      </c>
      <c r="N836" s="125" t="n"/>
      <c r="O836" s="126" t="n"/>
      <c r="P836" s="126" t="n"/>
      <c r="Q836" s="126" t="n"/>
      <c r="R836" s="126" t="n"/>
      <c r="S836" s="126" t="n"/>
      <c r="T836" s="126" t="n"/>
      <c r="U836" s="126" t="n"/>
      <c r="V836" s="126" t="n"/>
      <c r="W836" s="126" t="n"/>
      <c r="X836" s="126" t="n"/>
      <c r="Y836" s="126" t="n"/>
      <c r="Z836" s="126" t="n"/>
      <c r="AA836" s="126" t="n"/>
      <c r="AB836" s="126" t="n"/>
      <c r="AC836" s="126" t="n"/>
      <c r="AD836" s="126" t="n"/>
      <c r="AE836" s="126" t="n"/>
      <c r="AF836" s="126" t="n"/>
      <c r="AG836" s="126" t="n"/>
      <c r="AH836" s="126" t="n"/>
      <c r="AI836" s="126" t="n"/>
      <c r="AJ836" s="126" t="n"/>
      <c r="AK836" s="126" t="n"/>
      <c r="AL836" s="126" t="n"/>
      <c r="AM836" s="126" t="n"/>
      <c r="AN836" s="126" t="n"/>
    </row>
    <row r="837" ht="21" customFormat="1" customHeight="1" s="127">
      <c r="A837" s="51">
        <f>IF($B837="","",ROW()-6)</f>
        <v/>
      </c>
      <c r="B837" s="268" t="n"/>
      <c r="C837" s="133" t="n"/>
      <c r="D837" s="50" t="n"/>
      <c r="E837" s="265" t="n"/>
      <c r="F837" s="133" t="n"/>
      <c r="G837" s="133" t="n"/>
      <c r="H837" s="50" t="n"/>
      <c r="I837" s="51">
        <f>IF($C837="","",IFERROR(INDEX(WorkerIDs,MATCH($C837,WorkerNames,0)),"?"))</f>
        <v/>
      </c>
      <c r="J837" s="253">
        <f>IF($B837="","",$B837-WEEKDAY($B837,2)+1)</f>
        <v/>
      </c>
      <c r="K837" s="142">
        <f>IF(OR($I837="",$I837="?",$D837&lt;&gt;"Advance",$B837=""),"",$I837&amp;"|"&amp;$J837&amp;"|"&amp;COUNTIFS($I$7:$I837,$I837,$J$7:$J837,$J837,$D$7:$D837,"Advance"))</f>
        <v/>
      </c>
      <c r="L837" s="266">
        <f>IF(OR($I837="",$I837="?",$B837=""),"",SUMPRODUCT((Weeks!$A$7:$A$59&lt;=$J837)*(Weeks!$X$5:$AI$5=$I837)*Weeks!$X$7:$AI$59)-SUMIFS($E$7:$E$1006,$I$7:$I$1006,$I837,$B$7:$B$1006,"&lt;="&amp;$B837))</f>
        <v/>
      </c>
      <c r="M837" s="132">
        <f>IF($B837&amp;$C837&amp;$D837&amp;$E837="","",IF($B837="","missing date",IF($C837="","missing worker",IF($I837="?","unknown worker - was the name changed on Workers?",IF($D837="","missing type",IF(N($E837)=0,"missing amount",IF(AND($E837&lt;0,$D837&lt;&gt;"Correction"),"negative amount - use a Correction to undo",IF(OR($B837&lt;Weeks!$A$7,$B837&gt;Weeks!$B$59),"date outside this workbook's year",IF(AND($D837="Advance",N($L837)&lt;0),"Warning: more than earned so far - worker now owes "&amp;TEXT(ROUND(-$L837,0),"#,##0"),"")))))))))</f>
        <v/>
      </c>
      <c r="N837" s="125" t="n"/>
      <c r="O837" s="126" t="n"/>
      <c r="P837" s="126" t="n"/>
      <c r="Q837" s="126" t="n"/>
      <c r="R837" s="126" t="n"/>
      <c r="S837" s="126" t="n"/>
      <c r="T837" s="126" t="n"/>
      <c r="U837" s="126" t="n"/>
      <c r="V837" s="126" t="n"/>
      <c r="W837" s="126" t="n"/>
      <c r="X837" s="126" t="n"/>
      <c r="Y837" s="126" t="n"/>
      <c r="Z837" s="126" t="n"/>
      <c r="AA837" s="126" t="n"/>
      <c r="AB837" s="126" t="n"/>
      <c r="AC837" s="126" t="n"/>
      <c r="AD837" s="126" t="n"/>
      <c r="AE837" s="126" t="n"/>
      <c r="AF837" s="126" t="n"/>
      <c r="AG837" s="126" t="n"/>
      <c r="AH837" s="126" t="n"/>
      <c r="AI837" s="126" t="n"/>
      <c r="AJ837" s="126" t="n"/>
      <c r="AK837" s="126" t="n"/>
      <c r="AL837" s="126" t="n"/>
      <c r="AM837" s="126" t="n"/>
      <c r="AN837" s="126" t="n"/>
    </row>
    <row r="838" ht="21" customFormat="1" customHeight="1" s="127">
      <c r="A838" s="51">
        <f>IF($B838="","",ROW()-6)</f>
        <v/>
      </c>
      <c r="B838" s="268" t="n"/>
      <c r="C838" s="133" t="n"/>
      <c r="D838" s="50" t="n"/>
      <c r="E838" s="265" t="n"/>
      <c r="F838" s="133" t="n"/>
      <c r="G838" s="133" t="n"/>
      <c r="H838" s="50" t="n"/>
      <c r="I838" s="51">
        <f>IF($C838="","",IFERROR(INDEX(WorkerIDs,MATCH($C838,WorkerNames,0)),"?"))</f>
        <v/>
      </c>
      <c r="J838" s="253">
        <f>IF($B838="","",$B838-WEEKDAY($B838,2)+1)</f>
        <v/>
      </c>
      <c r="K838" s="142">
        <f>IF(OR($I838="",$I838="?",$D838&lt;&gt;"Advance",$B838=""),"",$I838&amp;"|"&amp;$J838&amp;"|"&amp;COUNTIFS($I$7:$I838,$I838,$J$7:$J838,$J838,$D$7:$D838,"Advance"))</f>
        <v/>
      </c>
      <c r="L838" s="266">
        <f>IF(OR($I838="",$I838="?",$B838=""),"",SUMPRODUCT((Weeks!$A$7:$A$59&lt;=$J838)*(Weeks!$X$5:$AI$5=$I838)*Weeks!$X$7:$AI$59)-SUMIFS($E$7:$E$1006,$I$7:$I$1006,$I838,$B$7:$B$1006,"&lt;="&amp;$B838))</f>
        <v/>
      </c>
      <c r="M838" s="132">
        <f>IF($B838&amp;$C838&amp;$D838&amp;$E838="","",IF($B838="","missing date",IF($C838="","missing worker",IF($I838="?","unknown worker - was the name changed on Workers?",IF($D838="","missing type",IF(N($E838)=0,"missing amount",IF(AND($E838&lt;0,$D838&lt;&gt;"Correction"),"negative amount - use a Correction to undo",IF(OR($B838&lt;Weeks!$A$7,$B838&gt;Weeks!$B$59),"date outside this workbook's year",IF(AND($D838="Advance",N($L838)&lt;0),"Warning: more than earned so far - worker now owes "&amp;TEXT(ROUND(-$L838,0),"#,##0"),"")))))))))</f>
        <v/>
      </c>
      <c r="N838" s="125" t="n"/>
      <c r="O838" s="126" t="n"/>
      <c r="P838" s="126" t="n"/>
      <c r="Q838" s="126" t="n"/>
      <c r="R838" s="126" t="n"/>
      <c r="S838" s="126" t="n"/>
      <c r="T838" s="126" t="n"/>
      <c r="U838" s="126" t="n"/>
      <c r="V838" s="126" t="n"/>
      <c r="W838" s="126" t="n"/>
      <c r="X838" s="126" t="n"/>
      <c r="Y838" s="126" t="n"/>
      <c r="Z838" s="126" t="n"/>
      <c r="AA838" s="126" t="n"/>
      <c r="AB838" s="126" t="n"/>
      <c r="AC838" s="126" t="n"/>
      <c r="AD838" s="126" t="n"/>
      <c r="AE838" s="126" t="n"/>
      <c r="AF838" s="126" t="n"/>
      <c r="AG838" s="126" t="n"/>
      <c r="AH838" s="126" t="n"/>
      <c r="AI838" s="126" t="n"/>
      <c r="AJ838" s="126" t="n"/>
      <c r="AK838" s="126" t="n"/>
      <c r="AL838" s="126" t="n"/>
      <c r="AM838" s="126" t="n"/>
      <c r="AN838" s="126" t="n"/>
    </row>
    <row r="839" ht="21" customFormat="1" customHeight="1" s="127">
      <c r="A839" s="51">
        <f>IF($B839="","",ROW()-6)</f>
        <v/>
      </c>
      <c r="B839" s="268" t="n"/>
      <c r="C839" s="133" t="n"/>
      <c r="D839" s="50" t="n"/>
      <c r="E839" s="265" t="n"/>
      <c r="F839" s="133" t="n"/>
      <c r="G839" s="133" t="n"/>
      <c r="H839" s="50" t="n"/>
      <c r="I839" s="51">
        <f>IF($C839="","",IFERROR(INDEX(WorkerIDs,MATCH($C839,WorkerNames,0)),"?"))</f>
        <v/>
      </c>
      <c r="J839" s="253">
        <f>IF($B839="","",$B839-WEEKDAY($B839,2)+1)</f>
        <v/>
      </c>
      <c r="K839" s="142">
        <f>IF(OR($I839="",$I839="?",$D839&lt;&gt;"Advance",$B839=""),"",$I839&amp;"|"&amp;$J839&amp;"|"&amp;COUNTIFS($I$7:$I839,$I839,$J$7:$J839,$J839,$D$7:$D839,"Advance"))</f>
        <v/>
      </c>
      <c r="L839" s="266">
        <f>IF(OR($I839="",$I839="?",$B839=""),"",SUMPRODUCT((Weeks!$A$7:$A$59&lt;=$J839)*(Weeks!$X$5:$AI$5=$I839)*Weeks!$X$7:$AI$59)-SUMIFS($E$7:$E$1006,$I$7:$I$1006,$I839,$B$7:$B$1006,"&lt;="&amp;$B839))</f>
        <v/>
      </c>
      <c r="M839" s="132">
        <f>IF($B839&amp;$C839&amp;$D839&amp;$E839="","",IF($B839="","missing date",IF($C839="","missing worker",IF($I839="?","unknown worker - was the name changed on Workers?",IF($D839="","missing type",IF(N($E839)=0,"missing amount",IF(AND($E839&lt;0,$D839&lt;&gt;"Correction"),"negative amount - use a Correction to undo",IF(OR($B839&lt;Weeks!$A$7,$B839&gt;Weeks!$B$59),"date outside this workbook's year",IF(AND($D839="Advance",N($L839)&lt;0),"Warning: more than earned so far - worker now owes "&amp;TEXT(ROUND(-$L839,0),"#,##0"),"")))))))))</f>
        <v/>
      </c>
      <c r="N839" s="125" t="n"/>
      <c r="O839" s="126" t="n"/>
      <c r="P839" s="126" t="n"/>
      <c r="Q839" s="126" t="n"/>
      <c r="R839" s="126" t="n"/>
      <c r="S839" s="126" t="n"/>
      <c r="T839" s="126" t="n"/>
      <c r="U839" s="126" t="n"/>
      <c r="V839" s="126" t="n"/>
      <c r="W839" s="126" t="n"/>
      <c r="X839" s="126" t="n"/>
      <c r="Y839" s="126" t="n"/>
      <c r="Z839" s="126" t="n"/>
      <c r="AA839" s="126" t="n"/>
      <c r="AB839" s="126" t="n"/>
      <c r="AC839" s="126" t="n"/>
      <c r="AD839" s="126" t="n"/>
      <c r="AE839" s="126" t="n"/>
      <c r="AF839" s="126" t="n"/>
      <c r="AG839" s="126" t="n"/>
      <c r="AH839" s="126" t="n"/>
      <c r="AI839" s="126" t="n"/>
      <c r="AJ839" s="126" t="n"/>
      <c r="AK839" s="126" t="n"/>
      <c r="AL839" s="126" t="n"/>
      <c r="AM839" s="126" t="n"/>
      <c r="AN839" s="126" t="n"/>
    </row>
    <row r="840" ht="21" customFormat="1" customHeight="1" s="127">
      <c r="A840" s="51">
        <f>IF($B840="","",ROW()-6)</f>
        <v/>
      </c>
      <c r="B840" s="268" t="n"/>
      <c r="C840" s="133" t="n"/>
      <c r="D840" s="50" t="n"/>
      <c r="E840" s="265" t="n"/>
      <c r="F840" s="133" t="n"/>
      <c r="G840" s="133" t="n"/>
      <c r="H840" s="50" t="n"/>
      <c r="I840" s="51">
        <f>IF($C840="","",IFERROR(INDEX(WorkerIDs,MATCH($C840,WorkerNames,0)),"?"))</f>
        <v/>
      </c>
      <c r="J840" s="253">
        <f>IF($B840="","",$B840-WEEKDAY($B840,2)+1)</f>
        <v/>
      </c>
      <c r="K840" s="142">
        <f>IF(OR($I840="",$I840="?",$D840&lt;&gt;"Advance",$B840=""),"",$I840&amp;"|"&amp;$J840&amp;"|"&amp;COUNTIFS($I$7:$I840,$I840,$J$7:$J840,$J840,$D$7:$D840,"Advance"))</f>
        <v/>
      </c>
      <c r="L840" s="266">
        <f>IF(OR($I840="",$I840="?",$B840=""),"",SUMPRODUCT((Weeks!$A$7:$A$59&lt;=$J840)*(Weeks!$X$5:$AI$5=$I840)*Weeks!$X$7:$AI$59)-SUMIFS($E$7:$E$1006,$I$7:$I$1006,$I840,$B$7:$B$1006,"&lt;="&amp;$B840))</f>
        <v/>
      </c>
      <c r="M840" s="132">
        <f>IF($B840&amp;$C840&amp;$D840&amp;$E840="","",IF($B840="","missing date",IF($C840="","missing worker",IF($I840="?","unknown worker - was the name changed on Workers?",IF($D840="","missing type",IF(N($E840)=0,"missing amount",IF(AND($E840&lt;0,$D840&lt;&gt;"Correction"),"negative amount - use a Correction to undo",IF(OR($B840&lt;Weeks!$A$7,$B840&gt;Weeks!$B$59),"date outside this workbook's year",IF(AND($D840="Advance",N($L840)&lt;0),"Warning: more than earned so far - worker now owes "&amp;TEXT(ROUND(-$L840,0),"#,##0"),"")))))))))</f>
        <v/>
      </c>
      <c r="N840" s="125" t="n"/>
      <c r="O840" s="126" t="n"/>
      <c r="P840" s="126" t="n"/>
      <c r="Q840" s="126" t="n"/>
      <c r="R840" s="126" t="n"/>
      <c r="S840" s="126" t="n"/>
      <c r="T840" s="126" t="n"/>
      <c r="U840" s="126" t="n"/>
      <c r="V840" s="126" t="n"/>
      <c r="W840" s="126" t="n"/>
      <c r="X840" s="126" t="n"/>
      <c r="Y840" s="126" t="n"/>
      <c r="Z840" s="126" t="n"/>
      <c r="AA840" s="126" t="n"/>
      <c r="AB840" s="126" t="n"/>
      <c r="AC840" s="126" t="n"/>
      <c r="AD840" s="126" t="n"/>
      <c r="AE840" s="126" t="n"/>
      <c r="AF840" s="126" t="n"/>
      <c r="AG840" s="126" t="n"/>
      <c r="AH840" s="126" t="n"/>
      <c r="AI840" s="126" t="n"/>
      <c r="AJ840" s="126" t="n"/>
      <c r="AK840" s="126" t="n"/>
      <c r="AL840" s="126" t="n"/>
      <c r="AM840" s="126" t="n"/>
      <c r="AN840" s="126" t="n"/>
    </row>
    <row r="841" ht="21" customFormat="1" customHeight="1" s="127">
      <c r="A841" s="51">
        <f>IF($B841="","",ROW()-6)</f>
        <v/>
      </c>
      <c r="B841" s="268" t="n"/>
      <c r="C841" s="133" t="n"/>
      <c r="D841" s="50" t="n"/>
      <c r="E841" s="265" t="n"/>
      <c r="F841" s="133" t="n"/>
      <c r="G841" s="133" t="n"/>
      <c r="H841" s="50" t="n"/>
      <c r="I841" s="51">
        <f>IF($C841="","",IFERROR(INDEX(WorkerIDs,MATCH($C841,WorkerNames,0)),"?"))</f>
        <v/>
      </c>
      <c r="J841" s="253">
        <f>IF($B841="","",$B841-WEEKDAY($B841,2)+1)</f>
        <v/>
      </c>
      <c r="K841" s="142">
        <f>IF(OR($I841="",$I841="?",$D841&lt;&gt;"Advance",$B841=""),"",$I841&amp;"|"&amp;$J841&amp;"|"&amp;COUNTIFS($I$7:$I841,$I841,$J$7:$J841,$J841,$D$7:$D841,"Advance"))</f>
        <v/>
      </c>
      <c r="L841" s="266">
        <f>IF(OR($I841="",$I841="?",$B841=""),"",SUMPRODUCT((Weeks!$A$7:$A$59&lt;=$J841)*(Weeks!$X$5:$AI$5=$I841)*Weeks!$X$7:$AI$59)-SUMIFS($E$7:$E$1006,$I$7:$I$1006,$I841,$B$7:$B$1006,"&lt;="&amp;$B841))</f>
        <v/>
      </c>
      <c r="M841" s="132">
        <f>IF($B841&amp;$C841&amp;$D841&amp;$E841="","",IF($B841="","missing date",IF($C841="","missing worker",IF($I841="?","unknown worker - was the name changed on Workers?",IF($D841="","missing type",IF(N($E841)=0,"missing amount",IF(AND($E841&lt;0,$D841&lt;&gt;"Correction"),"negative amount - use a Correction to undo",IF(OR($B841&lt;Weeks!$A$7,$B841&gt;Weeks!$B$59),"date outside this workbook's year",IF(AND($D841="Advance",N($L841)&lt;0),"Warning: more than earned so far - worker now owes "&amp;TEXT(ROUND(-$L841,0),"#,##0"),"")))))))))</f>
        <v/>
      </c>
      <c r="N841" s="125" t="n"/>
      <c r="O841" s="126" t="n"/>
      <c r="P841" s="126" t="n"/>
      <c r="Q841" s="126" t="n"/>
      <c r="R841" s="126" t="n"/>
      <c r="S841" s="126" t="n"/>
      <c r="T841" s="126" t="n"/>
      <c r="U841" s="126" t="n"/>
      <c r="V841" s="126" t="n"/>
      <c r="W841" s="126" t="n"/>
      <c r="X841" s="126" t="n"/>
      <c r="Y841" s="126" t="n"/>
      <c r="Z841" s="126" t="n"/>
      <c r="AA841" s="126" t="n"/>
      <c r="AB841" s="126" t="n"/>
      <c r="AC841" s="126" t="n"/>
      <c r="AD841" s="126" t="n"/>
      <c r="AE841" s="126" t="n"/>
      <c r="AF841" s="126" t="n"/>
      <c r="AG841" s="126" t="n"/>
      <c r="AH841" s="126" t="n"/>
      <c r="AI841" s="126" t="n"/>
      <c r="AJ841" s="126" t="n"/>
      <c r="AK841" s="126" t="n"/>
      <c r="AL841" s="126" t="n"/>
      <c r="AM841" s="126" t="n"/>
      <c r="AN841" s="126" t="n"/>
    </row>
    <row r="842" ht="21" customFormat="1" customHeight="1" s="127">
      <c r="A842" s="51">
        <f>IF($B842="","",ROW()-6)</f>
        <v/>
      </c>
      <c r="B842" s="268" t="n"/>
      <c r="C842" s="133" t="n"/>
      <c r="D842" s="50" t="n"/>
      <c r="E842" s="265" t="n"/>
      <c r="F842" s="133" t="n"/>
      <c r="G842" s="133" t="n"/>
      <c r="H842" s="50" t="n"/>
      <c r="I842" s="51">
        <f>IF($C842="","",IFERROR(INDEX(WorkerIDs,MATCH($C842,WorkerNames,0)),"?"))</f>
        <v/>
      </c>
      <c r="J842" s="253">
        <f>IF($B842="","",$B842-WEEKDAY($B842,2)+1)</f>
        <v/>
      </c>
      <c r="K842" s="142">
        <f>IF(OR($I842="",$I842="?",$D842&lt;&gt;"Advance",$B842=""),"",$I842&amp;"|"&amp;$J842&amp;"|"&amp;COUNTIFS($I$7:$I842,$I842,$J$7:$J842,$J842,$D$7:$D842,"Advance"))</f>
        <v/>
      </c>
      <c r="L842" s="266">
        <f>IF(OR($I842="",$I842="?",$B842=""),"",SUMPRODUCT((Weeks!$A$7:$A$59&lt;=$J842)*(Weeks!$X$5:$AI$5=$I842)*Weeks!$X$7:$AI$59)-SUMIFS($E$7:$E$1006,$I$7:$I$1006,$I842,$B$7:$B$1006,"&lt;="&amp;$B842))</f>
        <v/>
      </c>
      <c r="M842" s="132">
        <f>IF($B842&amp;$C842&amp;$D842&amp;$E842="","",IF($B842="","missing date",IF($C842="","missing worker",IF($I842="?","unknown worker - was the name changed on Workers?",IF($D842="","missing type",IF(N($E842)=0,"missing amount",IF(AND($E842&lt;0,$D842&lt;&gt;"Correction"),"negative amount - use a Correction to undo",IF(OR($B842&lt;Weeks!$A$7,$B842&gt;Weeks!$B$59),"date outside this workbook's year",IF(AND($D842="Advance",N($L842)&lt;0),"Warning: more than earned so far - worker now owes "&amp;TEXT(ROUND(-$L842,0),"#,##0"),"")))))))))</f>
        <v/>
      </c>
      <c r="N842" s="125" t="n"/>
      <c r="O842" s="126" t="n"/>
      <c r="P842" s="126" t="n"/>
      <c r="Q842" s="126" t="n"/>
      <c r="R842" s="126" t="n"/>
      <c r="S842" s="126" t="n"/>
      <c r="T842" s="126" t="n"/>
      <c r="U842" s="126" t="n"/>
      <c r="V842" s="126" t="n"/>
      <c r="W842" s="126" t="n"/>
      <c r="X842" s="126" t="n"/>
      <c r="Y842" s="126" t="n"/>
      <c r="Z842" s="126" t="n"/>
      <c r="AA842" s="126" t="n"/>
      <c r="AB842" s="126" t="n"/>
      <c r="AC842" s="126" t="n"/>
      <c r="AD842" s="126" t="n"/>
      <c r="AE842" s="126" t="n"/>
      <c r="AF842" s="126" t="n"/>
      <c r="AG842" s="126" t="n"/>
      <c r="AH842" s="126" t="n"/>
      <c r="AI842" s="126" t="n"/>
      <c r="AJ842" s="126" t="n"/>
      <c r="AK842" s="126" t="n"/>
      <c r="AL842" s="126" t="n"/>
      <c r="AM842" s="126" t="n"/>
      <c r="AN842" s="126" t="n"/>
    </row>
    <row r="843" ht="21" customFormat="1" customHeight="1" s="127">
      <c r="A843" s="51">
        <f>IF($B843="","",ROW()-6)</f>
        <v/>
      </c>
      <c r="B843" s="268" t="n"/>
      <c r="C843" s="133" t="n"/>
      <c r="D843" s="50" t="n"/>
      <c r="E843" s="265" t="n"/>
      <c r="F843" s="133" t="n"/>
      <c r="G843" s="133" t="n"/>
      <c r="H843" s="50" t="n"/>
      <c r="I843" s="51">
        <f>IF($C843="","",IFERROR(INDEX(WorkerIDs,MATCH($C843,WorkerNames,0)),"?"))</f>
        <v/>
      </c>
      <c r="J843" s="253">
        <f>IF($B843="","",$B843-WEEKDAY($B843,2)+1)</f>
        <v/>
      </c>
      <c r="K843" s="142">
        <f>IF(OR($I843="",$I843="?",$D843&lt;&gt;"Advance",$B843=""),"",$I843&amp;"|"&amp;$J843&amp;"|"&amp;COUNTIFS($I$7:$I843,$I843,$J$7:$J843,$J843,$D$7:$D843,"Advance"))</f>
        <v/>
      </c>
      <c r="L843" s="266">
        <f>IF(OR($I843="",$I843="?",$B843=""),"",SUMPRODUCT((Weeks!$A$7:$A$59&lt;=$J843)*(Weeks!$X$5:$AI$5=$I843)*Weeks!$X$7:$AI$59)-SUMIFS($E$7:$E$1006,$I$7:$I$1006,$I843,$B$7:$B$1006,"&lt;="&amp;$B843))</f>
        <v/>
      </c>
      <c r="M843" s="132">
        <f>IF($B843&amp;$C843&amp;$D843&amp;$E843="","",IF($B843="","missing date",IF($C843="","missing worker",IF($I843="?","unknown worker - was the name changed on Workers?",IF($D843="","missing type",IF(N($E843)=0,"missing amount",IF(AND($E843&lt;0,$D843&lt;&gt;"Correction"),"negative amount - use a Correction to undo",IF(OR($B843&lt;Weeks!$A$7,$B843&gt;Weeks!$B$59),"date outside this workbook's year",IF(AND($D843="Advance",N($L843)&lt;0),"Warning: more than earned so far - worker now owes "&amp;TEXT(ROUND(-$L843,0),"#,##0"),"")))))))))</f>
        <v/>
      </c>
      <c r="N843" s="125" t="n"/>
      <c r="O843" s="126" t="n"/>
      <c r="P843" s="126" t="n"/>
      <c r="Q843" s="126" t="n"/>
      <c r="R843" s="126" t="n"/>
      <c r="S843" s="126" t="n"/>
      <c r="T843" s="126" t="n"/>
      <c r="U843" s="126" t="n"/>
      <c r="V843" s="126" t="n"/>
      <c r="W843" s="126" t="n"/>
      <c r="X843" s="126" t="n"/>
      <c r="Y843" s="126" t="n"/>
      <c r="Z843" s="126" t="n"/>
      <c r="AA843" s="126" t="n"/>
      <c r="AB843" s="126" t="n"/>
      <c r="AC843" s="126" t="n"/>
      <c r="AD843" s="126" t="n"/>
      <c r="AE843" s="126" t="n"/>
      <c r="AF843" s="126" t="n"/>
      <c r="AG843" s="126" t="n"/>
      <c r="AH843" s="126" t="n"/>
      <c r="AI843" s="126" t="n"/>
      <c r="AJ843" s="126" t="n"/>
      <c r="AK843" s="126" t="n"/>
      <c r="AL843" s="126" t="n"/>
      <c r="AM843" s="126" t="n"/>
      <c r="AN843" s="126" t="n"/>
    </row>
    <row r="844" ht="21" customFormat="1" customHeight="1" s="127">
      <c r="A844" s="51">
        <f>IF($B844="","",ROW()-6)</f>
        <v/>
      </c>
      <c r="B844" s="268" t="n"/>
      <c r="C844" s="133" t="n"/>
      <c r="D844" s="50" t="n"/>
      <c r="E844" s="265" t="n"/>
      <c r="F844" s="133" t="n"/>
      <c r="G844" s="133" t="n"/>
      <c r="H844" s="50" t="n"/>
      <c r="I844" s="51">
        <f>IF($C844="","",IFERROR(INDEX(WorkerIDs,MATCH($C844,WorkerNames,0)),"?"))</f>
        <v/>
      </c>
      <c r="J844" s="253">
        <f>IF($B844="","",$B844-WEEKDAY($B844,2)+1)</f>
        <v/>
      </c>
      <c r="K844" s="142">
        <f>IF(OR($I844="",$I844="?",$D844&lt;&gt;"Advance",$B844=""),"",$I844&amp;"|"&amp;$J844&amp;"|"&amp;COUNTIFS($I$7:$I844,$I844,$J$7:$J844,$J844,$D$7:$D844,"Advance"))</f>
        <v/>
      </c>
      <c r="L844" s="266">
        <f>IF(OR($I844="",$I844="?",$B844=""),"",SUMPRODUCT((Weeks!$A$7:$A$59&lt;=$J844)*(Weeks!$X$5:$AI$5=$I844)*Weeks!$X$7:$AI$59)-SUMIFS($E$7:$E$1006,$I$7:$I$1006,$I844,$B$7:$B$1006,"&lt;="&amp;$B844))</f>
        <v/>
      </c>
      <c r="M844" s="132">
        <f>IF($B844&amp;$C844&amp;$D844&amp;$E844="","",IF($B844="","missing date",IF($C844="","missing worker",IF($I844="?","unknown worker - was the name changed on Workers?",IF($D844="","missing type",IF(N($E844)=0,"missing amount",IF(AND($E844&lt;0,$D844&lt;&gt;"Correction"),"negative amount - use a Correction to undo",IF(OR($B844&lt;Weeks!$A$7,$B844&gt;Weeks!$B$59),"date outside this workbook's year",IF(AND($D844="Advance",N($L844)&lt;0),"Warning: more than earned so far - worker now owes "&amp;TEXT(ROUND(-$L844,0),"#,##0"),"")))))))))</f>
        <v/>
      </c>
      <c r="N844" s="125" t="n"/>
      <c r="O844" s="126" t="n"/>
      <c r="P844" s="126" t="n"/>
      <c r="Q844" s="126" t="n"/>
      <c r="R844" s="126" t="n"/>
      <c r="S844" s="126" t="n"/>
      <c r="T844" s="126" t="n"/>
      <c r="U844" s="126" t="n"/>
      <c r="V844" s="126" t="n"/>
      <c r="W844" s="126" t="n"/>
      <c r="X844" s="126" t="n"/>
      <c r="Y844" s="126" t="n"/>
      <c r="Z844" s="126" t="n"/>
      <c r="AA844" s="126" t="n"/>
      <c r="AB844" s="126" t="n"/>
      <c r="AC844" s="126" t="n"/>
      <c r="AD844" s="126" t="n"/>
      <c r="AE844" s="126" t="n"/>
      <c r="AF844" s="126" t="n"/>
      <c r="AG844" s="126" t="n"/>
      <c r="AH844" s="126" t="n"/>
      <c r="AI844" s="126" t="n"/>
      <c r="AJ844" s="126" t="n"/>
      <c r="AK844" s="126" t="n"/>
      <c r="AL844" s="126" t="n"/>
      <c r="AM844" s="126" t="n"/>
      <c r="AN844" s="126" t="n"/>
    </row>
    <row r="845" ht="21" customFormat="1" customHeight="1" s="127">
      <c r="A845" s="51">
        <f>IF($B845="","",ROW()-6)</f>
        <v/>
      </c>
      <c r="B845" s="268" t="n"/>
      <c r="C845" s="133" t="n"/>
      <c r="D845" s="50" t="n"/>
      <c r="E845" s="265" t="n"/>
      <c r="F845" s="133" t="n"/>
      <c r="G845" s="133" t="n"/>
      <c r="H845" s="50" t="n"/>
      <c r="I845" s="51">
        <f>IF($C845="","",IFERROR(INDEX(WorkerIDs,MATCH($C845,WorkerNames,0)),"?"))</f>
        <v/>
      </c>
      <c r="J845" s="253">
        <f>IF($B845="","",$B845-WEEKDAY($B845,2)+1)</f>
        <v/>
      </c>
      <c r="K845" s="142">
        <f>IF(OR($I845="",$I845="?",$D845&lt;&gt;"Advance",$B845=""),"",$I845&amp;"|"&amp;$J845&amp;"|"&amp;COUNTIFS($I$7:$I845,$I845,$J$7:$J845,$J845,$D$7:$D845,"Advance"))</f>
        <v/>
      </c>
      <c r="L845" s="266">
        <f>IF(OR($I845="",$I845="?",$B845=""),"",SUMPRODUCT((Weeks!$A$7:$A$59&lt;=$J845)*(Weeks!$X$5:$AI$5=$I845)*Weeks!$X$7:$AI$59)-SUMIFS($E$7:$E$1006,$I$7:$I$1006,$I845,$B$7:$B$1006,"&lt;="&amp;$B845))</f>
        <v/>
      </c>
      <c r="M845" s="132">
        <f>IF($B845&amp;$C845&amp;$D845&amp;$E845="","",IF($B845="","missing date",IF($C845="","missing worker",IF($I845="?","unknown worker - was the name changed on Workers?",IF($D845="","missing type",IF(N($E845)=0,"missing amount",IF(AND($E845&lt;0,$D845&lt;&gt;"Correction"),"negative amount - use a Correction to undo",IF(OR($B845&lt;Weeks!$A$7,$B845&gt;Weeks!$B$59),"date outside this workbook's year",IF(AND($D845="Advance",N($L845)&lt;0),"Warning: more than earned so far - worker now owes "&amp;TEXT(ROUND(-$L845,0),"#,##0"),"")))))))))</f>
        <v/>
      </c>
      <c r="N845" s="125" t="n"/>
      <c r="O845" s="126" t="n"/>
      <c r="P845" s="126" t="n"/>
      <c r="Q845" s="126" t="n"/>
      <c r="R845" s="126" t="n"/>
      <c r="S845" s="126" t="n"/>
      <c r="T845" s="126" t="n"/>
      <c r="U845" s="126" t="n"/>
      <c r="V845" s="126" t="n"/>
      <c r="W845" s="126" t="n"/>
      <c r="X845" s="126" t="n"/>
      <c r="Y845" s="126" t="n"/>
      <c r="Z845" s="126" t="n"/>
      <c r="AA845" s="126" t="n"/>
      <c r="AB845" s="126" t="n"/>
      <c r="AC845" s="126" t="n"/>
      <c r="AD845" s="126" t="n"/>
      <c r="AE845" s="126" t="n"/>
      <c r="AF845" s="126" t="n"/>
      <c r="AG845" s="126" t="n"/>
      <c r="AH845" s="126" t="n"/>
      <c r="AI845" s="126" t="n"/>
      <c r="AJ845" s="126" t="n"/>
      <c r="AK845" s="126" t="n"/>
      <c r="AL845" s="126" t="n"/>
      <c r="AM845" s="126" t="n"/>
      <c r="AN845" s="126" t="n"/>
    </row>
    <row r="846" ht="21" customFormat="1" customHeight="1" s="127">
      <c r="A846" s="51">
        <f>IF($B846="","",ROW()-6)</f>
        <v/>
      </c>
      <c r="B846" s="268" t="n"/>
      <c r="C846" s="133" t="n"/>
      <c r="D846" s="50" t="n"/>
      <c r="E846" s="265" t="n"/>
      <c r="F846" s="133" t="n"/>
      <c r="G846" s="133" t="n"/>
      <c r="H846" s="50" t="n"/>
      <c r="I846" s="51">
        <f>IF($C846="","",IFERROR(INDEX(WorkerIDs,MATCH($C846,WorkerNames,0)),"?"))</f>
        <v/>
      </c>
      <c r="J846" s="253">
        <f>IF($B846="","",$B846-WEEKDAY($B846,2)+1)</f>
        <v/>
      </c>
      <c r="K846" s="142">
        <f>IF(OR($I846="",$I846="?",$D846&lt;&gt;"Advance",$B846=""),"",$I846&amp;"|"&amp;$J846&amp;"|"&amp;COUNTIFS($I$7:$I846,$I846,$J$7:$J846,$J846,$D$7:$D846,"Advance"))</f>
        <v/>
      </c>
      <c r="L846" s="266">
        <f>IF(OR($I846="",$I846="?",$B846=""),"",SUMPRODUCT((Weeks!$A$7:$A$59&lt;=$J846)*(Weeks!$X$5:$AI$5=$I846)*Weeks!$X$7:$AI$59)-SUMIFS($E$7:$E$1006,$I$7:$I$1006,$I846,$B$7:$B$1006,"&lt;="&amp;$B846))</f>
        <v/>
      </c>
      <c r="M846" s="132">
        <f>IF($B846&amp;$C846&amp;$D846&amp;$E846="","",IF($B846="","missing date",IF($C846="","missing worker",IF($I846="?","unknown worker - was the name changed on Workers?",IF($D846="","missing type",IF(N($E846)=0,"missing amount",IF(AND($E846&lt;0,$D846&lt;&gt;"Correction"),"negative amount - use a Correction to undo",IF(OR($B846&lt;Weeks!$A$7,$B846&gt;Weeks!$B$59),"date outside this workbook's year",IF(AND($D846="Advance",N($L846)&lt;0),"Warning: more than earned so far - worker now owes "&amp;TEXT(ROUND(-$L846,0),"#,##0"),"")))))))))</f>
        <v/>
      </c>
      <c r="N846" s="125" t="n"/>
      <c r="O846" s="126" t="n"/>
      <c r="P846" s="126" t="n"/>
      <c r="Q846" s="126" t="n"/>
      <c r="R846" s="126" t="n"/>
      <c r="S846" s="126" t="n"/>
      <c r="T846" s="126" t="n"/>
      <c r="U846" s="126" t="n"/>
      <c r="V846" s="126" t="n"/>
      <c r="W846" s="126" t="n"/>
      <c r="X846" s="126" t="n"/>
      <c r="Y846" s="126" t="n"/>
      <c r="Z846" s="126" t="n"/>
      <c r="AA846" s="126" t="n"/>
      <c r="AB846" s="126" t="n"/>
      <c r="AC846" s="126" t="n"/>
      <c r="AD846" s="126" t="n"/>
      <c r="AE846" s="126" t="n"/>
      <c r="AF846" s="126" t="n"/>
      <c r="AG846" s="126" t="n"/>
      <c r="AH846" s="126" t="n"/>
      <c r="AI846" s="126" t="n"/>
      <c r="AJ846" s="126" t="n"/>
      <c r="AK846" s="126" t="n"/>
      <c r="AL846" s="126" t="n"/>
      <c r="AM846" s="126" t="n"/>
      <c r="AN846" s="126" t="n"/>
    </row>
    <row r="847" ht="21" customFormat="1" customHeight="1" s="127">
      <c r="A847" s="51">
        <f>IF($B847="","",ROW()-6)</f>
        <v/>
      </c>
      <c r="B847" s="268" t="n"/>
      <c r="C847" s="133" t="n"/>
      <c r="D847" s="50" t="n"/>
      <c r="E847" s="265" t="n"/>
      <c r="F847" s="133" t="n"/>
      <c r="G847" s="133" t="n"/>
      <c r="H847" s="50" t="n"/>
      <c r="I847" s="51">
        <f>IF($C847="","",IFERROR(INDEX(WorkerIDs,MATCH($C847,WorkerNames,0)),"?"))</f>
        <v/>
      </c>
      <c r="J847" s="253">
        <f>IF($B847="","",$B847-WEEKDAY($B847,2)+1)</f>
        <v/>
      </c>
      <c r="K847" s="142">
        <f>IF(OR($I847="",$I847="?",$D847&lt;&gt;"Advance",$B847=""),"",$I847&amp;"|"&amp;$J847&amp;"|"&amp;COUNTIFS($I$7:$I847,$I847,$J$7:$J847,$J847,$D$7:$D847,"Advance"))</f>
        <v/>
      </c>
      <c r="L847" s="266">
        <f>IF(OR($I847="",$I847="?",$B847=""),"",SUMPRODUCT((Weeks!$A$7:$A$59&lt;=$J847)*(Weeks!$X$5:$AI$5=$I847)*Weeks!$X$7:$AI$59)-SUMIFS($E$7:$E$1006,$I$7:$I$1006,$I847,$B$7:$B$1006,"&lt;="&amp;$B847))</f>
        <v/>
      </c>
      <c r="M847" s="132">
        <f>IF($B847&amp;$C847&amp;$D847&amp;$E847="","",IF($B847="","missing date",IF($C847="","missing worker",IF($I847="?","unknown worker - was the name changed on Workers?",IF($D847="","missing type",IF(N($E847)=0,"missing amount",IF(AND($E847&lt;0,$D847&lt;&gt;"Correction"),"negative amount - use a Correction to undo",IF(OR($B847&lt;Weeks!$A$7,$B847&gt;Weeks!$B$59),"date outside this workbook's year",IF(AND($D847="Advance",N($L847)&lt;0),"Warning: more than earned so far - worker now owes "&amp;TEXT(ROUND(-$L847,0),"#,##0"),"")))))))))</f>
        <v/>
      </c>
      <c r="N847" s="125" t="n"/>
      <c r="O847" s="126" t="n"/>
      <c r="P847" s="126" t="n"/>
      <c r="Q847" s="126" t="n"/>
      <c r="R847" s="126" t="n"/>
      <c r="S847" s="126" t="n"/>
      <c r="T847" s="126" t="n"/>
      <c r="U847" s="126" t="n"/>
      <c r="V847" s="126" t="n"/>
      <c r="W847" s="126" t="n"/>
      <c r="X847" s="126" t="n"/>
      <c r="Y847" s="126" t="n"/>
      <c r="Z847" s="126" t="n"/>
      <c r="AA847" s="126" t="n"/>
      <c r="AB847" s="126" t="n"/>
      <c r="AC847" s="126" t="n"/>
      <c r="AD847" s="126" t="n"/>
      <c r="AE847" s="126" t="n"/>
      <c r="AF847" s="126" t="n"/>
      <c r="AG847" s="126" t="n"/>
      <c r="AH847" s="126" t="n"/>
      <c r="AI847" s="126" t="n"/>
      <c r="AJ847" s="126" t="n"/>
      <c r="AK847" s="126" t="n"/>
      <c r="AL847" s="126" t="n"/>
      <c r="AM847" s="126" t="n"/>
      <c r="AN847" s="126" t="n"/>
    </row>
    <row r="848" ht="21" customFormat="1" customHeight="1" s="127">
      <c r="A848" s="51">
        <f>IF($B848="","",ROW()-6)</f>
        <v/>
      </c>
      <c r="B848" s="268" t="n"/>
      <c r="C848" s="133" t="n"/>
      <c r="D848" s="50" t="n"/>
      <c r="E848" s="265" t="n"/>
      <c r="F848" s="133" t="n"/>
      <c r="G848" s="133" t="n"/>
      <c r="H848" s="50" t="n"/>
      <c r="I848" s="51">
        <f>IF($C848="","",IFERROR(INDEX(WorkerIDs,MATCH($C848,WorkerNames,0)),"?"))</f>
        <v/>
      </c>
      <c r="J848" s="253">
        <f>IF($B848="","",$B848-WEEKDAY($B848,2)+1)</f>
        <v/>
      </c>
      <c r="K848" s="142">
        <f>IF(OR($I848="",$I848="?",$D848&lt;&gt;"Advance",$B848=""),"",$I848&amp;"|"&amp;$J848&amp;"|"&amp;COUNTIFS($I$7:$I848,$I848,$J$7:$J848,$J848,$D$7:$D848,"Advance"))</f>
        <v/>
      </c>
      <c r="L848" s="266">
        <f>IF(OR($I848="",$I848="?",$B848=""),"",SUMPRODUCT((Weeks!$A$7:$A$59&lt;=$J848)*(Weeks!$X$5:$AI$5=$I848)*Weeks!$X$7:$AI$59)-SUMIFS($E$7:$E$1006,$I$7:$I$1006,$I848,$B$7:$B$1006,"&lt;="&amp;$B848))</f>
        <v/>
      </c>
      <c r="M848" s="132">
        <f>IF($B848&amp;$C848&amp;$D848&amp;$E848="","",IF($B848="","missing date",IF($C848="","missing worker",IF($I848="?","unknown worker - was the name changed on Workers?",IF($D848="","missing type",IF(N($E848)=0,"missing amount",IF(AND($E848&lt;0,$D848&lt;&gt;"Correction"),"negative amount - use a Correction to undo",IF(OR($B848&lt;Weeks!$A$7,$B848&gt;Weeks!$B$59),"date outside this workbook's year",IF(AND($D848="Advance",N($L848)&lt;0),"Warning: more than earned so far - worker now owes "&amp;TEXT(ROUND(-$L848,0),"#,##0"),"")))))))))</f>
        <v/>
      </c>
      <c r="N848" s="125" t="n"/>
      <c r="O848" s="126" t="n"/>
      <c r="P848" s="126" t="n"/>
      <c r="Q848" s="126" t="n"/>
      <c r="R848" s="126" t="n"/>
      <c r="S848" s="126" t="n"/>
      <c r="T848" s="126" t="n"/>
      <c r="U848" s="126" t="n"/>
      <c r="V848" s="126" t="n"/>
      <c r="W848" s="126" t="n"/>
      <c r="X848" s="126" t="n"/>
      <c r="Y848" s="126" t="n"/>
      <c r="Z848" s="126" t="n"/>
      <c r="AA848" s="126" t="n"/>
      <c r="AB848" s="126" t="n"/>
      <c r="AC848" s="126" t="n"/>
      <c r="AD848" s="126" t="n"/>
      <c r="AE848" s="126" t="n"/>
      <c r="AF848" s="126" t="n"/>
      <c r="AG848" s="126" t="n"/>
      <c r="AH848" s="126" t="n"/>
      <c r="AI848" s="126" t="n"/>
      <c r="AJ848" s="126" t="n"/>
      <c r="AK848" s="126" t="n"/>
      <c r="AL848" s="126" t="n"/>
      <c r="AM848" s="126" t="n"/>
      <c r="AN848" s="126" t="n"/>
    </row>
    <row r="849" ht="21" customFormat="1" customHeight="1" s="127">
      <c r="A849" s="51">
        <f>IF($B849="","",ROW()-6)</f>
        <v/>
      </c>
      <c r="B849" s="268" t="n"/>
      <c r="C849" s="133" t="n"/>
      <c r="D849" s="50" t="n"/>
      <c r="E849" s="265" t="n"/>
      <c r="F849" s="133" t="n"/>
      <c r="G849" s="133" t="n"/>
      <c r="H849" s="50" t="n"/>
      <c r="I849" s="51">
        <f>IF($C849="","",IFERROR(INDEX(WorkerIDs,MATCH($C849,WorkerNames,0)),"?"))</f>
        <v/>
      </c>
      <c r="J849" s="253">
        <f>IF($B849="","",$B849-WEEKDAY($B849,2)+1)</f>
        <v/>
      </c>
      <c r="K849" s="142">
        <f>IF(OR($I849="",$I849="?",$D849&lt;&gt;"Advance",$B849=""),"",$I849&amp;"|"&amp;$J849&amp;"|"&amp;COUNTIFS($I$7:$I849,$I849,$J$7:$J849,$J849,$D$7:$D849,"Advance"))</f>
        <v/>
      </c>
      <c r="L849" s="266">
        <f>IF(OR($I849="",$I849="?",$B849=""),"",SUMPRODUCT((Weeks!$A$7:$A$59&lt;=$J849)*(Weeks!$X$5:$AI$5=$I849)*Weeks!$X$7:$AI$59)-SUMIFS($E$7:$E$1006,$I$7:$I$1006,$I849,$B$7:$B$1006,"&lt;="&amp;$B849))</f>
        <v/>
      </c>
      <c r="M849" s="132">
        <f>IF($B849&amp;$C849&amp;$D849&amp;$E849="","",IF($B849="","missing date",IF($C849="","missing worker",IF($I849="?","unknown worker - was the name changed on Workers?",IF($D849="","missing type",IF(N($E849)=0,"missing amount",IF(AND($E849&lt;0,$D849&lt;&gt;"Correction"),"negative amount - use a Correction to undo",IF(OR($B849&lt;Weeks!$A$7,$B849&gt;Weeks!$B$59),"date outside this workbook's year",IF(AND($D849="Advance",N($L849)&lt;0),"Warning: more than earned so far - worker now owes "&amp;TEXT(ROUND(-$L849,0),"#,##0"),"")))))))))</f>
        <v/>
      </c>
      <c r="N849" s="125" t="n"/>
      <c r="O849" s="126" t="n"/>
      <c r="P849" s="126" t="n"/>
      <c r="Q849" s="126" t="n"/>
      <c r="R849" s="126" t="n"/>
      <c r="S849" s="126" t="n"/>
      <c r="T849" s="126" t="n"/>
      <c r="U849" s="126" t="n"/>
      <c r="V849" s="126" t="n"/>
      <c r="W849" s="126" t="n"/>
      <c r="X849" s="126" t="n"/>
      <c r="Y849" s="126" t="n"/>
      <c r="Z849" s="126" t="n"/>
      <c r="AA849" s="126" t="n"/>
      <c r="AB849" s="126" t="n"/>
      <c r="AC849" s="126" t="n"/>
      <c r="AD849" s="126" t="n"/>
      <c r="AE849" s="126" t="n"/>
      <c r="AF849" s="126" t="n"/>
      <c r="AG849" s="126" t="n"/>
      <c r="AH849" s="126" t="n"/>
      <c r="AI849" s="126" t="n"/>
      <c r="AJ849" s="126" t="n"/>
      <c r="AK849" s="126" t="n"/>
      <c r="AL849" s="126" t="n"/>
      <c r="AM849" s="126" t="n"/>
      <c r="AN849" s="126" t="n"/>
    </row>
    <row r="850" ht="21" customFormat="1" customHeight="1" s="127">
      <c r="A850" s="51">
        <f>IF($B850="","",ROW()-6)</f>
        <v/>
      </c>
      <c r="B850" s="268" t="n"/>
      <c r="C850" s="133" t="n"/>
      <c r="D850" s="50" t="n"/>
      <c r="E850" s="265" t="n"/>
      <c r="F850" s="133" t="n"/>
      <c r="G850" s="133" t="n"/>
      <c r="H850" s="50" t="n"/>
      <c r="I850" s="51">
        <f>IF($C850="","",IFERROR(INDEX(WorkerIDs,MATCH($C850,WorkerNames,0)),"?"))</f>
        <v/>
      </c>
      <c r="J850" s="253">
        <f>IF($B850="","",$B850-WEEKDAY($B850,2)+1)</f>
        <v/>
      </c>
      <c r="K850" s="142">
        <f>IF(OR($I850="",$I850="?",$D850&lt;&gt;"Advance",$B850=""),"",$I850&amp;"|"&amp;$J850&amp;"|"&amp;COUNTIFS($I$7:$I850,$I850,$J$7:$J850,$J850,$D$7:$D850,"Advance"))</f>
        <v/>
      </c>
      <c r="L850" s="266">
        <f>IF(OR($I850="",$I850="?",$B850=""),"",SUMPRODUCT((Weeks!$A$7:$A$59&lt;=$J850)*(Weeks!$X$5:$AI$5=$I850)*Weeks!$X$7:$AI$59)-SUMIFS($E$7:$E$1006,$I$7:$I$1006,$I850,$B$7:$B$1006,"&lt;="&amp;$B850))</f>
        <v/>
      </c>
      <c r="M850" s="132">
        <f>IF($B850&amp;$C850&amp;$D850&amp;$E850="","",IF($B850="","missing date",IF($C850="","missing worker",IF($I850="?","unknown worker - was the name changed on Workers?",IF($D850="","missing type",IF(N($E850)=0,"missing amount",IF(AND($E850&lt;0,$D850&lt;&gt;"Correction"),"negative amount - use a Correction to undo",IF(OR($B850&lt;Weeks!$A$7,$B850&gt;Weeks!$B$59),"date outside this workbook's year",IF(AND($D850="Advance",N($L850)&lt;0),"Warning: more than earned so far - worker now owes "&amp;TEXT(ROUND(-$L850,0),"#,##0"),"")))))))))</f>
        <v/>
      </c>
      <c r="N850" s="125" t="n"/>
      <c r="O850" s="126" t="n"/>
      <c r="P850" s="126" t="n"/>
      <c r="Q850" s="126" t="n"/>
      <c r="R850" s="126" t="n"/>
      <c r="S850" s="126" t="n"/>
      <c r="T850" s="126" t="n"/>
      <c r="U850" s="126" t="n"/>
      <c r="V850" s="126" t="n"/>
      <c r="W850" s="126" t="n"/>
      <c r="X850" s="126" t="n"/>
      <c r="Y850" s="126" t="n"/>
      <c r="Z850" s="126" t="n"/>
      <c r="AA850" s="126" t="n"/>
      <c r="AB850" s="126" t="n"/>
      <c r="AC850" s="126" t="n"/>
      <c r="AD850" s="126" t="n"/>
      <c r="AE850" s="126" t="n"/>
      <c r="AF850" s="126" t="n"/>
      <c r="AG850" s="126" t="n"/>
      <c r="AH850" s="126" t="n"/>
      <c r="AI850" s="126" t="n"/>
      <c r="AJ850" s="126" t="n"/>
      <c r="AK850" s="126" t="n"/>
      <c r="AL850" s="126" t="n"/>
      <c r="AM850" s="126" t="n"/>
      <c r="AN850" s="126" t="n"/>
    </row>
    <row r="851" ht="21" customFormat="1" customHeight="1" s="127">
      <c r="A851" s="51">
        <f>IF($B851="","",ROW()-6)</f>
        <v/>
      </c>
      <c r="B851" s="268" t="n"/>
      <c r="C851" s="133" t="n"/>
      <c r="D851" s="50" t="n"/>
      <c r="E851" s="265" t="n"/>
      <c r="F851" s="133" t="n"/>
      <c r="G851" s="133" t="n"/>
      <c r="H851" s="50" t="n"/>
      <c r="I851" s="51">
        <f>IF($C851="","",IFERROR(INDEX(WorkerIDs,MATCH($C851,WorkerNames,0)),"?"))</f>
        <v/>
      </c>
      <c r="J851" s="253">
        <f>IF($B851="","",$B851-WEEKDAY($B851,2)+1)</f>
        <v/>
      </c>
      <c r="K851" s="142">
        <f>IF(OR($I851="",$I851="?",$D851&lt;&gt;"Advance",$B851=""),"",$I851&amp;"|"&amp;$J851&amp;"|"&amp;COUNTIFS($I$7:$I851,$I851,$J$7:$J851,$J851,$D$7:$D851,"Advance"))</f>
        <v/>
      </c>
      <c r="L851" s="266">
        <f>IF(OR($I851="",$I851="?",$B851=""),"",SUMPRODUCT((Weeks!$A$7:$A$59&lt;=$J851)*(Weeks!$X$5:$AI$5=$I851)*Weeks!$X$7:$AI$59)-SUMIFS($E$7:$E$1006,$I$7:$I$1006,$I851,$B$7:$B$1006,"&lt;="&amp;$B851))</f>
        <v/>
      </c>
      <c r="M851" s="132">
        <f>IF($B851&amp;$C851&amp;$D851&amp;$E851="","",IF($B851="","missing date",IF($C851="","missing worker",IF($I851="?","unknown worker - was the name changed on Workers?",IF($D851="","missing type",IF(N($E851)=0,"missing amount",IF(AND($E851&lt;0,$D851&lt;&gt;"Correction"),"negative amount - use a Correction to undo",IF(OR($B851&lt;Weeks!$A$7,$B851&gt;Weeks!$B$59),"date outside this workbook's year",IF(AND($D851="Advance",N($L851)&lt;0),"Warning: more than earned so far - worker now owes "&amp;TEXT(ROUND(-$L851,0),"#,##0"),"")))))))))</f>
        <v/>
      </c>
      <c r="N851" s="125" t="n"/>
      <c r="O851" s="126" t="n"/>
      <c r="P851" s="126" t="n"/>
      <c r="Q851" s="126" t="n"/>
      <c r="R851" s="126" t="n"/>
      <c r="S851" s="126" t="n"/>
      <c r="T851" s="126" t="n"/>
      <c r="U851" s="126" t="n"/>
      <c r="V851" s="126" t="n"/>
      <c r="W851" s="126" t="n"/>
      <c r="X851" s="126" t="n"/>
      <c r="Y851" s="126" t="n"/>
      <c r="Z851" s="126" t="n"/>
      <c r="AA851" s="126" t="n"/>
      <c r="AB851" s="126" t="n"/>
      <c r="AC851" s="126" t="n"/>
      <c r="AD851" s="126" t="n"/>
      <c r="AE851" s="126" t="n"/>
      <c r="AF851" s="126" t="n"/>
      <c r="AG851" s="126" t="n"/>
      <c r="AH851" s="126" t="n"/>
      <c r="AI851" s="126" t="n"/>
      <c r="AJ851" s="126" t="n"/>
      <c r="AK851" s="126" t="n"/>
      <c r="AL851" s="126" t="n"/>
      <c r="AM851" s="126" t="n"/>
      <c r="AN851" s="126" t="n"/>
    </row>
    <row r="852" ht="21" customFormat="1" customHeight="1" s="127">
      <c r="A852" s="51">
        <f>IF($B852="","",ROW()-6)</f>
        <v/>
      </c>
      <c r="B852" s="268" t="n"/>
      <c r="C852" s="133" t="n"/>
      <c r="D852" s="50" t="n"/>
      <c r="E852" s="265" t="n"/>
      <c r="F852" s="133" t="n"/>
      <c r="G852" s="133" t="n"/>
      <c r="H852" s="50" t="n"/>
      <c r="I852" s="51">
        <f>IF($C852="","",IFERROR(INDEX(WorkerIDs,MATCH($C852,WorkerNames,0)),"?"))</f>
        <v/>
      </c>
      <c r="J852" s="253">
        <f>IF($B852="","",$B852-WEEKDAY($B852,2)+1)</f>
        <v/>
      </c>
      <c r="K852" s="142">
        <f>IF(OR($I852="",$I852="?",$D852&lt;&gt;"Advance",$B852=""),"",$I852&amp;"|"&amp;$J852&amp;"|"&amp;COUNTIFS($I$7:$I852,$I852,$J$7:$J852,$J852,$D$7:$D852,"Advance"))</f>
        <v/>
      </c>
      <c r="L852" s="266">
        <f>IF(OR($I852="",$I852="?",$B852=""),"",SUMPRODUCT((Weeks!$A$7:$A$59&lt;=$J852)*(Weeks!$X$5:$AI$5=$I852)*Weeks!$X$7:$AI$59)-SUMIFS($E$7:$E$1006,$I$7:$I$1006,$I852,$B$7:$B$1006,"&lt;="&amp;$B852))</f>
        <v/>
      </c>
      <c r="M852" s="132">
        <f>IF($B852&amp;$C852&amp;$D852&amp;$E852="","",IF($B852="","missing date",IF($C852="","missing worker",IF($I852="?","unknown worker - was the name changed on Workers?",IF($D852="","missing type",IF(N($E852)=0,"missing amount",IF(AND($E852&lt;0,$D852&lt;&gt;"Correction"),"negative amount - use a Correction to undo",IF(OR($B852&lt;Weeks!$A$7,$B852&gt;Weeks!$B$59),"date outside this workbook's year",IF(AND($D852="Advance",N($L852)&lt;0),"Warning: more than earned so far - worker now owes "&amp;TEXT(ROUND(-$L852,0),"#,##0"),"")))))))))</f>
        <v/>
      </c>
      <c r="N852" s="125" t="n"/>
      <c r="O852" s="126" t="n"/>
      <c r="P852" s="126" t="n"/>
      <c r="Q852" s="126" t="n"/>
      <c r="R852" s="126" t="n"/>
      <c r="S852" s="126" t="n"/>
      <c r="T852" s="126" t="n"/>
      <c r="U852" s="126" t="n"/>
      <c r="V852" s="126" t="n"/>
      <c r="W852" s="126" t="n"/>
      <c r="X852" s="126" t="n"/>
      <c r="Y852" s="126" t="n"/>
      <c r="Z852" s="126" t="n"/>
      <c r="AA852" s="126" t="n"/>
      <c r="AB852" s="126" t="n"/>
      <c r="AC852" s="126" t="n"/>
      <c r="AD852" s="126" t="n"/>
      <c r="AE852" s="126" t="n"/>
      <c r="AF852" s="126" t="n"/>
      <c r="AG852" s="126" t="n"/>
      <c r="AH852" s="126" t="n"/>
      <c r="AI852" s="126" t="n"/>
      <c r="AJ852" s="126" t="n"/>
      <c r="AK852" s="126" t="n"/>
      <c r="AL852" s="126" t="n"/>
      <c r="AM852" s="126" t="n"/>
      <c r="AN852" s="126" t="n"/>
    </row>
    <row r="853" ht="21" customFormat="1" customHeight="1" s="127">
      <c r="A853" s="51">
        <f>IF($B853="","",ROW()-6)</f>
        <v/>
      </c>
      <c r="B853" s="268" t="n"/>
      <c r="C853" s="133" t="n"/>
      <c r="D853" s="50" t="n"/>
      <c r="E853" s="265" t="n"/>
      <c r="F853" s="133" t="n"/>
      <c r="G853" s="133" t="n"/>
      <c r="H853" s="50" t="n"/>
      <c r="I853" s="51">
        <f>IF($C853="","",IFERROR(INDEX(WorkerIDs,MATCH($C853,WorkerNames,0)),"?"))</f>
        <v/>
      </c>
      <c r="J853" s="253">
        <f>IF($B853="","",$B853-WEEKDAY($B853,2)+1)</f>
        <v/>
      </c>
      <c r="K853" s="142">
        <f>IF(OR($I853="",$I853="?",$D853&lt;&gt;"Advance",$B853=""),"",$I853&amp;"|"&amp;$J853&amp;"|"&amp;COUNTIFS($I$7:$I853,$I853,$J$7:$J853,$J853,$D$7:$D853,"Advance"))</f>
        <v/>
      </c>
      <c r="L853" s="266">
        <f>IF(OR($I853="",$I853="?",$B853=""),"",SUMPRODUCT((Weeks!$A$7:$A$59&lt;=$J853)*(Weeks!$X$5:$AI$5=$I853)*Weeks!$X$7:$AI$59)-SUMIFS($E$7:$E$1006,$I$7:$I$1006,$I853,$B$7:$B$1006,"&lt;="&amp;$B853))</f>
        <v/>
      </c>
      <c r="M853" s="132">
        <f>IF($B853&amp;$C853&amp;$D853&amp;$E853="","",IF($B853="","missing date",IF($C853="","missing worker",IF($I853="?","unknown worker - was the name changed on Workers?",IF($D853="","missing type",IF(N($E853)=0,"missing amount",IF(AND($E853&lt;0,$D853&lt;&gt;"Correction"),"negative amount - use a Correction to undo",IF(OR($B853&lt;Weeks!$A$7,$B853&gt;Weeks!$B$59),"date outside this workbook's year",IF(AND($D853="Advance",N($L853)&lt;0),"Warning: more than earned so far - worker now owes "&amp;TEXT(ROUND(-$L853,0),"#,##0"),"")))))))))</f>
        <v/>
      </c>
      <c r="N853" s="125" t="n"/>
      <c r="O853" s="126" t="n"/>
      <c r="P853" s="126" t="n"/>
      <c r="Q853" s="126" t="n"/>
      <c r="R853" s="126" t="n"/>
      <c r="S853" s="126" t="n"/>
      <c r="T853" s="126" t="n"/>
      <c r="U853" s="126" t="n"/>
      <c r="V853" s="126" t="n"/>
      <c r="W853" s="126" t="n"/>
      <c r="X853" s="126" t="n"/>
      <c r="Y853" s="126" t="n"/>
      <c r="Z853" s="126" t="n"/>
      <c r="AA853" s="126" t="n"/>
      <c r="AB853" s="126" t="n"/>
      <c r="AC853" s="126" t="n"/>
      <c r="AD853" s="126" t="n"/>
      <c r="AE853" s="126" t="n"/>
      <c r="AF853" s="126" t="n"/>
      <c r="AG853" s="126" t="n"/>
      <c r="AH853" s="126" t="n"/>
      <c r="AI853" s="126" t="n"/>
      <c r="AJ853" s="126" t="n"/>
      <c r="AK853" s="126" t="n"/>
      <c r="AL853" s="126" t="n"/>
      <c r="AM853" s="126" t="n"/>
      <c r="AN853" s="126" t="n"/>
    </row>
    <row r="854" ht="21" customFormat="1" customHeight="1" s="127">
      <c r="A854" s="51">
        <f>IF($B854="","",ROW()-6)</f>
        <v/>
      </c>
      <c r="B854" s="268" t="n"/>
      <c r="C854" s="133" t="n"/>
      <c r="D854" s="50" t="n"/>
      <c r="E854" s="265" t="n"/>
      <c r="F854" s="133" t="n"/>
      <c r="G854" s="133" t="n"/>
      <c r="H854" s="50" t="n"/>
      <c r="I854" s="51">
        <f>IF($C854="","",IFERROR(INDEX(WorkerIDs,MATCH($C854,WorkerNames,0)),"?"))</f>
        <v/>
      </c>
      <c r="J854" s="253">
        <f>IF($B854="","",$B854-WEEKDAY($B854,2)+1)</f>
        <v/>
      </c>
      <c r="K854" s="142">
        <f>IF(OR($I854="",$I854="?",$D854&lt;&gt;"Advance",$B854=""),"",$I854&amp;"|"&amp;$J854&amp;"|"&amp;COUNTIFS($I$7:$I854,$I854,$J$7:$J854,$J854,$D$7:$D854,"Advance"))</f>
        <v/>
      </c>
      <c r="L854" s="266">
        <f>IF(OR($I854="",$I854="?",$B854=""),"",SUMPRODUCT((Weeks!$A$7:$A$59&lt;=$J854)*(Weeks!$X$5:$AI$5=$I854)*Weeks!$X$7:$AI$59)-SUMIFS($E$7:$E$1006,$I$7:$I$1006,$I854,$B$7:$B$1006,"&lt;="&amp;$B854))</f>
        <v/>
      </c>
      <c r="M854" s="132">
        <f>IF($B854&amp;$C854&amp;$D854&amp;$E854="","",IF($B854="","missing date",IF($C854="","missing worker",IF($I854="?","unknown worker - was the name changed on Workers?",IF($D854="","missing type",IF(N($E854)=0,"missing amount",IF(AND($E854&lt;0,$D854&lt;&gt;"Correction"),"negative amount - use a Correction to undo",IF(OR($B854&lt;Weeks!$A$7,$B854&gt;Weeks!$B$59),"date outside this workbook's year",IF(AND($D854="Advance",N($L854)&lt;0),"Warning: more than earned so far - worker now owes "&amp;TEXT(ROUND(-$L854,0),"#,##0"),"")))))))))</f>
        <v/>
      </c>
      <c r="N854" s="125" t="n"/>
      <c r="O854" s="126" t="n"/>
      <c r="P854" s="126" t="n"/>
      <c r="Q854" s="126" t="n"/>
      <c r="R854" s="126" t="n"/>
      <c r="S854" s="126" t="n"/>
      <c r="T854" s="126" t="n"/>
      <c r="U854" s="126" t="n"/>
      <c r="V854" s="126" t="n"/>
      <c r="W854" s="126" t="n"/>
      <c r="X854" s="126" t="n"/>
      <c r="Y854" s="126" t="n"/>
      <c r="Z854" s="126" t="n"/>
      <c r="AA854" s="126" t="n"/>
      <c r="AB854" s="126" t="n"/>
      <c r="AC854" s="126" t="n"/>
      <c r="AD854" s="126" t="n"/>
      <c r="AE854" s="126" t="n"/>
      <c r="AF854" s="126" t="n"/>
      <c r="AG854" s="126" t="n"/>
      <c r="AH854" s="126" t="n"/>
      <c r="AI854" s="126" t="n"/>
      <c r="AJ854" s="126" t="n"/>
      <c r="AK854" s="126" t="n"/>
      <c r="AL854" s="126" t="n"/>
      <c r="AM854" s="126" t="n"/>
      <c r="AN854" s="126" t="n"/>
    </row>
    <row r="855" ht="21" customFormat="1" customHeight="1" s="127">
      <c r="A855" s="51">
        <f>IF($B855="","",ROW()-6)</f>
        <v/>
      </c>
      <c r="B855" s="268" t="n"/>
      <c r="C855" s="133" t="n"/>
      <c r="D855" s="50" t="n"/>
      <c r="E855" s="265" t="n"/>
      <c r="F855" s="133" t="n"/>
      <c r="G855" s="133" t="n"/>
      <c r="H855" s="50" t="n"/>
      <c r="I855" s="51">
        <f>IF($C855="","",IFERROR(INDEX(WorkerIDs,MATCH($C855,WorkerNames,0)),"?"))</f>
        <v/>
      </c>
      <c r="J855" s="253">
        <f>IF($B855="","",$B855-WEEKDAY($B855,2)+1)</f>
        <v/>
      </c>
      <c r="K855" s="142">
        <f>IF(OR($I855="",$I855="?",$D855&lt;&gt;"Advance",$B855=""),"",$I855&amp;"|"&amp;$J855&amp;"|"&amp;COUNTIFS($I$7:$I855,$I855,$J$7:$J855,$J855,$D$7:$D855,"Advance"))</f>
        <v/>
      </c>
      <c r="L855" s="266">
        <f>IF(OR($I855="",$I855="?",$B855=""),"",SUMPRODUCT((Weeks!$A$7:$A$59&lt;=$J855)*(Weeks!$X$5:$AI$5=$I855)*Weeks!$X$7:$AI$59)-SUMIFS($E$7:$E$1006,$I$7:$I$1006,$I855,$B$7:$B$1006,"&lt;="&amp;$B855))</f>
        <v/>
      </c>
      <c r="M855" s="132">
        <f>IF($B855&amp;$C855&amp;$D855&amp;$E855="","",IF($B855="","missing date",IF($C855="","missing worker",IF($I855="?","unknown worker - was the name changed on Workers?",IF($D855="","missing type",IF(N($E855)=0,"missing amount",IF(AND($E855&lt;0,$D855&lt;&gt;"Correction"),"negative amount - use a Correction to undo",IF(OR($B855&lt;Weeks!$A$7,$B855&gt;Weeks!$B$59),"date outside this workbook's year",IF(AND($D855="Advance",N($L855)&lt;0),"Warning: more than earned so far - worker now owes "&amp;TEXT(ROUND(-$L855,0),"#,##0"),"")))))))))</f>
        <v/>
      </c>
      <c r="N855" s="125" t="n"/>
      <c r="O855" s="126" t="n"/>
      <c r="P855" s="126" t="n"/>
      <c r="Q855" s="126" t="n"/>
      <c r="R855" s="126" t="n"/>
      <c r="S855" s="126" t="n"/>
      <c r="T855" s="126" t="n"/>
      <c r="U855" s="126" t="n"/>
      <c r="V855" s="126" t="n"/>
      <c r="W855" s="126" t="n"/>
      <c r="X855" s="126" t="n"/>
      <c r="Y855" s="126" t="n"/>
      <c r="Z855" s="126" t="n"/>
      <c r="AA855" s="126" t="n"/>
      <c r="AB855" s="126" t="n"/>
      <c r="AC855" s="126" t="n"/>
      <c r="AD855" s="126" t="n"/>
      <c r="AE855" s="126" t="n"/>
      <c r="AF855" s="126" t="n"/>
      <c r="AG855" s="126" t="n"/>
      <c r="AH855" s="126" t="n"/>
      <c r="AI855" s="126" t="n"/>
      <c r="AJ855" s="126" t="n"/>
      <c r="AK855" s="126" t="n"/>
      <c r="AL855" s="126" t="n"/>
      <c r="AM855" s="126" t="n"/>
      <c r="AN855" s="126" t="n"/>
    </row>
    <row r="856" ht="21" customFormat="1" customHeight="1" s="127">
      <c r="A856" s="51">
        <f>IF($B856="","",ROW()-6)</f>
        <v/>
      </c>
      <c r="B856" s="268" t="n"/>
      <c r="C856" s="133" t="n"/>
      <c r="D856" s="50" t="n"/>
      <c r="E856" s="265" t="n"/>
      <c r="F856" s="133" t="n"/>
      <c r="G856" s="133" t="n"/>
      <c r="H856" s="50" t="n"/>
      <c r="I856" s="51">
        <f>IF($C856="","",IFERROR(INDEX(WorkerIDs,MATCH($C856,WorkerNames,0)),"?"))</f>
        <v/>
      </c>
      <c r="J856" s="253">
        <f>IF($B856="","",$B856-WEEKDAY($B856,2)+1)</f>
        <v/>
      </c>
      <c r="K856" s="142">
        <f>IF(OR($I856="",$I856="?",$D856&lt;&gt;"Advance",$B856=""),"",$I856&amp;"|"&amp;$J856&amp;"|"&amp;COUNTIFS($I$7:$I856,$I856,$J$7:$J856,$J856,$D$7:$D856,"Advance"))</f>
        <v/>
      </c>
      <c r="L856" s="266">
        <f>IF(OR($I856="",$I856="?",$B856=""),"",SUMPRODUCT((Weeks!$A$7:$A$59&lt;=$J856)*(Weeks!$X$5:$AI$5=$I856)*Weeks!$X$7:$AI$59)-SUMIFS($E$7:$E$1006,$I$7:$I$1006,$I856,$B$7:$B$1006,"&lt;="&amp;$B856))</f>
        <v/>
      </c>
      <c r="M856" s="132">
        <f>IF($B856&amp;$C856&amp;$D856&amp;$E856="","",IF($B856="","missing date",IF($C856="","missing worker",IF($I856="?","unknown worker - was the name changed on Workers?",IF($D856="","missing type",IF(N($E856)=0,"missing amount",IF(AND($E856&lt;0,$D856&lt;&gt;"Correction"),"negative amount - use a Correction to undo",IF(OR($B856&lt;Weeks!$A$7,$B856&gt;Weeks!$B$59),"date outside this workbook's year",IF(AND($D856="Advance",N($L856)&lt;0),"Warning: more than earned so far - worker now owes "&amp;TEXT(ROUND(-$L856,0),"#,##0"),"")))))))))</f>
        <v/>
      </c>
      <c r="N856" s="125" t="n"/>
      <c r="O856" s="126" t="n"/>
      <c r="P856" s="126" t="n"/>
      <c r="Q856" s="126" t="n"/>
      <c r="R856" s="126" t="n"/>
      <c r="S856" s="126" t="n"/>
      <c r="T856" s="126" t="n"/>
      <c r="U856" s="126" t="n"/>
      <c r="V856" s="126" t="n"/>
      <c r="W856" s="126" t="n"/>
      <c r="X856" s="126" t="n"/>
      <c r="Y856" s="126" t="n"/>
      <c r="Z856" s="126" t="n"/>
      <c r="AA856" s="126" t="n"/>
      <c r="AB856" s="126" t="n"/>
      <c r="AC856" s="126" t="n"/>
      <c r="AD856" s="126" t="n"/>
      <c r="AE856" s="126" t="n"/>
      <c r="AF856" s="126" t="n"/>
      <c r="AG856" s="126" t="n"/>
      <c r="AH856" s="126" t="n"/>
      <c r="AI856" s="126" t="n"/>
      <c r="AJ856" s="126" t="n"/>
      <c r="AK856" s="126" t="n"/>
      <c r="AL856" s="126" t="n"/>
      <c r="AM856" s="126" t="n"/>
      <c r="AN856" s="126" t="n"/>
    </row>
    <row r="857" ht="21" customFormat="1" customHeight="1" s="127">
      <c r="A857" s="51">
        <f>IF($B857="","",ROW()-6)</f>
        <v/>
      </c>
      <c r="B857" s="268" t="n"/>
      <c r="C857" s="133" t="n"/>
      <c r="D857" s="50" t="n"/>
      <c r="E857" s="265" t="n"/>
      <c r="F857" s="133" t="n"/>
      <c r="G857" s="133" t="n"/>
      <c r="H857" s="50" t="n"/>
      <c r="I857" s="51">
        <f>IF($C857="","",IFERROR(INDEX(WorkerIDs,MATCH($C857,WorkerNames,0)),"?"))</f>
        <v/>
      </c>
      <c r="J857" s="253">
        <f>IF($B857="","",$B857-WEEKDAY($B857,2)+1)</f>
        <v/>
      </c>
      <c r="K857" s="142">
        <f>IF(OR($I857="",$I857="?",$D857&lt;&gt;"Advance",$B857=""),"",$I857&amp;"|"&amp;$J857&amp;"|"&amp;COUNTIFS($I$7:$I857,$I857,$J$7:$J857,$J857,$D$7:$D857,"Advance"))</f>
        <v/>
      </c>
      <c r="L857" s="266">
        <f>IF(OR($I857="",$I857="?",$B857=""),"",SUMPRODUCT((Weeks!$A$7:$A$59&lt;=$J857)*(Weeks!$X$5:$AI$5=$I857)*Weeks!$X$7:$AI$59)-SUMIFS($E$7:$E$1006,$I$7:$I$1006,$I857,$B$7:$B$1006,"&lt;="&amp;$B857))</f>
        <v/>
      </c>
      <c r="M857" s="132">
        <f>IF($B857&amp;$C857&amp;$D857&amp;$E857="","",IF($B857="","missing date",IF($C857="","missing worker",IF($I857="?","unknown worker - was the name changed on Workers?",IF($D857="","missing type",IF(N($E857)=0,"missing amount",IF(AND($E857&lt;0,$D857&lt;&gt;"Correction"),"negative amount - use a Correction to undo",IF(OR($B857&lt;Weeks!$A$7,$B857&gt;Weeks!$B$59),"date outside this workbook's year",IF(AND($D857="Advance",N($L857)&lt;0),"Warning: more than earned so far - worker now owes "&amp;TEXT(ROUND(-$L857,0),"#,##0"),"")))))))))</f>
        <v/>
      </c>
      <c r="N857" s="125" t="n"/>
      <c r="O857" s="126" t="n"/>
      <c r="P857" s="126" t="n"/>
      <c r="Q857" s="126" t="n"/>
      <c r="R857" s="126" t="n"/>
      <c r="S857" s="126" t="n"/>
      <c r="T857" s="126" t="n"/>
      <c r="U857" s="126" t="n"/>
      <c r="V857" s="126" t="n"/>
      <c r="W857" s="126" t="n"/>
      <c r="X857" s="126" t="n"/>
      <c r="Y857" s="126" t="n"/>
      <c r="Z857" s="126" t="n"/>
      <c r="AA857" s="126" t="n"/>
      <c r="AB857" s="126" t="n"/>
      <c r="AC857" s="126" t="n"/>
      <c r="AD857" s="126" t="n"/>
      <c r="AE857" s="126" t="n"/>
      <c r="AF857" s="126" t="n"/>
      <c r="AG857" s="126" t="n"/>
      <c r="AH857" s="126" t="n"/>
      <c r="AI857" s="126" t="n"/>
      <c r="AJ857" s="126" t="n"/>
      <c r="AK857" s="126" t="n"/>
      <c r="AL857" s="126" t="n"/>
      <c r="AM857" s="126" t="n"/>
      <c r="AN857" s="126" t="n"/>
    </row>
    <row r="858" ht="21" customFormat="1" customHeight="1" s="127">
      <c r="A858" s="51">
        <f>IF($B858="","",ROW()-6)</f>
        <v/>
      </c>
      <c r="B858" s="268" t="n"/>
      <c r="C858" s="133" t="n"/>
      <c r="D858" s="50" t="n"/>
      <c r="E858" s="265" t="n"/>
      <c r="F858" s="133" t="n"/>
      <c r="G858" s="133" t="n"/>
      <c r="H858" s="50" t="n"/>
      <c r="I858" s="51">
        <f>IF($C858="","",IFERROR(INDEX(WorkerIDs,MATCH($C858,WorkerNames,0)),"?"))</f>
        <v/>
      </c>
      <c r="J858" s="253">
        <f>IF($B858="","",$B858-WEEKDAY($B858,2)+1)</f>
        <v/>
      </c>
      <c r="K858" s="142">
        <f>IF(OR($I858="",$I858="?",$D858&lt;&gt;"Advance",$B858=""),"",$I858&amp;"|"&amp;$J858&amp;"|"&amp;COUNTIFS($I$7:$I858,$I858,$J$7:$J858,$J858,$D$7:$D858,"Advance"))</f>
        <v/>
      </c>
      <c r="L858" s="266">
        <f>IF(OR($I858="",$I858="?",$B858=""),"",SUMPRODUCT((Weeks!$A$7:$A$59&lt;=$J858)*(Weeks!$X$5:$AI$5=$I858)*Weeks!$X$7:$AI$59)-SUMIFS($E$7:$E$1006,$I$7:$I$1006,$I858,$B$7:$B$1006,"&lt;="&amp;$B858))</f>
        <v/>
      </c>
      <c r="M858" s="132">
        <f>IF($B858&amp;$C858&amp;$D858&amp;$E858="","",IF($B858="","missing date",IF($C858="","missing worker",IF($I858="?","unknown worker - was the name changed on Workers?",IF($D858="","missing type",IF(N($E858)=0,"missing amount",IF(AND($E858&lt;0,$D858&lt;&gt;"Correction"),"negative amount - use a Correction to undo",IF(OR($B858&lt;Weeks!$A$7,$B858&gt;Weeks!$B$59),"date outside this workbook's year",IF(AND($D858="Advance",N($L858)&lt;0),"Warning: more than earned so far - worker now owes "&amp;TEXT(ROUND(-$L858,0),"#,##0"),"")))))))))</f>
        <v/>
      </c>
      <c r="N858" s="125" t="n"/>
      <c r="O858" s="126" t="n"/>
      <c r="P858" s="126" t="n"/>
      <c r="Q858" s="126" t="n"/>
      <c r="R858" s="126" t="n"/>
      <c r="S858" s="126" t="n"/>
      <c r="T858" s="126" t="n"/>
      <c r="U858" s="126" t="n"/>
      <c r="V858" s="126" t="n"/>
      <c r="W858" s="126" t="n"/>
      <c r="X858" s="126" t="n"/>
      <c r="Y858" s="126" t="n"/>
      <c r="Z858" s="126" t="n"/>
      <c r="AA858" s="126" t="n"/>
      <c r="AB858" s="126" t="n"/>
      <c r="AC858" s="126" t="n"/>
      <c r="AD858" s="126" t="n"/>
      <c r="AE858" s="126" t="n"/>
      <c r="AF858" s="126" t="n"/>
      <c r="AG858" s="126" t="n"/>
      <c r="AH858" s="126" t="n"/>
      <c r="AI858" s="126" t="n"/>
      <c r="AJ858" s="126" t="n"/>
      <c r="AK858" s="126" t="n"/>
      <c r="AL858" s="126" t="n"/>
      <c r="AM858" s="126" t="n"/>
      <c r="AN858" s="126" t="n"/>
    </row>
    <row r="859" ht="21" customFormat="1" customHeight="1" s="127">
      <c r="A859" s="51">
        <f>IF($B859="","",ROW()-6)</f>
        <v/>
      </c>
      <c r="B859" s="268" t="n"/>
      <c r="C859" s="133" t="n"/>
      <c r="D859" s="50" t="n"/>
      <c r="E859" s="265" t="n"/>
      <c r="F859" s="133" t="n"/>
      <c r="G859" s="133" t="n"/>
      <c r="H859" s="50" t="n"/>
      <c r="I859" s="51">
        <f>IF($C859="","",IFERROR(INDEX(WorkerIDs,MATCH($C859,WorkerNames,0)),"?"))</f>
        <v/>
      </c>
      <c r="J859" s="253">
        <f>IF($B859="","",$B859-WEEKDAY($B859,2)+1)</f>
        <v/>
      </c>
      <c r="K859" s="142">
        <f>IF(OR($I859="",$I859="?",$D859&lt;&gt;"Advance",$B859=""),"",$I859&amp;"|"&amp;$J859&amp;"|"&amp;COUNTIFS($I$7:$I859,$I859,$J$7:$J859,$J859,$D$7:$D859,"Advance"))</f>
        <v/>
      </c>
      <c r="L859" s="266">
        <f>IF(OR($I859="",$I859="?",$B859=""),"",SUMPRODUCT((Weeks!$A$7:$A$59&lt;=$J859)*(Weeks!$X$5:$AI$5=$I859)*Weeks!$X$7:$AI$59)-SUMIFS($E$7:$E$1006,$I$7:$I$1006,$I859,$B$7:$B$1006,"&lt;="&amp;$B859))</f>
        <v/>
      </c>
      <c r="M859" s="132">
        <f>IF($B859&amp;$C859&amp;$D859&amp;$E859="","",IF($B859="","missing date",IF($C859="","missing worker",IF($I859="?","unknown worker - was the name changed on Workers?",IF($D859="","missing type",IF(N($E859)=0,"missing amount",IF(AND($E859&lt;0,$D859&lt;&gt;"Correction"),"negative amount - use a Correction to undo",IF(OR($B859&lt;Weeks!$A$7,$B859&gt;Weeks!$B$59),"date outside this workbook's year",IF(AND($D859="Advance",N($L859)&lt;0),"Warning: more than earned so far - worker now owes "&amp;TEXT(ROUND(-$L859,0),"#,##0"),"")))))))))</f>
        <v/>
      </c>
      <c r="N859" s="125" t="n"/>
      <c r="O859" s="126" t="n"/>
      <c r="P859" s="126" t="n"/>
      <c r="Q859" s="126" t="n"/>
      <c r="R859" s="126" t="n"/>
      <c r="S859" s="126" t="n"/>
      <c r="T859" s="126" t="n"/>
      <c r="U859" s="126" t="n"/>
      <c r="V859" s="126" t="n"/>
      <c r="W859" s="126" t="n"/>
      <c r="X859" s="126" t="n"/>
      <c r="Y859" s="126" t="n"/>
      <c r="Z859" s="126" t="n"/>
      <c r="AA859" s="126" t="n"/>
      <c r="AB859" s="126" t="n"/>
      <c r="AC859" s="126" t="n"/>
      <c r="AD859" s="126" t="n"/>
      <c r="AE859" s="126" t="n"/>
      <c r="AF859" s="126" t="n"/>
      <c r="AG859" s="126" t="n"/>
      <c r="AH859" s="126" t="n"/>
      <c r="AI859" s="126" t="n"/>
      <c r="AJ859" s="126" t="n"/>
      <c r="AK859" s="126" t="n"/>
      <c r="AL859" s="126" t="n"/>
      <c r="AM859" s="126" t="n"/>
      <c r="AN859" s="126" t="n"/>
    </row>
    <row r="860" ht="21" customFormat="1" customHeight="1" s="127">
      <c r="A860" s="51">
        <f>IF($B860="","",ROW()-6)</f>
        <v/>
      </c>
      <c r="B860" s="268" t="n"/>
      <c r="C860" s="133" t="n"/>
      <c r="D860" s="50" t="n"/>
      <c r="E860" s="265" t="n"/>
      <c r="F860" s="133" t="n"/>
      <c r="G860" s="133" t="n"/>
      <c r="H860" s="50" t="n"/>
      <c r="I860" s="51">
        <f>IF($C860="","",IFERROR(INDEX(WorkerIDs,MATCH($C860,WorkerNames,0)),"?"))</f>
        <v/>
      </c>
      <c r="J860" s="253">
        <f>IF($B860="","",$B860-WEEKDAY($B860,2)+1)</f>
        <v/>
      </c>
      <c r="K860" s="142">
        <f>IF(OR($I860="",$I860="?",$D860&lt;&gt;"Advance",$B860=""),"",$I860&amp;"|"&amp;$J860&amp;"|"&amp;COUNTIFS($I$7:$I860,$I860,$J$7:$J860,$J860,$D$7:$D860,"Advance"))</f>
        <v/>
      </c>
      <c r="L860" s="266">
        <f>IF(OR($I860="",$I860="?",$B860=""),"",SUMPRODUCT((Weeks!$A$7:$A$59&lt;=$J860)*(Weeks!$X$5:$AI$5=$I860)*Weeks!$X$7:$AI$59)-SUMIFS($E$7:$E$1006,$I$7:$I$1006,$I860,$B$7:$B$1006,"&lt;="&amp;$B860))</f>
        <v/>
      </c>
      <c r="M860" s="132">
        <f>IF($B860&amp;$C860&amp;$D860&amp;$E860="","",IF($B860="","missing date",IF($C860="","missing worker",IF($I860="?","unknown worker - was the name changed on Workers?",IF($D860="","missing type",IF(N($E860)=0,"missing amount",IF(AND($E860&lt;0,$D860&lt;&gt;"Correction"),"negative amount - use a Correction to undo",IF(OR($B860&lt;Weeks!$A$7,$B860&gt;Weeks!$B$59),"date outside this workbook's year",IF(AND($D860="Advance",N($L860)&lt;0),"Warning: more than earned so far - worker now owes "&amp;TEXT(ROUND(-$L860,0),"#,##0"),"")))))))))</f>
        <v/>
      </c>
      <c r="N860" s="125" t="n"/>
      <c r="O860" s="126" t="n"/>
      <c r="P860" s="126" t="n"/>
      <c r="Q860" s="126" t="n"/>
      <c r="R860" s="126" t="n"/>
      <c r="S860" s="126" t="n"/>
      <c r="T860" s="126" t="n"/>
      <c r="U860" s="126" t="n"/>
      <c r="V860" s="126" t="n"/>
      <c r="W860" s="126" t="n"/>
      <c r="X860" s="126" t="n"/>
      <c r="Y860" s="126" t="n"/>
      <c r="Z860" s="126" t="n"/>
      <c r="AA860" s="126" t="n"/>
      <c r="AB860" s="126" t="n"/>
      <c r="AC860" s="126" t="n"/>
      <c r="AD860" s="126" t="n"/>
      <c r="AE860" s="126" t="n"/>
      <c r="AF860" s="126" t="n"/>
      <c r="AG860" s="126" t="n"/>
      <c r="AH860" s="126" t="n"/>
      <c r="AI860" s="126" t="n"/>
      <c r="AJ860" s="126" t="n"/>
      <c r="AK860" s="126" t="n"/>
      <c r="AL860" s="126" t="n"/>
      <c r="AM860" s="126" t="n"/>
      <c r="AN860" s="126" t="n"/>
    </row>
    <row r="861" ht="21" customFormat="1" customHeight="1" s="127">
      <c r="A861" s="51">
        <f>IF($B861="","",ROW()-6)</f>
        <v/>
      </c>
      <c r="B861" s="268" t="n"/>
      <c r="C861" s="133" t="n"/>
      <c r="D861" s="50" t="n"/>
      <c r="E861" s="265" t="n"/>
      <c r="F861" s="133" t="n"/>
      <c r="G861" s="133" t="n"/>
      <c r="H861" s="50" t="n"/>
      <c r="I861" s="51">
        <f>IF($C861="","",IFERROR(INDEX(WorkerIDs,MATCH($C861,WorkerNames,0)),"?"))</f>
        <v/>
      </c>
      <c r="J861" s="253">
        <f>IF($B861="","",$B861-WEEKDAY($B861,2)+1)</f>
        <v/>
      </c>
      <c r="K861" s="142">
        <f>IF(OR($I861="",$I861="?",$D861&lt;&gt;"Advance",$B861=""),"",$I861&amp;"|"&amp;$J861&amp;"|"&amp;COUNTIFS($I$7:$I861,$I861,$J$7:$J861,$J861,$D$7:$D861,"Advance"))</f>
        <v/>
      </c>
      <c r="L861" s="266">
        <f>IF(OR($I861="",$I861="?",$B861=""),"",SUMPRODUCT((Weeks!$A$7:$A$59&lt;=$J861)*(Weeks!$X$5:$AI$5=$I861)*Weeks!$X$7:$AI$59)-SUMIFS($E$7:$E$1006,$I$7:$I$1006,$I861,$B$7:$B$1006,"&lt;="&amp;$B861))</f>
        <v/>
      </c>
      <c r="M861" s="132">
        <f>IF($B861&amp;$C861&amp;$D861&amp;$E861="","",IF($B861="","missing date",IF($C861="","missing worker",IF($I861="?","unknown worker - was the name changed on Workers?",IF($D861="","missing type",IF(N($E861)=0,"missing amount",IF(AND($E861&lt;0,$D861&lt;&gt;"Correction"),"negative amount - use a Correction to undo",IF(OR($B861&lt;Weeks!$A$7,$B861&gt;Weeks!$B$59),"date outside this workbook's year",IF(AND($D861="Advance",N($L861)&lt;0),"Warning: more than earned so far - worker now owes "&amp;TEXT(ROUND(-$L861,0),"#,##0"),"")))))))))</f>
        <v/>
      </c>
      <c r="N861" s="125" t="n"/>
      <c r="O861" s="126" t="n"/>
      <c r="P861" s="126" t="n"/>
      <c r="Q861" s="126" t="n"/>
      <c r="R861" s="126" t="n"/>
      <c r="S861" s="126" t="n"/>
      <c r="T861" s="126" t="n"/>
      <c r="U861" s="126" t="n"/>
      <c r="V861" s="126" t="n"/>
      <c r="W861" s="126" t="n"/>
      <c r="X861" s="126" t="n"/>
      <c r="Y861" s="126" t="n"/>
      <c r="Z861" s="126" t="n"/>
      <c r="AA861" s="126" t="n"/>
      <c r="AB861" s="126" t="n"/>
      <c r="AC861" s="126" t="n"/>
      <c r="AD861" s="126" t="n"/>
      <c r="AE861" s="126" t="n"/>
      <c r="AF861" s="126" t="n"/>
      <c r="AG861" s="126" t="n"/>
      <c r="AH861" s="126" t="n"/>
      <c r="AI861" s="126" t="n"/>
      <c r="AJ861" s="126" t="n"/>
      <c r="AK861" s="126" t="n"/>
      <c r="AL861" s="126" t="n"/>
      <c r="AM861" s="126" t="n"/>
      <c r="AN861" s="126" t="n"/>
    </row>
    <row r="862" ht="21" customFormat="1" customHeight="1" s="127">
      <c r="A862" s="51">
        <f>IF($B862="","",ROW()-6)</f>
        <v/>
      </c>
      <c r="B862" s="268" t="n"/>
      <c r="C862" s="133" t="n"/>
      <c r="D862" s="50" t="n"/>
      <c r="E862" s="265" t="n"/>
      <c r="F862" s="133" t="n"/>
      <c r="G862" s="133" t="n"/>
      <c r="H862" s="50" t="n"/>
      <c r="I862" s="51">
        <f>IF($C862="","",IFERROR(INDEX(WorkerIDs,MATCH($C862,WorkerNames,0)),"?"))</f>
        <v/>
      </c>
      <c r="J862" s="253">
        <f>IF($B862="","",$B862-WEEKDAY($B862,2)+1)</f>
        <v/>
      </c>
      <c r="K862" s="142">
        <f>IF(OR($I862="",$I862="?",$D862&lt;&gt;"Advance",$B862=""),"",$I862&amp;"|"&amp;$J862&amp;"|"&amp;COUNTIFS($I$7:$I862,$I862,$J$7:$J862,$J862,$D$7:$D862,"Advance"))</f>
        <v/>
      </c>
      <c r="L862" s="266">
        <f>IF(OR($I862="",$I862="?",$B862=""),"",SUMPRODUCT((Weeks!$A$7:$A$59&lt;=$J862)*(Weeks!$X$5:$AI$5=$I862)*Weeks!$X$7:$AI$59)-SUMIFS($E$7:$E$1006,$I$7:$I$1006,$I862,$B$7:$B$1006,"&lt;="&amp;$B862))</f>
        <v/>
      </c>
      <c r="M862" s="132">
        <f>IF($B862&amp;$C862&amp;$D862&amp;$E862="","",IF($B862="","missing date",IF($C862="","missing worker",IF($I862="?","unknown worker - was the name changed on Workers?",IF($D862="","missing type",IF(N($E862)=0,"missing amount",IF(AND($E862&lt;0,$D862&lt;&gt;"Correction"),"negative amount - use a Correction to undo",IF(OR($B862&lt;Weeks!$A$7,$B862&gt;Weeks!$B$59),"date outside this workbook's year",IF(AND($D862="Advance",N($L862)&lt;0),"Warning: more than earned so far - worker now owes "&amp;TEXT(ROUND(-$L862,0),"#,##0"),"")))))))))</f>
        <v/>
      </c>
      <c r="N862" s="125" t="n"/>
      <c r="O862" s="126" t="n"/>
      <c r="P862" s="126" t="n"/>
      <c r="Q862" s="126" t="n"/>
      <c r="R862" s="126" t="n"/>
      <c r="S862" s="126" t="n"/>
      <c r="T862" s="126" t="n"/>
      <c r="U862" s="126" t="n"/>
      <c r="V862" s="126" t="n"/>
      <c r="W862" s="126" t="n"/>
      <c r="X862" s="126" t="n"/>
      <c r="Y862" s="126" t="n"/>
      <c r="Z862" s="126" t="n"/>
      <c r="AA862" s="126" t="n"/>
      <c r="AB862" s="126" t="n"/>
      <c r="AC862" s="126" t="n"/>
      <c r="AD862" s="126" t="n"/>
      <c r="AE862" s="126" t="n"/>
      <c r="AF862" s="126" t="n"/>
      <c r="AG862" s="126" t="n"/>
      <c r="AH862" s="126" t="n"/>
      <c r="AI862" s="126" t="n"/>
      <c r="AJ862" s="126" t="n"/>
      <c r="AK862" s="126" t="n"/>
      <c r="AL862" s="126" t="n"/>
      <c r="AM862" s="126" t="n"/>
      <c r="AN862" s="126" t="n"/>
    </row>
    <row r="863" ht="21" customFormat="1" customHeight="1" s="127">
      <c r="A863" s="51">
        <f>IF($B863="","",ROW()-6)</f>
        <v/>
      </c>
      <c r="B863" s="268" t="n"/>
      <c r="C863" s="133" t="n"/>
      <c r="D863" s="50" t="n"/>
      <c r="E863" s="265" t="n"/>
      <c r="F863" s="133" t="n"/>
      <c r="G863" s="133" t="n"/>
      <c r="H863" s="50" t="n"/>
      <c r="I863" s="51">
        <f>IF($C863="","",IFERROR(INDEX(WorkerIDs,MATCH($C863,WorkerNames,0)),"?"))</f>
        <v/>
      </c>
      <c r="J863" s="253">
        <f>IF($B863="","",$B863-WEEKDAY($B863,2)+1)</f>
        <v/>
      </c>
      <c r="K863" s="142">
        <f>IF(OR($I863="",$I863="?",$D863&lt;&gt;"Advance",$B863=""),"",$I863&amp;"|"&amp;$J863&amp;"|"&amp;COUNTIFS($I$7:$I863,$I863,$J$7:$J863,$J863,$D$7:$D863,"Advance"))</f>
        <v/>
      </c>
      <c r="L863" s="266">
        <f>IF(OR($I863="",$I863="?",$B863=""),"",SUMPRODUCT((Weeks!$A$7:$A$59&lt;=$J863)*(Weeks!$X$5:$AI$5=$I863)*Weeks!$X$7:$AI$59)-SUMIFS($E$7:$E$1006,$I$7:$I$1006,$I863,$B$7:$B$1006,"&lt;="&amp;$B863))</f>
        <v/>
      </c>
      <c r="M863" s="132">
        <f>IF($B863&amp;$C863&amp;$D863&amp;$E863="","",IF($B863="","missing date",IF($C863="","missing worker",IF($I863="?","unknown worker - was the name changed on Workers?",IF($D863="","missing type",IF(N($E863)=0,"missing amount",IF(AND($E863&lt;0,$D863&lt;&gt;"Correction"),"negative amount - use a Correction to undo",IF(OR($B863&lt;Weeks!$A$7,$B863&gt;Weeks!$B$59),"date outside this workbook's year",IF(AND($D863="Advance",N($L863)&lt;0),"Warning: more than earned so far - worker now owes "&amp;TEXT(ROUND(-$L863,0),"#,##0"),"")))))))))</f>
        <v/>
      </c>
      <c r="N863" s="125" t="n"/>
      <c r="O863" s="126" t="n"/>
      <c r="P863" s="126" t="n"/>
      <c r="Q863" s="126" t="n"/>
      <c r="R863" s="126" t="n"/>
      <c r="S863" s="126" t="n"/>
      <c r="T863" s="126" t="n"/>
      <c r="U863" s="126" t="n"/>
      <c r="V863" s="126" t="n"/>
      <c r="W863" s="126" t="n"/>
      <c r="X863" s="126" t="n"/>
      <c r="Y863" s="126" t="n"/>
      <c r="Z863" s="126" t="n"/>
      <c r="AA863" s="126" t="n"/>
      <c r="AB863" s="126" t="n"/>
      <c r="AC863" s="126" t="n"/>
      <c r="AD863" s="126" t="n"/>
      <c r="AE863" s="126" t="n"/>
      <c r="AF863" s="126" t="n"/>
      <c r="AG863" s="126" t="n"/>
      <c r="AH863" s="126" t="n"/>
      <c r="AI863" s="126" t="n"/>
      <c r="AJ863" s="126" t="n"/>
      <c r="AK863" s="126" t="n"/>
      <c r="AL863" s="126" t="n"/>
      <c r="AM863" s="126" t="n"/>
      <c r="AN863" s="126" t="n"/>
    </row>
    <row r="864" ht="21" customFormat="1" customHeight="1" s="127">
      <c r="A864" s="51">
        <f>IF($B864="","",ROW()-6)</f>
        <v/>
      </c>
      <c r="B864" s="268" t="n"/>
      <c r="C864" s="133" t="n"/>
      <c r="D864" s="50" t="n"/>
      <c r="E864" s="265" t="n"/>
      <c r="F864" s="133" t="n"/>
      <c r="G864" s="133" t="n"/>
      <c r="H864" s="50" t="n"/>
      <c r="I864" s="51">
        <f>IF($C864="","",IFERROR(INDEX(WorkerIDs,MATCH($C864,WorkerNames,0)),"?"))</f>
        <v/>
      </c>
      <c r="J864" s="253">
        <f>IF($B864="","",$B864-WEEKDAY($B864,2)+1)</f>
        <v/>
      </c>
      <c r="K864" s="142">
        <f>IF(OR($I864="",$I864="?",$D864&lt;&gt;"Advance",$B864=""),"",$I864&amp;"|"&amp;$J864&amp;"|"&amp;COUNTIFS($I$7:$I864,$I864,$J$7:$J864,$J864,$D$7:$D864,"Advance"))</f>
        <v/>
      </c>
      <c r="L864" s="266">
        <f>IF(OR($I864="",$I864="?",$B864=""),"",SUMPRODUCT((Weeks!$A$7:$A$59&lt;=$J864)*(Weeks!$X$5:$AI$5=$I864)*Weeks!$X$7:$AI$59)-SUMIFS($E$7:$E$1006,$I$7:$I$1006,$I864,$B$7:$B$1006,"&lt;="&amp;$B864))</f>
        <v/>
      </c>
      <c r="M864" s="132">
        <f>IF($B864&amp;$C864&amp;$D864&amp;$E864="","",IF($B864="","missing date",IF($C864="","missing worker",IF($I864="?","unknown worker - was the name changed on Workers?",IF($D864="","missing type",IF(N($E864)=0,"missing amount",IF(AND($E864&lt;0,$D864&lt;&gt;"Correction"),"negative amount - use a Correction to undo",IF(OR($B864&lt;Weeks!$A$7,$B864&gt;Weeks!$B$59),"date outside this workbook's year",IF(AND($D864="Advance",N($L864)&lt;0),"Warning: more than earned so far - worker now owes "&amp;TEXT(ROUND(-$L864,0),"#,##0"),"")))))))))</f>
        <v/>
      </c>
      <c r="N864" s="125" t="n"/>
      <c r="O864" s="126" t="n"/>
      <c r="P864" s="126" t="n"/>
      <c r="Q864" s="126" t="n"/>
      <c r="R864" s="126" t="n"/>
      <c r="S864" s="126" t="n"/>
      <c r="T864" s="126" t="n"/>
      <c r="U864" s="126" t="n"/>
      <c r="V864" s="126" t="n"/>
      <c r="W864" s="126" t="n"/>
      <c r="X864" s="126" t="n"/>
      <c r="Y864" s="126" t="n"/>
      <c r="Z864" s="126" t="n"/>
      <c r="AA864" s="126" t="n"/>
      <c r="AB864" s="126" t="n"/>
      <c r="AC864" s="126" t="n"/>
      <c r="AD864" s="126" t="n"/>
      <c r="AE864" s="126" t="n"/>
      <c r="AF864" s="126" t="n"/>
      <c r="AG864" s="126" t="n"/>
      <c r="AH864" s="126" t="n"/>
      <c r="AI864" s="126" t="n"/>
      <c r="AJ864" s="126" t="n"/>
      <c r="AK864" s="126" t="n"/>
      <c r="AL864" s="126" t="n"/>
      <c r="AM864" s="126" t="n"/>
      <c r="AN864" s="126" t="n"/>
    </row>
    <row r="865" ht="21" customFormat="1" customHeight="1" s="127">
      <c r="A865" s="51">
        <f>IF($B865="","",ROW()-6)</f>
        <v/>
      </c>
      <c r="B865" s="268" t="n"/>
      <c r="C865" s="133" t="n"/>
      <c r="D865" s="50" t="n"/>
      <c r="E865" s="265" t="n"/>
      <c r="F865" s="133" t="n"/>
      <c r="G865" s="133" t="n"/>
      <c r="H865" s="50" t="n"/>
      <c r="I865" s="51">
        <f>IF($C865="","",IFERROR(INDEX(WorkerIDs,MATCH($C865,WorkerNames,0)),"?"))</f>
        <v/>
      </c>
      <c r="J865" s="253">
        <f>IF($B865="","",$B865-WEEKDAY($B865,2)+1)</f>
        <v/>
      </c>
      <c r="K865" s="142">
        <f>IF(OR($I865="",$I865="?",$D865&lt;&gt;"Advance",$B865=""),"",$I865&amp;"|"&amp;$J865&amp;"|"&amp;COUNTIFS($I$7:$I865,$I865,$J$7:$J865,$J865,$D$7:$D865,"Advance"))</f>
        <v/>
      </c>
      <c r="L865" s="266">
        <f>IF(OR($I865="",$I865="?",$B865=""),"",SUMPRODUCT((Weeks!$A$7:$A$59&lt;=$J865)*(Weeks!$X$5:$AI$5=$I865)*Weeks!$X$7:$AI$59)-SUMIFS($E$7:$E$1006,$I$7:$I$1006,$I865,$B$7:$B$1006,"&lt;="&amp;$B865))</f>
        <v/>
      </c>
      <c r="M865" s="132">
        <f>IF($B865&amp;$C865&amp;$D865&amp;$E865="","",IF($B865="","missing date",IF($C865="","missing worker",IF($I865="?","unknown worker - was the name changed on Workers?",IF($D865="","missing type",IF(N($E865)=0,"missing amount",IF(AND($E865&lt;0,$D865&lt;&gt;"Correction"),"negative amount - use a Correction to undo",IF(OR($B865&lt;Weeks!$A$7,$B865&gt;Weeks!$B$59),"date outside this workbook's year",IF(AND($D865="Advance",N($L865)&lt;0),"Warning: more than earned so far - worker now owes "&amp;TEXT(ROUND(-$L865,0),"#,##0"),"")))))))))</f>
        <v/>
      </c>
      <c r="N865" s="125" t="n"/>
      <c r="O865" s="126" t="n"/>
      <c r="P865" s="126" t="n"/>
      <c r="Q865" s="126" t="n"/>
      <c r="R865" s="126" t="n"/>
      <c r="S865" s="126" t="n"/>
      <c r="T865" s="126" t="n"/>
      <c r="U865" s="126" t="n"/>
      <c r="V865" s="126" t="n"/>
      <c r="W865" s="126" t="n"/>
      <c r="X865" s="126" t="n"/>
      <c r="Y865" s="126" t="n"/>
      <c r="Z865" s="126" t="n"/>
      <c r="AA865" s="126" t="n"/>
      <c r="AB865" s="126" t="n"/>
      <c r="AC865" s="126" t="n"/>
      <c r="AD865" s="126" t="n"/>
      <c r="AE865" s="126" t="n"/>
      <c r="AF865" s="126" t="n"/>
      <c r="AG865" s="126" t="n"/>
      <c r="AH865" s="126" t="n"/>
      <c r="AI865" s="126" t="n"/>
      <c r="AJ865" s="126" t="n"/>
      <c r="AK865" s="126" t="n"/>
      <c r="AL865" s="126" t="n"/>
      <c r="AM865" s="126" t="n"/>
      <c r="AN865" s="126" t="n"/>
    </row>
    <row r="866" ht="21" customFormat="1" customHeight="1" s="127">
      <c r="A866" s="51">
        <f>IF($B866="","",ROW()-6)</f>
        <v/>
      </c>
      <c r="B866" s="268" t="n"/>
      <c r="C866" s="133" t="n"/>
      <c r="D866" s="50" t="n"/>
      <c r="E866" s="265" t="n"/>
      <c r="F866" s="133" t="n"/>
      <c r="G866" s="133" t="n"/>
      <c r="H866" s="50" t="n"/>
      <c r="I866" s="51">
        <f>IF($C866="","",IFERROR(INDEX(WorkerIDs,MATCH($C866,WorkerNames,0)),"?"))</f>
        <v/>
      </c>
      <c r="J866" s="253">
        <f>IF($B866="","",$B866-WEEKDAY($B866,2)+1)</f>
        <v/>
      </c>
      <c r="K866" s="142">
        <f>IF(OR($I866="",$I866="?",$D866&lt;&gt;"Advance",$B866=""),"",$I866&amp;"|"&amp;$J866&amp;"|"&amp;COUNTIFS($I$7:$I866,$I866,$J$7:$J866,$J866,$D$7:$D866,"Advance"))</f>
        <v/>
      </c>
      <c r="L866" s="266">
        <f>IF(OR($I866="",$I866="?",$B866=""),"",SUMPRODUCT((Weeks!$A$7:$A$59&lt;=$J866)*(Weeks!$X$5:$AI$5=$I866)*Weeks!$X$7:$AI$59)-SUMIFS($E$7:$E$1006,$I$7:$I$1006,$I866,$B$7:$B$1006,"&lt;="&amp;$B866))</f>
        <v/>
      </c>
      <c r="M866" s="132">
        <f>IF($B866&amp;$C866&amp;$D866&amp;$E866="","",IF($B866="","missing date",IF($C866="","missing worker",IF($I866="?","unknown worker - was the name changed on Workers?",IF($D866="","missing type",IF(N($E866)=0,"missing amount",IF(AND($E866&lt;0,$D866&lt;&gt;"Correction"),"negative amount - use a Correction to undo",IF(OR($B866&lt;Weeks!$A$7,$B866&gt;Weeks!$B$59),"date outside this workbook's year",IF(AND($D866="Advance",N($L866)&lt;0),"Warning: more than earned so far - worker now owes "&amp;TEXT(ROUND(-$L866,0),"#,##0"),"")))))))))</f>
        <v/>
      </c>
      <c r="N866" s="125" t="n"/>
      <c r="O866" s="126" t="n"/>
      <c r="P866" s="126" t="n"/>
      <c r="Q866" s="126" t="n"/>
      <c r="R866" s="126" t="n"/>
      <c r="S866" s="126" t="n"/>
      <c r="T866" s="126" t="n"/>
      <c r="U866" s="126" t="n"/>
      <c r="V866" s="126" t="n"/>
      <c r="W866" s="126" t="n"/>
      <c r="X866" s="126" t="n"/>
      <c r="Y866" s="126" t="n"/>
      <c r="Z866" s="126" t="n"/>
      <c r="AA866" s="126" t="n"/>
      <c r="AB866" s="126" t="n"/>
      <c r="AC866" s="126" t="n"/>
      <c r="AD866" s="126" t="n"/>
      <c r="AE866" s="126" t="n"/>
      <c r="AF866" s="126" t="n"/>
      <c r="AG866" s="126" t="n"/>
      <c r="AH866" s="126" t="n"/>
      <c r="AI866" s="126" t="n"/>
      <c r="AJ866" s="126" t="n"/>
      <c r="AK866" s="126" t="n"/>
      <c r="AL866" s="126" t="n"/>
      <c r="AM866" s="126" t="n"/>
      <c r="AN866" s="126" t="n"/>
    </row>
    <row r="867" ht="21" customFormat="1" customHeight="1" s="127">
      <c r="A867" s="51">
        <f>IF($B867="","",ROW()-6)</f>
        <v/>
      </c>
      <c r="B867" s="268" t="n"/>
      <c r="C867" s="133" t="n"/>
      <c r="D867" s="50" t="n"/>
      <c r="E867" s="265" t="n"/>
      <c r="F867" s="133" t="n"/>
      <c r="G867" s="133" t="n"/>
      <c r="H867" s="50" t="n"/>
      <c r="I867" s="51">
        <f>IF($C867="","",IFERROR(INDEX(WorkerIDs,MATCH($C867,WorkerNames,0)),"?"))</f>
        <v/>
      </c>
      <c r="J867" s="253">
        <f>IF($B867="","",$B867-WEEKDAY($B867,2)+1)</f>
        <v/>
      </c>
      <c r="K867" s="142">
        <f>IF(OR($I867="",$I867="?",$D867&lt;&gt;"Advance",$B867=""),"",$I867&amp;"|"&amp;$J867&amp;"|"&amp;COUNTIFS($I$7:$I867,$I867,$J$7:$J867,$J867,$D$7:$D867,"Advance"))</f>
        <v/>
      </c>
      <c r="L867" s="266">
        <f>IF(OR($I867="",$I867="?",$B867=""),"",SUMPRODUCT((Weeks!$A$7:$A$59&lt;=$J867)*(Weeks!$X$5:$AI$5=$I867)*Weeks!$X$7:$AI$59)-SUMIFS($E$7:$E$1006,$I$7:$I$1006,$I867,$B$7:$B$1006,"&lt;="&amp;$B867))</f>
        <v/>
      </c>
      <c r="M867" s="132">
        <f>IF($B867&amp;$C867&amp;$D867&amp;$E867="","",IF($B867="","missing date",IF($C867="","missing worker",IF($I867="?","unknown worker - was the name changed on Workers?",IF($D867="","missing type",IF(N($E867)=0,"missing amount",IF(AND($E867&lt;0,$D867&lt;&gt;"Correction"),"negative amount - use a Correction to undo",IF(OR($B867&lt;Weeks!$A$7,$B867&gt;Weeks!$B$59),"date outside this workbook's year",IF(AND($D867="Advance",N($L867)&lt;0),"Warning: more than earned so far - worker now owes "&amp;TEXT(ROUND(-$L867,0),"#,##0"),"")))))))))</f>
        <v/>
      </c>
      <c r="N867" s="125" t="n"/>
      <c r="O867" s="126" t="n"/>
      <c r="P867" s="126" t="n"/>
      <c r="Q867" s="126" t="n"/>
      <c r="R867" s="126" t="n"/>
      <c r="S867" s="126" t="n"/>
      <c r="T867" s="126" t="n"/>
      <c r="U867" s="126" t="n"/>
      <c r="V867" s="126" t="n"/>
      <c r="W867" s="126" t="n"/>
      <c r="X867" s="126" t="n"/>
      <c r="Y867" s="126" t="n"/>
      <c r="Z867" s="126" t="n"/>
      <c r="AA867" s="126" t="n"/>
      <c r="AB867" s="126" t="n"/>
      <c r="AC867" s="126" t="n"/>
      <c r="AD867" s="126" t="n"/>
      <c r="AE867" s="126" t="n"/>
      <c r="AF867" s="126" t="n"/>
      <c r="AG867" s="126" t="n"/>
      <c r="AH867" s="126" t="n"/>
      <c r="AI867" s="126" t="n"/>
      <c r="AJ867" s="126" t="n"/>
      <c r="AK867" s="126" t="n"/>
      <c r="AL867" s="126" t="n"/>
      <c r="AM867" s="126" t="n"/>
      <c r="AN867" s="126" t="n"/>
    </row>
    <row r="868" ht="21" customFormat="1" customHeight="1" s="127">
      <c r="A868" s="51">
        <f>IF($B868="","",ROW()-6)</f>
        <v/>
      </c>
      <c r="B868" s="268" t="n"/>
      <c r="C868" s="133" t="n"/>
      <c r="D868" s="50" t="n"/>
      <c r="E868" s="265" t="n"/>
      <c r="F868" s="133" t="n"/>
      <c r="G868" s="133" t="n"/>
      <c r="H868" s="50" t="n"/>
      <c r="I868" s="51">
        <f>IF($C868="","",IFERROR(INDEX(WorkerIDs,MATCH($C868,WorkerNames,0)),"?"))</f>
        <v/>
      </c>
      <c r="J868" s="253">
        <f>IF($B868="","",$B868-WEEKDAY($B868,2)+1)</f>
        <v/>
      </c>
      <c r="K868" s="142">
        <f>IF(OR($I868="",$I868="?",$D868&lt;&gt;"Advance",$B868=""),"",$I868&amp;"|"&amp;$J868&amp;"|"&amp;COUNTIFS($I$7:$I868,$I868,$J$7:$J868,$J868,$D$7:$D868,"Advance"))</f>
        <v/>
      </c>
      <c r="L868" s="266">
        <f>IF(OR($I868="",$I868="?",$B868=""),"",SUMPRODUCT((Weeks!$A$7:$A$59&lt;=$J868)*(Weeks!$X$5:$AI$5=$I868)*Weeks!$X$7:$AI$59)-SUMIFS($E$7:$E$1006,$I$7:$I$1006,$I868,$B$7:$B$1006,"&lt;="&amp;$B868))</f>
        <v/>
      </c>
      <c r="M868" s="132">
        <f>IF($B868&amp;$C868&amp;$D868&amp;$E868="","",IF($B868="","missing date",IF($C868="","missing worker",IF($I868="?","unknown worker - was the name changed on Workers?",IF($D868="","missing type",IF(N($E868)=0,"missing amount",IF(AND($E868&lt;0,$D868&lt;&gt;"Correction"),"negative amount - use a Correction to undo",IF(OR($B868&lt;Weeks!$A$7,$B868&gt;Weeks!$B$59),"date outside this workbook's year",IF(AND($D868="Advance",N($L868)&lt;0),"Warning: more than earned so far - worker now owes "&amp;TEXT(ROUND(-$L868,0),"#,##0"),"")))))))))</f>
        <v/>
      </c>
      <c r="N868" s="125" t="n"/>
      <c r="O868" s="126" t="n"/>
      <c r="P868" s="126" t="n"/>
      <c r="Q868" s="126" t="n"/>
      <c r="R868" s="126" t="n"/>
      <c r="S868" s="126" t="n"/>
      <c r="T868" s="126" t="n"/>
      <c r="U868" s="126" t="n"/>
      <c r="V868" s="126" t="n"/>
      <c r="W868" s="126" t="n"/>
      <c r="X868" s="126" t="n"/>
      <c r="Y868" s="126" t="n"/>
      <c r="Z868" s="126" t="n"/>
      <c r="AA868" s="126" t="n"/>
      <c r="AB868" s="126" t="n"/>
      <c r="AC868" s="126" t="n"/>
      <c r="AD868" s="126" t="n"/>
      <c r="AE868" s="126" t="n"/>
      <c r="AF868" s="126" t="n"/>
      <c r="AG868" s="126" t="n"/>
      <c r="AH868" s="126" t="n"/>
      <c r="AI868" s="126" t="n"/>
      <c r="AJ868" s="126" t="n"/>
      <c r="AK868" s="126" t="n"/>
      <c r="AL868" s="126" t="n"/>
      <c r="AM868" s="126" t="n"/>
      <c r="AN868" s="126" t="n"/>
    </row>
    <row r="869" ht="21" customFormat="1" customHeight="1" s="127">
      <c r="A869" s="51">
        <f>IF($B869="","",ROW()-6)</f>
        <v/>
      </c>
      <c r="B869" s="268" t="n"/>
      <c r="C869" s="133" t="n"/>
      <c r="D869" s="50" t="n"/>
      <c r="E869" s="265" t="n"/>
      <c r="F869" s="133" t="n"/>
      <c r="G869" s="133" t="n"/>
      <c r="H869" s="50" t="n"/>
      <c r="I869" s="51">
        <f>IF($C869="","",IFERROR(INDEX(WorkerIDs,MATCH($C869,WorkerNames,0)),"?"))</f>
        <v/>
      </c>
      <c r="J869" s="253">
        <f>IF($B869="","",$B869-WEEKDAY($B869,2)+1)</f>
        <v/>
      </c>
      <c r="K869" s="142">
        <f>IF(OR($I869="",$I869="?",$D869&lt;&gt;"Advance",$B869=""),"",$I869&amp;"|"&amp;$J869&amp;"|"&amp;COUNTIFS($I$7:$I869,$I869,$J$7:$J869,$J869,$D$7:$D869,"Advance"))</f>
        <v/>
      </c>
      <c r="L869" s="266">
        <f>IF(OR($I869="",$I869="?",$B869=""),"",SUMPRODUCT((Weeks!$A$7:$A$59&lt;=$J869)*(Weeks!$X$5:$AI$5=$I869)*Weeks!$X$7:$AI$59)-SUMIFS($E$7:$E$1006,$I$7:$I$1006,$I869,$B$7:$B$1006,"&lt;="&amp;$B869))</f>
        <v/>
      </c>
      <c r="M869" s="132">
        <f>IF($B869&amp;$C869&amp;$D869&amp;$E869="","",IF($B869="","missing date",IF($C869="","missing worker",IF($I869="?","unknown worker - was the name changed on Workers?",IF($D869="","missing type",IF(N($E869)=0,"missing amount",IF(AND($E869&lt;0,$D869&lt;&gt;"Correction"),"negative amount - use a Correction to undo",IF(OR($B869&lt;Weeks!$A$7,$B869&gt;Weeks!$B$59),"date outside this workbook's year",IF(AND($D869="Advance",N($L869)&lt;0),"Warning: more than earned so far - worker now owes "&amp;TEXT(ROUND(-$L869,0),"#,##0"),"")))))))))</f>
        <v/>
      </c>
      <c r="N869" s="125" t="n"/>
      <c r="O869" s="126" t="n"/>
      <c r="P869" s="126" t="n"/>
      <c r="Q869" s="126" t="n"/>
      <c r="R869" s="126" t="n"/>
      <c r="S869" s="126" t="n"/>
      <c r="T869" s="126" t="n"/>
      <c r="U869" s="126" t="n"/>
      <c r="V869" s="126" t="n"/>
      <c r="W869" s="126" t="n"/>
      <c r="X869" s="126" t="n"/>
      <c r="Y869" s="126" t="n"/>
      <c r="Z869" s="126" t="n"/>
      <c r="AA869" s="126" t="n"/>
      <c r="AB869" s="126" t="n"/>
      <c r="AC869" s="126" t="n"/>
      <c r="AD869" s="126" t="n"/>
      <c r="AE869" s="126" t="n"/>
      <c r="AF869" s="126" t="n"/>
      <c r="AG869" s="126" t="n"/>
      <c r="AH869" s="126" t="n"/>
      <c r="AI869" s="126" t="n"/>
      <c r="AJ869" s="126" t="n"/>
      <c r="AK869" s="126" t="n"/>
      <c r="AL869" s="126" t="n"/>
      <c r="AM869" s="126" t="n"/>
      <c r="AN869" s="126" t="n"/>
    </row>
    <row r="870" ht="21" customFormat="1" customHeight="1" s="127">
      <c r="A870" s="51">
        <f>IF($B870="","",ROW()-6)</f>
        <v/>
      </c>
      <c r="B870" s="268" t="n"/>
      <c r="C870" s="133" t="n"/>
      <c r="D870" s="50" t="n"/>
      <c r="E870" s="265" t="n"/>
      <c r="F870" s="133" t="n"/>
      <c r="G870" s="133" t="n"/>
      <c r="H870" s="50" t="n"/>
      <c r="I870" s="51">
        <f>IF($C870="","",IFERROR(INDEX(WorkerIDs,MATCH($C870,WorkerNames,0)),"?"))</f>
        <v/>
      </c>
      <c r="J870" s="253">
        <f>IF($B870="","",$B870-WEEKDAY($B870,2)+1)</f>
        <v/>
      </c>
      <c r="K870" s="142">
        <f>IF(OR($I870="",$I870="?",$D870&lt;&gt;"Advance",$B870=""),"",$I870&amp;"|"&amp;$J870&amp;"|"&amp;COUNTIFS($I$7:$I870,$I870,$J$7:$J870,$J870,$D$7:$D870,"Advance"))</f>
        <v/>
      </c>
      <c r="L870" s="266">
        <f>IF(OR($I870="",$I870="?",$B870=""),"",SUMPRODUCT((Weeks!$A$7:$A$59&lt;=$J870)*(Weeks!$X$5:$AI$5=$I870)*Weeks!$X$7:$AI$59)-SUMIFS($E$7:$E$1006,$I$7:$I$1006,$I870,$B$7:$B$1006,"&lt;="&amp;$B870))</f>
        <v/>
      </c>
      <c r="M870" s="132">
        <f>IF($B870&amp;$C870&amp;$D870&amp;$E870="","",IF($B870="","missing date",IF($C870="","missing worker",IF($I870="?","unknown worker - was the name changed on Workers?",IF($D870="","missing type",IF(N($E870)=0,"missing amount",IF(AND($E870&lt;0,$D870&lt;&gt;"Correction"),"negative amount - use a Correction to undo",IF(OR($B870&lt;Weeks!$A$7,$B870&gt;Weeks!$B$59),"date outside this workbook's year",IF(AND($D870="Advance",N($L870)&lt;0),"Warning: more than earned so far - worker now owes "&amp;TEXT(ROUND(-$L870,0),"#,##0"),"")))))))))</f>
        <v/>
      </c>
      <c r="N870" s="125" t="n"/>
      <c r="O870" s="126" t="n"/>
      <c r="P870" s="126" t="n"/>
      <c r="Q870" s="126" t="n"/>
      <c r="R870" s="126" t="n"/>
      <c r="S870" s="126" t="n"/>
      <c r="T870" s="126" t="n"/>
      <c r="U870" s="126" t="n"/>
      <c r="V870" s="126" t="n"/>
      <c r="W870" s="126" t="n"/>
      <c r="X870" s="126" t="n"/>
      <c r="Y870" s="126" t="n"/>
      <c r="Z870" s="126" t="n"/>
      <c r="AA870" s="126" t="n"/>
      <c r="AB870" s="126" t="n"/>
      <c r="AC870" s="126" t="n"/>
      <c r="AD870" s="126" t="n"/>
      <c r="AE870" s="126" t="n"/>
      <c r="AF870" s="126" t="n"/>
      <c r="AG870" s="126" t="n"/>
      <c r="AH870" s="126" t="n"/>
      <c r="AI870" s="126" t="n"/>
      <c r="AJ870" s="126" t="n"/>
      <c r="AK870" s="126" t="n"/>
      <c r="AL870" s="126" t="n"/>
      <c r="AM870" s="126" t="n"/>
      <c r="AN870" s="126" t="n"/>
    </row>
    <row r="871" ht="21" customFormat="1" customHeight="1" s="127">
      <c r="A871" s="51">
        <f>IF($B871="","",ROW()-6)</f>
        <v/>
      </c>
      <c r="B871" s="268" t="n"/>
      <c r="C871" s="133" t="n"/>
      <c r="D871" s="50" t="n"/>
      <c r="E871" s="265" t="n"/>
      <c r="F871" s="133" t="n"/>
      <c r="G871" s="133" t="n"/>
      <c r="H871" s="50" t="n"/>
      <c r="I871" s="51">
        <f>IF($C871="","",IFERROR(INDEX(WorkerIDs,MATCH($C871,WorkerNames,0)),"?"))</f>
        <v/>
      </c>
      <c r="J871" s="253">
        <f>IF($B871="","",$B871-WEEKDAY($B871,2)+1)</f>
        <v/>
      </c>
      <c r="K871" s="142">
        <f>IF(OR($I871="",$I871="?",$D871&lt;&gt;"Advance",$B871=""),"",$I871&amp;"|"&amp;$J871&amp;"|"&amp;COUNTIFS($I$7:$I871,$I871,$J$7:$J871,$J871,$D$7:$D871,"Advance"))</f>
        <v/>
      </c>
      <c r="L871" s="266">
        <f>IF(OR($I871="",$I871="?",$B871=""),"",SUMPRODUCT((Weeks!$A$7:$A$59&lt;=$J871)*(Weeks!$X$5:$AI$5=$I871)*Weeks!$X$7:$AI$59)-SUMIFS($E$7:$E$1006,$I$7:$I$1006,$I871,$B$7:$B$1006,"&lt;="&amp;$B871))</f>
        <v/>
      </c>
      <c r="M871" s="132">
        <f>IF($B871&amp;$C871&amp;$D871&amp;$E871="","",IF($B871="","missing date",IF($C871="","missing worker",IF($I871="?","unknown worker - was the name changed on Workers?",IF($D871="","missing type",IF(N($E871)=0,"missing amount",IF(AND($E871&lt;0,$D871&lt;&gt;"Correction"),"negative amount - use a Correction to undo",IF(OR($B871&lt;Weeks!$A$7,$B871&gt;Weeks!$B$59),"date outside this workbook's year",IF(AND($D871="Advance",N($L871)&lt;0),"Warning: more than earned so far - worker now owes "&amp;TEXT(ROUND(-$L871,0),"#,##0"),"")))))))))</f>
        <v/>
      </c>
      <c r="N871" s="125" t="n"/>
      <c r="O871" s="126" t="n"/>
      <c r="P871" s="126" t="n"/>
      <c r="Q871" s="126" t="n"/>
      <c r="R871" s="126" t="n"/>
      <c r="S871" s="126" t="n"/>
      <c r="T871" s="126" t="n"/>
      <c r="U871" s="126" t="n"/>
      <c r="V871" s="126" t="n"/>
      <c r="W871" s="126" t="n"/>
      <c r="X871" s="126" t="n"/>
      <c r="Y871" s="126" t="n"/>
      <c r="Z871" s="126" t="n"/>
      <c r="AA871" s="126" t="n"/>
      <c r="AB871" s="126" t="n"/>
      <c r="AC871" s="126" t="n"/>
      <c r="AD871" s="126" t="n"/>
      <c r="AE871" s="126" t="n"/>
      <c r="AF871" s="126" t="n"/>
      <c r="AG871" s="126" t="n"/>
      <c r="AH871" s="126" t="n"/>
      <c r="AI871" s="126" t="n"/>
      <c r="AJ871" s="126" t="n"/>
      <c r="AK871" s="126" t="n"/>
      <c r="AL871" s="126" t="n"/>
      <c r="AM871" s="126" t="n"/>
      <c r="AN871" s="126" t="n"/>
    </row>
    <row r="872" ht="21" customFormat="1" customHeight="1" s="127">
      <c r="A872" s="51">
        <f>IF($B872="","",ROW()-6)</f>
        <v/>
      </c>
      <c r="B872" s="268" t="n"/>
      <c r="C872" s="133" t="n"/>
      <c r="D872" s="50" t="n"/>
      <c r="E872" s="265" t="n"/>
      <c r="F872" s="133" t="n"/>
      <c r="G872" s="133" t="n"/>
      <c r="H872" s="50" t="n"/>
      <c r="I872" s="51">
        <f>IF($C872="","",IFERROR(INDEX(WorkerIDs,MATCH($C872,WorkerNames,0)),"?"))</f>
        <v/>
      </c>
      <c r="J872" s="253">
        <f>IF($B872="","",$B872-WEEKDAY($B872,2)+1)</f>
        <v/>
      </c>
      <c r="K872" s="142">
        <f>IF(OR($I872="",$I872="?",$D872&lt;&gt;"Advance",$B872=""),"",$I872&amp;"|"&amp;$J872&amp;"|"&amp;COUNTIFS($I$7:$I872,$I872,$J$7:$J872,$J872,$D$7:$D872,"Advance"))</f>
        <v/>
      </c>
      <c r="L872" s="266">
        <f>IF(OR($I872="",$I872="?",$B872=""),"",SUMPRODUCT((Weeks!$A$7:$A$59&lt;=$J872)*(Weeks!$X$5:$AI$5=$I872)*Weeks!$X$7:$AI$59)-SUMIFS($E$7:$E$1006,$I$7:$I$1006,$I872,$B$7:$B$1006,"&lt;="&amp;$B872))</f>
        <v/>
      </c>
      <c r="M872" s="132">
        <f>IF($B872&amp;$C872&amp;$D872&amp;$E872="","",IF($B872="","missing date",IF($C872="","missing worker",IF($I872="?","unknown worker - was the name changed on Workers?",IF($D872="","missing type",IF(N($E872)=0,"missing amount",IF(AND($E872&lt;0,$D872&lt;&gt;"Correction"),"negative amount - use a Correction to undo",IF(OR($B872&lt;Weeks!$A$7,$B872&gt;Weeks!$B$59),"date outside this workbook's year",IF(AND($D872="Advance",N($L872)&lt;0),"Warning: more than earned so far - worker now owes "&amp;TEXT(ROUND(-$L872,0),"#,##0"),"")))))))))</f>
        <v/>
      </c>
      <c r="N872" s="125" t="n"/>
      <c r="O872" s="126" t="n"/>
      <c r="P872" s="126" t="n"/>
      <c r="Q872" s="126" t="n"/>
      <c r="R872" s="126" t="n"/>
      <c r="S872" s="126" t="n"/>
      <c r="T872" s="126" t="n"/>
      <c r="U872" s="126" t="n"/>
      <c r="V872" s="126" t="n"/>
      <c r="W872" s="126" t="n"/>
      <c r="X872" s="126" t="n"/>
      <c r="Y872" s="126" t="n"/>
      <c r="Z872" s="126" t="n"/>
      <c r="AA872" s="126" t="n"/>
      <c r="AB872" s="126" t="n"/>
      <c r="AC872" s="126" t="n"/>
      <c r="AD872" s="126" t="n"/>
      <c r="AE872" s="126" t="n"/>
      <c r="AF872" s="126" t="n"/>
      <c r="AG872" s="126" t="n"/>
      <c r="AH872" s="126" t="n"/>
      <c r="AI872" s="126" t="n"/>
      <c r="AJ872" s="126" t="n"/>
      <c r="AK872" s="126" t="n"/>
      <c r="AL872" s="126" t="n"/>
      <c r="AM872" s="126" t="n"/>
      <c r="AN872" s="126" t="n"/>
    </row>
    <row r="873" ht="21" customFormat="1" customHeight="1" s="127">
      <c r="A873" s="51">
        <f>IF($B873="","",ROW()-6)</f>
        <v/>
      </c>
      <c r="B873" s="268" t="n"/>
      <c r="C873" s="133" t="n"/>
      <c r="D873" s="50" t="n"/>
      <c r="E873" s="265" t="n"/>
      <c r="F873" s="133" t="n"/>
      <c r="G873" s="133" t="n"/>
      <c r="H873" s="50" t="n"/>
      <c r="I873" s="51">
        <f>IF($C873="","",IFERROR(INDEX(WorkerIDs,MATCH($C873,WorkerNames,0)),"?"))</f>
        <v/>
      </c>
      <c r="J873" s="253">
        <f>IF($B873="","",$B873-WEEKDAY($B873,2)+1)</f>
        <v/>
      </c>
      <c r="K873" s="142">
        <f>IF(OR($I873="",$I873="?",$D873&lt;&gt;"Advance",$B873=""),"",$I873&amp;"|"&amp;$J873&amp;"|"&amp;COUNTIFS($I$7:$I873,$I873,$J$7:$J873,$J873,$D$7:$D873,"Advance"))</f>
        <v/>
      </c>
      <c r="L873" s="266">
        <f>IF(OR($I873="",$I873="?",$B873=""),"",SUMPRODUCT((Weeks!$A$7:$A$59&lt;=$J873)*(Weeks!$X$5:$AI$5=$I873)*Weeks!$X$7:$AI$59)-SUMIFS($E$7:$E$1006,$I$7:$I$1006,$I873,$B$7:$B$1006,"&lt;="&amp;$B873))</f>
        <v/>
      </c>
      <c r="M873" s="132">
        <f>IF($B873&amp;$C873&amp;$D873&amp;$E873="","",IF($B873="","missing date",IF($C873="","missing worker",IF($I873="?","unknown worker - was the name changed on Workers?",IF($D873="","missing type",IF(N($E873)=0,"missing amount",IF(AND($E873&lt;0,$D873&lt;&gt;"Correction"),"negative amount - use a Correction to undo",IF(OR($B873&lt;Weeks!$A$7,$B873&gt;Weeks!$B$59),"date outside this workbook's year",IF(AND($D873="Advance",N($L873)&lt;0),"Warning: more than earned so far - worker now owes "&amp;TEXT(ROUND(-$L873,0),"#,##0"),"")))))))))</f>
        <v/>
      </c>
      <c r="N873" s="125" t="n"/>
      <c r="O873" s="126" t="n"/>
      <c r="P873" s="126" t="n"/>
      <c r="Q873" s="126" t="n"/>
      <c r="R873" s="126" t="n"/>
      <c r="S873" s="126" t="n"/>
      <c r="T873" s="126" t="n"/>
      <c r="U873" s="126" t="n"/>
      <c r="V873" s="126" t="n"/>
      <c r="W873" s="126" t="n"/>
      <c r="X873" s="126" t="n"/>
      <c r="Y873" s="126" t="n"/>
      <c r="Z873" s="126" t="n"/>
      <c r="AA873" s="126" t="n"/>
      <c r="AB873" s="126" t="n"/>
      <c r="AC873" s="126" t="n"/>
      <c r="AD873" s="126" t="n"/>
      <c r="AE873" s="126" t="n"/>
      <c r="AF873" s="126" t="n"/>
      <c r="AG873" s="126" t="n"/>
      <c r="AH873" s="126" t="n"/>
      <c r="AI873" s="126" t="n"/>
      <c r="AJ873" s="126" t="n"/>
      <c r="AK873" s="126" t="n"/>
      <c r="AL873" s="126" t="n"/>
      <c r="AM873" s="126" t="n"/>
      <c r="AN873" s="126" t="n"/>
    </row>
    <row r="874" ht="21" customFormat="1" customHeight="1" s="127">
      <c r="A874" s="51">
        <f>IF($B874="","",ROW()-6)</f>
        <v/>
      </c>
      <c r="B874" s="268" t="n"/>
      <c r="C874" s="133" t="n"/>
      <c r="D874" s="50" t="n"/>
      <c r="E874" s="265" t="n"/>
      <c r="F874" s="133" t="n"/>
      <c r="G874" s="133" t="n"/>
      <c r="H874" s="50" t="n"/>
      <c r="I874" s="51">
        <f>IF($C874="","",IFERROR(INDEX(WorkerIDs,MATCH($C874,WorkerNames,0)),"?"))</f>
        <v/>
      </c>
      <c r="J874" s="253">
        <f>IF($B874="","",$B874-WEEKDAY($B874,2)+1)</f>
        <v/>
      </c>
      <c r="K874" s="142">
        <f>IF(OR($I874="",$I874="?",$D874&lt;&gt;"Advance",$B874=""),"",$I874&amp;"|"&amp;$J874&amp;"|"&amp;COUNTIFS($I$7:$I874,$I874,$J$7:$J874,$J874,$D$7:$D874,"Advance"))</f>
        <v/>
      </c>
      <c r="L874" s="266">
        <f>IF(OR($I874="",$I874="?",$B874=""),"",SUMPRODUCT((Weeks!$A$7:$A$59&lt;=$J874)*(Weeks!$X$5:$AI$5=$I874)*Weeks!$X$7:$AI$59)-SUMIFS($E$7:$E$1006,$I$7:$I$1006,$I874,$B$7:$B$1006,"&lt;="&amp;$B874))</f>
        <v/>
      </c>
      <c r="M874" s="132">
        <f>IF($B874&amp;$C874&amp;$D874&amp;$E874="","",IF($B874="","missing date",IF($C874="","missing worker",IF($I874="?","unknown worker - was the name changed on Workers?",IF($D874="","missing type",IF(N($E874)=0,"missing amount",IF(AND($E874&lt;0,$D874&lt;&gt;"Correction"),"negative amount - use a Correction to undo",IF(OR($B874&lt;Weeks!$A$7,$B874&gt;Weeks!$B$59),"date outside this workbook's year",IF(AND($D874="Advance",N($L874)&lt;0),"Warning: more than earned so far - worker now owes "&amp;TEXT(ROUND(-$L874,0),"#,##0"),"")))))))))</f>
        <v/>
      </c>
      <c r="N874" s="125" t="n"/>
      <c r="O874" s="126" t="n"/>
      <c r="P874" s="126" t="n"/>
      <c r="Q874" s="126" t="n"/>
      <c r="R874" s="126" t="n"/>
      <c r="S874" s="126" t="n"/>
      <c r="T874" s="126" t="n"/>
      <c r="U874" s="126" t="n"/>
      <c r="V874" s="126" t="n"/>
      <c r="W874" s="126" t="n"/>
      <c r="X874" s="126" t="n"/>
      <c r="Y874" s="126" t="n"/>
      <c r="Z874" s="126" t="n"/>
      <c r="AA874" s="126" t="n"/>
      <c r="AB874" s="126" t="n"/>
      <c r="AC874" s="126" t="n"/>
      <c r="AD874" s="126" t="n"/>
      <c r="AE874" s="126" t="n"/>
      <c r="AF874" s="126" t="n"/>
      <c r="AG874" s="126" t="n"/>
      <c r="AH874" s="126" t="n"/>
      <c r="AI874" s="126" t="n"/>
      <c r="AJ874" s="126" t="n"/>
      <c r="AK874" s="126" t="n"/>
      <c r="AL874" s="126" t="n"/>
      <c r="AM874" s="126" t="n"/>
      <c r="AN874" s="126" t="n"/>
    </row>
    <row r="875" ht="21" customFormat="1" customHeight="1" s="127">
      <c r="A875" s="51">
        <f>IF($B875="","",ROW()-6)</f>
        <v/>
      </c>
      <c r="B875" s="268" t="n"/>
      <c r="C875" s="133" t="n"/>
      <c r="D875" s="50" t="n"/>
      <c r="E875" s="265" t="n"/>
      <c r="F875" s="133" t="n"/>
      <c r="G875" s="133" t="n"/>
      <c r="H875" s="50" t="n"/>
      <c r="I875" s="51">
        <f>IF($C875="","",IFERROR(INDEX(WorkerIDs,MATCH($C875,WorkerNames,0)),"?"))</f>
        <v/>
      </c>
      <c r="J875" s="253">
        <f>IF($B875="","",$B875-WEEKDAY($B875,2)+1)</f>
        <v/>
      </c>
      <c r="K875" s="142">
        <f>IF(OR($I875="",$I875="?",$D875&lt;&gt;"Advance",$B875=""),"",$I875&amp;"|"&amp;$J875&amp;"|"&amp;COUNTIFS($I$7:$I875,$I875,$J$7:$J875,$J875,$D$7:$D875,"Advance"))</f>
        <v/>
      </c>
      <c r="L875" s="266">
        <f>IF(OR($I875="",$I875="?",$B875=""),"",SUMPRODUCT((Weeks!$A$7:$A$59&lt;=$J875)*(Weeks!$X$5:$AI$5=$I875)*Weeks!$X$7:$AI$59)-SUMIFS($E$7:$E$1006,$I$7:$I$1006,$I875,$B$7:$B$1006,"&lt;="&amp;$B875))</f>
        <v/>
      </c>
      <c r="M875" s="132">
        <f>IF($B875&amp;$C875&amp;$D875&amp;$E875="","",IF($B875="","missing date",IF($C875="","missing worker",IF($I875="?","unknown worker - was the name changed on Workers?",IF($D875="","missing type",IF(N($E875)=0,"missing amount",IF(AND($E875&lt;0,$D875&lt;&gt;"Correction"),"negative amount - use a Correction to undo",IF(OR($B875&lt;Weeks!$A$7,$B875&gt;Weeks!$B$59),"date outside this workbook's year",IF(AND($D875="Advance",N($L875)&lt;0),"Warning: more than earned so far - worker now owes "&amp;TEXT(ROUND(-$L875,0),"#,##0"),"")))))))))</f>
        <v/>
      </c>
      <c r="N875" s="125" t="n"/>
      <c r="O875" s="126" t="n"/>
      <c r="P875" s="126" t="n"/>
      <c r="Q875" s="126" t="n"/>
      <c r="R875" s="126" t="n"/>
      <c r="S875" s="126" t="n"/>
      <c r="T875" s="126" t="n"/>
      <c r="U875" s="126" t="n"/>
      <c r="V875" s="126" t="n"/>
      <c r="W875" s="126" t="n"/>
      <c r="X875" s="126" t="n"/>
      <c r="Y875" s="126" t="n"/>
      <c r="Z875" s="126" t="n"/>
      <c r="AA875" s="126" t="n"/>
      <c r="AB875" s="126" t="n"/>
      <c r="AC875" s="126" t="n"/>
      <c r="AD875" s="126" t="n"/>
      <c r="AE875" s="126" t="n"/>
      <c r="AF875" s="126" t="n"/>
      <c r="AG875" s="126" t="n"/>
      <c r="AH875" s="126" t="n"/>
      <c r="AI875" s="126" t="n"/>
      <c r="AJ875" s="126" t="n"/>
      <c r="AK875" s="126" t="n"/>
      <c r="AL875" s="126" t="n"/>
      <c r="AM875" s="126" t="n"/>
      <c r="AN875" s="126" t="n"/>
    </row>
    <row r="876" ht="21" customFormat="1" customHeight="1" s="127">
      <c r="A876" s="51">
        <f>IF($B876="","",ROW()-6)</f>
        <v/>
      </c>
      <c r="B876" s="268" t="n"/>
      <c r="C876" s="133" t="n"/>
      <c r="D876" s="50" t="n"/>
      <c r="E876" s="265" t="n"/>
      <c r="F876" s="133" t="n"/>
      <c r="G876" s="133" t="n"/>
      <c r="H876" s="50" t="n"/>
      <c r="I876" s="51">
        <f>IF($C876="","",IFERROR(INDEX(WorkerIDs,MATCH($C876,WorkerNames,0)),"?"))</f>
        <v/>
      </c>
      <c r="J876" s="253">
        <f>IF($B876="","",$B876-WEEKDAY($B876,2)+1)</f>
        <v/>
      </c>
      <c r="K876" s="142">
        <f>IF(OR($I876="",$I876="?",$D876&lt;&gt;"Advance",$B876=""),"",$I876&amp;"|"&amp;$J876&amp;"|"&amp;COUNTIFS($I$7:$I876,$I876,$J$7:$J876,$J876,$D$7:$D876,"Advance"))</f>
        <v/>
      </c>
      <c r="L876" s="266">
        <f>IF(OR($I876="",$I876="?",$B876=""),"",SUMPRODUCT((Weeks!$A$7:$A$59&lt;=$J876)*(Weeks!$X$5:$AI$5=$I876)*Weeks!$X$7:$AI$59)-SUMIFS($E$7:$E$1006,$I$7:$I$1006,$I876,$B$7:$B$1006,"&lt;="&amp;$B876))</f>
        <v/>
      </c>
      <c r="M876" s="132">
        <f>IF($B876&amp;$C876&amp;$D876&amp;$E876="","",IF($B876="","missing date",IF($C876="","missing worker",IF($I876="?","unknown worker - was the name changed on Workers?",IF($D876="","missing type",IF(N($E876)=0,"missing amount",IF(AND($E876&lt;0,$D876&lt;&gt;"Correction"),"negative amount - use a Correction to undo",IF(OR($B876&lt;Weeks!$A$7,$B876&gt;Weeks!$B$59),"date outside this workbook's year",IF(AND($D876="Advance",N($L876)&lt;0),"Warning: more than earned so far - worker now owes "&amp;TEXT(ROUND(-$L876,0),"#,##0"),"")))))))))</f>
        <v/>
      </c>
      <c r="N876" s="125" t="n"/>
      <c r="O876" s="126" t="n"/>
      <c r="P876" s="126" t="n"/>
      <c r="Q876" s="126" t="n"/>
      <c r="R876" s="126" t="n"/>
      <c r="S876" s="126" t="n"/>
      <c r="T876" s="126" t="n"/>
      <c r="U876" s="126" t="n"/>
      <c r="V876" s="126" t="n"/>
      <c r="W876" s="126" t="n"/>
      <c r="X876" s="126" t="n"/>
      <c r="Y876" s="126" t="n"/>
      <c r="Z876" s="126" t="n"/>
      <c r="AA876" s="126" t="n"/>
      <c r="AB876" s="126" t="n"/>
      <c r="AC876" s="126" t="n"/>
      <c r="AD876" s="126" t="n"/>
      <c r="AE876" s="126" t="n"/>
      <c r="AF876" s="126" t="n"/>
      <c r="AG876" s="126" t="n"/>
      <c r="AH876" s="126" t="n"/>
      <c r="AI876" s="126" t="n"/>
      <c r="AJ876" s="126" t="n"/>
      <c r="AK876" s="126" t="n"/>
      <c r="AL876" s="126" t="n"/>
      <c r="AM876" s="126" t="n"/>
      <c r="AN876" s="126" t="n"/>
    </row>
    <row r="877" ht="21" customFormat="1" customHeight="1" s="127">
      <c r="A877" s="51">
        <f>IF($B877="","",ROW()-6)</f>
        <v/>
      </c>
      <c r="B877" s="268" t="n"/>
      <c r="C877" s="133" t="n"/>
      <c r="D877" s="50" t="n"/>
      <c r="E877" s="265" t="n"/>
      <c r="F877" s="133" t="n"/>
      <c r="G877" s="133" t="n"/>
      <c r="H877" s="50" t="n"/>
      <c r="I877" s="51">
        <f>IF($C877="","",IFERROR(INDEX(WorkerIDs,MATCH($C877,WorkerNames,0)),"?"))</f>
        <v/>
      </c>
      <c r="J877" s="253">
        <f>IF($B877="","",$B877-WEEKDAY($B877,2)+1)</f>
        <v/>
      </c>
      <c r="K877" s="142">
        <f>IF(OR($I877="",$I877="?",$D877&lt;&gt;"Advance",$B877=""),"",$I877&amp;"|"&amp;$J877&amp;"|"&amp;COUNTIFS($I$7:$I877,$I877,$J$7:$J877,$J877,$D$7:$D877,"Advance"))</f>
        <v/>
      </c>
      <c r="L877" s="266">
        <f>IF(OR($I877="",$I877="?",$B877=""),"",SUMPRODUCT((Weeks!$A$7:$A$59&lt;=$J877)*(Weeks!$X$5:$AI$5=$I877)*Weeks!$X$7:$AI$59)-SUMIFS($E$7:$E$1006,$I$7:$I$1006,$I877,$B$7:$B$1006,"&lt;="&amp;$B877))</f>
        <v/>
      </c>
      <c r="M877" s="132">
        <f>IF($B877&amp;$C877&amp;$D877&amp;$E877="","",IF($B877="","missing date",IF($C877="","missing worker",IF($I877="?","unknown worker - was the name changed on Workers?",IF($D877="","missing type",IF(N($E877)=0,"missing amount",IF(AND($E877&lt;0,$D877&lt;&gt;"Correction"),"negative amount - use a Correction to undo",IF(OR($B877&lt;Weeks!$A$7,$B877&gt;Weeks!$B$59),"date outside this workbook's year",IF(AND($D877="Advance",N($L877)&lt;0),"Warning: more than earned so far - worker now owes "&amp;TEXT(ROUND(-$L877,0),"#,##0"),"")))))))))</f>
        <v/>
      </c>
      <c r="N877" s="125" t="n"/>
      <c r="O877" s="126" t="n"/>
      <c r="P877" s="126" t="n"/>
      <c r="Q877" s="126" t="n"/>
      <c r="R877" s="126" t="n"/>
      <c r="S877" s="126" t="n"/>
      <c r="T877" s="126" t="n"/>
      <c r="U877" s="126" t="n"/>
      <c r="V877" s="126" t="n"/>
      <c r="W877" s="126" t="n"/>
      <c r="X877" s="126" t="n"/>
      <c r="Y877" s="126" t="n"/>
      <c r="Z877" s="126" t="n"/>
      <c r="AA877" s="126" t="n"/>
      <c r="AB877" s="126" t="n"/>
      <c r="AC877" s="126" t="n"/>
      <c r="AD877" s="126" t="n"/>
      <c r="AE877" s="126" t="n"/>
      <c r="AF877" s="126" t="n"/>
      <c r="AG877" s="126" t="n"/>
      <c r="AH877" s="126" t="n"/>
      <c r="AI877" s="126" t="n"/>
      <c r="AJ877" s="126" t="n"/>
      <c r="AK877" s="126" t="n"/>
      <c r="AL877" s="126" t="n"/>
      <c r="AM877" s="126" t="n"/>
      <c r="AN877" s="126" t="n"/>
    </row>
    <row r="878" ht="21" customFormat="1" customHeight="1" s="127">
      <c r="A878" s="51">
        <f>IF($B878="","",ROW()-6)</f>
        <v/>
      </c>
      <c r="B878" s="268" t="n"/>
      <c r="C878" s="133" t="n"/>
      <c r="D878" s="50" t="n"/>
      <c r="E878" s="265" t="n"/>
      <c r="F878" s="133" t="n"/>
      <c r="G878" s="133" t="n"/>
      <c r="H878" s="50" t="n"/>
      <c r="I878" s="51">
        <f>IF($C878="","",IFERROR(INDEX(WorkerIDs,MATCH($C878,WorkerNames,0)),"?"))</f>
        <v/>
      </c>
      <c r="J878" s="253">
        <f>IF($B878="","",$B878-WEEKDAY($B878,2)+1)</f>
        <v/>
      </c>
      <c r="K878" s="142">
        <f>IF(OR($I878="",$I878="?",$D878&lt;&gt;"Advance",$B878=""),"",$I878&amp;"|"&amp;$J878&amp;"|"&amp;COUNTIFS($I$7:$I878,$I878,$J$7:$J878,$J878,$D$7:$D878,"Advance"))</f>
        <v/>
      </c>
      <c r="L878" s="266">
        <f>IF(OR($I878="",$I878="?",$B878=""),"",SUMPRODUCT((Weeks!$A$7:$A$59&lt;=$J878)*(Weeks!$X$5:$AI$5=$I878)*Weeks!$X$7:$AI$59)-SUMIFS($E$7:$E$1006,$I$7:$I$1006,$I878,$B$7:$B$1006,"&lt;="&amp;$B878))</f>
        <v/>
      </c>
      <c r="M878" s="132">
        <f>IF($B878&amp;$C878&amp;$D878&amp;$E878="","",IF($B878="","missing date",IF($C878="","missing worker",IF($I878="?","unknown worker - was the name changed on Workers?",IF($D878="","missing type",IF(N($E878)=0,"missing amount",IF(AND($E878&lt;0,$D878&lt;&gt;"Correction"),"negative amount - use a Correction to undo",IF(OR($B878&lt;Weeks!$A$7,$B878&gt;Weeks!$B$59),"date outside this workbook's year",IF(AND($D878="Advance",N($L878)&lt;0),"Warning: more than earned so far - worker now owes "&amp;TEXT(ROUND(-$L878,0),"#,##0"),"")))))))))</f>
        <v/>
      </c>
      <c r="N878" s="125" t="n"/>
      <c r="O878" s="126" t="n"/>
      <c r="P878" s="126" t="n"/>
      <c r="Q878" s="126" t="n"/>
      <c r="R878" s="126" t="n"/>
      <c r="S878" s="126" t="n"/>
      <c r="T878" s="126" t="n"/>
      <c r="U878" s="126" t="n"/>
      <c r="V878" s="126" t="n"/>
      <c r="W878" s="126" t="n"/>
      <c r="X878" s="126" t="n"/>
      <c r="Y878" s="126" t="n"/>
      <c r="Z878" s="126" t="n"/>
      <c r="AA878" s="126" t="n"/>
      <c r="AB878" s="126" t="n"/>
      <c r="AC878" s="126" t="n"/>
      <c r="AD878" s="126" t="n"/>
      <c r="AE878" s="126" t="n"/>
      <c r="AF878" s="126" t="n"/>
      <c r="AG878" s="126" t="n"/>
      <c r="AH878" s="126" t="n"/>
      <c r="AI878" s="126" t="n"/>
      <c r="AJ878" s="126" t="n"/>
      <c r="AK878" s="126" t="n"/>
      <c r="AL878" s="126" t="n"/>
      <c r="AM878" s="126" t="n"/>
      <c r="AN878" s="126" t="n"/>
    </row>
    <row r="879" ht="21" customFormat="1" customHeight="1" s="127">
      <c r="A879" s="51">
        <f>IF($B879="","",ROW()-6)</f>
        <v/>
      </c>
      <c r="B879" s="268" t="n"/>
      <c r="C879" s="133" t="n"/>
      <c r="D879" s="50" t="n"/>
      <c r="E879" s="265" t="n"/>
      <c r="F879" s="133" t="n"/>
      <c r="G879" s="133" t="n"/>
      <c r="H879" s="50" t="n"/>
      <c r="I879" s="51">
        <f>IF($C879="","",IFERROR(INDEX(WorkerIDs,MATCH($C879,WorkerNames,0)),"?"))</f>
        <v/>
      </c>
      <c r="J879" s="253">
        <f>IF($B879="","",$B879-WEEKDAY($B879,2)+1)</f>
        <v/>
      </c>
      <c r="K879" s="142">
        <f>IF(OR($I879="",$I879="?",$D879&lt;&gt;"Advance",$B879=""),"",$I879&amp;"|"&amp;$J879&amp;"|"&amp;COUNTIFS($I$7:$I879,$I879,$J$7:$J879,$J879,$D$7:$D879,"Advance"))</f>
        <v/>
      </c>
      <c r="L879" s="266">
        <f>IF(OR($I879="",$I879="?",$B879=""),"",SUMPRODUCT((Weeks!$A$7:$A$59&lt;=$J879)*(Weeks!$X$5:$AI$5=$I879)*Weeks!$X$7:$AI$59)-SUMIFS($E$7:$E$1006,$I$7:$I$1006,$I879,$B$7:$B$1006,"&lt;="&amp;$B879))</f>
        <v/>
      </c>
      <c r="M879" s="132">
        <f>IF($B879&amp;$C879&amp;$D879&amp;$E879="","",IF($B879="","missing date",IF($C879="","missing worker",IF($I879="?","unknown worker - was the name changed on Workers?",IF($D879="","missing type",IF(N($E879)=0,"missing amount",IF(AND($E879&lt;0,$D879&lt;&gt;"Correction"),"negative amount - use a Correction to undo",IF(OR($B879&lt;Weeks!$A$7,$B879&gt;Weeks!$B$59),"date outside this workbook's year",IF(AND($D879="Advance",N($L879)&lt;0),"Warning: more than earned so far - worker now owes "&amp;TEXT(ROUND(-$L879,0),"#,##0"),"")))))))))</f>
        <v/>
      </c>
      <c r="N879" s="125" t="n"/>
      <c r="O879" s="126" t="n"/>
      <c r="P879" s="126" t="n"/>
      <c r="Q879" s="126" t="n"/>
      <c r="R879" s="126" t="n"/>
      <c r="S879" s="126" t="n"/>
      <c r="T879" s="126" t="n"/>
      <c r="U879" s="126" t="n"/>
      <c r="V879" s="126" t="n"/>
      <c r="W879" s="126" t="n"/>
      <c r="X879" s="126" t="n"/>
      <c r="Y879" s="126" t="n"/>
      <c r="Z879" s="126" t="n"/>
      <c r="AA879" s="126" t="n"/>
      <c r="AB879" s="126" t="n"/>
      <c r="AC879" s="126" t="n"/>
      <c r="AD879" s="126" t="n"/>
      <c r="AE879" s="126" t="n"/>
      <c r="AF879" s="126" t="n"/>
      <c r="AG879" s="126" t="n"/>
      <c r="AH879" s="126" t="n"/>
      <c r="AI879" s="126" t="n"/>
      <c r="AJ879" s="126" t="n"/>
      <c r="AK879" s="126" t="n"/>
      <c r="AL879" s="126" t="n"/>
      <c r="AM879" s="126" t="n"/>
      <c r="AN879" s="126" t="n"/>
    </row>
    <row r="880" ht="21" customFormat="1" customHeight="1" s="127">
      <c r="A880" s="51">
        <f>IF($B880="","",ROW()-6)</f>
        <v/>
      </c>
      <c r="B880" s="268" t="n"/>
      <c r="C880" s="133" t="n"/>
      <c r="D880" s="50" t="n"/>
      <c r="E880" s="265" t="n"/>
      <c r="F880" s="133" t="n"/>
      <c r="G880" s="133" t="n"/>
      <c r="H880" s="50" t="n"/>
      <c r="I880" s="51">
        <f>IF($C880="","",IFERROR(INDEX(WorkerIDs,MATCH($C880,WorkerNames,0)),"?"))</f>
        <v/>
      </c>
      <c r="J880" s="253">
        <f>IF($B880="","",$B880-WEEKDAY($B880,2)+1)</f>
        <v/>
      </c>
      <c r="K880" s="142">
        <f>IF(OR($I880="",$I880="?",$D880&lt;&gt;"Advance",$B880=""),"",$I880&amp;"|"&amp;$J880&amp;"|"&amp;COUNTIFS($I$7:$I880,$I880,$J$7:$J880,$J880,$D$7:$D880,"Advance"))</f>
        <v/>
      </c>
      <c r="L880" s="266">
        <f>IF(OR($I880="",$I880="?",$B880=""),"",SUMPRODUCT((Weeks!$A$7:$A$59&lt;=$J880)*(Weeks!$X$5:$AI$5=$I880)*Weeks!$X$7:$AI$59)-SUMIFS($E$7:$E$1006,$I$7:$I$1006,$I880,$B$7:$B$1006,"&lt;="&amp;$B880))</f>
        <v/>
      </c>
      <c r="M880" s="132">
        <f>IF($B880&amp;$C880&amp;$D880&amp;$E880="","",IF($B880="","missing date",IF($C880="","missing worker",IF($I880="?","unknown worker - was the name changed on Workers?",IF($D880="","missing type",IF(N($E880)=0,"missing amount",IF(AND($E880&lt;0,$D880&lt;&gt;"Correction"),"negative amount - use a Correction to undo",IF(OR($B880&lt;Weeks!$A$7,$B880&gt;Weeks!$B$59),"date outside this workbook's year",IF(AND($D880="Advance",N($L880)&lt;0),"Warning: more than earned so far - worker now owes "&amp;TEXT(ROUND(-$L880,0),"#,##0"),"")))))))))</f>
        <v/>
      </c>
      <c r="N880" s="125" t="n"/>
      <c r="O880" s="126" t="n"/>
      <c r="P880" s="126" t="n"/>
      <c r="Q880" s="126" t="n"/>
      <c r="R880" s="126" t="n"/>
      <c r="S880" s="126" t="n"/>
      <c r="T880" s="126" t="n"/>
      <c r="U880" s="126" t="n"/>
      <c r="V880" s="126" t="n"/>
      <c r="W880" s="126" t="n"/>
      <c r="X880" s="126" t="n"/>
      <c r="Y880" s="126" t="n"/>
      <c r="Z880" s="126" t="n"/>
      <c r="AA880" s="126" t="n"/>
      <c r="AB880" s="126" t="n"/>
      <c r="AC880" s="126" t="n"/>
      <c r="AD880" s="126" t="n"/>
      <c r="AE880" s="126" t="n"/>
      <c r="AF880" s="126" t="n"/>
      <c r="AG880" s="126" t="n"/>
      <c r="AH880" s="126" t="n"/>
      <c r="AI880" s="126" t="n"/>
      <c r="AJ880" s="126" t="n"/>
      <c r="AK880" s="126" t="n"/>
      <c r="AL880" s="126" t="n"/>
      <c r="AM880" s="126" t="n"/>
      <c r="AN880" s="126" t="n"/>
    </row>
    <row r="881" ht="21" customFormat="1" customHeight="1" s="127">
      <c r="A881" s="51">
        <f>IF($B881="","",ROW()-6)</f>
        <v/>
      </c>
      <c r="B881" s="268" t="n"/>
      <c r="C881" s="133" t="n"/>
      <c r="D881" s="50" t="n"/>
      <c r="E881" s="265" t="n"/>
      <c r="F881" s="133" t="n"/>
      <c r="G881" s="133" t="n"/>
      <c r="H881" s="50" t="n"/>
      <c r="I881" s="51">
        <f>IF($C881="","",IFERROR(INDEX(WorkerIDs,MATCH($C881,WorkerNames,0)),"?"))</f>
        <v/>
      </c>
      <c r="J881" s="253">
        <f>IF($B881="","",$B881-WEEKDAY($B881,2)+1)</f>
        <v/>
      </c>
      <c r="K881" s="142">
        <f>IF(OR($I881="",$I881="?",$D881&lt;&gt;"Advance",$B881=""),"",$I881&amp;"|"&amp;$J881&amp;"|"&amp;COUNTIFS($I$7:$I881,$I881,$J$7:$J881,$J881,$D$7:$D881,"Advance"))</f>
        <v/>
      </c>
      <c r="L881" s="266">
        <f>IF(OR($I881="",$I881="?",$B881=""),"",SUMPRODUCT((Weeks!$A$7:$A$59&lt;=$J881)*(Weeks!$X$5:$AI$5=$I881)*Weeks!$X$7:$AI$59)-SUMIFS($E$7:$E$1006,$I$7:$I$1006,$I881,$B$7:$B$1006,"&lt;="&amp;$B881))</f>
        <v/>
      </c>
      <c r="M881" s="132">
        <f>IF($B881&amp;$C881&amp;$D881&amp;$E881="","",IF($B881="","missing date",IF($C881="","missing worker",IF($I881="?","unknown worker - was the name changed on Workers?",IF($D881="","missing type",IF(N($E881)=0,"missing amount",IF(AND($E881&lt;0,$D881&lt;&gt;"Correction"),"negative amount - use a Correction to undo",IF(OR($B881&lt;Weeks!$A$7,$B881&gt;Weeks!$B$59),"date outside this workbook's year",IF(AND($D881="Advance",N($L881)&lt;0),"Warning: more than earned so far - worker now owes "&amp;TEXT(ROUND(-$L881,0),"#,##0"),"")))))))))</f>
        <v/>
      </c>
      <c r="N881" s="125" t="n"/>
      <c r="O881" s="126" t="n"/>
      <c r="P881" s="126" t="n"/>
      <c r="Q881" s="126" t="n"/>
      <c r="R881" s="126" t="n"/>
      <c r="S881" s="126" t="n"/>
      <c r="T881" s="126" t="n"/>
      <c r="U881" s="126" t="n"/>
      <c r="V881" s="126" t="n"/>
      <c r="W881" s="126" t="n"/>
      <c r="X881" s="126" t="n"/>
      <c r="Y881" s="126" t="n"/>
      <c r="Z881" s="126" t="n"/>
      <c r="AA881" s="126" t="n"/>
      <c r="AB881" s="126" t="n"/>
      <c r="AC881" s="126" t="n"/>
      <c r="AD881" s="126" t="n"/>
      <c r="AE881" s="126" t="n"/>
      <c r="AF881" s="126" t="n"/>
      <c r="AG881" s="126" t="n"/>
      <c r="AH881" s="126" t="n"/>
      <c r="AI881" s="126" t="n"/>
      <c r="AJ881" s="126" t="n"/>
      <c r="AK881" s="126" t="n"/>
      <c r="AL881" s="126" t="n"/>
      <c r="AM881" s="126" t="n"/>
      <c r="AN881" s="126" t="n"/>
    </row>
    <row r="882" ht="21" customFormat="1" customHeight="1" s="127">
      <c r="A882" s="51">
        <f>IF($B882="","",ROW()-6)</f>
        <v/>
      </c>
      <c r="B882" s="268" t="n"/>
      <c r="C882" s="133" t="n"/>
      <c r="D882" s="50" t="n"/>
      <c r="E882" s="265" t="n"/>
      <c r="F882" s="133" t="n"/>
      <c r="G882" s="133" t="n"/>
      <c r="H882" s="50" t="n"/>
      <c r="I882" s="51">
        <f>IF($C882="","",IFERROR(INDEX(WorkerIDs,MATCH($C882,WorkerNames,0)),"?"))</f>
        <v/>
      </c>
      <c r="J882" s="253">
        <f>IF($B882="","",$B882-WEEKDAY($B882,2)+1)</f>
        <v/>
      </c>
      <c r="K882" s="142">
        <f>IF(OR($I882="",$I882="?",$D882&lt;&gt;"Advance",$B882=""),"",$I882&amp;"|"&amp;$J882&amp;"|"&amp;COUNTIFS($I$7:$I882,$I882,$J$7:$J882,$J882,$D$7:$D882,"Advance"))</f>
        <v/>
      </c>
      <c r="L882" s="266">
        <f>IF(OR($I882="",$I882="?",$B882=""),"",SUMPRODUCT((Weeks!$A$7:$A$59&lt;=$J882)*(Weeks!$X$5:$AI$5=$I882)*Weeks!$X$7:$AI$59)-SUMIFS($E$7:$E$1006,$I$7:$I$1006,$I882,$B$7:$B$1006,"&lt;="&amp;$B882))</f>
        <v/>
      </c>
      <c r="M882" s="132">
        <f>IF($B882&amp;$C882&amp;$D882&amp;$E882="","",IF($B882="","missing date",IF($C882="","missing worker",IF($I882="?","unknown worker - was the name changed on Workers?",IF($D882="","missing type",IF(N($E882)=0,"missing amount",IF(AND($E882&lt;0,$D882&lt;&gt;"Correction"),"negative amount - use a Correction to undo",IF(OR($B882&lt;Weeks!$A$7,$B882&gt;Weeks!$B$59),"date outside this workbook's year",IF(AND($D882="Advance",N($L882)&lt;0),"Warning: more than earned so far - worker now owes "&amp;TEXT(ROUND(-$L882,0),"#,##0"),"")))))))))</f>
        <v/>
      </c>
      <c r="N882" s="125" t="n"/>
      <c r="O882" s="126" t="n"/>
      <c r="P882" s="126" t="n"/>
      <c r="Q882" s="126" t="n"/>
      <c r="R882" s="126" t="n"/>
      <c r="S882" s="126" t="n"/>
      <c r="T882" s="126" t="n"/>
      <c r="U882" s="126" t="n"/>
      <c r="V882" s="126" t="n"/>
      <c r="W882" s="126" t="n"/>
      <c r="X882" s="126" t="n"/>
      <c r="Y882" s="126" t="n"/>
      <c r="Z882" s="126" t="n"/>
      <c r="AA882" s="126" t="n"/>
      <c r="AB882" s="126" t="n"/>
      <c r="AC882" s="126" t="n"/>
      <c r="AD882" s="126" t="n"/>
      <c r="AE882" s="126" t="n"/>
      <c r="AF882" s="126" t="n"/>
      <c r="AG882" s="126" t="n"/>
      <c r="AH882" s="126" t="n"/>
      <c r="AI882" s="126" t="n"/>
      <c r="AJ882" s="126" t="n"/>
      <c r="AK882" s="126" t="n"/>
      <c r="AL882" s="126" t="n"/>
      <c r="AM882" s="126" t="n"/>
      <c r="AN882" s="126" t="n"/>
    </row>
    <row r="883" ht="21" customFormat="1" customHeight="1" s="127">
      <c r="A883" s="51">
        <f>IF($B883="","",ROW()-6)</f>
        <v/>
      </c>
      <c r="B883" s="268" t="n"/>
      <c r="C883" s="133" t="n"/>
      <c r="D883" s="50" t="n"/>
      <c r="E883" s="265" t="n"/>
      <c r="F883" s="133" t="n"/>
      <c r="G883" s="133" t="n"/>
      <c r="H883" s="50" t="n"/>
      <c r="I883" s="51">
        <f>IF($C883="","",IFERROR(INDEX(WorkerIDs,MATCH($C883,WorkerNames,0)),"?"))</f>
        <v/>
      </c>
      <c r="J883" s="253">
        <f>IF($B883="","",$B883-WEEKDAY($B883,2)+1)</f>
        <v/>
      </c>
      <c r="K883" s="142">
        <f>IF(OR($I883="",$I883="?",$D883&lt;&gt;"Advance",$B883=""),"",$I883&amp;"|"&amp;$J883&amp;"|"&amp;COUNTIFS($I$7:$I883,$I883,$J$7:$J883,$J883,$D$7:$D883,"Advance"))</f>
        <v/>
      </c>
      <c r="L883" s="266">
        <f>IF(OR($I883="",$I883="?",$B883=""),"",SUMPRODUCT((Weeks!$A$7:$A$59&lt;=$J883)*(Weeks!$X$5:$AI$5=$I883)*Weeks!$X$7:$AI$59)-SUMIFS($E$7:$E$1006,$I$7:$I$1006,$I883,$B$7:$B$1006,"&lt;="&amp;$B883))</f>
        <v/>
      </c>
      <c r="M883" s="132">
        <f>IF($B883&amp;$C883&amp;$D883&amp;$E883="","",IF($B883="","missing date",IF($C883="","missing worker",IF($I883="?","unknown worker - was the name changed on Workers?",IF($D883="","missing type",IF(N($E883)=0,"missing amount",IF(AND($E883&lt;0,$D883&lt;&gt;"Correction"),"negative amount - use a Correction to undo",IF(OR($B883&lt;Weeks!$A$7,$B883&gt;Weeks!$B$59),"date outside this workbook's year",IF(AND($D883="Advance",N($L883)&lt;0),"Warning: more than earned so far - worker now owes "&amp;TEXT(ROUND(-$L883,0),"#,##0"),"")))))))))</f>
        <v/>
      </c>
      <c r="N883" s="125" t="n"/>
      <c r="O883" s="126" t="n"/>
      <c r="P883" s="126" t="n"/>
      <c r="Q883" s="126" t="n"/>
      <c r="R883" s="126" t="n"/>
      <c r="S883" s="126" t="n"/>
      <c r="T883" s="126" t="n"/>
      <c r="U883" s="126" t="n"/>
      <c r="V883" s="126" t="n"/>
      <c r="W883" s="126" t="n"/>
      <c r="X883" s="126" t="n"/>
      <c r="Y883" s="126" t="n"/>
      <c r="Z883" s="126" t="n"/>
      <c r="AA883" s="126" t="n"/>
      <c r="AB883" s="126" t="n"/>
      <c r="AC883" s="126" t="n"/>
      <c r="AD883" s="126" t="n"/>
      <c r="AE883" s="126" t="n"/>
      <c r="AF883" s="126" t="n"/>
      <c r="AG883" s="126" t="n"/>
      <c r="AH883" s="126" t="n"/>
      <c r="AI883" s="126" t="n"/>
      <c r="AJ883" s="126" t="n"/>
      <c r="AK883" s="126" t="n"/>
      <c r="AL883" s="126" t="n"/>
      <c r="AM883" s="126" t="n"/>
      <c r="AN883" s="126" t="n"/>
    </row>
    <row r="884" ht="21" customFormat="1" customHeight="1" s="127">
      <c r="A884" s="51">
        <f>IF($B884="","",ROW()-6)</f>
        <v/>
      </c>
      <c r="B884" s="268" t="n"/>
      <c r="C884" s="133" t="n"/>
      <c r="D884" s="50" t="n"/>
      <c r="E884" s="265" t="n"/>
      <c r="F884" s="133" t="n"/>
      <c r="G884" s="133" t="n"/>
      <c r="H884" s="50" t="n"/>
      <c r="I884" s="51">
        <f>IF($C884="","",IFERROR(INDEX(WorkerIDs,MATCH($C884,WorkerNames,0)),"?"))</f>
        <v/>
      </c>
      <c r="J884" s="253">
        <f>IF($B884="","",$B884-WEEKDAY($B884,2)+1)</f>
        <v/>
      </c>
      <c r="K884" s="142">
        <f>IF(OR($I884="",$I884="?",$D884&lt;&gt;"Advance",$B884=""),"",$I884&amp;"|"&amp;$J884&amp;"|"&amp;COUNTIFS($I$7:$I884,$I884,$J$7:$J884,$J884,$D$7:$D884,"Advance"))</f>
        <v/>
      </c>
      <c r="L884" s="266">
        <f>IF(OR($I884="",$I884="?",$B884=""),"",SUMPRODUCT((Weeks!$A$7:$A$59&lt;=$J884)*(Weeks!$X$5:$AI$5=$I884)*Weeks!$X$7:$AI$59)-SUMIFS($E$7:$E$1006,$I$7:$I$1006,$I884,$B$7:$B$1006,"&lt;="&amp;$B884))</f>
        <v/>
      </c>
      <c r="M884" s="132">
        <f>IF($B884&amp;$C884&amp;$D884&amp;$E884="","",IF($B884="","missing date",IF($C884="","missing worker",IF($I884="?","unknown worker - was the name changed on Workers?",IF($D884="","missing type",IF(N($E884)=0,"missing amount",IF(AND($E884&lt;0,$D884&lt;&gt;"Correction"),"negative amount - use a Correction to undo",IF(OR($B884&lt;Weeks!$A$7,$B884&gt;Weeks!$B$59),"date outside this workbook's year",IF(AND($D884="Advance",N($L884)&lt;0),"Warning: more than earned so far - worker now owes "&amp;TEXT(ROUND(-$L884,0),"#,##0"),"")))))))))</f>
        <v/>
      </c>
      <c r="N884" s="125" t="n"/>
      <c r="O884" s="126" t="n"/>
      <c r="P884" s="126" t="n"/>
      <c r="Q884" s="126" t="n"/>
      <c r="R884" s="126" t="n"/>
      <c r="S884" s="126" t="n"/>
      <c r="T884" s="126" t="n"/>
      <c r="U884" s="126" t="n"/>
      <c r="V884" s="126" t="n"/>
      <c r="W884" s="126" t="n"/>
      <c r="X884" s="126" t="n"/>
      <c r="Y884" s="126" t="n"/>
      <c r="Z884" s="126" t="n"/>
      <c r="AA884" s="126" t="n"/>
      <c r="AB884" s="126" t="n"/>
      <c r="AC884" s="126" t="n"/>
      <c r="AD884" s="126" t="n"/>
      <c r="AE884" s="126" t="n"/>
      <c r="AF884" s="126" t="n"/>
      <c r="AG884" s="126" t="n"/>
      <c r="AH884" s="126" t="n"/>
      <c r="AI884" s="126" t="n"/>
      <c r="AJ884" s="126" t="n"/>
      <c r="AK884" s="126" t="n"/>
      <c r="AL884" s="126" t="n"/>
      <c r="AM884" s="126" t="n"/>
      <c r="AN884" s="126" t="n"/>
    </row>
    <row r="885" ht="21" customFormat="1" customHeight="1" s="127">
      <c r="A885" s="51">
        <f>IF($B885="","",ROW()-6)</f>
        <v/>
      </c>
      <c r="B885" s="268" t="n"/>
      <c r="C885" s="133" t="n"/>
      <c r="D885" s="50" t="n"/>
      <c r="E885" s="265" t="n"/>
      <c r="F885" s="133" t="n"/>
      <c r="G885" s="133" t="n"/>
      <c r="H885" s="50" t="n"/>
      <c r="I885" s="51">
        <f>IF($C885="","",IFERROR(INDEX(WorkerIDs,MATCH($C885,WorkerNames,0)),"?"))</f>
        <v/>
      </c>
      <c r="J885" s="253">
        <f>IF($B885="","",$B885-WEEKDAY($B885,2)+1)</f>
        <v/>
      </c>
      <c r="K885" s="142">
        <f>IF(OR($I885="",$I885="?",$D885&lt;&gt;"Advance",$B885=""),"",$I885&amp;"|"&amp;$J885&amp;"|"&amp;COUNTIFS($I$7:$I885,$I885,$J$7:$J885,$J885,$D$7:$D885,"Advance"))</f>
        <v/>
      </c>
      <c r="L885" s="266">
        <f>IF(OR($I885="",$I885="?",$B885=""),"",SUMPRODUCT((Weeks!$A$7:$A$59&lt;=$J885)*(Weeks!$X$5:$AI$5=$I885)*Weeks!$X$7:$AI$59)-SUMIFS($E$7:$E$1006,$I$7:$I$1006,$I885,$B$7:$B$1006,"&lt;="&amp;$B885))</f>
        <v/>
      </c>
      <c r="M885" s="132">
        <f>IF($B885&amp;$C885&amp;$D885&amp;$E885="","",IF($B885="","missing date",IF($C885="","missing worker",IF($I885="?","unknown worker - was the name changed on Workers?",IF($D885="","missing type",IF(N($E885)=0,"missing amount",IF(AND($E885&lt;0,$D885&lt;&gt;"Correction"),"negative amount - use a Correction to undo",IF(OR($B885&lt;Weeks!$A$7,$B885&gt;Weeks!$B$59),"date outside this workbook's year",IF(AND($D885="Advance",N($L885)&lt;0),"Warning: more than earned so far - worker now owes "&amp;TEXT(ROUND(-$L885,0),"#,##0"),"")))))))))</f>
        <v/>
      </c>
      <c r="N885" s="125" t="n"/>
      <c r="O885" s="126" t="n"/>
      <c r="P885" s="126" t="n"/>
      <c r="Q885" s="126" t="n"/>
      <c r="R885" s="126" t="n"/>
      <c r="S885" s="126" t="n"/>
      <c r="T885" s="126" t="n"/>
      <c r="U885" s="126" t="n"/>
      <c r="V885" s="126" t="n"/>
      <c r="W885" s="126" t="n"/>
      <c r="X885" s="126" t="n"/>
      <c r="Y885" s="126" t="n"/>
      <c r="Z885" s="126" t="n"/>
      <c r="AA885" s="126" t="n"/>
      <c r="AB885" s="126" t="n"/>
      <c r="AC885" s="126" t="n"/>
      <c r="AD885" s="126" t="n"/>
      <c r="AE885" s="126" t="n"/>
      <c r="AF885" s="126" t="n"/>
      <c r="AG885" s="126" t="n"/>
      <c r="AH885" s="126" t="n"/>
      <c r="AI885" s="126" t="n"/>
      <c r="AJ885" s="126" t="n"/>
      <c r="AK885" s="126" t="n"/>
      <c r="AL885" s="126" t="n"/>
      <c r="AM885" s="126" t="n"/>
      <c r="AN885" s="126" t="n"/>
    </row>
    <row r="886" ht="21" customFormat="1" customHeight="1" s="127">
      <c r="A886" s="51">
        <f>IF($B886="","",ROW()-6)</f>
        <v/>
      </c>
      <c r="B886" s="268" t="n"/>
      <c r="C886" s="133" t="n"/>
      <c r="D886" s="50" t="n"/>
      <c r="E886" s="265" t="n"/>
      <c r="F886" s="133" t="n"/>
      <c r="G886" s="133" t="n"/>
      <c r="H886" s="50" t="n"/>
      <c r="I886" s="51">
        <f>IF($C886="","",IFERROR(INDEX(WorkerIDs,MATCH($C886,WorkerNames,0)),"?"))</f>
        <v/>
      </c>
      <c r="J886" s="253">
        <f>IF($B886="","",$B886-WEEKDAY($B886,2)+1)</f>
        <v/>
      </c>
      <c r="K886" s="142">
        <f>IF(OR($I886="",$I886="?",$D886&lt;&gt;"Advance",$B886=""),"",$I886&amp;"|"&amp;$J886&amp;"|"&amp;COUNTIFS($I$7:$I886,$I886,$J$7:$J886,$J886,$D$7:$D886,"Advance"))</f>
        <v/>
      </c>
      <c r="L886" s="266">
        <f>IF(OR($I886="",$I886="?",$B886=""),"",SUMPRODUCT((Weeks!$A$7:$A$59&lt;=$J886)*(Weeks!$X$5:$AI$5=$I886)*Weeks!$X$7:$AI$59)-SUMIFS($E$7:$E$1006,$I$7:$I$1006,$I886,$B$7:$B$1006,"&lt;="&amp;$B886))</f>
        <v/>
      </c>
      <c r="M886" s="132">
        <f>IF($B886&amp;$C886&amp;$D886&amp;$E886="","",IF($B886="","missing date",IF($C886="","missing worker",IF($I886="?","unknown worker - was the name changed on Workers?",IF($D886="","missing type",IF(N($E886)=0,"missing amount",IF(AND($E886&lt;0,$D886&lt;&gt;"Correction"),"negative amount - use a Correction to undo",IF(OR($B886&lt;Weeks!$A$7,$B886&gt;Weeks!$B$59),"date outside this workbook's year",IF(AND($D886="Advance",N($L886)&lt;0),"Warning: more than earned so far - worker now owes "&amp;TEXT(ROUND(-$L886,0),"#,##0"),"")))))))))</f>
        <v/>
      </c>
      <c r="N886" s="125" t="n"/>
      <c r="O886" s="126" t="n"/>
      <c r="P886" s="126" t="n"/>
      <c r="Q886" s="126" t="n"/>
      <c r="R886" s="126" t="n"/>
      <c r="S886" s="126" t="n"/>
      <c r="T886" s="126" t="n"/>
      <c r="U886" s="126" t="n"/>
      <c r="V886" s="126" t="n"/>
      <c r="W886" s="126" t="n"/>
      <c r="X886" s="126" t="n"/>
      <c r="Y886" s="126" t="n"/>
      <c r="Z886" s="126" t="n"/>
      <c r="AA886" s="126" t="n"/>
      <c r="AB886" s="126" t="n"/>
      <c r="AC886" s="126" t="n"/>
      <c r="AD886" s="126" t="n"/>
      <c r="AE886" s="126" t="n"/>
      <c r="AF886" s="126" t="n"/>
      <c r="AG886" s="126" t="n"/>
      <c r="AH886" s="126" t="n"/>
      <c r="AI886" s="126" t="n"/>
      <c r="AJ886" s="126" t="n"/>
      <c r="AK886" s="126" t="n"/>
      <c r="AL886" s="126" t="n"/>
      <c r="AM886" s="126" t="n"/>
      <c r="AN886" s="126" t="n"/>
    </row>
    <row r="887" ht="21" customFormat="1" customHeight="1" s="127">
      <c r="A887" s="51">
        <f>IF($B887="","",ROW()-6)</f>
        <v/>
      </c>
      <c r="B887" s="268" t="n"/>
      <c r="C887" s="133" t="n"/>
      <c r="D887" s="50" t="n"/>
      <c r="E887" s="265" t="n"/>
      <c r="F887" s="133" t="n"/>
      <c r="G887" s="133" t="n"/>
      <c r="H887" s="50" t="n"/>
      <c r="I887" s="51">
        <f>IF($C887="","",IFERROR(INDEX(WorkerIDs,MATCH($C887,WorkerNames,0)),"?"))</f>
        <v/>
      </c>
      <c r="J887" s="253">
        <f>IF($B887="","",$B887-WEEKDAY($B887,2)+1)</f>
        <v/>
      </c>
      <c r="K887" s="142">
        <f>IF(OR($I887="",$I887="?",$D887&lt;&gt;"Advance",$B887=""),"",$I887&amp;"|"&amp;$J887&amp;"|"&amp;COUNTIFS($I$7:$I887,$I887,$J$7:$J887,$J887,$D$7:$D887,"Advance"))</f>
        <v/>
      </c>
      <c r="L887" s="266">
        <f>IF(OR($I887="",$I887="?",$B887=""),"",SUMPRODUCT((Weeks!$A$7:$A$59&lt;=$J887)*(Weeks!$X$5:$AI$5=$I887)*Weeks!$X$7:$AI$59)-SUMIFS($E$7:$E$1006,$I$7:$I$1006,$I887,$B$7:$B$1006,"&lt;="&amp;$B887))</f>
        <v/>
      </c>
      <c r="M887" s="132">
        <f>IF($B887&amp;$C887&amp;$D887&amp;$E887="","",IF($B887="","missing date",IF($C887="","missing worker",IF($I887="?","unknown worker - was the name changed on Workers?",IF($D887="","missing type",IF(N($E887)=0,"missing amount",IF(AND($E887&lt;0,$D887&lt;&gt;"Correction"),"negative amount - use a Correction to undo",IF(OR($B887&lt;Weeks!$A$7,$B887&gt;Weeks!$B$59),"date outside this workbook's year",IF(AND($D887="Advance",N($L887)&lt;0),"Warning: more than earned so far - worker now owes "&amp;TEXT(ROUND(-$L887,0),"#,##0"),"")))))))))</f>
        <v/>
      </c>
      <c r="N887" s="125" t="n"/>
      <c r="O887" s="126" t="n"/>
      <c r="P887" s="126" t="n"/>
      <c r="Q887" s="126" t="n"/>
      <c r="R887" s="126" t="n"/>
      <c r="S887" s="126" t="n"/>
      <c r="T887" s="126" t="n"/>
      <c r="U887" s="126" t="n"/>
      <c r="V887" s="126" t="n"/>
      <c r="W887" s="126" t="n"/>
      <c r="X887" s="126" t="n"/>
      <c r="Y887" s="126" t="n"/>
      <c r="Z887" s="126" t="n"/>
      <c r="AA887" s="126" t="n"/>
      <c r="AB887" s="126" t="n"/>
      <c r="AC887" s="126" t="n"/>
      <c r="AD887" s="126" t="n"/>
      <c r="AE887" s="126" t="n"/>
      <c r="AF887" s="126" t="n"/>
      <c r="AG887" s="126" t="n"/>
      <c r="AH887" s="126" t="n"/>
      <c r="AI887" s="126" t="n"/>
      <c r="AJ887" s="126" t="n"/>
      <c r="AK887" s="126" t="n"/>
      <c r="AL887" s="126" t="n"/>
      <c r="AM887" s="126" t="n"/>
      <c r="AN887" s="126" t="n"/>
    </row>
    <row r="888" ht="21" customFormat="1" customHeight="1" s="127">
      <c r="A888" s="51">
        <f>IF($B888="","",ROW()-6)</f>
        <v/>
      </c>
      <c r="B888" s="268" t="n"/>
      <c r="C888" s="133" t="n"/>
      <c r="D888" s="50" t="n"/>
      <c r="E888" s="265" t="n"/>
      <c r="F888" s="133" t="n"/>
      <c r="G888" s="133" t="n"/>
      <c r="H888" s="50" t="n"/>
      <c r="I888" s="51">
        <f>IF($C888="","",IFERROR(INDEX(WorkerIDs,MATCH($C888,WorkerNames,0)),"?"))</f>
        <v/>
      </c>
      <c r="J888" s="253">
        <f>IF($B888="","",$B888-WEEKDAY($B888,2)+1)</f>
        <v/>
      </c>
      <c r="K888" s="142">
        <f>IF(OR($I888="",$I888="?",$D888&lt;&gt;"Advance",$B888=""),"",$I888&amp;"|"&amp;$J888&amp;"|"&amp;COUNTIFS($I$7:$I888,$I888,$J$7:$J888,$J888,$D$7:$D888,"Advance"))</f>
        <v/>
      </c>
      <c r="L888" s="266">
        <f>IF(OR($I888="",$I888="?",$B888=""),"",SUMPRODUCT((Weeks!$A$7:$A$59&lt;=$J888)*(Weeks!$X$5:$AI$5=$I888)*Weeks!$X$7:$AI$59)-SUMIFS($E$7:$E$1006,$I$7:$I$1006,$I888,$B$7:$B$1006,"&lt;="&amp;$B888))</f>
        <v/>
      </c>
      <c r="M888" s="132">
        <f>IF($B888&amp;$C888&amp;$D888&amp;$E888="","",IF($B888="","missing date",IF($C888="","missing worker",IF($I888="?","unknown worker - was the name changed on Workers?",IF($D888="","missing type",IF(N($E888)=0,"missing amount",IF(AND($E888&lt;0,$D888&lt;&gt;"Correction"),"negative amount - use a Correction to undo",IF(OR($B888&lt;Weeks!$A$7,$B888&gt;Weeks!$B$59),"date outside this workbook's year",IF(AND($D888="Advance",N($L888)&lt;0),"Warning: more than earned so far - worker now owes "&amp;TEXT(ROUND(-$L888,0),"#,##0"),"")))))))))</f>
        <v/>
      </c>
      <c r="N888" s="125" t="n"/>
      <c r="O888" s="126" t="n"/>
      <c r="P888" s="126" t="n"/>
      <c r="Q888" s="126" t="n"/>
      <c r="R888" s="126" t="n"/>
      <c r="S888" s="126" t="n"/>
      <c r="T888" s="126" t="n"/>
      <c r="U888" s="126" t="n"/>
      <c r="V888" s="126" t="n"/>
      <c r="W888" s="126" t="n"/>
      <c r="X888" s="126" t="n"/>
      <c r="Y888" s="126" t="n"/>
      <c r="Z888" s="126" t="n"/>
      <c r="AA888" s="126" t="n"/>
      <c r="AB888" s="126" t="n"/>
      <c r="AC888" s="126" t="n"/>
      <c r="AD888" s="126" t="n"/>
      <c r="AE888" s="126" t="n"/>
      <c r="AF888" s="126" t="n"/>
      <c r="AG888" s="126" t="n"/>
      <c r="AH888" s="126" t="n"/>
      <c r="AI888" s="126" t="n"/>
      <c r="AJ888" s="126" t="n"/>
      <c r="AK888" s="126" t="n"/>
      <c r="AL888" s="126" t="n"/>
      <c r="AM888" s="126" t="n"/>
      <c r="AN888" s="126" t="n"/>
    </row>
    <row r="889" ht="21" customFormat="1" customHeight="1" s="127">
      <c r="A889" s="51">
        <f>IF($B889="","",ROW()-6)</f>
        <v/>
      </c>
      <c r="B889" s="268" t="n"/>
      <c r="C889" s="133" t="n"/>
      <c r="D889" s="50" t="n"/>
      <c r="E889" s="265" t="n"/>
      <c r="F889" s="133" t="n"/>
      <c r="G889" s="133" t="n"/>
      <c r="H889" s="50" t="n"/>
      <c r="I889" s="51">
        <f>IF($C889="","",IFERROR(INDEX(WorkerIDs,MATCH($C889,WorkerNames,0)),"?"))</f>
        <v/>
      </c>
      <c r="J889" s="253">
        <f>IF($B889="","",$B889-WEEKDAY($B889,2)+1)</f>
        <v/>
      </c>
      <c r="K889" s="142">
        <f>IF(OR($I889="",$I889="?",$D889&lt;&gt;"Advance",$B889=""),"",$I889&amp;"|"&amp;$J889&amp;"|"&amp;COUNTIFS($I$7:$I889,$I889,$J$7:$J889,$J889,$D$7:$D889,"Advance"))</f>
        <v/>
      </c>
      <c r="L889" s="266">
        <f>IF(OR($I889="",$I889="?",$B889=""),"",SUMPRODUCT((Weeks!$A$7:$A$59&lt;=$J889)*(Weeks!$X$5:$AI$5=$I889)*Weeks!$X$7:$AI$59)-SUMIFS($E$7:$E$1006,$I$7:$I$1006,$I889,$B$7:$B$1006,"&lt;="&amp;$B889))</f>
        <v/>
      </c>
      <c r="M889" s="132">
        <f>IF($B889&amp;$C889&amp;$D889&amp;$E889="","",IF($B889="","missing date",IF($C889="","missing worker",IF($I889="?","unknown worker - was the name changed on Workers?",IF($D889="","missing type",IF(N($E889)=0,"missing amount",IF(AND($E889&lt;0,$D889&lt;&gt;"Correction"),"negative amount - use a Correction to undo",IF(OR($B889&lt;Weeks!$A$7,$B889&gt;Weeks!$B$59),"date outside this workbook's year",IF(AND($D889="Advance",N($L889)&lt;0),"Warning: more than earned so far - worker now owes "&amp;TEXT(ROUND(-$L889,0),"#,##0"),"")))))))))</f>
        <v/>
      </c>
      <c r="N889" s="125" t="n"/>
      <c r="O889" s="126" t="n"/>
      <c r="P889" s="126" t="n"/>
      <c r="Q889" s="126" t="n"/>
      <c r="R889" s="126" t="n"/>
      <c r="S889" s="126" t="n"/>
      <c r="T889" s="126" t="n"/>
      <c r="U889" s="126" t="n"/>
      <c r="V889" s="126" t="n"/>
      <c r="W889" s="126" t="n"/>
      <c r="X889" s="126" t="n"/>
      <c r="Y889" s="126" t="n"/>
      <c r="Z889" s="126" t="n"/>
      <c r="AA889" s="126" t="n"/>
      <c r="AB889" s="126" t="n"/>
      <c r="AC889" s="126" t="n"/>
      <c r="AD889" s="126" t="n"/>
      <c r="AE889" s="126" t="n"/>
      <c r="AF889" s="126" t="n"/>
      <c r="AG889" s="126" t="n"/>
      <c r="AH889" s="126" t="n"/>
      <c r="AI889" s="126" t="n"/>
      <c r="AJ889" s="126" t="n"/>
      <c r="AK889" s="126" t="n"/>
      <c r="AL889" s="126" t="n"/>
      <c r="AM889" s="126" t="n"/>
      <c r="AN889" s="126" t="n"/>
    </row>
    <row r="890" ht="21" customFormat="1" customHeight="1" s="127">
      <c r="A890" s="51">
        <f>IF($B890="","",ROW()-6)</f>
        <v/>
      </c>
      <c r="B890" s="268" t="n"/>
      <c r="C890" s="133" t="n"/>
      <c r="D890" s="50" t="n"/>
      <c r="E890" s="265" t="n"/>
      <c r="F890" s="133" t="n"/>
      <c r="G890" s="133" t="n"/>
      <c r="H890" s="50" t="n"/>
      <c r="I890" s="51">
        <f>IF($C890="","",IFERROR(INDEX(WorkerIDs,MATCH($C890,WorkerNames,0)),"?"))</f>
        <v/>
      </c>
      <c r="J890" s="253">
        <f>IF($B890="","",$B890-WEEKDAY($B890,2)+1)</f>
        <v/>
      </c>
      <c r="K890" s="142">
        <f>IF(OR($I890="",$I890="?",$D890&lt;&gt;"Advance",$B890=""),"",$I890&amp;"|"&amp;$J890&amp;"|"&amp;COUNTIFS($I$7:$I890,$I890,$J$7:$J890,$J890,$D$7:$D890,"Advance"))</f>
        <v/>
      </c>
      <c r="L890" s="266">
        <f>IF(OR($I890="",$I890="?",$B890=""),"",SUMPRODUCT((Weeks!$A$7:$A$59&lt;=$J890)*(Weeks!$X$5:$AI$5=$I890)*Weeks!$X$7:$AI$59)-SUMIFS($E$7:$E$1006,$I$7:$I$1006,$I890,$B$7:$B$1006,"&lt;="&amp;$B890))</f>
        <v/>
      </c>
      <c r="M890" s="132">
        <f>IF($B890&amp;$C890&amp;$D890&amp;$E890="","",IF($B890="","missing date",IF($C890="","missing worker",IF($I890="?","unknown worker - was the name changed on Workers?",IF($D890="","missing type",IF(N($E890)=0,"missing amount",IF(AND($E890&lt;0,$D890&lt;&gt;"Correction"),"negative amount - use a Correction to undo",IF(OR($B890&lt;Weeks!$A$7,$B890&gt;Weeks!$B$59),"date outside this workbook's year",IF(AND($D890="Advance",N($L890)&lt;0),"Warning: more than earned so far - worker now owes "&amp;TEXT(ROUND(-$L890,0),"#,##0"),"")))))))))</f>
        <v/>
      </c>
      <c r="N890" s="125" t="n"/>
      <c r="O890" s="126" t="n"/>
      <c r="P890" s="126" t="n"/>
      <c r="Q890" s="126" t="n"/>
      <c r="R890" s="126" t="n"/>
      <c r="S890" s="126" t="n"/>
      <c r="T890" s="126" t="n"/>
      <c r="U890" s="126" t="n"/>
      <c r="V890" s="126" t="n"/>
      <c r="W890" s="126" t="n"/>
      <c r="X890" s="126" t="n"/>
      <c r="Y890" s="126" t="n"/>
      <c r="Z890" s="126" t="n"/>
      <c r="AA890" s="126" t="n"/>
      <c r="AB890" s="126" t="n"/>
      <c r="AC890" s="126" t="n"/>
      <c r="AD890" s="126" t="n"/>
      <c r="AE890" s="126" t="n"/>
      <c r="AF890" s="126" t="n"/>
      <c r="AG890" s="126" t="n"/>
      <c r="AH890" s="126" t="n"/>
      <c r="AI890" s="126" t="n"/>
      <c r="AJ890" s="126" t="n"/>
      <c r="AK890" s="126" t="n"/>
      <c r="AL890" s="126" t="n"/>
      <c r="AM890" s="126" t="n"/>
      <c r="AN890" s="126" t="n"/>
    </row>
    <row r="891" ht="21" customFormat="1" customHeight="1" s="127">
      <c r="A891" s="51">
        <f>IF($B891="","",ROW()-6)</f>
        <v/>
      </c>
      <c r="B891" s="268" t="n"/>
      <c r="C891" s="133" t="n"/>
      <c r="D891" s="50" t="n"/>
      <c r="E891" s="265" t="n"/>
      <c r="F891" s="133" t="n"/>
      <c r="G891" s="133" t="n"/>
      <c r="H891" s="50" t="n"/>
      <c r="I891" s="51">
        <f>IF($C891="","",IFERROR(INDEX(WorkerIDs,MATCH($C891,WorkerNames,0)),"?"))</f>
        <v/>
      </c>
      <c r="J891" s="253">
        <f>IF($B891="","",$B891-WEEKDAY($B891,2)+1)</f>
        <v/>
      </c>
      <c r="K891" s="142">
        <f>IF(OR($I891="",$I891="?",$D891&lt;&gt;"Advance",$B891=""),"",$I891&amp;"|"&amp;$J891&amp;"|"&amp;COUNTIFS($I$7:$I891,$I891,$J$7:$J891,$J891,$D$7:$D891,"Advance"))</f>
        <v/>
      </c>
      <c r="L891" s="266">
        <f>IF(OR($I891="",$I891="?",$B891=""),"",SUMPRODUCT((Weeks!$A$7:$A$59&lt;=$J891)*(Weeks!$X$5:$AI$5=$I891)*Weeks!$X$7:$AI$59)-SUMIFS($E$7:$E$1006,$I$7:$I$1006,$I891,$B$7:$B$1006,"&lt;="&amp;$B891))</f>
        <v/>
      </c>
      <c r="M891" s="132">
        <f>IF($B891&amp;$C891&amp;$D891&amp;$E891="","",IF($B891="","missing date",IF($C891="","missing worker",IF($I891="?","unknown worker - was the name changed on Workers?",IF($D891="","missing type",IF(N($E891)=0,"missing amount",IF(AND($E891&lt;0,$D891&lt;&gt;"Correction"),"negative amount - use a Correction to undo",IF(OR($B891&lt;Weeks!$A$7,$B891&gt;Weeks!$B$59),"date outside this workbook's year",IF(AND($D891="Advance",N($L891)&lt;0),"Warning: more than earned so far - worker now owes "&amp;TEXT(ROUND(-$L891,0),"#,##0"),"")))))))))</f>
        <v/>
      </c>
      <c r="N891" s="125" t="n"/>
      <c r="O891" s="126" t="n"/>
      <c r="P891" s="126" t="n"/>
      <c r="Q891" s="126" t="n"/>
      <c r="R891" s="126" t="n"/>
      <c r="S891" s="126" t="n"/>
      <c r="T891" s="126" t="n"/>
      <c r="U891" s="126" t="n"/>
      <c r="V891" s="126" t="n"/>
      <c r="W891" s="126" t="n"/>
      <c r="X891" s="126" t="n"/>
      <c r="Y891" s="126" t="n"/>
      <c r="Z891" s="126" t="n"/>
      <c r="AA891" s="126" t="n"/>
      <c r="AB891" s="126" t="n"/>
      <c r="AC891" s="126" t="n"/>
      <c r="AD891" s="126" t="n"/>
      <c r="AE891" s="126" t="n"/>
      <c r="AF891" s="126" t="n"/>
      <c r="AG891" s="126" t="n"/>
      <c r="AH891" s="126" t="n"/>
      <c r="AI891" s="126" t="n"/>
      <c r="AJ891" s="126" t="n"/>
      <c r="AK891" s="126" t="n"/>
      <c r="AL891" s="126" t="n"/>
      <c r="AM891" s="126" t="n"/>
      <c r="AN891" s="126" t="n"/>
    </row>
    <row r="892" ht="21" customFormat="1" customHeight="1" s="127">
      <c r="A892" s="51">
        <f>IF($B892="","",ROW()-6)</f>
        <v/>
      </c>
      <c r="B892" s="268" t="n"/>
      <c r="C892" s="133" t="n"/>
      <c r="D892" s="50" t="n"/>
      <c r="E892" s="265" t="n"/>
      <c r="F892" s="133" t="n"/>
      <c r="G892" s="133" t="n"/>
      <c r="H892" s="50" t="n"/>
      <c r="I892" s="51">
        <f>IF($C892="","",IFERROR(INDEX(WorkerIDs,MATCH($C892,WorkerNames,0)),"?"))</f>
        <v/>
      </c>
      <c r="J892" s="253">
        <f>IF($B892="","",$B892-WEEKDAY($B892,2)+1)</f>
        <v/>
      </c>
      <c r="K892" s="142">
        <f>IF(OR($I892="",$I892="?",$D892&lt;&gt;"Advance",$B892=""),"",$I892&amp;"|"&amp;$J892&amp;"|"&amp;COUNTIFS($I$7:$I892,$I892,$J$7:$J892,$J892,$D$7:$D892,"Advance"))</f>
        <v/>
      </c>
      <c r="L892" s="266">
        <f>IF(OR($I892="",$I892="?",$B892=""),"",SUMPRODUCT((Weeks!$A$7:$A$59&lt;=$J892)*(Weeks!$X$5:$AI$5=$I892)*Weeks!$X$7:$AI$59)-SUMIFS($E$7:$E$1006,$I$7:$I$1006,$I892,$B$7:$B$1006,"&lt;="&amp;$B892))</f>
        <v/>
      </c>
      <c r="M892" s="132">
        <f>IF($B892&amp;$C892&amp;$D892&amp;$E892="","",IF($B892="","missing date",IF($C892="","missing worker",IF($I892="?","unknown worker - was the name changed on Workers?",IF($D892="","missing type",IF(N($E892)=0,"missing amount",IF(AND($E892&lt;0,$D892&lt;&gt;"Correction"),"negative amount - use a Correction to undo",IF(OR($B892&lt;Weeks!$A$7,$B892&gt;Weeks!$B$59),"date outside this workbook's year",IF(AND($D892="Advance",N($L892)&lt;0),"Warning: more than earned so far - worker now owes "&amp;TEXT(ROUND(-$L892,0),"#,##0"),"")))))))))</f>
        <v/>
      </c>
      <c r="N892" s="125" t="n"/>
      <c r="O892" s="126" t="n"/>
      <c r="P892" s="126" t="n"/>
      <c r="Q892" s="126" t="n"/>
      <c r="R892" s="126" t="n"/>
      <c r="S892" s="126" t="n"/>
      <c r="T892" s="126" t="n"/>
      <c r="U892" s="126" t="n"/>
      <c r="V892" s="126" t="n"/>
      <c r="W892" s="126" t="n"/>
      <c r="X892" s="126" t="n"/>
      <c r="Y892" s="126" t="n"/>
      <c r="Z892" s="126" t="n"/>
      <c r="AA892" s="126" t="n"/>
      <c r="AB892" s="126" t="n"/>
      <c r="AC892" s="126" t="n"/>
      <c r="AD892" s="126" t="n"/>
      <c r="AE892" s="126" t="n"/>
      <c r="AF892" s="126" t="n"/>
      <c r="AG892" s="126" t="n"/>
      <c r="AH892" s="126" t="n"/>
      <c r="AI892" s="126" t="n"/>
      <c r="AJ892" s="126" t="n"/>
      <c r="AK892" s="126" t="n"/>
      <c r="AL892" s="126" t="n"/>
      <c r="AM892" s="126" t="n"/>
      <c r="AN892" s="126" t="n"/>
    </row>
    <row r="893" ht="21" customFormat="1" customHeight="1" s="127">
      <c r="A893" s="51">
        <f>IF($B893="","",ROW()-6)</f>
        <v/>
      </c>
      <c r="B893" s="268" t="n"/>
      <c r="C893" s="133" t="n"/>
      <c r="D893" s="50" t="n"/>
      <c r="E893" s="265" t="n"/>
      <c r="F893" s="133" t="n"/>
      <c r="G893" s="133" t="n"/>
      <c r="H893" s="50" t="n"/>
      <c r="I893" s="51">
        <f>IF($C893="","",IFERROR(INDEX(WorkerIDs,MATCH($C893,WorkerNames,0)),"?"))</f>
        <v/>
      </c>
      <c r="J893" s="253">
        <f>IF($B893="","",$B893-WEEKDAY($B893,2)+1)</f>
        <v/>
      </c>
      <c r="K893" s="142">
        <f>IF(OR($I893="",$I893="?",$D893&lt;&gt;"Advance",$B893=""),"",$I893&amp;"|"&amp;$J893&amp;"|"&amp;COUNTIFS($I$7:$I893,$I893,$J$7:$J893,$J893,$D$7:$D893,"Advance"))</f>
        <v/>
      </c>
      <c r="L893" s="266">
        <f>IF(OR($I893="",$I893="?",$B893=""),"",SUMPRODUCT((Weeks!$A$7:$A$59&lt;=$J893)*(Weeks!$X$5:$AI$5=$I893)*Weeks!$X$7:$AI$59)-SUMIFS($E$7:$E$1006,$I$7:$I$1006,$I893,$B$7:$B$1006,"&lt;="&amp;$B893))</f>
        <v/>
      </c>
      <c r="M893" s="132">
        <f>IF($B893&amp;$C893&amp;$D893&amp;$E893="","",IF($B893="","missing date",IF($C893="","missing worker",IF($I893="?","unknown worker - was the name changed on Workers?",IF($D893="","missing type",IF(N($E893)=0,"missing amount",IF(AND($E893&lt;0,$D893&lt;&gt;"Correction"),"negative amount - use a Correction to undo",IF(OR($B893&lt;Weeks!$A$7,$B893&gt;Weeks!$B$59),"date outside this workbook's year",IF(AND($D893="Advance",N($L893)&lt;0),"Warning: more than earned so far - worker now owes "&amp;TEXT(ROUND(-$L893,0),"#,##0"),"")))))))))</f>
        <v/>
      </c>
      <c r="N893" s="125" t="n"/>
      <c r="O893" s="126" t="n"/>
      <c r="P893" s="126" t="n"/>
      <c r="Q893" s="126" t="n"/>
      <c r="R893" s="126" t="n"/>
      <c r="S893" s="126" t="n"/>
      <c r="T893" s="126" t="n"/>
      <c r="U893" s="126" t="n"/>
      <c r="V893" s="126" t="n"/>
      <c r="W893" s="126" t="n"/>
      <c r="X893" s="126" t="n"/>
      <c r="Y893" s="126" t="n"/>
      <c r="Z893" s="126" t="n"/>
      <c r="AA893" s="126" t="n"/>
      <c r="AB893" s="126" t="n"/>
      <c r="AC893" s="126" t="n"/>
      <c r="AD893" s="126" t="n"/>
      <c r="AE893" s="126" t="n"/>
      <c r="AF893" s="126" t="n"/>
      <c r="AG893" s="126" t="n"/>
      <c r="AH893" s="126" t="n"/>
      <c r="AI893" s="126" t="n"/>
      <c r="AJ893" s="126" t="n"/>
      <c r="AK893" s="126" t="n"/>
      <c r="AL893" s="126" t="n"/>
      <c r="AM893" s="126" t="n"/>
      <c r="AN893" s="126" t="n"/>
    </row>
    <row r="894" ht="21" customFormat="1" customHeight="1" s="127">
      <c r="A894" s="51">
        <f>IF($B894="","",ROW()-6)</f>
        <v/>
      </c>
      <c r="B894" s="268" t="n"/>
      <c r="C894" s="133" t="n"/>
      <c r="D894" s="50" t="n"/>
      <c r="E894" s="265" t="n"/>
      <c r="F894" s="133" t="n"/>
      <c r="G894" s="133" t="n"/>
      <c r="H894" s="50" t="n"/>
      <c r="I894" s="51">
        <f>IF($C894="","",IFERROR(INDEX(WorkerIDs,MATCH($C894,WorkerNames,0)),"?"))</f>
        <v/>
      </c>
      <c r="J894" s="253">
        <f>IF($B894="","",$B894-WEEKDAY($B894,2)+1)</f>
        <v/>
      </c>
      <c r="K894" s="142">
        <f>IF(OR($I894="",$I894="?",$D894&lt;&gt;"Advance",$B894=""),"",$I894&amp;"|"&amp;$J894&amp;"|"&amp;COUNTIFS($I$7:$I894,$I894,$J$7:$J894,$J894,$D$7:$D894,"Advance"))</f>
        <v/>
      </c>
      <c r="L894" s="266">
        <f>IF(OR($I894="",$I894="?",$B894=""),"",SUMPRODUCT((Weeks!$A$7:$A$59&lt;=$J894)*(Weeks!$X$5:$AI$5=$I894)*Weeks!$X$7:$AI$59)-SUMIFS($E$7:$E$1006,$I$7:$I$1006,$I894,$B$7:$B$1006,"&lt;="&amp;$B894))</f>
        <v/>
      </c>
      <c r="M894" s="132">
        <f>IF($B894&amp;$C894&amp;$D894&amp;$E894="","",IF($B894="","missing date",IF($C894="","missing worker",IF($I894="?","unknown worker - was the name changed on Workers?",IF($D894="","missing type",IF(N($E894)=0,"missing amount",IF(AND($E894&lt;0,$D894&lt;&gt;"Correction"),"negative amount - use a Correction to undo",IF(OR($B894&lt;Weeks!$A$7,$B894&gt;Weeks!$B$59),"date outside this workbook's year",IF(AND($D894="Advance",N($L894)&lt;0),"Warning: more than earned so far - worker now owes "&amp;TEXT(ROUND(-$L894,0),"#,##0"),"")))))))))</f>
        <v/>
      </c>
      <c r="N894" s="125" t="n"/>
      <c r="O894" s="126" t="n"/>
      <c r="P894" s="126" t="n"/>
      <c r="Q894" s="126" t="n"/>
      <c r="R894" s="126" t="n"/>
      <c r="S894" s="126" t="n"/>
      <c r="T894" s="126" t="n"/>
      <c r="U894" s="126" t="n"/>
      <c r="V894" s="126" t="n"/>
      <c r="W894" s="126" t="n"/>
      <c r="X894" s="126" t="n"/>
      <c r="Y894" s="126" t="n"/>
      <c r="Z894" s="126" t="n"/>
      <c r="AA894" s="126" t="n"/>
      <c r="AB894" s="126" t="n"/>
      <c r="AC894" s="126" t="n"/>
      <c r="AD894" s="126" t="n"/>
      <c r="AE894" s="126" t="n"/>
      <c r="AF894" s="126" t="n"/>
      <c r="AG894" s="126" t="n"/>
      <c r="AH894" s="126" t="n"/>
      <c r="AI894" s="126" t="n"/>
      <c r="AJ894" s="126" t="n"/>
      <c r="AK894" s="126" t="n"/>
      <c r="AL894" s="126" t="n"/>
      <c r="AM894" s="126" t="n"/>
      <c r="AN894" s="126" t="n"/>
    </row>
    <row r="895" ht="21" customFormat="1" customHeight="1" s="127">
      <c r="A895" s="51">
        <f>IF($B895="","",ROW()-6)</f>
        <v/>
      </c>
      <c r="B895" s="268" t="n"/>
      <c r="C895" s="133" t="n"/>
      <c r="D895" s="50" t="n"/>
      <c r="E895" s="265" t="n"/>
      <c r="F895" s="133" t="n"/>
      <c r="G895" s="133" t="n"/>
      <c r="H895" s="50" t="n"/>
      <c r="I895" s="51">
        <f>IF($C895="","",IFERROR(INDEX(WorkerIDs,MATCH($C895,WorkerNames,0)),"?"))</f>
        <v/>
      </c>
      <c r="J895" s="253">
        <f>IF($B895="","",$B895-WEEKDAY($B895,2)+1)</f>
        <v/>
      </c>
      <c r="K895" s="142">
        <f>IF(OR($I895="",$I895="?",$D895&lt;&gt;"Advance",$B895=""),"",$I895&amp;"|"&amp;$J895&amp;"|"&amp;COUNTIFS($I$7:$I895,$I895,$J$7:$J895,$J895,$D$7:$D895,"Advance"))</f>
        <v/>
      </c>
      <c r="L895" s="266">
        <f>IF(OR($I895="",$I895="?",$B895=""),"",SUMPRODUCT((Weeks!$A$7:$A$59&lt;=$J895)*(Weeks!$X$5:$AI$5=$I895)*Weeks!$X$7:$AI$59)-SUMIFS($E$7:$E$1006,$I$7:$I$1006,$I895,$B$7:$B$1006,"&lt;="&amp;$B895))</f>
        <v/>
      </c>
      <c r="M895" s="132">
        <f>IF($B895&amp;$C895&amp;$D895&amp;$E895="","",IF($B895="","missing date",IF($C895="","missing worker",IF($I895="?","unknown worker - was the name changed on Workers?",IF($D895="","missing type",IF(N($E895)=0,"missing amount",IF(AND($E895&lt;0,$D895&lt;&gt;"Correction"),"negative amount - use a Correction to undo",IF(OR($B895&lt;Weeks!$A$7,$B895&gt;Weeks!$B$59),"date outside this workbook's year",IF(AND($D895="Advance",N($L895)&lt;0),"Warning: more than earned so far - worker now owes "&amp;TEXT(ROUND(-$L895,0),"#,##0"),"")))))))))</f>
        <v/>
      </c>
      <c r="N895" s="125" t="n"/>
      <c r="O895" s="126" t="n"/>
      <c r="P895" s="126" t="n"/>
      <c r="Q895" s="126" t="n"/>
      <c r="R895" s="126" t="n"/>
      <c r="S895" s="126" t="n"/>
      <c r="T895" s="126" t="n"/>
      <c r="U895" s="126" t="n"/>
      <c r="V895" s="126" t="n"/>
      <c r="W895" s="126" t="n"/>
      <c r="X895" s="126" t="n"/>
      <c r="Y895" s="126" t="n"/>
      <c r="Z895" s="126" t="n"/>
      <c r="AA895" s="126" t="n"/>
      <c r="AB895" s="126" t="n"/>
      <c r="AC895" s="126" t="n"/>
      <c r="AD895" s="126" t="n"/>
      <c r="AE895" s="126" t="n"/>
      <c r="AF895" s="126" t="n"/>
      <c r="AG895" s="126" t="n"/>
      <c r="AH895" s="126" t="n"/>
      <c r="AI895" s="126" t="n"/>
      <c r="AJ895" s="126" t="n"/>
      <c r="AK895" s="126" t="n"/>
      <c r="AL895" s="126" t="n"/>
      <c r="AM895" s="126" t="n"/>
      <c r="AN895" s="126" t="n"/>
    </row>
    <row r="896" ht="21" customFormat="1" customHeight="1" s="127">
      <c r="A896" s="51">
        <f>IF($B896="","",ROW()-6)</f>
        <v/>
      </c>
      <c r="B896" s="268" t="n"/>
      <c r="C896" s="133" t="n"/>
      <c r="D896" s="50" t="n"/>
      <c r="E896" s="265" t="n"/>
      <c r="F896" s="133" t="n"/>
      <c r="G896" s="133" t="n"/>
      <c r="H896" s="50" t="n"/>
      <c r="I896" s="51">
        <f>IF($C896="","",IFERROR(INDEX(WorkerIDs,MATCH($C896,WorkerNames,0)),"?"))</f>
        <v/>
      </c>
      <c r="J896" s="253">
        <f>IF($B896="","",$B896-WEEKDAY($B896,2)+1)</f>
        <v/>
      </c>
      <c r="K896" s="142">
        <f>IF(OR($I896="",$I896="?",$D896&lt;&gt;"Advance",$B896=""),"",$I896&amp;"|"&amp;$J896&amp;"|"&amp;COUNTIFS($I$7:$I896,$I896,$J$7:$J896,$J896,$D$7:$D896,"Advance"))</f>
        <v/>
      </c>
      <c r="L896" s="266">
        <f>IF(OR($I896="",$I896="?",$B896=""),"",SUMPRODUCT((Weeks!$A$7:$A$59&lt;=$J896)*(Weeks!$X$5:$AI$5=$I896)*Weeks!$X$7:$AI$59)-SUMIFS($E$7:$E$1006,$I$7:$I$1006,$I896,$B$7:$B$1006,"&lt;="&amp;$B896))</f>
        <v/>
      </c>
      <c r="M896" s="132">
        <f>IF($B896&amp;$C896&amp;$D896&amp;$E896="","",IF($B896="","missing date",IF($C896="","missing worker",IF($I896="?","unknown worker - was the name changed on Workers?",IF($D896="","missing type",IF(N($E896)=0,"missing amount",IF(AND($E896&lt;0,$D896&lt;&gt;"Correction"),"negative amount - use a Correction to undo",IF(OR($B896&lt;Weeks!$A$7,$B896&gt;Weeks!$B$59),"date outside this workbook's year",IF(AND($D896="Advance",N($L896)&lt;0),"Warning: more than earned so far - worker now owes "&amp;TEXT(ROUND(-$L896,0),"#,##0"),"")))))))))</f>
        <v/>
      </c>
      <c r="N896" s="125" t="n"/>
      <c r="O896" s="126" t="n"/>
      <c r="P896" s="126" t="n"/>
      <c r="Q896" s="126" t="n"/>
      <c r="R896" s="126" t="n"/>
      <c r="S896" s="126" t="n"/>
      <c r="T896" s="126" t="n"/>
      <c r="U896" s="126" t="n"/>
      <c r="V896" s="126" t="n"/>
      <c r="W896" s="126" t="n"/>
      <c r="X896" s="126" t="n"/>
      <c r="Y896" s="126" t="n"/>
      <c r="Z896" s="126" t="n"/>
      <c r="AA896" s="126" t="n"/>
      <c r="AB896" s="126" t="n"/>
      <c r="AC896" s="126" t="n"/>
      <c r="AD896" s="126" t="n"/>
      <c r="AE896" s="126" t="n"/>
      <c r="AF896" s="126" t="n"/>
      <c r="AG896" s="126" t="n"/>
      <c r="AH896" s="126" t="n"/>
      <c r="AI896" s="126" t="n"/>
      <c r="AJ896" s="126" t="n"/>
      <c r="AK896" s="126" t="n"/>
      <c r="AL896" s="126" t="n"/>
      <c r="AM896" s="126" t="n"/>
      <c r="AN896" s="126" t="n"/>
    </row>
    <row r="897" ht="21" customFormat="1" customHeight="1" s="127">
      <c r="A897" s="51">
        <f>IF($B897="","",ROW()-6)</f>
        <v/>
      </c>
      <c r="B897" s="268" t="n"/>
      <c r="C897" s="133" t="n"/>
      <c r="D897" s="50" t="n"/>
      <c r="E897" s="265" t="n"/>
      <c r="F897" s="133" t="n"/>
      <c r="G897" s="133" t="n"/>
      <c r="H897" s="50" t="n"/>
      <c r="I897" s="51">
        <f>IF($C897="","",IFERROR(INDEX(WorkerIDs,MATCH($C897,WorkerNames,0)),"?"))</f>
        <v/>
      </c>
      <c r="J897" s="253">
        <f>IF($B897="","",$B897-WEEKDAY($B897,2)+1)</f>
        <v/>
      </c>
      <c r="K897" s="142">
        <f>IF(OR($I897="",$I897="?",$D897&lt;&gt;"Advance",$B897=""),"",$I897&amp;"|"&amp;$J897&amp;"|"&amp;COUNTIFS($I$7:$I897,$I897,$J$7:$J897,$J897,$D$7:$D897,"Advance"))</f>
        <v/>
      </c>
      <c r="L897" s="266">
        <f>IF(OR($I897="",$I897="?",$B897=""),"",SUMPRODUCT((Weeks!$A$7:$A$59&lt;=$J897)*(Weeks!$X$5:$AI$5=$I897)*Weeks!$X$7:$AI$59)-SUMIFS($E$7:$E$1006,$I$7:$I$1006,$I897,$B$7:$B$1006,"&lt;="&amp;$B897))</f>
        <v/>
      </c>
      <c r="M897" s="132">
        <f>IF($B897&amp;$C897&amp;$D897&amp;$E897="","",IF($B897="","missing date",IF($C897="","missing worker",IF($I897="?","unknown worker - was the name changed on Workers?",IF($D897="","missing type",IF(N($E897)=0,"missing amount",IF(AND($E897&lt;0,$D897&lt;&gt;"Correction"),"negative amount - use a Correction to undo",IF(OR($B897&lt;Weeks!$A$7,$B897&gt;Weeks!$B$59),"date outside this workbook's year",IF(AND($D897="Advance",N($L897)&lt;0),"Warning: more than earned so far - worker now owes "&amp;TEXT(ROUND(-$L897,0),"#,##0"),"")))))))))</f>
        <v/>
      </c>
      <c r="N897" s="125" t="n"/>
      <c r="O897" s="126" t="n"/>
      <c r="P897" s="126" t="n"/>
      <c r="Q897" s="126" t="n"/>
      <c r="R897" s="126" t="n"/>
      <c r="S897" s="126" t="n"/>
      <c r="T897" s="126" t="n"/>
      <c r="U897" s="126" t="n"/>
      <c r="V897" s="126" t="n"/>
      <c r="W897" s="126" t="n"/>
      <c r="X897" s="126" t="n"/>
      <c r="Y897" s="126" t="n"/>
      <c r="Z897" s="126" t="n"/>
      <c r="AA897" s="126" t="n"/>
      <c r="AB897" s="126" t="n"/>
      <c r="AC897" s="126" t="n"/>
      <c r="AD897" s="126" t="n"/>
      <c r="AE897" s="126" t="n"/>
      <c r="AF897" s="126" t="n"/>
      <c r="AG897" s="126" t="n"/>
      <c r="AH897" s="126" t="n"/>
      <c r="AI897" s="126" t="n"/>
      <c r="AJ897" s="126" t="n"/>
      <c r="AK897" s="126" t="n"/>
      <c r="AL897" s="126" t="n"/>
      <c r="AM897" s="126" t="n"/>
      <c r="AN897" s="126" t="n"/>
    </row>
    <row r="898" ht="21" customFormat="1" customHeight="1" s="127">
      <c r="A898" s="51">
        <f>IF($B898="","",ROW()-6)</f>
        <v/>
      </c>
      <c r="B898" s="268" t="n"/>
      <c r="C898" s="133" t="n"/>
      <c r="D898" s="50" t="n"/>
      <c r="E898" s="265" t="n"/>
      <c r="F898" s="133" t="n"/>
      <c r="G898" s="133" t="n"/>
      <c r="H898" s="50" t="n"/>
      <c r="I898" s="51">
        <f>IF($C898="","",IFERROR(INDEX(WorkerIDs,MATCH($C898,WorkerNames,0)),"?"))</f>
        <v/>
      </c>
      <c r="J898" s="253">
        <f>IF($B898="","",$B898-WEEKDAY($B898,2)+1)</f>
        <v/>
      </c>
      <c r="K898" s="142">
        <f>IF(OR($I898="",$I898="?",$D898&lt;&gt;"Advance",$B898=""),"",$I898&amp;"|"&amp;$J898&amp;"|"&amp;COUNTIFS($I$7:$I898,$I898,$J$7:$J898,$J898,$D$7:$D898,"Advance"))</f>
        <v/>
      </c>
      <c r="L898" s="266">
        <f>IF(OR($I898="",$I898="?",$B898=""),"",SUMPRODUCT((Weeks!$A$7:$A$59&lt;=$J898)*(Weeks!$X$5:$AI$5=$I898)*Weeks!$X$7:$AI$59)-SUMIFS($E$7:$E$1006,$I$7:$I$1006,$I898,$B$7:$B$1006,"&lt;="&amp;$B898))</f>
        <v/>
      </c>
      <c r="M898" s="132">
        <f>IF($B898&amp;$C898&amp;$D898&amp;$E898="","",IF($B898="","missing date",IF($C898="","missing worker",IF($I898="?","unknown worker - was the name changed on Workers?",IF($D898="","missing type",IF(N($E898)=0,"missing amount",IF(AND($E898&lt;0,$D898&lt;&gt;"Correction"),"negative amount - use a Correction to undo",IF(OR($B898&lt;Weeks!$A$7,$B898&gt;Weeks!$B$59),"date outside this workbook's year",IF(AND($D898="Advance",N($L898)&lt;0),"Warning: more than earned so far - worker now owes "&amp;TEXT(ROUND(-$L898,0),"#,##0"),"")))))))))</f>
        <v/>
      </c>
      <c r="N898" s="125" t="n"/>
      <c r="O898" s="126" t="n"/>
      <c r="P898" s="126" t="n"/>
      <c r="Q898" s="126" t="n"/>
      <c r="R898" s="126" t="n"/>
      <c r="S898" s="126" t="n"/>
      <c r="T898" s="126" t="n"/>
      <c r="U898" s="126" t="n"/>
      <c r="V898" s="126" t="n"/>
      <c r="W898" s="126" t="n"/>
      <c r="X898" s="126" t="n"/>
      <c r="Y898" s="126" t="n"/>
      <c r="Z898" s="126" t="n"/>
      <c r="AA898" s="126" t="n"/>
      <c r="AB898" s="126" t="n"/>
      <c r="AC898" s="126" t="n"/>
      <c r="AD898" s="126" t="n"/>
      <c r="AE898" s="126" t="n"/>
      <c r="AF898" s="126" t="n"/>
      <c r="AG898" s="126" t="n"/>
      <c r="AH898" s="126" t="n"/>
      <c r="AI898" s="126" t="n"/>
      <c r="AJ898" s="126" t="n"/>
      <c r="AK898" s="126" t="n"/>
      <c r="AL898" s="126" t="n"/>
      <c r="AM898" s="126" t="n"/>
      <c r="AN898" s="126" t="n"/>
    </row>
    <row r="899" ht="21" customFormat="1" customHeight="1" s="127">
      <c r="A899" s="51">
        <f>IF($B899="","",ROW()-6)</f>
        <v/>
      </c>
      <c r="B899" s="268" t="n"/>
      <c r="C899" s="133" t="n"/>
      <c r="D899" s="50" t="n"/>
      <c r="E899" s="265" t="n"/>
      <c r="F899" s="133" t="n"/>
      <c r="G899" s="133" t="n"/>
      <c r="H899" s="50" t="n"/>
      <c r="I899" s="51">
        <f>IF($C899="","",IFERROR(INDEX(WorkerIDs,MATCH($C899,WorkerNames,0)),"?"))</f>
        <v/>
      </c>
      <c r="J899" s="253">
        <f>IF($B899="","",$B899-WEEKDAY($B899,2)+1)</f>
        <v/>
      </c>
      <c r="K899" s="142">
        <f>IF(OR($I899="",$I899="?",$D899&lt;&gt;"Advance",$B899=""),"",$I899&amp;"|"&amp;$J899&amp;"|"&amp;COUNTIFS($I$7:$I899,$I899,$J$7:$J899,$J899,$D$7:$D899,"Advance"))</f>
        <v/>
      </c>
      <c r="L899" s="266">
        <f>IF(OR($I899="",$I899="?",$B899=""),"",SUMPRODUCT((Weeks!$A$7:$A$59&lt;=$J899)*(Weeks!$X$5:$AI$5=$I899)*Weeks!$X$7:$AI$59)-SUMIFS($E$7:$E$1006,$I$7:$I$1006,$I899,$B$7:$B$1006,"&lt;="&amp;$B899))</f>
        <v/>
      </c>
      <c r="M899" s="132">
        <f>IF($B899&amp;$C899&amp;$D899&amp;$E899="","",IF($B899="","missing date",IF($C899="","missing worker",IF($I899="?","unknown worker - was the name changed on Workers?",IF($D899="","missing type",IF(N($E899)=0,"missing amount",IF(AND($E899&lt;0,$D899&lt;&gt;"Correction"),"negative amount - use a Correction to undo",IF(OR($B899&lt;Weeks!$A$7,$B899&gt;Weeks!$B$59),"date outside this workbook's year",IF(AND($D899="Advance",N($L899)&lt;0),"Warning: more than earned so far - worker now owes "&amp;TEXT(ROUND(-$L899,0),"#,##0"),"")))))))))</f>
        <v/>
      </c>
      <c r="N899" s="125" t="n"/>
      <c r="O899" s="126" t="n"/>
      <c r="P899" s="126" t="n"/>
      <c r="Q899" s="126" t="n"/>
      <c r="R899" s="126" t="n"/>
      <c r="S899" s="126" t="n"/>
      <c r="T899" s="126" t="n"/>
      <c r="U899" s="126" t="n"/>
      <c r="V899" s="126" t="n"/>
      <c r="W899" s="126" t="n"/>
      <c r="X899" s="126" t="n"/>
      <c r="Y899" s="126" t="n"/>
      <c r="Z899" s="126" t="n"/>
      <c r="AA899" s="126" t="n"/>
      <c r="AB899" s="126" t="n"/>
      <c r="AC899" s="126" t="n"/>
      <c r="AD899" s="126" t="n"/>
      <c r="AE899" s="126" t="n"/>
      <c r="AF899" s="126" t="n"/>
      <c r="AG899" s="126" t="n"/>
      <c r="AH899" s="126" t="n"/>
      <c r="AI899" s="126" t="n"/>
      <c r="AJ899" s="126" t="n"/>
      <c r="AK899" s="126" t="n"/>
      <c r="AL899" s="126" t="n"/>
      <c r="AM899" s="126" t="n"/>
      <c r="AN899" s="126" t="n"/>
    </row>
    <row r="900" ht="21" customFormat="1" customHeight="1" s="127">
      <c r="A900" s="51">
        <f>IF($B900="","",ROW()-6)</f>
        <v/>
      </c>
      <c r="B900" s="268" t="n"/>
      <c r="C900" s="133" t="n"/>
      <c r="D900" s="50" t="n"/>
      <c r="E900" s="265" t="n"/>
      <c r="F900" s="133" t="n"/>
      <c r="G900" s="133" t="n"/>
      <c r="H900" s="50" t="n"/>
      <c r="I900" s="51">
        <f>IF($C900="","",IFERROR(INDEX(WorkerIDs,MATCH($C900,WorkerNames,0)),"?"))</f>
        <v/>
      </c>
      <c r="J900" s="253">
        <f>IF($B900="","",$B900-WEEKDAY($B900,2)+1)</f>
        <v/>
      </c>
      <c r="K900" s="142">
        <f>IF(OR($I900="",$I900="?",$D900&lt;&gt;"Advance",$B900=""),"",$I900&amp;"|"&amp;$J900&amp;"|"&amp;COUNTIFS($I$7:$I900,$I900,$J$7:$J900,$J900,$D$7:$D900,"Advance"))</f>
        <v/>
      </c>
      <c r="L900" s="266">
        <f>IF(OR($I900="",$I900="?",$B900=""),"",SUMPRODUCT((Weeks!$A$7:$A$59&lt;=$J900)*(Weeks!$X$5:$AI$5=$I900)*Weeks!$X$7:$AI$59)-SUMIFS($E$7:$E$1006,$I$7:$I$1006,$I900,$B$7:$B$1006,"&lt;="&amp;$B900))</f>
        <v/>
      </c>
      <c r="M900" s="132">
        <f>IF($B900&amp;$C900&amp;$D900&amp;$E900="","",IF($B900="","missing date",IF($C900="","missing worker",IF($I900="?","unknown worker - was the name changed on Workers?",IF($D900="","missing type",IF(N($E900)=0,"missing amount",IF(AND($E900&lt;0,$D900&lt;&gt;"Correction"),"negative amount - use a Correction to undo",IF(OR($B900&lt;Weeks!$A$7,$B900&gt;Weeks!$B$59),"date outside this workbook's year",IF(AND($D900="Advance",N($L900)&lt;0),"Warning: more than earned so far - worker now owes "&amp;TEXT(ROUND(-$L900,0),"#,##0"),"")))))))))</f>
        <v/>
      </c>
      <c r="N900" s="125" t="n"/>
      <c r="O900" s="126" t="n"/>
      <c r="P900" s="126" t="n"/>
      <c r="Q900" s="126" t="n"/>
      <c r="R900" s="126" t="n"/>
      <c r="S900" s="126" t="n"/>
      <c r="T900" s="126" t="n"/>
      <c r="U900" s="126" t="n"/>
      <c r="V900" s="126" t="n"/>
      <c r="W900" s="126" t="n"/>
      <c r="X900" s="126" t="n"/>
      <c r="Y900" s="126" t="n"/>
      <c r="Z900" s="126" t="n"/>
      <c r="AA900" s="126" t="n"/>
      <c r="AB900" s="126" t="n"/>
      <c r="AC900" s="126" t="n"/>
      <c r="AD900" s="126" t="n"/>
      <c r="AE900" s="126" t="n"/>
      <c r="AF900" s="126" t="n"/>
      <c r="AG900" s="126" t="n"/>
      <c r="AH900" s="126" t="n"/>
      <c r="AI900" s="126" t="n"/>
      <c r="AJ900" s="126" t="n"/>
      <c r="AK900" s="126" t="n"/>
      <c r="AL900" s="126" t="n"/>
      <c r="AM900" s="126" t="n"/>
      <c r="AN900" s="126" t="n"/>
    </row>
    <row r="901" ht="21" customFormat="1" customHeight="1" s="127">
      <c r="A901" s="51">
        <f>IF($B901="","",ROW()-6)</f>
        <v/>
      </c>
      <c r="B901" s="268" t="n"/>
      <c r="C901" s="133" t="n"/>
      <c r="D901" s="50" t="n"/>
      <c r="E901" s="265" t="n"/>
      <c r="F901" s="133" t="n"/>
      <c r="G901" s="133" t="n"/>
      <c r="H901" s="50" t="n"/>
      <c r="I901" s="51">
        <f>IF($C901="","",IFERROR(INDEX(WorkerIDs,MATCH($C901,WorkerNames,0)),"?"))</f>
        <v/>
      </c>
      <c r="J901" s="253">
        <f>IF($B901="","",$B901-WEEKDAY($B901,2)+1)</f>
        <v/>
      </c>
      <c r="K901" s="142">
        <f>IF(OR($I901="",$I901="?",$D901&lt;&gt;"Advance",$B901=""),"",$I901&amp;"|"&amp;$J901&amp;"|"&amp;COUNTIFS($I$7:$I901,$I901,$J$7:$J901,$J901,$D$7:$D901,"Advance"))</f>
        <v/>
      </c>
      <c r="L901" s="266">
        <f>IF(OR($I901="",$I901="?",$B901=""),"",SUMPRODUCT((Weeks!$A$7:$A$59&lt;=$J901)*(Weeks!$X$5:$AI$5=$I901)*Weeks!$X$7:$AI$59)-SUMIFS($E$7:$E$1006,$I$7:$I$1006,$I901,$B$7:$B$1006,"&lt;="&amp;$B901))</f>
        <v/>
      </c>
      <c r="M901" s="132">
        <f>IF($B901&amp;$C901&amp;$D901&amp;$E901="","",IF($B901="","missing date",IF($C901="","missing worker",IF($I901="?","unknown worker - was the name changed on Workers?",IF($D901="","missing type",IF(N($E901)=0,"missing amount",IF(AND($E901&lt;0,$D901&lt;&gt;"Correction"),"negative amount - use a Correction to undo",IF(OR($B901&lt;Weeks!$A$7,$B901&gt;Weeks!$B$59),"date outside this workbook's year",IF(AND($D901="Advance",N($L901)&lt;0),"Warning: more than earned so far - worker now owes "&amp;TEXT(ROUND(-$L901,0),"#,##0"),"")))))))))</f>
        <v/>
      </c>
      <c r="N901" s="125" t="n"/>
      <c r="O901" s="126" t="n"/>
      <c r="P901" s="126" t="n"/>
      <c r="Q901" s="126" t="n"/>
      <c r="R901" s="126" t="n"/>
      <c r="S901" s="126" t="n"/>
      <c r="T901" s="126" t="n"/>
      <c r="U901" s="126" t="n"/>
      <c r="V901" s="126" t="n"/>
      <c r="W901" s="126" t="n"/>
      <c r="X901" s="126" t="n"/>
      <c r="Y901" s="126" t="n"/>
      <c r="Z901" s="126" t="n"/>
      <c r="AA901" s="126" t="n"/>
      <c r="AB901" s="126" t="n"/>
      <c r="AC901" s="126" t="n"/>
      <c r="AD901" s="126" t="n"/>
      <c r="AE901" s="126" t="n"/>
      <c r="AF901" s="126" t="n"/>
      <c r="AG901" s="126" t="n"/>
      <c r="AH901" s="126" t="n"/>
      <c r="AI901" s="126" t="n"/>
      <c r="AJ901" s="126" t="n"/>
      <c r="AK901" s="126" t="n"/>
      <c r="AL901" s="126" t="n"/>
      <c r="AM901" s="126" t="n"/>
      <c r="AN901" s="126" t="n"/>
    </row>
    <row r="902" ht="21" customFormat="1" customHeight="1" s="127">
      <c r="A902" s="51">
        <f>IF($B902="","",ROW()-6)</f>
        <v/>
      </c>
      <c r="B902" s="268" t="n"/>
      <c r="C902" s="133" t="n"/>
      <c r="D902" s="50" t="n"/>
      <c r="E902" s="265" t="n"/>
      <c r="F902" s="133" t="n"/>
      <c r="G902" s="133" t="n"/>
      <c r="H902" s="50" t="n"/>
      <c r="I902" s="51">
        <f>IF($C902="","",IFERROR(INDEX(WorkerIDs,MATCH($C902,WorkerNames,0)),"?"))</f>
        <v/>
      </c>
      <c r="J902" s="253">
        <f>IF($B902="","",$B902-WEEKDAY($B902,2)+1)</f>
        <v/>
      </c>
      <c r="K902" s="142">
        <f>IF(OR($I902="",$I902="?",$D902&lt;&gt;"Advance",$B902=""),"",$I902&amp;"|"&amp;$J902&amp;"|"&amp;COUNTIFS($I$7:$I902,$I902,$J$7:$J902,$J902,$D$7:$D902,"Advance"))</f>
        <v/>
      </c>
      <c r="L902" s="266">
        <f>IF(OR($I902="",$I902="?",$B902=""),"",SUMPRODUCT((Weeks!$A$7:$A$59&lt;=$J902)*(Weeks!$X$5:$AI$5=$I902)*Weeks!$X$7:$AI$59)-SUMIFS($E$7:$E$1006,$I$7:$I$1006,$I902,$B$7:$B$1006,"&lt;="&amp;$B902))</f>
        <v/>
      </c>
      <c r="M902" s="132">
        <f>IF($B902&amp;$C902&amp;$D902&amp;$E902="","",IF($B902="","missing date",IF($C902="","missing worker",IF($I902="?","unknown worker - was the name changed on Workers?",IF($D902="","missing type",IF(N($E902)=0,"missing amount",IF(AND($E902&lt;0,$D902&lt;&gt;"Correction"),"negative amount - use a Correction to undo",IF(OR($B902&lt;Weeks!$A$7,$B902&gt;Weeks!$B$59),"date outside this workbook's year",IF(AND($D902="Advance",N($L902)&lt;0),"Warning: more than earned so far - worker now owes "&amp;TEXT(ROUND(-$L902,0),"#,##0"),"")))))))))</f>
        <v/>
      </c>
      <c r="N902" s="125" t="n"/>
      <c r="O902" s="126" t="n"/>
      <c r="P902" s="126" t="n"/>
      <c r="Q902" s="126" t="n"/>
      <c r="R902" s="126" t="n"/>
      <c r="S902" s="126" t="n"/>
      <c r="T902" s="126" t="n"/>
      <c r="U902" s="126" t="n"/>
      <c r="V902" s="126" t="n"/>
      <c r="W902" s="126" t="n"/>
      <c r="X902" s="126" t="n"/>
      <c r="Y902" s="126" t="n"/>
      <c r="Z902" s="126" t="n"/>
      <c r="AA902" s="126" t="n"/>
      <c r="AB902" s="126" t="n"/>
      <c r="AC902" s="126" t="n"/>
      <c r="AD902" s="126" t="n"/>
      <c r="AE902" s="126" t="n"/>
      <c r="AF902" s="126" t="n"/>
      <c r="AG902" s="126" t="n"/>
      <c r="AH902" s="126" t="n"/>
      <c r="AI902" s="126" t="n"/>
      <c r="AJ902" s="126" t="n"/>
      <c r="AK902" s="126" t="n"/>
      <c r="AL902" s="126" t="n"/>
      <c r="AM902" s="126" t="n"/>
      <c r="AN902" s="126" t="n"/>
    </row>
    <row r="903" ht="21" customFormat="1" customHeight="1" s="127">
      <c r="A903" s="51">
        <f>IF($B903="","",ROW()-6)</f>
        <v/>
      </c>
      <c r="B903" s="268" t="n"/>
      <c r="C903" s="133" t="n"/>
      <c r="D903" s="50" t="n"/>
      <c r="E903" s="265" t="n"/>
      <c r="F903" s="133" t="n"/>
      <c r="G903" s="133" t="n"/>
      <c r="H903" s="50" t="n"/>
      <c r="I903" s="51">
        <f>IF($C903="","",IFERROR(INDEX(WorkerIDs,MATCH($C903,WorkerNames,0)),"?"))</f>
        <v/>
      </c>
      <c r="J903" s="253">
        <f>IF($B903="","",$B903-WEEKDAY($B903,2)+1)</f>
        <v/>
      </c>
      <c r="K903" s="142">
        <f>IF(OR($I903="",$I903="?",$D903&lt;&gt;"Advance",$B903=""),"",$I903&amp;"|"&amp;$J903&amp;"|"&amp;COUNTIFS($I$7:$I903,$I903,$J$7:$J903,$J903,$D$7:$D903,"Advance"))</f>
        <v/>
      </c>
      <c r="L903" s="266">
        <f>IF(OR($I903="",$I903="?",$B903=""),"",SUMPRODUCT((Weeks!$A$7:$A$59&lt;=$J903)*(Weeks!$X$5:$AI$5=$I903)*Weeks!$X$7:$AI$59)-SUMIFS($E$7:$E$1006,$I$7:$I$1006,$I903,$B$7:$B$1006,"&lt;="&amp;$B903))</f>
        <v/>
      </c>
      <c r="M903" s="132">
        <f>IF($B903&amp;$C903&amp;$D903&amp;$E903="","",IF($B903="","missing date",IF($C903="","missing worker",IF($I903="?","unknown worker - was the name changed on Workers?",IF($D903="","missing type",IF(N($E903)=0,"missing amount",IF(AND($E903&lt;0,$D903&lt;&gt;"Correction"),"negative amount - use a Correction to undo",IF(OR($B903&lt;Weeks!$A$7,$B903&gt;Weeks!$B$59),"date outside this workbook's year",IF(AND($D903="Advance",N($L903)&lt;0),"Warning: more than earned so far - worker now owes "&amp;TEXT(ROUND(-$L903,0),"#,##0"),"")))))))))</f>
        <v/>
      </c>
      <c r="N903" s="125" t="n"/>
      <c r="O903" s="126" t="n"/>
      <c r="P903" s="126" t="n"/>
      <c r="Q903" s="126" t="n"/>
      <c r="R903" s="126" t="n"/>
      <c r="S903" s="126" t="n"/>
      <c r="T903" s="126" t="n"/>
      <c r="U903" s="126" t="n"/>
      <c r="V903" s="126" t="n"/>
      <c r="W903" s="126" t="n"/>
      <c r="X903" s="126" t="n"/>
      <c r="Y903" s="126" t="n"/>
      <c r="Z903" s="126" t="n"/>
      <c r="AA903" s="126" t="n"/>
      <c r="AB903" s="126" t="n"/>
      <c r="AC903" s="126" t="n"/>
      <c r="AD903" s="126" t="n"/>
      <c r="AE903" s="126" t="n"/>
      <c r="AF903" s="126" t="n"/>
      <c r="AG903" s="126" t="n"/>
      <c r="AH903" s="126" t="n"/>
      <c r="AI903" s="126" t="n"/>
      <c r="AJ903" s="126" t="n"/>
      <c r="AK903" s="126" t="n"/>
      <c r="AL903" s="126" t="n"/>
      <c r="AM903" s="126" t="n"/>
      <c r="AN903" s="126" t="n"/>
    </row>
    <row r="904" ht="21" customFormat="1" customHeight="1" s="127">
      <c r="A904" s="51">
        <f>IF($B904="","",ROW()-6)</f>
        <v/>
      </c>
      <c r="B904" s="268" t="n"/>
      <c r="C904" s="133" t="n"/>
      <c r="D904" s="50" t="n"/>
      <c r="E904" s="265" t="n"/>
      <c r="F904" s="133" t="n"/>
      <c r="G904" s="133" t="n"/>
      <c r="H904" s="50" t="n"/>
      <c r="I904" s="51">
        <f>IF($C904="","",IFERROR(INDEX(WorkerIDs,MATCH($C904,WorkerNames,0)),"?"))</f>
        <v/>
      </c>
      <c r="J904" s="253">
        <f>IF($B904="","",$B904-WEEKDAY($B904,2)+1)</f>
        <v/>
      </c>
      <c r="K904" s="142">
        <f>IF(OR($I904="",$I904="?",$D904&lt;&gt;"Advance",$B904=""),"",$I904&amp;"|"&amp;$J904&amp;"|"&amp;COUNTIFS($I$7:$I904,$I904,$J$7:$J904,$J904,$D$7:$D904,"Advance"))</f>
        <v/>
      </c>
      <c r="L904" s="266">
        <f>IF(OR($I904="",$I904="?",$B904=""),"",SUMPRODUCT((Weeks!$A$7:$A$59&lt;=$J904)*(Weeks!$X$5:$AI$5=$I904)*Weeks!$X$7:$AI$59)-SUMIFS($E$7:$E$1006,$I$7:$I$1006,$I904,$B$7:$B$1006,"&lt;="&amp;$B904))</f>
        <v/>
      </c>
      <c r="M904" s="132">
        <f>IF($B904&amp;$C904&amp;$D904&amp;$E904="","",IF($B904="","missing date",IF($C904="","missing worker",IF($I904="?","unknown worker - was the name changed on Workers?",IF($D904="","missing type",IF(N($E904)=0,"missing amount",IF(AND($E904&lt;0,$D904&lt;&gt;"Correction"),"negative amount - use a Correction to undo",IF(OR($B904&lt;Weeks!$A$7,$B904&gt;Weeks!$B$59),"date outside this workbook's year",IF(AND($D904="Advance",N($L904)&lt;0),"Warning: more than earned so far - worker now owes "&amp;TEXT(ROUND(-$L904,0),"#,##0"),"")))))))))</f>
        <v/>
      </c>
      <c r="N904" s="125" t="n"/>
      <c r="O904" s="126" t="n"/>
      <c r="P904" s="126" t="n"/>
      <c r="Q904" s="126" t="n"/>
      <c r="R904" s="126" t="n"/>
      <c r="S904" s="126" t="n"/>
      <c r="T904" s="126" t="n"/>
      <c r="U904" s="126" t="n"/>
      <c r="V904" s="126" t="n"/>
      <c r="W904" s="126" t="n"/>
      <c r="X904" s="126" t="n"/>
      <c r="Y904" s="126" t="n"/>
      <c r="Z904" s="126" t="n"/>
      <c r="AA904" s="126" t="n"/>
      <c r="AB904" s="126" t="n"/>
      <c r="AC904" s="126" t="n"/>
      <c r="AD904" s="126" t="n"/>
      <c r="AE904" s="126" t="n"/>
      <c r="AF904" s="126" t="n"/>
      <c r="AG904" s="126" t="n"/>
      <c r="AH904" s="126" t="n"/>
      <c r="AI904" s="126" t="n"/>
      <c r="AJ904" s="126" t="n"/>
      <c r="AK904" s="126" t="n"/>
      <c r="AL904" s="126" t="n"/>
      <c r="AM904" s="126" t="n"/>
      <c r="AN904" s="126" t="n"/>
    </row>
    <row r="905" ht="21" customFormat="1" customHeight="1" s="127">
      <c r="A905" s="51">
        <f>IF($B905="","",ROW()-6)</f>
        <v/>
      </c>
      <c r="B905" s="268" t="n"/>
      <c r="C905" s="133" t="n"/>
      <c r="D905" s="50" t="n"/>
      <c r="E905" s="265" t="n"/>
      <c r="F905" s="133" t="n"/>
      <c r="G905" s="133" t="n"/>
      <c r="H905" s="50" t="n"/>
      <c r="I905" s="51">
        <f>IF($C905="","",IFERROR(INDEX(WorkerIDs,MATCH($C905,WorkerNames,0)),"?"))</f>
        <v/>
      </c>
      <c r="J905" s="253">
        <f>IF($B905="","",$B905-WEEKDAY($B905,2)+1)</f>
        <v/>
      </c>
      <c r="K905" s="142">
        <f>IF(OR($I905="",$I905="?",$D905&lt;&gt;"Advance",$B905=""),"",$I905&amp;"|"&amp;$J905&amp;"|"&amp;COUNTIFS($I$7:$I905,$I905,$J$7:$J905,$J905,$D$7:$D905,"Advance"))</f>
        <v/>
      </c>
      <c r="L905" s="266">
        <f>IF(OR($I905="",$I905="?",$B905=""),"",SUMPRODUCT((Weeks!$A$7:$A$59&lt;=$J905)*(Weeks!$X$5:$AI$5=$I905)*Weeks!$X$7:$AI$59)-SUMIFS($E$7:$E$1006,$I$7:$I$1006,$I905,$B$7:$B$1006,"&lt;="&amp;$B905))</f>
        <v/>
      </c>
      <c r="M905" s="132">
        <f>IF($B905&amp;$C905&amp;$D905&amp;$E905="","",IF($B905="","missing date",IF($C905="","missing worker",IF($I905="?","unknown worker - was the name changed on Workers?",IF($D905="","missing type",IF(N($E905)=0,"missing amount",IF(AND($E905&lt;0,$D905&lt;&gt;"Correction"),"negative amount - use a Correction to undo",IF(OR($B905&lt;Weeks!$A$7,$B905&gt;Weeks!$B$59),"date outside this workbook's year",IF(AND($D905="Advance",N($L905)&lt;0),"Warning: more than earned so far - worker now owes "&amp;TEXT(ROUND(-$L905,0),"#,##0"),"")))))))))</f>
        <v/>
      </c>
      <c r="N905" s="125" t="n"/>
      <c r="O905" s="126" t="n"/>
      <c r="P905" s="126" t="n"/>
      <c r="Q905" s="126" t="n"/>
      <c r="R905" s="126" t="n"/>
      <c r="S905" s="126" t="n"/>
      <c r="T905" s="126" t="n"/>
      <c r="U905" s="126" t="n"/>
      <c r="V905" s="126" t="n"/>
      <c r="W905" s="126" t="n"/>
      <c r="X905" s="126" t="n"/>
      <c r="Y905" s="126" t="n"/>
      <c r="Z905" s="126" t="n"/>
      <c r="AA905" s="126" t="n"/>
      <c r="AB905" s="126" t="n"/>
      <c r="AC905" s="126" t="n"/>
      <c r="AD905" s="126" t="n"/>
      <c r="AE905" s="126" t="n"/>
      <c r="AF905" s="126" t="n"/>
      <c r="AG905" s="126" t="n"/>
      <c r="AH905" s="126" t="n"/>
      <c r="AI905" s="126" t="n"/>
      <c r="AJ905" s="126" t="n"/>
      <c r="AK905" s="126" t="n"/>
      <c r="AL905" s="126" t="n"/>
      <c r="AM905" s="126" t="n"/>
      <c r="AN905" s="126" t="n"/>
    </row>
    <row r="906" ht="21" customFormat="1" customHeight="1" s="127">
      <c r="A906" s="51">
        <f>IF($B906="","",ROW()-6)</f>
        <v/>
      </c>
      <c r="B906" s="268" t="n"/>
      <c r="C906" s="133" t="n"/>
      <c r="D906" s="50" t="n"/>
      <c r="E906" s="265" t="n"/>
      <c r="F906" s="133" t="n"/>
      <c r="G906" s="133" t="n"/>
      <c r="H906" s="50" t="n"/>
      <c r="I906" s="51">
        <f>IF($C906="","",IFERROR(INDEX(WorkerIDs,MATCH($C906,WorkerNames,0)),"?"))</f>
        <v/>
      </c>
      <c r="J906" s="253">
        <f>IF($B906="","",$B906-WEEKDAY($B906,2)+1)</f>
        <v/>
      </c>
      <c r="K906" s="142">
        <f>IF(OR($I906="",$I906="?",$D906&lt;&gt;"Advance",$B906=""),"",$I906&amp;"|"&amp;$J906&amp;"|"&amp;COUNTIFS($I$7:$I906,$I906,$J$7:$J906,$J906,$D$7:$D906,"Advance"))</f>
        <v/>
      </c>
      <c r="L906" s="266">
        <f>IF(OR($I906="",$I906="?",$B906=""),"",SUMPRODUCT((Weeks!$A$7:$A$59&lt;=$J906)*(Weeks!$X$5:$AI$5=$I906)*Weeks!$X$7:$AI$59)-SUMIFS($E$7:$E$1006,$I$7:$I$1006,$I906,$B$7:$B$1006,"&lt;="&amp;$B906))</f>
        <v/>
      </c>
      <c r="M906" s="132">
        <f>IF($B906&amp;$C906&amp;$D906&amp;$E906="","",IF($B906="","missing date",IF($C906="","missing worker",IF($I906="?","unknown worker - was the name changed on Workers?",IF($D906="","missing type",IF(N($E906)=0,"missing amount",IF(AND($E906&lt;0,$D906&lt;&gt;"Correction"),"negative amount - use a Correction to undo",IF(OR($B906&lt;Weeks!$A$7,$B906&gt;Weeks!$B$59),"date outside this workbook's year",IF(AND($D906="Advance",N($L906)&lt;0),"Warning: more than earned so far - worker now owes "&amp;TEXT(ROUND(-$L906,0),"#,##0"),"")))))))))</f>
        <v/>
      </c>
      <c r="N906" s="125" t="n"/>
      <c r="O906" s="126" t="n"/>
      <c r="P906" s="126" t="n"/>
      <c r="Q906" s="126" t="n"/>
      <c r="R906" s="126" t="n"/>
      <c r="S906" s="126" t="n"/>
      <c r="T906" s="126" t="n"/>
      <c r="U906" s="126" t="n"/>
      <c r="V906" s="126" t="n"/>
      <c r="W906" s="126" t="n"/>
      <c r="X906" s="126" t="n"/>
      <c r="Y906" s="126" t="n"/>
      <c r="Z906" s="126" t="n"/>
      <c r="AA906" s="126" t="n"/>
      <c r="AB906" s="126" t="n"/>
      <c r="AC906" s="126" t="n"/>
      <c r="AD906" s="126" t="n"/>
      <c r="AE906" s="126" t="n"/>
      <c r="AF906" s="126" t="n"/>
      <c r="AG906" s="126" t="n"/>
      <c r="AH906" s="126" t="n"/>
      <c r="AI906" s="126" t="n"/>
      <c r="AJ906" s="126" t="n"/>
      <c r="AK906" s="126" t="n"/>
      <c r="AL906" s="126" t="n"/>
      <c r="AM906" s="126" t="n"/>
      <c r="AN906" s="126" t="n"/>
    </row>
    <row r="907" ht="21" customFormat="1" customHeight="1" s="127">
      <c r="A907" s="51">
        <f>IF($B907="","",ROW()-6)</f>
        <v/>
      </c>
      <c r="B907" s="268" t="n"/>
      <c r="C907" s="133" t="n"/>
      <c r="D907" s="50" t="n"/>
      <c r="E907" s="265" t="n"/>
      <c r="F907" s="133" t="n"/>
      <c r="G907" s="133" t="n"/>
      <c r="H907" s="50" t="n"/>
      <c r="I907" s="51">
        <f>IF($C907="","",IFERROR(INDEX(WorkerIDs,MATCH($C907,WorkerNames,0)),"?"))</f>
        <v/>
      </c>
      <c r="J907" s="253">
        <f>IF($B907="","",$B907-WEEKDAY($B907,2)+1)</f>
        <v/>
      </c>
      <c r="K907" s="142">
        <f>IF(OR($I907="",$I907="?",$D907&lt;&gt;"Advance",$B907=""),"",$I907&amp;"|"&amp;$J907&amp;"|"&amp;COUNTIFS($I$7:$I907,$I907,$J$7:$J907,$J907,$D$7:$D907,"Advance"))</f>
        <v/>
      </c>
      <c r="L907" s="266">
        <f>IF(OR($I907="",$I907="?",$B907=""),"",SUMPRODUCT((Weeks!$A$7:$A$59&lt;=$J907)*(Weeks!$X$5:$AI$5=$I907)*Weeks!$X$7:$AI$59)-SUMIFS($E$7:$E$1006,$I$7:$I$1006,$I907,$B$7:$B$1006,"&lt;="&amp;$B907))</f>
        <v/>
      </c>
      <c r="M907" s="132">
        <f>IF($B907&amp;$C907&amp;$D907&amp;$E907="","",IF($B907="","missing date",IF($C907="","missing worker",IF($I907="?","unknown worker - was the name changed on Workers?",IF($D907="","missing type",IF(N($E907)=0,"missing amount",IF(AND($E907&lt;0,$D907&lt;&gt;"Correction"),"negative amount - use a Correction to undo",IF(OR($B907&lt;Weeks!$A$7,$B907&gt;Weeks!$B$59),"date outside this workbook's year",IF(AND($D907="Advance",N($L907)&lt;0),"Warning: more than earned so far - worker now owes "&amp;TEXT(ROUND(-$L907,0),"#,##0"),"")))))))))</f>
        <v/>
      </c>
      <c r="N907" s="125" t="n"/>
      <c r="O907" s="126" t="n"/>
      <c r="P907" s="126" t="n"/>
      <c r="Q907" s="126" t="n"/>
      <c r="R907" s="126" t="n"/>
      <c r="S907" s="126" t="n"/>
      <c r="T907" s="126" t="n"/>
      <c r="U907" s="126" t="n"/>
      <c r="V907" s="126" t="n"/>
      <c r="W907" s="126" t="n"/>
      <c r="X907" s="126" t="n"/>
      <c r="Y907" s="126" t="n"/>
      <c r="Z907" s="126" t="n"/>
      <c r="AA907" s="126" t="n"/>
      <c r="AB907" s="126" t="n"/>
      <c r="AC907" s="126" t="n"/>
      <c r="AD907" s="126" t="n"/>
      <c r="AE907" s="126" t="n"/>
      <c r="AF907" s="126" t="n"/>
      <c r="AG907" s="126" t="n"/>
      <c r="AH907" s="126" t="n"/>
      <c r="AI907" s="126" t="n"/>
      <c r="AJ907" s="126" t="n"/>
      <c r="AK907" s="126" t="n"/>
      <c r="AL907" s="126" t="n"/>
      <c r="AM907" s="126" t="n"/>
      <c r="AN907" s="126" t="n"/>
    </row>
    <row r="908" ht="21" customFormat="1" customHeight="1" s="127">
      <c r="A908" s="51">
        <f>IF($B908="","",ROW()-6)</f>
        <v/>
      </c>
      <c r="B908" s="268" t="n"/>
      <c r="C908" s="133" t="n"/>
      <c r="D908" s="50" t="n"/>
      <c r="E908" s="265" t="n"/>
      <c r="F908" s="133" t="n"/>
      <c r="G908" s="133" t="n"/>
      <c r="H908" s="50" t="n"/>
      <c r="I908" s="51">
        <f>IF($C908="","",IFERROR(INDEX(WorkerIDs,MATCH($C908,WorkerNames,0)),"?"))</f>
        <v/>
      </c>
      <c r="J908" s="253">
        <f>IF($B908="","",$B908-WEEKDAY($B908,2)+1)</f>
        <v/>
      </c>
      <c r="K908" s="142">
        <f>IF(OR($I908="",$I908="?",$D908&lt;&gt;"Advance",$B908=""),"",$I908&amp;"|"&amp;$J908&amp;"|"&amp;COUNTIFS($I$7:$I908,$I908,$J$7:$J908,$J908,$D$7:$D908,"Advance"))</f>
        <v/>
      </c>
      <c r="L908" s="266">
        <f>IF(OR($I908="",$I908="?",$B908=""),"",SUMPRODUCT((Weeks!$A$7:$A$59&lt;=$J908)*(Weeks!$X$5:$AI$5=$I908)*Weeks!$X$7:$AI$59)-SUMIFS($E$7:$E$1006,$I$7:$I$1006,$I908,$B$7:$B$1006,"&lt;="&amp;$B908))</f>
        <v/>
      </c>
      <c r="M908" s="132">
        <f>IF($B908&amp;$C908&amp;$D908&amp;$E908="","",IF($B908="","missing date",IF($C908="","missing worker",IF($I908="?","unknown worker - was the name changed on Workers?",IF($D908="","missing type",IF(N($E908)=0,"missing amount",IF(AND($E908&lt;0,$D908&lt;&gt;"Correction"),"negative amount - use a Correction to undo",IF(OR($B908&lt;Weeks!$A$7,$B908&gt;Weeks!$B$59),"date outside this workbook's year",IF(AND($D908="Advance",N($L908)&lt;0),"Warning: more than earned so far - worker now owes "&amp;TEXT(ROUND(-$L908,0),"#,##0"),"")))))))))</f>
        <v/>
      </c>
      <c r="N908" s="125" t="n"/>
      <c r="O908" s="126" t="n"/>
      <c r="P908" s="126" t="n"/>
      <c r="Q908" s="126" t="n"/>
      <c r="R908" s="126" t="n"/>
      <c r="S908" s="126" t="n"/>
      <c r="T908" s="126" t="n"/>
      <c r="U908" s="126" t="n"/>
      <c r="V908" s="126" t="n"/>
      <c r="W908" s="126" t="n"/>
      <c r="X908" s="126" t="n"/>
      <c r="Y908" s="126" t="n"/>
      <c r="Z908" s="126" t="n"/>
      <c r="AA908" s="126" t="n"/>
      <c r="AB908" s="126" t="n"/>
      <c r="AC908" s="126" t="n"/>
      <c r="AD908" s="126" t="n"/>
      <c r="AE908" s="126" t="n"/>
      <c r="AF908" s="126" t="n"/>
      <c r="AG908" s="126" t="n"/>
      <c r="AH908" s="126" t="n"/>
      <c r="AI908" s="126" t="n"/>
      <c r="AJ908" s="126" t="n"/>
      <c r="AK908" s="126" t="n"/>
      <c r="AL908" s="126" t="n"/>
      <c r="AM908" s="126" t="n"/>
      <c r="AN908" s="126" t="n"/>
    </row>
    <row r="909" ht="21" customFormat="1" customHeight="1" s="127">
      <c r="A909" s="51">
        <f>IF($B909="","",ROW()-6)</f>
        <v/>
      </c>
      <c r="B909" s="268" t="n"/>
      <c r="C909" s="133" t="n"/>
      <c r="D909" s="50" t="n"/>
      <c r="E909" s="265" t="n"/>
      <c r="F909" s="133" t="n"/>
      <c r="G909" s="133" t="n"/>
      <c r="H909" s="50" t="n"/>
      <c r="I909" s="51">
        <f>IF($C909="","",IFERROR(INDEX(WorkerIDs,MATCH($C909,WorkerNames,0)),"?"))</f>
        <v/>
      </c>
      <c r="J909" s="253">
        <f>IF($B909="","",$B909-WEEKDAY($B909,2)+1)</f>
        <v/>
      </c>
      <c r="K909" s="142">
        <f>IF(OR($I909="",$I909="?",$D909&lt;&gt;"Advance",$B909=""),"",$I909&amp;"|"&amp;$J909&amp;"|"&amp;COUNTIFS($I$7:$I909,$I909,$J$7:$J909,$J909,$D$7:$D909,"Advance"))</f>
        <v/>
      </c>
      <c r="L909" s="266">
        <f>IF(OR($I909="",$I909="?",$B909=""),"",SUMPRODUCT((Weeks!$A$7:$A$59&lt;=$J909)*(Weeks!$X$5:$AI$5=$I909)*Weeks!$X$7:$AI$59)-SUMIFS($E$7:$E$1006,$I$7:$I$1006,$I909,$B$7:$B$1006,"&lt;="&amp;$B909))</f>
        <v/>
      </c>
      <c r="M909" s="132">
        <f>IF($B909&amp;$C909&amp;$D909&amp;$E909="","",IF($B909="","missing date",IF($C909="","missing worker",IF($I909="?","unknown worker - was the name changed on Workers?",IF($D909="","missing type",IF(N($E909)=0,"missing amount",IF(AND($E909&lt;0,$D909&lt;&gt;"Correction"),"negative amount - use a Correction to undo",IF(OR($B909&lt;Weeks!$A$7,$B909&gt;Weeks!$B$59),"date outside this workbook's year",IF(AND($D909="Advance",N($L909)&lt;0),"Warning: more than earned so far - worker now owes "&amp;TEXT(ROUND(-$L909,0),"#,##0"),"")))))))))</f>
        <v/>
      </c>
      <c r="N909" s="125" t="n"/>
      <c r="O909" s="126" t="n"/>
      <c r="P909" s="126" t="n"/>
      <c r="Q909" s="126" t="n"/>
      <c r="R909" s="126" t="n"/>
      <c r="S909" s="126" t="n"/>
      <c r="T909" s="126" t="n"/>
      <c r="U909" s="126" t="n"/>
      <c r="V909" s="126" t="n"/>
      <c r="W909" s="126" t="n"/>
      <c r="X909" s="126" t="n"/>
      <c r="Y909" s="126" t="n"/>
      <c r="Z909" s="126" t="n"/>
      <c r="AA909" s="126" t="n"/>
      <c r="AB909" s="126" t="n"/>
      <c r="AC909" s="126" t="n"/>
      <c r="AD909" s="126" t="n"/>
      <c r="AE909" s="126" t="n"/>
      <c r="AF909" s="126" t="n"/>
      <c r="AG909" s="126" t="n"/>
      <c r="AH909" s="126" t="n"/>
      <c r="AI909" s="126" t="n"/>
      <c r="AJ909" s="126" t="n"/>
      <c r="AK909" s="126" t="n"/>
      <c r="AL909" s="126" t="n"/>
      <c r="AM909" s="126" t="n"/>
      <c r="AN909" s="126" t="n"/>
    </row>
    <row r="910" ht="21" customFormat="1" customHeight="1" s="127">
      <c r="A910" s="51">
        <f>IF($B910="","",ROW()-6)</f>
        <v/>
      </c>
      <c r="B910" s="268" t="n"/>
      <c r="C910" s="133" t="n"/>
      <c r="D910" s="50" t="n"/>
      <c r="E910" s="265" t="n"/>
      <c r="F910" s="133" t="n"/>
      <c r="G910" s="133" t="n"/>
      <c r="H910" s="50" t="n"/>
      <c r="I910" s="51">
        <f>IF($C910="","",IFERROR(INDEX(WorkerIDs,MATCH($C910,WorkerNames,0)),"?"))</f>
        <v/>
      </c>
      <c r="J910" s="253">
        <f>IF($B910="","",$B910-WEEKDAY($B910,2)+1)</f>
        <v/>
      </c>
      <c r="K910" s="142">
        <f>IF(OR($I910="",$I910="?",$D910&lt;&gt;"Advance",$B910=""),"",$I910&amp;"|"&amp;$J910&amp;"|"&amp;COUNTIFS($I$7:$I910,$I910,$J$7:$J910,$J910,$D$7:$D910,"Advance"))</f>
        <v/>
      </c>
      <c r="L910" s="266">
        <f>IF(OR($I910="",$I910="?",$B910=""),"",SUMPRODUCT((Weeks!$A$7:$A$59&lt;=$J910)*(Weeks!$X$5:$AI$5=$I910)*Weeks!$X$7:$AI$59)-SUMIFS($E$7:$E$1006,$I$7:$I$1006,$I910,$B$7:$B$1006,"&lt;="&amp;$B910))</f>
        <v/>
      </c>
      <c r="M910" s="132">
        <f>IF($B910&amp;$C910&amp;$D910&amp;$E910="","",IF($B910="","missing date",IF($C910="","missing worker",IF($I910="?","unknown worker - was the name changed on Workers?",IF($D910="","missing type",IF(N($E910)=0,"missing amount",IF(AND($E910&lt;0,$D910&lt;&gt;"Correction"),"negative amount - use a Correction to undo",IF(OR($B910&lt;Weeks!$A$7,$B910&gt;Weeks!$B$59),"date outside this workbook's year",IF(AND($D910="Advance",N($L910)&lt;0),"Warning: more than earned so far - worker now owes "&amp;TEXT(ROUND(-$L910,0),"#,##0"),"")))))))))</f>
        <v/>
      </c>
      <c r="N910" s="125" t="n"/>
      <c r="O910" s="126" t="n"/>
      <c r="P910" s="126" t="n"/>
      <c r="Q910" s="126" t="n"/>
      <c r="R910" s="126" t="n"/>
      <c r="S910" s="126" t="n"/>
      <c r="T910" s="126" t="n"/>
      <c r="U910" s="126" t="n"/>
      <c r="V910" s="126" t="n"/>
      <c r="W910" s="126" t="n"/>
      <c r="X910" s="126" t="n"/>
      <c r="Y910" s="126" t="n"/>
      <c r="Z910" s="126" t="n"/>
      <c r="AA910" s="126" t="n"/>
      <c r="AB910" s="126" t="n"/>
      <c r="AC910" s="126" t="n"/>
      <c r="AD910" s="126" t="n"/>
      <c r="AE910" s="126" t="n"/>
      <c r="AF910" s="126" t="n"/>
      <c r="AG910" s="126" t="n"/>
      <c r="AH910" s="126" t="n"/>
      <c r="AI910" s="126" t="n"/>
      <c r="AJ910" s="126" t="n"/>
      <c r="AK910" s="126" t="n"/>
      <c r="AL910" s="126" t="n"/>
      <c r="AM910" s="126" t="n"/>
      <c r="AN910" s="126" t="n"/>
    </row>
    <row r="911" ht="21" customFormat="1" customHeight="1" s="127">
      <c r="A911" s="51">
        <f>IF($B911="","",ROW()-6)</f>
        <v/>
      </c>
      <c r="B911" s="268" t="n"/>
      <c r="C911" s="133" t="n"/>
      <c r="D911" s="50" t="n"/>
      <c r="E911" s="265" t="n"/>
      <c r="F911" s="133" t="n"/>
      <c r="G911" s="133" t="n"/>
      <c r="H911" s="50" t="n"/>
      <c r="I911" s="51">
        <f>IF($C911="","",IFERROR(INDEX(WorkerIDs,MATCH($C911,WorkerNames,0)),"?"))</f>
        <v/>
      </c>
      <c r="J911" s="253">
        <f>IF($B911="","",$B911-WEEKDAY($B911,2)+1)</f>
        <v/>
      </c>
      <c r="K911" s="142">
        <f>IF(OR($I911="",$I911="?",$D911&lt;&gt;"Advance",$B911=""),"",$I911&amp;"|"&amp;$J911&amp;"|"&amp;COUNTIFS($I$7:$I911,$I911,$J$7:$J911,$J911,$D$7:$D911,"Advance"))</f>
        <v/>
      </c>
      <c r="L911" s="266">
        <f>IF(OR($I911="",$I911="?",$B911=""),"",SUMPRODUCT((Weeks!$A$7:$A$59&lt;=$J911)*(Weeks!$X$5:$AI$5=$I911)*Weeks!$X$7:$AI$59)-SUMIFS($E$7:$E$1006,$I$7:$I$1006,$I911,$B$7:$B$1006,"&lt;="&amp;$B911))</f>
        <v/>
      </c>
      <c r="M911" s="132">
        <f>IF($B911&amp;$C911&amp;$D911&amp;$E911="","",IF($B911="","missing date",IF($C911="","missing worker",IF($I911="?","unknown worker - was the name changed on Workers?",IF($D911="","missing type",IF(N($E911)=0,"missing amount",IF(AND($E911&lt;0,$D911&lt;&gt;"Correction"),"negative amount - use a Correction to undo",IF(OR($B911&lt;Weeks!$A$7,$B911&gt;Weeks!$B$59),"date outside this workbook's year",IF(AND($D911="Advance",N($L911)&lt;0),"Warning: more than earned so far - worker now owes "&amp;TEXT(ROUND(-$L911,0),"#,##0"),"")))))))))</f>
        <v/>
      </c>
      <c r="N911" s="125" t="n"/>
      <c r="O911" s="126" t="n"/>
      <c r="P911" s="126" t="n"/>
      <c r="Q911" s="126" t="n"/>
      <c r="R911" s="126" t="n"/>
      <c r="S911" s="126" t="n"/>
      <c r="T911" s="126" t="n"/>
      <c r="U911" s="126" t="n"/>
      <c r="V911" s="126" t="n"/>
      <c r="W911" s="126" t="n"/>
      <c r="X911" s="126" t="n"/>
      <c r="Y911" s="126" t="n"/>
      <c r="Z911" s="126" t="n"/>
      <c r="AA911" s="126" t="n"/>
      <c r="AB911" s="126" t="n"/>
      <c r="AC911" s="126" t="n"/>
      <c r="AD911" s="126" t="n"/>
      <c r="AE911" s="126" t="n"/>
      <c r="AF911" s="126" t="n"/>
      <c r="AG911" s="126" t="n"/>
      <c r="AH911" s="126" t="n"/>
      <c r="AI911" s="126" t="n"/>
      <c r="AJ911" s="126" t="n"/>
      <c r="AK911" s="126" t="n"/>
      <c r="AL911" s="126" t="n"/>
      <c r="AM911" s="126" t="n"/>
      <c r="AN911" s="126" t="n"/>
    </row>
    <row r="912" ht="21" customFormat="1" customHeight="1" s="127">
      <c r="A912" s="51">
        <f>IF($B912="","",ROW()-6)</f>
        <v/>
      </c>
      <c r="B912" s="268" t="n"/>
      <c r="C912" s="133" t="n"/>
      <c r="D912" s="50" t="n"/>
      <c r="E912" s="265" t="n"/>
      <c r="F912" s="133" t="n"/>
      <c r="G912" s="133" t="n"/>
      <c r="H912" s="50" t="n"/>
      <c r="I912" s="51">
        <f>IF($C912="","",IFERROR(INDEX(WorkerIDs,MATCH($C912,WorkerNames,0)),"?"))</f>
        <v/>
      </c>
      <c r="J912" s="253">
        <f>IF($B912="","",$B912-WEEKDAY($B912,2)+1)</f>
        <v/>
      </c>
      <c r="K912" s="142">
        <f>IF(OR($I912="",$I912="?",$D912&lt;&gt;"Advance",$B912=""),"",$I912&amp;"|"&amp;$J912&amp;"|"&amp;COUNTIFS($I$7:$I912,$I912,$J$7:$J912,$J912,$D$7:$D912,"Advance"))</f>
        <v/>
      </c>
      <c r="L912" s="266">
        <f>IF(OR($I912="",$I912="?",$B912=""),"",SUMPRODUCT((Weeks!$A$7:$A$59&lt;=$J912)*(Weeks!$X$5:$AI$5=$I912)*Weeks!$X$7:$AI$59)-SUMIFS($E$7:$E$1006,$I$7:$I$1006,$I912,$B$7:$B$1006,"&lt;="&amp;$B912))</f>
        <v/>
      </c>
      <c r="M912" s="132">
        <f>IF($B912&amp;$C912&amp;$D912&amp;$E912="","",IF($B912="","missing date",IF($C912="","missing worker",IF($I912="?","unknown worker - was the name changed on Workers?",IF($D912="","missing type",IF(N($E912)=0,"missing amount",IF(AND($E912&lt;0,$D912&lt;&gt;"Correction"),"negative amount - use a Correction to undo",IF(OR($B912&lt;Weeks!$A$7,$B912&gt;Weeks!$B$59),"date outside this workbook's year",IF(AND($D912="Advance",N($L912)&lt;0),"Warning: more than earned so far - worker now owes "&amp;TEXT(ROUND(-$L912,0),"#,##0"),"")))))))))</f>
        <v/>
      </c>
      <c r="N912" s="125" t="n"/>
      <c r="O912" s="126" t="n"/>
      <c r="P912" s="126" t="n"/>
      <c r="Q912" s="126" t="n"/>
      <c r="R912" s="126" t="n"/>
      <c r="S912" s="126" t="n"/>
      <c r="T912" s="126" t="n"/>
      <c r="U912" s="126" t="n"/>
      <c r="V912" s="126" t="n"/>
      <c r="W912" s="126" t="n"/>
      <c r="X912" s="126" t="n"/>
      <c r="Y912" s="126" t="n"/>
      <c r="Z912" s="126" t="n"/>
      <c r="AA912" s="126" t="n"/>
      <c r="AB912" s="126" t="n"/>
      <c r="AC912" s="126" t="n"/>
      <c r="AD912" s="126" t="n"/>
      <c r="AE912" s="126" t="n"/>
      <c r="AF912" s="126" t="n"/>
      <c r="AG912" s="126" t="n"/>
      <c r="AH912" s="126" t="n"/>
      <c r="AI912" s="126" t="n"/>
      <c r="AJ912" s="126" t="n"/>
      <c r="AK912" s="126" t="n"/>
      <c r="AL912" s="126" t="n"/>
      <c r="AM912" s="126" t="n"/>
      <c r="AN912" s="126" t="n"/>
    </row>
    <row r="913" ht="21" customFormat="1" customHeight="1" s="127">
      <c r="A913" s="51">
        <f>IF($B913="","",ROW()-6)</f>
        <v/>
      </c>
      <c r="B913" s="268" t="n"/>
      <c r="C913" s="133" t="n"/>
      <c r="D913" s="50" t="n"/>
      <c r="E913" s="265" t="n"/>
      <c r="F913" s="133" t="n"/>
      <c r="G913" s="133" t="n"/>
      <c r="H913" s="50" t="n"/>
      <c r="I913" s="51">
        <f>IF($C913="","",IFERROR(INDEX(WorkerIDs,MATCH($C913,WorkerNames,0)),"?"))</f>
        <v/>
      </c>
      <c r="J913" s="253">
        <f>IF($B913="","",$B913-WEEKDAY($B913,2)+1)</f>
        <v/>
      </c>
      <c r="K913" s="142">
        <f>IF(OR($I913="",$I913="?",$D913&lt;&gt;"Advance",$B913=""),"",$I913&amp;"|"&amp;$J913&amp;"|"&amp;COUNTIFS($I$7:$I913,$I913,$J$7:$J913,$J913,$D$7:$D913,"Advance"))</f>
        <v/>
      </c>
      <c r="L913" s="266">
        <f>IF(OR($I913="",$I913="?",$B913=""),"",SUMPRODUCT((Weeks!$A$7:$A$59&lt;=$J913)*(Weeks!$X$5:$AI$5=$I913)*Weeks!$X$7:$AI$59)-SUMIFS($E$7:$E$1006,$I$7:$I$1006,$I913,$B$7:$B$1006,"&lt;="&amp;$B913))</f>
        <v/>
      </c>
      <c r="M913" s="132">
        <f>IF($B913&amp;$C913&amp;$D913&amp;$E913="","",IF($B913="","missing date",IF($C913="","missing worker",IF($I913="?","unknown worker - was the name changed on Workers?",IF($D913="","missing type",IF(N($E913)=0,"missing amount",IF(AND($E913&lt;0,$D913&lt;&gt;"Correction"),"negative amount - use a Correction to undo",IF(OR($B913&lt;Weeks!$A$7,$B913&gt;Weeks!$B$59),"date outside this workbook's year",IF(AND($D913="Advance",N($L913)&lt;0),"Warning: more than earned so far - worker now owes "&amp;TEXT(ROUND(-$L913,0),"#,##0"),"")))))))))</f>
        <v/>
      </c>
      <c r="N913" s="125" t="n"/>
      <c r="O913" s="126" t="n"/>
      <c r="P913" s="126" t="n"/>
      <c r="Q913" s="126" t="n"/>
      <c r="R913" s="126" t="n"/>
      <c r="S913" s="126" t="n"/>
      <c r="T913" s="126" t="n"/>
      <c r="U913" s="126" t="n"/>
      <c r="V913" s="126" t="n"/>
      <c r="W913" s="126" t="n"/>
      <c r="X913" s="126" t="n"/>
      <c r="Y913" s="126" t="n"/>
      <c r="Z913" s="126" t="n"/>
      <c r="AA913" s="126" t="n"/>
      <c r="AB913" s="126" t="n"/>
      <c r="AC913" s="126" t="n"/>
      <c r="AD913" s="126" t="n"/>
      <c r="AE913" s="126" t="n"/>
      <c r="AF913" s="126" t="n"/>
      <c r="AG913" s="126" t="n"/>
      <c r="AH913" s="126" t="n"/>
      <c r="AI913" s="126" t="n"/>
      <c r="AJ913" s="126" t="n"/>
      <c r="AK913" s="126" t="n"/>
      <c r="AL913" s="126" t="n"/>
      <c r="AM913" s="126" t="n"/>
      <c r="AN913" s="126" t="n"/>
    </row>
    <row r="914" ht="21" customFormat="1" customHeight="1" s="127">
      <c r="A914" s="51">
        <f>IF($B914="","",ROW()-6)</f>
        <v/>
      </c>
      <c r="B914" s="268" t="n"/>
      <c r="C914" s="133" t="n"/>
      <c r="D914" s="50" t="n"/>
      <c r="E914" s="265" t="n"/>
      <c r="F914" s="133" t="n"/>
      <c r="G914" s="133" t="n"/>
      <c r="H914" s="50" t="n"/>
      <c r="I914" s="51">
        <f>IF($C914="","",IFERROR(INDEX(WorkerIDs,MATCH($C914,WorkerNames,0)),"?"))</f>
        <v/>
      </c>
      <c r="J914" s="253">
        <f>IF($B914="","",$B914-WEEKDAY($B914,2)+1)</f>
        <v/>
      </c>
      <c r="K914" s="142">
        <f>IF(OR($I914="",$I914="?",$D914&lt;&gt;"Advance",$B914=""),"",$I914&amp;"|"&amp;$J914&amp;"|"&amp;COUNTIFS($I$7:$I914,$I914,$J$7:$J914,$J914,$D$7:$D914,"Advance"))</f>
        <v/>
      </c>
      <c r="L914" s="266">
        <f>IF(OR($I914="",$I914="?",$B914=""),"",SUMPRODUCT((Weeks!$A$7:$A$59&lt;=$J914)*(Weeks!$X$5:$AI$5=$I914)*Weeks!$X$7:$AI$59)-SUMIFS($E$7:$E$1006,$I$7:$I$1006,$I914,$B$7:$B$1006,"&lt;="&amp;$B914))</f>
        <v/>
      </c>
      <c r="M914" s="132">
        <f>IF($B914&amp;$C914&amp;$D914&amp;$E914="","",IF($B914="","missing date",IF($C914="","missing worker",IF($I914="?","unknown worker - was the name changed on Workers?",IF($D914="","missing type",IF(N($E914)=0,"missing amount",IF(AND($E914&lt;0,$D914&lt;&gt;"Correction"),"negative amount - use a Correction to undo",IF(OR($B914&lt;Weeks!$A$7,$B914&gt;Weeks!$B$59),"date outside this workbook's year",IF(AND($D914="Advance",N($L914)&lt;0),"Warning: more than earned so far - worker now owes "&amp;TEXT(ROUND(-$L914,0),"#,##0"),"")))))))))</f>
        <v/>
      </c>
      <c r="N914" s="125" t="n"/>
      <c r="O914" s="126" t="n"/>
      <c r="P914" s="126" t="n"/>
      <c r="Q914" s="126" t="n"/>
      <c r="R914" s="126" t="n"/>
      <c r="S914" s="126" t="n"/>
      <c r="T914" s="126" t="n"/>
      <c r="U914" s="126" t="n"/>
      <c r="V914" s="126" t="n"/>
      <c r="W914" s="126" t="n"/>
      <c r="X914" s="126" t="n"/>
      <c r="Y914" s="126" t="n"/>
      <c r="Z914" s="126" t="n"/>
      <c r="AA914" s="126" t="n"/>
      <c r="AB914" s="126" t="n"/>
      <c r="AC914" s="126" t="n"/>
      <c r="AD914" s="126" t="n"/>
      <c r="AE914" s="126" t="n"/>
      <c r="AF914" s="126" t="n"/>
      <c r="AG914" s="126" t="n"/>
      <c r="AH914" s="126" t="n"/>
      <c r="AI914" s="126" t="n"/>
      <c r="AJ914" s="126" t="n"/>
      <c r="AK914" s="126" t="n"/>
      <c r="AL914" s="126" t="n"/>
      <c r="AM914" s="126" t="n"/>
      <c r="AN914" s="126" t="n"/>
    </row>
    <row r="915" ht="21" customFormat="1" customHeight="1" s="127">
      <c r="A915" s="51">
        <f>IF($B915="","",ROW()-6)</f>
        <v/>
      </c>
      <c r="B915" s="268" t="n"/>
      <c r="C915" s="133" t="n"/>
      <c r="D915" s="50" t="n"/>
      <c r="E915" s="265" t="n"/>
      <c r="F915" s="133" t="n"/>
      <c r="G915" s="133" t="n"/>
      <c r="H915" s="50" t="n"/>
      <c r="I915" s="51">
        <f>IF($C915="","",IFERROR(INDEX(WorkerIDs,MATCH($C915,WorkerNames,0)),"?"))</f>
        <v/>
      </c>
      <c r="J915" s="253">
        <f>IF($B915="","",$B915-WEEKDAY($B915,2)+1)</f>
        <v/>
      </c>
      <c r="K915" s="142">
        <f>IF(OR($I915="",$I915="?",$D915&lt;&gt;"Advance",$B915=""),"",$I915&amp;"|"&amp;$J915&amp;"|"&amp;COUNTIFS($I$7:$I915,$I915,$J$7:$J915,$J915,$D$7:$D915,"Advance"))</f>
        <v/>
      </c>
      <c r="L915" s="266">
        <f>IF(OR($I915="",$I915="?",$B915=""),"",SUMPRODUCT((Weeks!$A$7:$A$59&lt;=$J915)*(Weeks!$X$5:$AI$5=$I915)*Weeks!$X$7:$AI$59)-SUMIFS($E$7:$E$1006,$I$7:$I$1006,$I915,$B$7:$B$1006,"&lt;="&amp;$B915))</f>
        <v/>
      </c>
      <c r="M915" s="132">
        <f>IF($B915&amp;$C915&amp;$D915&amp;$E915="","",IF($B915="","missing date",IF($C915="","missing worker",IF($I915="?","unknown worker - was the name changed on Workers?",IF($D915="","missing type",IF(N($E915)=0,"missing amount",IF(AND($E915&lt;0,$D915&lt;&gt;"Correction"),"negative amount - use a Correction to undo",IF(OR($B915&lt;Weeks!$A$7,$B915&gt;Weeks!$B$59),"date outside this workbook's year",IF(AND($D915="Advance",N($L915)&lt;0),"Warning: more than earned so far - worker now owes "&amp;TEXT(ROUND(-$L915,0),"#,##0"),"")))))))))</f>
        <v/>
      </c>
      <c r="N915" s="125" t="n"/>
      <c r="O915" s="126" t="n"/>
      <c r="P915" s="126" t="n"/>
      <c r="Q915" s="126" t="n"/>
      <c r="R915" s="126" t="n"/>
      <c r="S915" s="126" t="n"/>
      <c r="T915" s="126" t="n"/>
      <c r="U915" s="126" t="n"/>
      <c r="V915" s="126" t="n"/>
      <c r="W915" s="126" t="n"/>
      <c r="X915" s="126" t="n"/>
      <c r="Y915" s="126" t="n"/>
      <c r="Z915" s="126" t="n"/>
      <c r="AA915" s="126" t="n"/>
      <c r="AB915" s="126" t="n"/>
      <c r="AC915" s="126" t="n"/>
      <c r="AD915" s="126" t="n"/>
      <c r="AE915" s="126" t="n"/>
      <c r="AF915" s="126" t="n"/>
      <c r="AG915" s="126" t="n"/>
      <c r="AH915" s="126" t="n"/>
      <c r="AI915" s="126" t="n"/>
      <c r="AJ915" s="126" t="n"/>
      <c r="AK915" s="126" t="n"/>
      <c r="AL915" s="126" t="n"/>
      <c r="AM915" s="126" t="n"/>
      <c r="AN915" s="126" t="n"/>
    </row>
    <row r="916" ht="21" customFormat="1" customHeight="1" s="127">
      <c r="A916" s="51">
        <f>IF($B916="","",ROW()-6)</f>
        <v/>
      </c>
      <c r="B916" s="268" t="n"/>
      <c r="C916" s="133" t="n"/>
      <c r="D916" s="50" t="n"/>
      <c r="E916" s="265" t="n"/>
      <c r="F916" s="133" t="n"/>
      <c r="G916" s="133" t="n"/>
      <c r="H916" s="50" t="n"/>
      <c r="I916" s="51">
        <f>IF($C916="","",IFERROR(INDEX(WorkerIDs,MATCH($C916,WorkerNames,0)),"?"))</f>
        <v/>
      </c>
      <c r="J916" s="253">
        <f>IF($B916="","",$B916-WEEKDAY($B916,2)+1)</f>
        <v/>
      </c>
      <c r="K916" s="142">
        <f>IF(OR($I916="",$I916="?",$D916&lt;&gt;"Advance",$B916=""),"",$I916&amp;"|"&amp;$J916&amp;"|"&amp;COUNTIFS($I$7:$I916,$I916,$J$7:$J916,$J916,$D$7:$D916,"Advance"))</f>
        <v/>
      </c>
      <c r="L916" s="266">
        <f>IF(OR($I916="",$I916="?",$B916=""),"",SUMPRODUCT((Weeks!$A$7:$A$59&lt;=$J916)*(Weeks!$X$5:$AI$5=$I916)*Weeks!$X$7:$AI$59)-SUMIFS($E$7:$E$1006,$I$7:$I$1006,$I916,$B$7:$B$1006,"&lt;="&amp;$B916))</f>
        <v/>
      </c>
      <c r="M916" s="132">
        <f>IF($B916&amp;$C916&amp;$D916&amp;$E916="","",IF($B916="","missing date",IF($C916="","missing worker",IF($I916="?","unknown worker - was the name changed on Workers?",IF($D916="","missing type",IF(N($E916)=0,"missing amount",IF(AND($E916&lt;0,$D916&lt;&gt;"Correction"),"negative amount - use a Correction to undo",IF(OR($B916&lt;Weeks!$A$7,$B916&gt;Weeks!$B$59),"date outside this workbook's year",IF(AND($D916="Advance",N($L916)&lt;0),"Warning: more than earned so far - worker now owes "&amp;TEXT(ROUND(-$L916,0),"#,##0"),"")))))))))</f>
        <v/>
      </c>
      <c r="N916" s="125" t="n"/>
      <c r="O916" s="126" t="n"/>
      <c r="P916" s="126" t="n"/>
      <c r="Q916" s="126" t="n"/>
      <c r="R916" s="126" t="n"/>
      <c r="S916" s="126" t="n"/>
      <c r="T916" s="126" t="n"/>
      <c r="U916" s="126" t="n"/>
      <c r="V916" s="126" t="n"/>
      <c r="W916" s="126" t="n"/>
      <c r="X916" s="126" t="n"/>
      <c r="Y916" s="126" t="n"/>
      <c r="Z916" s="126" t="n"/>
      <c r="AA916" s="126" t="n"/>
      <c r="AB916" s="126" t="n"/>
      <c r="AC916" s="126" t="n"/>
      <c r="AD916" s="126" t="n"/>
      <c r="AE916" s="126" t="n"/>
      <c r="AF916" s="126" t="n"/>
      <c r="AG916" s="126" t="n"/>
      <c r="AH916" s="126" t="n"/>
      <c r="AI916" s="126" t="n"/>
      <c r="AJ916" s="126" t="n"/>
      <c r="AK916" s="126" t="n"/>
      <c r="AL916" s="126" t="n"/>
      <c r="AM916" s="126" t="n"/>
      <c r="AN916" s="126" t="n"/>
    </row>
    <row r="917" ht="21" customFormat="1" customHeight="1" s="127">
      <c r="A917" s="51">
        <f>IF($B917="","",ROW()-6)</f>
        <v/>
      </c>
      <c r="B917" s="268" t="n"/>
      <c r="C917" s="133" t="n"/>
      <c r="D917" s="50" t="n"/>
      <c r="E917" s="265" t="n"/>
      <c r="F917" s="133" t="n"/>
      <c r="G917" s="133" t="n"/>
      <c r="H917" s="50" t="n"/>
      <c r="I917" s="51">
        <f>IF($C917="","",IFERROR(INDEX(WorkerIDs,MATCH($C917,WorkerNames,0)),"?"))</f>
        <v/>
      </c>
      <c r="J917" s="253">
        <f>IF($B917="","",$B917-WEEKDAY($B917,2)+1)</f>
        <v/>
      </c>
      <c r="K917" s="142">
        <f>IF(OR($I917="",$I917="?",$D917&lt;&gt;"Advance",$B917=""),"",$I917&amp;"|"&amp;$J917&amp;"|"&amp;COUNTIFS($I$7:$I917,$I917,$J$7:$J917,$J917,$D$7:$D917,"Advance"))</f>
        <v/>
      </c>
      <c r="L917" s="266">
        <f>IF(OR($I917="",$I917="?",$B917=""),"",SUMPRODUCT((Weeks!$A$7:$A$59&lt;=$J917)*(Weeks!$X$5:$AI$5=$I917)*Weeks!$X$7:$AI$59)-SUMIFS($E$7:$E$1006,$I$7:$I$1006,$I917,$B$7:$B$1006,"&lt;="&amp;$B917))</f>
        <v/>
      </c>
      <c r="M917" s="132">
        <f>IF($B917&amp;$C917&amp;$D917&amp;$E917="","",IF($B917="","missing date",IF($C917="","missing worker",IF($I917="?","unknown worker - was the name changed on Workers?",IF($D917="","missing type",IF(N($E917)=0,"missing amount",IF(AND($E917&lt;0,$D917&lt;&gt;"Correction"),"negative amount - use a Correction to undo",IF(OR($B917&lt;Weeks!$A$7,$B917&gt;Weeks!$B$59),"date outside this workbook's year",IF(AND($D917="Advance",N($L917)&lt;0),"Warning: more than earned so far - worker now owes "&amp;TEXT(ROUND(-$L917,0),"#,##0"),"")))))))))</f>
        <v/>
      </c>
      <c r="N917" s="125" t="n"/>
      <c r="O917" s="126" t="n"/>
      <c r="P917" s="126" t="n"/>
      <c r="Q917" s="126" t="n"/>
      <c r="R917" s="126" t="n"/>
      <c r="S917" s="126" t="n"/>
      <c r="T917" s="126" t="n"/>
      <c r="U917" s="126" t="n"/>
      <c r="V917" s="126" t="n"/>
      <c r="W917" s="126" t="n"/>
      <c r="X917" s="126" t="n"/>
      <c r="Y917" s="126" t="n"/>
      <c r="Z917" s="126" t="n"/>
      <c r="AA917" s="126" t="n"/>
      <c r="AB917" s="126" t="n"/>
      <c r="AC917" s="126" t="n"/>
      <c r="AD917" s="126" t="n"/>
      <c r="AE917" s="126" t="n"/>
      <c r="AF917" s="126" t="n"/>
      <c r="AG917" s="126" t="n"/>
      <c r="AH917" s="126" t="n"/>
      <c r="AI917" s="126" t="n"/>
      <c r="AJ917" s="126" t="n"/>
      <c r="AK917" s="126" t="n"/>
      <c r="AL917" s="126" t="n"/>
      <c r="AM917" s="126" t="n"/>
      <c r="AN917" s="126" t="n"/>
    </row>
    <row r="918" ht="21" customFormat="1" customHeight="1" s="127">
      <c r="A918" s="51">
        <f>IF($B918="","",ROW()-6)</f>
        <v/>
      </c>
      <c r="B918" s="268" t="n"/>
      <c r="C918" s="133" t="n"/>
      <c r="D918" s="50" t="n"/>
      <c r="E918" s="265" t="n"/>
      <c r="F918" s="133" t="n"/>
      <c r="G918" s="133" t="n"/>
      <c r="H918" s="50" t="n"/>
      <c r="I918" s="51">
        <f>IF($C918="","",IFERROR(INDEX(WorkerIDs,MATCH($C918,WorkerNames,0)),"?"))</f>
        <v/>
      </c>
      <c r="J918" s="253">
        <f>IF($B918="","",$B918-WEEKDAY($B918,2)+1)</f>
        <v/>
      </c>
      <c r="K918" s="142">
        <f>IF(OR($I918="",$I918="?",$D918&lt;&gt;"Advance",$B918=""),"",$I918&amp;"|"&amp;$J918&amp;"|"&amp;COUNTIFS($I$7:$I918,$I918,$J$7:$J918,$J918,$D$7:$D918,"Advance"))</f>
        <v/>
      </c>
      <c r="L918" s="266">
        <f>IF(OR($I918="",$I918="?",$B918=""),"",SUMPRODUCT((Weeks!$A$7:$A$59&lt;=$J918)*(Weeks!$X$5:$AI$5=$I918)*Weeks!$X$7:$AI$59)-SUMIFS($E$7:$E$1006,$I$7:$I$1006,$I918,$B$7:$B$1006,"&lt;="&amp;$B918))</f>
        <v/>
      </c>
      <c r="M918" s="132">
        <f>IF($B918&amp;$C918&amp;$D918&amp;$E918="","",IF($B918="","missing date",IF($C918="","missing worker",IF($I918="?","unknown worker - was the name changed on Workers?",IF($D918="","missing type",IF(N($E918)=0,"missing amount",IF(AND($E918&lt;0,$D918&lt;&gt;"Correction"),"negative amount - use a Correction to undo",IF(OR($B918&lt;Weeks!$A$7,$B918&gt;Weeks!$B$59),"date outside this workbook's year",IF(AND($D918="Advance",N($L918)&lt;0),"Warning: more than earned so far - worker now owes "&amp;TEXT(ROUND(-$L918,0),"#,##0"),"")))))))))</f>
        <v/>
      </c>
      <c r="N918" s="125" t="n"/>
      <c r="O918" s="126" t="n"/>
      <c r="P918" s="126" t="n"/>
      <c r="Q918" s="126" t="n"/>
      <c r="R918" s="126" t="n"/>
      <c r="S918" s="126" t="n"/>
      <c r="T918" s="126" t="n"/>
      <c r="U918" s="126" t="n"/>
      <c r="V918" s="126" t="n"/>
      <c r="W918" s="126" t="n"/>
      <c r="X918" s="126" t="n"/>
      <c r="Y918" s="126" t="n"/>
      <c r="Z918" s="126" t="n"/>
      <c r="AA918" s="126" t="n"/>
      <c r="AB918" s="126" t="n"/>
      <c r="AC918" s="126" t="n"/>
      <c r="AD918" s="126" t="n"/>
      <c r="AE918" s="126" t="n"/>
      <c r="AF918" s="126" t="n"/>
      <c r="AG918" s="126" t="n"/>
      <c r="AH918" s="126" t="n"/>
      <c r="AI918" s="126" t="n"/>
      <c r="AJ918" s="126" t="n"/>
      <c r="AK918" s="126" t="n"/>
      <c r="AL918" s="126" t="n"/>
      <c r="AM918" s="126" t="n"/>
      <c r="AN918" s="126" t="n"/>
    </row>
    <row r="919" ht="21" customFormat="1" customHeight="1" s="127">
      <c r="A919" s="51">
        <f>IF($B919="","",ROW()-6)</f>
        <v/>
      </c>
      <c r="B919" s="268" t="n"/>
      <c r="C919" s="133" t="n"/>
      <c r="D919" s="50" t="n"/>
      <c r="E919" s="265" t="n"/>
      <c r="F919" s="133" t="n"/>
      <c r="G919" s="133" t="n"/>
      <c r="H919" s="50" t="n"/>
      <c r="I919" s="51">
        <f>IF($C919="","",IFERROR(INDEX(WorkerIDs,MATCH($C919,WorkerNames,0)),"?"))</f>
        <v/>
      </c>
      <c r="J919" s="253">
        <f>IF($B919="","",$B919-WEEKDAY($B919,2)+1)</f>
        <v/>
      </c>
      <c r="K919" s="142">
        <f>IF(OR($I919="",$I919="?",$D919&lt;&gt;"Advance",$B919=""),"",$I919&amp;"|"&amp;$J919&amp;"|"&amp;COUNTIFS($I$7:$I919,$I919,$J$7:$J919,$J919,$D$7:$D919,"Advance"))</f>
        <v/>
      </c>
      <c r="L919" s="266">
        <f>IF(OR($I919="",$I919="?",$B919=""),"",SUMPRODUCT((Weeks!$A$7:$A$59&lt;=$J919)*(Weeks!$X$5:$AI$5=$I919)*Weeks!$X$7:$AI$59)-SUMIFS($E$7:$E$1006,$I$7:$I$1006,$I919,$B$7:$B$1006,"&lt;="&amp;$B919))</f>
        <v/>
      </c>
      <c r="M919" s="132">
        <f>IF($B919&amp;$C919&amp;$D919&amp;$E919="","",IF($B919="","missing date",IF($C919="","missing worker",IF($I919="?","unknown worker - was the name changed on Workers?",IF($D919="","missing type",IF(N($E919)=0,"missing amount",IF(AND($E919&lt;0,$D919&lt;&gt;"Correction"),"negative amount - use a Correction to undo",IF(OR($B919&lt;Weeks!$A$7,$B919&gt;Weeks!$B$59),"date outside this workbook's year",IF(AND($D919="Advance",N($L919)&lt;0),"Warning: more than earned so far - worker now owes "&amp;TEXT(ROUND(-$L919,0),"#,##0"),"")))))))))</f>
        <v/>
      </c>
      <c r="N919" s="125" t="n"/>
      <c r="O919" s="126" t="n"/>
      <c r="P919" s="126" t="n"/>
      <c r="Q919" s="126" t="n"/>
      <c r="R919" s="126" t="n"/>
      <c r="S919" s="126" t="n"/>
      <c r="T919" s="126" t="n"/>
      <c r="U919" s="126" t="n"/>
      <c r="V919" s="126" t="n"/>
      <c r="W919" s="126" t="n"/>
      <c r="X919" s="126" t="n"/>
      <c r="Y919" s="126" t="n"/>
      <c r="Z919" s="126" t="n"/>
      <c r="AA919" s="126" t="n"/>
      <c r="AB919" s="126" t="n"/>
      <c r="AC919" s="126" t="n"/>
      <c r="AD919" s="126" t="n"/>
      <c r="AE919" s="126" t="n"/>
      <c r="AF919" s="126" t="n"/>
      <c r="AG919" s="126" t="n"/>
      <c r="AH919" s="126" t="n"/>
      <c r="AI919" s="126" t="n"/>
      <c r="AJ919" s="126" t="n"/>
      <c r="AK919" s="126" t="n"/>
      <c r="AL919" s="126" t="n"/>
      <c r="AM919" s="126" t="n"/>
      <c r="AN919" s="126" t="n"/>
    </row>
    <row r="920" ht="21" customFormat="1" customHeight="1" s="127">
      <c r="A920" s="51">
        <f>IF($B920="","",ROW()-6)</f>
        <v/>
      </c>
      <c r="B920" s="268" t="n"/>
      <c r="C920" s="133" t="n"/>
      <c r="D920" s="50" t="n"/>
      <c r="E920" s="265" t="n"/>
      <c r="F920" s="133" t="n"/>
      <c r="G920" s="133" t="n"/>
      <c r="H920" s="50" t="n"/>
      <c r="I920" s="51">
        <f>IF($C920="","",IFERROR(INDEX(WorkerIDs,MATCH($C920,WorkerNames,0)),"?"))</f>
        <v/>
      </c>
      <c r="J920" s="253">
        <f>IF($B920="","",$B920-WEEKDAY($B920,2)+1)</f>
        <v/>
      </c>
      <c r="K920" s="142">
        <f>IF(OR($I920="",$I920="?",$D920&lt;&gt;"Advance",$B920=""),"",$I920&amp;"|"&amp;$J920&amp;"|"&amp;COUNTIFS($I$7:$I920,$I920,$J$7:$J920,$J920,$D$7:$D920,"Advance"))</f>
        <v/>
      </c>
      <c r="L920" s="266">
        <f>IF(OR($I920="",$I920="?",$B920=""),"",SUMPRODUCT((Weeks!$A$7:$A$59&lt;=$J920)*(Weeks!$X$5:$AI$5=$I920)*Weeks!$X$7:$AI$59)-SUMIFS($E$7:$E$1006,$I$7:$I$1006,$I920,$B$7:$B$1006,"&lt;="&amp;$B920))</f>
        <v/>
      </c>
      <c r="M920" s="132">
        <f>IF($B920&amp;$C920&amp;$D920&amp;$E920="","",IF($B920="","missing date",IF($C920="","missing worker",IF($I920="?","unknown worker - was the name changed on Workers?",IF($D920="","missing type",IF(N($E920)=0,"missing amount",IF(AND($E920&lt;0,$D920&lt;&gt;"Correction"),"negative amount - use a Correction to undo",IF(OR($B920&lt;Weeks!$A$7,$B920&gt;Weeks!$B$59),"date outside this workbook's year",IF(AND($D920="Advance",N($L920)&lt;0),"Warning: more than earned so far - worker now owes "&amp;TEXT(ROUND(-$L920,0),"#,##0"),"")))))))))</f>
        <v/>
      </c>
      <c r="N920" s="125" t="n"/>
      <c r="O920" s="126" t="n"/>
      <c r="P920" s="126" t="n"/>
      <c r="Q920" s="126" t="n"/>
      <c r="R920" s="126" t="n"/>
      <c r="S920" s="126" t="n"/>
      <c r="T920" s="126" t="n"/>
      <c r="U920" s="126" t="n"/>
      <c r="V920" s="126" t="n"/>
      <c r="W920" s="126" t="n"/>
      <c r="X920" s="126" t="n"/>
      <c r="Y920" s="126" t="n"/>
      <c r="Z920" s="126" t="n"/>
      <c r="AA920" s="126" t="n"/>
      <c r="AB920" s="126" t="n"/>
      <c r="AC920" s="126" t="n"/>
      <c r="AD920" s="126" t="n"/>
      <c r="AE920" s="126" t="n"/>
      <c r="AF920" s="126" t="n"/>
      <c r="AG920" s="126" t="n"/>
      <c r="AH920" s="126" t="n"/>
      <c r="AI920" s="126" t="n"/>
      <c r="AJ920" s="126" t="n"/>
      <c r="AK920" s="126" t="n"/>
      <c r="AL920" s="126" t="n"/>
      <c r="AM920" s="126" t="n"/>
      <c r="AN920" s="126" t="n"/>
    </row>
    <row r="921" ht="21" customFormat="1" customHeight="1" s="127">
      <c r="A921" s="51">
        <f>IF($B921="","",ROW()-6)</f>
        <v/>
      </c>
      <c r="B921" s="268" t="n"/>
      <c r="C921" s="133" t="n"/>
      <c r="D921" s="50" t="n"/>
      <c r="E921" s="265" t="n"/>
      <c r="F921" s="133" t="n"/>
      <c r="G921" s="133" t="n"/>
      <c r="H921" s="50" t="n"/>
      <c r="I921" s="51">
        <f>IF($C921="","",IFERROR(INDEX(WorkerIDs,MATCH($C921,WorkerNames,0)),"?"))</f>
        <v/>
      </c>
      <c r="J921" s="253">
        <f>IF($B921="","",$B921-WEEKDAY($B921,2)+1)</f>
        <v/>
      </c>
      <c r="K921" s="142">
        <f>IF(OR($I921="",$I921="?",$D921&lt;&gt;"Advance",$B921=""),"",$I921&amp;"|"&amp;$J921&amp;"|"&amp;COUNTIFS($I$7:$I921,$I921,$J$7:$J921,$J921,$D$7:$D921,"Advance"))</f>
        <v/>
      </c>
      <c r="L921" s="266">
        <f>IF(OR($I921="",$I921="?",$B921=""),"",SUMPRODUCT((Weeks!$A$7:$A$59&lt;=$J921)*(Weeks!$X$5:$AI$5=$I921)*Weeks!$X$7:$AI$59)-SUMIFS($E$7:$E$1006,$I$7:$I$1006,$I921,$B$7:$B$1006,"&lt;="&amp;$B921))</f>
        <v/>
      </c>
      <c r="M921" s="132">
        <f>IF($B921&amp;$C921&amp;$D921&amp;$E921="","",IF($B921="","missing date",IF($C921="","missing worker",IF($I921="?","unknown worker - was the name changed on Workers?",IF($D921="","missing type",IF(N($E921)=0,"missing amount",IF(AND($E921&lt;0,$D921&lt;&gt;"Correction"),"negative amount - use a Correction to undo",IF(OR($B921&lt;Weeks!$A$7,$B921&gt;Weeks!$B$59),"date outside this workbook's year",IF(AND($D921="Advance",N($L921)&lt;0),"Warning: more than earned so far - worker now owes "&amp;TEXT(ROUND(-$L921,0),"#,##0"),"")))))))))</f>
        <v/>
      </c>
      <c r="N921" s="125" t="n"/>
      <c r="O921" s="126" t="n"/>
      <c r="P921" s="126" t="n"/>
      <c r="Q921" s="126" t="n"/>
      <c r="R921" s="126" t="n"/>
      <c r="S921" s="126" t="n"/>
      <c r="T921" s="126" t="n"/>
      <c r="U921" s="126" t="n"/>
      <c r="V921" s="126" t="n"/>
      <c r="W921" s="126" t="n"/>
      <c r="X921" s="126" t="n"/>
      <c r="Y921" s="126" t="n"/>
      <c r="Z921" s="126" t="n"/>
      <c r="AA921" s="126" t="n"/>
      <c r="AB921" s="126" t="n"/>
      <c r="AC921" s="126" t="n"/>
      <c r="AD921" s="126" t="n"/>
      <c r="AE921" s="126" t="n"/>
      <c r="AF921" s="126" t="n"/>
      <c r="AG921" s="126" t="n"/>
      <c r="AH921" s="126" t="n"/>
      <c r="AI921" s="126" t="n"/>
      <c r="AJ921" s="126" t="n"/>
      <c r="AK921" s="126" t="n"/>
      <c r="AL921" s="126" t="n"/>
      <c r="AM921" s="126" t="n"/>
      <c r="AN921" s="126" t="n"/>
    </row>
    <row r="922" ht="21" customFormat="1" customHeight="1" s="127">
      <c r="A922" s="51">
        <f>IF($B922="","",ROW()-6)</f>
        <v/>
      </c>
      <c r="B922" s="268" t="n"/>
      <c r="C922" s="133" t="n"/>
      <c r="D922" s="50" t="n"/>
      <c r="E922" s="265" t="n"/>
      <c r="F922" s="133" t="n"/>
      <c r="G922" s="133" t="n"/>
      <c r="H922" s="50" t="n"/>
      <c r="I922" s="51">
        <f>IF($C922="","",IFERROR(INDEX(WorkerIDs,MATCH($C922,WorkerNames,0)),"?"))</f>
        <v/>
      </c>
      <c r="J922" s="253">
        <f>IF($B922="","",$B922-WEEKDAY($B922,2)+1)</f>
        <v/>
      </c>
      <c r="K922" s="142">
        <f>IF(OR($I922="",$I922="?",$D922&lt;&gt;"Advance",$B922=""),"",$I922&amp;"|"&amp;$J922&amp;"|"&amp;COUNTIFS($I$7:$I922,$I922,$J$7:$J922,$J922,$D$7:$D922,"Advance"))</f>
        <v/>
      </c>
      <c r="L922" s="266">
        <f>IF(OR($I922="",$I922="?",$B922=""),"",SUMPRODUCT((Weeks!$A$7:$A$59&lt;=$J922)*(Weeks!$X$5:$AI$5=$I922)*Weeks!$X$7:$AI$59)-SUMIFS($E$7:$E$1006,$I$7:$I$1006,$I922,$B$7:$B$1006,"&lt;="&amp;$B922))</f>
        <v/>
      </c>
      <c r="M922" s="132">
        <f>IF($B922&amp;$C922&amp;$D922&amp;$E922="","",IF($B922="","missing date",IF($C922="","missing worker",IF($I922="?","unknown worker - was the name changed on Workers?",IF($D922="","missing type",IF(N($E922)=0,"missing amount",IF(AND($E922&lt;0,$D922&lt;&gt;"Correction"),"negative amount - use a Correction to undo",IF(OR($B922&lt;Weeks!$A$7,$B922&gt;Weeks!$B$59),"date outside this workbook's year",IF(AND($D922="Advance",N($L922)&lt;0),"Warning: more than earned so far - worker now owes "&amp;TEXT(ROUND(-$L922,0),"#,##0"),"")))))))))</f>
        <v/>
      </c>
      <c r="N922" s="125" t="n"/>
      <c r="O922" s="126" t="n"/>
      <c r="P922" s="126" t="n"/>
      <c r="Q922" s="126" t="n"/>
      <c r="R922" s="126" t="n"/>
      <c r="S922" s="126" t="n"/>
      <c r="T922" s="126" t="n"/>
      <c r="U922" s="126" t="n"/>
      <c r="V922" s="126" t="n"/>
      <c r="W922" s="126" t="n"/>
      <c r="X922" s="126" t="n"/>
      <c r="Y922" s="126" t="n"/>
      <c r="Z922" s="126" t="n"/>
      <c r="AA922" s="126" t="n"/>
      <c r="AB922" s="126" t="n"/>
      <c r="AC922" s="126" t="n"/>
      <c r="AD922" s="126" t="n"/>
      <c r="AE922" s="126" t="n"/>
      <c r="AF922" s="126" t="n"/>
      <c r="AG922" s="126" t="n"/>
      <c r="AH922" s="126" t="n"/>
      <c r="AI922" s="126" t="n"/>
      <c r="AJ922" s="126" t="n"/>
      <c r="AK922" s="126" t="n"/>
      <c r="AL922" s="126" t="n"/>
      <c r="AM922" s="126" t="n"/>
      <c r="AN922" s="126" t="n"/>
    </row>
    <row r="923" ht="21" customFormat="1" customHeight="1" s="127">
      <c r="A923" s="51">
        <f>IF($B923="","",ROW()-6)</f>
        <v/>
      </c>
      <c r="B923" s="268" t="n"/>
      <c r="C923" s="133" t="n"/>
      <c r="D923" s="50" t="n"/>
      <c r="E923" s="265" t="n"/>
      <c r="F923" s="133" t="n"/>
      <c r="G923" s="133" t="n"/>
      <c r="H923" s="50" t="n"/>
      <c r="I923" s="51">
        <f>IF($C923="","",IFERROR(INDEX(WorkerIDs,MATCH($C923,WorkerNames,0)),"?"))</f>
        <v/>
      </c>
      <c r="J923" s="253">
        <f>IF($B923="","",$B923-WEEKDAY($B923,2)+1)</f>
        <v/>
      </c>
      <c r="K923" s="142">
        <f>IF(OR($I923="",$I923="?",$D923&lt;&gt;"Advance",$B923=""),"",$I923&amp;"|"&amp;$J923&amp;"|"&amp;COUNTIFS($I$7:$I923,$I923,$J$7:$J923,$J923,$D$7:$D923,"Advance"))</f>
        <v/>
      </c>
      <c r="L923" s="266">
        <f>IF(OR($I923="",$I923="?",$B923=""),"",SUMPRODUCT((Weeks!$A$7:$A$59&lt;=$J923)*(Weeks!$X$5:$AI$5=$I923)*Weeks!$X$7:$AI$59)-SUMIFS($E$7:$E$1006,$I$7:$I$1006,$I923,$B$7:$B$1006,"&lt;="&amp;$B923))</f>
        <v/>
      </c>
      <c r="M923" s="132">
        <f>IF($B923&amp;$C923&amp;$D923&amp;$E923="","",IF($B923="","missing date",IF($C923="","missing worker",IF($I923="?","unknown worker - was the name changed on Workers?",IF($D923="","missing type",IF(N($E923)=0,"missing amount",IF(AND($E923&lt;0,$D923&lt;&gt;"Correction"),"negative amount - use a Correction to undo",IF(OR($B923&lt;Weeks!$A$7,$B923&gt;Weeks!$B$59),"date outside this workbook's year",IF(AND($D923="Advance",N($L923)&lt;0),"Warning: more than earned so far - worker now owes "&amp;TEXT(ROUND(-$L923,0),"#,##0"),"")))))))))</f>
        <v/>
      </c>
      <c r="N923" s="125" t="n"/>
      <c r="O923" s="126" t="n"/>
      <c r="P923" s="126" t="n"/>
      <c r="Q923" s="126" t="n"/>
      <c r="R923" s="126" t="n"/>
      <c r="S923" s="126" t="n"/>
      <c r="T923" s="126" t="n"/>
      <c r="U923" s="126" t="n"/>
      <c r="V923" s="126" t="n"/>
      <c r="W923" s="126" t="n"/>
      <c r="X923" s="126" t="n"/>
      <c r="Y923" s="126" t="n"/>
      <c r="Z923" s="126" t="n"/>
      <c r="AA923" s="126" t="n"/>
      <c r="AB923" s="126" t="n"/>
      <c r="AC923" s="126" t="n"/>
      <c r="AD923" s="126" t="n"/>
      <c r="AE923" s="126" t="n"/>
      <c r="AF923" s="126" t="n"/>
      <c r="AG923" s="126" t="n"/>
      <c r="AH923" s="126" t="n"/>
      <c r="AI923" s="126" t="n"/>
      <c r="AJ923" s="126" t="n"/>
      <c r="AK923" s="126" t="n"/>
      <c r="AL923" s="126" t="n"/>
      <c r="AM923" s="126" t="n"/>
      <c r="AN923" s="126" t="n"/>
    </row>
    <row r="924" ht="21" customFormat="1" customHeight="1" s="127">
      <c r="A924" s="51">
        <f>IF($B924="","",ROW()-6)</f>
        <v/>
      </c>
      <c r="B924" s="268" t="n"/>
      <c r="C924" s="133" t="n"/>
      <c r="D924" s="50" t="n"/>
      <c r="E924" s="265" t="n"/>
      <c r="F924" s="133" t="n"/>
      <c r="G924" s="133" t="n"/>
      <c r="H924" s="50" t="n"/>
      <c r="I924" s="51">
        <f>IF($C924="","",IFERROR(INDEX(WorkerIDs,MATCH($C924,WorkerNames,0)),"?"))</f>
        <v/>
      </c>
      <c r="J924" s="253">
        <f>IF($B924="","",$B924-WEEKDAY($B924,2)+1)</f>
        <v/>
      </c>
      <c r="K924" s="142">
        <f>IF(OR($I924="",$I924="?",$D924&lt;&gt;"Advance",$B924=""),"",$I924&amp;"|"&amp;$J924&amp;"|"&amp;COUNTIFS($I$7:$I924,$I924,$J$7:$J924,$J924,$D$7:$D924,"Advance"))</f>
        <v/>
      </c>
      <c r="L924" s="266">
        <f>IF(OR($I924="",$I924="?",$B924=""),"",SUMPRODUCT((Weeks!$A$7:$A$59&lt;=$J924)*(Weeks!$X$5:$AI$5=$I924)*Weeks!$X$7:$AI$59)-SUMIFS($E$7:$E$1006,$I$7:$I$1006,$I924,$B$7:$B$1006,"&lt;="&amp;$B924))</f>
        <v/>
      </c>
      <c r="M924" s="132">
        <f>IF($B924&amp;$C924&amp;$D924&amp;$E924="","",IF($B924="","missing date",IF($C924="","missing worker",IF($I924="?","unknown worker - was the name changed on Workers?",IF($D924="","missing type",IF(N($E924)=0,"missing amount",IF(AND($E924&lt;0,$D924&lt;&gt;"Correction"),"negative amount - use a Correction to undo",IF(OR($B924&lt;Weeks!$A$7,$B924&gt;Weeks!$B$59),"date outside this workbook's year",IF(AND($D924="Advance",N($L924)&lt;0),"Warning: more than earned so far - worker now owes "&amp;TEXT(ROUND(-$L924,0),"#,##0"),"")))))))))</f>
        <v/>
      </c>
      <c r="N924" s="125" t="n"/>
      <c r="O924" s="126" t="n"/>
      <c r="P924" s="126" t="n"/>
      <c r="Q924" s="126" t="n"/>
      <c r="R924" s="126" t="n"/>
      <c r="S924" s="126" t="n"/>
      <c r="T924" s="126" t="n"/>
      <c r="U924" s="126" t="n"/>
      <c r="V924" s="126" t="n"/>
      <c r="W924" s="126" t="n"/>
      <c r="X924" s="126" t="n"/>
      <c r="Y924" s="126" t="n"/>
      <c r="Z924" s="126" t="n"/>
      <c r="AA924" s="126" t="n"/>
      <c r="AB924" s="126" t="n"/>
      <c r="AC924" s="126" t="n"/>
      <c r="AD924" s="126" t="n"/>
      <c r="AE924" s="126" t="n"/>
      <c r="AF924" s="126" t="n"/>
      <c r="AG924" s="126" t="n"/>
      <c r="AH924" s="126" t="n"/>
      <c r="AI924" s="126" t="n"/>
      <c r="AJ924" s="126" t="n"/>
      <c r="AK924" s="126" t="n"/>
      <c r="AL924" s="126" t="n"/>
      <c r="AM924" s="126" t="n"/>
      <c r="AN924" s="126" t="n"/>
    </row>
    <row r="925" ht="21" customFormat="1" customHeight="1" s="127">
      <c r="A925" s="51">
        <f>IF($B925="","",ROW()-6)</f>
        <v/>
      </c>
      <c r="B925" s="268" t="n"/>
      <c r="C925" s="133" t="n"/>
      <c r="D925" s="50" t="n"/>
      <c r="E925" s="265" t="n"/>
      <c r="F925" s="133" t="n"/>
      <c r="G925" s="133" t="n"/>
      <c r="H925" s="50" t="n"/>
      <c r="I925" s="51">
        <f>IF($C925="","",IFERROR(INDEX(WorkerIDs,MATCH($C925,WorkerNames,0)),"?"))</f>
        <v/>
      </c>
      <c r="J925" s="253">
        <f>IF($B925="","",$B925-WEEKDAY($B925,2)+1)</f>
        <v/>
      </c>
      <c r="K925" s="142">
        <f>IF(OR($I925="",$I925="?",$D925&lt;&gt;"Advance",$B925=""),"",$I925&amp;"|"&amp;$J925&amp;"|"&amp;COUNTIFS($I$7:$I925,$I925,$J$7:$J925,$J925,$D$7:$D925,"Advance"))</f>
        <v/>
      </c>
      <c r="L925" s="266">
        <f>IF(OR($I925="",$I925="?",$B925=""),"",SUMPRODUCT((Weeks!$A$7:$A$59&lt;=$J925)*(Weeks!$X$5:$AI$5=$I925)*Weeks!$X$7:$AI$59)-SUMIFS($E$7:$E$1006,$I$7:$I$1006,$I925,$B$7:$B$1006,"&lt;="&amp;$B925))</f>
        <v/>
      </c>
      <c r="M925" s="132">
        <f>IF($B925&amp;$C925&amp;$D925&amp;$E925="","",IF($B925="","missing date",IF($C925="","missing worker",IF($I925="?","unknown worker - was the name changed on Workers?",IF($D925="","missing type",IF(N($E925)=0,"missing amount",IF(AND($E925&lt;0,$D925&lt;&gt;"Correction"),"negative amount - use a Correction to undo",IF(OR($B925&lt;Weeks!$A$7,$B925&gt;Weeks!$B$59),"date outside this workbook's year",IF(AND($D925="Advance",N($L925)&lt;0),"Warning: more than earned so far - worker now owes "&amp;TEXT(ROUND(-$L925,0),"#,##0"),"")))))))))</f>
        <v/>
      </c>
      <c r="N925" s="125" t="n"/>
      <c r="O925" s="126" t="n"/>
      <c r="P925" s="126" t="n"/>
      <c r="Q925" s="126" t="n"/>
      <c r="R925" s="126" t="n"/>
      <c r="S925" s="126" t="n"/>
      <c r="T925" s="126" t="n"/>
      <c r="U925" s="126" t="n"/>
      <c r="V925" s="126" t="n"/>
      <c r="W925" s="126" t="n"/>
      <c r="X925" s="126" t="n"/>
      <c r="Y925" s="126" t="n"/>
      <c r="Z925" s="126" t="n"/>
      <c r="AA925" s="126" t="n"/>
      <c r="AB925" s="126" t="n"/>
      <c r="AC925" s="126" t="n"/>
      <c r="AD925" s="126" t="n"/>
      <c r="AE925" s="126" t="n"/>
      <c r="AF925" s="126" t="n"/>
      <c r="AG925" s="126" t="n"/>
      <c r="AH925" s="126" t="n"/>
      <c r="AI925" s="126" t="n"/>
      <c r="AJ925" s="126" t="n"/>
      <c r="AK925" s="126" t="n"/>
      <c r="AL925" s="126" t="n"/>
      <c r="AM925" s="126" t="n"/>
      <c r="AN925" s="126" t="n"/>
    </row>
    <row r="926" ht="21" customFormat="1" customHeight="1" s="127">
      <c r="A926" s="51">
        <f>IF($B926="","",ROW()-6)</f>
        <v/>
      </c>
      <c r="B926" s="268" t="n"/>
      <c r="C926" s="133" t="n"/>
      <c r="D926" s="50" t="n"/>
      <c r="E926" s="265" t="n"/>
      <c r="F926" s="133" t="n"/>
      <c r="G926" s="133" t="n"/>
      <c r="H926" s="50" t="n"/>
      <c r="I926" s="51">
        <f>IF($C926="","",IFERROR(INDEX(WorkerIDs,MATCH($C926,WorkerNames,0)),"?"))</f>
        <v/>
      </c>
      <c r="J926" s="253">
        <f>IF($B926="","",$B926-WEEKDAY($B926,2)+1)</f>
        <v/>
      </c>
      <c r="K926" s="142">
        <f>IF(OR($I926="",$I926="?",$D926&lt;&gt;"Advance",$B926=""),"",$I926&amp;"|"&amp;$J926&amp;"|"&amp;COUNTIFS($I$7:$I926,$I926,$J$7:$J926,$J926,$D$7:$D926,"Advance"))</f>
        <v/>
      </c>
      <c r="L926" s="266">
        <f>IF(OR($I926="",$I926="?",$B926=""),"",SUMPRODUCT((Weeks!$A$7:$A$59&lt;=$J926)*(Weeks!$X$5:$AI$5=$I926)*Weeks!$X$7:$AI$59)-SUMIFS($E$7:$E$1006,$I$7:$I$1006,$I926,$B$7:$B$1006,"&lt;="&amp;$B926))</f>
        <v/>
      </c>
      <c r="M926" s="132">
        <f>IF($B926&amp;$C926&amp;$D926&amp;$E926="","",IF($B926="","missing date",IF($C926="","missing worker",IF($I926="?","unknown worker - was the name changed on Workers?",IF($D926="","missing type",IF(N($E926)=0,"missing amount",IF(AND($E926&lt;0,$D926&lt;&gt;"Correction"),"negative amount - use a Correction to undo",IF(OR($B926&lt;Weeks!$A$7,$B926&gt;Weeks!$B$59),"date outside this workbook's year",IF(AND($D926="Advance",N($L926)&lt;0),"Warning: more than earned so far - worker now owes "&amp;TEXT(ROUND(-$L926,0),"#,##0"),"")))))))))</f>
        <v/>
      </c>
      <c r="N926" s="125" t="n"/>
      <c r="O926" s="126" t="n"/>
      <c r="P926" s="126" t="n"/>
      <c r="Q926" s="126" t="n"/>
      <c r="R926" s="126" t="n"/>
      <c r="S926" s="126" t="n"/>
      <c r="T926" s="126" t="n"/>
      <c r="U926" s="126" t="n"/>
      <c r="V926" s="126" t="n"/>
      <c r="W926" s="126" t="n"/>
      <c r="X926" s="126" t="n"/>
      <c r="Y926" s="126" t="n"/>
      <c r="Z926" s="126" t="n"/>
      <c r="AA926" s="126" t="n"/>
      <c r="AB926" s="126" t="n"/>
      <c r="AC926" s="126" t="n"/>
      <c r="AD926" s="126" t="n"/>
      <c r="AE926" s="126" t="n"/>
      <c r="AF926" s="126" t="n"/>
      <c r="AG926" s="126" t="n"/>
      <c r="AH926" s="126" t="n"/>
      <c r="AI926" s="126" t="n"/>
      <c r="AJ926" s="126" t="n"/>
      <c r="AK926" s="126" t="n"/>
      <c r="AL926" s="126" t="n"/>
      <c r="AM926" s="126" t="n"/>
      <c r="AN926" s="126" t="n"/>
    </row>
    <row r="927" ht="21" customFormat="1" customHeight="1" s="127">
      <c r="A927" s="51">
        <f>IF($B927="","",ROW()-6)</f>
        <v/>
      </c>
      <c r="B927" s="268" t="n"/>
      <c r="C927" s="133" t="n"/>
      <c r="D927" s="50" t="n"/>
      <c r="E927" s="265" t="n"/>
      <c r="F927" s="133" t="n"/>
      <c r="G927" s="133" t="n"/>
      <c r="H927" s="50" t="n"/>
      <c r="I927" s="51">
        <f>IF($C927="","",IFERROR(INDEX(WorkerIDs,MATCH($C927,WorkerNames,0)),"?"))</f>
        <v/>
      </c>
      <c r="J927" s="253">
        <f>IF($B927="","",$B927-WEEKDAY($B927,2)+1)</f>
        <v/>
      </c>
      <c r="K927" s="142">
        <f>IF(OR($I927="",$I927="?",$D927&lt;&gt;"Advance",$B927=""),"",$I927&amp;"|"&amp;$J927&amp;"|"&amp;COUNTIFS($I$7:$I927,$I927,$J$7:$J927,$J927,$D$7:$D927,"Advance"))</f>
        <v/>
      </c>
      <c r="L927" s="266">
        <f>IF(OR($I927="",$I927="?",$B927=""),"",SUMPRODUCT((Weeks!$A$7:$A$59&lt;=$J927)*(Weeks!$X$5:$AI$5=$I927)*Weeks!$X$7:$AI$59)-SUMIFS($E$7:$E$1006,$I$7:$I$1006,$I927,$B$7:$B$1006,"&lt;="&amp;$B927))</f>
        <v/>
      </c>
      <c r="M927" s="132">
        <f>IF($B927&amp;$C927&amp;$D927&amp;$E927="","",IF($B927="","missing date",IF($C927="","missing worker",IF($I927="?","unknown worker - was the name changed on Workers?",IF($D927="","missing type",IF(N($E927)=0,"missing amount",IF(AND($E927&lt;0,$D927&lt;&gt;"Correction"),"negative amount - use a Correction to undo",IF(OR($B927&lt;Weeks!$A$7,$B927&gt;Weeks!$B$59),"date outside this workbook's year",IF(AND($D927="Advance",N($L927)&lt;0),"Warning: more than earned so far - worker now owes "&amp;TEXT(ROUND(-$L927,0),"#,##0"),"")))))))))</f>
        <v/>
      </c>
      <c r="N927" s="125" t="n"/>
      <c r="O927" s="126" t="n"/>
      <c r="P927" s="126" t="n"/>
      <c r="Q927" s="126" t="n"/>
      <c r="R927" s="126" t="n"/>
      <c r="S927" s="126" t="n"/>
      <c r="T927" s="126" t="n"/>
      <c r="U927" s="126" t="n"/>
      <c r="V927" s="126" t="n"/>
      <c r="W927" s="126" t="n"/>
      <c r="X927" s="126" t="n"/>
      <c r="Y927" s="126" t="n"/>
      <c r="Z927" s="126" t="n"/>
      <c r="AA927" s="126" t="n"/>
      <c r="AB927" s="126" t="n"/>
      <c r="AC927" s="126" t="n"/>
      <c r="AD927" s="126" t="n"/>
      <c r="AE927" s="126" t="n"/>
      <c r="AF927" s="126" t="n"/>
      <c r="AG927" s="126" t="n"/>
      <c r="AH927" s="126" t="n"/>
      <c r="AI927" s="126" t="n"/>
      <c r="AJ927" s="126" t="n"/>
      <c r="AK927" s="126" t="n"/>
      <c r="AL927" s="126" t="n"/>
      <c r="AM927" s="126" t="n"/>
      <c r="AN927" s="126" t="n"/>
    </row>
    <row r="928" ht="21" customFormat="1" customHeight="1" s="127">
      <c r="A928" s="51">
        <f>IF($B928="","",ROW()-6)</f>
        <v/>
      </c>
      <c r="B928" s="268" t="n"/>
      <c r="C928" s="133" t="n"/>
      <c r="D928" s="50" t="n"/>
      <c r="E928" s="265" t="n"/>
      <c r="F928" s="133" t="n"/>
      <c r="G928" s="133" t="n"/>
      <c r="H928" s="50" t="n"/>
      <c r="I928" s="51">
        <f>IF($C928="","",IFERROR(INDEX(WorkerIDs,MATCH($C928,WorkerNames,0)),"?"))</f>
        <v/>
      </c>
      <c r="J928" s="253">
        <f>IF($B928="","",$B928-WEEKDAY($B928,2)+1)</f>
        <v/>
      </c>
      <c r="K928" s="142">
        <f>IF(OR($I928="",$I928="?",$D928&lt;&gt;"Advance",$B928=""),"",$I928&amp;"|"&amp;$J928&amp;"|"&amp;COUNTIFS($I$7:$I928,$I928,$J$7:$J928,$J928,$D$7:$D928,"Advance"))</f>
        <v/>
      </c>
      <c r="L928" s="266">
        <f>IF(OR($I928="",$I928="?",$B928=""),"",SUMPRODUCT((Weeks!$A$7:$A$59&lt;=$J928)*(Weeks!$X$5:$AI$5=$I928)*Weeks!$X$7:$AI$59)-SUMIFS($E$7:$E$1006,$I$7:$I$1006,$I928,$B$7:$B$1006,"&lt;="&amp;$B928))</f>
        <v/>
      </c>
      <c r="M928" s="132">
        <f>IF($B928&amp;$C928&amp;$D928&amp;$E928="","",IF($B928="","missing date",IF($C928="","missing worker",IF($I928="?","unknown worker - was the name changed on Workers?",IF($D928="","missing type",IF(N($E928)=0,"missing amount",IF(AND($E928&lt;0,$D928&lt;&gt;"Correction"),"negative amount - use a Correction to undo",IF(OR($B928&lt;Weeks!$A$7,$B928&gt;Weeks!$B$59),"date outside this workbook's year",IF(AND($D928="Advance",N($L928)&lt;0),"Warning: more than earned so far - worker now owes "&amp;TEXT(ROUND(-$L928,0),"#,##0"),"")))))))))</f>
        <v/>
      </c>
      <c r="N928" s="125" t="n"/>
      <c r="O928" s="126" t="n"/>
      <c r="P928" s="126" t="n"/>
      <c r="Q928" s="126" t="n"/>
      <c r="R928" s="126" t="n"/>
      <c r="S928" s="126" t="n"/>
      <c r="T928" s="126" t="n"/>
      <c r="U928" s="126" t="n"/>
      <c r="V928" s="126" t="n"/>
      <c r="W928" s="126" t="n"/>
      <c r="X928" s="126" t="n"/>
      <c r="Y928" s="126" t="n"/>
      <c r="Z928" s="126" t="n"/>
      <c r="AA928" s="126" t="n"/>
      <c r="AB928" s="126" t="n"/>
      <c r="AC928" s="126" t="n"/>
      <c r="AD928" s="126" t="n"/>
      <c r="AE928" s="126" t="n"/>
      <c r="AF928" s="126" t="n"/>
      <c r="AG928" s="126" t="n"/>
      <c r="AH928" s="126" t="n"/>
      <c r="AI928" s="126" t="n"/>
      <c r="AJ928" s="126" t="n"/>
      <c r="AK928" s="126" t="n"/>
      <c r="AL928" s="126" t="n"/>
      <c r="AM928" s="126" t="n"/>
      <c r="AN928" s="126" t="n"/>
    </row>
    <row r="929" ht="21" customFormat="1" customHeight="1" s="127">
      <c r="A929" s="51">
        <f>IF($B929="","",ROW()-6)</f>
        <v/>
      </c>
      <c r="B929" s="268" t="n"/>
      <c r="C929" s="133" t="n"/>
      <c r="D929" s="50" t="n"/>
      <c r="E929" s="265" t="n"/>
      <c r="F929" s="133" t="n"/>
      <c r="G929" s="133" t="n"/>
      <c r="H929" s="50" t="n"/>
      <c r="I929" s="51">
        <f>IF($C929="","",IFERROR(INDEX(WorkerIDs,MATCH($C929,WorkerNames,0)),"?"))</f>
        <v/>
      </c>
      <c r="J929" s="253">
        <f>IF($B929="","",$B929-WEEKDAY($B929,2)+1)</f>
        <v/>
      </c>
      <c r="K929" s="142">
        <f>IF(OR($I929="",$I929="?",$D929&lt;&gt;"Advance",$B929=""),"",$I929&amp;"|"&amp;$J929&amp;"|"&amp;COUNTIFS($I$7:$I929,$I929,$J$7:$J929,$J929,$D$7:$D929,"Advance"))</f>
        <v/>
      </c>
      <c r="L929" s="266">
        <f>IF(OR($I929="",$I929="?",$B929=""),"",SUMPRODUCT((Weeks!$A$7:$A$59&lt;=$J929)*(Weeks!$X$5:$AI$5=$I929)*Weeks!$X$7:$AI$59)-SUMIFS($E$7:$E$1006,$I$7:$I$1006,$I929,$B$7:$B$1006,"&lt;="&amp;$B929))</f>
        <v/>
      </c>
      <c r="M929" s="132">
        <f>IF($B929&amp;$C929&amp;$D929&amp;$E929="","",IF($B929="","missing date",IF($C929="","missing worker",IF($I929="?","unknown worker - was the name changed on Workers?",IF($D929="","missing type",IF(N($E929)=0,"missing amount",IF(AND($E929&lt;0,$D929&lt;&gt;"Correction"),"negative amount - use a Correction to undo",IF(OR($B929&lt;Weeks!$A$7,$B929&gt;Weeks!$B$59),"date outside this workbook's year",IF(AND($D929="Advance",N($L929)&lt;0),"Warning: more than earned so far - worker now owes "&amp;TEXT(ROUND(-$L929,0),"#,##0"),"")))))))))</f>
        <v/>
      </c>
      <c r="N929" s="125" t="n"/>
      <c r="O929" s="126" t="n"/>
      <c r="P929" s="126" t="n"/>
      <c r="Q929" s="126" t="n"/>
      <c r="R929" s="126" t="n"/>
      <c r="S929" s="126" t="n"/>
      <c r="T929" s="126" t="n"/>
      <c r="U929" s="126" t="n"/>
      <c r="V929" s="126" t="n"/>
      <c r="W929" s="126" t="n"/>
      <c r="X929" s="126" t="n"/>
      <c r="Y929" s="126" t="n"/>
      <c r="Z929" s="126" t="n"/>
      <c r="AA929" s="126" t="n"/>
      <c r="AB929" s="126" t="n"/>
      <c r="AC929" s="126" t="n"/>
      <c r="AD929" s="126" t="n"/>
      <c r="AE929" s="126" t="n"/>
      <c r="AF929" s="126" t="n"/>
      <c r="AG929" s="126" t="n"/>
      <c r="AH929" s="126" t="n"/>
      <c r="AI929" s="126" t="n"/>
      <c r="AJ929" s="126" t="n"/>
      <c r="AK929" s="126" t="n"/>
      <c r="AL929" s="126" t="n"/>
      <c r="AM929" s="126" t="n"/>
      <c r="AN929" s="126" t="n"/>
    </row>
    <row r="930" ht="21" customFormat="1" customHeight="1" s="127">
      <c r="A930" s="51">
        <f>IF($B930="","",ROW()-6)</f>
        <v/>
      </c>
      <c r="B930" s="268" t="n"/>
      <c r="C930" s="133" t="n"/>
      <c r="D930" s="50" t="n"/>
      <c r="E930" s="265" t="n"/>
      <c r="F930" s="133" t="n"/>
      <c r="G930" s="133" t="n"/>
      <c r="H930" s="50" t="n"/>
      <c r="I930" s="51">
        <f>IF($C930="","",IFERROR(INDEX(WorkerIDs,MATCH($C930,WorkerNames,0)),"?"))</f>
        <v/>
      </c>
      <c r="J930" s="253">
        <f>IF($B930="","",$B930-WEEKDAY($B930,2)+1)</f>
        <v/>
      </c>
      <c r="K930" s="142">
        <f>IF(OR($I930="",$I930="?",$D930&lt;&gt;"Advance",$B930=""),"",$I930&amp;"|"&amp;$J930&amp;"|"&amp;COUNTIFS($I$7:$I930,$I930,$J$7:$J930,$J930,$D$7:$D930,"Advance"))</f>
        <v/>
      </c>
      <c r="L930" s="266">
        <f>IF(OR($I930="",$I930="?",$B930=""),"",SUMPRODUCT((Weeks!$A$7:$A$59&lt;=$J930)*(Weeks!$X$5:$AI$5=$I930)*Weeks!$X$7:$AI$59)-SUMIFS($E$7:$E$1006,$I$7:$I$1006,$I930,$B$7:$B$1006,"&lt;="&amp;$B930))</f>
        <v/>
      </c>
      <c r="M930" s="132">
        <f>IF($B930&amp;$C930&amp;$D930&amp;$E930="","",IF($B930="","missing date",IF($C930="","missing worker",IF($I930="?","unknown worker - was the name changed on Workers?",IF($D930="","missing type",IF(N($E930)=0,"missing amount",IF(AND($E930&lt;0,$D930&lt;&gt;"Correction"),"negative amount - use a Correction to undo",IF(OR($B930&lt;Weeks!$A$7,$B930&gt;Weeks!$B$59),"date outside this workbook's year",IF(AND($D930="Advance",N($L930)&lt;0),"Warning: more than earned so far - worker now owes "&amp;TEXT(ROUND(-$L930,0),"#,##0"),"")))))))))</f>
        <v/>
      </c>
      <c r="N930" s="125" t="n"/>
      <c r="O930" s="126" t="n"/>
      <c r="P930" s="126" t="n"/>
      <c r="Q930" s="126" t="n"/>
      <c r="R930" s="126" t="n"/>
      <c r="S930" s="126" t="n"/>
      <c r="T930" s="126" t="n"/>
      <c r="U930" s="126" t="n"/>
      <c r="V930" s="126" t="n"/>
      <c r="W930" s="126" t="n"/>
      <c r="X930" s="126" t="n"/>
      <c r="Y930" s="126" t="n"/>
      <c r="Z930" s="126" t="n"/>
      <c r="AA930" s="126" t="n"/>
      <c r="AB930" s="126" t="n"/>
      <c r="AC930" s="126" t="n"/>
      <c r="AD930" s="126" t="n"/>
      <c r="AE930" s="126" t="n"/>
      <c r="AF930" s="126" t="n"/>
      <c r="AG930" s="126" t="n"/>
      <c r="AH930" s="126" t="n"/>
      <c r="AI930" s="126" t="n"/>
      <c r="AJ930" s="126" t="n"/>
      <c r="AK930" s="126" t="n"/>
      <c r="AL930" s="126" t="n"/>
      <c r="AM930" s="126" t="n"/>
      <c r="AN930" s="126" t="n"/>
    </row>
    <row r="931" ht="21" customFormat="1" customHeight="1" s="127">
      <c r="A931" s="51">
        <f>IF($B931="","",ROW()-6)</f>
        <v/>
      </c>
      <c r="B931" s="268" t="n"/>
      <c r="C931" s="133" t="n"/>
      <c r="D931" s="50" t="n"/>
      <c r="E931" s="265" t="n"/>
      <c r="F931" s="133" t="n"/>
      <c r="G931" s="133" t="n"/>
      <c r="H931" s="50" t="n"/>
      <c r="I931" s="51">
        <f>IF($C931="","",IFERROR(INDEX(WorkerIDs,MATCH($C931,WorkerNames,0)),"?"))</f>
        <v/>
      </c>
      <c r="J931" s="253">
        <f>IF($B931="","",$B931-WEEKDAY($B931,2)+1)</f>
        <v/>
      </c>
      <c r="K931" s="142">
        <f>IF(OR($I931="",$I931="?",$D931&lt;&gt;"Advance",$B931=""),"",$I931&amp;"|"&amp;$J931&amp;"|"&amp;COUNTIFS($I$7:$I931,$I931,$J$7:$J931,$J931,$D$7:$D931,"Advance"))</f>
        <v/>
      </c>
      <c r="L931" s="266">
        <f>IF(OR($I931="",$I931="?",$B931=""),"",SUMPRODUCT((Weeks!$A$7:$A$59&lt;=$J931)*(Weeks!$X$5:$AI$5=$I931)*Weeks!$X$7:$AI$59)-SUMIFS($E$7:$E$1006,$I$7:$I$1006,$I931,$B$7:$B$1006,"&lt;="&amp;$B931))</f>
        <v/>
      </c>
      <c r="M931" s="132">
        <f>IF($B931&amp;$C931&amp;$D931&amp;$E931="","",IF($B931="","missing date",IF($C931="","missing worker",IF($I931="?","unknown worker - was the name changed on Workers?",IF($D931="","missing type",IF(N($E931)=0,"missing amount",IF(AND($E931&lt;0,$D931&lt;&gt;"Correction"),"negative amount - use a Correction to undo",IF(OR($B931&lt;Weeks!$A$7,$B931&gt;Weeks!$B$59),"date outside this workbook's year",IF(AND($D931="Advance",N($L931)&lt;0),"Warning: more than earned so far - worker now owes "&amp;TEXT(ROUND(-$L931,0),"#,##0"),"")))))))))</f>
        <v/>
      </c>
      <c r="N931" s="125" t="n"/>
      <c r="O931" s="126" t="n"/>
      <c r="P931" s="126" t="n"/>
      <c r="Q931" s="126" t="n"/>
      <c r="R931" s="126" t="n"/>
      <c r="S931" s="126" t="n"/>
      <c r="T931" s="126" t="n"/>
      <c r="U931" s="126" t="n"/>
      <c r="V931" s="126" t="n"/>
      <c r="W931" s="126" t="n"/>
      <c r="X931" s="126" t="n"/>
      <c r="Y931" s="126" t="n"/>
      <c r="Z931" s="126" t="n"/>
      <c r="AA931" s="126" t="n"/>
      <c r="AB931" s="126" t="n"/>
      <c r="AC931" s="126" t="n"/>
      <c r="AD931" s="126" t="n"/>
      <c r="AE931" s="126" t="n"/>
      <c r="AF931" s="126" t="n"/>
      <c r="AG931" s="126" t="n"/>
      <c r="AH931" s="126" t="n"/>
      <c r="AI931" s="126" t="n"/>
      <c r="AJ931" s="126" t="n"/>
      <c r="AK931" s="126" t="n"/>
      <c r="AL931" s="126" t="n"/>
      <c r="AM931" s="126" t="n"/>
      <c r="AN931" s="126" t="n"/>
    </row>
    <row r="932" ht="21" customFormat="1" customHeight="1" s="127">
      <c r="A932" s="51">
        <f>IF($B932="","",ROW()-6)</f>
        <v/>
      </c>
      <c r="B932" s="268" t="n"/>
      <c r="C932" s="133" t="n"/>
      <c r="D932" s="50" t="n"/>
      <c r="E932" s="265" t="n"/>
      <c r="F932" s="133" t="n"/>
      <c r="G932" s="133" t="n"/>
      <c r="H932" s="50" t="n"/>
      <c r="I932" s="51">
        <f>IF($C932="","",IFERROR(INDEX(WorkerIDs,MATCH($C932,WorkerNames,0)),"?"))</f>
        <v/>
      </c>
      <c r="J932" s="253">
        <f>IF($B932="","",$B932-WEEKDAY($B932,2)+1)</f>
        <v/>
      </c>
      <c r="K932" s="142">
        <f>IF(OR($I932="",$I932="?",$D932&lt;&gt;"Advance",$B932=""),"",$I932&amp;"|"&amp;$J932&amp;"|"&amp;COUNTIFS($I$7:$I932,$I932,$J$7:$J932,$J932,$D$7:$D932,"Advance"))</f>
        <v/>
      </c>
      <c r="L932" s="266">
        <f>IF(OR($I932="",$I932="?",$B932=""),"",SUMPRODUCT((Weeks!$A$7:$A$59&lt;=$J932)*(Weeks!$X$5:$AI$5=$I932)*Weeks!$X$7:$AI$59)-SUMIFS($E$7:$E$1006,$I$7:$I$1006,$I932,$B$7:$B$1006,"&lt;="&amp;$B932))</f>
        <v/>
      </c>
      <c r="M932" s="132">
        <f>IF($B932&amp;$C932&amp;$D932&amp;$E932="","",IF($B932="","missing date",IF($C932="","missing worker",IF($I932="?","unknown worker - was the name changed on Workers?",IF($D932="","missing type",IF(N($E932)=0,"missing amount",IF(AND($E932&lt;0,$D932&lt;&gt;"Correction"),"negative amount - use a Correction to undo",IF(OR($B932&lt;Weeks!$A$7,$B932&gt;Weeks!$B$59),"date outside this workbook's year",IF(AND($D932="Advance",N($L932)&lt;0),"Warning: more than earned so far - worker now owes "&amp;TEXT(ROUND(-$L932,0),"#,##0"),"")))))))))</f>
        <v/>
      </c>
      <c r="N932" s="125" t="n"/>
      <c r="O932" s="126" t="n"/>
      <c r="P932" s="126" t="n"/>
      <c r="Q932" s="126" t="n"/>
      <c r="R932" s="126" t="n"/>
      <c r="S932" s="126" t="n"/>
      <c r="T932" s="126" t="n"/>
      <c r="U932" s="126" t="n"/>
      <c r="V932" s="126" t="n"/>
      <c r="W932" s="126" t="n"/>
      <c r="X932" s="126" t="n"/>
      <c r="Y932" s="126" t="n"/>
      <c r="Z932" s="126" t="n"/>
      <c r="AA932" s="126" t="n"/>
      <c r="AB932" s="126" t="n"/>
      <c r="AC932" s="126" t="n"/>
      <c r="AD932" s="126" t="n"/>
      <c r="AE932" s="126" t="n"/>
      <c r="AF932" s="126" t="n"/>
      <c r="AG932" s="126" t="n"/>
      <c r="AH932" s="126" t="n"/>
      <c r="AI932" s="126" t="n"/>
      <c r="AJ932" s="126" t="n"/>
      <c r="AK932" s="126" t="n"/>
      <c r="AL932" s="126" t="n"/>
      <c r="AM932" s="126" t="n"/>
      <c r="AN932" s="126" t="n"/>
    </row>
    <row r="933" ht="21" customFormat="1" customHeight="1" s="127">
      <c r="A933" s="51">
        <f>IF($B933="","",ROW()-6)</f>
        <v/>
      </c>
      <c r="B933" s="268" t="n"/>
      <c r="C933" s="133" t="n"/>
      <c r="D933" s="50" t="n"/>
      <c r="E933" s="265" t="n"/>
      <c r="F933" s="133" t="n"/>
      <c r="G933" s="133" t="n"/>
      <c r="H933" s="50" t="n"/>
      <c r="I933" s="51">
        <f>IF($C933="","",IFERROR(INDEX(WorkerIDs,MATCH($C933,WorkerNames,0)),"?"))</f>
        <v/>
      </c>
      <c r="J933" s="253">
        <f>IF($B933="","",$B933-WEEKDAY($B933,2)+1)</f>
        <v/>
      </c>
      <c r="K933" s="142">
        <f>IF(OR($I933="",$I933="?",$D933&lt;&gt;"Advance",$B933=""),"",$I933&amp;"|"&amp;$J933&amp;"|"&amp;COUNTIFS($I$7:$I933,$I933,$J$7:$J933,$J933,$D$7:$D933,"Advance"))</f>
        <v/>
      </c>
      <c r="L933" s="266">
        <f>IF(OR($I933="",$I933="?",$B933=""),"",SUMPRODUCT((Weeks!$A$7:$A$59&lt;=$J933)*(Weeks!$X$5:$AI$5=$I933)*Weeks!$X$7:$AI$59)-SUMIFS($E$7:$E$1006,$I$7:$I$1006,$I933,$B$7:$B$1006,"&lt;="&amp;$B933))</f>
        <v/>
      </c>
      <c r="M933" s="132">
        <f>IF($B933&amp;$C933&amp;$D933&amp;$E933="","",IF($B933="","missing date",IF($C933="","missing worker",IF($I933="?","unknown worker - was the name changed on Workers?",IF($D933="","missing type",IF(N($E933)=0,"missing amount",IF(AND($E933&lt;0,$D933&lt;&gt;"Correction"),"negative amount - use a Correction to undo",IF(OR($B933&lt;Weeks!$A$7,$B933&gt;Weeks!$B$59),"date outside this workbook's year",IF(AND($D933="Advance",N($L933)&lt;0),"Warning: more than earned so far - worker now owes "&amp;TEXT(ROUND(-$L933,0),"#,##0"),"")))))))))</f>
        <v/>
      </c>
      <c r="N933" s="125" t="n"/>
      <c r="O933" s="126" t="n"/>
      <c r="P933" s="126" t="n"/>
      <c r="Q933" s="126" t="n"/>
      <c r="R933" s="126" t="n"/>
      <c r="S933" s="126" t="n"/>
      <c r="T933" s="126" t="n"/>
      <c r="U933" s="126" t="n"/>
      <c r="V933" s="126" t="n"/>
      <c r="W933" s="126" t="n"/>
      <c r="X933" s="126" t="n"/>
      <c r="Y933" s="126" t="n"/>
      <c r="Z933" s="126" t="n"/>
      <c r="AA933" s="126" t="n"/>
      <c r="AB933" s="126" t="n"/>
      <c r="AC933" s="126" t="n"/>
      <c r="AD933" s="126" t="n"/>
      <c r="AE933" s="126" t="n"/>
      <c r="AF933" s="126" t="n"/>
      <c r="AG933" s="126" t="n"/>
      <c r="AH933" s="126" t="n"/>
      <c r="AI933" s="126" t="n"/>
      <c r="AJ933" s="126" t="n"/>
      <c r="AK933" s="126" t="n"/>
      <c r="AL933" s="126" t="n"/>
      <c r="AM933" s="126" t="n"/>
      <c r="AN933" s="126" t="n"/>
    </row>
    <row r="934" ht="21" customFormat="1" customHeight="1" s="127">
      <c r="A934" s="51">
        <f>IF($B934="","",ROW()-6)</f>
        <v/>
      </c>
      <c r="B934" s="268" t="n"/>
      <c r="C934" s="133" t="n"/>
      <c r="D934" s="50" t="n"/>
      <c r="E934" s="265" t="n"/>
      <c r="F934" s="133" t="n"/>
      <c r="G934" s="133" t="n"/>
      <c r="H934" s="50" t="n"/>
      <c r="I934" s="51">
        <f>IF($C934="","",IFERROR(INDEX(WorkerIDs,MATCH($C934,WorkerNames,0)),"?"))</f>
        <v/>
      </c>
      <c r="J934" s="253">
        <f>IF($B934="","",$B934-WEEKDAY($B934,2)+1)</f>
        <v/>
      </c>
      <c r="K934" s="142">
        <f>IF(OR($I934="",$I934="?",$D934&lt;&gt;"Advance",$B934=""),"",$I934&amp;"|"&amp;$J934&amp;"|"&amp;COUNTIFS($I$7:$I934,$I934,$J$7:$J934,$J934,$D$7:$D934,"Advance"))</f>
        <v/>
      </c>
      <c r="L934" s="266">
        <f>IF(OR($I934="",$I934="?",$B934=""),"",SUMPRODUCT((Weeks!$A$7:$A$59&lt;=$J934)*(Weeks!$X$5:$AI$5=$I934)*Weeks!$X$7:$AI$59)-SUMIFS($E$7:$E$1006,$I$7:$I$1006,$I934,$B$7:$B$1006,"&lt;="&amp;$B934))</f>
        <v/>
      </c>
      <c r="M934" s="132">
        <f>IF($B934&amp;$C934&amp;$D934&amp;$E934="","",IF($B934="","missing date",IF($C934="","missing worker",IF($I934="?","unknown worker - was the name changed on Workers?",IF($D934="","missing type",IF(N($E934)=0,"missing amount",IF(AND($E934&lt;0,$D934&lt;&gt;"Correction"),"negative amount - use a Correction to undo",IF(OR($B934&lt;Weeks!$A$7,$B934&gt;Weeks!$B$59),"date outside this workbook's year",IF(AND($D934="Advance",N($L934)&lt;0),"Warning: more than earned so far - worker now owes "&amp;TEXT(ROUND(-$L934,0),"#,##0"),"")))))))))</f>
        <v/>
      </c>
      <c r="N934" s="125" t="n"/>
      <c r="O934" s="126" t="n"/>
      <c r="P934" s="126" t="n"/>
      <c r="Q934" s="126" t="n"/>
      <c r="R934" s="126" t="n"/>
      <c r="S934" s="126" t="n"/>
      <c r="T934" s="126" t="n"/>
      <c r="U934" s="126" t="n"/>
      <c r="V934" s="126" t="n"/>
      <c r="W934" s="126" t="n"/>
      <c r="X934" s="126" t="n"/>
      <c r="Y934" s="126" t="n"/>
      <c r="Z934" s="126" t="n"/>
      <c r="AA934" s="126" t="n"/>
      <c r="AB934" s="126" t="n"/>
      <c r="AC934" s="126" t="n"/>
      <c r="AD934" s="126" t="n"/>
      <c r="AE934" s="126" t="n"/>
      <c r="AF934" s="126" t="n"/>
      <c r="AG934" s="126" t="n"/>
      <c r="AH934" s="126" t="n"/>
      <c r="AI934" s="126" t="n"/>
      <c r="AJ934" s="126" t="n"/>
      <c r="AK934" s="126" t="n"/>
      <c r="AL934" s="126" t="n"/>
      <c r="AM934" s="126" t="n"/>
      <c r="AN934" s="126" t="n"/>
    </row>
    <row r="935" ht="21" customFormat="1" customHeight="1" s="127">
      <c r="A935" s="51">
        <f>IF($B935="","",ROW()-6)</f>
        <v/>
      </c>
      <c r="B935" s="268" t="n"/>
      <c r="C935" s="133" t="n"/>
      <c r="D935" s="50" t="n"/>
      <c r="E935" s="265" t="n"/>
      <c r="F935" s="133" t="n"/>
      <c r="G935" s="133" t="n"/>
      <c r="H935" s="50" t="n"/>
      <c r="I935" s="51">
        <f>IF($C935="","",IFERROR(INDEX(WorkerIDs,MATCH($C935,WorkerNames,0)),"?"))</f>
        <v/>
      </c>
      <c r="J935" s="253">
        <f>IF($B935="","",$B935-WEEKDAY($B935,2)+1)</f>
        <v/>
      </c>
      <c r="K935" s="142">
        <f>IF(OR($I935="",$I935="?",$D935&lt;&gt;"Advance",$B935=""),"",$I935&amp;"|"&amp;$J935&amp;"|"&amp;COUNTIFS($I$7:$I935,$I935,$J$7:$J935,$J935,$D$7:$D935,"Advance"))</f>
        <v/>
      </c>
      <c r="L935" s="266">
        <f>IF(OR($I935="",$I935="?",$B935=""),"",SUMPRODUCT((Weeks!$A$7:$A$59&lt;=$J935)*(Weeks!$X$5:$AI$5=$I935)*Weeks!$X$7:$AI$59)-SUMIFS($E$7:$E$1006,$I$7:$I$1006,$I935,$B$7:$B$1006,"&lt;="&amp;$B935))</f>
        <v/>
      </c>
      <c r="M935" s="132">
        <f>IF($B935&amp;$C935&amp;$D935&amp;$E935="","",IF($B935="","missing date",IF($C935="","missing worker",IF($I935="?","unknown worker - was the name changed on Workers?",IF($D935="","missing type",IF(N($E935)=0,"missing amount",IF(AND($E935&lt;0,$D935&lt;&gt;"Correction"),"negative amount - use a Correction to undo",IF(OR($B935&lt;Weeks!$A$7,$B935&gt;Weeks!$B$59),"date outside this workbook's year",IF(AND($D935="Advance",N($L935)&lt;0),"Warning: more than earned so far - worker now owes "&amp;TEXT(ROUND(-$L935,0),"#,##0"),"")))))))))</f>
        <v/>
      </c>
      <c r="N935" s="125" t="n"/>
      <c r="O935" s="126" t="n"/>
      <c r="P935" s="126" t="n"/>
      <c r="Q935" s="126" t="n"/>
      <c r="R935" s="126" t="n"/>
      <c r="S935" s="126" t="n"/>
      <c r="T935" s="126" t="n"/>
      <c r="U935" s="126" t="n"/>
      <c r="V935" s="126" t="n"/>
      <c r="W935" s="126" t="n"/>
      <c r="X935" s="126" t="n"/>
      <c r="Y935" s="126" t="n"/>
      <c r="Z935" s="126" t="n"/>
      <c r="AA935" s="126" t="n"/>
      <c r="AB935" s="126" t="n"/>
      <c r="AC935" s="126" t="n"/>
      <c r="AD935" s="126" t="n"/>
      <c r="AE935" s="126" t="n"/>
      <c r="AF935" s="126" t="n"/>
      <c r="AG935" s="126" t="n"/>
      <c r="AH935" s="126" t="n"/>
      <c r="AI935" s="126" t="n"/>
      <c r="AJ935" s="126" t="n"/>
      <c r="AK935" s="126" t="n"/>
      <c r="AL935" s="126" t="n"/>
      <c r="AM935" s="126" t="n"/>
      <c r="AN935" s="126" t="n"/>
    </row>
    <row r="936" ht="21" customFormat="1" customHeight="1" s="127">
      <c r="A936" s="51">
        <f>IF($B936="","",ROW()-6)</f>
        <v/>
      </c>
      <c r="B936" s="268" t="n"/>
      <c r="C936" s="133" t="n"/>
      <c r="D936" s="50" t="n"/>
      <c r="E936" s="265" t="n"/>
      <c r="F936" s="133" t="n"/>
      <c r="G936" s="133" t="n"/>
      <c r="H936" s="50" t="n"/>
      <c r="I936" s="51">
        <f>IF($C936="","",IFERROR(INDEX(WorkerIDs,MATCH($C936,WorkerNames,0)),"?"))</f>
        <v/>
      </c>
      <c r="J936" s="253">
        <f>IF($B936="","",$B936-WEEKDAY($B936,2)+1)</f>
        <v/>
      </c>
      <c r="K936" s="142">
        <f>IF(OR($I936="",$I936="?",$D936&lt;&gt;"Advance",$B936=""),"",$I936&amp;"|"&amp;$J936&amp;"|"&amp;COUNTIFS($I$7:$I936,$I936,$J$7:$J936,$J936,$D$7:$D936,"Advance"))</f>
        <v/>
      </c>
      <c r="L936" s="266">
        <f>IF(OR($I936="",$I936="?",$B936=""),"",SUMPRODUCT((Weeks!$A$7:$A$59&lt;=$J936)*(Weeks!$X$5:$AI$5=$I936)*Weeks!$X$7:$AI$59)-SUMIFS($E$7:$E$1006,$I$7:$I$1006,$I936,$B$7:$B$1006,"&lt;="&amp;$B936))</f>
        <v/>
      </c>
      <c r="M936" s="132">
        <f>IF($B936&amp;$C936&amp;$D936&amp;$E936="","",IF($B936="","missing date",IF($C936="","missing worker",IF($I936="?","unknown worker - was the name changed on Workers?",IF($D936="","missing type",IF(N($E936)=0,"missing amount",IF(AND($E936&lt;0,$D936&lt;&gt;"Correction"),"negative amount - use a Correction to undo",IF(OR($B936&lt;Weeks!$A$7,$B936&gt;Weeks!$B$59),"date outside this workbook's year",IF(AND($D936="Advance",N($L936)&lt;0),"Warning: more than earned so far - worker now owes "&amp;TEXT(ROUND(-$L936,0),"#,##0"),"")))))))))</f>
        <v/>
      </c>
      <c r="N936" s="125" t="n"/>
      <c r="O936" s="126" t="n"/>
      <c r="P936" s="126" t="n"/>
      <c r="Q936" s="126" t="n"/>
      <c r="R936" s="126" t="n"/>
      <c r="S936" s="126" t="n"/>
      <c r="T936" s="126" t="n"/>
      <c r="U936" s="126" t="n"/>
      <c r="V936" s="126" t="n"/>
      <c r="W936" s="126" t="n"/>
      <c r="X936" s="126" t="n"/>
      <c r="Y936" s="126" t="n"/>
      <c r="Z936" s="126" t="n"/>
      <c r="AA936" s="126" t="n"/>
      <c r="AB936" s="126" t="n"/>
      <c r="AC936" s="126" t="n"/>
      <c r="AD936" s="126" t="n"/>
      <c r="AE936" s="126" t="n"/>
      <c r="AF936" s="126" t="n"/>
      <c r="AG936" s="126" t="n"/>
      <c r="AH936" s="126" t="n"/>
      <c r="AI936" s="126" t="n"/>
      <c r="AJ936" s="126" t="n"/>
      <c r="AK936" s="126" t="n"/>
      <c r="AL936" s="126" t="n"/>
      <c r="AM936" s="126" t="n"/>
      <c r="AN936" s="126" t="n"/>
    </row>
    <row r="937" ht="21" customFormat="1" customHeight="1" s="127">
      <c r="A937" s="51">
        <f>IF($B937="","",ROW()-6)</f>
        <v/>
      </c>
      <c r="B937" s="268" t="n"/>
      <c r="C937" s="133" t="n"/>
      <c r="D937" s="50" t="n"/>
      <c r="E937" s="265" t="n"/>
      <c r="F937" s="133" t="n"/>
      <c r="G937" s="133" t="n"/>
      <c r="H937" s="50" t="n"/>
      <c r="I937" s="51">
        <f>IF($C937="","",IFERROR(INDEX(WorkerIDs,MATCH($C937,WorkerNames,0)),"?"))</f>
        <v/>
      </c>
      <c r="J937" s="253">
        <f>IF($B937="","",$B937-WEEKDAY($B937,2)+1)</f>
        <v/>
      </c>
      <c r="K937" s="142">
        <f>IF(OR($I937="",$I937="?",$D937&lt;&gt;"Advance",$B937=""),"",$I937&amp;"|"&amp;$J937&amp;"|"&amp;COUNTIFS($I$7:$I937,$I937,$J$7:$J937,$J937,$D$7:$D937,"Advance"))</f>
        <v/>
      </c>
      <c r="L937" s="266">
        <f>IF(OR($I937="",$I937="?",$B937=""),"",SUMPRODUCT((Weeks!$A$7:$A$59&lt;=$J937)*(Weeks!$X$5:$AI$5=$I937)*Weeks!$X$7:$AI$59)-SUMIFS($E$7:$E$1006,$I$7:$I$1006,$I937,$B$7:$B$1006,"&lt;="&amp;$B937))</f>
        <v/>
      </c>
      <c r="M937" s="132">
        <f>IF($B937&amp;$C937&amp;$D937&amp;$E937="","",IF($B937="","missing date",IF($C937="","missing worker",IF($I937="?","unknown worker - was the name changed on Workers?",IF($D937="","missing type",IF(N($E937)=0,"missing amount",IF(AND($E937&lt;0,$D937&lt;&gt;"Correction"),"negative amount - use a Correction to undo",IF(OR($B937&lt;Weeks!$A$7,$B937&gt;Weeks!$B$59),"date outside this workbook's year",IF(AND($D937="Advance",N($L937)&lt;0),"Warning: more than earned so far - worker now owes "&amp;TEXT(ROUND(-$L937,0),"#,##0"),"")))))))))</f>
        <v/>
      </c>
      <c r="N937" s="125" t="n"/>
      <c r="O937" s="126" t="n"/>
      <c r="P937" s="126" t="n"/>
      <c r="Q937" s="126" t="n"/>
      <c r="R937" s="126" t="n"/>
      <c r="S937" s="126" t="n"/>
      <c r="T937" s="126" t="n"/>
      <c r="U937" s="126" t="n"/>
      <c r="V937" s="126" t="n"/>
      <c r="W937" s="126" t="n"/>
      <c r="X937" s="126" t="n"/>
      <c r="Y937" s="126" t="n"/>
      <c r="Z937" s="126" t="n"/>
      <c r="AA937" s="126" t="n"/>
      <c r="AB937" s="126" t="n"/>
      <c r="AC937" s="126" t="n"/>
      <c r="AD937" s="126" t="n"/>
      <c r="AE937" s="126" t="n"/>
      <c r="AF937" s="126" t="n"/>
      <c r="AG937" s="126" t="n"/>
      <c r="AH937" s="126" t="n"/>
      <c r="AI937" s="126" t="n"/>
      <c r="AJ937" s="126" t="n"/>
      <c r="AK937" s="126" t="n"/>
      <c r="AL937" s="126" t="n"/>
      <c r="AM937" s="126" t="n"/>
      <c r="AN937" s="126" t="n"/>
    </row>
    <row r="938" ht="21" customFormat="1" customHeight="1" s="127">
      <c r="A938" s="51">
        <f>IF($B938="","",ROW()-6)</f>
        <v/>
      </c>
      <c r="B938" s="268" t="n"/>
      <c r="C938" s="133" t="n"/>
      <c r="D938" s="50" t="n"/>
      <c r="E938" s="265" t="n"/>
      <c r="F938" s="133" t="n"/>
      <c r="G938" s="133" t="n"/>
      <c r="H938" s="50" t="n"/>
      <c r="I938" s="51">
        <f>IF($C938="","",IFERROR(INDEX(WorkerIDs,MATCH($C938,WorkerNames,0)),"?"))</f>
        <v/>
      </c>
      <c r="J938" s="253">
        <f>IF($B938="","",$B938-WEEKDAY($B938,2)+1)</f>
        <v/>
      </c>
      <c r="K938" s="142">
        <f>IF(OR($I938="",$I938="?",$D938&lt;&gt;"Advance",$B938=""),"",$I938&amp;"|"&amp;$J938&amp;"|"&amp;COUNTIFS($I$7:$I938,$I938,$J$7:$J938,$J938,$D$7:$D938,"Advance"))</f>
        <v/>
      </c>
      <c r="L938" s="266">
        <f>IF(OR($I938="",$I938="?",$B938=""),"",SUMPRODUCT((Weeks!$A$7:$A$59&lt;=$J938)*(Weeks!$X$5:$AI$5=$I938)*Weeks!$X$7:$AI$59)-SUMIFS($E$7:$E$1006,$I$7:$I$1006,$I938,$B$7:$B$1006,"&lt;="&amp;$B938))</f>
        <v/>
      </c>
      <c r="M938" s="132">
        <f>IF($B938&amp;$C938&amp;$D938&amp;$E938="","",IF($B938="","missing date",IF($C938="","missing worker",IF($I938="?","unknown worker - was the name changed on Workers?",IF($D938="","missing type",IF(N($E938)=0,"missing amount",IF(AND($E938&lt;0,$D938&lt;&gt;"Correction"),"negative amount - use a Correction to undo",IF(OR($B938&lt;Weeks!$A$7,$B938&gt;Weeks!$B$59),"date outside this workbook's year",IF(AND($D938="Advance",N($L938)&lt;0),"Warning: more than earned so far - worker now owes "&amp;TEXT(ROUND(-$L938,0),"#,##0"),"")))))))))</f>
        <v/>
      </c>
      <c r="N938" s="125" t="n"/>
      <c r="O938" s="126" t="n"/>
      <c r="P938" s="126" t="n"/>
      <c r="Q938" s="126" t="n"/>
      <c r="R938" s="126" t="n"/>
      <c r="S938" s="126" t="n"/>
      <c r="T938" s="126" t="n"/>
      <c r="U938" s="126" t="n"/>
      <c r="V938" s="126" t="n"/>
      <c r="W938" s="126" t="n"/>
      <c r="X938" s="126" t="n"/>
      <c r="Y938" s="126" t="n"/>
      <c r="Z938" s="126" t="n"/>
      <c r="AA938" s="126" t="n"/>
      <c r="AB938" s="126" t="n"/>
      <c r="AC938" s="126" t="n"/>
      <c r="AD938" s="126" t="n"/>
      <c r="AE938" s="126" t="n"/>
      <c r="AF938" s="126" t="n"/>
      <c r="AG938" s="126" t="n"/>
      <c r="AH938" s="126" t="n"/>
      <c r="AI938" s="126" t="n"/>
      <c r="AJ938" s="126" t="n"/>
      <c r="AK938" s="126" t="n"/>
      <c r="AL938" s="126" t="n"/>
      <c r="AM938" s="126" t="n"/>
      <c r="AN938" s="126" t="n"/>
    </row>
    <row r="939" ht="21" customFormat="1" customHeight="1" s="127">
      <c r="A939" s="51">
        <f>IF($B939="","",ROW()-6)</f>
        <v/>
      </c>
      <c r="B939" s="268" t="n"/>
      <c r="C939" s="133" t="n"/>
      <c r="D939" s="50" t="n"/>
      <c r="E939" s="265" t="n"/>
      <c r="F939" s="133" t="n"/>
      <c r="G939" s="133" t="n"/>
      <c r="H939" s="50" t="n"/>
      <c r="I939" s="51">
        <f>IF($C939="","",IFERROR(INDEX(WorkerIDs,MATCH($C939,WorkerNames,0)),"?"))</f>
        <v/>
      </c>
      <c r="J939" s="253">
        <f>IF($B939="","",$B939-WEEKDAY($B939,2)+1)</f>
        <v/>
      </c>
      <c r="K939" s="142">
        <f>IF(OR($I939="",$I939="?",$D939&lt;&gt;"Advance",$B939=""),"",$I939&amp;"|"&amp;$J939&amp;"|"&amp;COUNTIFS($I$7:$I939,$I939,$J$7:$J939,$J939,$D$7:$D939,"Advance"))</f>
        <v/>
      </c>
      <c r="L939" s="266">
        <f>IF(OR($I939="",$I939="?",$B939=""),"",SUMPRODUCT((Weeks!$A$7:$A$59&lt;=$J939)*(Weeks!$X$5:$AI$5=$I939)*Weeks!$X$7:$AI$59)-SUMIFS($E$7:$E$1006,$I$7:$I$1006,$I939,$B$7:$B$1006,"&lt;="&amp;$B939))</f>
        <v/>
      </c>
      <c r="M939" s="132">
        <f>IF($B939&amp;$C939&amp;$D939&amp;$E939="","",IF($B939="","missing date",IF($C939="","missing worker",IF($I939="?","unknown worker - was the name changed on Workers?",IF($D939="","missing type",IF(N($E939)=0,"missing amount",IF(AND($E939&lt;0,$D939&lt;&gt;"Correction"),"negative amount - use a Correction to undo",IF(OR($B939&lt;Weeks!$A$7,$B939&gt;Weeks!$B$59),"date outside this workbook's year",IF(AND($D939="Advance",N($L939)&lt;0),"Warning: more than earned so far - worker now owes "&amp;TEXT(ROUND(-$L939,0),"#,##0"),"")))))))))</f>
        <v/>
      </c>
      <c r="N939" s="125" t="n"/>
      <c r="O939" s="126" t="n"/>
      <c r="P939" s="126" t="n"/>
      <c r="Q939" s="126" t="n"/>
      <c r="R939" s="126" t="n"/>
      <c r="S939" s="126" t="n"/>
      <c r="T939" s="126" t="n"/>
      <c r="U939" s="126" t="n"/>
      <c r="V939" s="126" t="n"/>
      <c r="W939" s="126" t="n"/>
      <c r="X939" s="126" t="n"/>
      <c r="Y939" s="126" t="n"/>
      <c r="Z939" s="126" t="n"/>
      <c r="AA939" s="126" t="n"/>
      <c r="AB939" s="126" t="n"/>
      <c r="AC939" s="126" t="n"/>
      <c r="AD939" s="126" t="n"/>
      <c r="AE939" s="126" t="n"/>
      <c r="AF939" s="126" t="n"/>
      <c r="AG939" s="126" t="n"/>
      <c r="AH939" s="126" t="n"/>
      <c r="AI939" s="126" t="n"/>
      <c r="AJ939" s="126" t="n"/>
      <c r="AK939" s="126" t="n"/>
      <c r="AL939" s="126" t="n"/>
      <c r="AM939" s="126" t="n"/>
      <c r="AN939" s="126" t="n"/>
    </row>
    <row r="940" ht="21" customFormat="1" customHeight="1" s="127">
      <c r="A940" s="51">
        <f>IF($B940="","",ROW()-6)</f>
        <v/>
      </c>
      <c r="B940" s="268" t="n"/>
      <c r="C940" s="133" t="n"/>
      <c r="D940" s="50" t="n"/>
      <c r="E940" s="265" t="n"/>
      <c r="F940" s="133" t="n"/>
      <c r="G940" s="133" t="n"/>
      <c r="H940" s="50" t="n"/>
      <c r="I940" s="51">
        <f>IF($C940="","",IFERROR(INDEX(WorkerIDs,MATCH($C940,WorkerNames,0)),"?"))</f>
        <v/>
      </c>
      <c r="J940" s="253">
        <f>IF($B940="","",$B940-WEEKDAY($B940,2)+1)</f>
        <v/>
      </c>
      <c r="K940" s="142">
        <f>IF(OR($I940="",$I940="?",$D940&lt;&gt;"Advance",$B940=""),"",$I940&amp;"|"&amp;$J940&amp;"|"&amp;COUNTIFS($I$7:$I940,$I940,$J$7:$J940,$J940,$D$7:$D940,"Advance"))</f>
        <v/>
      </c>
      <c r="L940" s="266">
        <f>IF(OR($I940="",$I940="?",$B940=""),"",SUMPRODUCT((Weeks!$A$7:$A$59&lt;=$J940)*(Weeks!$X$5:$AI$5=$I940)*Weeks!$X$7:$AI$59)-SUMIFS($E$7:$E$1006,$I$7:$I$1006,$I940,$B$7:$B$1006,"&lt;="&amp;$B940))</f>
        <v/>
      </c>
      <c r="M940" s="132">
        <f>IF($B940&amp;$C940&amp;$D940&amp;$E940="","",IF($B940="","missing date",IF($C940="","missing worker",IF($I940="?","unknown worker - was the name changed on Workers?",IF($D940="","missing type",IF(N($E940)=0,"missing amount",IF(AND($E940&lt;0,$D940&lt;&gt;"Correction"),"negative amount - use a Correction to undo",IF(OR($B940&lt;Weeks!$A$7,$B940&gt;Weeks!$B$59),"date outside this workbook's year",IF(AND($D940="Advance",N($L940)&lt;0),"Warning: more than earned so far - worker now owes "&amp;TEXT(ROUND(-$L940,0),"#,##0"),"")))))))))</f>
        <v/>
      </c>
      <c r="N940" s="125" t="n"/>
      <c r="O940" s="126" t="n"/>
      <c r="P940" s="126" t="n"/>
      <c r="Q940" s="126" t="n"/>
      <c r="R940" s="126" t="n"/>
      <c r="S940" s="126" t="n"/>
      <c r="T940" s="126" t="n"/>
      <c r="U940" s="126" t="n"/>
      <c r="V940" s="126" t="n"/>
      <c r="W940" s="126" t="n"/>
      <c r="X940" s="126" t="n"/>
      <c r="Y940" s="126" t="n"/>
      <c r="Z940" s="126" t="n"/>
      <c r="AA940" s="126" t="n"/>
      <c r="AB940" s="126" t="n"/>
      <c r="AC940" s="126" t="n"/>
      <c r="AD940" s="126" t="n"/>
      <c r="AE940" s="126" t="n"/>
      <c r="AF940" s="126" t="n"/>
      <c r="AG940" s="126" t="n"/>
      <c r="AH940" s="126" t="n"/>
      <c r="AI940" s="126" t="n"/>
      <c r="AJ940" s="126" t="n"/>
      <c r="AK940" s="126" t="n"/>
      <c r="AL940" s="126" t="n"/>
      <c r="AM940" s="126" t="n"/>
      <c r="AN940" s="126" t="n"/>
    </row>
    <row r="941" ht="21" customFormat="1" customHeight="1" s="127">
      <c r="A941" s="51">
        <f>IF($B941="","",ROW()-6)</f>
        <v/>
      </c>
      <c r="B941" s="268" t="n"/>
      <c r="C941" s="133" t="n"/>
      <c r="D941" s="50" t="n"/>
      <c r="E941" s="265" t="n"/>
      <c r="F941" s="133" t="n"/>
      <c r="G941" s="133" t="n"/>
      <c r="H941" s="50" t="n"/>
      <c r="I941" s="51">
        <f>IF($C941="","",IFERROR(INDEX(WorkerIDs,MATCH($C941,WorkerNames,0)),"?"))</f>
        <v/>
      </c>
      <c r="J941" s="253">
        <f>IF($B941="","",$B941-WEEKDAY($B941,2)+1)</f>
        <v/>
      </c>
      <c r="K941" s="142">
        <f>IF(OR($I941="",$I941="?",$D941&lt;&gt;"Advance",$B941=""),"",$I941&amp;"|"&amp;$J941&amp;"|"&amp;COUNTIFS($I$7:$I941,$I941,$J$7:$J941,$J941,$D$7:$D941,"Advance"))</f>
        <v/>
      </c>
      <c r="L941" s="266">
        <f>IF(OR($I941="",$I941="?",$B941=""),"",SUMPRODUCT((Weeks!$A$7:$A$59&lt;=$J941)*(Weeks!$X$5:$AI$5=$I941)*Weeks!$X$7:$AI$59)-SUMIFS($E$7:$E$1006,$I$7:$I$1006,$I941,$B$7:$B$1006,"&lt;="&amp;$B941))</f>
        <v/>
      </c>
      <c r="M941" s="132">
        <f>IF($B941&amp;$C941&amp;$D941&amp;$E941="","",IF($B941="","missing date",IF($C941="","missing worker",IF($I941="?","unknown worker - was the name changed on Workers?",IF($D941="","missing type",IF(N($E941)=0,"missing amount",IF(AND($E941&lt;0,$D941&lt;&gt;"Correction"),"negative amount - use a Correction to undo",IF(OR($B941&lt;Weeks!$A$7,$B941&gt;Weeks!$B$59),"date outside this workbook's year",IF(AND($D941="Advance",N($L941)&lt;0),"Warning: more than earned so far - worker now owes "&amp;TEXT(ROUND(-$L941,0),"#,##0"),"")))))))))</f>
        <v/>
      </c>
      <c r="N941" s="125" t="n"/>
      <c r="O941" s="126" t="n"/>
      <c r="P941" s="126" t="n"/>
      <c r="Q941" s="126" t="n"/>
      <c r="R941" s="126" t="n"/>
      <c r="S941" s="126" t="n"/>
      <c r="T941" s="126" t="n"/>
      <c r="U941" s="126" t="n"/>
      <c r="V941" s="126" t="n"/>
      <c r="W941" s="126" t="n"/>
      <c r="X941" s="126" t="n"/>
      <c r="Y941" s="126" t="n"/>
      <c r="Z941" s="126" t="n"/>
      <c r="AA941" s="126" t="n"/>
      <c r="AB941" s="126" t="n"/>
      <c r="AC941" s="126" t="n"/>
      <c r="AD941" s="126" t="n"/>
      <c r="AE941" s="126" t="n"/>
      <c r="AF941" s="126" t="n"/>
      <c r="AG941" s="126" t="n"/>
      <c r="AH941" s="126" t="n"/>
      <c r="AI941" s="126" t="n"/>
      <c r="AJ941" s="126" t="n"/>
      <c r="AK941" s="126" t="n"/>
      <c r="AL941" s="126" t="n"/>
      <c r="AM941" s="126" t="n"/>
      <c r="AN941" s="126" t="n"/>
    </row>
    <row r="942" ht="21" customFormat="1" customHeight="1" s="127">
      <c r="A942" s="51">
        <f>IF($B942="","",ROW()-6)</f>
        <v/>
      </c>
      <c r="B942" s="268" t="n"/>
      <c r="C942" s="133" t="n"/>
      <c r="D942" s="50" t="n"/>
      <c r="E942" s="265" t="n"/>
      <c r="F942" s="133" t="n"/>
      <c r="G942" s="133" t="n"/>
      <c r="H942" s="50" t="n"/>
      <c r="I942" s="51">
        <f>IF($C942="","",IFERROR(INDEX(WorkerIDs,MATCH($C942,WorkerNames,0)),"?"))</f>
        <v/>
      </c>
      <c r="J942" s="253">
        <f>IF($B942="","",$B942-WEEKDAY($B942,2)+1)</f>
        <v/>
      </c>
      <c r="K942" s="142">
        <f>IF(OR($I942="",$I942="?",$D942&lt;&gt;"Advance",$B942=""),"",$I942&amp;"|"&amp;$J942&amp;"|"&amp;COUNTIFS($I$7:$I942,$I942,$J$7:$J942,$J942,$D$7:$D942,"Advance"))</f>
        <v/>
      </c>
      <c r="L942" s="266">
        <f>IF(OR($I942="",$I942="?",$B942=""),"",SUMPRODUCT((Weeks!$A$7:$A$59&lt;=$J942)*(Weeks!$X$5:$AI$5=$I942)*Weeks!$X$7:$AI$59)-SUMIFS($E$7:$E$1006,$I$7:$I$1006,$I942,$B$7:$B$1006,"&lt;="&amp;$B942))</f>
        <v/>
      </c>
      <c r="M942" s="132">
        <f>IF($B942&amp;$C942&amp;$D942&amp;$E942="","",IF($B942="","missing date",IF($C942="","missing worker",IF($I942="?","unknown worker - was the name changed on Workers?",IF($D942="","missing type",IF(N($E942)=0,"missing amount",IF(AND($E942&lt;0,$D942&lt;&gt;"Correction"),"negative amount - use a Correction to undo",IF(OR($B942&lt;Weeks!$A$7,$B942&gt;Weeks!$B$59),"date outside this workbook's year",IF(AND($D942="Advance",N($L942)&lt;0),"Warning: more than earned so far - worker now owes "&amp;TEXT(ROUND(-$L942,0),"#,##0"),"")))))))))</f>
        <v/>
      </c>
      <c r="N942" s="125" t="n"/>
      <c r="O942" s="126" t="n"/>
      <c r="P942" s="126" t="n"/>
      <c r="Q942" s="126" t="n"/>
      <c r="R942" s="126" t="n"/>
      <c r="S942" s="126" t="n"/>
      <c r="T942" s="126" t="n"/>
      <c r="U942" s="126" t="n"/>
      <c r="V942" s="126" t="n"/>
      <c r="W942" s="126" t="n"/>
      <c r="X942" s="126" t="n"/>
      <c r="Y942" s="126" t="n"/>
      <c r="Z942" s="126" t="n"/>
      <c r="AA942" s="126" t="n"/>
      <c r="AB942" s="126" t="n"/>
      <c r="AC942" s="126" t="n"/>
      <c r="AD942" s="126" t="n"/>
      <c r="AE942" s="126" t="n"/>
      <c r="AF942" s="126" t="n"/>
      <c r="AG942" s="126" t="n"/>
      <c r="AH942" s="126" t="n"/>
      <c r="AI942" s="126" t="n"/>
      <c r="AJ942" s="126" t="n"/>
      <c r="AK942" s="126" t="n"/>
      <c r="AL942" s="126" t="n"/>
      <c r="AM942" s="126" t="n"/>
      <c r="AN942" s="126" t="n"/>
    </row>
    <row r="943" ht="21" customFormat="1" customHeight="1" s="127">
      <c r="A943" s="51">
        <f>IF($B943="","",ROW()-6)</f>
        <v/>
      </c>
      <c r="B943" s="268" t="n"/>
      <c r="C943" s="133" t="n"/>
      <c r="D943" s="50" t="n"/>
      <c r="E943" s="265" t="n"/>
      <c r="F943" s="133" t="n"/>
      <c r="G943" s="133" t="n"/>
      <c r="H943" s="50" t="n"/>
      <c r="I943" s="51">
        <f>IF($C943="","",IFERROR(INDEX(WorkerIDs,MATCH($C943,WorkerNames,0)),"?"))</f>
        <v/>
      </c>
      <c r="J943" s="253">
        <f>IF($B943="","",$B943-WEEKDAY($B943,2)+1)</f>
        <v/>
      </c>
      <c r="K943" s="142">
        <f>IF(OR($I943="",$I943="?",$D943&lt;&gt;"Advance",$B943=""),"",$I943&amp;"|"&amp;$J943&amp;"|"&amp;COUNTIFS($I$7:$I943,$I943,$J$7:$J943,$J943,$D$7:$D943,"Advance"))</f>
        <v/>
      </c>
      <c r="L943" s="266">
        <f>IF(OR($I943="",$I943="?",$B943=""),"",SUMPRODUCT((Weeks!$A$7:$A$59&lt;=$J943)*(Weeks!$X$5:$AI$5=$I943)*Weeks!$X$7:$AI$59)-SUMIFS($E$7:$E$1006,$I$7:$I$1006,$I943,$B$7:$B$1006,"&lt;="&amp;$B943))</f>
        <v/>
      </c>
      <c r="M943" s="132">
        <f>IF($B943&amp;$C943&amp;$D943&amp;$E943="","",IF($B943="","missing date",IF($C943="","missing worker",IF($I943="?","unknown worker - was the name changed on Workers?",IF($D943="","missing type",IF(N($E943)=0,"missing amount",IF(AND($E943&lt;0,$D943&lt;&gt;"Correction"),"negative amount - use a Correction to undo",IF(OR($B943&lt;Weeks!$A$7,$B943&gt;Weeks!$B$59),"date outside this workbook's year",IF(AND($D943="Advance",N($L943)&lt;0),"Warning: more than earned so far - worker now owes "&amp;TEXT(ROUND(-$L943,0),"#,##0"),"")))))))))</f>
        <v/>
      </c>
      <c r="N943" s="125" t="n"/>
      <c r="O943" s="126" t="n"/>
      <c r="P943" s="126" t="n"/>
      <c r="Q943" s="126" t="n"/>
      <c r="R943" s="126" t="n"/>
      <c r="S943" s="126" t="n"/>
      <c r="T943" s="126" t="n"/>
      <c r="U943" s="126" t="n"/>
      <c r="V943" s="126" t="n"/>
      <c r="W943" s="126" t="n"/>
      <c r="X943" s="126" t="n"/>
      <c r="Y943" s="126" t="n"/>
      <c r="Z943" s="126" t="n"/>
      <c r="AA943" s="126" t="n"/>
      <c r="AB943" s="126" t="n"/>
      <c r="AC943" s="126" t="n"/>
      <c r="AD943" s="126" t="n"/>
      <c r="AE943" s="126" t="n"/>
      <c r="AF943" s="126" t="n"/>
      <c r="AG943" s="126" t="n"/>
      <c r="AH943" s="126" t="n"/>
      <c r="AI943" s="126" t="n"/>
      <c r="AJ943" s="126" t="n"/>
      <c r="AK943" s="126" t="n"/>
      <c r="AL943" s="126" t="n"/>
      <c r="AM943" s="126" t="n"/>
      <c r="AN943" s="126" t="n"/>
    </row>
    <row r="944" ht="21" customFormat="1" customHeight="1" s="127">
      <c r="A944" s="51">
        <f>IF($B944="","",ROW()-6)</f>
        <v/>
      </c>
      <c r="B944" s="268" t="n"/>
      <c r="C944" s="133" t="n"/>
      <c r="D944" s="50" t="n"/>
      <c r="E944" s="265" t="n"/>
      <c r="F944" s="133" t="n"/>
      <c r="G944" s="133" t="n"/>
      <c r="H944" s="50" t="n"/>
      <c r="I944" s="51">
        <f>IF($C944="","",IFERROR(INDEX(WorkerIDs,MATCH($C944,WorkerNames,0)),"?"))</f>
        <v/>
      </c>
      <c r="J944" s="253">
        <f>IF($B944="","",$B944-WEEKDAY($B944,2)+1)</f>
        <v/>
      </c>
      <c r="K944" s="142">
        <f>IF(OR($I944="",$I944="?",$D944&lt;&gt;"Advance",$B944=""),"",$I944&amp;"|"&amp;$J944&amp;"|"&amp;COUNTIFS($I$7:$I944,$I944,$J$7:$J944,$J944,$D$7:$D944,"Advance"))</f>
        <v/>
      </c>
      <c r="L944" s="266">
        <f>IF(OR($I944="",$I944="?",$B944=""),"",SUMPRODUCT((Weeks!$A$7:$A$59&lt;=$J944)*(Weeks!$X$5:$AI$5=$I944)*Weeks!$X$7:$AI$59)-SUMIFS($E$7:$E$1006,$I$7:$I$1006,$I944,$B$7:$B$1006,"&lt;="&amp;$B944))</f>
        <v/>
      </c>
      <c r="M944" s="132">
        <f>IF($B944&amp;$C944&amp;$D944&amp;$E944="","",IF($B944="","missing date",IF($C944="","missing worker",IF($I944="?","unknown worker - was the name changed on Workers?",IF($D944="","missing type",IF(N($E944)=0,"missing amount",IF(AND($E944&lt;0,$D944&lt;&gt;"Correction"),"negative amount - use a Correction to undo",IF(OR($B944&lt;Weeks!$A$7,$B944&gt;Weeks!$B$59),"date outside this workbook's year",IF(AND($D944="Advance",N($L944)&lt;0),"Warning: more than earned so far - worker now owes "&amp;TEXT(ROUND(-$L944,0),"#,##0"),"")))))))))</f>
        <v/>
      </c>
      <c r="N944" s="125" t="n"/>
      <c r="O944" s="126" t="n"/>
      <c r="P944" s="126" t="n"/>
      <c r="Q944" s="126" t="n"/>
      <c r="R944" s="126" t="n"/>
      <c r="S944" s="126" t="n"/>
      <c r="T944" s="126" t="n"/>
      <c r="U944" s="126" t="n"/>
      <c r="V944" s="126" t="n"/>
      <c r="W944" s="126" t="n"/>
      <c r="X944" s="126" t="n"/>
      <c r="Y944" s="126" t="n"/>
      <c r="Z944" s="126" t="n"/>
      <c r="AA944" s="126" t="n"/>
      <c r="AB944" s="126" t="n"/>
      <c r="AC944" s="126" t="n"/>
      <c r="AD944" s="126" t="n"/>
      <c r="AE944" s="126" t="n"/>
      <c r="AF944" s="126" t="n"/>
      <c r="AG944" s="126" t="n"/>
      <c r="AH944" s="126" t="n"/>
      <c r="AI944" s="126" t="n"/>
      <c r="AJ944" s="126" t="n"/>
      <c r="AK944" s="126" t="n"/>
      <c r="AL944" s="126" t="n"/>
      <c r="AM944" s="126" t="n"/>
      <c r="AN944" s="126" t="n"/>
    </row>
    <row r="945" ht="21" customFormat="1" customHeight="1" s="127">
      <c r="A945" s="51">
        <f>IF($B945="","",ROW()-6)</f>
        <v/>
      </c>
      <c r="B945" s="268" t="n"/>
      <c r="C945" s="133" t="n"/>
      <c r="D945" s="50" t="n"/>
      <c r="E945" s="265" t="n"/>
      <c r="F945" s="133" t="n"/>
      <c r="G945" s="133" t="n"/>
      <c r="H945" s="50" t="n"/>
      <c r="I945" s="51">
        <f>IF($C945="","",IFERROR(INDEX(WorkerIDs,MATCH($C945,WorkerNames,0)),"?"))</f>
        <v/>
      </c>
      <c r="J945" s="253">
        <f>IF($B945="","",$B945-WEEKDAY($B945,2)+1)</f>
        <v/>
      </c>
      <c r="K945" s="142">
        <f>IF(OR($I945="",$I945="?",$D945&lt;&gt;"Advance",$B945=""),"",$I945&amp;"|"&amp;$J945&amp;"|"&amp;COUNTIFS($I$7:$I945,$I945,$J$7:$J945,$J945,$D$7:$D945,"Advance"))</f>
        <v/>
      </c>
      <c r="L945" s="266">
        <f>IF(OR($I945="",$I945="?",$B945=""),"",SUMPRODUCT((Weeks!$A$7:$A$59&lt;=$J945)*(Weeks!$X$5:$AI$5=$I945)*Weeks!$X$7:$AI$59)-SUMIFS($E$7:$E$1006,$I$7:$I$1006,$I945,$B$7:$B$1006,"&lt;="&amp;$B945))</f>
        <v/>
      </c>
      <c r="M945" s="132">
        <f>IF($B945&amp;$C945&amp;$D945&amp;$E945="","",IF($B945="","missing date",IF($C945="","missing worker",IF($I945="?","unknown worker - was the name changed on Workers?",IF($D945="","missing type",IF(N($E945)=0,"missing amount",IF(AND($E945&lt;0,$D945&lt;&gt;"Correction"),"negative amount - use a Correction to undo",IF(OR($B945&lt;Weeks!$A$7,$B945&gt;Weeks!$B$59),"date outside this workbook's year",IF(AND($D945="Advance",N($L945)&lt;0),"Warning: more than earned so far - worker now owes "&amp;TEXT(ROUND(-$L945,0),"#,##0"),"")))))))))</f>
        <v/>
      </c>
      <c r="N945" s="125" t="n"/>
      <c r="O945" s="126" t="n"/>
      <c r="P945" s="126" t="n"/>
      <c r="Q945" s="126" t="n"/>
      <c r="R945" s="126" t="n"/>
      <c r="S945" s="126" t="n"/>
      <c r="T945" s="126" t="n"/>
      <c r="U945" s="126" t="n"/>
      <c r="V945" s="126" t="n"/>
      <c r="W945" s="126" t="n"/>
      <c r="X945" s="126" t="n"/>
      <c r="Y945" s="126" t="n"/>
      <c r="Z945" s="126" t="n"/>
      <c r="AA945" s="126" t="n"/>
      <c r="AB945" s="126" t="n"/>
      <c r="AC945" s="126" t="n"/>
      <c r="AD945" s="126" t="n"/>
      <c r="AE945" s="126" t="n"/>
      <c r="AF945" s="126" t="n"/>
      <c r="AG945" s="126" t="n"/>
      <c r="AH945" s="126" t="n"/>
      <c r="AI945" s="126" t="n"/>
      <c r="AJ945" s="126" t="n"/>
      <c r="AK945" s="126" t="n"/>
      <c r="AL945" s="126" t="n"/>
      <c r="AM945" s="126" t="n"/>
      <c r="AN945" s="126" t="n"/>
    </row>
    <row r="946" ht="21" customFormat="1" customHeight="1" s="127">
      <c r="A946" s="51">
        <f>IF($B946="","",ROW()-6)</f>
        <v/>
      </c>
      <c r="B946" s="268" t="n"/>
      <c r="C946" s="133" t="n"/>
      <c r="D946" s="50" t="n"/>
      <c r="E946" s="265" t="n"/>
      <c r="F946" s="133" t="n"/>
      <c r="G946" s="133" t="n"/>
      <c r="H946" s="50" t="n"/>
      <c r="I946" s="51">
        <f>IF($C946="","",IFERROR(INDEX(WorkerIDs,MATCH($C946,WorkerNames,0)),"?"))</f>
        <v/>
      </c>
      <c r="J946" s="253">
        <f>IF($B946="","",$B946-WEEKDAY($B946,2)+1)</f>
        <v/>
      </c>
      <c r="K946" s="142">
        <f>IF(OR($I946="",$I946="?",$D946&lt;&gt;"Advance",$B946=""),"",$I946&amp;"|"&amp;$J946&amp;"|"&amp;COUNTIFS($I$7:$I946,$I946,$J$7:$J946,$J946,$D$7:$D946,"Advance"))</f>
        <v/>
      </c>
      <c r="L946" s="266">
        <f>IF(OR($I946="",$I946="?",$B946=""),"",SUMPRODUCT((Weeks!$A$7:$A$59&lt;=$J946)*(Weeks!$X$5:$AI$5=$I946)*Weeks!$X$7:$AI$59)-SUMIFS($E$7:$E$1006,$I$7:$I$1006,$I946,$B$7:$B$1006,"&lt;="&amp;$B946))</f>
        <v/>
      </c>
      <c r="M946" s="132">
        <f>IF($B946&amp;$C946&amp;$D946&amp;$E946="","",IF($B946="","missing date",IF($C946="","missing worker",IF($I946="?","unknown worker - was the name changed on Workers?",IF($D946="","missing type",IF(N($E946)=0,"missing amount",IF(AND($E946&lt;0,$D946&lt;&gt;"Correction"),"negative amount - use a Correction to undo",IF(OR($B946&lt;Weeks!$A$7,$B946&gt;Weeks!$B$59),"date outside this workbook's year",IF(AND($D946="Advance",N($L946)&lt;0),"Warning: more than earned so far - worker now owes "&amp;TEXT(ROUND(-$L946,0),"#,##0"),"")))))))))</f>
        <v/>
      </c>
      <c r="N946" s="125" t="n"/>
      <c r="O946" s="126" t="n"/>
      <c r="P946" s="126" t="n"/>
      <c r="Q946" s="126" t="n"/>
      <c r="R946" s="126" t="n"/>
      <c r="S946" s="126" t="n"/>
      <c r="T946" s="126" t="n"/>
      <c r="U946" s="126" t="n"/>
      <c r="V946" s="126" t="n"/>
      <c r="W946" s="126" t="n"/>
      <c r="X946" s="126" t="n"/>
      <c r="Y946" s="126" t="n"/>
      <c r="Z946" s="126" t="n"/>
      <c r="AA946" s="126" t="n"/>
      <c r="AB946" s="126" t="n"/>
      <c r="AC946" s="126" t="n"/>
      <c r="AD946" s="126" t="n"/>
      <c r="AE946" s="126" t="n"/>
      <c r="AF946" s="126" t="n"/>
      <c r="AG946" s="126" t="n"/>
      <c r="AH946" s="126" t="n"/>
      <c r="AI946" s="126" t="n"/>
      <c r="AJ946" s="126" t="n"/>
      <c r="AK946" s="126" t="n"/>
      <c r="AL946" s="126" t="n"/>
      <c r="AM946" s="126" t="n"/>
      <c r="AN946" s="126" t="n"/>
    </row>
    <row r="947" ht="21" customFormat="1" customHeight="1" s="127">
      <c r="A947" s="51">
        <f>IF($B947="","",ROW()-6)</f>
        <v/>
      </c>
      <c r="B947" s="268" t="n"/>
      <c r="C947" s="133" t="n"/>
      <c r="D947" s="50" t="n"/>
      <c r="E947" s="265" t="n"/>
      <c r="F947" s="133" t="n"/>
      <c r="G947" s="133" t="n"/>
      <c r="H947" s="50" t="n"/>
      <c r="I947" s="51">
        <f>IF($C947="","",IFERROR(INDEX(WorkerIDs,MATCH($C947,WorkerNames,0)),"?"))</f>
        <v/>
      </c>
      <c r="J947" s="253">
        <f>IF($B947="","",$B947-WEEKDAY($B947,2)+1)</f>
        <v/>
      </c>
      <c r="K947" s="142">
        <f>IF(OR($I947="",$I947="?",$D947&lt;&gt;"Advance",$B947=""),"",$I947&amp;"|"&amp;$J947&amp;"|"&amp;COUNTIFS($I$7:$I947,$I947,$J$7:$J947,$J947,$D$7:$D947,"Advance"))</f>
        <v/>
      </c>
      <c r="L947" s="266">
        <f>IF(OR($I947="",$I947="?",$B947=""),"",SUMPRODUCT((Weeks!$A$7:$A$59&lt;=$J947)*(Weeks!$X$5:$AI$5=$I947)*Weeks!$X$7:$AI$59)-SUMIFS($E$7:$E$1006,$I$7:$I$1006,$I947,$B$7:$B$1006,"&lt;="&amp;$B947))</f>
        <v/>
      </c>
      <c r="M947" s="132">
        <f>IF($B947&amp;$C947&amp;$D947&amp;$E947="","",IF($B947="","missing date",IF($C947="","missing worker",IF($I947="?","unknown worker - was the name changed on Workers?",IF($D947="","missing type",IF(N($E947)=0,"missing amount",IF(AND($E947&lt;0,$D947&lt;&gt;"Correction"),"negative amount - use a Correction to undo",IF(OR($B947&lt;Weeks!$A$7,$B947&gt;Weeks!$B$59),"date outside this workbook's year",IF(AND($D947="Advance",N($L947)&lt;0),"Warning: more than earned so far - worker now owes "&amp;TEXT(ROUND(-$L947,0),"#,##0"),"")))))))))</f>
        <v/>
      </c>
      <c r="N947" s="125" t="n"/>
      <c r="O947" s="126" t="n"/>
      <c r="P947" s="126" t="n"/>
      <c r="Q947" s="126" t="n"/>
      <c r="R947" s="126" t="n"/>
      <c r="S947" s="126" t="n"/>
      <c r="T947" s="126" t="n"/>
      <c r="U947" s="126" t="n"/>
      <c r="V947" s="126" t="n"/>
      <c r="W947" s="126" t="n"/>
      <c r="X947" s="126" t="n"/>
      <c r="Y947" s="126" t="n"/>
      <c r="Z947" s="126" t="n"/>
      <c r="AA947" s="126" t="n"/>
      <c r="AB947" s="126" t="n"/>
      <c r="AC947" s="126" t="n"/>
      <c r="AD947" s="126" t="n"/>
      <c r="AE947" s="126" t="n"/>
      <c r="AF947" s="126" t="n"/>
      <c r="AG947" s="126" t="n"/>
      <c r="AH947" s="126" t="n"/>
      <c r="AI947" s="126" t="n"/>
      <c r="AJ947" s="126" t="n"/>
      <c r="AK947" s="126" t="n"/>
      <c r="AL947" s="126" t="n"/>
      <c r="AM947" s="126" t="n"/>
      <c r="AN947" s="126" t="n"/>
    </row>
    <row r="948" ht="21" customFormat="1" customHeight="1" s="127">
      <c r="A948" s="51">
        <f>IF($B948="","",ROW()-6)</f>
        <v/>
      </c>
      <c r="B948" s="268" t="n"/>
      <c r="C948" s="133" t="n"/>
      <c r="D948" s="50" t="n"/>
      <c r="E948" s="265" t="n"/>
      <c r="F948" s="133" t="n"/>
      <c r="G948" s="133" t="n"/>
      <c r="H948" s="50" t="n"/>
      <c r="I948" s="51">
        <f>IF($C948="","",IFERROR(INDEX(WorkerIDs,MATCH($C948,WorkerNames,0)),"?"))</f>
        <v/>
      </c>
      <c r="J948" s="253">
        <f>IF($B948="","",$B948-WEEKDAY($B948,2)+1)</f>
        <v/>
      </c>
      <c r="K948" s="142">
        <f>IF(OR($I948="",$I948="?",$D948&lt;&gt;"Advance",$B948=""),"",$I948&amp;"|"&amp;$J948&amp;"|"&amp;COUNTIFS($I$7:$I948,$I948,$J$7:$J948,$J948,$D$7:$D948,"Advance"))</f>
        <v/>
      </c>
      <c r="L948" s="266">
        <f>IF(OR($I948="",$I948="?",$B948=""),"",SUMPRODUCT((Weeks!$A$7:$A$59&lt;=$J948)*(Weeks!$X$5:$AI$5=$I948)*Weeks!$X$7:$AI$59)-SUMIFS($E$7:$E$1006,$I$7:$I$1006,$I948,$B$7:$B$1006,"&lt;="&amp;$B948))</f>
        <v/>
      </c>
      <c r="M948" s="132">
        <f>IF($B948&amp;$C948&amp;$D948&amp;$E948="","",IF($B948="","missing date",IF($C948="","missing worker",IF($I948="?","unknown worker - was the name changed on Workers?",IF($D948="","missing type",IF(N($E948)=0,"missing amount",IF(AND($E948&lt;0,$D948&lt;&gt;"Correction"),"negative amount - use a Correction to undo",IF(OR($B948&lt;Weeks!$A$7,$B948&gt;Weeks!$B$59),"date outside this workbook's year",IF(AND($D948="Advance",N($L948)&lt;0),"Warning: more than earned so far - worker now owes "&amp;TEXT(ROUND(-$L948,0),"#,##0"),"")))))))))</f>
        <v/>
      </c>
      <c r="N948" s="125" t="n"/>
      <c r="O948" s="126" t="n"/>
      <c r="P948" s="126" t="n"/>
      <c r="Q948" s="126" t="n"/>
      <c r="R948" s="126" t="n"/>
      <c r="S948" s="126" t="n"/>
      <c r="T948" s="126" t="n"/>
      <c r="U948" s="126" t="n"/>
      <c r="V948" s="126" t="n"/>
      <c r="W948" s="126" t="n"/>
      <c r="X948" s="126" t="n"/>
      <c r="Y948" s="126" t="n"/>
      <c r="Z948" s="126" t="n"/>
      <c r="AA948" s="126" t="n"/>
      <c r="AB948" s="126" t="n"/>
      <c r="AC948" s="126" t="n"/>
      <c r="AD948" s="126" t="n"/>
      <c r="AE948" s="126" t="n"/>
      <c r="AF948" s="126" t="n"/>
      <c r="AG948" s="126" t="n"/>
      <c r="AH948" s="126" t="n"/>
      <c r="AI948" s="126" t="n"/>
      <c r="AJ948" s="126" t="n"/>
      <c r="AK948" s="126" t="n"/>
      <c r="AL948" s="126" t="n"/>
      <c r="AM948" s="126" t="n"/>
      <c r="AN948" s="126" t="n"/>
    </row>
    <row r="949" ht="21" customFormat="1" customHeight="1" s="127">
      <c r="A949" s="51">
        <f>IF($B949="","",ROW()-6)</f>
        <v/>
      </c>
      <c r="B949" s="268" t="n"/>
      <c r="C949" s="133" t="n"/>
      <c r="D949" s="50" t="n"/>
      <c r="E949" s="265" t="n"/>
      <c r="F949" s="133" t="n"/>
      <c r="G949" s="133" t="n"/>
      <c r="H949" s="50" t="n"/>
      <c r="I949" s="51">
        <f>IF($C949="","",IFERROR(INDEX(WorkerIDs,MATCH($C949,WorkerNames,0)),"?"))</f>
        <v/>
      </c>
      <c r="J949" s="253">
        <f>IF($B949="","",$B949-WEEKDAY($B949,2)+1)</f>
        <v/>
      </c>
      <c r="K949" s="142">
        <f>IF(OR($I949="",$I949="?",$D949&lt;&gt;"Advance",$B949=""),"",$I949&amp;"|"&amp;$J949&amp;"|"&amp;COUNTIFS($I$7:$I949,$I949,$J$7:$J949,$J949,$D$7:$D949,"Advance"))</f>
        <v/>
      </c>
      <c r="L949" s="266">
        <f>IF(OR($I949="",$I949="?",$B949=""),"",SUMPRODUCT((Weeks!$A$7:$A$59&lt;=$J949)*(Weeks!$X$5:$AI$5=$I949)*Weeks!$X$7:$AI$59)-SUMIFS($E$7:$E$1006,$I$7:$I$1006,$I949,$B$7:$B$1006,"&lt;="&amp;$B949))</f>
        <v/>
      </c>
      <c r="M949" s="132">
        <f>IF($B949&amp;$C949&amp;$D949&amp;$E949="","",IF($B949="","missing date",IF($C949="","missing worker",IF($I949="?","unknown worker - was the name changed on Workers?",IF($D949="","missing type",IF(N($E949)=0,"missing amount",IF(AND($E949&lt;0,$D949&lt;&gt;"Correction"),"negative amount - use a Correction to undo",IF(OR($B949&lt;Weeks!$A$7,$B949&gt;Weeks!$B$59),"date outside this workbook's year",IF(AND($D949="Advance",N($L949)&lt;0),"Warning: more than earned so far - worker now owes "&amp;TEXT(ROUND(-$L949,0),"#,##0"),"")))))))))</f>
        <v/>
      </c>
      <c r="N949" s="125" t="n"/>
      <c r="O949" s="126" t="n"/>
      <c r="P949" s="126" t="n"/>
      <c r="Q949" s="126" t="n"/>
      <c r="R949" s="126" t="n"/>
      <c r="S949" s="126" t="n"/>
      <c r="T949" s="126" t="n"/>
      <c r="U949" s="126" t="n"/>
      <c r="V949" s="126" t="n"/>
      <c r="W949" s="126" t="n"/>
      <c r="X949" s="126" t="n"/>
      <c r="Y949" s="126" t="n"/>
      <c r="Z949" s="126" t="n"/>
      <c r="AA949" s="126" t="n"/>
      <c r="AB949" s="126" t="n"/>
      <c r="AC949" s="126" t="n"/>
      <c r="AD949" s="126" t="n"/>
      <c r="AE949" s="126" t="n"/>
      <c r="AF949" s="126" t="n"/>
      <c r="AG949" s="126" t="n"/>
      <c r="AH949" s="126" t="n"/>
      <c r="AI949" s="126" t="n"/>
      <c r="AJ949" s="126" t="n"/>
      <c r="AK949" s="126" t="n"/>
      <c r="AL949" s="126" t="n"/>
      <c r="AM949" s="126" t="n"/>
      <c r="AN949" s="126" t="n"/>
    </row>
    <row r="950" ht="21" customFormat="1" customHeight="1" s="127">
      <c r="A950" s="51">
        <f>IF($B950="","",ROW()-6)</f>
        <v/>
      </c>
      <c r="B950" s="268" t="n"/>
      <c r="C950" s="133" t="n"/>
      <c r="D950" s="50" t="n"/>
      <c r="E950" s="265" t="n"/>
      <c r="F950" s="133" t="n"/>
      <c r="G950" s="133" t="n"/>
      <c r="H950" s="50" t="n"/>
      <c r="I950" s="51">
        <f>IF($C950="","",IFERROR(INDEX(WorkerIDs,MATCH($C950,WorkerNames,0)),"?"))</f>
        <v/>
      </c>
      <c r="J950" s="253">
        <f>IF($B950="","",$B950-WEEKDAY($B950,2)+1)</f>
        <v/>
      </c>
      <c r="K950" s="142">
        <f>IF(OR($I950="",$I950="?",$D950&lt;&gt;"Advance",$B950=""),"",$I950&amp;"|"&amp;$J950&amp;"|"&amp;COUNTIFS($I$7:$I950,$I950,$J$7:$J950,$J950,$D$7:$D950,"Advance"))</f>
        <v/>
      </c>
      <c r="L950" s="266">
        <f>IF(OR($I950="",$I950="?",$B950=""),"",SUMPRODUCT((Weeks!$A$7:$A$59&lt;=$J950)*(Weeks!$X$5:$AI$5=$I950)*Weeks!$X$7:$AI$59)-SUMIFS($E$7:$E$1006,$I$7:$I$1006,$I950,$B$7:$B$1006,"&lt;="&amp;$B950))</f>
        <v/>
      </c>
      <c r="M950" s="132">
        <f>IF($B950&amp;$C950&amp;$D950&amp;$E950="","",IF($B950="","missing date",IF($C950="","missing worker",IF($I950="?","unknown worker - was the name changed on Workers?",IF($D950="","missing type",IF(N($E950)=0,"missing amount",IF(AND($E950&lt;0,$D950&lt;&gt;"Correction"),"negative amount - use a Correction to undo",IF(OR($B950&lt;Weeks!$A$7,$B950&gt;Weeks!$B$59),"date outside this workbook's year",IF(AND($D950="Advance",N($L950)&lt;0),"Warning: more than earned so far - worker now owes "&amp;TEXT(ROUND(-$L950,0),"#,##0"),"")))))))))</f>
        <v/>
      </c>
      <c r="N950" s="125" t="n"/>
      <c r="O950" s="126" t="n"/>
      <c r="P950" s="126" t="n"/>
      <c r="Q950" s="126" t="n"/>
      <c r="R950" s="126" t="n"/>
      <c r="S950" s="126" t="n"/>
      <c r="T950" s="126" t="n"/>
      <c r="U950" s="126" t="n"/>
      <c r="V950" s="126" t="n"/>
      <c r="W950" s="126" t="n"/>
      <c r="X950" s="126" t="n"/>
      <c r="Y950" s="126" t="n"/>
      <c r="Z950" s="126" t="n"/>
      <c r="AA950" s="126" t="n"/>
      <c r="AB950" s="126" t="n"/>
      <c r="AC950" s="126" t="n"/>
      <c r="AD950" s="126" t="n"/>
      <c r="AE950" s="126" t="n"/>
      <c r="AF950" s="126" t="n"/>
      <c r="AG950" s="126" t="n"/>
      <c r="AH950" s="126" t="n"/>
      <c r="AI950" s="126" t="n"/>
      <c r="AJ950" s="126" t="n"/>
      <c r="AK950" s="126" t="n"/>
      <c r="AL950" s="126" t="n"/>
      <c r="AM950" s="126" t="n"/>
      <c r="AN950" s="126" t="n"/>
    </row>
    <row r="951" ht="21" customFormat="1" customHeight="1" s="127">
      <c r="A951" s="51">
        <f>IF($B951="","",ROW()-6)</f>
        <v/>
      </c>
      <c r="B951" s="268" t="n"/>
      <c r="C951" s="133" t="n"/>
      <c r="D951" s="50" t="n"/>
      <c r="E951" s="265" t="n"/>
      <c r="F951" s="133" t="n"/>
      <c r="G951" s="133" t="n"/>
      <c r="H951" s="50" t="n"/>
      <c r="I951" s="51">
        <f>IF($C951="","",IFERROR(INDEX(WorkerIDs,MATCH($C951,WorkerNames,0)),"?"))</f>
        <v/>
      </c>
      <c r="J951" s="253">
        <f>IF($B951="","",$B951-WEEKDAY($B951,2)+1)</f>
        <v/>
      </c>
      <c r="K951" s="142">
        <f>IF(OR($I951="",$I951="?",$D951&lt;&gt;"Advance",$B951=""),"",$I951&amp;"|"&amp;$J951&amp;"|"&amp;COUNTIFS($I$7:$I951,$I951,$J$7:$J951,$J951,$D$7:$D951,"Advance"))</f>
        <v/>
      </c>
      <c r="L951" s="266">
        <f>IF(OR($I951="",$I951="?",$B951=""),"",SUMPRODUCT((Weeks!$A$7:$A$59&lt;=$J951)*(Weeks!$X$5:$AI$5=$I951)*Weeks!$X$7:$AI$59)-SUMIFS($E$7:$E$1006,$I$7:$I$1006,$I951,$B$7:$B$1006,"&lt;="&amp;$B951))</f>
        <v/>
      </c>
      <c r="M951" s="132">
        <f>IF($B951&amp;$C951&amp;$D951&amp;$E951="","",IF($B951="","missing date",IF($C951="","missing worker",IF($I951="?","unknown worker - was the name changed on Workers?",IF($D951="","missing type",IF(N($E951)=0,"missing amount",IF(AND($E951&lt;0,$D951&lt;&gt;"Correction"),"negative amount - use a Correction to undo",IF(OR($B951&lt;Weeks!$A$7,$B951&gt;Weeks!$B$59),"date outside this workbook's year",IF(AND($D951="Advance",N($L951)&lt;0),"Warning: more than earned so far - worker now owes "&amp;TEXT(ROUND(-$L951,0),"#,##0"),"")))))))))</f>
        <v/>
      </c>
      <c r="N951" s="125" t="n"/>
      <c r="O951" s="126" t="n"/>
      <c r="P951" s="126" t="n"/>
      <c r="Q951" s="126" t="n"/>
      <c r="R951" s="126" t="n"/>
      <c r="S951" s="126" t="n"/>
      <c r="T951" s="126" t="n"/>
      <c r="U951" s="126" t="n"/>
      <c r="V951" s="126" t="n"/>
      <c r="W951" s="126" t="n"/>
      <c r="X951" s="126" t="n"/>
      <c r="Y951" s="126" t="n"/>
      <c r="Z951" s="126" t="n"/>
      <c r="AA951" s="126" t="n"/>
      <c r="AB951" s="126" t="n"/>
      <c r="AC951" s="126" t="n"/>
      <c r="AD951" s="126" t="n"/>
      <c r="AE951" s="126" t="n"/>
      <c r="AF951" s="126" t="n"/>
      <c r="AG951" s="126" t="n"/>
      <c r="AH951" s="126" t="n"/>
      <c r="AI951" s="126" t="n"/>
      <c r="AJ951" s="126" t="n"/>
      <c r="AK951" s="126" t="n"/>
      <c r="AL951" s="126" t="n"/>
      <c r="AM951" s="126" t="n"/>
      <c r="AN951" s="126" t="n"/>
    </row>
    <row r="952" ht="21" customFormat="1" customHeight="1" s="127">
      <c r="A952" s="51">
        <f>IF($B952="","",ROW()-6)</f>
        <v/>
      </c>
      <c r="B952" s="268" t="n"/>
      <c r="C952" s="133" t="n"/>
      <c r="D952" s="50" t="n"/>
      <c r="E952" s="265" t="n"/>
      <c r="F952" s="133" t="n"/>
      <c r="G952" s="133" t="n"/>
      <c r="H952" s="50" t="n"/>
      <c r="I952" s="51">
        <f>IF($C952="","",IFERROR(INDEX(WorkerIDs,MATCH($C952,WorkerNames,0)),"?"))</f>
        <v/>
      </c>
      <c r="J952" s="253">
        <f>IF($B952="","",$B952-WEEKDAY($B952,2)+1)</f>
        <v/>
      </c>
      <c r="K952" s="142">
        <f>IF(OR($I952="",$I952="?",$D952&lt;&gt;"Advance",$B952=""),"",$I952&amp;"|"&amp;$J952&amp;"|"&amp;COUNTIFS($I$7:$I952,$I952,$J$7:$J952,$J952,$D$7:$D952,"Advance"))</f>
        <v/>
      </c>
      <c r="L952" s="266">
        <f>IF(OR($I952="",$I952="?",$B952=""),"",SUMPRODUCT((Weeks!$A$7:$A$59&lt;=$J952)*(Weeks!$X$5:$AI$5=$I952)*Weeks!$X$7:$AI$59)-SUMIFS($E$7:$E$1006,$I$7:$I$1006,$I952,$B$7:$B$1006,"&lt;="&amp;$B952))</f>
        <v/>
      </c>
      <c r="M952" s="132">
        <f>IF($B952&amp;$C952&amp;$D952&amp;$E952="","",IF($B952="","missing date",IF($C952="","missing worker",IF($I952="?","unknown worker - was the name changed on Workers?",IF($D952="","missing type",IF(N($E952)=0,"missing amount",IF(AND($E952&lt;0,$D952&lt;&gt;"Correction"),"negative amount - use a Correction to undo",IF(OR($B952&lt;Weeks!$A$7,$B952&gt;Weeks!$B$59),"date outside this workbook's year",IF(AND($D952="Advance",N($L952)&lt;0),"Warning: more than earned so far - worker now owes "&amp;TEXT(ROUND(-$L952,0),"#,##0"),"")))))))))</f>
        <v/>
      </c>
      <c r="N952" s="125" t="n"/>
      <c r="O952" s="126" t="n"/>
      <c r="P952" s="126" t="n"/>
      <c r="Q952" s="126" t="n"/>
      <c r="R952" s="126" t="n"/>
      <c r="S952" s="126" t="n"/>
      <c r="T952" s="126" t="n"/>
      <c r="U952" s="126" t="n"/>
      <c r="V952" s="126" t="n"/>
      <c r="W952" s="126" t="n"/>
      <c r="X952" s="126" t="n"/>
      <c r="Y952" s="126" t="n"/>
      <c r="Z952" s="126" t="n"/>
      <c r="AA952" s="126" t="n"/>
      <c r="AB952" s="126" t="n"/>
      <c r="AC952" s="126" t="n"/>
      <c r="AD952" s="126" t="n"/>
      <c r="AE952" s="126" t="n"/>
      <c r="AF952" s="126" t="n"/>
      <c r="AG952" s="126" t="n"/>
      <c r="AH952" s="126" t="n"/>
      <c r="AI952" s="126" t="n"/>
      <c r="AJ952" s="126" t="n"/>
      <c r="AK952" s="126" t="n"/>
      <c r="AL952" s="126" t="n"/>
      <c r="AM952" s="126" t="n"/>
      <c r="AN952" s="126" t="n"/>
    </row>
    <row r="953" ht="21" customFormat="1" customHeight="1" s="127">
      <c r="A953" s="51">
        <f>IF($B953="","",ROW()-6)</f>
        <v/>
      </c>
      <c r="B953" s="268" t="n"/>
      <c r="C953" s="133" t="n"/>
      <c r="D953" s="50" t="n"/>
      <c r="E953" s="265" t="n"/>
      <c r="F953" s="133" t="n"/>
      <c r="G953" s="133" t="n"/>
      <c r="H953" s="50" t="n"/>
      <c r="I953" s="51">
        <f>IF($C953="","",IFERROR(INDEX(WorkerIDs,MATCH($C953,WorkerNames,0)),"?"))</f>
        <v/>
      </c>
      <c r="J953" s="253">
        <f>IF($B953="","",$B953-WEEKDAY($B953,2)+1)</f>
        <v/>
      </c>
      <c r="K953" s="142">
        <f>IF(OR($I953="",$I953="?",$D953&lt;&gt;"Advance",$B953=""),"",$I953&amp;"|"&amp;$J953&amp;"|"&amp;COUNTIFS($I$7:$I953,$I953,$J$7:$J953,$J953,$D$7:$D953,"Advance"))</f>
        <v/>
      </c>
      <c r="L953" s="266">
        <f>IF(OR($I953="",$I953="?",$B953=""),"",SUMPRODUCT((Weeks!$A$7:$A$59&lt;=$J953)*(Weeks!$X$5:$AI$5=$I953)*Weeks!$X$7:$AI$59)-SUMIFS($E$7:$E$1006,$I$7:$I$1006,$I953,$B$7:$B$1006,"&lt;="&amp;$B953))</f>
        <v/>
      </c>
      <c r="M953" s="132">
        <f>IF($B953&amp;$C953&amp;$D953&amp;$E953="","",IF($B953="","missing date",IF($C953="","missing worker",IF($I953="?","unknown worker - was the name changed on Workers?",IF($D953="","missing type",IF(N($E953)=0,"missing amount",IF(AND($E953&lt;0,$D953&lt;&gt;"Correction"),"negative amount - use a Correction to undo",IF(OR($B953&lt;Weeks!$A$7,$B953&gt;Weeks!$B$59),"date outside this workbook's year",IF(AND($D953="Advance",N($L953)&lt;0),"Warning: more than earned so far - worker now owes "&amp;TEXT(ROUND(-$L953,0),"#,##0"),"")))))))))</f>
        <v/>
      </c>
      <c r="N953" s="125" t="n"/>
      <c r="O953" s="126" t="n"/>
      <c r="P953" s="126" t="n"/>
      <c r="Q953" s="126" t="n"/>
      <c r="R953" s="126" t="n"/>
      <c r="S953" s="126" t="n"/>
      <c r="T953" s="126" t="n"/>
      <c r="U953" s="126" t="n"/>
      <c r="V953" s="126" t="n"/>
      <c r="W953" s="126" t="n"/>
      <c r="X953" s="126" t="n"/>
      <c r="Y953" s="126" t="n"/>
      <c r="Z953" s="126" t="n"/>
      <c r="AA953" s="126" t="n"/>
      <c r="AB953" s="126" t="n"/>
      <c r="AC953" s="126" t="n"/>
      <c r="AD953" s="126" t="n"/>
      <c r="AE953" s="126" t="n"/>
      <c r="AF953" s="126" t="n"/>
      <c r="AG953" s="126" t="n"/>
      <c r="AH953" s="126" t="n"/>
      <c r="AI953" s="126" t="n"/>
      <c r="AJ953" s="126" t="n"/>
      <c r="AK953" s="126" t="n"/>
      <c r="AL953" s="126" t="n"/>
      <c r="AM953" s="126" t="n"/>
      <c r="AN953" s="126" t="n"/>
    </row>
    <row r="954" ht="21" customFormat="1" customHeight="1" s="127">
      <c r="A954" s="51">
        <f>IF($B954="","",ROW()-6)</f>
        <v/>
      </c>
      <c r="B954" s="268" t="n"/>
      <c r="C954" s="133" t="n"/>
      <c r="D954" s="50" t="n"/>
      <c r="E954" s="265" t="n"/>
      <c r="F954" s="133" t="n"/>
      <c r="G954" s="133" t="n"/>
      <c r="H954" s="50" t="n"/>
      <c r="I954" s="51">
        <f>IF($C954="","",IFERROR(INDEX(WorkerIDs,MATCH($C954,WorkerNames,0)),"?"))</f>
        <v/>
      </c>
      <c r="J954" s="253">
        <f>IF($B954="","",$B954-WEEKDAY($B954,2)+1)</f>
        <v/>
      </c>
      <c r="K954" s="142">
        <f>IF(OR($I954="",$I954="?",$D954&lt;&gt;"Advance",$B954=""),"",$I954&amp;"|"&amp;$J954&amp;"|"&amp;COUNTIFS($I$7:$I954,$I954,$J$7:$J954,$J954,$D$7:$D954,"Advance"))</f>
        <v/>
      </c>
      <c r="L954" s="266">
        <f>IF(OR($I954="",$I954="?",$B954=""),"",SUMPRODUCT((Weeks!$A$7:$A$59&lt;=$J954)*(Weeks!$X$5:$AI$5=$I954)*Weeks!$X$7:$AI$59)-SUMIFS($E$7:$E$1006,$I$7:$I$1006,$I954,$B$7:$B$1006,"&lt;="&amp;$B954))</f>
        <v/>
      </c>
      <c r="M954" s="132">
        <f>IF($B954&amp;$C954&amp;$D954&amp;$E954="","",IF($B954="","missing date",IF($C954="","missing worker",IF($I954="?","unknown worker - was the name changed on Workers?",IF($D954="","missing type",IF(N($E954)=0,"missing amount",IF(AND($E954&lt;0,$D954&lt;&gt;"Correction"),"negative amount - use a Correction to undo",IF(OR($B954&lt;Weeks!$A$7,$B954&gt;Weeks!$B$59),"date outside this workbook's year",IF(AND($D954="Advance",N($L954)&lt;0),"Warning: more than earned so far - worker now owes "&amp;TEXT(ROUND(-$L954,0),"#,##0"),"")))))))))</f>
        <v/>
      </c>
      <c r="N954" s="125" t="n"/>
      <c r="O954" s="126" t="n"/>
      <c r="P954" s="126" t="n"/>
      <c r="Q954" s="126" t="n"/>
      <c r="R954" s="126" t="n"/>
      <c r="S954" s="126" t="n"/>
      <c r="T954" s="126" t="n"/>
      <c r="U954" s="126" t="n"/>
      <c r="V954" s="126" t="n"/>
      <c r="W954" s="126" t="n"/>
      <c r="X954" s="126" t="n"/>
      <c r="Y954" s="126" t="n"/>
      <c r="Z954" s="126" t="n"/>
      <c r="AA954" s="126" t="n"/>
      <c r="AB954" s="126" t="n"/>
      <c r="AC954" s="126" t="n"/>
      <c r="AD954" s="126" t="n"/>
      <c r="AE954" s="126" t="n"/>
      <c r="AF954" s="126" t="n"/>
      <c r="AG954" s="126" t="n"/>
      <c r="AH954" s="126" t="n"/>
      <c r="AI954" s="126" t="n"/>
      <c r="AJ954" s="126" t="n"/>
      <c r="AK954" s="126" t="n"/>
      <c r="AL954" s="126" t="n"/>
      <c r="AM954" s="126" t="n"/>
      <c r="AN954" s="126" t="n"/>
    </row>
    <row r="955" ht="21" customFormat="1" customHeight="1" s="127">
      <c r="A955" s="51">
        <f>IF($B955="","",ROW()-6)</f>
        <v/>
      </c>
      <c r="B955" s="268" t="n"/>
      <c r="C955" s="133" t="n"/>
      <c r="D955" s="50" t="n"/>
      <c r="E955" s="265" t="n"/>
      <c r="F955" s="133" t="n"/>
      <c r="G955" s="133" t="n"/>
      <c r="H955" s="50" t="n"/>
      <c r="I955" s="51">
        <f>IF($C955="","",IFERROR(INDEX(WorkerIDs,MATCH($C955,WorkerNames,0)),"?"))</f>
        <v/>
      </c>
      <c r="J955" s="253">
        <f>IF($B955="","",$B955-WEEKDAY($B955,2)+1)</f>
        <v/>
      </c>
      <c r="K955" s="142">
        <f>IF(OR($I955="",$I955="?",$D955&lt;&gt;"Advance",$B955=""),"",$I955&amp;"|"&amp;$J955&amp;"|"&amp;COUNTIFS($I$7:$I955,$I955,$J$7:$J955,$J955,$D$7:$D955,"Advance"))</f>
        <v/>
      </c>
      <c r="L955" s="266">
        <f>IF(OR($I955="",$I955="?",$B955=""),"",SUMPRODUCT((Weeks!$A$7:$A$59&lt;=$J955)*(Weeks!$X$5:$AI$5=$I955)*Weeks!$X$7:$AI$59)-SUMIFS($E$7:$E$1006,$I$7:$I$1006,$I955,$B$7:$B$1006,"&lt;="&amp;$B955))</f>
        <v/>
      </c>
      <c r="M955" s="132">
        <f>IF($B955&amp;$C955&amp;$D955&amp;$E955="","",IF($B955="","missing date",IF($C955="","missing worker",IF($I955="?","unknown worker - was the name changed on Workers?",IF($D955="","missing type",IF(N($E955)=0,"missing amount",IF(AND($E955&lt;0,$D955&lt;&gt;"Correction"),"negative amount - use a Correction to undo",IF(OR($B955&lt;Weeks!$A$7,$B955&gt;Weeks!$B$59),"date outside this workbook's year",IF(AND($D955="Advance",N($L955)&lt;0),"Warning: more than earned so far - worker now owes "&amp;TEXT(ROUND(-$L955,0),"#,##0"),"")))))))))</f>
        <v/>
      </c>
      <c r="N955" s="125" t="n"/>
      <c r="O955" s="126" t="n"/>
      <c r="P955" s="126" t="n"/>
      <c r="Q955" s="126" t="n"/>
      <c r="R955" s="126" t="n"/>
      <c r="S955" s="126" t="n"/>
      <c r="T955" s="126" t="n"/>
      <c r="U955" s="126" t="n"/>
      <c r="V955" s="126" t="n"/>
      <c r="W955" s="126" t="n"/>
      <c r="X955" s="126" t="n"/>
      <c r="Y955" s="126" t="n"/>
      <c r="Z955" s="126" t="n"/>
      <c r="AA955" s="126" t="n"/>
      <c r="AB955" s="126" t="n"/>
      <c r="AC955" s="126" t="n"/>
      <c r="AD955" s="126" t="n"/>
      <c r="AE955" s="126" t="n"/>
      <c r="AF955" s="126" t="n"/>
      <c r="AG955" s="126" t="n"/>
      <c r="AH955" s="126" t="n"/>
      <c r="AI955" s="126" t="n"/>
      <c r="AJ955" s="126" t="n"/>
      <c r="AK955" s="126" t="n"/>
      <c r="AL955" s="126" t="n"/>
      <c r="AM955" s="126" t="n"/>
      <c r="AN955" s="126" t="n"/>
    </row>
    <row r="956" ht="21" customFormat="1" customHeight="1" s="127">
      <c r="A956" s="51">
        <f>IF($B956="","",ROW()-6)</f>
        <v/>
      </c>
      <c r="B956" s="268" t="n"/>
      <c r="C956" s="133" t="n"/>
      <c r="D956" s="50" t="n"/>
      <c r="E956" s="265" t="n"/>
      <c r="F956" s="133" t="n"/>
      <c r="G956" s="133" t="n"/>
      <c r="H956" s="50" t="n"/>
      <c r="I956" s="51">
        <f>IF($C956="","",IFERROR(INDEX(WorkerIDs,MATCH($C956,WorkerNames,0)),"?"))</f>
        <v/>
      </c>
      <c r="J956" s="253">
        <f>IF($B956="","",$B956-WEEKDAY($B956,2)+1)</f>
        <v/>
      </c>
      <c r="K956" s="142">
        <f>IF(OR($I956="",$I956="?",$D956&lt;&gt;"Advance",$B956=""),"",$I956&amp;"|"&amp;$J956&amp;"|"&amp;COUNTIFS($I$7:$I956,$I956,$J$7:$J956,$J956,$D$7:$D956,"Advance"))</f>
        <v/>
      </c>
      <c r="L956" s="266">
        <f>IF(OR($I956="",$I956="?",$B956=""),"",SUMPRODUCT((Weeks!$A$7:$A$59&lt;=$J956)*(Weeks!$X$5:$AI$5=$I956)*Weeks!$X$7:$AI$59)-SUMIFS($E$7:$E$1006,$I$7:$I$1006,$I956,$B$7:$B$1006,"&lt;="&amp;$B956))</f>
        <v/>
      </c>
      <c r="M956" s="132">
        <f>IF($B956&amp;$C956&amp;$D956&amp;$E956="","",IF($B956="","missing date",IF($C956="","missing worker",IF($I956="?","unknown worker - was the name changed on Workers?",IF($D956="","missing type",IF(N($E956)=0,"missing amount",IF(AND($E956&lt;0,$D956&lt;&gt;"Correction"),"negative amount - use a Correction to undo",IF(OR($B956&lt;Weeks!$A$7,$B956&gt;Weeks!$B$59),"date outside this workbook's year",IF(AND($D956="Advance",N($L956)&lt;0),"Warning: more than earned so far - worker now owes "&amp;TEXT(ROUND(-$L956,0),"#,##0"),"")))))))))</f>
        <v/>
      </c>
      <c r="N956" s="125" t="n"/>
      <c r="O956" s="126" t="n"/>
      <c r="P956" s="126" t="n"/>
      <c r="Q956" s="126" t="n"/>
      <c r="R956" s="126" t="n"/>
      <c r="S956" s="126" t="n"/>
      <c r="T956" s="126" t="n"/>
      <c r="U956" s="126" t="n"/>
      <c r="V956" s="126" t="n"/>
      <c r="W956" s="126" t="n"/>
      <c r="X956" s="126" t="n"/>
      <c r="Y956" s="126" t="n"/>
      <c r="Z956" s="126" t="n"/>
      <c r="AA956" s="126" t="n"/>
      <c r="AB956" s="126" t="n"/>
      <c r="AC956" s="126" t="n"/>
      <c r="AD956" s="126" t="n"/>
      <c r="AE956" s="126" t="n"/>
      <c r="AF956" s="126" t="n"/>
      <c r="AG956" s="126" t="n"/>
      <c r="AH956" s="126" t="n"/>
      <c r="AI956" s="126" t="n"/>
      <c r="AJ956" s="126" t="n"/>
      <c r="AK956" s="126" t="n"/>
      <c r="AL956" s="126" t="n"/>
      <c r="AM956" s="126" t="n"/>
      <c r="AN956" s="126" t="n"/>
    </row>
    <row r="957" ht="21" customFormat="1" customHeight="1" s="127">
      <c r="A957" s="51">
        <f>IF($B957="","",ROW()-6)</f>
        <v/>
      </c>
      <c r="B957" s="268" t="n"/>
      <c r="C957" s="133" t="n"/>
      <c r="D957" s="50" t="n"/>
      <c r="E957" s="265" t="n"/>
      <c r="F957" s="133" t="n"/>
      <c r="G957" s="133" t="n"/>
      <c r="H957" s="50" t="n"/>
      <c r="I957" s="51">
        <f>IF($C957="","",IFERROR(INDEX(WorkerIDs,MATCH($C957,WorkerNames,0)),"?"))</f>
        <v/>
      </c>
      <c r="J957" s="253">
        <f>IF($B957="","",$B957-WEEKDAY($B957,2)+1)</f>
        <v/>
      </c>
      <c r="K957" s="142">
        <f>IF(OR($I957="",$I957="?",$D957&lt;&gt;"Advance",$B957=""),"",$I957&amp;"|"&amp;$J957&amp;"|"&amp;COUNTIFS($I$7:$I957,$I957,$J$7:$J957,$J957,$D$7:$D957,"Advance"))</f>
        <v/>
      </c>
      <c r="L957" s="266">
        <f>IF(OR($I957="",$I957="?",$B957=""),"",SUMPRODUCT((Weeks!$A$7:$A$59&lt;=$J957)*(Weeks!$X$5:$AI$5=$I957)*Weeks!$X$7:$AI$59)-SUMIFS($E$7:$E$1006,$I$7:$I$1006,$I957,$B$7:$B$1006,"&lt;="&amp;$B957))</f>
        <v/>
      </c>
      <c r="M957" s="132">
        <f>IF($B957&amp;$C957&amp;$D957&amp;$E957="","",IF($B957="","missing date",IF($C957="","missing worker",IF($I957="?","unknown worker - was the name changed on Workers?",IF($D957="","missing type",IF(N($E957)=0,"missing amount",IF(AND($E957&lt;0,$D957&lt;&gt;"Correction"),"negative amount - use a Correction to undo",IF(OR($B957&lt;Weeks!$A$7,$B957&gt;Weeks!$B$59),"date outside this workbook's year",IF(AND($D957="Advance",N($L957)&lt;0),"Warning: more than earned so far - worker now owes "&amp;TEXT(ROUND(-$L957,0),"#,##0"),"")))))))))</f>
        <v/>
      </c>
      <c r="N957" s="125" t="n"/>
      <c r="O957" s="126" t="n"/>
      <c r="P957" s="126" t="n"/>
      <c r="Q957" s="126" t="n"/>
      <c r="R957" s="126" t="n"/>
      <c r="S957" s="126" t="n"/>
      <c r="T957" s="126" t="n"/>
      <c r="U957" s="126" t="n"/>
      <c r="V957" s="126" t="n"/>
      <c r="W957" s="126" t="n"/>
      <c r="X957" s="126" t="n"/>
      <c r="Y957" s="126" t="n"/>
      <c r="Z957" s="126" t="n"/>
      <c r="AA957" s="126" t="n"/>
      <c r="AB957" s="126" t="n"/>
      <c r="AC957" s="126" t="n"/>
      <c r="AD957" s="126" t="n"/>
      <c r="AE957" s="126" t="n"/>
      <c r="AF957" s="126" t="n"/>
      <c r="AG957" s="126" t="n"/>
      <c r="AH957" s="126" t="n"/>
      <c r="AI957" s="126" t="n"/>
      <c r="AJ957" s="126" t="n"/>
      <c r="AK957" s="126" t="n"/>
      <c r="AL957" s="126" t="n"/>
      <c r="AM957" s="126" t="n"/>
      <c r="AN957" s="126" t="n"/>
    </row>
    <row r="958" ht="21" customFormat="1" customHeight="1" s="127">
      <c r="A958" s="51">
        <f>IF($B958="","",ROW()-6)</f>
        <v/>
      </c>
      <c r="B958" s="268" t="n"/>
      <c r="C958" s="133" t="n"/>
      <c r="D958" s="50" t="n"/>
      <c r="E958" s="265" t="n"/>
      <c r="F958" s="133" t="n"/>
      <c r="G958" s="133" t="n"/>
      <c r="H958" s="50" t="n"/>
      <c r="I958" s="51">
        <f>IF($C958="","",IFERROR(INDEX(WorkerIDs,MATCH($C958,WorkerNames,0)),"?"))</f>
        <v/>
      </c>
      <c r="J958" s="253">
        <f>IF($B958="","",$B958-WEEKDAY($B958,2)+1)</f>
        <v/>
      </c>
      <c r="K958" s="142">
        <f>IF(OR($I958="",$I958="?",$D958&lt;&gt;"Advance",$B958=""),"",$I958&amp;"|"&amp;$J958&amp;"|"&amp;COUNTIFS($I$7:$I958,$I958,$J$7:$J958,$J958,$D$7:$D958,"Advance"))</f>
        <v/>
      </c>
      <c r="L958" s="266">
        <f>IF(OR($I958="",$I958="?",$B958=""),"",SUMPRODUCT((Weeks!$A$7:$A$59&lt;=$J958)*(Weeks!$X$5:$AI$5=$I958)*Weeks!$X$7:$AI$59)-SUMIFS($E$7:$E$1006,$I$7:$I$1006,$I958,$B$7:$B$1006,"&lt;="&amp;$B958))</f>
        <v/>
      </c>
      <c r="M958" s="132">
        <f>IF($B958&amp;$C958&amp;$D958&amp;$E958="","",IF($B958="","missing date",IF($C958="","missing worker",IF($I958="?","unknown worker - was the name changed on Workers?",IF($D958="","missing type",IF(N($E958)=0,"missing amount",IF(AND($E958&lt;0,$D958&lt;&gt;"Correction"),"negative amount - use a Correction to undo",IF(OR($B958&lt;Weeks!$A$7,$B958&gt;Weeks!$B$59),"date outside this workbook's year",IF(AND($D958="Advance",N($L958)&lt;0),"Warning: more than earned so far - worker now owes "&amp;TEXT(ROUND(-$L958,0),"#,##0"),"")))))))))</f>
        <v/>
      </c>
      <c r="N958" s="125" t="n"/>
      <c r="O958" s="126" t="n"/>
      <c r="P958" s="126" t="n"/>
      <c r="Q958" s="126" t="n"/>
      <c r="R958" s="126" t="n"/>
      <c r="S958" s="126" t="n"/>
      <c r="T958" s="126" t="n"/>
      <c r="U958" s="126" t="n"/>
      <c r="V958" s="126" t="n"/>
      <c r="W958" s="126" t="n"/>
      <c r="X958" s="126" t="n"/>
      <c r="Y958" s="126" t="n"/>
      <c r="Z958" s="126" t="n"/>
      <c r="AA958" s="126" t="n"/>
      <c r="AB958" s="126" t="n"/>
      <c r="AC958" s="126" t="n"/>
      <c r="AD958" s="126" t="n"/>
      <c r="AE958" s="126" t="n"/>
      <c r="AF958" s="126" t="n"/>
      <c r="AG958" s="126" t="n"/>
      <c r="AH958" s="126" t="n"/>
      <c r="AI958" s="126" t="n"/>
      <c r="AJ958" s="126" t="n"/>
      <c r="AK958" s="126" t="n"/>
      <c r="AL958" s="126" t="n"/>
      <c r="AM958" s="126" t="n"/>
      <c r="AN958" s="126" t="n"/>
    </row>
    <row r="959" ht="21" customFormat="1" customHeight="1" s="127">
      <c r="A959" s="51">
        <f>IF($B959="","",ROW()-6)</f>
        <v/>
      </c>
      <c r="B959" s="268" t="n"/>
      <c r="C959" s="133" t="n"/>
      <c r="D959" s="50" t="n"/>
      <c r="E959" s="265" t="n"/>
      <c r="F959" s="133" t="n"/>
      <c r="G959" s="133" t="n"/>
      <c r="H959" s="50" t="n"/>
      <c r="I959" s="51">
        <f>IF($C959="","",IFERROR(INDEX(WorkerIDs,MATCH($C959,WorkerNames,0)),"?"))</f>
        <v/>
      </c>
      <c r="J959" s="253">
        <f>IF($B959="","",$B959-WEEKDAY($B959,2)+1)</f>
        <v/>
      </c>
      <c r="K959" s="142">
        <f>IF(OR($I959="",$I959="?",$D959&lt;&gt;"Advance",$B959=""),"",$I959&amp;"|"&amp;$J959&amp;"|"&amp;COUNTIFS($I$7:$I959,$I959,$J$7:$J959,$J959,$D$7:$D959,"Advance"))</f>
        <v/>
      </c>
      <c r="L959" s="266">
        <f>IF(OR($I959="",$I959="?",$B959=""),"",SUMPRODUCT((Weeks!$A$7:$A$59&lt;=$J959)*(Weeks!$X$5:$AI$5=$I959)*Weeks!$X$7:$AI$59)-SUMIFS($E$7:$E$1006,$I$7:$I$1006,$I959,$B$7:$B$1006,"&lt;="&amp;$B959))</f>
        <v/>
      </c>
      <c r="M959" s="132">
        <f>IF($B959&amp;$C959&amp;$D959&amp;$E959="","",IF($B959="","missing date",IF($C959="","missing worker",IF($I959="?","unknown worker - was the name changed on Workers?",IF($D959="","missing type",IF(N($E959)=0,"missing amount",IF(AND($E959&lt;0,$D959&lt;&gt;"Correction"),"negative amount - use a Correction to undo",IF(OR($B959&lt;Weeks!$A$7,$B959&gt;Weeks!$B$59),"date outside this workbook's year",IF(AND($D959="Advance",N($L959)&lt;0),"Warning: more than earned so far - worker now owes "&amp;TEXT(ROUND(-$L959,0),"#,##0"),"")))))))))</f>
        <v/>
      </c>
      <c r="N959" s="125" t="n"/>
      <c r="O959" s="126" t="n"/>
      <c r="P959" s="126" t="n"/>
      <c r="Q959" s="126" t="n"/>
      <c r="R959" s="126" t="n"/>
      <c r="S959" s="126" t="n"/>
      <c r="T959" s="126" t="n"/>
      <c r="U959" s="126" t="n"/>
      <c r="V959" s="126" t="n"/>
      <c r="W959" s="126" t="n"/>
      <c r="X959" s="126" t="n"/>
      <c r="Y959" s="126" t="n"/>
      <c r="Z959" s="126" t="n"/>
      <c r="AA959" s="126" t="n"/>
      <c r="AB959" s="126" t="n"/>
      <c r="AC959" s="126" t="n"/>
      <c r="AD959" s="126" t="n"/>
      <c r="AE959" s="126" t="n"/>
      <c r="AF959" s="126" t="n"/>
      <c r="AG959" s="126" t="n"/>
      <c r="AH959" s="126" t="n"/>
      <c r="AI959" s="126" t="n"/>
      <c r="AJ959" s="126" t="n"/>
      <c r="AK959" s="126" t="n"/>
      <c r="AL959" s="126" t="n"/>
      <c r="AM959" s="126" t="n"/>
      <c r="AN959" s="126" t="n"/>
    </row>
    <row r="960" ht="21" customFormat="1" customHeight="1" s="127">
      <c r="A960" s="51">
        <f>IF($B960="","",ROW()-6)</f>
        <v/>
      </c>
      <c r="B960" s="268" t="n"/>
      <c r="C960" s="133" t="n"/>
      <c r="D960" s="50" t="n"/>
      <c r="E960" s="265" t="n"/>
      <c r="F960" s="133" t="n"/>
      <c r="G960" s="133" t="n"/>
      <c r="H960" s="50" t="n"/>
      <c r="I960" s="51">
        <f>IF($C960="","",IFERROR(INDEX(WorkerIDs,MATCH($C960,WorkerNames,0)),"?"))</f>
        <v/>
      </c>
      <c r="J960" s="253">
        <f>IF($B960="","",$B960-WEEKDAY($B960,2)+1)</f>
        <v/>
      </c>
      <c r="K960" s="142">
        <f>IF(OR($I960="",$I960="?",$D960&lt;&gt;"Advance",$B960=""),"",$I960&amp;"|"&amp;$J960&amp;"|"&amp;COUNTIFS($I$7:$I960,$I960,$J$7:$J960,$J960,$D$7:$D960,"Advance"))</f>
        <v/>
      </c>
      <c r="L960" s="266">
        <f>IF(OR($I960="",$I960="?",$B960=""),"",SUMPRODUCT((Weeks!$A$7:$A$59&lt;=$J960)*(Weeks!$X$5:$AI$5=$I960)*Weeks!$X$7:$AI$59)-SUMIFS($E$7:$E$1006,$I$7:$I$1006,$I960,$B$7:$B$1006,"&lt;="&amp;$B960))</f>
        <v/>
      </c>
      <c r="M960" s="132">
        <f>IF($B960&amp;$C960&amp;$D960&amp;$E960="","",IF($B960="","missing date",IF($C960="","missing worker",IF($I960="?","unknown worker - was the name changed on Workers?",IF($D960="","missing type",IF(N($E960)=0,"missing amount",IF(AND($E960&lt;0,$D960&lt;&gt;"Correction"),"negative amount - use a Correction to undo",IF(OR($B960&lt;Weeks!$A$7,$B960&gt;Weeks!$B$59),"date outside this workbook's year",IF(AND($D960="Advance",N($L960)&lt;0),"Warning: more than earned so far - worker now owes "&amp;TEXT(ROUND(-$L960,0),"#,##0"),"")))))))))</f>
        <v/>
      </c>
      <c r="N960" s="125" t="n"/>
      <c r="O960" s="126" t="n"/>
      <c r="P960" s="126" t="n"/>
      <c r="Q960" s="126" t="n"/>
      <c r="R960" s="126" t="n"/>
      <c r="S960" s="126" t="n"/>
      <c r="T960" s="126" t="n"/>
      <c r="U960" s="126" t="n"/>
      <c r="V960" s="126" t="n"/>
      <c r="W960" s="126" t="n"/>
      <c r="X960" s="126" t="n"/>
      <c r="Y960" s="126" t="n"/>
      <c r="Z960" s="126" t="n"/>
      <c r="AA960" s="126" t="n"/>
      <c r="AB960" s="126" t="n"/>
      <c r="AC960" s="126" t="n"/>
      <c r="AD960" s="126" t="n"/>
      <c r="AE960" s="126" t="n"/>
      <c r="AF960" s="126" t="n"/>
      <c r="AG960" s="126" t="n"/>
      <c r="AH960" s="126" t="n"/>
      <c r="AI960" s="126" t="n"/>
      <c r="AJ960" s="126" t="n"/>
      <c r="AK960" s="126" t="n"/>
      <c r="AL960" s="126" t="n"/>
      <c r="AM960" s="126" t="n"/>
      <c r="AN960" s="126" t="n"/>
    </row>
    <row r="961" ht="21" customFormat="1" customHeight="1" s="127">
      <c r="A961" s="51">
        <f>IF($B961="","",ROW()-6)</f>
        <v/>
      </c>
      <c r="B961" s="268" t="n"/>
      <c r="C961" s="133" t="n"/>
      <c r="D961" s="50" t="n"/>
      <c r="E961" s="265" t="n"/>
      <c r="F961" s="133" t="n"/>
      <c r="G961" s="133" t="n"/>
      <c r="H961" s="50" t="n"/>
      <c r="I961" s="51">
        <f>IF($C961="","",IFERROR(INDEX(WorkerIDs,MATCH($C961,WorkerNames,0)),"?"))</f>
        <v/>
      </c>
      <c r="J961" s="253">
        <f>IF($B961="","",$B961-WEEKDAY($B961,2)+1)</f>
        <v/>
      </c>
      <c r="K961" s="142">
        <f>IF(OR($I961="",$I961="?",$D961&lt;&gt;"Advance",$B961=""),"",$I961&amp;"|"&amp;$J961&amp;"|"&amp;COUNTIFS($I$7:$I961,$I961,$J$7:$J961,$J961,$D$7:$D961,"Advance"))</f>
        <v/>
      </c>
      <c r="L961" s="266">
        <f>IF(OR($I961="",$I961="?",$B961=""),"",SUMPRODUCT((Weeks!$A$7:$A$59&lt;=$J961)*(Weeks!$X$5:$AI$5=$I961)*Weeks!$X$7:$AI$59)-SUMIFS($E$7:$E$1006,$I$7:$I$1006,$I961,$B$7:$B$1006,"&lt;="&amp;$B961))</f>
        <v/>
      </c>
      <c r="M961" s="132">
        <f>IF($B961&amp;$C961&amp;$D961&amp;$E961="","",IF($B961="","missing date",IF($C961="","missing worker",IF($I961="?","unknown worker - was the name changed on Workers?",IF($D961="","missing type",IF(N($E961)=0,"missing amount",IF(AND($E961&lt;0,$D961&lt;&gt;"Correction"),"negative amount - use a Correction to undo",IF(OR($B961&lt;Weeks!$A$7,$B961&gt;Weeks!$B$59),"date outside this workbook's year",IF(AND($D961="Advance",N($L961)&lt;0),"Warning: more than earned so far - worker now owes "&amp;TEXT(ROUND(-$L961,0),"#,##0"),"")))))))))</f>
        <v/>
      </c>
      <c r="N961" s="125" t="n"/>
      <c r="O961" s="126" t="n"/>
      <c r="P961" s="126" t="n"/>
      <c r="Q961" s="126" t="n"/>
      <c r="R961" s="126" t="n"/>
      <c r="S961" s="126" t="n"/>
      <c r="T961" s="126" t="n"/>
      <c r="U961" s="126" t="n"/>
      <c r="V961" s="126" t="n"/>
      <c r="W961" s="126" t="n"/>
      <c r="X961" s="126" t="n"/>
      <c r="Y961" s="126" t="n"/>
      <c r="Z961" s="126" t="n"/>
      <c r="AA961" s="126" t="n"/>
      <c r="AB961" s="126" t="n"/>
      <c r="AC961" s="126" t="n"/>
      <c r="AD961" s="126" t="n"/>
      <c r="AE961" s="126" t="n"/>
      <c r="AF961" s="126" t="n"/>
      <c r="AG961" s="126" t="n"/>
      <c r="AH961" s="126" t="n"/>
      <c r="AI961" s="126" t="n"/>
      <c r="AJ961" s="126" t="n"/>
      <c r="AK961" s="126" t="n"/>
      <c r="AL961" s="126" t="n"/>
      <c r="AM961" s="126" t="n"/>
      <c r="AN961" s="126" t="n"/>
    </row>
    <row r="962" ht="21" customFormat="1" customHeight="1" s="127">
      <c r="A962" s="51">
        <f>IF($B962="","",ROW()-6)</f>
        <v/>
      </c>
      <c r="B962" s="268" t="n"/>
      <c r="C962" s="133" t="n"/>
      <c r="D962" s="50" t="n"/>
      <c r="E962" s="265" t="n"/>
      <c r="F962" s="133" t="n"/>
      <c r="G962" s="133" t="n"/>
      <c r="H962" s="50" t="n"/>
      <c r="I962" s="51">
        <f>IF($C962="","",IFERROR(INDEX(WorkerIDs,MATCH($C962,WorkerNames,0)),"?"))</f>
        <v/>
      </c>
      <c r="J962" s="253">
        <f>IF($B962="","",$B962-WEEKDAY($B962,2)+1)</f>
        <v/>
      </c>
      <c r="K962" s="142">
        <f>IF(OR($I962="",$I962="?",$D962&lt;&gt;"Advance",$B962=""),"",$I962&amp;"|"&amp;$J962&amp;"|"&amp;COUNTIFS($I$7:$I962,$I962,$J$7:$J962,$J962,$D$7:$D962,"Advance"))</f>
        <v/>
      </c>
      <c r="L962" s="266">
        <f>IF(OR($I962="",$I962="?",$B962=""),"",SUMPRODUCT((Weeks!$A$7:$A$59&lt;=$J962)*(Weeks!$X$5:$AI$5=$I962)*Weeks!$X$7:$AI$59)-SUMIFS($E$7:$E$1006,$I$7:$I$1006,$I962,$B$7:$B$1006,"&lt;="&amp;$B962))</f>
        <v/>
      </c>
      <c r="M962" s="132">
        <f>IF($B962&amp;$C962&amp;$D962&amp;$E962="","",IF($B962="","missing date",IF($C962="","missing worker",IF($I962="?","unknown worker - was the name changed on Workers?",IF($D962="","missing type",IF(N($E962)=0,"missing amount",IF(AND($E962&lt;0,$D962&lt;&gt;"Correction"),"negative amount - use a Correction to undo",IF(OR($B962&lt;Weeks!$A$7,$B962&gt;Weeks!$B$59),"date outside this workbook's year",IF(AND($D962="Advance",N($L962)&lt;0),"Warning: more than earned so far - worker now owes "&amp;TEXT(ROUND(-$L962,0),"#,##0"),"")))))))))</f>
        <v/>
      </c>
      <c r="N962" s="125" t="n"/>
      <c r="O962" s="126" t="n"/>
      <c r="P962" s="126" t="n"/>
      <c r="Q962" s="126" t="n"/>
      <c r="R962" s="126" t="n"/>
      <c r="S962" s="126" t="n"/>
      <c r="T962" s="126" t="n"/>
      <c r="U962" s="126" t="n"/>
      <c r="V962" s="126" t="n"/>
      <c r="W962" s="126" t="n"/>
      <c r="X962" s="126" t="n"/>
      <c r="Y962" s="126" t="n"/>
      <c r="Z962" s="126" t="n"/>
      <c r="AA962" s="126" t="n"/>
      <c r="AB962" s="126" t="n"/>
      <c r="AC962" s="126" t="n"/>
      <c r="AD962" s="126" t="n"/>
      <c r="AE962" s="126" t="n"/>
      <c r="AF962" s="126" t="n"/>
      <c r="AG962" s="126" t="n"/>
      <c r="AH962" s="126" t="n"/>
      <c r="AI962" s="126" t="n"/>
      <c r="AJ962" s="126" t="n"/>
      <c r="AK962" s="126" t="n"/>
      <c r="AL962" s="126" t="n"/>
      <c r="AM962" s="126" t="n"/>
      <c r="AN962" s="126" t="n"/>
    </row>
    <row r="963" ht="21" customFormat="1" customHeight="1" s="127">
      <c r="A963" s="51">
        <f>IF($B963="","",ROW()-6)</f>
        <v/>
      </c>
      <c r="B963" s="268" t="n"/>
      <c r="C963" s="133" t="n"/>
      <c r="D963" s="50" t="n"/>
      <c r="E963" s="265" t="n"/>
      <c r="F963" s="133" t="n"/>
      <c r="G963" s="133" t="n"/>
      <c r="H963" s="50" t="n"/>
      <c r="I963" s="51">
        <f>IF($C963="","",IFERROR(INDEX(WorkerIDs,MATCH($C963,WorkerNames,0)),"?"))</f>
        <v/>
      </c>
      <c r="J963" s="253">
        <f>IF($B963="","",$B963-WEEKDAY($B963,2)+1)</f>
        <v/>
      </c>
      <c r="K963" s="142">
        <f>IF(OR($I963="",$I963="?",$D963&lt;&gt;"Advance",$B963=""),"",$I963&amp;"|"&amp;$J963&amp;"|"&amp;COUNTIFS($I$7:$I963,$I963,$J$7:$J963,$J963,$D$7:$D963,"Advance"))</f>
        <v/>
      </c>
      <c r="L963" s="266">
        <f>IF(OR($I963="",$I963="?",$B963=""),"",SUMPRODUCT((Weeks!$A$7:$A$59&lt;=$J963)*(Weeks!$X$5:$AI$5=$I963)*Weeks!$X$7:$AI$59)-SUMIFS($E$7:$E$1006,$I$7:$I$1006,$I963,$B$7:$B$1006,"&lt;="&amp;$B963))</f>
        <v/>
      </c>
      <c r="M963" s="132">
        <f>IF($B963&amp;$C963&amp;$D963&amp;$E963="","",IF($B963="","missing date",IF($C963="","missing worker",IF($I963="?","unknown worker - was the name changed on Workers?",IF($D963="","missing type",IF(N($E963)=0,"missing amount",IF(AND($E963&lt;0,$D963&lt;&gt;"Correction"),"negative amount - use a Correction to undo",IF(OR($B963&lt;Weeks!$A$7,$B963&gt;Weeks!$B$59),"date outside this workbook's year",IF(AND($D963="Advance",N($L963)&lt;0),"Warning: more than earned so far - worker now owes "&amp;TEXT(ROUND(-$L963,0),"#,##0"),"")))))))))</f>
        <v/>
      </c>
      <c r="N963" s="125" t="n"/>
      <c r="O963" s="126" t="n"/>
      <c r="P963" s="126" t="n"/>
      <c r="Q963" s="126" t="n"/>
      <c r="R963" s="126" t="n"/>
      <c r="S963" s="126" t="n"/>
      <c r="T963" s="126" t="n"/>
      <c r="U963" s="126" t="n"/>
      <c r="V963" s="126" t="n"/>
      <c r="W963" s="126" t="n"/>
      <c r="X963" s="126" t="n"/>
      <c r="Y963" s="126" t="n"/>
      <c r="Z963" s="126" t="n"/>
      <c r="AA963" s="126" t="n"/>
      <c r="AB963" s="126" t="n"/>
      <c r="AC963" s="126" t="n"/>
      <c r="AD963" s="126" t="n"/>
      <c r="AE963" s="126" t="n"/>
      <c r="AF963" s="126" t="n"/>
      <c r="AG963" s="126" t="n"/>
      <c r="AH963" s="126" t="n"/>
      <c r="AI963" s="126" t="n"/>
      <c r="AJ963" s="126" t="n"/>
      <c r="AK963" s="126" t="n"/>
      <c r="AL963" s="126" t="n"/>
      <c r="AM963" s="126" t="n"/>
      <c r="AN963" s="126" t="n"/>
    </row>
    <row r="964" ht="21" customFormat="1" customHeight="1" s="127">
      <c r="A964" s="51">
        <f>IF($B964="","",ROW()-6)</f>
        <v/>
      </c>
      <c r="B964" s="268" t="n"/>
      <c r="C964" s="133" t="n"/>
      <c r="D964" s="50" t="n"/>
      <c r="E964" s="265" t="n"/>
      <c r="F964" s="133" t="n"/>
      <c r="G964" s="133" t="n"/>
      <c r="H964" s="50" t="n"/>
      <c r="I964" s="51">
        <f>IF($C964="","",IFERROR(INDEX(WorkerIDs,MATCH($C964,WorkerNames,0)),"?"))</f>
        <v/>
      </c>
      <c r="J964" s="253">
        <f>IF($B964="","",$B964-WEEKDAY($B964,2)+1)</f>
        <v/>
      </c>
      <c r="K964" s="142">
        <f>IF(OR($I964="",$I964="?",$D964&lt;&gt;"Advance",$B964=""),"",$I964&amp;"|"&amp;$J964&amp;"|"&amp;COUNTIFS($I$7:$I964,$I964,$J$7:$J964,$J964,$D$7:$D964,"Advance"))</f>
        <v/>
      </c>
      <c r="L964" s="266">
        <f>IF(OR($I964="",$I964="?",$B964=""),"",SUMPRODUCT((Weeks!$A$7:$A$59&lt;=$J964)*(Weeks!$X$5:$AI$5=$I964)*Weeks!$X$7:$AI$59)-SUMIFS($E$7:$E$1006,$I$7:$I$1006,$I964,$B$7:$B$1006,"&lt;="&amp;$B964))</f>
        <v/>
      </c>
      <c r="M964" s="132">
        <f>IF($B964&amp;$C964&amp;$D964&amp;$E964="","",IF($B964="","missing date",IF($C964="","missing worker",IF($I964="?","unknown worker - was the name changed on Workers?",IF($D964="","missing type",IF(N($E964)=0,"missing amount",IF(AND($E964&lt;0,$D964&lt;&gt;"Correction"),"negative amount - use a Correction to undo",IF(OR($B964&lt;Weeks!$A$7,$B964&gt;Weeks!$B$59),"date outside this workbook's year",IF(AND($D964="Advance",N($L964)&lt;0),"Warning: more than earned so far - worker now owes "&amp;TEXT(ROUND(-$L964,0),"#,##0"),"")))))))))</f>
        <v/>
      </c>
      <c r="N964" s="125" t="n"/>
      <c r="O964" s="126" t="n"/>
      <c r="P964" s="126" t="n"/>
      <c r="Q964" s="126" t="n"/>
      <c r="R964" s="126" t="n"/>
      <c r="S964" s="126" t="n"/>
      <c r="T964" s="126" t="n"/>
      <c r="U964" s="126" t="n"/>
      <c r="V964" s="126" t="n"/>
      <c r="W964" s="126" t="n"/>
      <c r="X964" s="126" t="n"/>
      <c r="Y964" s="126" t="n"/>
      <c r="Z964" s="126" t="n"/>
      <c r="AA964" s="126" t="n"/>
      <c r="AB964" s="126" t="n"/>
      <c r="AC964" s="126" t="n"/>
      <c r="AD964" s="126" t="n"/>
      <c r="AE964" s="126" t="n"/>
      <c r="AF964" s="126" t="n"/>
      <c r="AG964" s="126" t="n"/>
      <c r="AH964" s="126" t="n"/>
      <c r="AI964" s="126" t="n"/>
      <c r="AJ964" s="126" t="n"/>
      <c r="AK964" s="126" t="n"/>
      <c r="AL964" s="126" t="n"/>
      <c r="AM964" s="126" t="n"/>
      <c r="AN964" s="126" t="n"/>
    </row>
    <row r="965" ht="21" customFormat="1" customHeight="1" s="127">
      <c r="A965" s="51">
        <f>IF($B965="","",ROW()-6)</f>
        <v/>
      </c>
      <c r="B965" s="268" t="n"/>
      <c r="C965" s="133" t="n"/>
      <c r="D965" s="50" t="n"/>
      <c r="E965" s="265" t="n"/>
      <c r="F965" s="133" t="n"/>
      <c r="G965" s="133" t="n"/>
      <c r="H965" s="50" t="n"/>
      <c r="I965" s="51">
        <f>IF($C965="","",IFERROR(INDEX(WorkerIDs,MATCH($C965,WorkerNames,0)),"?"))</f>
        <v/>
      </c>
      <c r="J965" s="253">
        <f>IF($B965="","",$B965-WEEKDAY($B965,2)+1)</f>
        <v/>
      </c>
      <c r="K965" s="142">
        <f>IF(OR($I965="",$I965="?",$D965&lt;&gt;"Advance",$B965=""),"",$I965&amp;"|"&amp;$J965&amp;"|"&amp;COUNTIFS($I$7:$I965,$I965,$J$7:$J965,$J965,$D$7:$D965,"Advance"))</f>
        <v/>
      </c>
      <c r="L965" s="266">
        <f>IF(OR($I965="",$I965="?",$B965=""),"",SUMPRODUCT((Weeks!$A$7:$A$59&lt;=$J965)*(Weeks!$X$5:$AI$5=$I965)*Weeks!$X$7:$AI$59)-SUMIFS($E$7:$E$1006,$I$7:$I$1006,$I965,$B$7:$B$1006,"&lt;="&amp;$B965))</f>
        <v/>
      </c>
      <c r="M965" s="132">
        <f>IF($B965&amp;$C965&amp;$D965&amp;$E965="","",IF($B965="","missing date",IF($C965="","missing worker",IF($I965="?","unknown worker - was the name changed on Workers?",IF($D965="","missing type",IF(N($E965)=0,"missing amount",IF(AND($E965&lt;0,$D965&lt;&gt;"Correction"),"negative amount - use a Correction to undo",IF(OR($B965&lt;Weeks!$A$7,$B965&gt;Weeks!$B$59),"date outside this workbook's year",IF(AND($D965="Advance",N($L965)&lt;0),"Warning: more than earned so far - worker now owes "&amp;TEXT(ROUND(-$L965,0),"#,##0"),"")))))))))</f>
        <v/>
      </c>
      <c r="N965" s="125" t="n"/>
      <c r="O965" s="126" t="n"/>
      <c r="P965" s="126" t="n"/>
      <c r="Q965" s="126" t="n"/>
      <c r="R965" s="126" t="n"/>
      <c r="S965" s="126" t="n"/>
      <c r="T965" s="126" t="n"/>
      <c r="U965" s="126" t="n"/>
      <c r="V965" s="126" t="n"/>
      <c r="W965" s="126" t="n"/>
      <c r="X965" s="126" t="n"/>
      <c r="Y965" s="126" t="n"/>
      <c r="Z965" s="126" t="n"/>
      <c r="AA965" s="126" t="n"/>
      <c r="AB965" s="126" t="n"/>
      <c r="AC965" s="126" t="n"/>
      <c r="AD965" s="126" t="n"/>
      <c r="AE965" s="126" t="n"/>
      <c r="AF965" s="126" t="n"/>
      <c r="AG965" s="126" t="n"/>
      <c r="AH965" s="126" t="n"/>
      <c r="AI965" s="126" t="n"/>
      <c r="AJ965" s="126" t="n"/>
      <c r="AK965" s="126" t="n"/>
      <c r="AL965" s="126" t="n"/>
      <c r="AM965" s="126" t="n"/>
      <c r="AN965" s="126" t="n"/>
    </row>
    <row r="966" ht="21" customFormat="1" customHeight="1" s="127">
      <c r="A966" s="51">
        <f>IF($B966="","",ROW()-6)</f>
        <v/>
      </c>
      <c r="B966" s="268" t="n"/>
      <c r="C966" s="133" t="n"/>
      <c r="D966" s="50" t="n"/>
      <c r="E966" s="265" t="n"/>
      <c r="F966" s="133" t="n"/>
      <c r="G966" s="133" t="n"/>
      <c r="H966" s="50" t="n"/>
      <c r="I966" s="51">
        <f>IF($C966="","",IFERROR(INDEX(WorkerIDs,MATCH($C966,WorkerNames,0)),"?"))</f>
        <v/>
      </c>
      <c r="J966" s="253">
        <f>IF($B966="","",$B966-WEEKDAY($B966,2)+1)</f>
        <v/>
      </c>
      <c r="K966" s="142">
        <f>IF(OR($I966="",$I966="?",$D966&lt;&gt;"Advance",$B966=""),"",$I966&amp;"|"&amp;$J966&amp;"|"&amp;COUNTIFS($I$7:$I966,$I966,$J$7:$J966,$J966,$D$7:$D966,"Advance"))</f>
        <v/>
      </c>
      <c r="L966" s="266">
        <f>IF(OR($I966="",$I966="?",$B966=""),"",SUMPRODUCT((Weeks!$A$7:$A$59&lt;=$J966)*(Weeks!$X$5:$AI$5=$I966)*Weeks!$X$7:$AI$59)-SUMIFS($E$7:$E$1006,$I$7:$I$1006,$I966,$B$7:$B$1006,"&lt;="&amp;$B966))</f>
        <v/>
      </c>
      <c r="M966" s="132">
        <f>IF($B966&amp;$C966&amp;$D966&amp;$E966="","",IF($B966="","missing date",IF($C966="","missing worker",IF($I966="?","unknown worker - was the name changed on Workers?",IF($D966="","missing type",IF(N($E966)=0,"missing amount",IF(AND($E966&lt;0,$D966&lt;&gt;"Correction"),"negative amount - use a Correction to undo",IF(OR($B966&lt;Weeks!$A$7,$B966&gt;Weeks!$B$59),"date outside this workbook's year",IF(AND($D966="Advance",N($L966)&lt;0),"Warning: more than earned so far - worker now owes "&amp;TEXT(ROUND(-$L966,0),"#,##0"),"")))))))))</f>
        <v/>
      </c>
      <c r="N966" s="125" t="n"/>
      <c r="O966" s="126" t="n"/>
      <c r="P966" s="126" t="n"/>
      <c r="Q966" s="126" t="n"/>
      <c r="R966" s="126" t="n"/>
      <c r="S966" s="126" t="n"/>
      <c r="T966" s="126" t="n"/>
      <c r="U966" s="126" t="n"/>
      <c r="V966" s="126" t="n"/>
      <c r="W966" s="126" t="n"/>
      <c r="X966" s="126" t="n"/>
      <c r="Y966" s="126" t="n"/>
      <c r="Z966" s="126" t="n"/>
      <c r="AA966" s="126" t="n"/>
      <c r="AB966" s="126" t="n"/>
      <c r="AC966" s="126" t="n"/>
      <c r="AD966" s="126" t="n"/>
      <c r="AE966" s="126" t="n"/>
      <c r="AF966" s="126" t="n"/>
      <c r="AG966" s="126" t="n"/>
      <c r="AH966" s="126" t="n"/>
      <c r="AI966" s="126" t="n"/>
      <c r="AJ966" s="126" t="n"/>
      <c r="AK966" s="126" t="n"/>
      <c r="AL966" s="126" t="n"/>
      <c r="AM966" s="126" t="n"/>
      <c r="AN966" s="126" t="n"/>
    </row>
    <row r="967" ht="21" customFormat="1" customHeight="1" s="127">
      <c r="A967" s="51">
        <f>IF($B967="","",ROW()-6)</f>
        <v/>
      </c>
      <c r="B967" s="268" t="n"/>
      <c r="C967" s="133" t="n"/>
      <c r="D967" s="50" t="n"/>
      <c r="E967" s="265" t="n"/>
      <c r="F967" s="133" t="n"/>
      <c r="G967" s="133" t="n"/>
      <c r="H967" s="50" t="n"/>
      <c r="I967" s="51">
        <f>IF($C967="","",IFERROR(INDEX(WorkerIDs,MATCH($C967,WorkerNames,0)),"?"))</f>
        <v/>
      </c>
      <c r="J967" s="253">
        <f>IF($B967="","",$B967-WEEKDAY($B967,2)+1)</f>
        <v/>
      </c>
      <c r="K967" s="142">
        <f>IF(OR($I967="",$I967="?",$D967&lt;&gt;"Advance",$B967=""),"",$I967&amp;"|"&amp;$J967&amp;"|"&amp;COUNTIFS($I$7:$I967,$I967,$J$7:$J967,$J967,$D$7:$D967,"Advance"))</f>
        <v/>
      </c>
      <c r="L967" s="266">
        <f>IF(OR($I967="",$I967="?",$B967=""),"",SUMPRODUCT((Weeks!$A$7:$A$59&lt;=$J967)*(Weeks!$X$5:$AI$5=$I967)*Weeks!$X$7:$AI$59)-SUMIFS($E$7:$E$1006,$I$7:$I$1006,$I967,$B$7:$B$1006,"&lt;="&amp;$B967))</f>
        <v/>
      </c>
      <c r="M967" s="132">
        <f>IF($B967&amp;$C967&amp;$D967&amp;$E967="","",IF($B967="","missing date",IF($C967="","missing worker",IF($I967="?","unknown worker - was the name changed on Workers?",IF($D967="","missing type",IF(N($E967)=0,"missing amount",IF(AND($E967&lt;0,$D967&lt;&gt;"Correction"),"negative amount - use a Correction to undo",IF(OR($B967&lt;Weeks!$A$7,$B967&gt;Weeks!$B$59),"date outside this workbook's year",IF(AND($D967="Advance",N($L967)&lt;0),"Warning: more than earned so far - worker now owes "&amp;TEXT(ROUND(-$L967,0),"#,##0"),"")))))))))</f>
        <v/>
      </c>
      <c r="N967" s="125" t="n"/>
      <c r="O967" s="126" t="n"/>
      <c r="P967" s="126" t="n"/>
      <c r="Q967" s="126" t="n"/>
      <c r="R967" s="126" t="n"/>
      <c r="S967" s="126" t="n"/>
      <c r="T967" s="126" t="n"/>
      <c r="U967" s="126" t="n"/>
      <c r="V967" s="126" t="n"/>
      <c r="W967" s="126" t="n"/>
      <c r="X967" s="126" t="n"/>
      <c r="Y967" s="126" t="n"/>
      <c r="Z967" s="126" t="n"/>
      <c r="AA967" s="126" t="n"/>
      <c r="AB967" s="126" t="n"/>
      <c r="AC967" s="126" t="n"/>
      <c r="AD967" s="126" t="n"/>
      <c r="AE967" s="126" t="n"/>
      <c r="AF967" s="126" t="n"/>
      <c r="AG967" s="126" t="n"/>
      <c r="AH967" s="126" t="n"/>
      <c r="AI967" s="126" t="n"/>
      <c r="AJ967" s="126" t="n"/>
      <c r="AK967" s="126" t="n"/>
      <c r="AL967" s="126" t="n"/>
      <c r="AM967" s="126" t="n"/>
      <c r="AN967" s="126" t="n"/>
    </row>
    <row r="968" ht="21" customFormat="1" customHeight="1" s="127">
      <c r="A968" s="51">
        <f>IF($B968="","",ROW()-6)</f>
        <v/>
      </c>
      <c r="B968" s="268" t="n"/>
      <c r="C968" s="133" t="n"/>
      <c r="D968" s="50" t="n"/>
      <c r="E968" s="265" t="n"/>
      <c r="F968" s="133" t="n"/>
      <c r="G968" s="133" t="n"/>
      <c r="H968" s="50" t="n"/>
      <c r="I968" s="51">
        <f>IF($C968="","",IFERROR(INDEX(WorkerIDs,MATCH($C968,WorkerNames,0)),"?"))</f>
        <v/>
      </c>
      <c r="J968" s="253">
        <f>IF($B968="","",$B968-WEEKDAY($B968,2)+1)</f>
        <v/>
      </c>
      <c r="K968" s="142">
        <f>IF(OR($I968="",$I968="?",$D968&lt;&gt;"Advance",$B968=""),"",$I968&amp;"|"&amp;$J968&amp;"|"&amp;COUNTIFS($I$7:$I968,$I968,$J$7:$J968,$J968,$D$7:$D968,"Advance"))</f>
        <v/>
      </c>
      <c r="L968" s="266">
        <f>IF(OR($I968="",$I968="?",$B968=""),"",SUMPRODUCT((Weeks!$A$7:$A$59&lt;=$J968)*(Weeks!$X$5:$AI$5=$I968)*Weeks!$X$7:$AI$59)-SUMIFS($E$7:$E$1006,$I$7:$I$1006,$I968,$B$7:$B$1006,"&lt;="&amp;$B968))</f>
        <v/>
      </c>
      <c r="M968" s="132">
        <f>IF($B968&amp;$C968&amp;$D968&amp;$E968="","",IF($B968="","missing date",IF($C968="","missing worker",IF($I968="?","unknown worker - was the name changed on Workers?",IF($D968="","missing type",IF(N($E968)=0,"missing amount",IF(AND($E968&lt;0,$D968&lt;&gt;"Correction"),"negative amount - use a Correction to undo",IF(OR($B968&lt;Weeks!$A$7,$B968&gt;Weeks!$B$59),"date outside this workbook's year",IF(AND($D968="Advance",N($L968)&lt;0),"Warning: more than earned so far - worker now owes "&amp;TEXT(ROUND(-$L968,0),"#,##0"),"")))))))))</f>
        <v/>
      </c>
      <c r="N968" s="125" t="n"/>
      <c r="O968" s="126" t="n"/>
      <c r="P968" s="126" t="n"/>
      <c r="Q968" s="126" t="n"/>
      <c r="R968" s="126" t="n"/>
      <c r="S968" s="126" t="n"/>
      <c r="T968" s="126" t="n"/>
      <c r="U968" s="126" t="n"/>
      <c r="V968" s="126" t="n"/>
      <c r="W968" s="126" t="n"/>
      <c r="X968" s="126" t="n"/>
      <c r="Y968" s="126" t="n"/>
      <c r="Z968" s="126" t="n"/>
      <c r="AA968" s="126" t="n"/>
      <c r="AB968" s="126" t="n"/>
      <c r="AC968" s="126" t="n"/>
      <c r="AD968" s="126" t="n"/>
      <c r="AE968" s="126" t="n"/>
      <c r="AF968" s="126" t="n"/>
      <c r="AG968" s="126" t="n"/>
      <c r="AH968" s="126" t="n"/>
      <c r="AI968" s="126" t="n"/>
      <c r="AJ968" s="126" t="n"/>
      <c r="AK968" s="126" t="n"/>
      <c r="AL968" s="126" t="n"/>
      <c r="AM968" s="126" t="n"/>
      <c r="AN968" s="126" t="n"/>
    </row>
    <row r="969" ht="21" customFormat="1" customHeight="1" s="127">
      <c r="A969" s="51">
        <f>IF($B969="","",ROW()-6)</f>
        <v/>
      </c>
      <c r="B969" s="268" t="n"/>
      <c r="C969" s="133" t="n"/>
      <c r="D969" s="50" t="n"/>
      <c r="E969" s="265" t="n"/>
      <c r="F969" s="133" t="n"/>
      <c r="G969" s="133" t="n"/>
      <c r="H969" s="50" t="n"/>
      <c r="I969" s="51">
        <f>IF($C969="","",IFERROR(INDEX(WorkerIDs,MATCH($C969,WorkerNames,0)),"?"))</f>
        <v/>
      </c>
      <c r="J969" s="253">
        <f>IF($B969="","",$B969-WEEKDAY($B969,2)+1)</f>
        <v/>
      </c>
      <c r="K969" s="142">
        <f>IF(OR($I969="",$I969="?",$D969&lt;&gt;"Advance",$B969=""),"",$I969&amp;"|"&amp;$J969&amp;"|"&amp;COUNTIFS($I$7:$I969,$I969,$J$7:$J969,$J969,$D$7:$D969,"Advance"))</f>
        <v/>
      </c>
      <c r="L969" s="266">
        <f>IF(OR($I969="",$I969="?",$B969=""),"",SUMPRODUCT((Weeks!$A$7:$A$59&lt;=$J969)*(Weeks!$X$5:$AI$5=$I969)*Weeks!$X$7:$AI$59)-SUMIFS($E$7:$E$1006,$I$7:$I$1006,$I969,$B$7:$B$1006,"&lt;="&amp;$B969))</f>
        <v/>
      </c>
      <c r="M969" s="132">
        <f>IF($B969&amp;$C969&amp;$D969&amp;$E969="","",IF($B969="","missing date",IF($C969="","missing worker",IF($I969="?","unknown worker - was the name changed on Workers?",IF($D969="","missing type",IF(N($E969)=0,"missing amount",IF(AND($E969&lt;0,$D969&lt;&gt;"Correction"),"negative amount - use a Correction to undo",IF(OR($B969&lt;Weeks!$A$7,$B969&gt;Weeks!$B$59),"date outside this workbook's year",IF(AND($D969="Advance",N($L969)&lt;0),"Warning: more than earned so far - worker now owes "&amp;TEXT(ROUND(-$L969,0),"#,##0"),"")))))))))</f>
        <v/>
      </c>
      <c r="N969" s="125" t="n"/>
      <c r="O969" s="126" t="n"/>
      <c r="P969" s="126" t="n"/>
      <c r="Q969" s="126" t="n"/>
      <c r="R969" s="126" t="n"/>
      <c r="S969" s="126" t="n"/>
      <c r="T969" s="126" t="n"/>
      <c r="U969" s="126" t="n"/>
      <c r="V969" s="126" t="n"/>
      <c r="W969" s="126" t="n"/>
      <c r="X969" s="126" t="n"/>
      <c r="Y969" s="126" t="n"/>
      <c r="Z969" s="126" t="n"/>
      <c r="AA969" s="126" t="n"/>
      <c r="AB969" s="126" t="n"/>
      <c r="AC969" s="126" t="n"/>
      <c r="AD969" s="126" t="n"/>
      <c r="AE969" s="126" t="n"/>
      <c r="AF969" s="126" t="n"/>
      <c r="AG969" s="126" t="n"/>
      <c r="AH969" s="126" t="n"/>
      <c r="AI969" s="126" t="n"/>
      <c r="AJ969" s="126" t="n"/>
      <c r="AK969" s="126" t="n"/>
      <c r="AL969" s="126" t="n"/>
      <c r="AM969" s="126" t="n"/>
      <c r="AN969" s="126" t="n"/>
    </row>
    <row r="970" ht="21" customFormat="1" customHeight="1" s="127">
      <c r="A970" s="51">
        <f>IF($B970="","",ROW()-6)</f>
        <v/>
      </c>
      <c r="B970" s="268" t="n"/>
      <c r="C970" s="133" t="n"/>
      <c r="D970" s="50" t="n"/>
      <c r="E970" s="265" t="n"/>
      <c r="F970" s="133" t="n"/>
      <c r="G970" s="133" t="n"/>
      <c r="H970" s="50" t="n"/>
      <c r="I970" s="51">
        <f>IF($C970="","",IFERROR(INDEX(WorkerIDs,MATCH($C970,WorkerNames,0)),"?"))</f>
        <v/>
      </c>
      <c r="J970" s="253">
        <f>IF($B970="","",$B970-WEEKDAY($B970,2)+1)</f>
        <v/>
      </c>
      <c r="K970" s="142">
        <f>IF(OR($I970="",$I970="?",$D970&lt;&gt;"Advance",$B970=""),"",$I970&amp;"|"&amp;$J970&amp;"|"&amp;COUNTIFS($I$7:$I970,$I970,$J$7:$J970,$J970,$D$7:$D970,"Advance"))</f>
        <v/>
      </c>
      <c r="L970" s="266">
        <f>IF(OR($I970="",$I970="?",$B970=""),"",SUMPRODUCT((Weeks!$A$7:$A$59&lt;=$J970)*(Weeks!$X$5:$AI$5=$I970)*Weeks!$X$7:$AI$59)-SUMIFS($E$7:$E$1006,$I$7:$I$1006,$I970,$B$7:$B$1006,"&lt;="&amp;$B970))</f>
        <v/>
      </c>
      <c r="M970" s="132">
        <f>IF($B970&amp;$C970&amp;$D970&amp;$E970="","",IF($B970="","missing date",IF($C970="","missing worker",IF($I970="?","unknown worker - was the name changed on Workers?",IF($D970="","missing type",IF(N($E970)=0,"missing amount",IF(AND($E970&lt;0,$D970&lt;&gt;"Correction"),"negative amount - use a Correction to undo",IF(OR($B970&lt;Weeks!$A$7,$B970&gt;Weeks!$B$59),"date outside this workbook's year",IF(AND($D970="Advance",N($L970)&lt;0),"Warning: more than earned so far - worker now owes "&amp;TEXT(ROUND(-$L970,0),"#,##0"),"")))))))))</f>
        <v/>
      </c>
      <c r="N970" s="125" t="n"/>
      <c r="O970" s="126" t="n"/>
      <c r="P970" s="126" t="n"/>
      <c r="Q970" s="126" t="n"/>
      <c r="R970" s="126" t="n"/>
      <c r="S970" s="126" t="n"/>
      <c r="T970" s="126" t="n"/>
      <c r="U970" s="126" t="n"/>
      <c r="V970" s="126" t="n"/>
      <c r="W970" s="126" t="n"/>
      <c r="X970" s="126" t="n"/>
      <c r="Y970" s="126" t="n"/>
      <c r="Z970" s="126" t="n"/>
      <c r="AA970" s="126" t="n"/>
      <c r="AB970" s="126" t="n"/>
      <c r="AC970" s="126" t="n"/>
      <c r="AD970" s="126" t="n"/>
      <c r="AE970" s="126" t="n"/>
      <c r="AF970" s="126" t="n"/>
      <c r="AG970" s="126" t="n"/>
      <c r="AH970" s="126" t="n"/>
      <c r="AI970" s="126" t="n"/>
      <c r="AJ970" s="126" t="n"/>
      <c r="AK970" s="126" t="n"/>
      <c r="AL970" s="126" t="n"/>
      <c r="AM970" s="126" t="n"/>
      <c r="AN970" s="126" t="n"/>
    </row>
    <row r="971" ht="21" customFormat="1" customHeight="1" s="127">
      <c r="A971" s="51">
        <f>IF($B971="","",ROW()-6)</f>
        <v/>
      </c>
      <c r="B971" s="268" t="n"/>
      <c r="C971" s="133" t="n"/>
      <c r="D971" s="50" t="n"/>
      <c r="E971" s="265" t="n"/>
      <c r="F971" s="133" t="n"/>
      <c r="G971" s="133" t="n"/>
      <c r="H971" s="50" t="n"/>
      <c r="I971" s="51">
        <f>IF($C971="","",IFERROR(INDEX(WorkerIDs,MATCH($C971,WorkerNames,0)),"?"))</f>
        <v/>
      </c>
      <c r="J971" s="253">
        <f>IF($B971="","",$B971-WEEKDAY($B971,2)+1)</f>
        <v/>
      </c>
      <c r="K971" s="142">
        <f>IF(OR($I971="",$I971="?",$D971&lt;&gt;"Advance",$B971=""),"",$I971&amp;"|"&amp;$J971&amp;"|"&amp;COUNTIFS($I$7:$I971,$I971,$J$7:$J971,$J971,$D$7:$D971,"Advance"))</f>
        <v/>
      </c>
      <c r="L971" s="266">
        <f>IF(OR($I971="",$I971="?",$B971=""),"",SUMPRODUCT((Weeks!$A$7:$A$59&lt;=$J971)*(Weeks!$X$5:$AI$5=$I971)*Weeks!$X$7:$AI$59)-SUMIFS($E$7:$E$1006,$I$7:$I$1006,$I971,$B$7:$B$1006,"&lt;="&amp;$B971))</f>
        <v/>
      </c>
      <c r="M971" s="132">
        <f>IF($B971&amp;$C971&amp;$D971&amp;$E971="","",IF($B971="","missing date",IF($C971="","missing worker",IF($I971="?","unknown worker - was the name changed on Workers?",IF($D971="","missing type",IF(N($E971)=0,"missing amount",IF(AND($E971&lt;0,$D971&lt;&gt;"Correction"),"negative amount - use a Correction to undo",IF(OR($B971&lt;Weeks!$A$7,$B971&gt;Weeks!$B$59),"date outside this workbook's year",IF(AND($D971="Advance",N($L971)&lt;0),"Warning: more than earned so far - worker now owes "&amp;TEXT(ROUND(-$L971,0),"#,##0"),"")))))))))</f>
        <v/>
      </c>
      <c r="N971" s="125" t="n"/>
      <c r="O971" s="126" t="n"/>
      <c r="P971" s="126" t="n"/>
      <c r="Q971" s="126" t="n"/>
      <c r="R971" s="126" t="n"/>
      <c r="S971" s="126" t="n"/>
      <c r="T971" s="126" t="n"/>
      <c r="U971" s="126" t="n"/>
      <c r="V971" s="126" t="n"/>
      <c r="W971" s="126" t="n"/>
      <c r="X971" s="126" t="n"/>
      <c r="Y971" s="126" t="n"/>
      <c r="Z971" s="126" t="n"/>
      <c r="AA971" s="126" t="n"/>
      <c r="AB971" s="126" t="n"/>
      <c r="AC971" s="126" t="n"/>
      <c r="AD971" s="126" t="n"/>
      <c r="AE971" s="126" t="n"/>
      <c r="AF971" s="126" t="n"/>
      <c r="AG971" s="126" t="n"/>
      <c r="AH971" s="126" t="n"/>
      <c r="AI971" s="126" t="n"/>
      <c r="AJ971" s="126" t="n"/>
      <c r="AK971" s="126" t="n"/>
      <c r="AL971" s="126" t="n"/>
      <c r="AM971" s="126" t="n"/>
      <c r="AN971" s="126" t="n"/>
    </row>
    <row r="972" ht="21" customFormat="1" customHeight="1" s="127">
      <c r="A972" s="51">
        <f>IF($B972="","",ROW()-6)</f>
        <v/>
      </c>
      <c r="B972" s="268" t="n"/>
      <c r="C972" s="133" t="n"/>
      <c r="D972" s="50" t="n"/>
      <c r="E972" s="265" t="n"/>
      <c r="F972" s="133" t="n"/>
      <c r="G972" s="133" t="n"/>
      <c r="H972" s="50" t="n"/>
      <c r="I972" s="51">
        <f>IF($C972="","",IFERROR(INDEX(WorkerIDs,MATCH($C972,WorkerNames,0)),"?"))</f>
        <v/>
      </c>
      <c r="J972" s="253">
        <f>IF($B972="","",$B972-WEEKDAY($B972,2)+1)</f>
        <v/>
      </c>
      <c r="K972" s="142">
        <f>IF(OR($I972="",$I972="?",$D972&lt;&gt;"Advance",$B972=""),"",$I972&amp;"|"&amp;$J972&amp;"|"&amp;COUNTIFS($I$7:$I972,$I972,$J$7:$J972,$J972,$D$7:$D972,"Advance"))</f>
        <v/>
      </c>
      <c r="L972" s="266">
        <f>IF(OR($I972="",$I972="?",$B972=""),"",SUMPRODUCT((Weeks!$A$7:$A$59&lt;=$J972)*(Weeks!$X$5:$AI$5=$I972)*Weeks!$X$7:$AI$59)-SUMIFS($E$7:$E$1006,$I$7:$I$1006,$I972,$B$7:$B$1006,"&lt;="&amp;$B972))</f>
        <v/>
      </c>
      <c r="M972" s="132">
        <f>IF($B972&amp;$C972&amp;$D972&amp;$E972="","",IF($B972="","missing date",IF($C972="","missing worker",IF($I972="?","unknown worker - was the name changed on Workers?",IF($D972="","missing type",IF(N($E972)=0,"missing amount",IF(AND($E972&lt;0,$D972&lt;&gt;"Correction"),"negative amount - use a Correction to undo",IF(OR($B972&lt;Weeks!$A$7,$B972&gt;Weeks!$B$59),"date outside this workbook's year",IF(AND($D972="Advance",N($L972)&lt;0),"Warning: more than earned so far - worker now owes "&amp;TEXT(ROUND(-$L972,0),"#,##0"),"")))))))))</f>
        <v/>
      </c>
      <c r="N972" s="125" t="n"/>
      <c r="O972" s="126" t="n"/>
      <c r="P972" s="126" t="n"/>
      <c r="Q972" s="126" t="n"/>
      <c r="R972" s="126" t="n"/>
      <c r="S972" s="126" t="n"/>
      <c r="T972" s="126" t="n"/>
      <c r="U972" s="126" t="n"/>
      <c r="V972" s="126" t="n"/>
      <c r="W972" s="126" t="n"/>
      <c r="X972" s="126" t="n"/>
      <c r="Y972" s="126" t="n"/>
      <c r="Z972" s="126" t="n"/>
      <c r="AA972" s="126" t="n"/>
      <c r="AB972" s="126" t="n"/>
      <c r="AC972" s="126" t="n"/>
      <c r="AD972" s="126" t="n"/>
      <c r="AE972" s="126" t="n"/>
      <c r="AF972" s="126" t="n"/>
      <c r="AG972" s="126" t="n"/>
      <c r="AH972" s="126" t="n"/>
      <c r="AI972" s="126" t="n"/>
      <c r="AJ972" s="126" t="n"/>
      <c r="AK972" s="126" t="n"/>
      <c r="AL972" s="126" t="n"/>
      <c r="AM972" s="126" t="n"/>
      <c r="AN972" s="126" t="n"/>
    </row>
    <row r="973" ht="21" customFormat="1" customHeight="1" s="127">
      <c r="A973" s="51">
        <f>IF($B973="","",ROW()-6)</f>
        <v/>
      </c>
      <c r="B973" s="268" t="n"/>
      <c r="C973" s="133" t="n"/>
      <c r="D973" s="50" t="n"/>
      <c r="E973" s="265" t="n"/>
      <c r="F973" s="133" t="n"/>
      <c r="G973" s="133" t="n"/>
      <c r="H973" s="50" t="n"/>
      <c r="I973" s="51">
        <f>IF($C973="","",IFERROR(INDEX(WorkerIDs,MATCH($C973,WorkerNames,0)),"?"))</f>
        <v/>
      </c>
      <c r="J973" s="253">
        <f>IF($B973="","",$B973-WEEKDAY($B973,2)+1)</f>
        <v/>
      </c>
      <c r="K973" s="142">
        <f>IF(OR($I973="",$I973="?",$D973&lt;&gt;"Advance",$B973=""),"",$I973&amp;"|"&amp;$J973&amp;"|"&amp;COUNTIFS($I$7:$I973,$I973,$J$7:$J973,$J973,$D$7:$D973,"Advance"))</f>
        <v/>
      </c>
      <c r="L973" s="266">
        <f>IF(OR($I973="",$I973="?",$B973=""),"",SUMPRODUCT((Weeks!$A$7:$A$59&lt;=$J973)*(Weeks!$X$5:$AI$5=$I973)*Weeks!$X$7:$AI$59)-SUMIFS($E$7:$E$1006,$I$7:$I$1006,$I973,$B$7:$B$1006,"&lt;="&amp;$B973))</f>
        <v/>
      </c>
      <c r="M973" s="132">
        <f>IF($B973&amp;$C973&amp;$D973&amp;$E973="","",IF($B973="","missing date",IF($C973="","missing worker",IF($I973="?","unknown worker - was the name changed on Workers?",IF($D973="","missing type",IF(N($E973)=0,"missing amount",IF(AND($E973&lt;0,$D973&lt;&gt;"Correction"),"negative amount - use a Correction to undo",IF(OR($B973&lt;Weeks!$A$7,$B973&gt;Weeks!$B$59),"date outside this workbook's year",IF(AND($D973="Advance",N($L973)&lt;0),"Warning: more than earned so far - worker now owes "&amp;TEXT(ROUND(-$L973,0),"#,##0"),"")))))))))</f>
        <v/>
      </c>
      <c r="N973" s="125" t="n"/>
      <c r="O973" s="126" t="n"/>
      <c r="P973" s="126" t="n"/>
      <c r="Q973" s="126" t="n"/>
      <c r="R973" s="126" t="n"/>
      <c r="S973" s="126" t="n"/>
      <c r="T973" s="126" t="n"/>
      <c r="U973" s="126" t="n"/>
      <c r="V973" s="126" t="n"/>
      <c r="W973" s="126" t="n"/>
      <c r="X973" s="126" t="n"/>
      <c r="Y973" s="126" t="n"/>
      <c r="Z973" s="126" t="n"/>
      <c r="AA973" s="126" t="n"/>
      <c r="AB973" s="126" t="n"/>
      <c r="AC973" s="126" t="n"/>
      <c r="AD973" s="126" t="n"/>
      <c r="AE973" s="126" t="n"/>
      <c r="AF973" s="126" t="n"/>
      <c r="AG973" s="126" t="n"/>
      <c r="AH973" s="126" t="n"/>
      <c r="AI973" s="126" t="n"/>
      <c r="AJ973" s="126" t="n"/>
      <c r="AK973" s="126" t="n"/>
      <c r="AL973" s="126" t="n"/>
      <c r="AM973" s="126" t="n"/>
      <c r="AN973" s="126" t="n"/>
    </row>
    <row r="974" ht="21" customFormat="1" customHeight="1" s="127">
      <c r="A974" s="51">
        <f>IF($B974="","",ROW()-6)</f>
        <v/>
      </c>
      <c r="B974" s="268" t="n"/>
      <c r="C974" s="133" t="n"/>
      <c r="D974" s="50" t="n"/>
      <c r="E974" s="265" t="n"/>
      <c r="F974" s="133" t="n"/>
      <c r="G974" s="133" t="n"/>
      <c r="H974" s="50" t="n"/>
      <c r="I974" s="51">
        <f>IF($C974="","",IFERROR(INDEX(WorkerIDs,MATCH($C974,WorkerNames,0)),"?"))</f>
        <v/>
      </c>
      <c r="J974" s="253">
        <f>IF($B974="","",$B974-WEEKDAY($B974,2)+1)</f>
        <v/>
      </c>
      <c r="K974" s="142">
        <f>IF(OR($I974="",$I974="?",$D974&lt;&gt;"Advance",$B974=""),"",$I974&amp;"|"&amp;$J974&amp;"|"&amp;COUNTIFS($I$7:$I974,$I974,$J$7:$J974,$J974,$D$7:$D974,"Advance"))</f>
        <v/>
      </c>
      <c r="L974" s="266">
        <f>IF(OR($I974="",$I974="?",$B974=""),"",SUMPRODUCT((Weeks!$A$7:$A$59&lt;=$J974)*(Weeks!$X$5:$AI$5=$I974)*Weeks!$X$7:$AI$59)-SUMIFS($E$7:$E$1006,$I$7:$I$1006,$I974,$B$7:$B$1006,"&lt;="&amp;$B974))</f>
        <v/>
      </c>
      <c r="M974" s="132">
        <f>IF($B974&amp;$C974&amp;$D974&amp;$E974="","",IF($B974="","missing date",IF($C974="","missing worker",IF($I974="?","unknown worker - was the name changed on Workers?",IF($D974="","missing type",IF(N($E974)=0,"missing amount",IF(AND($E974&lt;0,$D974&lt;&gt;"Correction"),"negative amount - use a Correction to undo",IF(OR($B974&lt;Weeks!$A$7,$B974&gt;Weeks!$B$59),"date outside this workbook's year",IF(AND($D974="Advance",N($L974)&lt;0),"Warning: more than earned so far - worker now owes "&amp;TEXT(ROUND(-$L974,0),"#,##0"),"")))))))))</f>
        <v/>
      </c>
      <c r="N974" s="125" t="n"/>
      <c r="O974" s="126" t="n"/>
      <c r="P974" s="126" t="n"/>
      <c r="Q974" s="126" t="n"/>
      <c r="R974" s="126" t="n"/>
      <c r="S974" s="126" t="n"/>
      <c r="T974" s="126" t="n"/>
      <c r="U974" s="126" t="n"/>
      <c r="V974" s="126" t="n"/>
      <c r="W974" s="126" t="n"/>
      <c r="X974" s="126" t="n"/>
      <c r="Y974" s="126" t="n"/>
      <c r="Z974" s="126" t="n"/>
      <c r="AA974" s="126" t="n"/>
      <c r="AB974" s="126" t="n"/>
      <c r="AC974" s="126" t="n"/>
      <c r="AD974" s="126" t="n"/>
      <c r="AE974" s="126" t="n"/>
      <c r="AF974" s="126" t="n"/>
      <c r="AG974" s="126" t="n"/>
      <c r="AH974" s="126" t="n"/>
      <c r="AI974" s="126" t="n"/>
      <c r="AJ974" s="126" t="n"/>
      <c r="AK974" s="126" t="n"/>
      <c r="AL974" s="126" t="n"/>
      <c r="AM974" s="126" t="n"/>
      <c r="AN974" s="126" t="n"/>
    </row>
    <row r="975" ht="21" customFormat="1" customHeight="1" s="127">
      <c r="A975" s="51">
        <f>IF($B975="","",ROW()-6)</f>
        <v/>
      </c>
      <c r="B975" s="268" t="n"/>
      <c r="C975" s="133" t="n"/>
      <c r="D975" s="50" t="n"/>
      <c r="E975" s="265" t="n"/>
      <c r="F975" s="133" t="n"/>
      <c r="G975" s="133" t="n"/>
      <c r="H975" s="50" t="n"/>
      <c r="I975" s="51">
        <f>IF($C975="","",IFERROR(INDEX(WorkerIDs,MATCH($C975,WorkerNames,0)),"?"))</f>
        <v/>
      </c>
      <c r="J975" s="253">
        <f>IF($B975="","",$B975-WEEKDAY($B975,2)+1)</f>
        <v/>
      </c>
      <c r="K975" s="142">
        <f>IF(OR($I975="",$I975="?",$D975&lt;&gt;"Advance",$B975=""),"",$I975&amp;"|"&amp;$J975&amp;"|"&amp;COUNTIFS($I$7:$I975,$I975,$J$7:$J975,$J975,$D$7:$D975,"Advance"))</f>
        <v/>
      </c>
      <c r="L975" s="266">
        <f>IF(OR($I975="",$I975="?",$B975=""),"",SUMPRODUCT((Weeks!$A$7:$A$59&lt;=$J975)*(Weeks!$X$5:$AI$5=$I975)*Weeks!$X$7:$AI$59)-SUMIFS($E$7:$E$1006,$I$7:$I$1006,$I975,$B$7:$B$1006,"&lt;="&amp;$B975))</f>
        <v/>
      </c>
      <c r="M975" s="132">
        <f>IF($B975&amp;$C975&amp;$D975&amp;$E975="","",IF($B975="","missing date",IF($C975="","missing worker",IF($I975="?","unknown worker - was the name changed on Workers?",IF($D975="","missing type",IF(N($E975)=0,"missing amount",IF(AND($E975&lt;0,$D975&lt;&gt;"Correction"),"negative amount - use a Correction to undo",IF(OR($B975&lt;Weeks!$A$7,$B975&gt;Weeks!$B$59),"date outside this workbook's year",IF(AND($D975="Advance",N($L975)&lt;0),"Warning: more than earned so far - worker now owes "&amp;TEXT(ROUND(-$L975,0),"#,##0"),"")))))))))</f>
        <v/>
      </c>
      <c r="N975" s="125" t="n"/>
      <c r="O975" s="126" t="n"/>
      <c r="P975" s="126" t="n"/>
      <c r="Q975" s="126" t="n"/>
      <c r="R975" s="126" t="n"/>
      <c r="S975" s="126" t="n"/>
      <c r="T975" s="126" t="n"/>
      <c r="U975" s="126" t="n"/>
      <c r="V975" s="126" t="n"/>
      <c r="W975" s="126" t="n"/>
      <c r="X975" s="126" t="n"/>
      <c r="Y975" s="126" t="n"/>
      <c r="Z975" s="126" t="n"/>
      <c r="AA975" s="126" t="n"/>
      <c r="AB975" s="126" t="n"/>
      <c r="AC975" s="126" t="n"/>
      <c r="AD975" s="126" t="n"/>
      <c r="AE975" s="126" t="n"/>
      <c r="AF975" s="126" t="n"/>
      <c r="AG975" s="126" t="n"/>
      <c r="AH975" s="126" t="n"/>
      <c r="AI975" s="126" t="n"/>
      <c r="AJ975" s="126" t="n"/>
      <c r="AK975" s="126" t="n"/>
      <c r="AL975" s="126" t="n"/>
      <c r="AM975" s="126" t="n"/>
      <c r="AN975" s="126" t="n"/>
    </row>
    <row r="976" ht="21" customFormat="1" customHeight="1" s="127">
      <c r="A976" s="51">
        <f>IF($B976="","",ROW()-6)</f>
        <v/>
      </c>
      <c r="B976" s="268" t="n"/>
      <c r="C976" s="133" t="n"/>
      <c r="D976" s="50" t="n"/>
      <c r="E976" s="265" t="n"/>
      <c r="F976" s="133" t="n"/>
      <c r="G976" s="133" t="n"/>
      <c r="H976" s="50" t="n"/>
      <c r="I976" s="51">
        <f>IF($C976="","",IFERROR(INDEX(WorkerIDs,MATCH($C976,WorkerNames,0)),"?"))</f>
        <v/>
      </c>
      <c r="J976" s="253">
        <f>IF($B976="","",$B976-WEEKDAY($B976,2)+1)</f>
        <v/>
      </c>
      <c r="K976" s="142">
        <f>IF(OR($I976="",$I976="?",$D976&lt;&gt;"Advance",$B976=""),"",$I976&amp;"|"&amp;$J976&amp;"|"&amp;COUNTIFS($I$7:$I976,$I976,$J$7:$J976,$J976,$D$7:$D976,"Advance"))</f>
        <v/>
      </c>
      <c r="L976" s="266">
        <f>IF(OR($I976="",$I976="?",$B976=""),"",SUMPRODUCT((Weeks!$A$7:$A$59&lt;=$J976)*(Weeks!$X$5:$AI$5=$I976)*Weeks!$X$7:$AI$59)-SUMIFS($E$7:$E$1006,$I$7:$I$1006,$I976,$B$7:$B$1006,"&lt;="&amp;$B976))</f>
        <v/>
      </c>
      <c r="M976" s="132">
        <f>IF($B976&amp;$C976&amp;$D976&amp;$E976="","",IF($B976="","missing date",IF($C976="","missing worker",IF($I976="?","unknown worker - was the name changed on Workers?",IF($D976="","missing type",IF(N($E976)=0,"missing amount",IF(AND($E976&lt;0,$D976&lt;&gt;"Correction"),"negative amount - use a Correction to undo",IF(OR($B976&lt;Weeks!$A$7,$B976&gt;Weeks!$B$59),"date outside this workbook's year",IF(AND($D976="Advance",N($L976)&lt;0),"Warning: more than earned so far - worker now owes "&amp;TEXT(ROUND(-$L976,0),"#,##0"),"")))))))))</f>
        <v/>
      </c>
      <c r="N976" s="125" t="n"/>
      <c r="O976" s="126" t="n"/>
      <c r="P976" s="126" t="n"/>
      <c r="Q976" s="126" t="n"/>
      <c r="R976" s="126" t="n"/>
      <c r="S976" s="126" t="n"/>
      <c r="T976" s="126" t="n"/>
      <c r="U976" s="126" t="n"/>
      <c r="V976" s="126" t="n"/>
      <c r="W976" s="126" t="n"/>
      <c r="X976" s="126" t="n"/>
      <c r="Y976" s="126" t="n"/>
      <c r="Z976" s="126" t="n"/>
      <c r="AA976" s="126" t="n"/>
      <c r="AB976" s="126" t="n"/>
      <c r="AC976" s="126" t="n"/>
      <c r="AD976" s="126" t="n"/>
      <c r="AE976" s="126" t="n"/>
      <c r="AF976" s="126" t="n"/>
      <c r="AG976" s="126" t="n"/>
      <c r="AH976" s="126" t="n"/>
      <c r="AI976" s="126" t="n"/>
      <c r="AJ976" s="126" t="n"/>
      <c r="AK976" s="126" t="n"/>
      <c r="AL976" s="126" t="n"/>
      <c r="AM976" s="126" t="n"/>
      <c r="AN976" s="126" t="n"/>
    </row>
    <row r="977" ht="21" customFormat="1" customHeight="1" s="127">
      <c r="A977" s="51">
        <f>IF($B977="","",ROW()-6)</f>
        <v/>
      </c>
      <c r="B977" s="268" t="n"/>
      <c r="C977" s="133" t="n"/>
      <c r="D977" s="50" t="n"/>
      <c r="E977" s="265" t="n"/>
      <c r="F977" s="133" t="n"/>
      <c r="G977" s="133" t="n"/>
      <c r="H977" s="50" t="n"/>
      <c r="I977" s="51">
        <f>IF($C977="","",IFERROR(INDEX(WorkerIDs,MATCH($C977,WorkerNames,0)),"?"))</f>
        <v/>
      </c>
      <c r="J977" s="253">
        <f>IF($B977="","",$B977-WEEKDAY($B977,2)+1)</f>
        <v/>
      </c>
      <c r="K977" s="142">
        <f>IF(OR($I977="",$I977="?",$D977&lt;&gt;"Advance",$B977=""),"",$I977&amp;"|"&amp;$J977&amp;"|"&amp;COUNTIFS($I$7:$I977,$I977,$J$7:$J977,$J977,$D$7:$D977,"Advance"))</f>
        <v/>
      </c>
      <c r="L977" s="266">
        <f>IF(OR($I977="",$I977="?",$B977=""),"",SUMPRODUCT((Weeks!$A$7:$A$59&lt;=$J977)*(Weeks!$X$5:$AI$5=$I977)*Weeks!$X$7:$AI$59)-SUMIFS($E$7:$E$1006,$I$7:$I$1006,$I977,$B$7:$B$1006,"&lt;="&amp;$B977))</f>
        <v/>
      </c>
      <c r="M977" s="132">
        <f>IF($B977&amp;$C977&amp;$D977&amp;$E977="","",IF($B977="","missing date",IF($C977="","missing worker",IF($I977="?","unknown worker - was the name changed on Workers?",IF($D977="","missing type",IF(N($E977)=0,"missing amount",IF(AND($E977&lt;0,$D977&lt;&gt;"Correction"),"negative amount - use a Correction to undo",IF(OR($B977&lt;Weeks!$A$7,$B977&gt;Weeks!$B$59),"date outside this workbook's year",IF(AND($D977="Advance",N($L977)&lt;0),"Warning: more than earned so far - worker now owes "&amp;TEXT(ROUND(-$L977,0),"#,##0"),"")))))))))</f>
        <v/>
      </c>
      <c r="N977" s="125" t="n"/>
      <c r="O977" s="126" t="n"/>
      <c r="P977" s="126" t="n"/>
      <c r="Q977" s="126" t="n"/>
      <c r="R977" s="126" t="n"/>
      <c r="S977" s="126" t="n"/>
      <c r="T977" s="126" t="n"/>
      <c r="U977" s="126" t="n"/>
      <c r="V977" s="126" t="n"/>
      <c r="W977" s="126" t="n"/>
      <c r="X977" s="126" t="n"/>
      <c r="Y977" s="126" t="n"/>
      <c r="Z977" s="126" t="n"/>
      <c r="AA977" s="126" t="n"/>
      <c r="AB977" s="126" t="n"/>
      <c r="AC977" s="126" t="n"/>
      <c r="AD977" s="126" t="n"/>
      <c r="AE977" s="126" t="n"/>
      <c r="AF977" s="126" t="n"/>
      <c r="AG977" s="126" t="n"/>
      <c r="AH977" s="126" t="n"/>
      <c r="AI977" s="126" t="n"/>
      <c r="AJ977" s="126" t="n"/>
      <c r="AK977" s="126" t="n"/>
      <c r="AL977" s="126" t="n"/>
      <c r="AM977" s="126" t="n"/>
      <c r="AN977" s="126" t="n"/>
    </row>
    <row r="978" ht="21" customFormat="1" customHeight="1" s="127">
      <c r="A978" s="51">
        <f>IF($B978="","",ROW()-6)</f>
        <v/>
      </c>
      <c r="B978" s="268" t="n"/>
      <c r="C978" s="133" t="n"/>
      <c r="D978" s="50" t="n"/>
      <c r="E978" s="265" t="n"/>
      <c r="F978" s="133" t="n"/>
      <c r="G978" s="133" t="n"/>
      <c r="H978" s="50" t="n"/>
      <c r="I978" s="51">
        <f>IF($C978="","",IFERROR(INDEX(WorkerIDs,MATCH($C978,WorkerNames,0)),"?"))</f>
        <v/>
      </c>
      <c r="J978" s="253">
        <f>IF($B978="","",$B978-WEEKDAY($B978,2)+1)</f>
        <v/>
      </c>
      <c r="K978" s="142">
        <f>IF(OR($I978="",$I978="?",$D978&lt;&gt;"Advance",$B978=""),"",$I978&amp;"|"&amp;$J978&amp;"|"&amp;COUNTIFS($I$7:$I978,$I978,$J$7:$J978,$J978,$D$7:$D978,"Advance"))</f>
        <v/>
      </c>
      <c r="L978" s="266">
        <f>IF(OR($I978="",$I978="?",$B978=""),"",SUMPRODUCT((Weeks!$A$7:$A$59&lt;=$J978)*(Weeks!$X$5:$AI$5=$I978)*Weeks!$X$7:$AI$59)-SUMIFS($E$7:$E$1006,$I$7:$I$1006,$I978,$B$7:$B$1006,"&lt;="&amp;$B978))</f>
        <v/>
      </c>
      <c r="M978" s="132">
        <f>IF($B978&amp;$C978&amp;$D978&amp;$E978="","",IF($B978="","missing date",IF($C978="","missing worker",IF($I978="?","unknown worker - was the name changed on Workers?",IF($D978="","missing type",IF(N($E978)=0,"missing amount",IF(AND($E978&lt;0,$D978&lt;&gt;"Correction"),"negative amount - use a Correction to undo",IF(OR($B978&lt;Weeks!$A$7,$B978&gt;Weeks!$B$59),"date outside this workbook's year",IF(AND($D978="Advance",N($L978)&lt;0),"Warning: more than earned so far - worker now owes "&amp;TEXT(ROUND(-$L978,0),"#,##0"),"")))))))))</f>
        <v/>
      </c>
      <c r="N978" s="125" t="n"/>
      <c r="O978" s="126" t="n"/>
      <c r="P978" s="126" t="n"/>
      <c r="Q978" s="126" t="n"/>
      <c r="R978" s="126" t="n"/>
      <c r="S978" s="126" t="n"/>
      <c r="T978" s="126" t="n"/>
      <c r="U978" s="126" t="n"/>
      <c r="V978" s="126" t="n"/>
      <c r="W978" s="126" t="n"/>
      <c r="X978" s="126" t="n"/>
      <c r="Y978" s="126" t="n"/>
      <c r="Z978" s="126" t="n"/>
      <c r="AA978" s="126" t="n"/>
      <c r="AB978" s="126" t="n"/>
      <c r="AC978" s="126" t="n"/>
      <c r="AD978" s="126" t="n"/>
      <c r="AE978" s="126" t="n"/>
      <c r="AF978" s="126" t="n"/>
      <c r="AG978" s="126" t="n"/>
      <c r="AH978" s="126" t="n"/>
      <c r="AI978" s="126" t="n"/>
      <c r="AJ978" s="126" t="n"/>
      <c r="AK978" s="126" t="n"/>
      <c r="AL978" s="126" t="n"/>
      <c r="AM978" s="126" t="n"/>
      <c r="AN978" s="126" t="n"/>
    </row>
    <row r="979" ht="21" customFormat="1" customHeight="1" s="127">
      <c r="A979" s="51">
        <f>IF($B979="","",ROW()-6)</f>
        <v/>
      </c>
      <c r="B979" s="268" t="n"/>
      <c r="C979" s="133" t="n"/>
      <c r="D979" s="50" t="n"/>
      <c r="E979" s="265" t="n"/>
      <c r="F979" s="133" t="n"/>
      <c r="G979" s="133" t="n"/>
      <c r="H979" s="50" t="n"/>
      <c r="I979" s="51">
        <f>IF($C979="","",IFERROR(INDEX(WorkerIDs,MATCH($C979,WorkerNames,0)),"?"))</f>
        <v/>
      </c>
      <c r="J979" s="253">
        <f>IF($B979="","",$B979-WEEKDAY($B979,2)+1)</f>
        <v/>
      </c>
      <c r="K979" s="142">
        <f>IF(OR($I979="",$I979="?",$D979&lt;&gt;"Advance",$B979=""),"",$I979&amp;"|"&amp;$J979&amp;"|"&amp;COUNTIFS($I$7:$I979,$I979,$J$7:$J979,$J979,$D$7:$D979,"Advance"))</f>
        <v/>
      </c>
      <c r="L979" s="266">
        <f>IF(OR($I979="",$I979="?",$B979=""),"",SUMPRODUCT((Weeks!$A$7:$A$59&lt;=$J979)*(Weeks!$X$5:$AI$5=$I979)*Weeks!$X$7:$AI$59)-SUMIFS($E$7:$E$1006,$I$7:$I$1006,$I979,$B$7:$B$1006,"&lt;="&amp;$B979))</f>
        <v/>
      </c>
      <c r="M979" s="132">
        <f>IF($B979&amp;$C979&amp;$D979&amp;$E979="","",IF($B979="","missing date",IF($C979="","missing worker",IF($I979="?","unknown worker - was the name changed on Workers?",IF($D979="","missing type",IF(N($E979)=0,"missing amount",IF(AND($E979&lt;0,$D979&lt;&gt;"Correction"),"negative amount - use a Correction to undo",IF(OR($B979&lt;Weeks!$A$7,$B979&gt;Weeks!$B$59),"date outside this workbook's year",IF(AND($D979="Advance",N($L979)&lt;0),"Warning: more than earned so far - worker now owes "&amp;TEXT(ROUND(-$L979,0),"#,##0"),"")))))))))</f>
        <v/>
      </c>
      <c r="N979" s="125" t="n"/>
      <c r="O979" s="126" t="n"/>
      <c r="P979" s="126" t="n"/>
      <c r="Q979" s="126" t="n"/>
      <c r="R979" s="126" t="n"/>
      <c r="S979" s="126" t="n"/>
      <c r="T979" s="126" t="n"/>
      <c r="U979" s="126" t="n"/>
      <c r="V979" s="126" t="n"/>
      <c r="W979" s="126" t="n"/>
      <c r="X979" s="126" t="n"/>
      <c r="Y979" s="126" t="n"/>
      <c r="Z979" s="126" t="n"/>
      <c r="AA979" s="126" t="n"/>
      <c r="AB979" s="126" t="n"/>
      <c r="AC979" s="126" t="n"/>
      <c r="AD979" s="126" t="n"/>
      <c r="AE979" s="126" t="n"/>
      <c r="AF979" s="126" t="n"/>
      <c r="AG979" s="126" t="n"/>
      <c r="AH979" s="126" t="n"/>
      <c r="AI979" s="126" t="n"/>
      <c r="AJ979" s="126" t="n"/>
      <c r="AK979" s="126" t="n"/>
      <c r="AL979" s="126" t="n"/>
      <c r="AM979" s="126" t="n"/>
      <c r="AN979" s="126" t="n"/>
    </row>
    <row r="980" ht="21" customFormat="1" customHeight="1" s="127">
      <c r="A980" s="51">
        <f>IF($B980="","",ROW()-6)</f>
        <v/>
      </c>
      <c r="B980" s="268" t="n"/>
      <c r="C980" s="133" t="n"/>
      <c r="D980" s="50" t="n"/>
      <c r="E980" s="265" t="n"/>
      <c r="F980" s="133" t="n"/>
      <c r="G980" s="133" t="n"/>
      <c r="H980" s="50" t="n"/>
      <c r="I980" s="51">
        <f>IF($C980="","",IFERROR(INDEX(WorkerIDs,MATCH($C980,WorkerNames,0)),"?"))</f>
        <v/>
      </c>
      <c r="J980" s="253">
        <f>IF($B980="","",$B980-WEEKDAY($B980,2)+1)</f>
        <v/>
      </c>
      <c r="K980" s="142">
        <f>IF(OR($I980="",$I980="?",$D980&lt;&gt;"Advance",$B980=""),"",$I980&amp;"|"&amp;$J980&amp;"|"&amp;COUNTIFS($I$7:$I980,$I980,$J$7:$J980,$J980,$D$7:$D980,"Advance"))</f>
        <v/>
      </c>
      <c r="L980" s="266">
        <f>IF(OR($I980="",$I980="?",$B980=""),"",SUMPRODUCT((Weeks!$A$7:$A$59&lt;=$J980)*(Weeks!$X$5:$AI$5=$I980)*Weeks!$X$7:$AI$59)-SUMIFS($E$7:$E$1006,$I$7:$I$1006,$I980,$B$7:$B$1006,"&lt;="&amp;$B980))</f>
        <v/>
      </c>
      <c r="M980" s="132">
        <f>IF($B980&amp;$C980&amp;$D980&amp;$E980="","",IF($B980="","missing date",IF($C980="","missing worker",IF($I980="?","unknown worker - was the name changed on Workers?",IF($D980="","missing type",IF(N($E980)=0,"missing amount",IF(AND($E980&lt;0,$D980&lt;&gt;"Correction"),"negative amount - use a Correction to undo",IF(OR($B980&lt;Weeks!$A$7,$B980&gt;Weeks!$B$59),"date outside this workbook's year",IF(AND($D980="Advance",N($L980)&lt;0),"Warning: more than earned so far - worker now owes "&amp;TEXT(ROUND(-$L980,0),"#,##0"),"")))))))))</f>
        <v/>
      </c>
      <c r="N980" s="125" t="n"/>
      <c r="O980" s="126" t="n"/>
      <c r="P980" s="126" t="n"/>
      <c r="Q980" s="126" t="n"/>
      <c r="R980" s="126" t="n"/>
      <c r="S980" s="126" t="n"/>
      <c r="T980" s="126" t="n"/>
      <c r="U980" s="126" t="n"/>
      <c r="V980" s="126" t="n"/>
      <c r="W980" s="126" t="n"/>
      <c r="X980" s="126" t="n"/>
      <c r="Y980" s="126" t="n"/>
      <c r="Z980" s="126" t="n"/>
      <c r="AA980" s="126" t="n"/>
      <c r="AB980" s="126" t="n"/>
      <c r="AC980" s="126" t="n"/>
      <c r="AD980" s="126" t="n"/>
      <c r="AE980" s="126" t="n"/>
      <c r="AF980" s="126" t="n"/>
      <c r="AG980" s="126" t="n"/>
      <c r="AH980" s="126" t="n"/>
      <c r="AI980" s="126" t="n"/>
      <c r="AJ980" s="126" t="n"/>
      <c r="AK980" s="126" t="n"/>
      <c r="AL980" s="126" t="n"/>
      <c r="AM980" s="126" t="n"/>
      <c r="AN980" s="126" t="n"/>
    </row>
    <row r="981" ht="21" customFormat="1" customHeight="1" s="127">
      <c r="A981" s="51">
        <f>IF($B981="","",ROW()-6)</f>
        <v/>
      </c>
      <c r="B981" s="268" t="n"/>
      <c r="C981" s="133" t="n"/>
      <c r="D981" s="50" t="n"/>
      <c r="E981" s="265" t="n"/>
      <c r="F981" s="133" t="n"/>
      <c r="G981" s="133" t="n"/>
      <c r="H981" s="50" t="n"/>
      <c r="I981" s="51">
        <f>IF($C981="","",IFERROR(INDEX(WorkerIDs,MATCH($C981,WorkerNames,0)),"?"))</f>
        <v/>
      </c>
      <c r="J981" s="253">
        <f>IF($B981="","",$B981-WEEKDAY($B981,2)+1)</f>
        <v/>
      </c>
      <c r="K981" s="142">
        <f>IF(OR($I981="",$I981="?",$D981&lt;&gt;"Advance",$B981=""),"",$I981&amp;"|"&amp;$J981&amp;"|"&amp;COUNTIFS($I$7:$I981,$I981,$J$7:$J981,$J981,$D$7:$D981,"Advance"))</f>
        <v/>
      </c>
      <c r="L981" s="266">
        <f>IF(OR($I981="",$I981="?",$B981=""),"",SUMPRODUCT((Weeks!$A$7:$A$59&lt;=$J981)*(Weeks!$X$5:$AI$5=$I981)*Weeks!$X$7:$AI$59)-SUMIFS($E$7:$E$1006,$I$7:$I$1006,$I981,$B$7:$B$1006,"&lt;="&amp;$B981))</f>
        <v/>
      </c>
      <c r="M981" s="132">
        <f>IF($B981&amp;$C981&amp;$D981&amp;$E981="","",IF($B981="","missing date",IF($C981="","missing worker",IF($I981="?","unknown worker - was the name changed on Workers?",IF($D981="","missing type",IF(N($E981)=0,"missing amount",IF(AND($E981&lt;0,$D981&lt;&gt;"Correction"),"negative amount - use a Correction to undo",IF(OR($B981&lt;Weeks!$A$7,$B981&gt;Weeks!$B$59),"date outside this workbook's year",IF(AND($D981="Advance",N($L981)&lt;0),"Warning: more than earned so far - worker now owes "&amp;TEXT(ROUND(-$L981,0),"#,##0"),"")))))))))</f>
        <v/>
      </c>
      <c r="N981" s="125" t="n"/>
      <c r="O981" s="126" t="n"/>
      <c r="P981" s="126" t="n"/>
      <c r="Q981" s="126" t="n"/>
      <c r="R981" s="126" t="n"/>
      <c r="S981" s="126" t="n"/>
      <c r="T981" s="126" t="n"/>
      <c r="U981" s="126" t="n"/>
      <c r="V981" s="126" t="n"/>
      <c r="W981" s="126" t="n"/>
      <c r="X981" s="126" t="n"/>
      <c r="Y981" s="126" t="n"/>
      <c r="Z981" s="126" t="n"/>
      <c r="AA981" s="126" t="n"/>
      <c r="AB981" s="126" t="n"/>
      <c r="AC981" s="126" t="n"/>
      <c r="AD981" s="126" t="n"/>
      <c r="AE981" s="126" t="n"/>
      <c r="AF981" s="126" t="n"/>
      <c r="AG981" s="126" t="n"/>
      <c r="AH981" s="126" t="n"/>
      <c r="AI981" s="126" t="n"/>
      <c r="AJ981" s="126" t="n"/>
      <c r="AK981" s="126" t="n"/>
      <c r="AL981" s="126" t="n"/>
      <c r="AM981" s="126" t="n"/>
      <c r="AN981" s="126" t="n"/>
    </row>
    <row r="982" ht="21" customFormat="1" customHeight="1" s="127">
      <c r="A982" s="51">
        <f>IF($B982="","",ROW()-6)</f>
        <v/>
      </c>
      <c r="B982" s="268" t="n"/>
      <c r="C982" s="133" t="n"/>
      <c r="D982" s="50" t="n"/>
      <c r="E982" s="265" t="n"/>
      <c r="F982" s="133" t="n"/>
      <c r="G982" s="133" t="n"/>
      <c r="H982" s="50" t="n"/>
      <c r="I982" s="51">
        <f>IF($C982="","",IFERROR(INDEX(WorkerIDs,MATCH($C982,WorkerNames,0)),"?"))</f>
        <v/>
      </c>
      <c r="J982" s="253">
        <f>IF($B982="","",$B982-WEEKDAY($B982,2)+1)</f>
        <v/>
      </c>
      <c r="K982" s="142">
        <f>IF(OR($I982="",$I982="?",$D982&lt;&gt;"Advance",$B982=""),"",$I982&amp;"|"&amp;$J982&amp;"|"&amp;COUNTIFS($I$7:$I982,$I982,$J$7:$J982,$J982,$D$7:$D982,"Advance"))</f>
        <v/>
      </c>
      <c r="L982" s="266">
        <f>IF(OR($I982="",$I982="?",$B982=""),"",SUMPRODUCT((Weeks!$A$7:$A$59&lt;=$J982)*(Weeks!$X$5:$AI$5=$I982)*Weeks!$X$7:$AI$59)-SUMIFS($E$7:$E$1006,$I$7:$I$1006,$I982,$B$7:$B$1006,"&lt;="&amp;$B982))</f>
        <v/>
      </c>
      <c r="M982" s="132">
        <f>IF($B982&amp;$C982&amp;$D982&amp;$E982="","",IF($B982="","missing date",IF($C982="","missing worker",IF($I982="?","unknown worker - was the name changed on Workers?",IF($D982="","missing type",IF(N($E982)=0,"missing amount",IF(AND($E982&lt;0,$D982&lt;&gt;"Correction"),"negative amount - use a Correction to undo",IF(OR($B982&lt;Weeks!$A$7,$B982&gt;Weeks!$B$59),"date outside this workbook's year",IF(AND($D982="Advance",N($L982)&lt;0),"Warning: more than earned so far - worker now owes "&amp;TEXT(ROUND(-$L982,0),"#,##0"),"")))))))))</f>
        <v/>
      </c>
      <c r="N982" s="125" t="n"/>
      <c r="O982" s="126" t="n"/>
      <c r="P982" s="126" t="n"/>
      <c r="Q982" s="126" t="n"/>
      <c r="R982" s="126" t="n"/>
      <c r="S982" s="126" t="n"/>
      <c r="T982" s="126" t="n"/>
      <c r="U982" s="126" t="n"/>
      <c r="V982" s="126" t="n"/>
      <c r="W982" s="126" t="n"/>
      <c r="X982" s="126" t="n"/>
      <c r="Y982" s="126" t="n"/>
      <c r="Z982" s="126" t="n"/>
      <c r="AA982" s="126" t="n"/>
      <c r="AB982" s="126" t="n"/>
      <c r="AC982" s="126" t="n"/>
      <c r="AD982" s="126" t="n"/>
      <c r="AE982" s="126" t="n"/>
      <c r="AF982" s="126" t="n"/>
      <c r="AG982" s="126" t="n"/>
      <c r="AH982" s="126" t="n"/>
      <c r="AI982" s="126" t="n"/>
      <c r="AJ982" s="126" t="n"/>
      <c r="AK982" s="126" t="n"/>
      <c r="AL982" s="126" t="n"/>
      <c r="AM982" s="126" t="n"/>
      <c r="AN982" s="126" t="n"/>
    </row>
    <row r="983" ht="21" customFormat="1" customHeight="1" s="127">
      <c r="A983" s="51">
        <f>IF($B983="","",ROW()-6)</f>
        <v/>
      </c>
      <c r="B983" s="268" t="n"/>
      <c r="C983" s="133" t="n"/>
      <c r="D983" s="50" t="n"/>
      <c r="E983" s="265" t="n"/>
      <c r="F983" s="133" t="n"/>
      <c r="G983" s="133" t="n"/>
      <c r="H983" s="50" t="n"/>
      <c r="I983" s="51">
        <f>IF($C983="","",IFERROR(INDEX(WorkerIDs,MATCH($C983,WorkerNames,0)),"?"))</f>
        <v/>
      </c>
      <c r="J983" s="253">
        <f>IF($B983="","",$B983-WEEKDAY($B983,2)+1)</f>
        <v/>
      </c>
      <c r="K983" s="142">
        <f>IF(OR($I983="",$I983="?",$D983&lt;&gt;"Advance",$B983=""),"",$I983&amp;"|"&amp;$J983&amp;"|"&amp;COUNTIFS($I$7:$I983,$I983,$J$7:$J983,$J983,$D$7:$D983,"Advance"))</f>
        <v/>
      </c>
      <c r="L983" s="266">
        <f>IF(OR($I983="",$I983="?",$B983=""),"",SUMPRODUCT((Weeks!$A$7:$A$59&lt;=$J983)*(Weeks!$X$5:$AI$5=$I983)*Weeks!$X$7:$AI$59)-SUMIFS($E$7:$E$1006,$I$7:$I$1006,$I983,$B$7:$B$1006,"&lt;="&amp;$B983))</f>
        <v/>
      </c>
      <c r="M983" s="132">
        <f>IF($B983&amp;$C983&amp;$D983&amp;$E983="","",IF($B983="","missing date",IF($C983="","missing worker",IF($I983="?","unknown worker - was the name changed on Workers?",IF($D983="","missing type",IF(N($E983)=0,"missing amount",IF(AND($E983&lt;0,$D983&lt;&gt;"Correction"),"negative amount - use a Correction to undo",IF(OR($B983&lt;Weeks!$A$7,$B983&gt;Weeks!$B$59),"date outside this workbook's year",IF(AND($D983="Advance",N($L983)&lt;0),"Warning: more than earned so far - worker now owes "&amp;TEXT(ROUND(-$L983,0),"#,##0"),"")))))))))</f>
        <v/>
      </c>
      <c r="N983" s="125" t="n"/>
      <c r="O983" s="126" t="n"/>
      <c r="P983" s="126" t="n"/>
      <c r="Q983" s="126" t="n"/>
      <c r="R983" s="126" t="n"/>
      <c r="S983" s="126" t="n"/>
      <c r="T983" s="126" t="n"/>
      <c r="U983" s="126" t="n"/>
      <c r="V983" s="126" t="n"/>
      <c r="W983" s="126" t="n"/>
      <c r="X983" s="126" t="n"/>
      <c r="Y983" s="126" t="n"/>
      <c r="Z983" s="126" t="n"/>
      <c r="AA983" s="126" t="n"/>
      <c r="AB983" s="126" t="n"/>
      <c r="AC983" s="126" t="n"/>
      <c r="AD983" s="126" t="n"/>
      <c r="AE983" s="126" t="n"/>
      <c r="AF983" s="126" t="n"/>
      <c r="AG983" s="126" t="n"/>
      <c r="AH983" s="126" t="n"/>
      <c r="AI983" s="126" t="n"/>
      <c r="AJ983" s="126" t="n"/>
      <c r="AK983" s="126" t="n"/>
      <c r="AL983" s="126" t="n"/>
      <c r="AM983" s="126" t="n"/>
      <c r="AN983" s="126" t="n"/>
    </row>
    <row r="984" ht="21" customFormat="1" customHeight="1" s="127">
      <c r="A984" s="51">
        <f>IF($B984="","",ROW()-6)</f>
        <v/>
      </c>
      <c r="B984" s="268" t="n"/>
      <c r="C984" s="133" t="n"/>
      <c r="D984" s="50" t="n"/>
      <c r="E984" s="265" t="n"/>
      <c r="F984" s="133" t="n"/>
      <c r="G984" s="133" t="n"/>
      <c r="H984" s="50" t="n"/>
      <c r="I984" s="51">
        <f>IF($C984="","",IFERROR(INDEX(WorkerIDs,MATCH($C984,WorkerNames,0)),"?"))</f>
        <v/>
      </c>
      <c r="J984" s="253">
        <f>IF($B984="","",$B984-WEEKDAY($B984,2)+1)</f>
        <v/>
      </c>
      <c r="K984" s="142">
        <f>IF(OR($I984="",$I984="?",$D984&lt;&gt;"Advance",$B984=""),"",$I984&amp;"|"&amp;$J984&amp;"|"&amp;COUNTIFS($I$7:$I984,$I984,$J$7:$J984,$J984,$D$7:$D984,"Advance"))</f>
        <v/>
      </c>
      <c r="L984" s="266">
        <f>IF(OR($I984="",$I984="?",$B984=""),"",SUMPRODUCT((Weeks!$A$7:$A$59&lt;=$J984)*(Weeks!$X$5:$AI$5=$I984)*Weeks!$X$7:$AI$59)-SUMIFS($E$7:$E$1006,$I$7:$I$1006,$I984,$B$7:$B$1006,"&lt;="&amp;$B984))</f>
        <v/>
      </c>
      <c r="M984" s="132">
        <f>IF($B984&amp;$C984&amp;$D984&amp;$E984="","",IF($B984="","missing date",IF($C984="","missing worker",IF($I984="?","unknown worker - was the name changed on Workers?",IF($D984="","missing type",IF(N($E984)=0,"missing amount",IF(AND($E984&lt;0,$D984&lt;&gt;"Correction"),"negative amount - use a Correction to undo",IF(OR($B984&lt;Weeks!$A$7,$B984&gt;Weeks!$B$59),"date outside this workbook's year",IF(AND($D984="Advance",N($L984)&lt;0),"Warning: more than earned so far - worker now owes "&amp;TEXT(ROUND(-$L984,0),"#,##0"),"")))))))))</f>
        <v/>
      </c>
      <c r="N984" s="125" t="n"/>
      <c r="O984" s="126" t="n"/>
      <c r="P984" s="126" t="n"/>
      <c r="Q984" s="126" t="n"/>
      <c r="R984" s="126" t="n"/>
      <c r="S984" s="126" t="n"/>
      <c r="T984" s="126" t="n"/>
      <c r="U984" s="126" t="n"/>
      <c r="V984" s="126" t="n"/>
      <c r="W984" s="126" t="n"/>
      <c r="X984" s="126" t="n"/>
      <c r="Y984" s="126" t="n"/>
      <c r="Z984" s="126" t="n"/>
      <c r="AA984" s="126" t="n"/>
      <c r="AB984" s="126" t="n"/>
      <c r="AC984" s="126" t="n"/>
      <c r="AD984" s="126" t="n"/>
      <c r="AE984" s="126" t="n"/>
      <c r="AF984" s="126" t="n"/>
      <c r="AG984" s="126" t="n"/>
      <c r="AH984" s="126" t="n"/>
      <c r="AI984" s="126" t="n"/>
      <c r="AJ984" s="126" t="n"/>
      <c r="AK984" s="126" t="n"/>
      <c r="AL984" s="126" t="n"/>
      <c r="AM984" s="126" t="n"/>
      <c r="AN984" s="126" t="n"/>
    </row>
    <row r="985" ht="21" customFormat="1" customHeight="1" s="127">
      <c r="A985" s="51">
        <f>IF($B985="","",ROW()-6)</f>
        <v/>
      </c>
      <c r="B985" s="268" t="n"/>
      <c r="C985" s="133" t="n"/>
      <c r="D985" s="50" t="n"/>
      <c r="E985" s="265" t="n"/>
      <c r="F985" s="133" t="n"/>
      <c r="G985" s="133" t="n"/>
      <c r="H985" s="50" t="n"/>
      <c r="I985" s="51">
        <f>IF($C985="","",IFERROR(INDEX(WorkerIDs,MATCH($C985,WorkerNames,0)),"?"))</f>
        <v/>
      </c>
      <c r="J985" s="253">
        <f>IF($B985="","",$B985-WEEKDAY($B985,2)+1)</f>
        <v/>
      </c>
      <c r="K985" s="142">
        <f>IF(OR($I985="",$I985="?",$D985&lt;&gt;"Advance",$B985=""),"",$I985&amp;"|"&amp;$J985&amp;"|"&amp;COUNTIFS($I$7:$I985,$I985,$J$7:$J985,$J985,$D$7:$D985,"Advance"))</f>
        <v/>
      </c>
      <c r="L985" s="266">
        <f>IF(OR($I985="",$I985="?",$B985=""),"",SUMPRODUCT((Weeks!$A$7:$A$59&lt;=$J985)*(Weeks!$X$5:$AI$5=$I985)*Weeks!$X$7:$AI$59)-SUMIFS($E$7:$E$1006,$I$7:$I$1006,$I985,$B$7:$B$1006,"&lt;="&amp;$B985))</f>
        <v/>
      </c>
      <c r="M985" s="132">
        <f>IF($B985&amp;$C985&amp;$D985&amp;$E985="","",IF($B985="","missing date",IF($C985="","missing worker",IF($I985="?","unknown worker - was the name changed on Workers?",IF($D985="","missing type",IF(N($E985)=0,"missing amount",IF(AND($E985&lt;0,$D985&lt;&gt;"Correction"),"negative amount - use a Correction to undo",IF(OR($B985&lt;Weeks!$A$7,$B985&gt;Weeks!$B$59),"date outside this workbook's year",IF(AND($D985="Advance",N($L985)&lt;0),"Warning: more than earned so far - worker now owes "&amp;TEXT(ROUND(-$L985,0),"#,##0"),"")))))))))</f>
        <v/>
      </c>
      <c r="N985" s="125" t="n"/>
      <c r="O985" s="126" t="n"/>
      <c r="P985" s="126" t="n"/>
      <c r="Q985" s="126" t="n"/>
      <c r="R985" s="126" t="n"/>
      <c r="S985" s="126" t="n"/>
      <c r="T985" s="126" t="n"/>
      <c r="U985" s="126" t="n"/>
      <c r="V985" s="126" t="n"/>
      <c r="W985" s="126" t="n"/>
      <c r="X985" s="126" t="n"/>
      <c r="Y985" s="126" t="n"/>
      <c r="Z985" s="126" t="n"/>
      <c r="AA985" s="126" t="n"/>
      <c r="AB985" s="126" t="n"/>
      <c r="AC985" s="126" t="n"/>
      <c r="AD985" s="126" t="n"/>
      <c r="AE985" s="126" t="n"/>
      <c r="AF985" s="126" t="n"/>
      <c r="AG985" s="126" t="n"/>
      <c r="AH985" s="126" t="n"/>
      <c r="AI985" s="126" t="n"/>
      <c r="AJ985" s="126" t="n"/>
      <c r="AK985" s="126" t="n"/>
      <c r="AL985" s="126" t="n"/>
      <c r="AM985" s="126" t="n"/>
      <c r="AN985" s="126" t="n"/>
    </row>
    <row r="986" ht="21" customFormat="1" customHeight="1" s="127">
      <c r="A986" s="51">
        <f>IF($B986="","",ROW()-6)</f>
        <v/>
      </c>
      <c r="B986" s="268" t="n"/>
      <c r="C986" s="133" t="n"/>
      <c r="D986" s="50" t="n"/>
      <c r="E986" s="265" t="n"/>
      <c r="F986" s="133" t="n"/>
      <c r="G986" s="133" t="n"/>
      <c r="H986" s="50" t="n"/>
      <c r="I986" s="51">
        <f>IF($C986="","",IFERROR(INDEX(WorkerIDs,MATCH($C986,WorkerNames,0)),"?"))</f>
        <v/>
      </c>
      <c r="J986" s="253">
        <f>IF($B986="","",$B986-WEEKDAY($B986,2)+1)</f>
        <v/>
      </c>
      <c r="K986" s="142">
        <f>IF(OR($I986="",$I986="?",$D986&lt;&gt;"Advance",$B986=""),"",$I986&amp;"|"&amp;$J986&amp;"|"&amp;COUNTIFS($I$7:$I986,$I986,$J$7:$J986,$J986,$D$7:$D986,"Advance"))</f>
        <v/>
      </c>
      <c r="L986" s="266">
        <f>IF(OR($I986="",$I986="?",$B986=""),"",SUMPRODUCT((Weeks!$A$7:$A$59&lt;=$J986)*(Weeks!$X$5:$AI$5=$I986)*Weeks!$X$7:$AI$59)-SUMIFS($E$7:$E$1006,$I$7:$I$1006,$I986,$B$7:$B$1006,"&lt;="&amp;$B986))</f>
        <v/>
      </c>
      <c r="M986" s="132">
        <f>IF($B986&amp;$C986&amp;$D986&amp;$E986="","",IF($B986="","missing date",IF($C986="","missing worker",IF($I986="?","unknown worker - was the name changed on Workers?",IF($D986="","missing type",IF(N($E986)=0,"missing amount",IF(AND($E986&lt;0,$D986&lt;&gt;"Correction"),"negative amount - use a Correction to undo",IF(OR($B986&lt;Weeks!$A$7,$B986&gt;Weeks!$B$59),"date outside this workbook's year",IF(AND($D986="Advance",N($L986)&lt;0),"Warning: more than earned so far - worker now owes "&amp;TEXT(ROUND(-$L986,0),"#,##0"),"")))))))))</f>
        <v/>
      </c>
      <c r="N986" s="125" t="n"/>
      <c r="O986" s="126" t="n"/>
      <c r="P986" s="126" t="n"/>
      <c r="Q986" s="126" t="n"/>
      <c r="R986" s="126" t="n"/>
      <c r="S986" s="126" t="n"/>
      <c r="T986" s="126" t="n"/>
      <c r="U986" s="126" t="n"/>
      <c r="V986" s="126" t="n"/>
      <c r="W986" s="126" t="n"/>
      <c r="X986" s="126" t="n"/>
      <c r="Y986" s="126" t="n"/>
      <c r="Z986" s="126" t="n"/>
      <c r="AA986" s="126" t="n"/>
      <c r="AB986" s="126" t="n"/>
      <c r="AC986" s="126" t="n"/>
      <c r="AD986" s="126" t="n"/>
      <c r="AE986" s="126" t="n"/>
      <c r="AF986" s="126" t="n"/>
      <c r="AG986" s="126" t="n"/>
      <c r="AH986" s="126" t="n"/>
      <c r="AI986" s="126" t="n"/>
      <c r="AJ986" s="126" t="n"/>
      <c r="AK986" s="126" t="n"/>
      <c r="AL986" s="126" t="n"/>
      <c r="AM986" s="126" t="n"/>
      <c r="AN986" s="126" t="n"/>
    </row>
    <row r="987" ht="21" customFormat="1" customHeight="1" s="127">
      <c r="A987" s="51">
        <f>IF($B987="","",ROW()-6)</f>
        <v/>
      </c>
      <c r="B987" s="268" t="n"/>
      <c r="C987" s="133" t="n"/>
      <c r="D987" s="50" t="n"/>
      <c r="E987" s="265" t="n"/>
      <c r="F987" s="133" t="n"/>
      <c r="G987" s="133" t="n"/>
      <c r="H987" s="50" t="n"/>
      <c r="I987" s="51">
        <f>IF($C987="","",IFERROR(INDEX(WorkerIDs,MATCH($C987,WorkerNames,0)),"?"))</f>
        <v/>
      </c>
      <c r="J987" s="253">
        <f>IF($B987="","",$B987-WEEKDAY($B987,2)+1)</f>
        <v/>
      </c>
      <c r="K987" s="142">
        <f>IF(OR($I987="",$I987="?",$D987&lt;&gt;"Advance",$B987=""),"",$I987&amp;"|"&amp;$J987&amp;"|"&amp;COUNTIFS($I$7:$I987,$I987,$J$7:$J987,$J987,$D$7:$D987,"Advance"))</f>
        <v/>
      </c>
      <c r="L987" s="266">
        <f>IF(OR($I987="",$I987="?",$B987=""),"",SUMPRODUCT((Weeks!$A$7:$A$59&lt;=$J987)*(Weeks!$X$5:$AI$5=$I987)*Weeks!$X$7:$AI$59)-SUMIFS($E$7:$E$1006,$I$7:$I$1006,$I987,$B$7:$B$1006,"&lt;="&amp;$B987))</f>
        <v/>
      </c>
      <c r="M987" s="132">
        <f>IF($B987&amp;$C987&amp;$D987&amp;$E987="","",IF($B987="","missing date",IF($C987="","missing worker",IF($I987="?","unknown worker - was the name changed on Workers?",IF($D987="","missing type",IF(N($E987)=0,"missing amount",IF(AND($E987&lt;0,$D987&lt;&gt;"Correction"),"negative amount - use a Correction to undo",IF(OR($B987&lt;Weeks!$A$7,$B987&gt;Weeks!$B$59),"date outside this workbook's year",IF(AND($D987="Advance",N($L987)&lt;0),"Warning: more than earned so far - worker now owes "&amp;TEXT(ROUND(-$L987,0),"#,##0"),"")))))))))</f>
        <v/>
      </c>
      <c r="N987" s="125" t="n"/>
      <c r="O987" s="126" t="n"/>
      <c r="P987" s="126" t="n"/>
      <c r="Q987" s="126" t="n"/>
      <c r="R987" s="126" t="n"/>
      <c r="S987" s="126" t="n"/>
      <c r="T987" s="126" t="n"/>
      <c r="U987" s="126" t="n"/>
      <c r="V987" s="126" t="n"/>
      <c r="W987" s="126" t="n"/>
      <c r="X987" s="126" t="n"/>
      <c r="Y987" s="126" t="n"/>
      <c r="Z987" s="126" t="n"/>
      <c r="AA987" s="126" t="n"/>
      <c r="AB987" s="126" t="n"/>
      <c r="AC987" s="126" t="n"/>
      <c r="AD987" s="126" t="n"/>
      <c r="AE987" s="126" t="n"/>
      <c r="AF987" s="126" t="n"/>
      <c r="AG987" s="126" t="n"/>
      <c r="AH987" s="126" t="n"/>
      <c r="AI987" s="126" t="n"/>
      <c r="AJ987" s="126" t="n"/>
      <c r="AK987" s="126" t="n"/>
      <c r="AL987" s="126" t="n"/>
      <c r="AM987" s="126" t="n"/>
      <c r="AN987" s="126" t="n"/>
    </row>
    <row r="988" ht="21" customFormat="1" customHeight="1" s="127">
      <c r="A988" s="51">
        <f>IF($B988="","",ROW()-6)</f>
        <v/>
      </c>
      <c r="B988" s="268" t="n"/>
      <c r="C988" s="133" t="n"/>
      <c r="D988" s="50" t="n"/>
      <c r="E988" s="265" t="n"/>
      <c r="F988" s="133" t="n"/>
      <c r="G988" s="133" t="n"/>
      <c r="H988" s="50" t="n"/>
      <c r="I988" s="51">
        <f>IF($C988="","",IFERROR(INDEX(WorkerIDs,MATCH($C988,WorkerNames,0)),"?"))</f>
        <v/>
      </c>
      <c r="J988" s="253">
        <f>IF($B988="","",$B988-WEEKDAY($B988,2)+1)</f>
        <v/>
      </c>
      <c r="K988" s="142">
        <f>IF(OR($I988="",$I988="?",$D988&lt;&gt;"Advance",$B988=""),"",$I988&amp;"|"&amp;$J988&amp;"|"&amp;COUNTIFS($I$7:$I988,$I988,$J$7:$J988,$J988,$D$7:$D988,"Advance"))</f>
        <v/>
      </c>
      <c r="L988" s="266">
        <f>IF(OR($I988="",$I988="?",$B988=""),"",SUMPRODUCT((Weeks!$A$7:$A$59&lt;=$J988)*(Weeks!$X$5:$AI$5=$I988)*Weeks!$X$7:$AI$59)-SUMIFS($E$7:$E$1006,$I$7:$I$1006,$I988,$B$7:$B$1006,"&lt;="&amp;$B988))</f>
        <v/>
      </c>
      <c r="M988" s="132">
        <f>IF($B988&amp;$C988&amp;$D988&amp;$E988="","",IF($B988="","missing date",IF($C988="","missing worker",IF($I988="?","unknown worker - was the name changed on Workers?",IF($D988="","missing type",IF(N($E988)=0,"missing amount",IF(AND($E988&lt;0,$D988&lt;&gt;"Correction"),"negative amount - use a Correction to undo",IF(OR($B988&lt;Weeks!$A$7,$B988&gt;Weeks!$B$59),"date outside this workbook's year",IF(AND($D988="Advance",N($L988)&lt;0),"Warning: more than earned so far - worker now owes "&amp;TEXT(ROUND(-$L988,0),"#,##0"),"")))))))))</f>
        <v/>
      </c>
      <c r="N988" s="125" t="n"/>
      <c r="O988" s="126" t="n"/>
      <c r="P988" s="126" t="n"/>
      <c r="Q988" s="126" t="n"/>
      <c r="R988" s="126" t="n"/>
      <c r="S988" s="126" t="n"/>
      <c r="T988" s="126" t="n"/>
      <c r="U988" s="126" t="n"/>
      <c r="V988" s="126" t="n"/>
      <c r="W988" s="126" t="n"/>
      <c r="X988" s="126" t="n"/>
      <c r="Y988" s="126" t="n"/>
      <c r="Z988" s="126" t="n"/>
      <c r="AA988" s="126" t="n"/>
      <c r="AB988" s="126" t="n"/>
      <c r="AC988" s="126" t="n"/>
      <c r="AD988" s="126" t="n"/>
      <c r="AE988" s="126" t="n"/>
      <c r="AF988" s="126" t="n"/>
      <c r="AG988" s="126" t="n"/>
      <c r="AH988" s="126" t="n"/>
      <c r="AI988" s="126" t="n"/>
      <c r="AJ988" s="126" t="n"/>
      <c r="AK988" s="126" t="n"/>
      <c r="AL988" s="126" t="n"/>
      <c r="AM988" s="126" t="n"/>
      <c r="AN988" s="126" t="n"/>
    </row>
    <row r="989" ht="21" customFormat="1" customHeight="1" s="127">
      <c r="A989" s="51">
        <f>IF($B989="","",ROW()-6)</f>
        <v/>
      </c>
      <c r="B989" s="268" t="n"/>
      <c r="C989" s="133" t="n"/>
      <c r="D989" s="50" t="n"/>
      <c r="E989" s="265" t="n"/>
      <c r="F989" s="133" t="n"/>
      <c r="G989" s="133" t="n"/>
      <c r="H989" s="50" t="n"/>
      <c r="I989" s="51">
        <f>IF($C989="","",IFERROR(INDEX(WorkerIDs,MATCH($C989,WorkerNames,0)),"?"))</f>
        <v/>
      </c>
      <c r="J989" s="253">
        <f>IF($B989="","",$B989-WEEKDAY($B989,2)+1)</f>
        <v/>
      </c>
      <c r="K989" s="142">
        <f>IF(OR($I989="",$I989="?",$D989&lt;&gt;"Advance",$B989=""),"",$I989&amp;"|"&amp;$J989&amp;"|"&amp;COUNTIFS($I$7:$I989,$I989,$J$7:$J989,$J989,$D$7:$D989,"Advance"))</f>
        <v/>
      </c>
      <c r="L989" s="266">
        <f>IF(OR($I989="",$I989="?",$B989=""),"",SUMPRODUCT((Weeks!$A$7:$A$59&lt;=$J989)*(Weeks!$X$5:$AI$5=$I989)*Weeks!$X$7:$AI$59)-SUMIFS($E$7:$E$1006,$I$7:$I$1006,$I989,$B$7:$B$1006,"&lt;="&amp;$B989))</f>
        <v/>
      </c>
      <c r="M989" s="132">
        <f>IF($B989&amp;$C989&amp;$D989&amp;$E989="","",IF($B989="","missing date",IF($C989="","missing worker",IF($I989="?","unknown worker - was the name changed on Workers?",IF($D989="","missing type",IF(N($E989)=0,"missing amount",IF(AND($E989&lt;0,$D989&lt;&gt;"Correction"),"negative amount - use a Correction to undo",IF(OR($B989&lt;Weeks!$A$7,$B989&gt;Weeks!$B$59),"date outside this workbook's year",IF(AND($D989="Advance",N($L989)&lt;0),"Warning: more than earned so far - worker now owes "&amp;TEXT(ROUND(-$L989,0),"#,##0"),"")))))))))</f>
        <v/>
      </c>
      <c r="N989" s="125" t="n"/>
      <c r="O989" s="126" t="n"/>
      <c r="P989" s="126" t="n"/>
      <c r="Q989" s="126" t="n"/>
      <c r="R989" s="126" t="n"/>
      <c r="S989" s="126" t="n"/>
      <c r="T989" s="126" t="n"/>
      <c r="U989" s="126" t="n"/>
      <c r="V989" s="126" t="n"/>
      <c r="W989" s="126" t="n"/>
      <c r="X989" s="126" t="n"/>
      <c r="Y989" s="126" t="n"/>
      <c r="Z989" s="126" t="n"/>
      <c r="AA989" s="126" t="n"/>
      <c r="AB989" s="126" t="n"/>
      <c r="AC989" s="126" t="n"/>
      <c r="AD989" s="126" t="n"/>
      <c r="AE989" s="126" t="n"/>
      <c r="AF989" s="126" t="n"/>
      <c r="AG989" s="126" t="n"/>
      <c r="AH989" s="126" t="n"/>
      <c r="AI989" s="126" t="n"/>
      <c r="AJ989" s="126" t="n"/>
      <c r="AK989" s="126" t="n"/>
      <c r="AL989" s="126" t="n"/>
      <c r="AM989" s="126" t="n"/>
      <c r="AN989" s="126" t="n"/>
    </row>
    <row r="990" ht="21" customFormat="1" customHeight="1" s="127">
      <c r="A990" s="51">
        <f>IF($B990="","",ROW()-6)</f>
        <v/>
      </c>
      <c r="B990" s="268" t="n"/>
      <c r="C990" s="133" t="n"/>
      <c r="D990" s="50" t="n"/>
      <c r="E990" s="265" t="n"/>
      <c r="F990" s="133" t="n"/>
      <c r="G990" s="133" t="n"/>
      <c r="H990" s="50" t="n"/>
      <c r="I990" s="51">
        <f>IF($C990="","",IFERROR(INDEX(WorkerIDs,MATCH($C990,WorkerNames,0)),"?"))</f>
        <v/>
      </c>
      <c r="J990" s="253">
        <f>IF($B990="","",$B990-WEEKDAY($B990,2)+1)</f>
        <v/>
      </c>
      <c r="K990" s="142">
        <f>IF(OR($I990="",$I990="?",$D990&lt;&gt;"Advance",$B990=""),"",$I990&amp;"|"&amp;$J990&amp;"|"&amp;COUNTIFS($I$7:$I990,$I990,$J$7:$J990,$J990,$D$7:$D990,"Advance"))</f>
        <v/>
      </c>
      <c r="L990" s="266">
        <f>IF(OR($I990="",$I990="?",$B990=""),"",SUMPRODUCT((Weeks!$A$7:$A$59&lt;=$J990)*(Weeks!$X$5:$AI$5=$I990)*Weeks!$X$7:$AI$59)-SUMIFS($E$7:$E$1006,$I$7:$I$1006,$I990,$B$7:$B$1006,"&lt;="&amp;$B990))</f>
        <v/>
      </c>
      <c r="M990" s="132">
        <f>IF($B990&amp;$C990&amp;$D990&amp;$E990="","",IF($B990="","missing date",IF($C990="","missing worker",IF($I990="?","unknown worker - was the name changed on Workers?",IF($D990="","missing type",IF(N($E990)=0,"missing amount",IF(AND($E990&lt;0,$D990&lt;&gt;"Correction"),"negative amount - use a Correction to undo",IF(OR($B990&lt;Weeks!$A$7,$B990&gt;Weeks!$B$59),"date outside this workbook's year",IF(AND($D990="Advance",N($L990)&lt;0),"Warning: more than earned so far - worker now owes "&amp;TEXT(ROUND(-$L990,0),"#,##0"),"")))))))))</f>
        <v/>
      </c>
      <c r="N990" s="125" t="n"/>
      <c r="O990" s="126" t="n"/>
      <c r="P990" s="126" t="n"/>
      <c r="Q990" s="126" t="n"/>
      <c r="R990" s="126" t="n"/>
      <c r="S990" s="126" t="n"/>
      <c r="T990" s="126" t="n"/>
      <c r="U990" s="126" t="n"/>
      <c r="V990" s="126" t="n"/>
      <c r="W990" s="126" t="n"/>
      <c r="X990" s="126" t="n"/>
      <c r="Y990" s="126" t="n"/>
      <c r="Z990" s="126" t="n"/>
      <c r="AA990" s="126" t="n"/>
      <c r="AB990" s="126" t="n"/>
      <c r="AC990" s="126" t="n"/>
      <c r="AD990" s="126" t="n"/>
      <c r="AE990" s="126" t="n"/>
      <c r="AF990" s="126" t="n"/>
      <c r="AG990" s="126" t="n"/>
      <c r="AH990" s="126" t="n"/>
      <c r="AI990" s="126" t="n"/>
      <c r="AJ990" s="126" t="n"/>
      <c r="AK990" s="126" t="n"/>
      <c r="AL990" s="126" t="n"/>
      <c r="AM990" s="126" t="n"/>
      <c r="AN990" s="126" t="n"/>
    </row>
    <row r="991" ht="21" customFormat="1" customHeight="1" s="127">
      <c r="A991" s="51">
        <f>IF($B991="","",ROW()-6)</f>
        <v/>
      </c>
      <c r="B991" s="268" t="n"/>
      <c r="C991" s="133" t="n"/>
      <c r="D991" s="50" t="n"/>
      <c r="E991" s="265" t="n"/>
      <c r="F991" s="133" t="n"/>
      <c r="G991" s="133" t="n"/>
      <c r="H991" s="50" t="n"/>
      <c r="I991" s="51">
        <f>IF($C991="","",IFERROR(INDEX(WorkerIDs,MATCH($C991,WorkerNames,0)),"?"))</f>
        <v/>
      </c>
      <c r="J991" s="253">
        <f>IF($B991="","",$B991-WEEKDAY($B991,2)+1)</f>
        <v/>
      </c>
      <c r="K991" s="142">
        <f>IF(OR($I991="",$I991="?",$D991&lt;&gt;"Advance",$B991=""),"",$I991&amp;"|"&amp;$J991&amp;"|"&amp;COUNTIFS($I$7:$I991,$I991,$J$7:$J991,$J991,$D$7:$D991,"Advance"))</f>
        <v/>
      </c>
      <c r="L991" s="266">
        <f>IF(OR($I991="",$I991="?",$B991=""),"",SUMPRODUCT((Weeks!$A$7:$A$59&lt;=$J991)*(Weeks!$X$5:$AI$5=$I991)*Weeks!$X$7:$AI$59)-SUMIFS($E$7:$E$1006,$I$7:$I$1006,$I991,$B$7:$B$1006,"&lt;="&amp;$B991))</f>
        <v/>
      </c>
      <c r="M991" s="132">
        <f>IF($B991&amp;$C991&amp;$D991&amp;$E991="","",IF($B991="","missing date",IF($C991="","missing worker",IF($I991="?","unknown worker - was the name changed on Workers?",IF($D991="","missing type",IF(N($E991)=0,"missing amount",IF(AND($E991&lt;0,$D991&lt;&gt;"Correction"),"negative amount - use a Correction to undo",IF(OR($B991&lt;Weeks!$A$7,$B991&gt;Weeks!$B$59),"date outside this workbook's year",IF(AND($D991="Advance",N($L991)&lt;0),"Warning: more than earned so far - worker now owes "&amp;TEXT(ROUND(-$L991,0),"#,##0"),"")))))))))</f>
        <v/>
      </c>
      <c r="N991" s="125" t="n"/>
      <c r="O991" s="126" t="n"/>
      <c r="P991" s="126" t="n"/>
      <c r="Q991" s="126" t="n"/>
      <c r="R991" s="126" t="n"/>
      <c r="S991" s="126" t="n"/>
      <c r="T991" s="126" t="n"/>
      <c r="U991" s="126" t="n"/>
      <c r="V991" s="126" t="n"/>
      <c r="W991" s="126" t="n"/>
      <c r="X991" s="126" t="n"/>
      <c r="Y991" s="126" t="n"/>
      <c r="Z991" s="126" t="n"/>
      <c r="AA991" s="126" t="n"/>
      <c r="AB991" s="126" t="n"/>
      <c r="AC991" s="126" t="n"/>
      <c r="AD991" s="126" t="n"/>
      <c r="AE991" s="126" t="n"/>
      <c r="AF991" s="126" t="n"/>
      <c r="AG991" s="126" t="n"/>
      <c r="AH991" s="126" t="n"/>
      <c r="AI991" s="126" t="n"/>
      <c r="AJ991" s="126" t="n"/>
      <c r="AK991" s="126" t="n"/>
      <c r="AL991" s="126" t="n"/>
      <c r="AM991" s="126" t="n"/>
      <c r="AN991" s="126" t="n"/>
    </row>
    <row r="992" ht="21" customFormat="1" customHeight="1" s="127">
      <c r="A992" s="51">
        <f>IF($B992="","",ROW()-6)</f>
        <v/>
      </c>
      <c r="B992" s="268" t="n"/>
      <c r="C992" s="133" t="n"/>
      <c r="D992" s="50" t="n"/>
      <c r="E992" s="265" t="n"/>
      <c r="F992" s="133" t="n"/>
      <c r="G992" s="133" t="n"/>
      <c r="H992" s="50" t="n"/>
      <c r="I992" s="51">
        <f>IF($C992="","",IFERROR(INDEX(WorkerIDs,MATCH($C992,WorkerNames,0)),"?"))</f>
        <v/>
      </c>
      <c r="J992" s="253">
        <f>IF($B992="","",$B992-WEEKDAY($B992,2)+1)</f>
        <v/>
      </c>
      <c r="K992" s="142">
        <f>IF(OR($I992="",$I992="?",$D992&lt;&gt;"Advance",$B992=""),"",$I992&amp;"|"&amp;$J992&amp;"|"&amp;COUNTIFS($I$7:$I992,$I992,$J$7:$J992,$J992,$D$7:$D992,"Advance"))</f>
        <v/>
      </c>
      <c r="L992" s="266">
        <f>IF(OR($I992="",$I992="?",$B992=""),"",SUMPRODUCT((Weeks!$A$7:$A$59&lt;=$J992)*(Weeks!$X$5:$AI$5=$I992)*Weeks!$X$7:$AI$59)-SUMIFS($E$7:$E$1006,$I$7:$I$1006,$I992,$B$7:$B$1006,"&lt;="&amp;$B992))</f>
        <v/>
      </c>
      <c r="M992" s="132">
        <f>IF($B992&amp;$C992&amp;$D992&amp;$E992="","",IF($B992="","missing date",IF($C992="","missing worker",IF($I992="?","unknown worker - was the name changed on Workers?",IF($D992="","missing type",IF(N($E992)=0,"missing amount",IF(AND($E992&lt;0,$D992&lt;&gt;"Correction"),"negative amount - use a Correction to undo",IF(OR($B992&lt;Weeks!$A$7,$B992&gt;Weeks!$B$59),"date outside this workbook's year",IF(AND($D992="Advance",N($L992)&lt;0),"Warning: more than earned so far - worker now owes "&amp;TEXT(ROUND(-$L992,0),"#,##0"),"")))))))))</f>
        <v/>
      </c>
      <c r="N992" s="125" t="n"/>
      <c r="O992" s="126" t="n"/>
      <c r="P992" s="126" t="n"/>
      <c r="Q992" s="126" t="n"/>
      <c r="R992" s="126" t="n"/>
      <c r="S992" s="126" t="n"/>
      <c r="T992" s="126" t="n"/>
      <c r="U992" s="126" t="n"/>
      <c r="V992" s="126" t="n"/>
      <c r="W992" s="126" t="n"/>
      <c r="X992" s="126" t="n"/>
      <c r="Y992" s="126" t="n"/>
      <c r="Z992" s="126" t="n"/>
      <c r="AA992" s="126" t="n"/>
      <c r="AB992" s="126" t="n"/>
      <c r="AC992" s="126" t="n"/>
      <c r="AD992" s="126" t="n"/>
      <c r="AE992" s="126" t="n"/>
      <c r="AF992" s="126" t="n"/>
      <c r="AG992" s="126" t="n"/>
      <c r="AH992" s="126" t="n"/>
      <c r="AI992" s="126" t="n"/>
      <c r="AJ992" s="126" t="n"/>
      <c r="AK992" s="126" t="n"/>
      <c r="AL992" s="126" t="n"/>
      <c r="AM992" s="126" t="n"/>
      <c r="AN992" s="126" t="n"/>
    </row>
    <row r="993" ht="21" customFormat="1" customHeight="1" s="127">
      <c r="A993" s="51">
        <f>IF($B993="","",ROW()-6)</f>
        <v/>
      </c>
      <c r="B993" s="268" t="n"/>
      <c r="C993" s="133" t="n"/>
      <c r="D993" s="50" t="n"/>
      <c r="E993" s="265" t="n"/>
      <c r="F993" s="133" t="n"/>
      <c r="G993" s="133" t="n"/>
      <c r="H993" s="50" t="n"/>
      <c r="I993" s="51">
        <f>IF($C993="","",IFERROR(INDEX(WorkerIDs,MATCH($C993,WorkerNames,0)),"?"))</f>
        <v/>
      </c>
      <c r="J993" s="253">
        <f>IF($B993="","",$B993-WEEKDAY($B993,2)+1)</f>
        <v/>
      </c>
      <c r="K993" s="142">
        <f>IF(OR($I993="",$I993="?",$D993&lt;&gt;"Advance",$B993=""),"",$I993&amp;"|"&amp;$J993&amp;"|"&amp;COUNTIFS($I$7:$I993,$I993,$J$7:$J993,$J993,$D$7:$D993,"Advance"))</f>
        <v/>
      </c>
      <c r="L993" s="266">
        <f>IF(OR($I993="",$I993="?",$B993=""),"",SUMPRODUCT((Weeks!$A$7:$A$59&lt;=$J993)*(Weeks!$X$5:$AI$5=$I993)*Weeks!$X$7:$AI$59)-SUMIFS($E$7:$E$1006,$I$7:$I$1006,$I993,$B$7:$B$1006,"&lt;="&amp;$B993))</f>
        <v/>
      </c>
      <c r="M993" s="132">
        <f>IF($B993&amp;$C993&amp;$D993&amp;$E993="","",IF($B993="","missing date",IF($C993="","missing worker",IF($I993="?","unknown worker - was the name changed on Workers?",IF($D993="","missing type",IF(N($E993)=0,"missing amount",IF(AND($E993&lt;0,$D993&lt;&gt;"Correction"),"negative amount - use a Correction to undo",IF(OR($B993&lt;Weeks!$A$7,$B993&gt;Weeks!$B$59),"date outside this workbook's year",IF(AND($D993="Advance",N($L993)&lt;0),"Warning: more than earned so far - worker now owes "&amp;TEXT(ROUND(-$L993,0),"#,##0"),"")))))))))</f>
        <v/>
      </c>
      <c r="N993" s="125" t="n"/>
      <c r="O993" s="126" t="n"/>
      <c r="P993" s="126" t="n"/>
      <c r="Q993" s="126" t="n"/>
      <c r="R993" s="126" t="n"/>
      <c r="S993" s="126" t="n"/>
      <c r="T993" s="126" t="n"/>
      <c r="U993" s="126" t="n"/>
      <c r="V993" s="126" t="n"/>
      <c r="W993" s="126" t="n"/>
      <c r="X993" s="126" t="n"/>
      <c r="Y993" s="126" t="n"/>
      <c r="Z993" s="126" t="n"/>
      <c r="AA993" s="126" t="n"/>
      <c r="AB993" s="126" t="n"/>
      <c r="AC993" s="126" t="n"/>
      <c r="AD993" s="126" t="n"/>
      <c r="AE993" s="126" t="n"/>
      <c r="AF993" s="126" t="n"/>
      <c r="AG993" s="126" t="n"/>
      <c r="AH993" s="126" t="n"/>
      <c r="AI993" s="126" t="n"/>
      <c r="AJ993" s="126" t="n"/>
      <c r="AK993" s="126" t="n"/>
      <c r="AL993" s="126" t="n"/>
      <c r="AM993" s="126" t="n"/>
      <c r="AN993" s="126" t="n"/>
    </row>
    <row r="994" ht="21" customFormat="1" customHeight="1" s="127">
      <c r="A994" s="51">
        <f>IF($B994="","",ROW()-6)</f>
        <v/>
      </c>
      <c r="B994" s="268" t="n"/>
      <c r="C994" s="133" t="n"/>
      <c r="D994" s="50" t="n"/>
      <c r="E994" s="265" t="n"/>
      <c r="F994" s="133" t="n"/>
      <c r="G994" s="133" t="n"/>
      <c r="H994" s="50" t="n"/>
      <c r="I994" s="51">
        <f>IF($C994="","",IFERROR(INDEX(WorkerIDs,MATCH($C994,WorkerNames,0)),"?"))</f>
        <v/>
      </c>
      <c r="J994" s="253">
        <f>IF($B994="","",$B994-WEEKDAY($B994,2)+1)</f>
        <v/>
      </c>
      <c r="K994" s="142">
        <f>IF(OR($I994="",$I994="?",$D994&lt;&gt;"Advance",$B994=""),"",$I994&amp;"|"&amp;$J994&amp;"|"&amp;COUNTIFS($I$7:$I994,$I994,$J$7:$J994,$J994,$D$7:$D994,"Advance"))</f>
        <v/>
      </c>
      <c r="L994" s="266">
        <f>IF(OR($I994="",$I994="?",$B994=""),"",SUMPRODUCT((Weeks!$A$7:$A$59&lt;=$J994)*(Weeks!$X$5:$AI$5=$I994)*Weeks!$X$7:$AI$59)-SUMIFS($E$7:$E$1006,$I$7:$I$1006,$I994,$B$7:$B$1006,"&lt;="&amp;$B994))</f>
        <v/>
      </c>
      <c r="M994" s="132">
        <f>IF($B994&amp;$C994&amp;$D994&amp;$E994="","",IF($B994="","missing date",IF($C994="","missing worker",IF($I994="?","unknown worker - was the name changed on Workers?",IF($D994="","missing type",IF(N($E994)=0,"missing amount",IF(AND($E994&lt;0,$D994&lt;&gt;"Correction"),"negative amount - use a Correction to undo",IF(OR($B994&lt;Weeks!$A$7,$B994&gt;Weeks!$B$59),"date outside this workbook's year",IF(AND($D994="Advance",N($L994)&lt;0),"Warning: more than earned so far - worker now owes "&amp;TEXT(ROUND(-$L994,0),"#,##0"),"")))))))))</f>
        <v/>
      </c>
      <c r="N994" s="125" t="n"/>
      <c r="O994" s="126" t="n"/>
      <c r="P994" s="126" t="n"/>
      <c r="Q994" s="126" t="n"/>
      <c r="R994" s="126" t="n"/>
      <c r="S994" s="126" t="n"/>
      <c r="T994" s="126" t="n"/>
      <c r="U994" s="126" t="n"/>
      <c r="V994" s="126" t="n"/>
      <c r="W994" s="126" t="n"/>
      <c r="X994" s="126" t="n"/>
      <c r="Y994" s="126" t="n"/>
      <c r="Z994" s="126" t="n"/>
      <c r="AA994" s="126" t="n"/>
      <c r="AB994" s="126" t="n"/>
      <c r="AC994" s="126" t="n"/>
      <c r="AD994" s="126" t="n"/>
      <c r="AE994" s="126" t="n"/>
      <c r="AF994" s="126" t="n"/>
      <c r="AG994" s="126" t="n"/>
      <c r="AH994" s="126" t="n"/>
      <c r="AI994" s="126" t="n"/>
      <c r="AJ994" s="126" t="n"/>
      <c r="AK994" s="126" t="n"/>
      <c r="AL994" s="126" t="n"/>
      <c r="AM994" s="126" t="n"/>
      <c r="AN994" s="126" t="n"/>
    </row>
    <row r="995" ht="21" customFormat="1" customHeight="1" s="127">
      <c r="A995" s="51">
        <f>IF($B995="","",ROW()-6)</f>
        <v/>
      </c>
      <c r="B995" s="268" t="n"/>
      <c r="C995" s="133" t="n"/>
      <c r="D995" s="50" t="n"/>
      <c r="E995" s="265" t="n"/>
      <c r="F995" s="133" t="n"/>
      <c r="G995" s="133" t="n"/>
      <c r="H995" s="50" t="n"/>
      <c r="I995" s="51">
        <f>IF($C995="","",IFERROR(INDEX(WorkerIDs,MATCH($C995,WorkerNames,0)),"?"))</f>
        <v/>
      </c>
      <c r="J995" s="253">
        <f>IF($B995="","",$B995-WEEKDAY($B995,2)+1)</f>
        <v/>
      </c>
      <c r="K995" s="142">
        <f>IF(OR($I995="",$I995="?",$D995&lt;&gt;"Advance",$B995=""),"",$I995&amp;"|"&amp;$J995&amp;"|"&amp;COUNTIFS($I$7:$I995,$I995,$J$7:$J995,$J995,$D$7:$D995,"Advance"))</f>
        <v/>
      </c>
      <c r="L995" s="266">
        <f>IF(OR($I995="",$I995="?",$B995=""),"",SUMPRODUCT((Weeks!$A$7:$A$59&lt;=$J995)*(Weeks!$X$5:$AI$5=$I995)*Weeks!$X$7:$AI$59)-SUMIFS($E$7:$E$1006,$I$7:$I$1006,$I995,$B$7:$B$1006,"&lt;="&amp;$B995))</f>
        <v/>
      </c>
      <c r="M995" s="132">
        <f>IF($B995&amp;$C995&amp;$D995&amp;$E995="","",IF($B995="","missing date",IF($C995="","missing worker",IF($I995="?","unknown worker - was the name changed on Workers?",IF($D995="","missing type",IF(N($E995)=0,"missing amount",IF(AND($E995&lt;0,$D995&lt;&gt;"Correction"),"negative amount - use a Correction to undo",IF(OR($B995&lt;Weeks!$A$7,$B995&gt;Weeks!$B$59),"date outside this workbook's year",IF(AND($D995="Advance",N($L995)&lt;0),"Warning: more than earned so far - worker now owes "&amp;TEXT(ROUND(-$L995,0),"#,##0"),"")))))))))</f>
        <v/>
      </c>
      <c r="N995" s="125" t="n"/>
      <c r="O995" s="126" t="n"/>
      <c r="P995" s="126" t="n"/>
      <c r="Q995" s="126" t="n"/>
      <c r="R995" s="126" t="n"/>
      <c r="S995" s="126" t="n"/>
      <c r="T995" s="126" t="n"/>
      <c r="U995" s="126" t="n"/>
      <c r="V995" s="126" t="n"/>
      <c r="W995" s="126" t="n"/>
      <c r="X995" s="126" t="n"/>
      <c r="Y995" s="126" t="n"/>
      <c r="Z995" s="126" t="n"/>
      <c r="AA995" s="126" t="n"/>
      <c r="AB995" s="126" t="n"/>
      <c r="AC995" s="126" t="n"/>
      <c r="AD995" s="126" t="n"/>
      <c r="AE995" s="126" t="n"/>
      <c r="AF995" s="126" t="n"/>
      <c r="AG995" s="126" t="n"/>
      <c r="AH995" s="126" t="n"/>
      <c r="AI995" s="126" t="n"/>
      <c r="AJ995" s="126" t="n"/>
      <c r="AK995" s="126" t="n"/>
      <c r="AL995" s="126" t="n"/>
      <c r="AM995" s="126" t="n"/>
      <c r="AN995" s="126" t="n"/>
    </row>
    <row r="996" ht="21" customFormat="1" customHeight="1" s="127">
      <c r="A996" s="51">
        <f>IF($B996="","",ROW()-6)</f>
        <v/>
      </c>
      <c r="B996" s="268" t="n"/>
      <c r="C996" s="133" t="n"/>
      <c r="D996" s="50" t="n"/>
      <c r="E996" s="265" t="n"/>
      <c r="F996" s="133" t="n"/>
      <c r="G996" s="133" t="n"/>
      <c r="H996" s="50" t="n"/>
      <c r="I996" s="51">
        <f>IF($C996="","",IFERROR(INDEX(WorkerIDs,MATCH($C996,WorkerNames,0)),"?"))</f>
        <v/>
      </c>
      <c r="J996" s="253">
        <f>IF($B996="","",$B996-WEEKDAY($B996,2)+1)</f>
        <v/>
      </c>
      <c r="K996" s="142">
        <f>IF(OR($I996="",$I996="?",$D996&lt;&gt;"Advance",$B996=""),"",$I996&amp;"|"&amp;$J996&amp;"|"&amp;COUNTIFS($I$7:$I996,$I996,$J$7:$J996,$J996,$D$7:$D996,"Advance"))</f>
        <v/>
      </c>
      <c r="L996" s="266">
        <f>IF(OR($I996="",$I996="?",$B996=""),"",SUMPRODUCT((Weeks!$A$7:$A$59&lt;=$J996)*(Weeks!$X$5:$AI$5=$I996)*Weeks!$X$7:$AI$59)-SUMIFS($E$7:$E$1006,$I$7:$I$1006,$I996,$B$7:$B$1006,"&lt;="&amp;$B996))</f>
        <v/>
      </c>
      <c r="M996" s="132">
        <f>IF($B996&amp;$C996&amp;$D996&amp;$E996="","",IF($B996="","missing date",IF($C996="","missing worker",IF($I996="?","unknown worker - was the name changed on Workers?",IF($D996="","missing type",IF(N($E996)=0,"missing amount",IF(AND($E996&lt;0,$D996&lt;&gt;"Correction"),"negative amount - use a Correction to undo",IF(OR($B996&lt;Weeks!$A$7,$B996&gt;Weeks!$B$59),"date outside this workbook's year",IF(AND($D996="Advance",N($L996)&lt;0),"Warning: more than earned so far - worker now owes "&amp;TEXT(ROUND(-$L996,0),"#,##0"),"")))))))))</f>
        <v/>
      </c>
      <c r="N996" s="125" t="n"/>
      <c r="O996" s="126" t="n"/>
      <c r="P996" s="126" t="n"/>
      <c r="Q996" s="126" t="n"/>
      <c r="R996" s="126" t="n"/>
      <c r="S996" s="126" t="n"/>
      <c r="T996" s="126" t="n"/>
      <c r="U996" s="126" t="n"/>
      <c r="V996" s="126" t="n"/>
      <c r="W996" s="126" t="n"/>
      <c r="X996" s="126" t="n"/>
      <c r="Y996" s="126" t="n"/>
      <c r="Z996" s="126" t="n"/>
      <c r="AA996" s="126" t="n"/>
      <c r="AB996" s="126" t="n"/>
      <c r="AC996" s="126" t="n"/>
      <c r="AD996" s="126" t="n"/>
      <c r="AE996" s="126" t="n"/>
      <c r="AF996" s="126" t="n"/>
      <c r="AG996" s="126" t="n"/>
      <c r="AH996" s="126" t="n"/>
      <c r="AI996" s="126" t="n"/>
      <c r="AJ996" s="126" t="n"/>
      <c r="AK996" s="126" t="n"/>
      <c r="AL996" s="126" t="n"/>
      <c r="AM996" s="126" t="n"/>
      <c r="AN996" s="126" t="n"/>
    </row>
    <row r="997" ht="21" customFormat="1" customHeight="1" s="127">
      <c r="A997" s="51">
        <f>IF($B997="","",ROW()-6)</f>
        <v/>
      </c>
      <c r="B997" s="268" t="n"/>
      <c r="C997" s="133" t="n"/>
      <c r="D997" s="50" t="n"/>
      <c r="E997" s="265" t="n"/>
      <c r="F997" s="133" t="n"/>
      <c r="G997" s="133" t="n"/>
      <c r="H997" s="50" t="n"/>
      <c r="I997" s="51">
        <f>IF($C997="","",IFERROR(INDEX(WorkerIDs,MATCH($C997,WorkerNames,0)),"?"))</f>
        <v/>
      </c>
      <c r="J997" s="253">
        <f>IF($B997="","",$B997-WEEKDAY($B997,2)+1)</f>
        <v/>
      </c>
      <c r="K997" s="142">
        <f>IF(OR($I997="",$I997="?",$D997&lt;&gt;"Advance",$B997=""),"",$I997&amp;"|"&amp;$J997&amp;"|"&amp;COUNTIFS($I$7:$I997,$I997,$J$7:$J997,$J997,$D$7:$D997,"Advance"))</f>
        <v/>
      </c>
      <c r="L997" s="266">
        <f>IF(OR($I997="",$I997="?",$B997=""),"",SUMPRODUCT((Weeks!$A$7:$A$59&lt;=$J997)*(Weeks!$X$5:$AI$5=$I997)*Weeks!$X$7:$AI$59)-SUMIFS($E$7:$E$1006,$I$7:$I$1006,$I997,$B$7:$B$1006,"&lt;="&amp;$B997))</f>
        <v/>
      </c>
      <c r="M997" s="132">
        <f>IF($B997&amp;$C997&amp;$D997&amp;$E997="","",IF($B997="","missing date",IF($C997="","missing worker",IF($I997="?","unknown worker - was the name changed on Workers?",IF($D997="","missing type",IF(N($E997)=0,"missing amount",IF(AND($E997&lt;0,$D997&lt;&gt;"Correction"),"negative amount - use a Correction to undo",IF(OR($B997&lt;Weeks!$A$7,$B997&gt;Weeks!$B$59),"date outside this workbook's year",IF(AND($D997="Advance",N($L997)&lt;0),"Warning: more than earned so far - worker now owes "&amp;TEXT(ROUND(-$L997,0),"#,##0"),"")))))))))</f>
        <v/>
      </c>
      <c r="N997" s="125" t="n"/>
      <c r="O997" s="126" t="n"/>
      <c r="P997" s="126" t="n"/>
      <c r="Q997" s="126" t="n"/>
      <c r="R997" s="126" t="n"/>
      <c r="S997" s="126" t="n"/>
      <c r="T997" s="126" t="n"/>
      <c r="U997" s="126" t="n"/>
      <c r="V997" s="126" t="n"/>
      <c r="W997" s="126" t="n"/>
      <c r="X997" s="126" t="n"/>
      <c r="Y997" s="126" t="n"/>
      <c r="Z997" s="126" t="n"/>
      <c r="AA997" s="126" t="n"/>
      <c r="AB997" s="126" t="n"/>
      <c r="AC997" s="126" t="n"/>
      <c r="AD997" s="126" t="n"/>
      <c r="AE997" s="126" t="n"/>
      <c r="AF997" s="126" t="n"/>
      <c r="AG997" s="126" t="n"/>
      <c r="AH997" s="126" t="n"/>
      <c r="AI997" s="126" t="n"/>
      <c r="AJ997" s="126" t="n"/>
      <c r="AK997" s="126" t="n"/>
      <c r="AL997" s="126" t="n"/>
      <c r="AM997" s="126" t="n"/>
      <c r="AN997" s="126" t="n"/>
    </row>
    <row r="998" ht="21" customFormat="1" customHeight="1" s="127">
      <c r="A998" s="51">
        <f>IF($B998="","",ROW()-6)</f>
        <v/>
      </c>
      <c r="B998" s="268" t="n"/>
      <c r="C998" s="133" t="n"/>
      <c r="D998" s="50" t="n"/>
      <c r="E998" s="265" t="n"/>
      <c r="F998" s="133" t="n"/>
      <c r="G998" s="133" t="n"/>
      <c r="H998" s="50" t="n"/>
      <c r="I998" s="51">
        <f>IF($C998="","",IFERROR(INDEX(WorkerIDs,MATCH($C998,WorkerNames,0)),"?"))</f>
        <v/>
      </c>
      <c r="J998" s="253">
        <f>IF($B998="","",$B998-WEEKDAY($B998,2)+1)</f>
        <v/>
      </c>
      <c r="K998" s="142">
        <f>IF(OR($I998="",$I998="?",$D998&lt;&gt;"Advance",$B998=""),"",$I998&amp;"|"&amp;$J998&amp;"|"&amp;COUNTIFS($I$7:$I998,$I998,$J$7:$J998,$J998,$D$7:$D998,"Advance"))</f>
        <v/>
      </c>
      <c r="L998" s="266">
        <f>IF(OR($I998="",$I998="?",$B998=""),"",SUMPRODUCT((Weeks!$A$7:$A$59&lt;=$J998)*(Weeks!$X$5:$AI$5=$I998)*Weeks!$X$7:$AI$59)-SUMIFS($E$7:$E$1006,$I$7:$I$1006,$I998,$B$7:$B$1006,"&lt;="&amp;$B998))</f>
        <v/>
      </c>
      <c r="M998" s="132">
        <f>IF($B998&amp;$C998&amp;$D998&amp;$E998="","",IF($B998="","missing date",IF($C998="","missing worker",IF($I998="?","unknown worker - was the name changed on Workers?",IF($D998="","missing type",IF(N($E998)=0,"missing amount",IF(AND($E998&lt;0,$D998&lt;&gt;"Correction"),"negative amount - use a Correction to undo",IF(OR($B998&lt;Weeks!$A$7,$B998&gt;Weeks!$B$59),"date outside this workbook's year",IF(AND($D998="Advance",N($L998)&lt;0),"Warning: more than earned so far - worker now owes "&amp;TEXT(ROUND(-$L998,0),"#,##0"),"")))))))))</f>
        <v/>
      </c>
      <c r="N998" s="125" t="n"/>
      <c r="O998" s="126" t="n"/>
      <c r="P998" s="126" t="n"/>
      <c r="Q998" s="126" t="n"/>
      <c r="R998" s="126" t="n"/>
      <c r="S998" s="126" t="n"/>
      <c r="T998" s="126" t="n"/>
      <c r="U998" s="126" t="n"/>
      <c r="V998" s="126" t="n"/>
      <c r="W998" s="126" t="n"/>
      <c r="X998" s="126" t="n"/>
      <c r="Y998" s="126" t="n"/>
      <c r="Z998" s="126" t="n"/>
      <c r="AA998" s="126" t="n"/>
      <c r="AB998" s="126" t="n"/>
      <c r="AC998" s="126" t="n"/>
      <c r="AD998" s="126" t="n"/>
      <c r="AE998" s="126" t="n"/>
      <c r="AF998" s="126" t="n"/>
      <c r="AG998" s="126" t="n"/>
      <c r="AH998" s="126" t="n"/>
      <c r="AI998" s="126" t="n"/>
      <c r="AJ998" s="126" t="n"/>
      <c r="AK998" s="126" t="n"/>
      <c r="AL998" s="126" t="n"/>
      <c r="AM998" s="126" t="n"/>
      <c r="AN998" s="126" t="n"/>
    </row>
    <row r="999" ht="21" customFormat="1" customHeight="1" s="127">
      <c r="A999" s="51">
        <f>IF($B999="","",ROW()-6)</f>
        <v/>
      </c>
      <c r="B999" s="268" t="n"/>
      <c r="C999" s="133" t="n"/>
      <c r="D999" s="50" t="n"/>
      <c r="E999" s="265" t="n"/>
      <c r="F999" s="133" t="n"/>
      <c r="G999" s="133" t="n"/>
      <c r="H999" s="50" t="n"/>
      <c r="I999" s="51">
        <f>IF($C999="","",IFERROR(INDEX(WorkerIDs,MATCH($C999,WorkerNames,0)),"?"))</f>
        <v/>
      </c>
      <c r="J999" s="253">
        <f>IF($B999="","",$B999-WEEKDAY($B999,2)+1)</f>
        <v/>
      </c>
      <c r="K999" s="142">
        <f>IF(OR($I999="",$I999="?",$D999&lt;&gt;"Advance",$B999=""),"",$I999&amp;"|"&amp;$J999&amp;"|"&amp;COUNTIFS($I$7:$I999,$I999,$J$7:$J999,$J999,$D$7:$D999,"Advance"))</f>
        <v/>
      </c>
      <c r="L999" s="266">
        <f>IF(OR($I999="",$I999="?",$B999=""),"",SUMPRODUCT((Weeks!$A$7:$A$59&lt;=$J999)*(Weeks!$X$5:$AI$5=$I999)*Weeks!$X$7:$AI$59)-SUMIFS($E$7:$E$1006,$I$7:$I$1006,$I999,$B$7:$B$1006,"&lt;="&amp;$B999))</f>
        <v/>
      </c>
      <c r="M999" s="132">
        <f>IF($B999&amp;$C999&amp;$D999&amp;$E999="","",IF($B999="","missing date",IF($C999="","missing worker",IF($I999="?","unknown worker - was the name changed on Workers?",IF($D999="","missing type",IF(N($E999)=0,"missing amount",IF(AND($E999&lt;0,$D999&lt;&gt;"Correction"),"negative amount - use a Correction to undo",IF(OR($B999&lt;Weeks!$A$7,$B999&gt;Weeks!$B$59),"date outside this workbook's year",IF(AND($D999="Advance",N($L999)&lt;0),"Warning: more than earned so far - worker now owes "&amp;TEXT(ROUND(-$L999,0),"#,##0"),"")))))))))</f>
        <v/>
      </c>
      <c r="N999" s="125" t="n"/>
      <c r="O999" s="126" t="n"/>
      <c r="P999" s="126" t="n"/>
      <c r="Q999" s="126" t="n"/>
      <c r="R999" s="126" t="n"/>
      <c r="S999" s="126" t="n"/>
      <c r="T999" s="126" t="n"/>
      <c r="U999" s="126" t="n"/>
      <c r="V999" s="126" t="n"/>
      <c r="W999" s="126" t="n"/>
      <c r="X999" s="126" t="n"/>
      <c r="Y999" s="126" t="n"/>
      <c r="Z999" s="126" t="n"/>
      <c r="AA999" s="126" t="n"/>
      <c r="AB999" s="126" t="n"/>
      <c r="AC999" s="126" t="n"/>
      <c r="AD999" s="126" t="n"/>
      <c r="AE999" s="126" t="n"/>
      <c r="AF999" s="126" t="n"/>
      <c r="AG999" s="126" t="n"/>
      <c r="AH999" s="126" t="n"/>
      <c r="AI999" s="126" t="n"/>
      <c r="AJ999" s="126" t="n"/>
      <c r="AK999" s="126" t="n"/>
      <c r="AL999" s="126" t="n"/>
      <c r="AM999" s="126" t="n"/>
      <c r="AN999" s="126" t="n"/>
    </row>
    <row r="1000" ht="21" customFormat="1" customHeight="1" s="127">
      <c r="A1000" s="51">
        <f>IF($B1000="","",ROW()-6)</f>
        <v/>
      </c>
      <c r="B1000" s="268" t="n"/>
      <c r="C1000" s="133" t="n"/>
      <c r="D1000" s="50" t="n"/>
      <c r="E1000" s="265" t="n"/>
      <c r="F1000" s="133" t="n"/>
      <c r="G1000" s="133" t="n"/>
      <c r="H1000" s="50" t="n"/>
      <c r="I1000" s="51">
        <f>IF($C1000="","",IFERROR(INDEX(WorkerIDs,MATCH($C1000,WorkerNames,0)),"?"))</f>
        <v/>
      </c>
      <c r="J1000" s="253">
        <f>IF($B1000="","",$B1000-WEEKDAY($B1000,2)+1)</f>
        <v/>
      </c>
      <c r="K1000" s="142">
        <f>IF(OR($I1000="",$I1000="?",$D1000&lt;&gt;"Advance",$B1000=""),"",$I1000&amp;"|"&amp;$J1000&amp;"|"&amp;COUNTIFS($I$7:$I1000,$I1000,$J$7:$J1000,$J1000,$D$7:$D1000,"Advance"))</f>
        <v/>
      </c>
      <c r="L1000" s="266">
        <f>IF(OR($I1000="",$I1000="?",$B1000=""),"",SUMPRODUCT((Weeks!$A$7:$A$59&lt;=$J1000)*(Weeks!$X$5:$AI$5=$I1000)*Weeks!$X$7:$AI$59)-SUMIFS($E$7:$E$1006,$I$7:$I$1006,$I1000,$B$7:$B$1006,"&lt;="&amp;$B1000))</f>
        <v/>
      </c>
      <c r="M1000" s="132">
        <f>IF($B1000&amp;$C1000&amp;$D1000&amp;$E1000="","",IF($B1000="","missing date",IF($C1000="","missing worker",IF($I1000="?","unknown worker - was the name changed on Workers?",IF($D1000="","missing type",IF(N($E1000)=0,"missing amount",IF(AND($E1000&lt;0,$D1000&lt;&gt;"Correction"),"negative amount - use a Correction to undo",IF(OR($B1000&lt;Weeks!$A$7,$B1000&gt;Weeks!$B$59),"date outside this workbook's year",IF(AND($D1000="Advance",N($L1000)&lt;0),"Warning: more than earned so far - worker now owes "&amp;TEXT(ROUND(-$L1000,0),"#,##0"),"")))))))))</f>
        <v/>
      </c>
      <c r="N1000" s="125" t="n"/>
      <c r="O1000" s="126" t="n"/>
      <c r="P1000" s="126" t="n"/>
      <c r="Q1000" s="126" t="n"/>
      <c r="R1000" s="126" t="n"/>
      <c r="S1000" s="126" t="n"/>
      <c r="T1000" s="126" t="n"/>
      <c r="U1000" s="126" t="n"/>
      <c r="V1000" s="126" t="n"/>
      <c r="W1000" s="126" t="n"/>
      <c r="X1000" s="126" t="n"/>
      <c r="Y1000" s="126" t="n"/>
      <c r="Z1000" s="126" t="n"/>
      <c r="AA1000" s="126" t="n"/>
      <c r="AB1000" s="126" t="n"/>
      <c r="AC1000" s="126" t="n"/>
      <c r="AD1000" s="126" t="n"/>
      <c r="AE1000" s="126" t="n"/>
      <c r="AF1000" s="126" t="n"/>
      <c r="AG1000" s="126" t="n"/>
      <c r="AH1000" s="126" t="n"/>
      <c r="AI1000" s="126" t="n"/>
      <c r="AJ1000" s="126" t="n"/>
      <c r="AK1000" s="126" t="n"/>
      <c r="AL1000" s="126" t="n"/>
      <c r="AM1000" s="126" t="n"/>
      <c r="AN1000" s="126" t="n"/>
    </row>
    <row r="1001" ht="21" customFormat="1" customHeight="1" s="127">
      <c r="A1001" s="51">
        <f>IF($B1001="","",ROW()-6)</f>
        <v/>
      </c>
      <c r="B1001" s="268" t="n"/>
      <c r="C1001" s="133" t="n"/>
      <c r="D1001" s="50" t="n"/>
      <c r="E1001" s="265" t="n"/>
      <c r="F1001" s="133" t="n"/>
      <c r="G1001" s="133" t="n"/>
      <c r="H1001" s="50" t="n"/>
      <c r="I1001" s="51">
        <f>IF($C1001="","",IFERROR(INDEX(WorkerIDs,MATCH($C1001,WorkerNames,0)),"?"))</f>
        <v/>
      </c>
      <c r="J1001" s="253">
        <f>IF($B1001="","",$B1001-WEEKDAY($B1001,2)+1)</f>
        <v/>
      </c>
      <c r="K1001" s="142">
        <f>IF(OR($I1001="",$I1001="?",$D1001&lt;&gt;"Advance",$B1001=""),"",$I1001&amp;"|"&amp;$J1001&amp;"|"&amp;COUNTIFS($I$7:$I1001,$I1001,$J$7:$J1001,$J1001,$D$7:$D1001,"Advance"))</f>
        <v/>
      </c>
      <c r="L1001" s="266">
        <f>IF(OR($I1001="",$I1001="?",$B1001=""),"",SUMPRODUCT((Weeks!$A$7:$A$59&lt;=$J1001)*(Weeks!$X$5:$AI$5=$I1001)*Weeks!$X$7:$AI$59)-SUMIFS($E$7:$E$1006,$I$7:$I$1006,$I1001,$B$7:$B$1006,"&lt;="&amp;$B1001))</f>
        <v/>
      </c>
      <c r="M1001" s="132">
        <f>IF($B1001&amp;$C1001&amp;$D1001&amp;$E1001="","",IF($B1001="","missing date",IF($C1001="","missing worker",IF($I1001="?","unknown worker - was the name changed on Workers?",IF($D1001="","missing type",IF(N($E1001)=0,"missing amount",IF(AND($E1001&lt;0,$D1001&lt;&gt;"Correction"),"negative amount - use a Correction to undo",IF(OR($B1001&lt;Weeks!$A$7,$B1001&gt;Weeks!$B$59),"date outside this workbook's year",IF(AND($D1001="Advance",N($L1001)&lt;0),"Warning: more than earned so far - worker now owes "&amp;TEXT(ROUND(-$L1001,0),"#,##0"),"")))))))))</f>
        <v/>
      </c>
      <c r="N1001" s="125" t="n"/>
      <c r="O1001" s="126" t="n"/>
      <c r="P1001" s="126" t="n"/>
      <c r="Q1001" s="126" t="n"/>
      <c r="R1001" s="126" t="n"/>
      <c r="S1001" s="126" t="n"/>
      <c r="T1001" s="126" t="n"/>
      <c r="U1001" s="126" t="n"/>
      <c r="V1001" s="126" t="n"/>
      <c r="W1001" s="126" t="n"/>
      <c r="X1001" s="126" t="n"/>
      <c r="Y1001" s="126" t="n"/>
      <c r="Z1001" s="126" t="n"/>
      <c r="AA1001" s="126" t="n"/>
      <c r="AB1001" s="126" t="n"/>
      <c r="AC1001" s="126" t="n"/>
      <c r="AD1001" s="126" t="n"/>
      <c r="AE1001" s="126" t="n"/>
      <c r="AF1001" s="126" t="n"/>
      <c r="AG1001" s="126" t="n"/>
      <c r="AH1001" s="126" t="n"/>
      <c r="AI1001" s="126" t="n"/>
      <c r="AJ1001" s="126" t="n"/>
      <c r="AK1001" s="126" t="n"/>
      <c r="AL1001" s="126" t="n"/>
      <c r="AM1001" s="126" t="n"/>
      <c r="AN1001" s="126" t="n"/>
    </row>
    <row r="1002" ht="21" customFormat="1" customHeight="1" s="127">
      <c r="A1002" s="51">
        <f>IF($B1002="","",ROW()-6)</f>
        <v/>
      </c>
      <c r="B1002" s="268" t="n"/>
      <c r="C1002" s="133" t="n"/>
      <c r="D1002" s="50" t="n"/>
      <c r="E1002" s="265" t="n"/>
      <c r="F1002" s="133" t="n"/>
      <c r="G1002" s="133" t="n"/>
      <c r="H1002" s="50" t="n"/>
      <c r="I1002" s="51">
        <f>IF($C1002="","",IFERROR(INDEX(WorkerIDs,MATCH($C1002,WorkerNames,0)),"?"))</f>
        <v/>
      </c>
      <c r="J1002" s="253">
        <f>IF($B1002="","",$B1002-WEEKDAY($B1002,2)+1)</f>
        <v/>
      </c>
      <c r="K1002" s="142">
        <f>IF(OR($I1002="",$I1002="?",$D1002&lt;&gt;"Advance",$B1002=""),"",$I1002&amp;"|"&amp;$J1002&amp;"|"&amp;COUNTIFS($I$7:$I1002,$I1002,$J$7:$J1002,$J1002,$D$7:$D1002,"Advance"))</f>
        <v/>
      </c>
      <c r="L1002" s="266">
        <f>IF(OR($I1002="",$I1002="?",$B1002=""),"",SUMPRODUCT((Weeks!$A$7:$A$59&lt;=$J1002)*(Weeks!$X$5:$AI$5=$I1002)*Weeks!$X$7:$AI$59)-SUMIFS($E$7:$E$1006,$I$7:$I$1006,$I1002,$B$7:$B$1006,"&lt;="&amp;$B1002))</f>
        <v/>
      </c>
      <c r="M1002" s="132">
        <f>IF($B1002&amp;$C1002&amp;$D1002&amp;$E1002="","",IF($B1002="","missing date",IF($C1002="","missing worker",IF($I1002="?","unknown worker - was the name changed on Workers?",IF($D1002="","missing type",IF(N($E1002)=0,"missing amount",IF(AND($E1002&lt;0,$D1002&lt;&gt;"Correction"),"negative amount - use a Correction to undo",IF(OR($B1002&lt;Weeks!$A$7,$B1002&gt;Weeks!$B$59),"date outside this workbook's year",IF(AND($D1002="Advance",N($L1002)&lt;0),"Warning: more than earned so far - worker now owes "&amp;TEXT(ROUND(-$L1002,0),"#,##0"),"")))))))))</f>
        <v/>
      </c>
      <c r="N1002" s="125" t="n"/>
      <c r="O1002" s="126" t="n"/>
      <c r="P1002" s="126" t="n"/>
      <c r="Q1002" s="126" t="n"/>
      <c r="R1002" s="126" t="n"/>
      <c r="S1002" s="126" t="n"/>
      <c r="T1002" s="126" t="n"/>
      <c r="U1002" s="126" t="n"/>
      <c r="V1002" s="126" t="n"/>
      <c r="W1002" s="126" t="n"/>
      <c r="X1002" s="126" t="n"/>
      <c r="Y1002" s="126" t="n"/>
      <c r="Z1002" s="126" t="n"/>
      <c r="AA1002" s="126" t="n"/>
      <c r="AB1002" s="126" t="n"/>
      <c r="AC1002" s="126" t="n"/>
      <c r="AD1002" s="126" t="n"/>
      <c r="AE1002" s="126" t="n"/>
      <c r="AF1002" s="126" t="n"/>
      <c r="AG1002" s="126" t="n"/>
      <c r="AH1002" s="126" t="n"/>
      <c r="AI1002" s="126" t="n"/>
      <c r="AJ1002" s="126" t="n"/>
      <c r="AK1002" s="126" t="n"/>
      <c r="AL1002" s="126" t="n"/>
      <c r="AM1002" s="126" t="n"/>
      <c r="AN1002" s="126" t="n"/>
    </row>
    <row r="1003" ht="21" customFormat="1" customHeight="1" s="127">
      <c r="A1003" s="51">
        <f>IF($B1003="","",ROW()-6)</f>
        <v/>
      </c>
      <c r="B1003" s="268" t="n"/>
      <c r="C1003" s="133" t="n"/>
      <c r="D1003" s="50" t="n"/>
      <c r="E1003" s="265" t="n"/>
      <c r="F1003" s="133" t="n"/>
      <c r="G1003" s="133" t="n"/>
      <c r="H1003" s="50" t="n"/>
      <c r="I1003" s="51">
        <f>IF($C1003="","",IFERROR(INDEX(WorkerIDs,MATCH($C1003,WorkerNames,0)),"?"))</f>
        <v/>
      </c>
      <c r="J1003" s="253">
        <f>IF($B1003="","",$B1003-WEEKDAY($B1003,2)+1)</f>
        <v/>
      </c>
      <c r="K1003" s="142">
        <f>IF(OR($I1003="",$I1003="?",$D1003&lt;&gt;"Advance",$B1003=""),"",$I1003&amp;"|"&amp;$J1003&amp;"|"&amp;COUNTIFS($I$7:$I1003,$I1003,$J$7:$J1003,$J1003,$D$7:$D1003,"Advance"))</f>
        <v/>
      </c>
      <c r="L1003" s="266">
        <f>IF(OR($I1003="",$I1003="?",$B1003=""),"",SUMPRODUCT((Weeks!$A$7:$A$59&lt;=$J1003)*(Weeks!$X$5:$AI$5=$I1003)*Weeks!$X$7:$AI$59)-SUMIFS($E$7:$E$1006,$I$7:$I$1006,$I1003,$B$7:$B$1006,"&lt;="&amp;$B1003))</f>
        <v/>
      </c>
      <c r="M1003" s="132">
        <f>IF($B1003&amp;$C1003&amp;$D1003&amp;$E1003="","",IF($B1003="","missing date",IF($C1003="","missing worker",IF($I1003="?","unknown worker - was the name changed on Workers?",IF($D1003="","missing type",IF(N($E1003)=0,"missing amount",IF(AND($E1003&lt;0,$D1003&lt;&gt;"Correction"),"negative amount - use a Correction to undo",IF(OR($B1003&lt;Weeks!$A$7,$B1003&gt;Weeks!$B$59),"date outside this workbook's year",IF(AND($D1003="Advance",N($L1003)&lt;0),"Warning: more than earned so far - worker now owes "&amp;TEXT(ROUND(-$L1003,0),"#,##0"),"")))))))))</f>
        <v/>
      </c>
      <c r="N1003" s="125" t="n"/>
      <c r="O1003" s="126" t="n"/>
      <c r="P1003" s="126" t="n"/>
      <c r="Q1003" s="126" t="n"/>
      <c r="R1003" s="126" t="n"/>
      <c r="S1003" s="126" t="n"/>
      <c r="T1003" s="126" t="n"/>
      <c r="U1003" s="126" t="n"/>
      <c r="V1003" s="126" t="n"/>
      <c r="W1003" s="126" t="n"/>
      <c r="X1003" s="126" t="n"/>
      <c r="Y1003" s="126" t="n"/>
      <c r="Z1003" s="126" t="n"/>
      <c r="AA1003" s="126" t="n"/>
      <c r="AB1003" s="126" t="n"/>
      <c r="AC1003" s="126" t="n"/>
      <c r="AD1003" s="126" t="n"/>
      <c r="AE1003" s="126" t="n"/>
      <c r="AF1003" s="126" t="n"/>
      <c r="AG1003" s="126" t="n"/>
      <c r="AH1003" s="126" t="n"/>
      <c r="AI1003" s="126" t="n"/>
      <c r="AJ1003" s="126" t="n"/>
      <c r="AK1003" s="126" t="n"/>
      <c r="AL1003" s="126" t="n"/>
      <c r="AM1003" s="126" t="n"/>
      <c r="AN1003" s="126" t="n"/>
    </row>
    <row r="1004" ht="21" customFormat="1" customHeight="1" s="127">
      <c r="A1004" s="51">
        <f>IF($B1004="","",ROW()-6)</f>
        <v/>
      </c>
      <c r="B1004" s="268" t="n"/>
      <c r="C1004" s="133" t="n"/>
      <c r="D1004" s="50" t="n"/>
      <c r="E1004" s="265" t="n"/>
      <c r="F1004" s="133" t="n"/>
      <c r="G1004" s="133" t="n"/>
      <c r="H1004" s="50" t="n"/>
      <c r="I1004" s="51">
        <f>IF($C1004="","",IFERROR(INDEX(WorkerIDs,MATCH($C1004,WorkerNames,0)),"?"))</f>
        <v/>
      </c>
      <c r="J1004" s="253">
        <f>IF($B1004="","",$B1004-WEEKDAY($B1004,2)+1)</f>
        <v/>
      </c>
      <c r="K1004" s="142">
        <f>IF(OR($I1004="",$I1004="?",$D1004&lt;&gt;"Advance",$B1004=""),"",$I1004&amp;"|"&amp;$J1004&amp;"|"&amp;COUNTIFS($I$7:$I1004,$I1004,$J$7:$J1004,$J1004,$D$7:$D1004,"Advance"))</f>
        <v/>
      </c>
      <c r="L1004" s="266">
        <f>IF(OR($I1004="",$I1004="?",$B1004=""),"",SUMPRODUCT((Weeks!$A$7:$A$59&lt;=$J1004)*(Weeks!$X$5:$AI$5=$I1004)*Weeks!$X$7:$AI$59)-SUMIFS($E$7:$E$1006,$I$7:$I$1006,$I1004,$B$7:$B$1006,"&lt;="&amp;$B1004))</f>
        <v/>
      </c>
      <c r="M1004" s="132">
        <f>IF($B1004&amp;$C1004&amp;$D1004&amp;$E1004="","",IF($B1004="","missing date",IF($C1004="","missing worker",IF($I1004="?","unknown worker - was the name changed on Workers?",IF($D1004="","missing type",IF(N($E1004)=0,"missing amount",IF(AND($E1004&lt;0,$D1004&lt;&gt;"Correction"),"negative amount - use a Correction to undo",IF(OR($B1004&lt;Weeks!$A$7,$B1004&gt;Weeks!$B$59),"date outside this workbook's year",IF(AND($D1004="Advance",N($L1004)&lt;0),"Warning: more than earned so far - worker now owes "&amp;TEXT(ROUND(-$L1004,0),"#,##0"),"")))))))))</f>
        <v/>
      </c>
      <c r="N1004" s="125" t="n"/>
      <c r="O1004" s="126" t="n"/>
      <c r="P1004" s="126" t="n"/>
      <c r="Q1004" s="126" t="n"/>
      <c r="R1004" s="126" t="n"/>
      <c r="S1004" s="126" t="n"/>
      <c r="T1004" s="126" t="n"/>
      <c r="U1004" s="126" t="n"/>
      <c r="V1004" s="126" t="n"/>
      <c r="W1004" s="126" t="n"/>
      <c r="X1004" s="126" t="n"/>
      <c r="Y1004" s="126" t="n"/>
      <c r="Z1004" s="126" t="n"/>
      <c r="AA1004" s="126" t="n"/>
      <c r="AB1004" s="126" t="n"/>
      <c r="AC1004" s="126" t="n"/>
      <c r="AD1004" s="126" t="n"/>
      <c r="AE1004" s="126" t="n"/>
      <c r="AF1004" s="126" t="n"/>
      <c r="AG1004" s="126" t="n"/>
      <c r="AH1004" s="126" t="n"/>
      <c r="AI1004" s="126" t="n"/>
      <c r="AJ1004" s="126" t="n"/>
      <c r="AK1004" s="126" t="n"/>
      <c r="AL1004" s="126" t="n"/>
      <c r="AM1004" s="126" t="n"/>
      <c r="AN1004" s="126" t="n"/>
    </row>
    <row r="1005" ht="21" customFormat="1" customHeight="1" s="127">
      <c r="A1005" s="51">
        <f>IF($B1005="","",ROW()-6)</f>
        <v/>
      </c>
      <c r="B1005" s="268" t="n"/>
      <c r="C1005" s="133" t="n"/>
      <c r="D1005" s="50" t="n"/>
      <c r="E1005" s="265" t="n"/>
      <c r="F1005" s="133" t="n"/>
      <c r="G1005" s="133" t="n"/>
      <c r="H1005" s="50" t="n"/>
      <c r="I1005" s="51">
        <f>IF($C1005="","",IFERROR(INDEX(WorkerIDs,MATCH($C1005,WorkerNames,0)),"?"))</f>
        <v/>
      </c>
      <c r="J1005" s="253">
        <f>IF($B1005="","",$B1005-WEEKDAY($B1005,2)+1)</f>
        <v/>
      </c>
      <c r="K1005" s="142">
        <f>IF(OR($I1005="",$I1005="?",$D1005&lt;&gt;"Advance",$B1005=""),"",$I1005&amp;"|"&amp;$J1005&amp;"|"&amp;COUNTIFS($I$7:$I1005,$I1005,$J$7:$J1005,$J1005,$D$7:$D1005,"Advance"))</f>
        <v/>
      </c>
      <c r="L1005" s="266">
        <f>IF(OR($I1005="",$I1005="?",$B1005=""),"",SUMPRODUCT((Weeks!$A$7:$A$59&lt;=$J1005)*(Weeks!$X$5:$AI$5=$I1005)*Weeks!$X$7:$AI$59)-SUMIFS($E$7:$E$1006,$I$7:$I$1006,$I1005,$B$7:$B$1006,"&lt;="&amp;$B1005))</f>
        <v/>
      </c>
      <c r="M1005" s="132">
        <f>IF($B1005&amp;$C1005&amp;$D1005&amp;$E1005="","",IF($B1005="","missing date",IF($C1005="","missing worker",IF($I1005="?","unknown worker - was the name changed on Workers?",IF($D1005="","missing type",IF(N($E1005)=0,"missing amount",IF(AND($E1005&lt;0,$D1005&lt;&gt;"Correction"),"negative amount - use a Correction to undo",IF(OR($B1005&lt;Weeks!$A$7,$B1005&gt;Weeks!$B$59),"date outside this workbook's year",IF(AND($D1005="Advance",N($L1005)&lt;0),"Warning: more than earned so far - worker now owes "&amp;TEXT(ROUND(-$L1005,0),"#,##0"),"")))))))))</f>
        <v/>
      </c>
      <c r="N1005" s="125" t="n"/>
      <c r="O1005" s="126" t="n"/>
      <c r="P1005" s="126" t="n"/>
      <c r="Q1005" s="126" t="n"/>
      <c r="R1005" s="126" t="n"/>
      <c r="S1005" s="126" t="n"/>
      <c r="T1005" s="126" t="n"/>
      <c r="U1005" s="126" t="n"/>
      <c r="V1005" s="126" t="n"/>
      <c r="W1005" s="126" t="n"/>
      <c r="X1005" s="126" t="n"/>
      <c r="Y1005" s="126" t="n"/>
      <c r="Z1005" s="126" t="n"/>
      <c r="AA1005" s="126" t="n"/>
      <c r="AB1005" s="126" t="n"/>
      <c r="AC1005" s="126" t="n"/>
      <c r="AD1005" s="126" t="n"/>
      <c r="AE1005" s="126" t="n"/>
      <c r="AF1005" s="126" t="n"/>
      <c r="AG1005" s="126" t="n"/>
      <c r="AH1005" s="126" t="n"/>
      <c r="AI1005" s="126" t="n"/>
      <c r="AJ1005" s="126" t="n"/>
      <c r="AK1005" s="126" t="n"/>
      <c r="AL1005" s="126" t="n"/>
      <c r="AM1005" s="126" t="n"/>
      <c r="AN1005" s="126" t="n"/>
    </row>
    <row r="1006" ht="21" customFormat="1" customHeight="1" s="127">
      <c r="A1006" s="46">
        <f>IF($B1006="","",ROW()-6)</f>
        <v/>
      </c>
      <c r="B1006" s="269" t="n"/>
      <c r="C1006" s="136" t="n"/>
      <c r="D1006" s="44" t="n"/>
      <c r="E1006" s="270" t="n"/>
      <c r="F1006" s="136" t="n"/>
      <c r="G1006" s="136" t="n"/>
      <c r="H1006" s="44" t="n"/>
      <c r="I1006" s="46">
        <f>IF($C1006="","",IFERROR(INDEX(WorkerIDs,MATCH($C1006,WorkerNames,0)),"?"))</f>
        <v/>
      </c>
      <c r="J1006" s="259">
        <f>IF($B1006="","",$B1006-WEEKDAY($B1006,2)+1)</f>
        <v/>
      </c>
      <c r="K1006" s="145">
        <f>IF(OR($I1006="",$I1006="?",$D1006&lt;&gt;"Advance",$B1006=""),"",$I1006&amp;"|"&amp;$J1006&amp;"|"&amp;COUNTIFS($I$7:$I1006,$I1006,$J$7:$J1006,$J1006,$D$7:$D1006,"Advance"))</f>
        <v/>
      </c>
      <c r="L1006" s="271">
        <f>IF(OR($I1006="",$I1006="?",$B1006=""),"",SUMPRODUCT((Weeks!$A$7:$A$59&lt;=$J1006)*(Weeks!$X$5:$AI$5=$I1006)*Weeks!$X$7:$AI$59)-SUMIFS($E$7:$E$1006,$I$7:$I$1006,$I1006,$B$7:$B$1006,"&lt;="&amp;$B1006))</f>
        <v/>
      </c>
      <c r="M1006" s="135">
        <f>IF($B1006&amp;$C1006&amp;$D1006&amp;$E1006="","",IF($B1006="","missing date",IF($C1006="","missing worker",IF($I1006="?","unknown worker - was the name changed on Workers?",IF($D1006="","missing type",IF(N($E1006)=0,"missing amount",IF(AND($E1006&lt;0,$D1006&lt;&gt;"Correction"),"negative amount - use a Correction to undo",IF(OR($B1006&lt;Weeks!$A$7,$B1006&gt;Weeks!$B$59),"date outside this workbook's year",IF(AND($D1006="Advance",N($L1006)&lt;0),"Warning: more than earned so far - worker now owes "&amp;TEXT(ROUND(-$L1006,0),"#,##0"),"")))))))))</f>
        <v/>
      </c>
      <c r="N1006" s="137" t="n"/>
      <c r="O1006" s="126" t="n"/>
      <c r="P1006" s="126" t="n"/>
      <c r="Q1006" s="126" t="n"/>
      <c r="R1006" s="126" t="n"/>
      <c r="S1006" s="126" t="n"/>
      <c r="T1006" s="126" t="n"/>
      <c r="U1006" s="126" t="n"/>
      <c r="V1006" s="126" t="n"/>
      <c r="W1006" s="126" t="n"/>
      <c r="X1006" s="126" t="n"/>
      <c r="Y1006" s="126" t="n"/>
      <c r="Z1006" s="126" t="n"/>
      <c r="AA1006" s="126" t="n"/>
      <c r="AB1006" s="126" t="n"/>
      <c r="AC1006" s="126" t="n"/>
      <c r="AD1006" s="126" t="n"/>
      <c r="AE1006" s="126" t="n"/>
      <c r="AF1006" s="126" t="n"/>
      <c r="AG1006" s="126" t="n"/>
      <c r="AH1006" s="126" t="n"/>
      <c r="AI1006" s="126" t="n"/>
      <c r="AJ1006" s="126" t="n"/>
      <c r="AK1006" s="126" t="n"/>
      <c r="AL1006" s="126" t="n"/>
      <c r="AM1006" s="126" t="n"/>
      <c r="AN1006" s="126" t="n"/>
    </row>
  </sheetData>
  <autoFilter ref="A6:M1006"/>
  <mergeCells count="11">
    <mergeCell ref="A1:C1"/>
    <mergeCell ref="G1:H1"/>
    <mergeCell ref="E1:F1"/>
    <mergeCell ref="T1:U1"/>
    <mergeCell ref="W1:X1"/>
    <mergeCell ref="AA1:AB1"/>
    <mergeCell ref="P1:Q1"/>
    <mergeCell ref="Y1:Z1"/>
    <mergeCell ref="I1:M1"/>
    <mergeCell ref="N1:O1"/>
    <mergeCell ref="R1:S1"/>
  </mergeCells>
  <conditionalFormatting sqref="M7:M1006">
    <cfRule type="expression" priority="2" dxfId="1">
      <formula>LEN(M7)&gt;0</formula>
    </cfRule>
  </conditionalFormatting>
  <dataValidations count="4">
    <dataValidation sqref="B7:B1006" showDropDown="0" showInputMessage="0" showErrorMessage="1" allowBlank="1" error="Type a date, e.g. 2026-09-23." type="date" operator="greaterThan">
      <formula1>36526</formula1>
      <formula2>0</formula2>
    </dataValidation>
    <dataValidation sqref="C7:C1006" showDropDown="0" showInputMessage="0" showErrorMessage="1" allowBlank="1" error="Pick a value from the list." type="list">
      <formula1>WorkerNames</formula1>
      <formula2>0</formula2>
    </dataValidation>
    <dataValidation sqref="D7:D1006" showDropDown="0" showInputMessage="1" showErrorMessage="1" allowBlank="1" error="Pick a value from the list." prompt="Advance: money before payday. Weekly pay: payday cash. Correction: undo a mistake (may be negative)." type="list">
      <formula1>EntryTypes</formula1>
      <formula2>0</formula2>
    </dataValidation>
    <dataValidation sqref="H7:H1006" showDropDown="0" showInputMessage="0" showErrorMessage="1" allowBlank="1" error="Pick a value from the list." type="list">
      <formula1>YesNo</formula1>
      <formula2>0</formula2>
    </dataValidation>
  </dataValidations>
  <hyperlinks>
    <hyperlink ref="D1" location="'Home'!A1" tooltip="Go to Home" display="Home"/>
    <hyperlink ref="E1" location="'Daily Log'!A1" tooltip="Go to Daily Log" display="Daily Log"/>
    <hyperlink ref="I1" location="'Weekly Pay'!A1" tooltip="Go to Weekly Pay" display="Weekly Pay"/>
    <hyperlink ref="N1" location="'Payslip'!A1" tooltip="Go to Payslip" display="Payslip"/>
    <hyperlink ref="P1" location="'Workers'!A1" tooltip="Go to Workers" display="Workers"/>
    <hyperlink ref="R1" location="'Settings'!A1" tooltip="Go to Settings" display="Settings"/>
    <hyperlink ref="T1" location="'Guide'!A1" tooltip="Go to Guide" display="Guide"/>
    <hyperlink ref="W1" location="'Worker History'!A1" tooltip="Go to Worker History" display="History"/>
    <hyperlink ref="Y1" location="'Weeks'!A1" tooltip="Go to Weeks" display="Weeks"/>
    <hyperlink ref="AA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4F46E5"/>
    <outlinePr summaryBelow="1" summaryRight="1"/>
    <pageSetUpPr fitToPage="1"/>
  </sheetPr>
  <dimension ref="A1:AN35"/>
  <sheetViews>
    <sheetView showGridLines="0" zoomScaleNormal="10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J1" sqref="J1:K1"/>
    </sheetView>
  </sheetViews>
  <sheetFormatPr baseColWidth="8" defaultColWidth="8.5703125" defaultRowHeight="15"/>
  <cols>
    <col width="6" customWidth="1" min="1" max="1"/>
    <col width="20" customWidth="1" min="2" max="2"/>
    <col width="13" bestFit="1" customWidth="1" min="3" max="3"/>
    <col width="12.28515625" bestFit="1" customWidth="1" min="4" max="4"/>
    <col width="8" customWidth="1" min="5" max="5"/>
    <col width="14" customWidth="1" min="6" max="6"/>
    <col width="15" customWidth="1" min="7" max="7"/>
    <col width="13" customWidth="1" min="8" max="8"/>
    <col width="12" customWidth="1" min="9" max="9"/>
    <col width="14" customWidth="1" min="10" max="10"/>
    <col width="15" customWidth="1" min="11" max="11"/>
    <col width="14" customWidth="1" min="12" max="12"/>
    <col width="13" customWidth="1" min="13" max="13"/>
    <col width="15" customWidth="1" min="14" max="14"/>
    <col width="26" customWidth="1" min="15" max="15"/>
    <col width="14.28515625" customWidth="1" min="17" max="17"/>
    <col width="17.140625" customWidth="1" min="18" max="18"/>
    <col width="13.28515625" customWidth="1" min="19" max="19"/>
    <col width="17.140625" customWidth="1" min="20" max="20"/>
    <col hidden="1" outlineLevel="1" min="21" max="21"/>
    <col collapsed="1" width="8.5703125" customWidth="1" min="22" max="22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220" t="inlineStr">
        <is>
          <t>Daily Log</t>
        </is>
      </c>
      <c r="F1" s="220" t="inlineStr">
        <is>
          <t>Cash Ledger</t>
        </is>
      </c>
      <c r="H1" s="205" t="inlineStr">
        <is>
          <t>Weekly Pay</t>
        </is>
      </c>
      <c r="J1" s="220" t="inlineStr">
        <is>
          <t>Payslip</t>
        </is>
      </c>
      <c r="L1" s="220" t="inlineStr">
        <is>
          <t>Workers</t>
        </is>
      </c>
      <c r="N1" s="220" t="inlineStr">
        <is>
          <t>Settings</t>
        </is>
      </c>
      <c r="P1" s="220" t="inlineStr">
        <is>
          <t>Guide</t>
        </is>
      </c>
      <c r="R1" s="31" t="inlineStr">
        <is>
          <t>·</t>
        </is>
      </c>
      <c r="S1" s="222" t="inlineStr">
        <is>
          <t>History</t>
        </is>
      </c>
      <c r="U1" s="222" t="inlineStr">
        <is>
          <t>Weeks</t>
        </is>
      </c>
      <c r="X1" s="222" t="inlineStr">
        <is>
          <t>Checks</t>
        </is>
      </c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Weekly Pay</t>
        </is>
      </c>
      <c r="B2" s="218" t="n"/>
      <c r="C2" s="218" t="n"/>
      <c r="D2" s="218" t="n"/>
      <c r="E2" s="218" t="n"/>
      <c r="F2" s="218" t="n"/>
      <c r="G2" s="218" t="n"/>
      <c r="H2" s="34" t="n"/>
      <c r="I2" s="34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Payday. Pick the week, pay each worker the green TO PAY column, then copy the 'Ready for the Cash Ledger' list on the right into the Cash Ledger (Paste Values).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217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7.25" customHeight="1">
      <c r="A5" s="3" t="n"/>
      <c r="B5" s="84" t="inlineStr">
        <is>
          <t>Week starting (Monday):</t>
        </is>
      </c>
      <c r="C5" s="272" t="n">
        <v>46286</v>
      </c>
      <c r="D5" s="123">
        <f>$C$5+6</f>
        <v/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6.5" customHeight="1">
      <c r="A6" s="3" t="n"/>
      <c r="B6" s="3" t="n"/>
      <c r="C6" s="217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16.5" customHeight="1">
      <c r="A7" s="3" t="n"/>
      <c r="B7" s="211" t="inlineStr">
        <is>
          <t>Good blocks</t>
        </is>
      </c>
      <c r="C7" s="273" t="n"/>
      <c r="D7" s="211" t="inlineStr">
        <is>
          <t>Paid blocks</t>
        </is>
      </c>
      <c r="E7" s="273" t="n"/>
      <c r="F7" s="211" t="inlineStr">
        <is>
          <t>Pot (so'm)</t>
        </is>
      </c>
      <c r="G7" s="273" t="n"/>
      <c r="H7" s="211" t="inlineStr">
        <is>
          <t>Crew-days</t>
        </is>
      </c>
      <c r="I7" s="273" t="n"/>
      <c r="J7" s="211" t="inlineStr">
        <is>
          <t>Reject rate</t>
        </is>
      </c>
      <c r="K7" s="273" t="n"/>
      <c r="L7" s="211" t="inlineStr">
        <is>
          <t>Workbook checks</t>
        </is>
      </c>
      <c r="M7" s="273" t="n"/>
      <c r="N7" s="27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18.75" customHeight="1">
      <c r="A8" s="218" t="n"/>
      <c r="B8" s="212">
        <f>IFERROR(INDEX(Weeks!$E$7:$E$59,MATCH($C$5,Weeks!$A$7:$A$59,0)),0)</f>
        <v/>
      </c>
      <c r="C8" s="273" t="n"/>
      <c r="D8" s="212">
        <f>IFERROR(INDEX(Weeks!$F$7:$F$59,MATCH($C$5,Weeks!$A$7:$A$59,0)),0)</f>
        <v/>
      </c>
      <c r="E8" s="273" t="n"/>
      <c r="F8" s="274">
        <f>IFERROR(INDEX(Weeks!$G$7:$G$59,MATCH($C$5,Weeks!$A$7:$A$59,0)),0)</f>
        <v/>
      </c>
      <c r="G8" s="273" t="n"/>
      <c r="H8" s="214">
        <f>IFERROR(INDEX(Weeks!$H$7:$H$59,MATCH($C$5,Weeks!$A$7:$A$59,0)),0)</f>
        <v/>
      </c>
      <c r="I8" s="273" t="n"/>
      <c r="J8" s="275">
        <f>IFERROR(INDEX(Weeks!$I$7:$I$59,MATCH($C$5,Weeks!$A$7:$A$59,0)),0)</f>
        <v/>
      </c>
      <c r="K8" s="273" t="n"/>
      <c r="L8" s="216">
        <f>Checks!$C$5</f>
        <v/>
      </c>
      <c r="M8" s="273" t="n"/>
      <c r="N8" s="273" t="n"/>
      <c r="O8" s="218" t="n"/>
      <c r="P8" s="3" t="n"/>
      <c r="Q8" s="8" t="inlineStr">
        <is>
          <t>Ready for the Cash Ledger</t>
        </is>
      </c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6.5" customHeight="1">
      <c r="A9" s="3" t="n"/>
      <c r="B9" s="217" t="n"/>
      <c r="C9" s="217" t="n"/>
      <c r="D9" s="217" t="n"/>
      <c r="E9" s="217" t="n"/>
      <c r="F9" s="217" t="n"/>
      <c r="G9" s="217" t="n"/>
      <c r="H9" s="217" t="n"/>
      <c r="I9" s="217" t="n"/>
      <c r="J9" s="217" t="n"/>
      <c r="K9" s="217" t="n"/>
      <c r="L9" s="217" t="n"/>
      <c r="M9" s="217" t="n"/>
      <c r="N9" s="217" t="n"/>
      <c r="O9" s="3" t="n"/>
      <c r="P9" s="3" t="n"/>
      <c r="Q9" s="35" t="inlineStr">
        <is>
          <t>After paying: select the filled rows below, copy, go to the next empty row in the Cash Ledger (column B) and Paste Values (Ctrl+Shift+V, or Paste ▸ Values).</t>
        </is>
      </c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6.5" customHeight="1">
      <c r="A10" s="217" t="n"/>
      <c r="B10" s="217" t="n"/>
      <c r="C10" s="217" t="n"/>
      <c r="D10" s="217" t="n"/>
      <c r="E10" s="217" t="n"/>
      <c r="F10" s="217" t="n"/>
      <c r="G10" s="217" t="n"/>
      <c r="H10" s="217" t="n"/>
      <c r="I10" s="217" t="n"/>
      <c r="J10" s="217" t="n"/>
      <c r="K10" s="217" t="n"/>
      <c r="L10" s="217" t="n"/>
      <c r="M10" s="217" t="n"/>
      <c r="N10" s="217" t="n"/>
      <c r="O10" s="217" t="n"/>
      <c r="P10" s="3" t="n"/>
      <c r="Q10" s="217" t="n"/>
      <c r="R10" s="217" t="n"/>
      <c r="S10" s="217" t="n"/>
      <c r="T10" s="217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32.1" customFormat="1" customHeight="1" s="127">
      <c r="A11" s="58" t="inlineStr">
        <is>
          <t>ID</t>
        </is>
      </c>
      <c r="B11" s="58" t="inlineStr">
        <is>
          <t>Worker</t>
        </is>
      </c>
      <c r="C11" s="58" t="inlineStr">
        <is>
          <t>Status</t>
        </is>
      </c>
      <c r="D11" s="58" t="inlineStr">
        <is>
          <t>Days</t>
        </is>
      </c>
      <c r="E11" s="58" t="inlineStr">
        <is>
          <t>Share</t>
        </is>
      </c>
      <c r="F11" s="58" t="inlineStr">
        <is>
          <t>Earned this week</t>
        </is>
      </c>
      <c r="G11" s="58" t="inlineStr">
        <is>
          <t>Brought forward</t>
        </is>
      </c>
      <c r="H11" s="58" t="inlineStr">
        <is>
          <t>Advances</t>
        </is>
      </c>
      <c r="I11" s="58" t="inlineStr">
        <is>
          <t>Corrections</t>
        </is>
      </c>
      <c r="J11" s="58" t="inlineStr">
        <is>
          <t>Due</t>
        </is>
      </c>
      <c r="K11" s="87" t="inlineStr">
        <is>
          <t>TO PAY</t>
        </is>
      </c>
      <c r="L11" s="58" t="inlineStr">
        <is>
          <t>Paid (in ledger)</t>
        </is>
      </c>
      <c r="M11" s="58" t="inlineStr">
        <is>
          <t>Still to pay</t>
        </is>
      </c>
      <c r="N11" s="58" t="inlineStr">
        <is>
          <t>Carried forward</t>
        </is>
      </c>
      <c r="O11" s="58" t="inlineStr">
        <is>
          <t>Note</t>
        </is>
      </c>
      <c r="P11" s="125" t="n"/>
      <c r="Q11" s="147" t="inlineStr">
        <is>
          <t>Date</t>
        </is>
      </c>
      <c r="R11" s="147" t="inlineStr">
        <is>
          <t>Worker</t>
        </is>
      </c>
      <c r="S11" s="147" t="inlineStr">
        <is>
          <t>Type</t>
        </is>
      </c>
      <c r="T11" s="147" t="inlineStr">
        <is>
          <t>Amount (so'm)</t>
        </is>
      </c>
      <c r="U11" s="148" t="inlineStr">
        <is>
          <t>slot</t>
        </is>
      </c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</row>
    <row r="12" ht="21" customFormat="1" customHeight="1" s="127">
      <c r="A12" s="88">
        <f>Workers!$A$6</f>
        <v/>
      </c>
      <c r="B12" s="149">
        <f>IF(Workers!$B$6="","",Workers!$B$6)</f>
        <v/>
      </c>
      <c r="C12" s="89">
        <f>IF($B12="","",Workers!$C$6)</f>
        <v/>
      </c>
      <c r="D12" s="45">
        <f>IF($B12="","",IFERROR(INDEX(Weeks!$L$7:$W$59,MATCH($C$5,Weeks!$A$7:$A$59,0),MATCH($A12,Weeks!$L$5:$W$5,0)),0))</f>
        <v/>
      </c>
      <c r="E12" s="276">
        <f>IF(OR($B12="",N($H$8)=0),"",$D12/$H$8)</f>
        <v/>
      </c>
      <c r="F12" s="248">
        <f>IF($B12="","",IFERROR(INDEX(Weeks!$X$7:$AI$59,MATCH($C$5,Weeks!$A$7:$A$59,0),MATCH($A12,Weeks!$X$5:$AI$5,0)),0))</f>
        <v/>
      </c>
      <c r="G12" s="263">
        <f>IF($B12="","",SUMPRODUCT((Weeks!$A$7:$A$59&lt;$C$5)*(Weeks!$X$5:$AI$5=$A12)*Weeks!$X$7:$AI$59)-SUMIFS('Cash Ledger'!$E$7:$E$1006,'Cash Ledger'!$I$7:$I$1006,$A12,'Cash Ledger'!$B$7:$B$1006,"&lt;"&amp;$C$5))</f>
        <v/>
      </c>
      <c r="H12" s="248">
        <f>IF($B12="","",SUMIFS('Cash Ledger'!$E$7:$E$1006,'Cash Ledger'!$I$7:$I$1006,$A12,'Cash Ledger'!$D$7:$D$1006,"Advance",'Cash Ledger'!$B$7:$B$1006,"&gt;="&amp;$C$5,'Cash Ledger'!$B$7:$B$1006,"&lt;="&amp;($C$5+6)))</f>
        <v/>
      </c>
      <c r="I12" s="263">
        <f>IF($B12="","",SUMIFS('Cash Ledger'!$E$7:$E$1006,'Cash Ledger'!$I$7:$I$1006,$A12,'Cash Ledger'!$D$7:$D$1006,"Correction",'Cash Ledger'!$B$7:$B$1006,"&gt;="&amp;$C$5,'Cash Ledger'!$B$7:$B$1006,"&lt;="&amp;($C$5+6)))</f>
        <v/>
      </c>
      <c r="J12" s="263">
        <f>IF($B12="","",$G12+$F12-$H12-$I12)</f>
        <v/>
      </c>
      <c r="K12" s="277">
        <f>IF($B12="","",ROUND(MAX(0,IF($G12&gt;=0,$J12,$F12-$H12-$I12-MIN(-$G12,DebtCap*$F12))),0))</f>
        <v/>
      </c>
      <c r="L12" s="248">
        <f>IF($B12="","",SUMIFS('Cash Ledger'!$E$7:$E$1006,'Cash Ledger'!$I$7:$I$1006,$A12,'Cash Ledger'!$D$7:$D$1006,"Weekly pay",'Cash Ledger'!$B$7:$B$1006,"&gt;="&amp;$C$5,'Cash Ledger'!$B$7:$B$1006,"&lt;="&amp;($C$5+6)))</f>
        <v/>
      </c>
      <c r="M12" s="248">
        <f>IF($B12="","",MAX(0,$K12-$L12))</f>
        <v/>
      </c>
      <c r="N12" s="263">
        <f>IF($B12="","",$J12-$L12)</f>
        <v/>
      </c>
      <c r="O12" s="129">
        <f>IF($B12="","",IF(ROUND($N12,0)&lt;0,"owes you "&amp;TEXT(ROUND(-$N12,0),"#,##0"),IF(AND(ROUND($N12,0)&gt;0,$M12&gt;0),"not yet paid",IF(ROUND($N12,0)&gt;0,"you owe "&amp;TEXT(ROUND($N12,0),"#,##0"),"settled"))))</f>
        <v/>
      </c>
      <c r="P12" s="125" t="n"/>
      <c r="Q12" s="278">
        <f>IF($U12="","",MEDIAN($C$5,$C$5+6,TODAY()))</f>
        <v/>
      </c>
      <c r="R12" s="152">
        <f t="array" ref="R12">IF($U12="","",INDEX($B$12:$B$23,$U12))</f>
        <v/>
      </c>
      <c r="S12" s="153">
        <f>IF($U12="","","Weekly pay")</f>
        <v/>
      </c>
      <c r="T12" s="279">
        <f t="array" ref="T12">IF($U12="","",INDEX($M$12:$M$23,$U12))</f>
        <v/>
      </c>
      <c r="U12" s="148">
        <f t="array" ref="U12">IFERROR(_xlfn.AGGREGATE(15,6,(ROW($M$12:$M$23)-ROW($M$12)+1)/(ISNUMBER($M$12:$M$23)*($M$12:$M$23&gt;0)),ROWS($U$12:U12)),"")</f>
        <v/>
      </c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</row>
    <row r="13" ht="21" customFormat="1" customHeight="1" s="127">
      <c r="A13" s="211">
        <f>Workers!$A$7</f>
        <v/>
      </c>
      <c r="B13" s="155">
        <f>IF(Workers!$B$7="","",Workers!$B$7)</f>
        <v/>
      </c>
      <c r="C13" s="90">
        <f>IF($B13="","",Workers!$C$7)</f>
        <v/>
      </c>
      <c r="D13" s="51">
        <f>IF($B13="","",IFERROR(INDEX(Weeks!$L$7:$W$59,MATCH($C$5,Weeks!$A$7:$A$59,0),MATCH($A13,Weeks!$L$5:$W$5,0)),0))</f>
        <v/>
      </c>
      <c r="E13" s="280">
        <f>IF(OR($B13="",N($H$8)=0),"",$D13/$H$8)</f>
        <v/>
      </c>
      <c r="F13" s="252">
        <f>IF($B13="","",IFERROR(INDEX(Weeks!$X$7:$AI$59,MATCH($C$5,Weeks!$A$7:$A$59,0),MATCH($A13,Weeks!$X$5:$AI$5,0)),0))</f>
        <v/>
      </c>
      <c r="G13" s="266">
        <f>IF($B13="","",SUMPRODUCT((Weeks!$A$7:$A$59&lt;$C$5)*(Weeks!$X$5:$AI$5=$A13)*Weeks!$X$7:$AI$59)-SUMIFS('Cash Ledger'!$E$7:$E$1006,'Cash Ledger'!$I$7:$I$1006,$A13,'Cash Ledger'!$B$7:$B$1006,"&lt;"&amp;$C$5))</f>
        <v/>
      </c>
      <c r="H13" s="252">
        <f>IF($B13="","",SUMIFS('Cash Ledger'!$E$7:$E$1006,'Cash Ledger'!$I$7:$I$1006,$A13,'Cash Ledger'!$D$7:$D$1006,"Advance",'Cash Ledger'!$B$7:$B$1006,"&gt;="&amp;$C$5,'Cash Ledger'!$B$7:$B$1006,"&lt;="&amp;($C$5+6)))</f>
        <v/>
      </c>
      <c r="I13" s="266">
        <f>IF($B13="","",SUMIFS('Cash Ledger'!$E$7:$E$1006,'Cash Ledger'!$I$7:$I$1006,$A13,'Cash Ledger'!$D$7:$D$1006,"Correction",'Cash Ledger'!$B$7:$B$1006,"&gt;="&amp;$C$5,'Cash Ledger'!$B$7:$B$1006,"&lt;="&amp;($C$5+6)))</f>
        <v/>
      </c>
      <c r="J13" s="266">
        <f>IF($B13="","",$G13+$F13-$H13-$I13)</f>
        <v/>
      </c>
      <c r="K13" s="277">
        <f>IF($B13="","",ROUND(MAX(0,IF($G13&gt;=0,$J13,$F13-$H13-$I13-MIN(-$G13,DebtCap*$F13))),0))</f>
        <v/>
      </c>
      <c r="L13" s="252">
        <f>IF($B13="","",SUMIFS('Cash Ledger'!$E$7:$E$1006,'Cash Ledger'!$I$7:$I$1006,$A13,'Cash Ledger'!$D$7:$D$1006,"Weekly pay",'Cash Ledger'!$B$7:$B$1006,"&gt;="&amp;$C$5,'Cash Ledger'!$B$7:$B$1006,"&lt;="&amp;($C$5+6)))</f>
        <v/>
      </c>
      <c r="M13" s="252">
        <f>IF($B13="","",MAX(0,$K13-$L13))</f>
        <v/>
      </c>
      <c r="N13" s="266">
        <f>IF($B13="","",$J13-$L13)</f>
        <v/>
      </c>
      <c r="O13" s="132">
        <f>IF($B13="","",IF(ROUND($N13,0)&lt;0,"owes you "&amp;TEXT(ROUND(-$N13,0),"#,##0"),IF(AND(ROUND($N13,0)&gt;0,$M13&gt;0),"not yet paid",IF(ROUND($N13,0)&gt;0,"you owe "&amp;TEXT(ROUND($N13,0),"#,##0"),"settled"))))</f>
        <v/>
      </c>
      <c r="P13" s="125" t="n"/>
      <c r="Q13" s="281">
        <f>IF($U13="","",MEDIAN($C$5,$C$5+6,TODAY()))</f>
        <v/>
      </c>
      <c r="R13" s="157">
        <f t="array" ref="R13">IF($U13="","",INDEX($B$12:$B$23,$U13))</f>
        <v/>
      </c>
      <c r="S13" s="158">
        <f>IF($U13="","","Weekly pay")</f>
        <v/>
      </c>
      <c r="T13" s="282">
        <f t="array" ref="T13">IF($U13="","",INDEX($M$12:$M$23,$U13))</f>
        <v/>
      </c>
      <c r="U13" s="148">
        <f t="array" ref="U13">IFERROR(_xlfn.AGGREGATE(15,6,(ROW($M$12:$M$23)-ROW($M$12)+1)/(ISNUMBER($M$12:$M$23)*($M$12:$M$23&gt;0)),ROWS($U$12:U13)),"")</f>
        <v/>
      </c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</row>
    <row r="14" ht="21" customFormat="1" customHeight="1" s="127">
      <c r="A14" s="211">
        <f>Workers!$A$8</f>
        <v/>
      </c>
      <c r="B14" s="155">
        <f>IF(Workers!$B$8="","",Workers!$B$8)</f>
        <v/>
      </c>
      <c r="C14" s="90">
        <f>IF($B14="","",Workers!$C$8)</f>
        <v/>
      </c>
      <c r="D14" s="51">
        <f>IF($B14="","",IFERROR(INDEX(Weeks!$L$7:$W$59,MATCH($C$5,Weeks!$A$7:$A$59,0),MATCH($A14,Weeks!$L$5:$W$5,0)),0))</f>
        <v/>
      </c>
      <c r="E14" s="280">
        <f>IF(OR($B14="",N($H$8)=0),"",$D14/$H$8)</f>
        <v/>
      </c>
      <c r="F14" s="252">
        <f>IF($B14="","",IFERROR(INDEX(Weeks!$X$7:$AI$59,MATCH($C$5,Weeks!$A$7:$A$59,0),MATCH($A14,Weeks!$X$5:$AI$5,0)),0))</f>
        <v/>
      </c>
      <c r="G14" s="266">
        <f>IF($B14="","",SUMPRODUCT((Weeks!$A$7:$A$59&lt;$C$5)*(Weeks!$X$5:$AI$5=$A14)*Weeks!$X$7:$AI$59)-SUMIFS('Cash Ledger'!$E$7:$E$1006,'Cash Ledger'!$I$7:$I$1006,$A14,'Cash Ledger'!$B$7:$B$1006,"&lt;"&amp;$C$5))</f>
        <v/>
      </c>
      <c r="H14" s="252">
        <f>IF($B14="","",SUMIFS('Cash Ledger'!$E$7:$E$1006,'Cash Ledger'!$I$7:$I$1006,$A14,'Cash Ledger'!$D$7:$D$1006,"Advance",'Cash Ledger'!$B$7:$B$1006,"&gt;="&amp;$C$5,'Cash Ledger'!$B$7:$B$1006,"&lt;="&amp;($C$5+6)))</f>
        <v/>
      </c>
      <c r="I14" s="266">
        <f>IF($B14="","",SUMIFS('Cash Ledger'!$E$7:$E$1006,'Cash Ledger'!$I$7:$I$1006,$A14,'Cash Ledger'!$D$7:$D$1006,"Correction",'Cash Ledger'!$B$7:$B$1006,"&gt;="&amp;$C$5,'Cash Ledger'!$B$7:$B$1006,"&lt;="&amp;($C$5+6)))</f>
        <v/>
      </c>
      <c r="J14" s="266">
        <f>IF($B14="","",$G14+$F14-$H14-$I14)</f>
        <v/>
      </c>
      <c r="K14" s="277">
        <f>IF($B14="","",ROUND(MAX(0,IF($G14&gt;=0,$J14,$F14-$H14-$I14-MIN(-$G14,DebtCap*$F14))),0))</f>
        <v/>
      </c>
      <c r="L14" s="252">
        <f>IF($B14="","",SUMIFS('Cash Ledger'!$E$7:$E$1006,'Cash Ledger'!$I$7:$I$1006,$A14,'Cash Ledger'!$D$7:$D$1006,"Weekly pay",'Cash Ledger'!$B$7:$B$1006,"&gt;="&amp;$C$5,'Cash Ledger'!$B$7:$B$1006,"&lt;="&amp;($C$5+6)))</f>
        <v/>
      </c>
      <c r="M14" s="252">
        <f>IF($B14="","",MAX(0,$K14-$L14))</f>
        <v/>
      </c>
      <c r="N14" s="266">
        <f>IF($B14="","",$J14-$L14)</f>
        <v/>
      </c>
      <c r="O14" s="132">
        <f>IF($B14="","",IF(ROUND($N14,0)&lt;0,"owes you "&amp;TEXT(ROUND(-$N14,0),"#,##0"),IF(AND(ROUND($N14,0)&gt;0,$M14&gt;0),"not yet paid",IF(ROUND($N14,0)&gt;0,"you owe "&amp;TEXT(ROUND($N14,0),"#,##0"),"settled"))))</f>
        <v/>
      </c>
      <c r="P14" s="125" t="n"/>
      <c r="Q14" s="281">
        <f>IF($U14="","",MEDIAN($C$5,$C$5+6,TODAY()))</f>
        <v/>
      </c>
      <c r="R14" s="157">
        <f t="array" ref="R14">IF($U14="","",INDEX($B$12:$B$23,$U14))</f>
        <v/>
      </c>
      <c r="S14" s="158">
        <f>IF($U14="","","Weekly pay")</f>
        <v/>
      </c>
      <c r="T14" s="282">
        <f t="array" ref="T14">IF($U14="","",INDEX($M$12:$M$23,$U14))</f>
        <v/>
      </c>
      <c r="U14" s="148">
        <f t="array" ref="U14">IFERROR(_xlfn.AGGREGATE(15,6,(ROW($M$12:$M$23)-ROW($M$12)+1)/(ISNUMBER($M$12:$M$23)*($M$12:$M$23&gt;0)),ROWS($U$12:U14)),"")</f>
        <v/>
      </c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</row>
    <row r="15" ht="21" customFormat="1" customHeight="1" s="127">
      <c r="A15" s="211">
        <f>Workers!$A$9</f>
        <v/>
      </c>
      <c r="B15" s="155">
        <f>IF(Workers!$B$9="","",Workers!$B$9)</f>
        <v/>
      </c>
      <c r="C15" s="90">
        <f>IF($B15="","",Workers!$C$9)</f>
        <v/>
      </c>
      <c r="D15" s="51">
        <f>IF($B15="","",IFERROR(INDEX(Weeks!$L$7:$W$59,MATCH($C$5,Weeks!$A$7:$A$59,0),MATCH($A15,Weeks!$L$5:$W$5,0)),0))</f>
        <v/>
      </c>
      <c r="E15" s="280">
        <f>IF(OR($B15="",N($H$8)=0),"",$D15/$H$8)</f>
        <v/>
      </c>
      <c r="F15" s="252">
        <f>IF($B15="","",IFERROR(INDEX(Weeks!$X$7:$AI$59,MATCH($C$5,Weeks!$A$7:$A$59,0),MATCH($A15,Weeks!$X$5:$AI$5,0)),0))</f>
        <v/>
      </c>
      <c r="G15" s="266">
        <f>IF($B15="","",SUMPRODUCT((Weeks!$A$7:$A$59&lt;$C$5)*(Weeks!$X$5:$AI$5=$A15)*Weeks!$X$7:$AI$59)-SUMIFS('Cash Ledger'!$E$7:$E$1006,'Cash Ledger'!$I$7:$I$1006,$A15,'Cash Ledger'!$B$7:$B$1006,"&lt;"&amp;$C$5))</f>
        <v/>
      </c>
      <c r="H15" s="252">
        <f>IF($B15="","",SUMIFS('Cash Ledger'!$E$7:$E$1006,'Cash Ledger'!$I$7:$I$1006,$A15,'Cash Ledger'!$D$7:$D$1006,"Advance",'Cash Ledger'!$B$7:$B$1006,"&gt;="&amp;$C$5,'Cash Ledger'!$B$7:$B$1006,"&lt;="&amp;($C$5+6)))</f>
        <v/>
      </c>
      <c r="I15" s="266">
        <f>IF($B15="","",SUMIFS('Cash Ledger'!$E$7:$E$1006,'Cash Ledger'!$I$7:$I$1006,$A15,'Cash Ledger'!$D$7:$D$1006,"Correction",'Cash Ledger'!$B$7:$B$1006,"&gt;="&amp;$C$5,'Cash Ledger'!$B$7:$B$1006,"&lt;="&amp;($C$5+6)))</f>
        <v/>
      </c>
      <c r="J15" s="266">
        <f>IF($B15="","",$G15+$F15-$H15-$I15)</f>
        <v/>
      </c>
      <c r="K15" s="277">
        <f>IF($B15="","",ROUND(MAX(0,IF($G15&gt;=0,$J15,$F15-$H15-$I15-MIN(-$G15,DebtCap*$F15))),0))</f>
        <v/>
      </c>
      <c r="L15" s="252">
        <f>IF($B15="","",SUMIFS('Cash Ledger'!$E$7:$E$1006,'Cash Ledger'!$I$7:$I$1006,$A15,'Cash Ledger'!$D$7:$D$1006,"Weekly pay",'Cash Ledger'!$B$7:$B$1006,"&gt;="&amp;$C$5,'Cash Ledger'!$B$7:$B$1006,"&lt;="&amp;($C$5+6)))</f>
        <v/>
      </c>
      <c r="M15" s="252">
        <f>IF($B15="","",MAX(0,$K15-$L15))</f>
        <v/>
      </c>
      <c r="N15" s="266">
        <f>IF($B15="","",$J15-$L15)</f>
        <v/>
      </c>
      <c r="O15" s="132">
        <f>IF($B15="","",IF(ROUND($N15,0)&lt;0,"owes you "&amp;TEXT(ROUND(-$N15,0),"#,##0"),IF(AND(ROUND($N15,0)&gt;0,$M15&gt;0),"not yet paid",IF(ROUND($N15,0)&gt;0,"you owe "&amp;TEXT(ROUND($N15,0),"#,##0"),"settled"))))</f>
        <v/>
      </c>
      <c r="P15" s="125" t="n"/>
      <c r="Q15" s="281">
        <f>IF($U15="","",MEDIAN($C$5,$C$5+6,TODAY()))</f>
        <v/>
      </c>
      <c r="R15" s="157">
        <f t="array" ref="R15">IF($U15="","",INDEX($B$12:$B$23,$U15))</f>
        <v/>
      </c>
      <c r="S15" s="158">
        <f>IF($U15="","","Weekly pay")</f>
        <v/>
      </c>
      <c r="T15" s="282">
        <f t="array" ref="T15">IF($U15="","",INDEX($M$12:$M$23,$U15))</f>
        <v/>
      </c>
      <c r="U15" s="148">
        <f t="array" ref="U15">IFERROR(_xlfn.AGGREGATE(15,6,(ROW($M$12:$M$23)-ROW($M$12)+1)/(ISNUMBER($M$12:$M$23)*($M$12:$M$23&gt;0)),ROWS($U$12:U15)),"")</f>
        <v/>
      </c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</row>
    <row r="16" ht="21" customFormat="1" customHeight="1" s="127">
      <c r="A16" s="211">
        <f>Workers!$A$10</f>
        <v/>
      </c>
      <c r="B16" s="155">
        <f>IF(Workers!$B$10="","",Workers!$B$10)</f>
        <v/>
      </c>
      <c r="C16" s="90">
        <f>IF($B16="","",Workers!$C$10)</f>
        <v/>
      </c>
      <c r="D16" s="51">
        <f>IF($B16="","",IFERROR(INDEX(Weeks!$L$7:$W$59,MATCH($C$5,Weeks!$A$7:$A$59,0),MATCH($A16,Weeks!$L$5:$W$5,0)),0))</f>
        <v/>
      </c>
      <c r="E16" s="280">
        <f>IF(OR($B16="",N($H$8)=0),"",$D16/$H$8)</f>
        <v/>
      </c>
      <c r="F16" s="252">
        <f>IF($B16="","",IFERROR(INDEX(Weeks!$X$7:$AI$59,MATCH($C$5,Weeks!$A$7:$A$59,0),MATCH($A16,Weeks!$X$5:$AI$5,0)),0))</f>
        <v/>
      </c>
      <c r="G16" s="266">
        <f>IF($B16="","",SUMPRODUCT((Weeks!$A$7:$A$59&lt;$C$5)*(Weeks!$X$5:$AI$5=$A16)*Weeks!$X$7:$AI$59)-SUMIFS('Cash Ledger'!$E$7:$E$1006,'Cash Ledger'!$I$7:$I$1006,$A16,'Cash Ledger'!$B$7:$B$1006,"&lt;"&amp;$C$5))</f>
        <v/>
      </c>
      <c r="H16" s="252">
        <f>IF($B16="","",SUMIFS('Cash Ledger'!$E$7:$E$1006,'Cash Ledger'!$I$7:$I$1006,$A16,'Cash Ledger'!$D$7:$D$1006,"Advance",'Cash Ledger'!$B$7:$B$1006,"&gt;="&amp;$C$5,'Cash Ledger'!$B$7:$B$1006,"&lt;="&amp;($C$5+6)))</f>
        <v/>
      </c>
      <c r="I16" s="266">
        <f>IF($B16="","",SUMIFS('Cash Ledger'!$E$7:$E$1006,'Cash Ledger'!$I$7:$I$1006,$A16,'Cash Ledger'!$D$7:$D$1006,"Correction",'Cash Ledger'!$B$7:$B$1006,"&gt;="&amp;$C$5,'Cash Ledger'!$B$7:$B$1006,"&lt;="&amp;($C$5+6)))</f>
        <v/>
      </c>
      <c r="J16" s="266">
        <f>IF($B16="","",$G16+$F16-$H16-$I16)</f>
        <v/>
      </c>
      <c r="K16" s="277">
        <f>IF($B16="","",ROUND(MAX(0,IF($G16&gt;=0,$J16,$F16-$H16-$I16-MIN(-$G16,DebtCap*$F16))),0))</f>
        <v/>
      </c>
      <c r="L16" s="252">
        <f>IF($B16="","",SUMIFS('Cash Ledger'!$E$7:$E$1006,'Cash Ledger'!$I$7:$I$1006,$A16,'Cash Ledger'!$D$7:$D$1006,"Weekly pay",'Cash Ledger'!$B$7:$B$1006,"&gt;="&amp;$C$5,'Cash Ledger'!$B$7:$B$1006,"&lt;="&amp;($C$5+6)))</f>
        <v/>
      </c>
      <c r="M16" s="252">
        <f>IF($B16="","",MAX(0,$K16-$L16))</f>
        <v/>
      </c>
      <c r="N16" s="266">
        <f>IF($B16="","",$J16-$L16)</f>
        <v/>
      </c>
      <c r="O16" s="132">
        <f>IF($B16="","",IF(ROUND($N16,0)&lt;0,"owes you "&amp;TEXT(ROUND(-$N16,0),"#,##0"),IF(AND(ROUND($N16,0)&gt;0,$M16&gt;0),"not yet paid",IF(ROUND($N16,0)&gt;0,"you owe "&amp;TEXT(ROUND($N16,0),"#,##0"),"settled"))))</f>
        <v/>
      </c>
      <c r="P16" s="125" t="n"/>
      <c r="Q16" s="281">
        <f>IF($U16="","",MEDIAN($C$5,$C$5+6,TODAY()))</f>
        <v/>
      </c>
      <c r="R16" s="157">
        <f t="array" ref="R16">IF($U16="","",INDEX($B$12:$B$23,$U16))</f>
        <v/>
      </c>
      <c r="S16" s="158">
        <f>IF($U16="","","Weekly pay")</f>
        <v/>
      </c>
      <c r="T16" s="282">
        <f t="array" ref="T16">IF($U16="","",INDEX($M$12:$M$23,$U16))</f>
        <v/>
      </c>
      <c r="U16" s="148">
        <f t="array" ref="U16">IFERROR(_xlfn.AGGREGATE(15,6,(ROW($M$12:$M$23)-ROW($M$12)+1)/(ISNUMBER($M$12:$M$23)*($M$12:$M$23&gt;0)),ROWS($U$12:U16)),"")</f>
        <v/>
      </c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</row>
    <row r="17" ht="21" customFormat="1" customHeight="1" s="127">
      <c r="A17" s="211">
        <f>Workers!$A$11</f>
        <v/>
      </c>
      <c r="B17" s="155">
        <f>IF(Workers!$B$11="","",Workers!$B$11)</f>
        <v/>
      </c>
      <c r="C17" s="90">
        <f>IF($B17="","",Workers!$C$11)</f>
        <v/>
      </c>
      <c r="D17" s="51">
        <f>IF($B17="","",IFERROR(INDEX(Weeks!$L$7:$W$59,MATCH($C$5,Weeks!$A$7:$A$59,0),MATCH($A17,Weeks!$L$5:$W$5,0)),0))</f>
        <v/>
      </c>
      <c r="E17" s="280">
        <f>IF(OR($B17="",N($H$8)=0),"",$D17/$H$8)</f>
        <v/>
      </c>
      <c r="F17" s="252">
        <f>IF($B17="","",IFERROR(INDEX(Weeks!$X$7:$AI$59,MATCH($C$5,Weeks!$A$7:$A$59,0),MATCH($A17,Weeks!$X$5:$AI$5,0)),0))</f>
        <v/>
      </c>
      <c r="G17" s="266">
        <f>IF($B17="","",SUMPRODUCT((Weeks!$A$7:$A$59&lt;$C$5)*(Weeks!$X$5:$AI$5=$A17)*Weeks!$X$7:$AI$59)-SUMIFS('Cash Ledger'!$E$7:$E$1006,'Cash Ledger'!$I$7:$I$1006,$A17,'Cash Ledger'!$B$7:$B$1006,"&lt;"&amp;$C$5))</f>
        <v/>
      </c>
      <c r="H17" s="252">
        <f>IF($B17="","",SUMIFS('Cash Ledger'!$E$7:$E$1006,'Cash Ledger'!$I$7:$I$1006,$A17,'Cash Ledger'!$D$7:$D$1006,"Advance",'Cash Ledger'!$B$7:$B$1006,"&gt;="&amp;$C$5,'Cash Ledger'!$B$7:$B$1006,"&lt;="&amp;($C$5+6)))</f>
        <v/>
      </c>
      <c r="I17" s="266">
        <f>IF($B17="","",SUMIFS('Cash Ledger'!$E$7:$E$1006,'Cash Ledger'!$I$7:$I$1006,$A17,'Cash Ledger'!$D$7:$D$1006,"Correction",'Cash Ledger'!$B$7:$B$1006,"&gt;="&amp;$C$5,'Cash Ledger'!$B$7:$B$1006,"&lt;="&amp;($C$5+6)))</f>
        <v/>
      </c>
      <c r="J17" s="266">
        <f>IF($B17="","",$G17+$F17-$H17-$I17)</f>
        <v/>
      </c>
      <c r="K17" s="277">
        <f>IF($B17="","",ROUND(MAX(0,IF($G17&gt;=0,$J17,$F17-$H17-$I17-MIN(-$G17,DebtCap*$F17))),0))</f>
        <v/>
      </c>
      <c r="L17" s="252">
        <f>IF($B17="","",SUMIFS('Cash Ledger'!$E$7:$E$1006,'Cash Ledger'!$I$7:$I$1006,$A17,'Cash Ledger'!$D$7:$D$1006,"Weekly pay",'Cash Ledger'!$B$7:$B$1006,"&gt;="&amp;$C$5,'Cash Ledger'!$B$7:$B$1006,"&lt;="&amp;($C$5+6)))</f>
        <v/>
      </c>
      <c r="M17" s="252">
        <f>IF($B17="","",MAX(0,$K17-$L17))</f>
        <v/>
      </c>
      <c r="N17" s="266">
        <f>IF($B17="","",$J17-$L17)</f>
        <v/>
      </c>
      <c r="O17" s="132">
        <f>IF($B17="","",IF(ROUND($N17,0)&lt;0,"owes you "&amp;TEXT(ROUND(-$N17,0),"#,##0"),IF(AND(ROUND($N17,0)&gt;0,$M17&gt;0),"not yet paid",IF(ROUND($N17,0)&gt;0,"you owe "&amp;TEXT(ROUND($N17,0),"#,##0"),"settled"))))</f>
        <v/>
      </c>
      <c r="P17" s="125" t="n"/>
      <c r="Q17" s="281">
        <f>IF($U17="","",MEDIAN($C$5,$C$5+6,TODAY()))</f>
        <v/>
      </c>
      <c r="R17" s="157">
        <f t="array" ref="R17">IF($U17="","",INDEX($B$12:$B$23,$U17))</f>
        <v/>
      </c>
      <c r="S17" s="158">
        <f>IF($U17="","","Weekly pay")</f>
        <v/>
      </c>
      <c r="T17" s="282">
        <f t="array" ref="T17">IF($U17="","",INDEX($M$12:$M$23,$U17))</f>
        <v/>
      </c>
      <c r="U17" s="148">
        <f t="array" ref="U17">IFERROR(_xlfn.AGGREGATE(15,6,(ROW($M$12:$M$23)-ROW($M$12)+1)/(ISNUMBER($M$12:$M$23)*($M$12:$M$23&gt;0)),ROWS($U$12:U17)),"")</f>
        <v/>
      </c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</row>
    <row r="18" ht="21" customFormat="1" customHeight="1" s="127">
      <c r="A18" s="211">
        <f>Workers!$A$12</f>
        <v/>
      </c>
      <c r="B18" s="155">
        <f>IF(Workers!$B$12="","",Workers!$B$12)</f>
        <v/>
      </c>
      <c r="C18" s="90">
        <f>IF($B18="","",Workers!$C$12)</f>
        <v/>
      </c>
      <c r="D18" s="51">
        <f>IF($B18="","",IFERROR(INDEX(Weeks!$L$7:$W$59,MATCH($C$5,Weeks!$A$7:$A$59,0),MATCH($A18,Weeks!$L$5:$W$5,0)),0))</f>
        <v/>
      </c>
      <c r="E18" s="280">
        <f>IF(OR($B18="",N($H$8)=0),"",$D18/$H$8)</f>
        <v/>
      </c>
      <c r="F18" s="252">
        <f>IF($B18="","",IFERROR(INDEX(Weeks!$X$7:$AI$59,MATCH($C$5,Weeks!$A$7:$A$59,0),MATCH($A18,Weeks!$X$5:$AI$5,0)),0))</f>
        <v/>
      </c>
      <c r="G18" s="266">
        <f>IF($B18="","",SUMPRODUCT((Weeks!$A$7:$A$59&lt;$C$5)*(Weeks!$X$5:$AI$5=$A18)*Weeks!$X$7:$AI$59)-SUMIFS('Cash Ledger'!$E$7:$E$1006,'Cash Ledger'!$I$7:$I$1006,$A18,'Cash Ledger'!$B$7:$B$1006,"&lt;"&amp;$C$5))</f>
        <v/>
      </c>
      <c r="H18" s="252">
        <f>IF($B18="","",SUMIFS('Cash Ledger'!$E$7:$E$1006,'Cash Ledger'!$I$7:$I$1006,$A18,'Cash Ledger'!$D$7:$D$1006,"Advance",'Cash Ledger'!$B$7:$B$1006,"&gt;="&amp;$C$5,'Cash Ledger'!$B$7:$B$1006,"&lt;="&amp;($C$5+6)))</f>
        <v/>
      </c>
      <c r="I18" s="266">
        <f>IF($B18="","",SUMIFS('Cash Ledger'!$E$7:$E$1006,'Cash Ledger'!$I$7:$I$1006,$A18,'Cash Ledger'!$D$7:$D$1006,"Correction",'Cash Ledger'!$B$7:$B$1006,"&gt;="&amp;$C$5,'Cash Ledger'!$B$7:$B$1006,"&lt;="&amp;($C$5+6)))</f>
        <v/>
      </c>
      <c r="J18" s="266">
        <f>IF($B18="","",$G18+$F18-$H18-$I18)</f>
        <v/>
      </c>
      <c r="K18" s="277">
        <f>IF($B18="","",ROUND(MAX(0,IF($G18&gt;=0,$J18,$F18-$H18-$I18-MIN(-$G18,DebtCap*$F18))),0))</f>
        <v/>
      </c>
      <c r="L18" s="252">
        <f>IF($B18="","",SUMIFS('Cash Ledger'!$E$7:$E$1006,'Cash Ledger'!$I$7:$I$1006,$A18,'Cash Ledger'!$D$7:$D$1006,"Weekly pay",'Cash Ledger'!$B$7:$B$1006,"&gt;="&amp;$C$5,'Cash Ledger'!$B$7:$B$1006,"&lt;="&amp;($C$5+6)))</f>
        <v/>
      </c>
      <c r="M18" s="252">
        <f>IF($B18="","",MAX(0,$K18-$L18))</f>
        <v/>
      </c>
      <c r="N18" s="266">
        <f>IF($B18="","",$J18-$L18)</f>
        <v/>
      </c>
      <c r="O18" s="132">
        <f>IF($B18="","",IF(ROUND($N18,0)&lt;0,"owes you "&amp;TEXT(ROUND(-$N18,0),"#,##0"),IF(AND(ROUND($N18,0)&gt;0,$M18&gt;0),"not yet paid",IF(ROUND($N18,0)&gt;0,"you owe "&amp;TEXT(ROUND($N18,0),"#,##0"),"settled"))))</f>
        <v/>
      </c>
      <c r="P18" s="125" t="n"/>
      <c r="Q18" s="281">
        <f>IF($U18="","",MEDIAN($C$5,$C$5+6,TODAY()))</f>
        <v/>
      </c>
      <c r="R18" s="157">
        <f t="array" ref="R18">IF($U18="","",INDEX($B$12:$B$23,$U18))</f>
        <v/>
      </c>
      <c r="S18" s="158">
        <f>IF($U18="","","Weekly pay")</f>
        <v/>
      </c>
      <c r="T18" s="282">
        <f t="array" ref="T18">IF($U18="","",INDEX($M$12:$M$23,$U18))</f>
        <v/>
      </c>
      <c r="U18" s="148">
        <f t="array" ref="U18">IFERROR(_xlfn.AGGREGATE(15,6,(ROW($M$12:$M$23)-ROW($M$12)+1)/(ISNUMBER($M$12:$M$23)*($M$12:$M$23&gt;0)),ROWS($U$12:U18)),"")</f>
        <v/>
      </c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</row>
    <row r="19" ht="21" customFormat="1" customHeight="1" s="127">
      <c r="A19" s="211">
        <f>Workers!$A$13</f>
        <v/>
      </c>
      <c r="B19" s="155">
        <f>IF(Workers!$B$13="","",Workers!$B$13)</f>
        <v/>
      </c>
      <c r="C19" s="90">
        <f>IF($B19="","",Workers!$C$13)</f>
        <v/>
      </c>
      <c r="D19" s="51">
        <f>IF($B19="","",IFERROR(INDEX(Weeks!$L$7:$W$59,MATCH($C$5,Weeks!$A$7:$A$59,0),MATCH($A19,Weeks!$L$5:$W$5,0)),0))</f>
        <v/>
      </c>
      <c r="E19" s="280">
        <f>IF(OR($B19="",N($H$8)=0),"",$D19/$H$8)</f>
        <v/>
      </c>
      <c r="F19" s="252">
        <f>IF($B19="","",IFERROR(INDEX(Weeks!$X$7:$AI$59,MATCH($C$5,Weeks!$A$7:$A$59,0),MATCH($A19,Weeks!$X$5:$AI$5,0)),0))</f>
        <v/>
      </c>
      <c r="G19" s="266">
        <f>IF($B19="","",SUMPRODUCT((Weeks!$A$7:$A$59&lt;$C$5)*(Weeks!$X$5:$AI$5=$A19)*Weeks!$X$7:$AI$59)-SUMIFS('Cash Ledger'!$E$7:$E$1006,'Cash Ledger'!$I$7:$I$1006,$A19,'Cash Ledger'!$B$7:$B$1006,"&lt;"&amp;$C$5))</f>
        <v/>
      </c>
      <c r="H19" s="252">
        <f>IF($B19="","",SUMIFS('Cash Ledger'!$E$7:$E$1006,'Cash Ledger'!$I$7:$I$1006,$A19,'Cash Ledger'!$D$7:$D$1006,"Advance",'Cash Ledger'!$B$7:$B$1006,"&gt;="&amp;$C$5,'Cash Ledger'!$B$7:$B$1006,"&lt;="&amp;($C$5+6)))</f>
        <v/>
      </c>
      <c r="I19" s="266">
        <f>IF($B19="","",SUMIFS('Cash Ledger'!$E$7:$E$1006,'Cash Ledger'!$I$7:$I$1006,$A19,'Cash Ledger'!$D$7:$D$1006,"Correction",'Cash Ledger'!$B$7:$B$1006,"&gt;="&amp;$C$5,'Cash Ledger'!$B$7:$B$1006,"&lt;="&amp;($C$5+6)))</f>
        <v/>
      </c>
      <c r="J19" s="266">
        <f>IF($B19="","",$G19+$F19-$H19-$I19)</f>
        <v/>
      </c>
      <c r="K19" s="277">
        <f>IF($B19="","",ROUND(MAX(0,IF($G19&gt;=0,$J19,$F19-$H19-$I19-MIN(-$G19,DebtCap*$F19))),0))</f>
        <v/>
      </c>
      <c r="L19" s="252">
        <f>IF($B19="","",SUMIFS('Cash Ledger'!$E$7:$E$1006,'Cash Ledger'!$I$7:$I$1006,$A19,'Cash Ledger'!$D$7:$D$1006,"Weekly pay",'Cash Ledger'!$B$7:$B$1006,"&gt;="&amp;$C$5,'Cash Ledger'!$B$7:$B$1006,"&lt;="&amp;($C$5+6)))</f>
        <v/>
      </c>
      <c r="M19" s="252">
        <f>IF($B19="","",MAX(0,$K19-$L19))</f>
        <v/>
      </c>
      <c r="N19" s="266">
        <f>IF($B19="","",$J19-$L19)</f>
        <v/>
      </c>
      <c r="O19" s="132">
        <f>IF($B19="","",IF(ROUND($N19,0)&lt;0,"owes you "&amp;TEXT(ROUND(-$N19,0),"#,##0"),IF(AND(ROUND($N19,0)&gt;0,$M19&gt;0),"not yet paid",IF(ROUND($N19,0)&gt;0,"you owe "&amp;TEXT(ROUND($N19,0),"#,##0"),"settled"))))</f>
        <v/>
      </c>
      <c r="P19" s="125" t="n"/>
      <c r="Q19" s="281">
        <f>IF($U19="","",MEDIAN($C$5,$C$5+6,TODAY()))</f>
        <v/>
      </c>
      <c r="R19" s="157">
        <f t="array" ref="R19">IF($U19="","",INDEX($B$12:$B$23,$U19))</f>
        <v/>
      </c>
      <c r="S19" s="158">
        <f>IF($U19="","","Weekly pay")</f>
        <v/>
      </c>
      <c r="T19" s="282">
        <f t="array" ref="T19">IF($U19="","",INDEX($M$12:$M$23,$U19))</f>
        <v/>
      </c>
      <c r="U19" s="148">
        <f t="array" ref="U19">IFERROR(_xlfn.AGGREGATE(15,6,(ROW($M$12:$M$23)-ROW($M$12)+1)/(ISNUMBER($M$12:$M$23)*($M$12:$M$23&gt;0)),ROWS($U$12:U19)),"")</f>
        <v/>
      </c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</row>
    <row r="20" ht="21" customFormat="1" customHeight="1" s="127">
      <c r="A20" s="211">
        <f>Workers!$A$14</f>
        <v/>
      </c>
      <c r="B20" s="155">
        <f>IF(Workers!$B$14="","",Workers!$B$14)</f>
        <v/>
      </c>
      <c r="C20" s="90">
        <f>IF($B20="","",Workers!$C$14)</f>
        <v/>
      </c>
      <c r="D20" s="51">
        <f>IF($B20="","",IFERROR(INDEX(Weeks!$L$7:$W$59,MATCH($C$5,Weeks!$A$7:$A$59,0),MATCH($A20,Weeks!$L$5:$W$5,0)),0))</f>
        <v/>
      </c>
      <c r="E20" s="280">
        <f>IF(OR($B20="",N($H$8)=0),"",$D20/$H$8)</f>
        <v/>
      </c>
      <c r="F20" s="252">
        <f>IF($B20="","",IFERROR(INDEX(Weeks!$X$7:$AI$59,MATCH($C$5,Weeks!$A$7:$A$59,0),MATCH($A20,Weeks!$X$5:$AI$5,0)),0))</f>
        <v/>
      </c>
      <c r="G20" s="266">
        <f>IF($B20="","",SUMPRODUCT((Weeks!$A$7:$A$59&lt;$C$5)*(Weeks!$X$5:$AI$5=$A20)*Weeks!$X$7:$AI$59)-SUMIFS('Cash Ledger'!$E$7:$E$1006,'Cash Ledger'!$I$7:$I$1006,$A20,'Cash Ledger'!$B$7:$B$1006,"&lt;"&amp;$C$5))</f>
        <v/>
      </c>
      <c r="H20" s="252">
        <f>IF($B20="","",SUMIFS('Cash Ledger'!$E$7:$E$1006,'Cash Ledger'!$I$7:$I$1006,$A20,'Cash Ledger'!$D$7:$D$1006,"Advance",'Cash Ledger'!$B$7:$B$1006,"&gt;="&amp;$C$5,'Cash Ledger'!$B$7:$B$1006,"&lt;="&amp;($C$5+6)))</f>
        <v/>
      </c>
      <c r="I20" s="266">
        <f>IF($B20="","",SUMIFS('Cash Ledger'!$E$7:$E$1006,'Cash Ledger'!$I$7:$I$1006,$A20,'Cash Ledger'!$D$7:$D$1006,"Correction",'Cash Ledger'!$B$7:$B$1006,"&gt;="&amp;$C$5,'Cash Ledger'!$B$7:$B$1006,"&lt;="&amp;($C$5+6)))</f>
        <v/>
      </c>
      <c r="J20" s="266">
        <f>IF($B20="","",$G20+$F20-$H20-$I20)</f>
        <v/>
      </c>
      <c r="K20" s="277">
        <f>IF($B20="","",ROUND(MAX(0,IF($G20&gt;=0,$J20,$F20-$H20-$I20-MIN(-$G20,DebtCap*$F20))),0))</f>
        <v/>
      </c>
      <c r="L20" s="252">
        <f>IF($B20="","",SUMIFS('Cash Ledger'!$E$7:$E$1006,'Cash Ledger'!$I$7:$I$1006,$A20,'Cash Ledger'!$D$7:$D$1006,"Weekly pay",'Cash Ledger'!$B$7:$B$1006,"&gt;="&amp;$C$5,'Cash Ledger'!$B$7:$B$1006,"&lt;="&amp;($C$5+6)))</f>
        <v/>
      </c>
      <c r="M20" s="252">
        <f>IF($B20="","",MAX(0,$K20-$L20))</f>
        <v/>
      </c>
      <c r="N20" s="266">
        <f>IF($B20="","",$J20-$L20)</f>
        <v/>
      </c>
      <c r="O20" s="132">
        <f>IF($B20="","",IF(ROUND($N20,0)&lt;0,"owes you "&amp;TEXT(ROUND(-$N20,0),"#,##0"),IF(AND(ROUND($N20,0)&gt;0,$M20&gt;0),"not yet paid",IF(ROUND($N20,0)&gt;0,"you owe "&amp;TEXT(ROUND($N20,0),"#,##0"),"settled"))))</f>
        <v/>
      </c>
      <c r="P20" s="125" t="n"/>
      <c r="Q20" s="281">
        <f>IF($U20="","",MEDIAN($C$5,$C$5+6,TODAY()))</f>
        <v/>
      </c>
      <c r="R20" s="157">
        <f t="array" ref="R20">IF($U20="","",INDEX($B$12:$B$23,$U20))</f>
        <v/>
      </c>
      <c r="S20" s="158">
        <f>IF($U20="","","Weekly pay")</f>
        <v/>
      </c>
      <c r="T20" s="282">
        <f t="array" ref="T20">IF($U20="","",INDEX($M$12:$M$23,$U20))</f>
        <v/>
      </c>
      <c r="U20" s="148">
        <f t="array" ref="U20">IFERROR(_xlfn.AGGREGATE(15,6,(ROW($M$12:$M$23)-ROW($M$12)+1)/(ISNUMBER($M$12:$M$23)*($M$12:$M$23&gt;0)),ROWS($U$12:U20)),"")</f>
        <v/>
      </c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</row>
    <row r="21" ht="21" customFormat="1" customHeight="1" s="127">
      <c r="A21" s="211">
        <f>Workers!$A$15</f>
        <v/>
      </c>
      <c r="B21" s="155">
        <f>IF(Workers!$B$15="","",Workers!$B$15)</f>
        <v/>
      </c>
      <c r="C21" s="90">
        <f>IF($B21="","",Workers!$C$15)</f>
        <v/>
      </c>
      <c r="D21" s="51">
        <f>IF($B21="","",IFERROR(INDEX(Weeks!$L$7:$W$59,MATCH($C$5,Weeks!$A$7:$A$59,0),MATCH($A21,Weeks!$L$5:$W$5,0)),0))</f>
        <v/>
      </c>
      <c r="E21" s="280">
        <f>IF(OR($B21="",N($H$8)=0),"",$D21/$H$8)</f>
        <v/>
      </c>
      <c r="F21" s="252">
        <f>IF($B21="","",IFERROR(INDEX(Weeks!$X$7:$AI$59,MATCH($C$5,Weeks!$A$7:$A$59,0),MATCH($A21,Weeks!$X$5:$AI$5,0)),0))</f>
        <v/>
      </c>
      <c r="G21" s="266">
        <f>IF($B21="","",SUMPRODUCT((Weeks!$A$7:$A$59&lt;$C$5)*(Weeks!$X$5:$AI$5=$A21)*Weeks!$X$7:$AI$59)-SUMIFS('Cash Ledger'!$E$7:$E$1006,'Cash Ledger'!$I$7:$I$1006,$A21,'Cash Ledger'!$B$7:$B$1006,"&lt;"&amp;$C$5))</f>
        <v/>
      </c>
      <c r="H21" s="252">
        <f>IF($B21="","",SUMIFS('Cash Ledger'!$E$7:$E$1006,'Cash Ledger'!$I$7:$I$1006,$A21,'Cash Ledger'!$D$7:$D$1006,"Advance",'Cash Ledger'!$B$7:$B$1006,"&gt;="&amp;$C$5,'Cash Ledger'!$B$7:$B$1006,"&lt;="&amp;($C$5+6)))</f>
        <v/>
      </c>
      <c r="I21" s="266">
        <f>IF($B21="","",SUMIFS('Cash Ledger'!$E$7:$E$1006,'Cash Ledger'!$I$7:$I$1006,$A21,'Cash Ledger'!$D$7:$D$1006,"Correction",'Cash Ledger'!$B$7:$B$1006,"&gt;="&amp;$C$5,'Cash Ledger'!$B$7:$B$1006,"&lt;="&amp;($C$5+6)))</f>
        <v/>
      </c>
      <c r="J21" s="266">
        <f>IF($B21="","",$G21+$F21-$H21-$I21)</f>
        <v/>
      </c>
      <c r="K21" s="277">
        <f>IF($B21="","",ROUND(MAX(0,IF($G21&gt;=0,$J21,$F21-$H21-$I21-MIN(-$G21,DebtCap*$F21))),0))</f>
        <v/>
      </c>
      <c r="L21" s="252">
        <f>IF($B21="","",SUMIFS('Cash Ledger'!$E$7:$E$1006,'Cash Ledger'!$I$7:$I$1006,$A21,'Cash Ledger'!$D$7:$D$1006,"Weekly pay",'Cash Ledger'!$B$7:$B$1006,"&gt;="&amp;$C$5,'Cash Ledger'!$B$7:$B$1006,"&lt;="&amp;($C$5+6)))</f>
        <v/>
      </c>
      <c r="M21" s="252">
        <f>IF($B21="","",MAX(0,$K21-$L21))</f>
        <v/>
      </c>
      <c r="N21" s="266">
        <f>IF($B21="","",$J21-$L21)</f>
        <v/>
      </c>
      <c r="O21" s="132">
        <f>IF($B21="","",IF(ROUND($N21,0)&lt;0,"owes you "&amp;TEXT(ROUND(-$N21,0),"#,##0"),IF(AND(ROUND($N21,0)&gt;0,$M21&gt;0),"not yet paid",IF(ROUND($N21,0)&gt;0,"you owe "&amp;TEXT(ROUND($N21,0),"#,##0"),"settled"))))</f>
        <v/>
      </c>
      <c r="P21" s="125" t="n"/>
      <c r="Q21" s="281">
        <f>IF($U21="","",MEDIAN($C$5,$C$5+6,TODAY()))</f>
        <v/>
      </c>
      <c r="R21" s="157">
        <f t="array" ref="R21">IF($U21="","",INDEX($B$12:$B$23,$U21))</f>
        <v/>
      </c>
      <c r="S21" s="158">
        <f>IF($U21="","","Weekly pay")</f>
        <v/>
      </c>
      <c r="T21" s="282">
        <f t="array" ref="T21">IF($U21="","",INDEX($M$12:$M$23,$U21))</f>
        <v/>
      </c>
      <c r="U21" s="148">
        <f t="array" ref="U21">IFERROR(_xlfn.AGGREGATE(15,6,(ROW($M$12:$M$23)-ROW($M$12)+1)/(ISNUMBER($M$12:$M$23)*($M$12:$M$23&gt;0)),ROWS($U$12:U21)),"")</f>
        <v/>
      </c>
      <c r="V21" s="126" t="n"/>
      <c r="W21" s="126" t="n"/>
      <c r="X21" s="126" t="n"/>
      <c r="Y21" s="126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  <c r="AN21" s="126" t="n"/>
    </row>
    <row r="22" ht="21" customFormat="1" customHeight="1" s="127">
      <c r="A22" s="211">
        <f>Workers!$A$16</f>
        <v/>
      </c>
      <c r="B22" s="155">
        <f>IF(Workers!$B$16="","",Workers!$B$16)</f>
        <v/>
      </c>
      <c r="C22" s="90">
        <f>IF($B22="","",Workers!$C$16)</f>
        <v/>
      </c>
      <c r="D22" s="51">
        <f>IF($B22="","",IFERROR(INDEX(Weeks!$L$7:$W$59,MATCH($C$5,Weeks!$A$7:$A$59,0),MATCH($A22,Weeks!$L$5:$W$5,0)),0))</f>
        <v/>
      </c>
      <c r="E22" s="280">
        <f>IF(OR($B22="",N($H$8)=0),"",$D22/$H$8)</f>
        <v/>
      </c>
      <c r="F22" s="252">
        <f>IF($B22="","",IFERROR(INDEX(Weeks!$X$7:$AI$59,MATCH($C$5,Weeks!$A$7:$A$59,0),MATCH($A22,Weeks!$X$5:$AI$5,0)),0))</f>
        <v/>
      </c>
      <c r="G22" s="266">
        <f>IF($B22="","",SUMPRODUCT((Weeks!$A$7:$A$59&lt;$C$5)*(Weeks!$X$5:$AI$5=$A22)*Weeks!$X$7:$AI$59)-SUMIFS('Cash Ledger'!$E$7:$E$1006,'Cash Ledger'!$I$7:$I$1006,$A22,'Cash Ledger'!$B$7:$B$1006,"&lt;"&amp;$C$5))</f>
        <v/>
      </c>
      <c r="H22" s="252">
        <f>IF($B22="","",SUMIFS('Cash Ledger'!$E$7:$E$1006,'Cash Ledger'!$I$7:$I$1006,$A22,'Cash Ledger'!$D$7:$D$1006,"Advance",'Cash Ledger'!$B$7:$B$1006,"&gt;="&amp;$C$5,'Cash Ledger'!$B$7:$B$1006,"&lt;="&amp;($C$5+6)))</f>
        <v/>
      </c>
      <c r="I22" s="266">
        <f>IF($B22="","",SUMIFS('Cash Ledger'!$E$7:$E$1006,'Cash Ledger'!$I$7:$I$1006,$A22,'Cash Ledger'!$D$7:$D$1006,"Correction",'Cash Ledger'!$B$7:$B$1006,"&gt;="&amp;$C$5,'Cash Ledger'!$B$7:$B$1006,"&lt;="&amp;($C$5+6)))</f>
        <v/>
      </c>
      <c r="J22" s="266">
        <f>IF($B22="","",$G22+$F22-$H22-$I22)</f>
        <v/>
      </c>
      <c r="K22" s="277">
        <f>IF($B22="","",ROUND(MAX(0,IF($G22&gt;=0,$J22,$F22-$H22-$I22-MIN(-$G22,DebtCap*$F22))),0))</f>
        <v/>
      </c>
      <c r="L22" s="252">
        <f>IF($B22="","",SUMIFS('Cash Ledger'!$E$7:$E$1006,'Cash Ledger'!$I$7:$I$1006,$A22,'Cash Ledger'!$D$7:$D$1006,"Weekly pay",'Cash Ledger'!$B$7:$B$1006,"&gt;="&amp;$C$5,'Cash Ledger'!$B$7:$B$1006,"&lt;="&amp;($C$5+6)))</f>
        <v/>
      </c>
      <c r="M22" s="252">
        <f>IF($B22="","",MAX(0,$K22-$L22))</f>
        <v/>
      </c>
      <c r="N22" s="266">
        <f>IF($B22="","",$J22-$L22)</f>
        <v/>
      </c>
      <c r="O22" s="132">
        <f>IF($B22="","",IF(ROUND($N22,0)&lt;0,"owes you "&amp;TEXT(ROUND(-$N22,0),"#,##0"),IF(AND(ROUND($N22,0)&gt;0,$M22&gt;0),"not yet paid",IF(ROUND($N22,0)&gt;0,"you owe "&amp;TEXT(ROUND($N22,0),"#,##0"),"settled"))))</f>
        <v/>
      </c>
      <c r="P22" s="125" t="n"/>
      <c r="Q22" s="281">
        <f>IF($U22="","",MEDIAN($C$5,$C$5+6,TODAY()))</f>
        <v/>
      </c>
      <c r="R22" s="157">
        <f t="array" ref="R22">IF($U22="","",INDEX($B$12:$B$23,$U22))</f>
        <v/>
      </c>
      <c r="S22" s="158">
        <f>IF($U22="","","Weekly pay")</f>
        <v/>
      </c>
      <c r="T22" s="282">
        <f t="array" ref="T22">IF($U22="","",INDEX($M$12:$M$23,$U22))</f>
        <v/>
      </c>
      <c r="U22" s="148">
        <f t="array" ref="U22">IFERROR(_xlfn.AGGREGATE(15,6,(ROW($M$12:$M$23)-ROW($M$12)+1)/(ISNUMBER($M$12:$M$23)*($M$12:$M$23&gt;0)),ROWS($U$12:U22)),"")</f>
        <v/>
      </c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</row>
    <row r="23" ht="21" customFormat="1" customHeight="1" s="127">
      <c r="A23" s="211">
        <f>Workers!$A$17</f>
        <v/>
      </c>
      <c r="B23" s="155">
        <f>IF(Workers!$B$17="","",Workers!$B$17)</f>
        <v/>
      </c>
      <c r="C23" s="90">
        <f>IF($B23="","",Workers!$C$17)</f>
        <v/>
      </c>
      <c r="D23" s="51">
        <f>IF($B23="","",IFERROR(INDEX(Weeks!$L$7:$W$59,MATCH($C$5,Weeks!$A$7:$A$59,0),MATCH($A23,Weeks!$L$5:$W$5,0)),0))</f>
        <v/>
      </c>
      <c r="E23" s="280">
        <f>IF(OR($B23="",N($H$8)=0),"",$D23/$H$8)</f>
        <v/>
      </c>
      <c r="F23" s="252">
        <f>IF($B23="","",IFERROR(INDEX(Weeks!$X$7:$AI$59,MATCH($C$5,Weeks!$A$7:$A$59,0),MATCH($A23,Weeks!$X$5:$AI$5,0)),0))</f>
        <v/>
      </c>
      <c r="G23" s="266">
        <f>IF($B23="","",SUMPRODUCT((Weeks!$A$7:$A$59&lt;$C$5)*(Weeks!$X$5:$AI$5=$A23)*Weeks!$X$7:$AI$59)-SUMIFS('Cash Ledger'!$E$7:$E$1006,'Cash Ledger'!$I$7:$I$1006,$A23,'Cash Ledger'!$B$7:$B$1006,"&lt;"&amp;$C$5))</f>
        <v/>
      </c>
      <c r="H23" s="252">
        <f>IF($B23="","",SUMIFS('Cash Ledger'!$E$7:$E$1006,'Cash Ledger'!$I$7:$I$1006,$A23,'Cash Ledger'!$D$7:$D$1006,"Advance",'Cash Ledger'!$B$7:$B$1006,"&gt;="&amp;$C$5,'Cash Ledger'!$B$7:$B$1006,"&lt;="&amp;($C$5+6)))</f>
        <v/>
      </c>
      <c r="I23" s="266">
        <f>IF($B23="","",SUMIFS('Cash Ledger'!$E$7:$E$1006,'Cash Ledger'!$I$7:$I$1006,$A23,'Cash Ledger'!$D$7:$D$1006,"Correction",'Cash Ledger'!$B$7:$B$1006,"&gt;="&amp;$C$5,'Cash Ledger'!$B$7:$B$1006,"&lt;="&amp;($C$5+6)))</f>
        <v/>
      </c>
      <c r="J23" s="266">
        <f>IF($B23="","",$G23+$F23-$H23-$I23)</f>
        <v/>
      </c>
      <c r="K23" s="277">
        <f>IF($B23="","",ROUND(MAX(0,IF($G23&gt;=0,$J23,$F23-$H23-$I23-MIN(-$G23,DebtCap*$F23))),0))</f>
        <v/>
      </c>
      <c r="L23" s="252">
        <f>IF($B23="","",SUMIFS('Cash Ledger'!$E$7:$E$1006,'Cash Ledger'!$I$7:$I$1006,$A23,'Cash Ledger'!$D$7:$D$1006,"Weekly pay",'Cash Ledger'!$B$7:$B$1006,"&gt;="&amp;$C$5,'Cash Ledger'!$B$7:$B$1006,"&lt;="&amp;($C$5+6)))</f>
        <v/>
      </c>
      <c r="M23" s="252">
        <f>IF($B23="","",MAX(0,$K23-$L23))</f>
        <v/>
      </c>
      <c r="N23" s="266">
        <f>IF($B23="","",$J23-$L23)</f>
        <v/>
      </c>
      <c r="O23" s="132">
        <f>IF($B23="","",IF(ROUND($N23,0)&lt;0,"owes you "&amp;TEXT(ROUND(-$N23,0),"#,##0"),IF(AND(ROUND($N23,0)&gt;0,$M23&gt;0),"not yet paid",IF(ROUND($N23,0)&gt;0,"you owe "&amp;TEXT(ROUND($N23,0),"#,##0"),"settled"))))</f>
        <v/>
      </c>
      <c r="P23" s="137" t="n"/>
      <c r="Q23" s="281">
        <f>IF($U23="","",MEDIAN($C$5,$C$5+6,TODAY()))</f>
        <v/>
      </c>
      <c r="R23" s="157">
        <f t="array" ref="R23">IF($U23="","",INDEX($B$12:$B$23,$U23))</f>
        <v/>
      </c>
      <c r="S23" s="158">
        <f>IF($U23="","","Weekly pay")</f>
        <v/>
      </c>
      <c r="T23" s="282">
        <f t="array" ref="T23">IF($U23="","",INDEX($M$12:$M$23,$U23))</f>
        <v/>
      </c>
      <c r="U23" s="160">
        <f t="array" ref="U23">IFERROR(_xlfn.AGGREGATE(15,6,(ROW($M$12:$M$23)-ROW($M$12)+1)/(ISNUMBER($M$12:$M$23)*($M$12:$M$23&gt;0)),ROWS($U$12:U23)),"")</f>
        <v/>
      </c>
      <c r="V23" s="126" t="n"/>
      <c r="W23" s="126" t="n"/>
      <c r="X23" s="126" t="n"/>
      <c r="Y23" s="126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  <c r="AN23" s="126" t="n"/>
    </row>
    <row r="24" ht="21" customFormat="1" customHeight="1" s="127">
      <c r="A24" s="137" t="n"/>
      <c r="B24" s="161" t="inlineStr">
        <is>
          <t>Crew total</t>
        </is>
      </c>
      <c r="C24" s="137" t="n"/>
      <c r="D24" s="162">
        <f>SUM(D12:D23)</f>
        <v/>
      </c>
      <c r="E24" s="137" t="n"/>
      <c r="F24" s="283">
        <f>SUM(F12:F23)</f>
        <v/>
      </c>
      <c r="G24" s="284">
        <f>SUM(G12:G23)</f>
        <v/>
      </c>
      <c r="H24" s="283">
        <f>SUM(H12:H23)</f>
        <v/>
      </c>
      <c r="I24" s="284">
        <f>SUM(I12:I23)</f>
        <v/>
      </c>
      <c r="J24" s="284">
        <f>SUM(J12:J23)</f>
        <v/>
      </c>
      <c r="K24" s="283">
        <f>SUM(K12:K23)</f>
        <v/>
      </c>
      <c r="L24" s="283">
        <f>SUM(L12:L23)</f>
        <v/>
      </c>
      <c r="M24" s="283">
        <f>SUM(M12:M23)</f>
        <v/>
      </c>
      <c r="N24" s="284">
        <f>SUM(N12:N23)</f>
        <v/>
      </c>
      <c r="O24" s="137" t="n"/>
      <c r="P24" s="126" t="n"/>
      <c r="Q24" s="165">
        <f>"Rows to copy: "&amp;COUNT($U$12:$U$23)</f>
        <v/>
      </c>
      <c r="R24" s="137" t="n"/>
      <c r="S24" s="137" t="n"/>
      <c r="T24" s="137" t="n"/>
      <c r="U24" s="126" t="n"/>
      <c r="V24" s="126" t="n"/>
      <c r="W24" s="126" t="n"/>
      <c r="X24" s="126" t="n"/>
      <c r="Y24" s="126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  <c r="AN24" s="126" t="n"/>
    </row>
    <row r="25" ht="16.5" customHeight="1">
      <c r="A25" s="3" t="n"/>
      <c r="B25" s="218" t="n"/>
      <c r="C25" s="3" t="n"/>
      <c r="D25" s="218" t="n"/>
      <c r="E25" s="3" t="n"/>
      <c r="F25" s="217" t="n"/>
      <c r="G25" s="217" t="n"/>
      <c r="H25" s="217" t="n"/>
      <c r="I25" s="218" t="n"/>
      <c r="J25" s="218" t="n"/>
      <c r="K25" s="218" t="n"/>
      <c r="L25" s="218" t="n"/>
      <c r="M25" s="218" t="n"/>
      <c r="N25" s="218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</row>
    <row r="26" ht="17.25" customHeight="1">
      <c r="A26" s="3" t="n"/>
      <c r="B26" s="8" t="inlineStr">
        <is>
          <t>Before you pay</t>
        </is>
      </c>
      <c r="C26" s="3" t="n"/>
      <c r="D26" s="3" t="n"/>
      <c r="E26" s="3" t="n"/>
      <c r="F26" s="217" t="n"/>
      <c r="G26" s="217" t="n"/>
      <c r="H26" s="217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</row>
    <row r="27" ht="16.5" customHeight="1">
      <c r="A27" s="3" t="n"/>
      <c r="B27" s="206" t="inlineStr">
        <is>
          <t>Shares add up to the pot</t>
        </is>
      </c>
      <c r="F27" s="208">
        <f>IF(ABS($F$24-$F$8)&lt;=12,"OK","MISMATCH: "&amp;TEXT(ROUND($F$24-$F$8,0),"#,##0"))</f>
        <v/>
      </c>
      <c r="G27" s="273" t="n"/>
      <c r="H27" s="273" t="n"/>
      <c r="I27" s="217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</row>
    <row r="28" ht="16.5" customHeight="1">
      <c r="A28" s="3" t="n"/>
      <c r="B28" s="206" t="inlineStr">
        <is>
          <t>Everyone's days match the crew total</t>
        </is>
      </c>
      <c r="F28" s="208">
        <f>IF(ABS($D$24-$H$8)&lt;0.001,"OK","MISMATCH - check attendance")</f>
        <v/>
      </c>
      <c r="G28" s="273" t="n"/>
      <c r="H28" s="273" t="n"/>
      <c r="I28" s="217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</row>
    <row r="29" ht="16.5" customHeight="1">
      <c r="A29" s="3" t="n"/>
      <c r="B29" s="206" t="inlineStr">
        <is>
          <t>Pot is shared out</t>
        </is>
      </c>
      <c r="F29" s="208">
        <f>IF(AND($F$8&gt;0,$H$8=0),"NO - mark attendance in the Daily Log","OK")</f>
        <v/>
      </c>
      <c r="G29" s="273" t="n"/>
      <c r="H29" s="273" t="n"/>
      <c r="I29" s="217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</row>
    <row r="30" ht="16.5" customHeight="1">
      <c r="A30" s="3" t="n"/>
      <c r="B30" s="206" t="inlineStr">
        <is>
          <t>Reject rate</t>
        </is>
      </c>
      <c r="F30" s="208">
        <f>IF($F$8=0,"-",IF(N($J$8)&gt;RejectAlarm,"HIGH - look at curing and handling","OK"))</f>
        <v/>
      </c>
      <c r="G30" s="273" t="n"/>
      <c r="H30" s="273" t="n"/>
      <c r="I30" s="217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</row>
    <row r="31" ht="16.5" customHeight="1">
      <c r="A31" s="3" t="n"/>
      <c r="B31" s="285" t="inlineStr">
        <is>
          <t>Cash needed for payday</t>
        </is>
      </c>
      <c r="C31" s="229" t="n"/>
      <c r="D31" s="229" t="n"/>
      <c r="E31" s="229" t="n"/>
      <c r="F31" s="286">
        <f>$M$24</f>
        <v/>
      </c>
      <c r="G31" s="273" t="n"/>
      <c r="H31" s="273" t="n"/>
      <c r="I31" s="218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</row>
    <row r="32" ht="16.5" customHeight="1">
      <c r="A32" s="3" t="n"/>
      <c r="B32" s="3" t="n"/>
      <c r="C32" s="3" t="n"/>
      <c r="D32" s="3" t="n"/>
      <c r="E32" s="3" t="n"/>
      <c r="F32" s="218" t="n"/>
      <c r="G32" s="218" t="n"/>
      <c r="H32" s="218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</row>
    <row r="33" ht="16.5" customHeight="1">
      <c r="A33" s="3" t="n"/>
      <c r="B33" s="35" t="inlineStr">
        <is>
          <t>Brought forward: positive = you still owe the worker from earlier weeks; negative = the worker owes you.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</row>
    <row r="34" ht="16.5" customHeight="1">
      <c r="A34" s="3" t="n"/>
      <c r="B34" s="35" t="inlineStr">
        <is>
          <t>TO PAY is never below zero. If advances were bigger than earnings, pay is 0 and the rest carries to next week.</t>
        </is>
      </c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</row>
    <row r="35" ht="16.5" customHeight="1">
      <c r="A35" s="3" t="n"/>
      <c r="B35" s="35" t="inlineStr">
        <is>
          <t>After paying, record each payment in the Cash Ledger as 'Weekly pay' with a date inside this week - 'Still to pay' then drops to 0.</t>
        </is>
      </c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</row>
  </sheetData>
  <mergeCells count="33">
    <mergeCell ref="B7:C7"/>
    <mergeCell ref="D1:E1"/>
    <mergeCell ref="H1:I1"/>
    <mergeCell ref="B30:E30"/>
    <mergeCell ref="J1:K1"/>
    <mergeCell ref="L8:N8"/>
    <mergeCell ref="P1:Q1"/>
    <mergeCell ref="A1:B1"/>
    <mergeCell ref="F7:G7"/>
    <mergeCell ref="F28:H28"/>
    <mergeCell ref="F31:H31"/>
    <mergeCell ref="F27:H27"/>
    <mergeCell ref="F30:H30"/>
    <mergeCell ref="J8:K8"/>
    <mergeCell ref="B8:C8"/>
    <mergeCell ref="N1:O1"/>
    <mergeCell ref="F8:G8"/>
    <mergeCell ref="B31:E31"/>
    <mergeCell ref="B27:E27"/>
    <mergeCell ref="D7:E7"/>
    <mergeCell ref="U1:W1"/>
    <mergeCell ref="H7:I7"/>
    <mergeCell ref="J7:K7"/>
    <mergeCell ref="L1:M1"/>
    <mergeCell ref="F29:H29"/>
    <mergeCell ref="L7:N7"/>
    <mergeCell ref="D8:E8"/>
    <mergeCell ref="X1:Y1"/>
    <mergeCell ref="S1:T1"/>
    <mergeCell ref="B29:E29"/>
    <mergeCell ref="H8:I8"/>
    <mergeCell ref="B28:E28"/>
    <mergeCell ref="F1:G1"/>
  </mergeCells>
  <conditionalFormatting sqref="F27:F30">
    <cfRule type="expression" priority="2" dxfId="1">
      <formula>AND(F27&lt;&gt;"OK",F27&lt;&gt;"-")</formula>
    </cfRule>
  </conditionalFormatting>
  <conditionalFormatting sqref="L8">
    <cfRule type="expression" priority="3" dxfId="1">
      <formula>L8&lt;&gt;"ALL CHECKS OK"</formula>
    </cfRule>
    <cfRule type="expression" priority="4" dxfId="0">
      <formula>L8="ALL CHECKS OK"</formula>
    </cfRule>
  </conditionalFormatting>
  <dataValidations count="1">
    <dataValidation sqref="C5" showDropDown="0" showInputMessage="1" showErrorMessage="1" allowBlank="1" error="Pick a value from the list." prompt="Pick the Monday the week starts on." type="list">
      <formula1>WeekStarts</formula1>
      <formula2>0</formula2>
    </dataValidation>
  </dataValidations>
  <hyperlinks>
    <hyperlink ref="C1" location="'Home'!A1" tooltip="Go to Home" display="Home"/>
    <hyperlink ref="D1" location="'Daily Log'!A1" tooltip="Go to Daily Log" display="Daily Log"/>
    <hyperlink ref="F1" location="'Cash Ledger'!A1" tooltip="Go to Cash Ledger" display="Cash Ledger"/>
    <hyperlink ref="J1" location="'Payslip'!A1" tooltip="Go to Payslip" display="Payslip"/>
    <hyperlink ref="L1" location="'Workers'!A1" tooltip="Go to Workers" display="Workers"/>
    <hyperlink ref="N1" location="'Settings'!A1" tooltip="Go to Settings" display="Settings"/>
    <hyperlink ref="P1" location="'Guide'!A1" tooltip="Go to Guide" display="Guide"/>
    <hyperlink ref="S1" location="'Worker History'!A1" tooltip="Go to Worker History" display="History"/>
    <hyperlink ref="U1" location="'Weeks'!A1" tooltip="Go to Weeks" display="Weeks"/>
    <hyperlink ref="X1" location="'Checks'!A1" tooltip="Go to Checks" display="Checks"/>
  </hyperlinks>
  <pageMargins left="0.75" right="0.75" top="1" bottom="1" header="0.511811023622047" footer="0.511811023622047"/>
  <pageSetup orientation="landscape" fitToHeight="0" horizontalDpi="300" verticalDpi="300"/>
</worksheet>
</file>

<file path=xl/worksheets/sheet5.xml><?xml version="1.0" encoding="utf-8"?>
<worksheet xmlns="http://schemas.openxmlformats.org/spreadsheetml/2006/main">
  <sheetPr>
    <tabColor rgb="FF4F46E5"/>
    <outlinePr summaryBelow="1" summaryRight="1"/>
    <pageSetUpPr fitToPage="1"/>
  </sheetPr>
  <dimension ref="A1:AN45"/>
  <sheetViews>
    <sheetView showGridLines="0" zoomScaleNormal="100" workbookViewId="0">
      <pane ySplit="1" topLeftCell="A2" activePane="bottomLeft" state="frozen"/>
      <selection pane="bottomLeft" activeCell="M1" sqref="M1:N1"/>
    </sheetView>
  </sheetViews>
  <sheetFormatPr baseColWidth="8" defaultColWidth="8.5703125" defaultRowHeight="15"/>
  <cols>
    <col width="2" customWidth="1" min="1" max="1"/>
    <col width="30" customWidth="1" min="2" max="2"/>
    <col width="18" customWidth="1" min="3" max="4"/>
    <col width="26" customWidth="1" min="5" max="5"/>
    <col width="4" customWidth="1" min="6" max="6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176" t="inlineStr">
        <is>
          <t>Daily Log</t>
        </is>
      </c>
      <c r="E1" s="176" t="inlineStr">
        <is>
          <t>Cash Ledger</t>
        </is>
      </c>
      <c r="F1" s="220" t="inlineStr">
        <is>
          <t>Weekly Pay</t>
        </is>
      </c>
      <c r="I1" s="205" t="inlineStr">
        <is>
          <t>Payslip</t>
        </is>
      </c>
      <c r="K1" s="220" t="inlineStr">
        <is>
          <t>Workers</t>
        </is>
      </c>
      <c r="M1" s="220" t="inlineStr">
        <is>
          <t>Settings</t>
        </is>
      </c>
      <c r="O1" s="220" t="inlineStr">
        <is>
          <t>Guide</t>
        </is>
      </c>
      <c r="Q1" s="31" t="inlineStr">
        <is>
          <t>·</t>
        </is>
      </c>
      <c r="R1" s="222" t="inlineStr">
        <is>
          <t>History</t>
        </is>
      </c>
      <c r="T1" s="222" t="inlineStr">
        <is>
          <t>Weeks</t>
        </is>
      </c>
      <c r="V1" s="222" t="inlineStr">
        <is>
          <t>Checks</t>
        </is>
      </c>
      <c r="X1" s="32" t="n"/>
      <c r="Y1" s="32" t="n"/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Payslip</t>
        </is>
      </c>
      <c r="B2" s="218" t="n"/>
      <c r="C2" s="218" t="n"/>
      <c r="D2" s="218" t="n"/>
      <c r="E2" s="218" t="n"/>
      <c r="F2" s="218" t="n"/>
      <c r="G2" s="218" t="n"/>
      <c r="H2" s="218" t="n"/>
      <c r="I2" s="34" t="n"/>
      <c r="J2" s="34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Pick a week and a worker, print, and have the worker sign when paid.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217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6.5" customHeight="1">
      <c r="A5" s="3" t="n"/>
      <c r="B5" s="208" t="inlineStr">
        <is>
          <t>Week starting (Monday)</t>
        </is>
      </c>
      <c r="C5" s="268" t="n">
        <v>46286</v>
      </c>
      <c r="D5" s="217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6.5" customHeight="1">
      <c r="A6" s="3" t="n"/>
      <c r="B6" s="37" t="inlineStr">
        <is>
          <t>Worker</t>
        </is>
      </c>
      <c r="C6" s="69" t="inlineStr">
        <is>
          <t>Xusanboy</t>
        </is>
      </c>
      <c r="D6" s="98">
        <f>IFERROR(INDEX(WorkerIDs,MATCH($C$6,WorkerNames,0)),"unknown worker")</f>
        <v/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16.5" customHeight="1">
      <c r="A7" s="3" t="n"/>
      <c r="B7" s="3" t="n"/>
      <c r="C7" s="218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20.25" customHeight="1">
      <c r="A8" s="3" t="n"/>
      <c r="B8" s="99" t="inlineStr">
        <is>
          <t>DONABAY - PAYSLIP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6.5" customHeight="1">
      <c r="A9" s="3" t="n"/>
      <c r="B9" s="55">
        <f>$C$6</f>
        <v/>
      </c>
      <c r="C9" s="287">
        <f>$C$5</f>
        <v/>
      </c>
      <c r="D9" s="124">
        <f>$C$5+6</f>
        <v/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6.5" customHeight="1">
      <c r="A10" s="3" t="n"/>
      <c r="B10" s="3" t="n"/>
      <c r="C10" s="217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16.5" customHeight="1">
      <c r="A11" s="3" t="n"/>
      <c r="B11" s="207" t="inlineStr">
        <is>
          <t>Crew paid blocks this week</t>
        </is>
      </c>
      <c r="C11" s="100">
        <f>IFERROR(INDEX(Weeks!$F$7:$F$59,MATCH($C$5,Weeks!$A$7:$A$59,0)),0)</f>
        <v/>
      </c>
      <c r="D11" s="217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</row>
    <row r="12" ht="16.5" customHeight="1">
      <c r="A12" s="3" t="n"/>
      <c r="B12" s="207" t="inlineStr">
        <is>
          <t>Crew pot</t>
        </is>
      </c>
      <c r="C12" s="288">
        <f>IFERROR(INDEX(Weeks!$G$7:$G$59,MATCH($C$5,Weeks!$A$7:$A$59,0)),0)</f>
        <v/>
      </c>
      <c r="D12" s="217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</row>
    <row r="13" ht="16.5" customHeight="1">
      <c r="A13" s="3" t="n"/>
      <c r="B13" s="207" t="inlineStr">
        <is>
          <t>Crew-days worked</t>
        </is>
      </c>
      <c r="C13" s="68">
        <f>IFERROR(INDEX(Weeks!$H$7:$H$59,MATCH($C$5,Weeks!$A$7:$A$59,0)),0)</f>
        <v/>
      </c>
      <c r="D13" s="217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</row>
    <row r="14" ht="16.5" customHeight="1">
      <c r="A14" s="3" t="n"/>
      <c r="B14" s="207" t="inlineStr">
        <is>
          <t>Your days</t>
        </is>
      </c>
      <c r="C14" s="68">
        <f>IFERROR(INDEX(Weeks!$L$7:$W$59,MATCH($C$5,Weeks!$A$7:$A$59,0),MATCH($D$6,Weeks!$L$5:$W$5,0)),0)</f>
        <v/>
      </c>
      <c r="D14" s="217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</row>
    <row r="15" ht="16.5" customHeight="1">
      <c r="A15" s="3" t="n"/>
      <c r="B15" s="209" t="inlineStr">
        <is>
          <t>Your share</t>
        </is>
      </c>
      <c r="C15" s="289">
        <f>IF(N($C$13)=0,0,$C$14/$C$13)</f>
        <v/>
      </c>
      <c r="D15" s="21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</row>
    <row r="16" ht="16.5" customHeight="1">
      <c r="A16" s="3" t="n"/>
      <c r="B16" s="3" t="n"/>
      <c r="C16" s="217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</row>
    <row r="17" ht="16.5" customHeight="1">
      <c r="A17" s="3" t="n"/>
      <c r="B17" s="208" t="inlineStr">
        <is>
          <t>Earned this week</t>
        </is>
      </c>
      <c r="C17" s="288">
        <f>IFERROR(INDEX(Weeks!$X$7:$AI$59,MATCH($C$5,Weeks!$A$7:$A$59,0),MATCH($D$6,Weeks!$X$5:$AI$5,0)),0)</f>
        <v/>
      </c>
      <c r="D17" s="217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</row>
    <row r="18" ht="16.5" customHeight="1">
      <c r="A18" s="3" t="n"/>
      <c r="B18" s="207" t="inlineStr">
        <is>
          <t>Brought forward from earlier weeks</t>
        </is>
      </c>
      <c r="C18" s="290">
        <f>SUMPRODUCT((Weeks!$A$7:$A$59&lt;$C$5)*(Weeks!$X$5:$AI$5=$D$6)*Weeks!$X$7:$AI$59)-SUMIFS('Cash Ledger'!$E$7:$E$1006,'Cash Ledger'!$I$7:$I$1006,$D$6,'Cash Ledger'!$B$7:$B$1006,"&lt;"&amp;$C$5)</f>
        <v/>
      </c>
      <c r="D18" s="217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</row>
    <row r="19" ht="16.5" customHeight="1">
      <c r="A19" s="3" t="n"/>
      <c r="B19" s="207" t="inlineStr">
        <is>
          <t>Advances this week (listed below)</t>
        </is>
      </c>
      <c r="C19" s="290">
        <f>-SUMIFS('Cash Ledger'!$E$7:$E$1006,'Cash Ledger'!$I$7:$I$1006,$D$6,'Cash Ledger'!$D$7:$D$1006,"Advance",'Cash Ledger'!$B$7:$B$1006,"&gt;="&amp;$C$5,'Cash Ledger'!$B$7:$B$1006,"&lt;="&amp;($C$5+6))</f>
        <v/>
      </c>
      <c r="D19" s="217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</row>
    <row r="20" ht="16.5" customHeight="1">
      <c r="A20" s="3" t="n"/>
      <c r="B20" s="207" t="inlineStr">
        <is>
          <t>Corrections this week</t>
        </is>
      </c>
      <c r="C20" s="290">
        <f>-SUMIFS('Cash Ledger'!$E$7:$E$1006,'Cash Ledger'!$I$7:$I$1006,$D$6,'Cash Ledger'!$D$7:$D$1006,"Correction",'Cash Ledger'!$B$7:$B$1006,"&gt;="&amp;$C$5,'Cash Ledger'!$B$7:$B$1006,"&lt;="&amp;($C$5+6))</f>
        <v/>
      </c>
      <c r="D20" s="217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</row>
    <row r="21" ht="16.5" customHeight="1">
      <c r="A21" s="3" t="n"/>
      <c r="B21" s="37" t="inlineStr">
        <is>
          <t>Due</t>
        </is>
      </c>
      <c r="C21" s="291">
        <f>$C$17+$C$18+$C$19+$C$20</f>
        <v/>
      </c>
      <c r="D21" s="21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</row>
    <row r="22" ht="16.5" customHeight="1">
      <c r="A22" s="3" t="n"/>
      <c r="B22" s="3" t="n"/>
      <c r="C22" s="217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</row>
    <row r="23" ht="17.25" customHeight="1">
      <c r="A23" s="3" t="n"/>
      <c r="B23" s="208" t="inlineStr">
        <is>
          <t>TO PAY NOW</t>
        </is>
      </c>
      <c r="C23" s="292">
        <f>ROUND(MAX(0,IF($C$18&gt;=0,$C$21,$C$17+$C$19+$C$20-MIN(-$C$18,DebtCap*$C$17))),0)</f>
        <v/>
      </c>
      <c r="D23" s="217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</row>
    <row r="24" ht="16.5" customHeight="1">
      <c r="A24" s="3" t="n"/>
      <c r="B24" s="207" t="inlineStr">
        <is>
          <t>Already paid this week (ledger)</t>
        </is>
      </c>
      <c r="C24" s="288">
        <f>SUMIFS('Cash Ledger'!$E$7:$E$1006,'Cash Ledger'!$I$7:$I$1006,$D$6,'Cash Ledger'!$D$7:$D$1006,"Weekly pay",'Cash Ledger'!$B$7:$B$1006,"&gt;="&amp;$C$5,'Cash Ledger'!$B$7:$B$1006,"&lt;="&amp;($C$5+6))</f>
        <v/>
      </c>
      <c r="D24" s="217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</row>
    <row r="25" ht="16.5" customHeight="1">
      <c r="A25" s="3" t="n"/>
      <c r="B25" s="37" t="inlineStr">
        <is>
          <t>Carried to next week</t>
        </is>
      </c>
      <c r="C25" s="291">
        <f>$C$21-$C$24</f>
        <v/>
      </c>
      <c r="D25" s="98">
        <f>IF(ROUND($C$25,0)&lt;0,"you owe the workshop "&amp;TEXT(ROUND(-$C$25,0),"#,##0")&amp;" so'm",IF(ROUND($C$25,0)&gt;0,"the workshop owes you "&amp;TEXT(ROUND($C$25,0),"#,##0")&amp;" so'm","settled"))</f>
        <v/>
      </c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</row>
    <row r="26" ht="16.5" customHeight="1">
      <c r="A26" s="3" t="n"/>
      <c r="B26" s="3" t="n"/>
      <c r="C26" s="217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</row>
    <row r="27" ht="17.25" customHeight="1">
      <c r="A27" s="3" t="n"/>
      <c r="B27" s="103" t="inlineStr">
        <is>
          <t>Advances taken this week</t>
        </is>
      </c>
      <c r="C27" s="217" t="n"/>
      <c r="D27" s="217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</row>
    <row r="28" ht="19.5" customHeight="1">
      <c r="A28" s="217" t="n"/>
      <c r="B28" s="58" t="inlineStr">
        <is>
          <t>Date</t>
        </is>
      </c>
      <c r="C28" s="58" t="inlineStr">
        <is>
          <t>Amount (so'm)</t>
        </is>
      </c>
      <c r="D28" s="58" t="inlineStr">
        <is>
          <t>Reason</t>
        </is>
      </c>
      <c r="E28" s="217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</row>
    <row r="29" ht="16.5" customHeight="1">
      <c r="A29" s="217" t="n"/>
      <c r="B29" s="293">
        <f>IFERROR(INDEX('Cash Ledger'!$B$7:$B$1006,MATCH($D$6&amp;"|"&amp;$C$5&amp;"|"&amp;1,'Cash Ledger'!$K$7:$K$1006,0)),"")</f>
        <v/>
      </c>
      <c r="C29" s="294">
        <f>IFERROR(INDEX('Cash Ledger'!$E$7:$E$1006,MATCH($D$6&amp;"|"&amp;$C$5&amp;"|"&amp;1,'Cash Ledger'!$K$7:$K$1006,0)),"")</f>
        <v/>
      </c>
      <c r="D29" s="219">
        <f>IFERROR(INDEX('Cash Ledger'!$F$7:$F$1006,MATCH($D$6&amp;"|"&amp;$C$5&amp;"|"&amp;1,'Cash Ledger'!$K$7:$K$1006,0)),"")</f>
        <v/>
      </c>
      <c r="E29" s="295" t="n"/>
      <c r="F29" s="217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</row>
    <row r="30" ht="16.5" customHeight="1">
      <c r="A30" s="217" t="n"/>
      <c r="B30" s="296">
        <f>IFERROR(INDEX('Cash Ledger'!$B$7:$B$1006,MATCH($D$6&amp;"|"&amp;$C$5&amp;"|"&amp;2,'Cash Ledger'!$K$7:$K$1006,0)),"")</f>
        <v/>
      </c>
      <c r="C30" s="297">
        <f>IFERROR(INDEX('Cash Ledger'!$E$7:$E$1006,MATCH($D$6&amp;"|"&amp;$C$5&amp;"|"&amp;2,'Cash Ledger'!$K$7:$K$1006,0)),"")</f>
        <v/>
      </c>
      <c r="D30" s="207">
        <f>IFERROR(INDEX('Cash Ledger'!$F$7:$F$1006,MATCH($D$6&amp;"|"&amp;$C$5&amp;"|"&amp;2,'Cash Ledger'!$K$7:$K$1006,0)),"")</f>
        <v/>
      </c>
      <c r="E30" s="273" t="n"/>
      <c r="F30" s="217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</row>
    <row r="31" ht="16.5" customHeight="1">
      <c r="A31" s="217" t="n"/>
      <c r="B31" s="296">
        <f>IFERROR(INDEX('Cash Ledger'!$B$7:$B$1006,MATCH($D$6&amp;"|"&amp;$C$5&amp;"|"&amp;3,'Cash Ledger'!$K$7:$K$1006,0)),"")</f>
        <v/>
      </c>
      <c r="C31" s="297">
        <f>IFERROR(INDEX('Cash Ledger'!$E$7:$E$1006,MATCH($D$6&amp;"|"&amp;$C$5&amp;"|"&amp;3,'Cash Ledger'!$K$7:$K$1006,0)),"")</f>
        <v/>
      </c>
      <c r="D31" s="207">
        <f>IFERROR(INDEX('Cash Ledger'!$F$7:$F$1006,MATCH($D$6&amp;"|"&amp;$C$5&amp;"|"&amp;3,'Cash Ledger'!$K$7:$K$1006,0)),"")</f>
        <v/>
      </c>
      <c r="E31" s="273" t="n"/>
      <c r="F31" s="217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</row>
    <row r="32" ht="16.5" customHeight="1">
      <c r="A32" s="217" t="n"/>
      <c r="B32" s="296">
        <f>IFERROR(INDEX('Cash Ledger'!$B$7:$B$1006,MATCH($D$6&amp;"|"&amp;$C$5&amp;"|"&amp;4,'Cash Ledger'!$K$7:$K$1006,0)),"")</f>
        <v/>
      </c>
      <c r="C32" s="297">
        <f>IFERROR(INDEX('Cash Ledger'!$E$7:$E$1006,MATCH($D$6&amp;"|"&amp;$C$5&amp;"|"&amp;4,'Cash Ledger'!$K$7:$K$1006,0)),"")</f>
        <v/>
      </c>
      <c r="D32" s="207">
        <f>IFERROR(INDEX('Cash Ledger'!$F$7:$F$1006,MATCH($D$6&amp;"|"&amp;$C$5&amp;"|"&amp;4,'Cash Ledger'!$K$7:$K$1006,0)),"")</f>
        <v/>
      </c>
      <c r="E32" s="273" t="n"/>
      <c r="F32" s="217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</row>
    <row r="33" ht="16.5" customHeight="1">
      <c r="A33" s="217" t="n"/>
      <c r="B33" s="296">
        <f>IFERROR(INDEX('Cash Ledger'!$B$7:$B$1006,MATCH($D$6&amp;"|"&amp;$C$5&amp;"|"&amp;5,'Cash Ledger'!$K$7:$K$1006,0)),"")</f>
        <v/>
      </c>
      <c r="C33" s="297">
        <f>IFERROR(INDEX('Cash Ledger'!$E$7:$E$1006,MATCH($D$6&amp;"|"&amp;$C$5&amp;"|"&amp;5,'Cash Ledger'!$K$7:$K$1006,0)),"")</f>
        <v/>
      </c>
      <c r="D33" s="207">
        <f>IFERROR(INDEX('Cash Ledger'!$F$7:$F$1006,MATCH($D$6&amp;"|"&amp;$C$5&amp;"|"&amp;5,'Cash Ledger'!$K$7:$K$1006,0)),"")</f>
        <v/>
      </c>
      <c r="E33" s="273" t="n"/>
      <c r="F33" s="217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</row>
    <row r="34" ht="16.5" customHeight="1">
      <c r="A34" s="217" t="n"/>
      <c r="B34" s="296">
        <f>IFERROR(INDEX('Cash Ledger'!$B$7:$B$1006,MATCH($D$6&amp;"|"&amp;$C$5&amp;"|"&amp;6,'Cash Ledger'!$K$7:$K$1006,0)),"")</f>
        <v/>
      </c>
      <c r="C34" s="297">
        <f>IFERROR(INDEX('Cash Ledger'!$E$7:$E$1006,MATCH($D$6&amp;"|"&amp;$C$5&amp;"|"&amp;6,'Cash Ledger'!$K$7:$K$1006,0)),"")</f>
        <v/>
      </c>
      <c r="D34" s="207">
        <f>IFERROR(INDEX('Cash Ledger'!$F$7:$F$1006,MATCH($D$6&amp;"|"&amp;$C$5&amp;"|"&amp;6,'Cash Ledger'!$K$7:$K$1006,0)),"")</f>
        <v/>
      </c>
      <c r="E34" s="273" t="n"/>
      <c r="F34" s="217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</row>
    <row r="35" ht="16.5" customHeight="1">
      <c r="A35" s="217" t="n"/>
      <c r="B35" s="296">
        <f>IFERROR(INDEX('Cash Ledger'!$B$7:$B$1006,MATCH($D$6&amp;"|"&amp;$C$5&amp;"|"&amp;7,'Cash Ledger'!$K$7:$K$1006,0)),"")</f>
        <v/>
      </c>
      <c r="C35" s="297">
        <f>IFERROR(INDEX('Cash Ledger'!$E$7:$E$1006,MATCH($D$6&amp;"|"&amp;$C$5&amp;"|"&amp;7,'Cash Ledger'!$K$7:$K$1006,0)),"")</f>
        <v/>
      </c>
      <c r="D35" s="207">
        <f>IFERROR(INDEX('Cash Ledger'!$F$7:$F$1006,MATCH($D$6&amp;"|"&amp;$C$5&amp;"|"&amp;7,'Cash Ledger'!$K$7:$K$1006,0)),"")</f>
        <v/>
      </c>
      <c r="E35" s="273" t="n"/>
      <c r="F35" s="217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</row>
    <row r="36" ht="16.5" customHeight="1">
      <c r="A36" s="217" t="n"/>
      <c r="B36" s="296">
        <f>IFERROR(INDEX('Cash Ledger'!$B$7:$B$1006,MATCH($D$6&amp;"|"&amp;$C$5&amp;"|"&amp;8,'Cash Ledger'!$K$7:$K$1006,0)),"")</f>
        <v/>
      </c>
      <c r="C36" s="297">
        <f>IFERROR(INDEX('Cash Ledger'!$E$7:$E$1006,MATCH($D$6&amp;"|"&amp;$C$5&amp;"|"&amp;8,'Cash Ledger'!$K$7:$K$1006,0)),"")</f>
        <v/>
      </c>
      <c r="D36" s="207">
        <f>IFERROR(INDEX('Cash Ledger'!$F$7:$F$1006,MATCH($D$6&amp;"|"&amp;$C$5&amp;"|"&amp;8,'Cash Ledger'!$K$7:$K$1006,0)),"")</f>
        <v/>
      </c>
      <c r="E36" s="273" t="n"/>
      <c r="F36" s="217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</row>
    <row r="37" ht="16.5" customHeight="1">
      <c r="A37" s="217" t="n"/>
      <c r="B37" s="296">
        <f>IFERROR(INDEX('Cash Ledger'!$B$7:$B$1006,MATCH($D$6&amp;"|"&amp;$C$5&amp;"|"&amp;9,'Cash Ledger'!$K$7:$K$1006,0)),"")</f>
        <v/>
      </c>
      <c r="C37" s="297">
        <f>IFERROR(INDEX('Cash Ledger'!$E$7:$E$1006,MATCH($D$6&amp;"|"&amp;$C$5&amp;"|"&amp;9,'Cash Ledger'!$K$7:$K$1006,0)),"")</f>
        <v/>
      </c>
      <c r="D37" s="207">
        <f>IFERROR(INDEX('Cash Ledger'!$F$7:$F$1006,MATCH($D$6&amp;"|"&amp;$C$5&amp;"|"&amp;9,'Cash Ledger'!$K$7:$K$1006,0)),"")</f>
        <v/>
      </c>
      <c r="E37" s="273" t="n"/>
      <c r="F37" s="217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</row>
    <row r="38" ht="16.5" customHeight="1">
      <c r="A38" s="218" t="n"/>
      <c r="B38" s="296">
        <f>IFERROR(INDEX('Cash Ledger'!$B$7:$B$1006,MATCH($D$6&amp;"|"&amp;$C$5&amp;"|"&amp;10,'Cash Ledger'!$K$7:$K$1006,0)),"")</f>
        <v/>
      </c>
      <c r="C38" s="297">
        <f>IFERROR(INDEX('Cash Ledger'!$E$7:$E$1006,MATCH($D$6&amp;"|"&amp;$C$5&amp;"|"&amp;10,'Cash Ledger'!$K$7:$K$1006,0)),"")</f>
        <v/>
      </c>
      <c r="D38" s="207">
        <f>IFERROR(INDEX('Cash Ledger'!$F$7:$F$1006,MATCH($D$6&amp;"|"&amp;$C$5&amp;"|"&amp;10,'Cash Ledger'!$K$7:$K$1006,0)),"")</f>
        <v/>
      </c>
      <c r="E38" s="273" t="n"/>
      <c r="F38" s="218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</row>
    <row r="39" ht="16.5" customHeight="1">
      <c r="A39" s="3" t="n"/>
      <c r="B39" s="98">
        <f>IF(COUNTIFS('Cash Ledger'!$I$7:$I$1006,$D$6,'Cash Ledger'!$D$7:$D$1006,"Advance",'Cash Ledger'!$B$7:$B$1006,"&gt;="&amp;$C$5,'Cash Ledger'!$B$7:$B$1006,"&lt;="&amp;($C$5+6))&gt;10,"More advances than fit here - see the Cash Ledger","")</f>
        <v/>
      </c>
      <c r="C39" s="218" t="n"/>
      <c r="D39" s="218" t="n"/>
      <c r="E39" s="218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</row>
    <row r="40" ht="16.5" customHeight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</row>
    <row r="41" ht="16.5" customHeight="1">
      <c r="A41" s="3" t="n"/>
      <c r="B41" s="206" t="inlineStr">
        <is>
          <t>Worker's signature</t>
        </is>
      </c>
      <c r="C41" s="217" t="n"/>
      <c r="D41" s="273" t="n"/>
      <c r="E41" s="27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</row>
    <row r="42" ht="16.5" customHeight="1">
      <c r="A42" s="3" t="n"/>
      <c r="B42" s="3" t="n"/>
      <c r="C42" s="217" t="n"/>
      <c r="D42" s="217" t="n"/>
      <c r="E42" s="217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</row>
    <row r="43" ht="16.5" customHeight="1">
      <c r="A43" s="3" t="n"/>
      <c r="B43" s="206" t="inlineStr">
        <is>
          <t>Paid by</t>
        </is>
      </c>
      <c r="C43" s="217" t="n"/>
      <c r="D43" s="273" t="n"/>
      <c r="E43" s="27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</row>
    <row r="44" ht="16.5" customHeight="1">
      <c r="A44" s="3" t="n"/>
      <c r="B44" s="3" t="n"/>
      <c r="C44" s="217" t="n"/>
      <c r="D44" s="217" t="n"/>
      <c r="E44" s="217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</row>
    <row r="45" ht="16.5" customHeight="1">
      <c r="A45" s="3" t="n"/>
      <c r="B45" s="206" t="inlineStr">
        <is>
          <t>Date paid</t>
        </is>
      </c>
      <c r="C45" s="218" t="n"/>
      <c r="D45" s="240" t="n"/>
      <c r="E45" s="240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</row>
  </sheetData>
  <mergeCells count="22">
    <mergeCell ref="C41:E41"/>
    <mergeCell ref="D34:E34"/>
    <mergeCell ref="A1:B1"/>
    <mergeCell ref="D36:E36"/>
    <mergeCell ref="D31:E31"/>
    <mergeCell ref="C43:E43"/>
    <mergeCell ref="M1:N1"/>
    <mergeCell ref="V1:W1"/>
    <mergeCell ref="K1:L1"/>
    <mergeCell ref="O1:P1"/>
    <mergeCell ref="D32:E32"/>
    <mergeCell ref="F1:H1"/>
    <mergeCell ref="T1:U1"/>
    <mergeCell ref="D37:E37"/>
    <mergeCell ref="I1:J1"/>
    <mergeCell ref="D30:E30"/>
    <mergeCell ref="D33:E33"/>
    <mergeCell ref="C45:E45"/>
    <mergeCell ref="D29:E29"/>
    <mergeCell ref="D38:E38"/>
    <mergeCell ref="R1:S1"/>
    <mergeCell ref="D35:E35"/>
  </mergeCells>
  <dataValidations count="2">
    <dataValidation sqref="C5" showDropDown="0" showInputMessage="0" showErrorMessage="1" allowBlank="1" error="Pick a value from the list." type="list">
      <formula1>WeekStarts</formula1>
      <formula2>0</formula2>
    </dataValidation>
    <dataValidation sqref="C6" showDropDown="0" showInputMessage="0" showErrorMessage="1" allowBlank="1" error="Pick a value from the list." type="list">
      <formula1>WorkerNames</formula1>
      <formula2>0</formula2>
    </dataValidation>
  </dataValidations>
  <hyperlinks>
    <hyperlink ref="C1" location="'Home'!A1" tooltip="Go to Home" display="Home"/>
    <hyperlink ref="D1" location="'Daily Log'!A1" tooltip="Go to Daily Log" display="Daily Log"/>
    <hyperlink ref="E1" location="'Cash Ledger'!A1" tooltip="Go to Cash Ledger" display="Cash Ledger"/>
    <hyperlink ref="F1" location="'Weekly Pay'!A1" tooltip="Go to Weekly Pay" display="Weekly Pay"/>
    <hyperlink ref="K1" location="'Workers'!A1" tooltip="Go to Workers" display="Workers"/>
    <hyperlink ref="M1" location="'Settings'!A1" tooltip="Go to Settings" display="Settings"/>
    <hyperlink ref="O1" location="'Guide'!A1" tooltip="Go to Guide" display="Guide"/>
    <hyperlink ref="R1" location="'Worker History'!A1" tooltip="Go to Worker History" display="History"/>
    <hyperlink ref="T1" location="'Weeks'!A1" tooltip="Go to Weeks" display="Weeks"/>
    <hyperlink ref="V1" location="'Checks'!A1" tooltip="Go to Checks" display="Checks"/>
  </hyperlink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tabColor rgb="FFCBD5E1"/>
    <outlinePr summaryBelow="1" summaryRight="1"/>
    <pageSetUpPr/>
  </sheetPr>
  <dimension ref="A1:AN60"/>
  <sheetViews>
    <sheetView showGridLines="0" zoomScaleNormal="100" workbookViewId="0">
      <pane ySplit="7" topLeftCell="A8" activePane="bottomLeft" state="frozen"/>
      <selection pane="bottomLeft" activeCell="A1" sqref="A1:B1"/>
    </sheetView>
  </sheetViews>
  <sheetFormatPr baseColWidth="8" defaultColWidth="8.5703125" defaultRowHeight="15"/>
  <cols>
    <col width="12" customWidth="1" min="1" max="1"/>
    <col width="7" customWidth="1" min="2" max="2"/>
    <col width="14" customWidth="1" min="3" max="3"/>
    <col width="13" customWidth="1" min="4" max="4"/>
    <col width="12" customWidth="1" min="5" max="5"/>
    <col width="13" customWidth="1" min="6" max="6"/>
    <col width="18" customWidth="1" min="7" max="7"/>
    <col width="30" customWidth="1" min="8" max="8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220" t="inlineStr">
        <is>
          <t>Daily Log</t>
        </is>
      </c>
      <c r="F1" s="220" t="inlineStr">
        <is>
          <t>Cash Ledger</t>
        </is>
      </c>
      <c r="H1" s="176" t="inlineStr">
        <is>
          <t>Weekly Pay</t>
        </is>
      </c>
      <c r="I1" s="220" t="inlineStr">
        <is>
          <t>Payslip</t>
        </is>
      </c>
      <c r="K1" s="220" t="inlineStr">
        <is>
          <t>Workers</t>
        </is>
      </c>
      <c r="M1" s="220" t="inlineStr">
        <is>
          <t>Settings</t>
        </is>
      </c>
      <c r="O1" s="220" t="inlineStr">
        <is>
          <t>Guide</t>
        </is>
      </c>
      <c r="Q1" s="31" t="inlineStr">
        <is>
          <t>·</t>
        </is>
      </c>
      <c r="R1" s="205" t="inlineStr">
        <is>
          <t>History</t>
        </is>
      </c>
      <c r="T1" s="222" t="inlineStr">
        <is>
          <t>Weeks</t>
        </is>
      </c>
      <c r="V1" s="222" t="inlineStr">
        <is>
          <t>Checks</t>
        </is>
      </c>
      <c r="X1" s="32" t="n"/>
      <c r="Y1" s="32" t="n"/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Worker History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34" t="n"/>
      <c r="S2" s="34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One worker's whole account, week by week: earned, taken, paid, and where the balance stands.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217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6.5" customHeight="1">
      <c r="A5" s="3" t="n"/>
      <c r="B5" s="208" t="inlineStr">
        <is>
          <t>Worker</t>
        </is>
      </c>
      <c r="C5" s="69" t="inlineStr">
        <is>
          <t>Xusanboy</t>
        </is>
      </c>
      <c r="D5" s="57">
        <f>IFERROR(INDEX(WorkerIDs,MATCH($C$5,WorkerNames,0)),"unknown worker")</f>
        <v/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6.5" customHeight="1">
      <c r="A6" s="217" t="n"/>
      <c r="B6" s="217" t="n"/>
      <c r="C6" s="217" t="n"/>
      <c r="D6" s="217" t="n"/>
      <c r="E6" s="217" t="n"/>
      <c r="F6" s="217" t="n"/>
      <c r="G6" s="211" t="inlineStr">
        <is>
          <t>+ you owe them / - they owe you</t>
        </is>
      </c>
      <c r="H6" s="217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32.1" customFormat="1" customHeight="1" s="127">
      <c r="A7" s="58" t="inlineStr">
        <is>
          <t>Week of</t>
        </is>
      </c>
      <c r="B7" s="58" t="inlineStr">
        <is>
          <t>Days</t>
        </is>
      </c>
      <c r="C7" s="58" t="inlineStr">
        <is>
          <t>Earned</t>
        </is>
      </c>
      <c r="D7" s="58" t="inlineStr">
        <is>
          <t>Advances</t>
        </is>
      </c>
      <c r="E7" s="58" t="inlineStr">
        <is>
          <t>Corrections</t>
        </is>
      </c>
      <c r="F7" s="58" t="inlineStr">
        <is>
          <t>Weekly pay</t>
        </is>
      </c>
      <c r="G7" s="58" t="inlineStr">
        <is>
          <t>Balance after the week</t>
        </is>
      </c>
      <c r="H7" s="58" t="inlineStr">
        <is>
          <t>Meaning</t>
        </is>
      </c>
      <c r="I7" s="125" t="n"/>
      <c r="J7" s="126" t="n"/>
      <c r="K7" s="126" t="n"/>
      <c r="L7" s="126" t="n"/>
      <c r="M7" s="126" t="n"/>
      <c r="N7" s="126" t="n"/>
      <c r="O7" s="126" t="n"/>
      <c r="P7" s="126" t="n"/>
      <c r="Q7" s="126" t="n"/>
      <c r="R7" s="126" t="n"/>
      <c r="S7" s="126" t="n"/>
      <c r="T7" s="126" t="n"/>
      <c r="U7" s="126" t="n"/>
      <c r="V7" s="126" t="n"/>
      <c r="W7" s="126" t="n"/>
      <c r="X7" s="126" t="n"/>
      <c r="Y7" s="126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  <c r="AN7" s="126" t="n"/>
    </row>
    <row r="8" ht="21" customFormat="1" customHeight="1" s="127">
      <c r="A8" s="246">
        <f>Weeks!$A$7</f>
        <v/>
      </c>
      <c r="B8" s="45">
        <f>IF($A8&gt;TODAY(),"",IFERROR(INDEX(Weeks!$L$7:$W$59,MATCH($A8,Weeks!$A$7:$A$59,0),MATCH($D$5,Weeks!$L$5:$W$5,0)),0))</f>
        <v/>
      </c>
      <c r="C8" s="248">
        <f>IF($A8&gt;TODAY(),"",IFERROR(INDEX(Weeks!$X$7:$AI$59,MATCH($A8,Weeks!$A$7:$A$59,0),MATCH($D$5,Weeks!$X$5:$AI$5,0)),0))</f>
        <v/>
      </c>
      <c r="D8" s="248">
        <f>IF($A8&gt;TODAY(),"",SUMIFS('Cash Ledger'!$E$7:$E$1006,'Cash Ledger'!$I$7:$I$1006,$D$5,'Cash Ledger'!$D$7:$D$1006,"Advance",'Cash Ledger'!$B$7:$B$1006,"&gt;="&amp;$A8,'Cash Ledger'!$B$7:$B$1006,"&lt;="&amp;($A8+6)))</f>
        <v/>
      </c>
      <c r="E8" s="263">
        <f>IF($A8&gt;TODAY(),"",SUMIFS('Cash Ledger'!$E$7:$E$1006,'Cash Ledger'!$I$7:$I$1006,$D$5,'Cash Ledger'!$D$7:$D$1006,"Correction",'Cash Ledger'!$B$7:$B$1006,"&gt;="&amp;$A8,'Cash Ledger'!$B$7:$B$1006,"&lt;="&amp;($A8+6)))</f>
        <v/>
      </c>
      <c r="F8" s="248">
        <f>IF($A8&gt;TODAY(),"",SUMIFS('Cash Ledger'!$E$7:$E$1006,'Cash Ledger'!$I$7:$I$1006,$D$5,'Cash Ledger'!$D$7:$D$1006,"Weekly pay",'Cash Ledger'!$B$7:$B$1006,"&gt;="&amp;$A8,'Cash Ledger'!$B$7:$B$1006,"&lt;="&amp;($A8+6)))</f>
        <v/>
      </c>
      <c r="G8" s="298">
        <f>IF($A8&gt;TODAY(),"",SUMPRODUCT((Weeks!$A$7:$A$59&lt;=$A8)*(Weeks!$X$5:$AI$5=$D$5)*Weeks!$X$7:$AI$59)-SUMIFS('Cash Ledger'!$E$7:$E$1006,'Cash Ledger'!$I$7:$I$1006,$D$5,'Cash Ledger'!$B$7:$B$1006,"&lt;="&amp;($A8+6)))</f>
        <v/>
      </c>
      <c r="H8" s="129">
        <f>IF(OR($A8&gt;TODAY(),$G8=""),"",IF(ROUND($G8,0)&lt;0,"owes you",IF(ROUND($G8,0)&gt;0,"you owe","settled")))</f>
        <v/>
      </c>
      <c r="I8" s="125" t="n"/>
      <c r="J8" s="126" t="n"/>
      <c r="K8" s="126" t="n"/>
      <c r="L8" s="126" t="n"/>
      <c r="M8" s="126" t="n"/>
      <c r="N8" s="126" t="n"/>
      <c r="O8" s="126" t="n"/>
      <c r="P8" s="126" t="n"/>
      <c r="Q8" s="126" t="n"/>
      <c r="R8" s="126" t="n"/>
      <c r="S8" s="126" t="n"/>
      <c r="T8" s="126" t="n"/>
      <c r="U8" s="126" t="n"/>
      <c r="V8" s="126" t="n"/>
      <c r="W8" s="126" t="n"/>
      <c r="X8" s="126" t="n"/>
      <c r="Y8" s="126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  <c r="AN8" s="126" t="n"/>
    </row>
    <row r="9" ht="21" customFormat="1" customHeight="1" s="127">
      <c r="A9" s="250">
        <f>Weeks!$A$8</f>
        <v/>
      </c>
      <c r="B9" s="51">
        <f>IF($A9&gt;TODAY(),"",IFERROR(INDEX(Weeks!$L$7:$W$59,MATCH($A9,Weeks!$A$7:$A$59,0),MATCH($D$5,Weeks!$L$5:$W$5,0)),0))</f>
        <v/>
      </c>
      <c r="C9" s="252">
        <f>IF($A9&gt;TODAY(),"",IFERROR(INDEX(Weeks!$X$7:$AI$59,MATCH($A9,Weeks!$A$7:$A$59,0),MATCH($D$5,Weeks!$X$5:$AI$5,0)),0))</f>
        <v/>
      </c>
      <c r="D9" s="252">
        <f>IF($A9&gt;TODAY(),"",SUMIFS('Cash Ledger'!$E$7:$E$1006,'Cash Ledger'!$I$7:$I$1006,$D$5,'Cash Ledger'!$D$7:$D$1006,"Advance",'Cash Ledger'!$B$7:$B$1006,"&gt;="&amp;$A9,'Cash Ledger'!$B$7:$B$1006,"&lt;="&amp;($A9+6)))</f>
        <v/>
      </c>
      <c r="E9" s="266">
        <f>IF($A9&gt;TODAY(),"",SUMIFS('Cash Ledger'!$E$7:$E$1006,'Cash Ledger'!$I$7:$I$1006,$D$5,'Cash Ledger'!$D$7:$D$1006,"Correction",'Cash Ledger'!$B$7:$B$1006,"&gt;="&amp;$A9,'Cash Ledger'!$B$7:$B$1006,"&lt;="&amp;($A9+6)))</f>
        <v/>
      </c>
      <c r="F9" s="252">
        <f>IF($A9&gt;TODAY(),"",SUMIFS('Cash Ledger'!$E$7:$E$1006,'Cash Ledger'!$I$7:$I$1006,$D$5,'Cash Ledger'!$D$7:$D$1006,"Weekly pay",'Cash Ledger'!$B$7:$B$1006,"&gt;="&amp;$A9,'Cash Ledger'!$B$7:$B$1006,"&lt;="&amp;($A9+6)))</f>
        <v/>
      </c>
      <c r="G9" s="299">
        <f>IF($A9&gt;TODAY(),"",SUMPRODUCT((Weeks!$A$7:$A$59&lt;=$A9)*(Weeks!$X$5:$AI$5=$D$5)*Weeks!$X$7:$AI$59)-SUMIFS('Cash Ledger'!$E$7:$E$1006,'Cash Ledger'!$I$7:$I$1006,$D$5,'Cash Ledger'!$B$7:$B$1006,"&lt;="&amp;($A9+6)))</f>
        <v/>
      </c>
      <c r="H9" s="132">
        <f>IF(OR($A9&gt;TODAY(),$G9=""),"",IF(ROUND($G9,0)&lt;0,"owes you",IF(ROUND($G9,0)&gt;0,"you owe","settled")))</f>
        <v/>
      </c>
      <c r="I9" s="125" t="n"/>
      <c r="J9" s="126" t="n"/>
      <c r="K9" s="126" t="n"/>
      <c r="L9" s="126" t="n"/>
      <c r="M9" s="126" t="n"/>
      <c r="N9" s="126" t="n"/>
      <c r="O9" s="126" t="n"/>
      <c r="P9" s="126" t="n"/>
      <c r="Q9" s="126" t="n"/>
      <c r="R9" s="126" t="n"/>
      <c r="S9" s="126" t="n"/>
      <c r="T9" s="126" t="n"/>
      <c r="U9" s="126" t="n"/>
      <c r="V9" s="126" t="n"/>
      <c r="W9" s="126" t="n"/>
      <c r="X9" s="126" t="n"/>
      <c r="Y9" s="126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  <c r="AN9" s="126" t="n"/>
    </row>
    <row r="10" ht="21" customFormat="1" customHeight="1" s="127">
      <c r="A10" s="250">
        <f>Weeks!$A$9</f>
        <v/>
      </c>
      <c r="B10" s="51">
        <f>IF($A10&gt;TODAY(),"",IFERROR(INDEX(Weeks!$L$7:$W$59,MATCH($A10,Weeks!$A$7:$A$59,0),MATCH($D$5,Weeks!$L$5:$W$5,0)),0))</f>
        <v/>
      </c>
      <c r="C10" s="252">
        <f>IF($A10&gt;TODAY(),"",IFERROR(INDEX(Weeks!$X$7:$AI$59,MATCH($A10,Weeks!$A$7:$A$59,0),MATCH($D$5,Weeks!$X$5:$AI$5,0)),0))</f>
        <v/>
      </c>
      <c r="D10" s="252">
        <f>IF($A10&gt;TODAY(),"",SUMIFS('Cash Ledger'!$E$7:$E$1006,'Cash Ledger'!$I$7:$I$1006,$D$5,'Cash Ledger'!$D$7:$D$1006,"Advance",'Cash Ledger'!$B$7:$B$1006,"&gt;="&amp;$A10,'Cash Ledger'!$B$7:$B$1006,"&lt;="&amp;($A10+6)))</f>
        <v/>
      </c>
      <c r="E10" s="266">
        <f>IF($A10&gt;TODAY(),"",SUMIFS('Cash Ledger'!$E$7:$E$1006,'Cash Ledger'!$I$7:$I$1006,$D$5,'Cash Ledger'!$D$7:$D$1006,"Correction",'Cash Ledger'!$B$7:$B$1006,"&gt;="&amp;$A10,'Cash Ledger'!$B$7:$B$1006,"&lt;="&amp;($A10+6)))</f>
        <v/>
      </c>
      <c r="F10" s="252">
        <f>IF($A10&gt;TODAY(),"",SUMIFS('Cash Ledger'!$E$7:$E$1006,'Cash Ledger'!$I$7:$I$1006,$D$5,'Cash Ledger'!$D$7:$D$1006,"Weekly pay",'Cash Ledger'!$B$7:$B$1006,"&gt;="&amp;$A10,'Cash Ledger'!$B$7:$B$1006,"&lt;="&amp;($A10+6)))</f>
        <v/>
      </c>
      <c r="G10" s="299">
        <f>IF($A10&gt;TODAY(),"",SUMPRODUCT((Weeks!$A$7:$A$59&lt;=$A10)*(Weeks!$X$5:$AI$5=$D$5)*Weeks!$X$7:$AI$59)-SUMIFS('Cash Ledger'!$E$7:$E$1006,'Cash Ledger'!$I$7:$I$1006,$D$5,'Cash Ledger'!$B$7:$B$1006,"&lt;="&amp;($A10+6)))</f>
        <v/>
      </c>
      <c r="H10" s="132">
        <f>IF(OR($A10&gt;TODAY(),$G10=""),"",IF(ROUND($G10,0)&lt;0,"owes you",IF(ROUND($G10,0)&gt;0,"you owe","settled")))</f>
        <v/>
      </c>
      <c r="I10" s="125" t="n"/>
      <c r="J10" s="126" t="n"/>
      <c r="K10" s="126" t="n"/>
      <c r="L10" s="126" t="n"/>
      <c r="M10" s="126" t="n"/>
      <c r="N10" s="126" t="n"/>
      <c r="O10" s="126" t="n"/>
      <c r="P10" s="126" t="n"/>
      <c r="Q10" s="126" t="n"/>
      <c r="R10" s="126" t="n"/>
      <c r="S10" s="126" t="n"/>
      <c r="T10" s="126" t="n"/>
      <c r="U10" s="126" t="n"/>
      <c r="V10" s="126" t="n"/>
      <c r="W10" s="126" t="n"/>
      <c r="X10" s="126" t="n"/>
      <c r="Y10" s="126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  <c r="AN10" s="126" t="n"/>
    </row>
    <row r="11" ht="21" customFormat="1" customHeight="1" s="127">
      <c r="A11" s="250">
        <f>Weeks!$A$10</f>
        <v/>
      </c>
      <c r="B11" s="51">
        <f>IF($A11&gt;TODAY(),"",IFERROR(INDEX(Weeks!$L$7:$W$59,MATCH($A11,Weeks!$A$7:$A$59,0),MATCH($D$5,Weeks!$L$5:$W$5,0)),0))</f>
        <v/>
      </c>
      <c r="C11" s="252">
        <f>IF($A11&gt;TODAY(),"",IFERROR(INDEX(Weeks!$X$7:$AI$59,MATCH($A11,Weeks!$A$7:$A$59,0),MATCH($D$5,Weeks!$X$5:$AI$5,0)),0))</f>
        <v/>
      </c>
      <c r="D11" s="252">
        <f>IF($A11&gt;TODAY(),"",SUMIFS('Cash Ledger'!$E$7:$E$1006,'Cash Ledger'!$I$7:$I$1006,$D$5,'Cash Ledger'!$D$7:$D$1006,"Advance",'Cash Ledger'!$B$7:$B$1006,"&gt;="&amp;$A11,'Cash Ledger'!$B$7:$B$1006,"&lt;="&amp;($A11+6)))</f>
        <v/>
      </c>
      <c r="E11" s="266">
        <f>IF($A11&gt;TODAY(),"",SUMIFS('Cash Ledger'!$E$7:$E$1006,'Cash Ledger'!$I$7:$I$1006,$D$5,'Cash Ledger'!$D$7:$D$1006,"Correction",'Cash Ledger'!$B$7:$B$1006,"&gt;="&amp;$A11,'Cash Ledger'!$B$7:$B$1006,"&lt;="&amp;($A11+6)))</f>
        <v/>
      </c>
      <c r="F11" s="252">
        <f>IF($A11&gt;TODAY(),"",SUMIFS('Cash Ledger'!$E$7:$E$1006,'Cash Ledger'!$I$7:$I$1006,$D$5,'Cash Ledger'!$D$7:$D$1006,"Weekly pay",'Cash Ledger'!$B$7:$B$1006,"&gt;="&amp;$A11,'Cash Ledger'!$B$7:$B$1006,"&lt;="&amp;($A11+6)))</f>
        <v/>
      </c>
      <c r="G11" s="299">
        <f>IF($A11&gt;TODAY(),"",SUMPRODUCT((Weeks!$A$7:$A$59&lt;=$A11)*(Weeks!$X$5:$AI$5=$D$5)*Weeks!$X$7:$AI$59)-SUMIFS('Cash Ledger'!$E$7:$E$1006,'Cash Ledger'!$I$7:$I$1006,$D$5,'Cash Ledger'!$B$7:$B$1006,"&lt;="&amp;($A11+6)))</f>
        <v/>
      </c>
      <c r="H11" s="132">
        <f>IF(OR($A11&gt;TODAY(),$G11=""),"",IF(ROUND($G11,0)&lt;0,"owes you",IF(ROUND($G11,0)&gt;0,"you owe","settled")))</f>
        <v/>
      </c>
      <c r="I11" s="125" t="n"/>
      <c r="J11" s="126" t="n"/>
      <c r="K11" s="126" t="n"/>
      <c r="L11" s="126" t="n"/>
      <c r="M11" s="126" t="n"/>
      <c r="N11" s="126" t="n"/>
      <c r="O11" s="126" t="n"/>
      <c r="P11" s="126" t="n"/>
      <c r="Q11" s="126" t="n"/>
      <c r="R11" s="126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</row>
    <row r="12" ht="21" customFormat="1" customHeight="1" s="127">
      <c r="A12" s="250">
        <f>Weeks!$A$11</f>
        <v/>
      </c>
      <c r="B12" s="51">
        <f>IF($A12&gt;TODAY(),"",IFERROR(INDEX(Weeks!$L$7:$W$59,MATCH($A12,Weeks!$A$7:$A$59,0),MATCH($D$5,Weeks!$L$5:$W$5,0)),0))</f>
        <v/>
      </c>
      <c r="C12" s="252">
        <f>IF($A12&gt;TODAY(),"",IFERROR(INDEX(Weeks!$X$7:$AI$59,MATCH($A12,Weeks!$A$7:$A$59,0),MATCH($D$5,Weeks!$X$5:$AI$5,0)),0))</f>
        <v/>
      </c>
      <c r="D12" s="252">
        <f>IF($A12&gt;TODAY(),"",SUMIFS('Cash Ledger'!$E$7:$E$1006,'Cash Ledger'!$I$7:$I$1006,$D$5,'Cash Ledger'!$D$7:$D$1006,"Advance",'Cash Ledger'!$B$7:$B$1006,"&gt;="&amp;$A12,'Cash Ledger'!$B$7:$B$1006,"&lt;="&amp;($A12+6)))</f>
        <v/>
      </c>
      <c r="E12" s="266">
        <f>IF($A12&gt;TODAY(),"",SUMIFS('Cash Ledger'!$E$7:$E$1006,'Cash Ledger'!$I$7:$I$1006,$D$5,'Cash Ledger'!$D$7:$D$1006,"Correction",'Cash Ledger'!$B$7:$B$1006,"&gt;="&amp;$A12,'Cash Ledger'!$B$7:$B$1006,"&lt;="&amp;($A12+6)))</f>
        <v/>
      </c>
      <c r="F12" s="252">
        <f>IF($A12&gt;TODAY(),"",SUMIFS('Cash Ledger'!$E$7:$E$1006,'Cash Ledger'!$I$7:$I$1006,$D$5,'Cash Ledger'!$D$7:$D$1006,"Weekly pay",'Cash Ledger'!$B$7:$B$1006,"&gt;="&amp;$A12,'Cash Ledger'!$B$7:$B$1006,"&lt;="&amp;($A12+6)))</f>
        <v/>
      </c>
      <c r="G12" s="299">
        <f>IF($A12&gt;TODAY(),"",SUMPRODUCT((Weeks!$A$7:$A$59&lt;=$A12)*(Weeks!$X$5:$AI$5=$D$5)*Weeks!$X$7:$AI$59)-SUMIFS('Cash Ledger'!$E$7:$E$1006,'Cash Ledger'!$I$7:$I$1006,$D$5,'Cash Ledger'!$B$7:$B$1006,"&lt;="&amp;($A12+6)))</f>
        <v/>
      </c>
      <c r="H12" s="132">
        <f>IF(OR($A12&gt;TODAY(),$G12=""),"",IF(ROUND($G12,0)&lt;0,"owes you",IF(ROUND($G12,0)&gt;0,"you owe","settled")))</f>
        <v/>
      </c>
      <c r="I12" s="125" t="n"/>
      <c r="J12" s="126" t="n"/>
      <c r="K12" s="126" t="n"/>
      <c r="L12" s="126" t="n"/>
      <c r="M12" s="126" t="n"/>
      <c r="N12" s="126" t="n"/>
      <c r="O12" s="126" t="n"/>
      <c r="P12" s="126" t="n"/>
      <c r="Q12" s="126" t="n"/>
      <c r="R12" s="126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</row>
    <row r="13" ht="21" customFormat="1" customHeight="1" s="127">
      <c r="A13" s="250">
        <f>Weeks!$A$12</f>
        <v/>
      </c>
      <c r="B13" s="51">
        <f>IF($A13&gt;TODAY(),"",IFERROR(INDEX(Weeks!$L$7:$W$59,MATCH($A13,Weeks!$A$7:$A$59,0),MATCH($D$5,Weeks!$L$5:$W$5,0)),0))</f>
        <v/>
      </c>
      <c r="C13" s="252">
        <f>IF($A13&gt;TODAY(),"",IFERROR(INDEX(Weeks!$X$7:$AI$59,MATCH($A13,Weeks!$A$7:$A$59,0),MATCH($D$5,Weeks!$X$5:$AI$5,0)),0))</f>
        <v/>
      </c>
      <c r="D13" s="252">
        <f>IF($A13&gt;TODAY(),"",SUMIFS('Cash Ledger'!$E$7:$E$1006,'Cash Ledger'!$I$7:$I$1006,$D$5,'Cash Ledger'!$D$7:$D$1006,"Advance",'Cash Ledger'!$B$7:$B$1006,"&gt;="&amp;$A13,'Cash Ledger'!$B$7:$B$1006,"&lt;="&amp;($A13+6)))</f>
        <v/>
      </c>
      <c r="E13" s="266">
        <f>IF($A13&gt;TODAY(),"",SUMIFS('Cash Ledger'!$E$7:$E$1006,'Cash Ledger'!$I$7:$I$1006,$D$5,'Cash Ledger'!$D$7:$D$1006,"Correction",'Cash Ledger'!$B$7:$B$1006,"&gt;="&amp;$A13,'Cash Ledger'!$B$7:$B$1006,"&lt;="&amp;($A13+6)))</f>
        <v/>
      </c>
      <c r="F13" s="252">
        <f>IF($A13&gt;TODAY(),"",SUMIFS('Cash Ledger'!$E$7:$E$1006,'Cash Ledger'!$I$7:$I$1006,$D$5,'Cash Ledger'!$D$7:$D$1006,"Weekly pay",'Cash Ledger'!$B$7:$B$1006,"&gt;="&amp;$A13,'Cash Ledger'!$B$7:$B$1006,"&lt;="&amp;($A13+6)))</f>
        <v/>
      </c>
      <c r="G13" s="299">
        <f>IF($A13&gt;TODAY(),"",SUMPRODUCT((Weeks!$A$7:$A$59&lt;=$A13)*(Weeks!$X$5:$AI$5=$D$5)*Weeks!$X$7:$AI$59)-SUMIFS('Cash Ledger'!$E$7:$E$1006,'Cash Ledger'!$I$7:$I$1006,$D$5,'Cash Ledger'!$B$7:$B$1006,"&lt;="&amp;($A13+6)))</f>
        <v/>
      </c>
      <c r="H13" s="132">
        <f>IF(OR($A13&gt;TODAY(),$G13=""),"",IF(ROUND($G13,0)&lt;0,"owes you",IF(ROUND($G13,0)&gt;0,"you owe","settled")))</f>
        <v/>
      </c>
      <c r="I13" s="125" t="n"/>
      <c r="J13" s="126" t="n"/>
      <c r="K13" s="126" t="n"/>
      <c r="L13" s="126" t="n"/>
      <c r="M13" s="126" t="n"/>
      <c r="N13" s="126" t="n"/>
      <c r="O13" s="126" t="n"/>
      <c r="P13" s="126" t="n"/>
      <c r="Q13" s="126" t="n"/>
      <c r="R13" s="126" t="n"/>
      <c r="S13" s="126" t="n"/>
      <c r="T13" s="126" t="n"/>
      <c r="U13" s="126" t="n"/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</row>
    <row r="14" ht="21" customFormat="1" customHeight="1" s="127">
      <c r="A14" s="250">
        <f>Weeks!$A$13</f>
        <v/>
      </c>
      <c r="B14" s="51">
        <f>IF($A14&gt;TODAY(),"",IFERROR(INDEX(Weeks!$L$7:$W$59,MATCH($A14,Weeks!$A$7:$A$59,0),MATCH($D$5,Weeks!$L$5:$W$5,0)),0))</f>
        <v/>
      </c>
      <c r="C14" s="252">
        <f>IF($A14&gt;TODAY(),"",IFERROR(INDEX(Weeks!$X$7:$AI$59,MATCH($A14,Weeks!$A$7:$A$59,0),MATCH($D$5,Weeks!$X$5:$AI$5,0)),0))</f>
        <v/>
      </c>
      <c r="D14" s="252">
        <f>IF($A14&gt;TODAY(),"",SUMIFS('Cash Ledger'!$E$7:$E$1006,'Cash Ledger'!$I$7:$I$1006,$D$5,'Cash Ledger'!$D$7:$D$1006,"Advance",'Cash Ledger'!$B$7:$B$1006,"&gt;="&amp;$A14,'Cash Ledger'!$B$7:$B$1006,"&lt;="&amp;($A14+6)))</f>
        <v/>
      </c>
      <c r="E14" s="266">
        <f>IF($A14&gt;TODAY(),"",SUMIFS('Cash Ledger'!$E$7:$E$1006,'Cash Ledger'!$I$7:$I$1006,$D$5,'Cash Ledger'!$D$7:$D$1006,"Correction",'Cash Ledger'!$B$7:$B$1006,"&gt;="&amp;$A14,'Cash Ledger'!$B$7:$B$1006,"&lt;="&amp;($A14+6)))</f>
        <v/>
      </c>
      <c r="F14" s="252">
        <f>IF($A14&gt;TODAY(),"",SUMIFS('Cash Ledger'!$E$7:$E$1006,'Cash Ledger'!$I$7:$I$1006,$D$5,'Cash Ledger'!$D$7:$D$1006,"Weekly pay",'Cash Ledger'!$B$7:$B$1006,"&gt;="&amp;$A14,'Cash Ledger'!$B$7:$B$1006,"&lt;="&amp;($A14+6)))</f>
        <v/>
      </c>
      <c r="G14" s="299">
        <f>IF($A14&gt;TODAY(),"",SUMPRODUCT((Weeks!$A$7:$A$59&lt;=$A14)*(Weeks!$X$5:$AI$5=$D$5)*Weeks!$X$7:$AI$59)-SUMIFS('Cash Ledger'!$E$7:$E$1006,'Cash Ledger'!$I$7:$I$1006,$D$5,'Cash Ledger'!$B$7:$B$1006,"&lt;="&amp;($A14+6)))</f>
        <v/>
      </c>
      <c r="H14" s="132">
        <f>IF(OR($A14&gt;TODAY(),$G14=""),"",IF(ROUND($G14,0)&lt;0,"owes you",IF(ROUND($G14,0)&gt;0,"you owe","settled")))</f>
        <v/>
      </c>
      <c r="I14" s="125" t="n"/>
      <c r="J14" s="126" t="n"/>
      <c r="K14" s="126" t="n"/>
      <c r="L14" s="126" t="n"/>
      <c r="M14" s="126" t="n"/>
      <c r="N14" s="126" t="n"/>
      <c r="O14" s="126" t="n"/>
      <c r="P14" s="126" t="n"/>
      <c r="Q14" s="126" t="n"/>
      <c r="R14" s="126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</row>
    <row r="15" ht="21" customFormat="1" customHeight="1" s="127">
      <c r="A15" s="250">
        <f>Weeks!$A$14</f>
        <v/>
      </c>
      <c r="B15" s="51">
        <f>IF($A15&gt;TODAY(),"",IFERROR(INDEX(Weeks!$L$7:$W$59,MATCH($A15,Weeks!$A$7:$A$59,0),MATCH($D$5,Weeks!$L$5:$W$5,0)),0))</f>
        <v/>
      </c>
      <c r="C15" s="252">
        <f>IF($A15&gt;TODAY(),"",IFERROR(INDEX(Weeks!$X$7:$AI$59,MATCH($A15,Weeks!$A$7:$A$59,0),MATCH($D$5,Weeks!$X$5:$AI$5,0)),0))</f>
        <v/>
      </c>
      <c r="D15" s="252">
        <f>IF($A15&gt;TODAY(),"",SUMIFS('Cash Ledger'!$E$7:$E$1006,'Cash Ledger'!$I$7:$I$1006,$D$5,'Cash Ledger'!$D$7:$D$1006,"Advance",'Cash Ledger'!$B$7:$B$1006,"&gt;="&amp;$A15,'Cash Ledger'!$B$7:$B$1006,"&lt;="&amp;($A15+6)))</f>
        <v/>
      </c>
      <c r="E15" s="266">
        <f>IF($A15&gt;TODAY(),"",SUMIFS('Cash Ledger'!$E$7:$E$1006,'Cash Ledger'!$I$7:$I$1006,$D$5,'Cash Ledger'!$D$7:$D$1006,"Correction",'Cash Ledger'!$B$7:$B$1006,"&gt;="&amp;$A15,'Cash Ledger'!$B$7:$B$1006,"&lt;="&amp;($A15+6)))</f>
        <v/>
      </c>
      <c r="F15" s="252">
        <f>IF($A15&gt;TODAY(),"",SUMIFS('Cash Ledger'!$E$7:$E$1006,'Cash Ledger'!$I$7:$I$1006,$D$5,'Cash Ledger'!$D$7:$D$1006,"Weekly pay",'Cash Ledger'!$B$7:$B$1006,"&gt;="&amp;$A15,'Cash Ledger'!$B$7:$B$1006,"&lt;="&amp;($A15+6)))</f>
        <v/>
      </c>
      <c r="G15" s="299">
        <f>IF($A15&gt;TODAY(),"",SUMPRODUCT((Weeks!$A$7:$A$59&lt;=$A15)*(Weeks!$X$5:$AI$5=$D$5)*Weeks!$X$7:$AI$59)-SUMIFS('Cash Ledger'!$E$7:$E$1006,'Cash Ledger'!$I$7:$I$1006,$D$5,'Cash Ledger'!$B$7:$B$1006,"&lt;="&amp;($A15+6)))</f>
        <v/>
      </c>
      <c r="H15" s="132">
        <f>IF(OR($A15&gt;TODAY(),$G15=""),"",IF(ROUND($G15,0)&lt;0,"owes you",IF(ROUND($G15,0)&gt;0,"you owe","settled")))</f>
        <v/>
      </c>
      <c r="I15" s="125" t="n"/>
      <c r="J15" s="126" t="n"/>
      <c r="K15" s="126" t="n"/>
      <c r="L15" s="126" t="n"/>
      <c r="M15" s="126" t="n"/>
      <c r="N15" s="126" t="n"/>
      <c r="O15" s="126" t="n"/>
      <c r="P15" s="126" t="n"/>
      <c r="Q15" s="126" t="n"/>
      <c r="R15" s="126" t="n"/>
      <c r="S15" s="126" t="n"/>
      <c r="T15" s="126" t="n"/>
      <c r="U15" s="126" t="n"/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</row>
    <row r="16" ht="21" customFormat="1" customHeight="1" s="127">
      <c r="A16" s="250">
        <f>Weeks!$A$15</f>
        <v/>
      </c>
      <c r="B16" s="51">
        <f>IF($A16&gt;TODAY(),"",IFERROR(INDEX(Weeks!$L$7:$W$59,MATCH($A16,Weeks!$A$7:$A$59,0),MATCH($D$5,Weeks!$L$5:$W$5,0)),0))</f>
        <v/>
      </c>
      <c r="C16" s="252">
        <f>IF($A16&gt;TODAY(),"",IFERROR(INDEX(Weeks!$X$7:$AI$59,MATCH($A16,Weeks!$A$7:$A$59,0),MATCH($D$5,Weeks!$X$5:$AI$5,0)),0))</f>
        <v/>
      </c>
      <c r="D16" s="252">
        <f>IF($A16&gt;TODAY(),"",SUMIFS('Cash Ledger'!$E$7:$E$1006,'Cash Ledger'!$I$7:$I$1006,$D$5,'Cash Ledger'!$D$7:$D$1006,"Advance",'Cash Ledger'!$B$7:$B$1006,"&gt;="&amp;$A16,'Cash Ledger'!$B$7:$B$1006,"&lt;="&amp;($A16+6)))</f>
        <v/>
      </c>
      <c r="E16" s="266">
        <f>IF($A16&gt;TODAY(),"",SUMIFS('Cash Ledger'!$E$7:$E$1006,'Cash Ledger'!$I$7:$I$1006,$D$5,'Cash Ledger'!$D$7:$D$1006,"Correction",'Cash Ledger'!$B$7:$B$1006,"&gt;="&amp;$A16,'Cash Ledger'!$B$7:$B$1006,"&lt;="&amp;($A16+6)))</f>
        <v/>
      </c>
      <c r="F16" s="252">
        <f>IF($A16&gt;TODAY(),"",SUMIFS('Cash Ledger'!$E$7:$E$1006,'Cash Ledger'!$I$7:$I$1006,$D$5,'Cash Ledger'!$D$7:$D$1006,"Weekly pay",'Cash Ledger'!$B$7:$B$1006,"&gt;="&amp;$A16,'Cash Ledger'!$B$7:$B$1006,"&lt;="&amp;($A16+6)))</f>
        <v/>
      </c>
      <c r="G16" s="299">
        <f>IF($A16&gt;TODAY(),"",SUMPRODUCT((Weeks!$A$7:$A$59&lt;=$A16)*(Weeks!$X$5:$AI$5=$D$5)*Weeks!$X$7:$AI$59)-SUMIFS('Cash Ledger'!$E$7:$E$1006,'Cash Ledger'!$I$7:$I$1006,$D$5,'Cash Ledger'!$B$7:$B$1006,"&lt;="&amp;($A16+6)))</f>
        <v/>
      </c>
      <c r="H16" s="132">
        <f>IF(OR($A16&gt;TODAY(),$G16=""),"",IF(ROUND($G16,0)&lt;0,"owes you",IF(ROUND($G16,0)&gt;0,"you owe","settled")))</f>
        <v/>
      </c>
      <c r="I16" s="125" t="n"/>
      <c r="J16" s="126" t="n"/>
      <c r="K16" s="126" t="n"/>
      <c r="L16" s="126" t="n"/>
      <c r="M16" s="126" t="n"/>
      <c r="N16" s="126" t="n"/>
      <c r="O16" s="126" t="n"/>
      <c r="P16" s="126" t="n"/>
      <c r="Q16" s="126" t="n"/>
      <c r="R16" s="126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</row>
    <row r="17" ht="21" customFormat="1" customHeight="1" s="127">
      <c r="A17" s="250">
        <f>Weeks!$A$16</f>
        <v/>
      </c>
      <c r="B17" s="51">
        <f>IF($A17&gt;TODAY(),"",IFERROR(INDEX(Weeks!$L$7:$W$59,MATCH($A17,Weeks!$A$7:$A$59,0),MATCH($D$5,Weeks!$L$5:$W$5,0)),0))</f>
        <v/>
      </c>
      <c r="C17" s="252">
        <f>IF($A17&gt;TODAY(),"",IFERROR(INDEX(Weeks!$X$7:$AI$59,MATCH($A17,Weeks!$A$7:$A$59,0),MATCH($D$5,Weeks!$X$5:$AI$5,0)),0))</f>
        <v/>
      </c>
      <c r="D17" s="252">
        <f>IF($A17&gt;TODAY(),"",SUMIFS('Cash Ledger'!$E$7:$E$1006,'Cash Ledger'!$I$7:$I$1006,$D$5,'Cash Ledger'!$D$7:$D$1006,"Advance",'Cash Ledger'!$B$7:$B$1006,"&gt;="&amp;$A17,'Cash Ledger'!$B$7:$B$1006,"&lt;="&amp;($A17+6)))</f>
        <v/>
      </c>
      <c r="E17" s="266">
        <f>IF($A17&gt;TODAY(),"",SUMIFS('Cash Ledger'!$E$7:$E$1006,'Cash Ledger'!$I$7:$I$1006,$D$5,'Cash Ledger'!$D$7:$D$1006,"Correction",'Cash Ledger'!$B$7:$B$1006,"&gt;="&amp;$A17,'Cash Ledger'!$B$7:$B$1006,"&lt;="&amp;($A17+6)))</f>
        <v/>
      </c>
      <c r="F17" s="252">
        <f>IF($A17&gt;TODAY(),"",SUMIFS('Cash Ledger'!$E$7:$E$1006,'Cash Ledger'!$I$7:$I$1006,$D$5,'Cash Ledger'!$D$7:$D$1006,"Weekly pay",'Cash Ledger'!$B$7:$B$1006,"&gt;="&amp;$A17,'Cash Ledger'!$B$7:$B$1006,"&lt;="&amp;($A17+6)))</f>
        <v/>
      </c>
      <c r="G17" s="299">
        <f>IF($A17&gt;TODAY(),"",SUMPRODUCT((Weeks!$A$7:$A$59&lt;=$A17)*(Weeks!$X$5:$AI$5=$D$5)*Weeks!$X$7:$AI$59)-SUMIFS('Cash Ledger'!$E$7:$E$1006,'Cash Ledger'!$I$7:$I$1006,$D$5,'Cash Ledger'!$B$7:$B$1006,"&lt;="&amp;($A17+6)))</f>
        <v/>
      </c>
      <c r="H17" s="132">
        <f>IF(OR($A17&gt;TODAY(),$G17=""),"",IF(ROUND($G17,0)&lt;0,"owes you",IF(ROUND($G17,0)&gt;0,"you owe","settled")))</f>
        <v/>
      </c>
      <c r="I17" s="125" t="n"/>
      <c r="J17" s="126" t="n"/>
      <c r="K17" s="126" t="n"/>
      <c r="L17" s="126" t="n"/>
      <c r="M17" s="126" t="n"/>
      <c r="N17" s="126" t="n"/>
      <c r="O17" s="126" t="n"/>
      <c r="P17" s="126" t="n"/>
      <c r="Q17" s="126" t="n"/>
      <c r="R17" s="126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</row>
    <row r="18" ht="21" customFormat="1" customHeight="1" s="127">
      <c r="A18" s="250">
        <f>Weeks!$A$17</f>
        <v/>
      </c>
      <c r="B18" s="51">
        <f>IF($A18&gt;TODAY(),"",IFERROR(INDEX(Weeks!$L$7:$W$59,MATCH($A18,Weeks!$A$7:$A$59,0),MATCH($D$5,Weeks!$L$5:$W$5,0)),0))</f>
        <v/>
      </c>
      <c r="C18" s="252">
        <f>IF($A18&gt;TODAY(),"",IFERROR(INDEX(Weeks!$X$7:$AI$59,MATCH($A18,Weeks!$A$7:$A$59,0),MATCH($D$5,Weeks!$X$5:$AI$5,0)),0))</f>
        <v/>
      </c>
      <c r="D18" s="252">
        <f>IF($A18&gt;TODAY(),"",SUMIFS('Cash Ledger'!$E$7:$E$1006,'Cash Ledger'!$I$7:$I$1006,$D$5,'Cash Ledger'!$D$7:$D$1006,"Advance",'Cash Ledger'!$B$7:$B$1006,"&gt;="&amp;$A18,'Cash Ledger'!$B$7:$B$1006,"&lt;="&amp;($A18+6)))</f>
        <v/>
      </c>
      <c r="E18" s="266">
        <f>IF($A18&gt;TODAY(),"",SUMIFS('Cash Ledger'!$E$7:$E$1006,'Cash Ledger'!$I$7:$I$1006,$D$5,'Cash Ledger'!$D$7:$D$1006,"Correction",'Cash Ledger'!$B$7:$B$1006,"&gt;="&amp;$A18,'Cash Ledger'!$B$7:$B$1006,"&lt;="&amp;($A18+6)))</f>
        <v/>
      </c>
      <c r="F18" s="252">
        <f>IF($A18&gt;TODAY(),"",SUMIFS('Cash Ledger'!$E$7:$E$1006,'Cash Ledger'!$I$7:$I$1006,$D$5,'Cash Ledger'!$D$7:$D$1006,"Weekly pay",'Cash Ledger'!$B$7:$B$1006,"&gt;="&amp;$A18,'Cash Ledger'!$B$7:$B$1006,"&lt;="&amp;($A18+6)))</f>
        <v/>
      </c>
      <c r="G18" s="299">
        <f>IF($A18&gt;TODAY(),"",SUMPRODUCT((Weeks!$A$7:$A$59&lt;=$A18)*(Weeks!$X$5:$AI$5=$D$5)*Weeks!$X$7:$AI$59)-SUMIFS('Cash Ledger'!$E$7:$E$1006,'Cash Ledger'!$I$7:$I$1006,$D$5,'Cash Ledger'!$B$7:$B$1006,"&lt;="&amp;($A18+6)))</f>
        <v/>
      </c>
      <c r="H18" s="132">
        <f>IF(OR($A18&gt;TODAY(),$G18=""),"",IF(ROUND($G18,0)&lt;0,"owes you",IF(ROUND($G18,0)&gt;0,"you owe","settled")))</f>
        <v/>
      </c>
      <c r="I18" s="125" t="n"/>
      <c r="J18" s="126" t="n"/>
      <c r="K18" s="126" t="n"/>
      <c r="L18" s="126" t="n"/>
      <c r="M18" s="126" t="n"/>
      <c r="N18" s="126" t="n"/>
      <c r="O18" s="126" t="n"/>
      <c r="P18" s="126" t="n"/>
      <c r="Q18" s="126" t="n"/>
      <c r="R18" s="126" t="n"/>
      <c r="S18" s="126" t="n"/>
      <c r="T18" s="126" t="n"/>
      <c r="U18" s="126" t="n"/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</row>
    <row r="19" ht="21" customFormat="1" customHeight="1" s="127">
      <c r="A19" s="250">
        <f>Weeks!$A$18</f>
        <v/>
      </c>
      <c r="B19" s="51">
        <f>IF($A19&gt;TODAY(),"",IFERROR(INDEX(Weeks!$L$7:$W$59,MATCH($A19,Weeks!$A$7:$A$59,0),MATCH($D$5,Weeks!$L$5:$W$5,0)),0))</f>
        <v/>
      </c>
      <c r="C19" s="252">
        <f>IF($A19&gt;TODAY(),"",IFERROR(INDEX(Weeks!$X$7:$AI$59,MATCH($A19,Weeks!$A$7:$A$59,0),MATCH($D$5,Weeks!$X$5:$AI$5,0)),0))</f>
        <v/>
      </c>
      <c r="D19" s="252">
        <f>IF($A19&gt;TODAY(),"",SUMIFS('Cash Ledger'!$E$7:$E$1006,'Cash Ledger'!$I$7:$I$1006,$D$5,'Cash Ledger'!$D$7:$D$1006,"Advance",'Cash Ledger'!$B$7:$B$1006,"&gt;="&amp;$A19,'Cash Ledger'!$B$7:$B$1006,"&lt;="&amp;($A19+6)))</f>
        <v/>
      </c>
      <c r="E19" s="266">
        <f>IF($A19&gt;TODAY(),"",SUMIFS('Cash Ledger'!$E$7:$E$1006,'Cash Ledger'!$I$7:$I$1006,$D$5,'Cash Ledger'!$D$7:$D$1006,"Correction",'Cash Ledger'!$B$7:$B$1006,"&gt;="&amp;$A19,'Cash Ledger'!$B$7:$B$1006,"&lt;="&amp;($A19+6)))</f>
        <v/>
      </c>
      <c r="F19" s="252">
        <f>IF($A19&gt;TODAY(),"",SUMIFS('Cash Ledger'!$E$7:$E$1006,'Cash Ledger'!$I$7:$I$1006,$D$5,'Cash Ledger'!$D$7:$D$1006,"Weekly pay",'Cash Ledger'!$B$7:$B$1006,"&gt;="&amp;$A19,'Cash Ledger'!$B$7:$B$1006,"&lt;="&amp;($A19+6)))</f>
        <v/>
      </c>
      <c r="G19" s="299">
        <f>IF($A19&gt;TODAY(),"",SUMPRODUCT((Weeks!$A$7:$A$59&lt;=$A19)*(Weeks!$X$5:$AI$5=$D$5)*Weeks!$X$7:$AI$59)-SUMIFS('Cash Ledger'!$E$7:$E$1006,'Cash Ledger'!$I$7:$I$1006,$D$5,'Cash Ledger'!$B$7:$B$1006,"&lt;="&amp;($A19+6)))</f>
        <v/>
      </c>
      <c r="H19" s="132">
        <f>IF(OR($A19&gt;TODAY(),$G19=""),"",IF(ROUND($G19,0)&lt;0,"owes you",IF(ROUND($G19,0)&gt;0,"you owe","settled")))</f>
        <v/>
      </c>
      <c r="I19" s="125" t="n"/>
      <c r="J19" s="126" t="n"/>
      <c r="K19" s="126" t="n"/>
      <c r="L19" s="126" t="n"/>
      <c r="M19" s="126" t="n"/>
      <c r="N19" s="126" t="n"/>
      <c r="O19" s="126" t="n"/>
      <c r="P19" s="126" t="n"/>
      <c r="Q19" s="126" t="n"/>
      <c r="R19" s="126" t="n"/>
      <c r="S19" s="126" t="n"/>
      <c r="T19" s="126" t="n"/>
      <c r="U19" s="126" t="n"/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</row>
    <row r="20" ht="21" customFormat="1" customHeight="1" s="127">
      <c r="A20" s="250">
        <f>Weeks!$A$19</f>
        <v/>
      </c>
      <c r="B20" s="51">
        <f>IF($A20&gt;TODAY(),"",IFERROR(INDEX(Weeks!$L$7:$W$59,MATCH($A20,Weeks!$A$7:$A$59,0),MATCH($D$5,Weeks!$L$5:$W$5,0)),0))</f>
        <v/>
      </c>
      <c r="C20" s="252">
        <f>IF($A20&gt;TODAY(),"",IFERROR(INDEX(Weeks!$X$7:$AI$59,MATCH($A20,Weeks!$A$7:$A$59,0),MATCH($D$5,Weeks!$X$5:$AI$5,0)),0))</f>
        <v/>
      </c>
      <c r="D20" s="252">
        <f>IF($A20&gt;TODAY(),"",SUMIFS('Cash Ledger'!$E$7:$E$1006,'Cash Ledger'!$I$7:$I$1006,$D$5,'Cash Ledger'!$D$7:$D$1006,"Advance",'Cash Ledger'!$B$7:$B$1006,"&gt;="&amp;$A20,'Cash Ledger'!$B$7:$B$1006,"&lt;="&amp;($A20+6)))</f>
        <v/>
      </c>
      <c r="E20" s="266">
        <f>IF($A20&gt;TODAY(),"",SUMIFS('Cash Ledger'!$E$7:$E$1006,'Cash Ledger'!$I$7:$I$1006,$D$5,'Cash Ledger'!$D$7:$D$1006,"Correction",'Cash Ledger'!$B$7:$B$1006,"&gt;="&amp;$A20,'Cash Ledger'!$B$7:$B$1006,"&lt;="&amp;($A20+6)))</f>
        <v/>
      </c>
      <c r="F20" s="252">
        <f>IF($A20&gt;TODAY(),"",SUMIFS('Cash Ledger'!$E$7:$E$1006,'Cash Ledger'!$I$7:$I$1006,$D$5,'Cash Ledger'!$D$7:$D$1006,"Weekly pay",'Cash Ledger'!$B$7:$B$1006,"&gt;="&amp;$A20,'Cash Ledger'!$B$7:$B$1006,"&lt;="&amp;($A20+6)))</f>
        <v/>
      </c>
      <c r="G20" s="299">
        <f>IF($A20&gt;TODAY(),"",SUMPRODUCT((Weeks!$A$7:$A$59&lt;=$A20)*(Weeks!$X$5:$AI$5=$D$5)*Weeks!$X$7:$AI$59)-SUMIFS('Cash Ledger'!$E$7:$E$1006,'Cash Ledger'!$I$7:$I$1006,$D$5,'Cash Ledger'!$B$7:$B$1006,"&lt;="&amp;($A20+6)))</f>
        <v/>
      </c>
      <c r="H20" s="132">
        <f>IF(OR($A20&gt;TODAY(),$G20=""),"",IF(ROUND($G20,0)&lt;0,"owes you",IF(ROUND($G20,0)&gt;0,"you owe","settled")))</f>
        <v/>
      </c>
      <c r="I20" s="125" t="n"/>
      <c r="J20" s="126" t="n"/>
      <c r="K20" s="126" t="n"/>
      <c r="L20" s="126" t="n"/>
      <c r="M20" s="126" t="n"/>
      <c r="N20" s="126" t="n"/>
      <c r="O20" s="126" t="n"/>
      <c r="P20" s="126" t="n"/>
      <c r="Q20" s="126" t="n"/>
      <c r="R20" s="126" t="n"/>
      <c r="S20" s="126" t="n"/>
      <c r="T20" s="126" t="n"/>
      <c r="U20" s="126" t="n"/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</row>
    <row r="21" ht="21" customFormat="1" customHeight="1" s="127">
      <c r="A21" s="250">
        <f>Weeks!$A$20</f>
        <v/>
      </c>
      <c r="B21" s="51">
        <f>IF($A21&gt;TODAY(),"",IFERROR(INDEX(Weeks!$L$7:$W$59,MATCH($A21,Weeks!$A$7:$A$59,0),MATCH($D$5,Weeks!$L$5:$W$5,0)),0))</f>
        <v/>
      </c>
      <c r="C21" s="252">
        <f>IF($A21&gt;TODAY(),"",IFERROR(INDEX(Weeks!$X$7:$AI$59,MATCH($A21,Weeks!$A$7:$A$59,0),MATCH($D$5,Weeks!$X$5:$AI$5,0)),0))</f>
        <v/>
      </c>
      <c r="D21" s="252">
        <f>IF($A21&gt;TODAY(),"",SUMIFS('Cash Ledger'!$E$7:$E$1006,'Cash Ledger'!$I$7:$I$1006,$D$5,'Cash Ledger'!$D$7:$D$1006,"Advance",'Cash Ledger'!$B$7:$B$1006,"&gt;="&amp;$A21,'Cash Ledger'!$B$7:$B$1006,"&lt;="&amp;($A21+6)))</f>
        <v/>
      </c>
      <c r="E21" s="266">
        <f>IF($A21&gt;TODAY(),"",SUMIFS('Cash Ledger'!$E$7:$E$1006,'Cash Ledger'!$I$7:$I$1006,$D$5,'Cash Ledger'!$D$7:$D$1006,"Correction",'Cash Ledger'!$B$7:$B$1006,"&gt;="&amp;$A21,'Cash Ledger'!$B$7:$B$1006,"&lt;="&amp;($A21+6)))</f>
        <v/>
      </c>
      <c r="F21" s="252">
        <f>IF($A21&gt;TODAY(),"",SUMIFS('Cash Ledger'!$E$7:$E$1006,'Cash Ledger'!$I$7:$I$1006,$D$5,'Cash Ledger'!$D$7:$D$1006,"Weekly pay",'Cash Ledger'!$B$7:$B$1006,"&gt;="&amp;$A21,'Cash Ledger'!$B$7:$B$1006,"&lt;="&amp;($A21+6)))</f>
        <v/>
      </c>
      <c r="G21" s="299">
        <f>IF($A21&gt;TODAY(),"",SUMPRODUCT((Weeks!$A$7:$A$59&lt;=$A21)*(Weeks!$X$5:$AI$5=$D$5)*Weeks!$X$7:$AI$59)-SUMIFS('Cash Ledger'!$E$7:$E$1006,'Cash Ledger'!$I$7:$I$1006,$D$5,'Cash Ledger'!$B$7:$B$1006,"&lt;="&amp;($A21+6)))</f>
        <v/>
      </c>
      <c r="H21" s="132">
        <f>IF(OR($A21&gt;TODAY(),$G21=""),"",IF(ROUND($G21,0)&lt;0,"owes you",IF(ROUND($G21,0)&gt;0,"you owe","settled")))</f>
        <v/>
      </c>
      <c r="I21" s="125" t="n"/>
      <c r="J21" s="126" t="n"/>
      <c r="K21" s="126" t="n"/>
      <c r="L21" s="126" t="n"/>
      <c r="M21" s="126" t="n"/>
      <c r="N21" s="126" t="n"/>
      <c r="O21" s="126" t="n"/>
      <c r="P21" s="126" t="n"/>
      <c r="Q21" s="126" t="n"/>
      <c r="R21" s="126" t="n"/>
      <c r="S21" s="126" t="n"/>
      <c r="T21" s="126" t="n"/>
      <c r="U21" s="126" t="n"/>
      <c r="V21" s="126" t="n"/>
      <c r="W21" s="126" t="n"/>
      <c r="X21" s="126" t="n"/>
      <c r="Y21" s="126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  <c r="AN21" s="126" t="n"/>
    </row>
    <row r="22" ht="21" customFormat="1" customHeight="1" s="127">
      <c r="A22" s="250">
        <f>Weeks!$A$21</f>
        <v/>
      </c>
      <c r="B22" s="51">
        <f>IF($A22&gt;TODAY(),"",IFERROR(INDEX(Weeks!$L$7:$W$59,MATCH($A22,Weeks!$A$7:$A$59,0),MATCH($D$5,Weeks!$L$5:$W$5,0)),0))</f>
        <v/>
      </c>
      <c r="C22" s="252">
        <f>IF($A22&gt;TODAY(),"",IFERROR(INDEX(Weeks!$X$7:$AI$59,MATCH($A22,Weeks!$A$7:$A$59,0),MATCH($D$5,Weeks!$X$5:$AI$5,0)),0))</f>
        <v/>
      </c>
      <c r="D22" s="252">
        <f>IF($A22&gt;TODAY(),"",SUMIFS('Cash Ledger'!$E$7:$E$1006,'Cash Ledger'!$I$7:$I$1006,$D$5,'Cash Ledger'!$D$7:$D$1006,"Advance",'Cash Ledger'!$B$7:$B$1006,"&gt;="&amp;$A22,'Cash Ledger'!$B$7:$B$1006,"&lt;="&amp;($A22+6)))</f>
        <v/>
      </c>
      <c r="E22" s="266">
        <f>IF($A22&gt;TODAY(),"",SUMIFS('Cash Ledger'!$E$7:$E$1006,'Cash Ledger'!$I$7:$I$1006,$D$5,'Cash Ledger'!$D$7:$D$1006,"Correction",'Cash Ledger'!$B$7:$B$1006,"&gt;="&amp;$A22,'Cash Ledger'!$B$7:$B$1006,"&lt;="&amp;($A22+6)))</f>
        <v/>
      </c>
      <c r="F22" s="252">
        <f>IF($A22&gt;TODAY(),"",SUMIFS('Cash Ledger'!$E$7:$E$1006,'Cash Ledger'!$I$7:$I$1006,$D$5,'Cash Ledger'!$D$7:$D$1006,"Weekly pay",'Cash Ledger'!$B$7:$B$1006,"&gt;="&amp;$A22,'Cash Ledger'!$B$7:$B$1006,"&lt;="&amp;($A22+6)))</f>
        <v/>
      </c>
      <c r="G22" s="299">
        <f>IF($A22&gt;TODAY(),"",SUMPRODUCT((Weeks!$A$7:$A$59&lt;=$A22)*(Weeks!$X$5:$AI$5=$D$5)*Weeks!$X$7:$AI$59)-SUMIFS('Cash Ledger'!$E$7:$E$1006,'Cash Ledger'!$I$7:$I$1006,$D$5,'Cash Ledger'!$B$7:$B$1006,"&lt;="&amp;($A22+6)))</f>
        <v/>
      </c>
      <c r="H22" s="132">
        <f>IF(OR($A22&gt;TODAY(),$G22=""),"",IF(ROUND($G22,0)&lt;0,"owes you",IF(ROUND($G22,0)&gt;0,"you owe","settled")))</f>
        <v/>
      </c>
      <c r="I22" s="125" t="n"/>
      <c r="J22" s="126" t="n"/>
      <c r="K22" s="126" t="n"/>
      <c r="L22" s="126" t="n"/>
      <c r="M22" s="126" t="n"/>
      <c r="N22" s="126" t="n"/>
      <c r="O22" s="126" t="n"/>
      <c r="P22" s="126" t="n"/>
      <c r="Q22" s="126" t="n"/>
      <c r="R22" s="126" t="n"/>
      <c r="S22" s="126" t="n"/>
      <c r="T22" s="126" t="n"/>
      <c r="U22" s="126" t="n"/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</row>
    <row r="23" ht="21" customFormat="1" customHeight="1" s="127">
      <c r="A23" s="250">
        <f>Weeks!$A$22</f>
        <v/>
      </c>
      <c r="B23" s="51">
        <f>IF($A23&gt;TODAY(),"",IFERROR(INDEX(Weeks!$L$7:$W$59,MATCH($A23,Weeks!$A$7:$A$59,0),MATCH($D$5,Weeks!$L$5:$W$5,0)),0))</f>
        <v/>
      </c>
      <c r="C23" s="252">
        <f>IF($A23&gt;TODAY(),"",IFERROR(INDEX(Weeks!$X$7:$AI$59,MATCH($A23,Weeks!$A$7:$A$59,0),MATCH($D$5,Weeks!$X$5:$AI$5,0)),0))</f>
        <v/>
      </c>
      <c r="D23" s="252">
        <f>IF($A23&gt;TODAY(),"",SUMIFS('Cash Ledger'!$E$7:$E$1006,'Cash Ledger'!$I$7:$I$1006,$D$5,'Cash Ledger'!$D$7:$D$1006,"Advance",'Cash Ledger'!$B$7:$B$1006,"&gt;="&amp;$A23,'Cash Ledger'!$B$7:$B$1006,"&lt;="&amp;($A23+6)))</f>
        <v/>
      </c>
      <c r="E23" s="266">
        <f>IF($A23&gt;TODAY(),"",SUMIFS('Cash Ledger'!$E$7:$E$1006,'Cash Ledger'!$I$7:$I$1006,$D$5,'Cash Ledger'!$D$7:$D$1006,"Correction",'Cash Ledger'!$B$7:$B$1006,"&gt;="&amp;$A23,'Cash Ledger'!$B$7:$B$1006,"&lt;="&amp;($A23+6)))</f>
        <v/>
      </c>
      <c r="F23" s="252">
        <f>IF($A23&gt;TODAY(),"",SUMIFS('Cash Ledger'!$E$7:$E$1006,'Cash Ledger'!$I$7:$I$1006,$D$5,'Cash Ledger'!$D$7:$D$1006,"Weekly pay",'Cash Ledger'!$B$7:$B$1006,"&gt;="&amp;$A23,'Cash Ledger'!$B$7:$B$1006,"&lt;="&amp;($A23+6)))</f>
        <v/>
      </c>
      <c r="G23" s="299">
        <f>IF($A23&gt;TODAY(),"",SUMPRODUCT((Weeks!$A$7:$A$59&lt;=$A23)*(Weeks!$X$5:$AI$5=$D$5)*Weeks!$X$7:$AI$59)-SUMIFS('Cash Ledger'!$E$7:$E$1006,'Cash Ledger'!$I$7:$I$1006,$D$5,'Cash Ledger'!$B$7:$B$1006,"&lt;="&amp;($A23+6)))</f>
        <v/>
      </c>
      <c r="H23" s="132">
        <f>IF(OR($A23&gt;TODAY(),$G23=""),"",IF(ROUND($G23,0)&lt;0,"owes you",IF(ROUND($G23,0)&gt;0,"you owe","settled")))</f>
        <v/>
      </c>
      <c r="I23" s="125" t="n"/>
      <c r="J23" s="126" t="n"/>
      <c r="K23" s="126" t="n"/>
      <c r="L23" s="126" t="n"/>
      <c r="M23" s="126" t="n"/>
      <c r="N23" s="126" t="n"/>
      <c r="O23" s="126" t="n"/>
      <c r="P23" s="126" t="n"/>
      <c r="Q23" s="126" t="n"/>
      <c r="R23" s="126" t="n"/>
      <c r="S23" s="126" t="n"/>
      <c r="T23" s="126" t="n"/>
      <c r="U23" s="126" t="n"/>
      <c r="V23" s="126" t="n"/>
      <c r="W23" s="126" t="n"/>
      <c r="X23" s="126" t="n"/>
      <c r="Y23" s="126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  <c r="AN23" s="126" t="n"/>
    </row>
    <row r="24" ht="21" customFormat="1" customHeight="1" s="127">
      <c r="A24" s="250">
        <f>Weeks!$A$23</f>
        <v/>
      </c>
      <c r="B24" s="51">
        <f>IF($A24&gt;TODAY(),"",IFERROR(INDEX(Weeks!$L$7:$W$59,MATCH($A24,Weeks!$A$7:$A$59,0),MATCH($D$5,Weeks!$L$5:$W$5,0)),0))</f>
        <v/>
      </c>
      <c r="C24" s="252">
        <f>IF($A24&gt;TODAY(),"",IFERROR(INDEX(Weeks!$X$7:$AI$59,MATCH($A24,Weeks!$A$7:$A$59,0),MATCH($D$5,Weeks!$X$5:$AI$5,0)),0))</f>
        <v/>
      </c>
      <c r="D24" s="252">
        <f>IF($A24&gt;TODAY(),"",SUMIFS('Cash Ledger'!$E$7:$E$1006,'Cash Ledger'!$I$7:$I$1006,$D$5,'Cash Ledger'!$D$7:$D$1006,"Advance",'Cash Ledger'!$B$7:$B$1006,"&gt;="&amp;$A24,'Cash Ledger'!$B$7:$B$1006,"&lt;="&amp;($A24+6)))</f>
        <v/>
      </c>
      <c r="E24" s="266">
        <f>IF($A24&gt;TODAY(),"",SUMIFS('Cash Ledger'!$E$7:$E$1006,'Cash Ledger'!$I$7:$I$1006,$D$5,'Cash Ledger'!$D$7:$D$1006,"Correction",'Cash Ledger'!$B$7:$B$1006,"&gt;="&amp;$A24,'Cash Ledger'!$B$7:$B$1006,"&lt;="&amp;($A24+6)))</f>
        <v/>
      </c>
      <c r="F24" s="252">
        <f>IF($A24&gt;TODAY(),"",SUMIFS('Cash Ledger'!$E$7:$E$1006,'Cash Ledger'!$I$7:$I$1006,$D$5,'Cash Ledger'!$D$7:$D$1006,"Weekly pay",'Cash Ledger'!$B$7:$B$1006,"&gt;="&amp;$A24,'Cash Ledger'!$B$7:$B$1006,"&lt;="&amp;($A24+6)))</f>
        <v/>
      </c>
      <c r="G24" s="299">
        <f>IF($A24&gt;TODAY(),"",SUMPRODUCT((Weeks!$A$7:$A$59&lt;=$A24)*(Weeks!$X$5:$AI$5=$D$5)*Weeks!$X$7:$AI$59)-SUMIFS('Cash Ledger'!$E$7:$E$1006,'Cash Ledger'!$I$7:$I$1006,$D$5,'Cash Ledger'!$B$7:$B$1006,"&lt;="&amp;($A24+6)))</f>
        <v/>
      </c>
      <c r="H24" s="132">
        <f>IF(OR($A24&gt;TODAY(),$G24=""),"",IF(ROUND($G24,0)&lt;0,"owes you",IF(ROUND($G24,0)&gt;0,"you owe","settled")))</f>
        <v/>
      </c>
      <c r="I24" s="125" t="n"/>
      <c r="J24" s="126" t="n"/>
      <c r="K24" s="126" t="n"/>
      <c r="L24" s="126" t="n"/>
      <c r="M24" s="126" t="n"/>
      <c r="N24" s="126" t="n"/>
      <c r="O24" s="126" t="n"/>
      <c r="P24" s="126" t="n"/>
      <c r="Q24" s="126" t="n"/>
      <c r="R24" s="126" t="n"/>
      <c r="S24" s="126" t="n"/>
      <c r="T24" s="126" t="n"/>
      <c r="U24" s="126" t="n"/>
      <c r="V24" s="126" t="n"/>
      <c r="W24" s="126" t="n"/>
      <c r="X24" s="126" t="n"/>
      <c r="Y24" s="126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  <c r="AN24" s="126" t="n"/>
    </row>
    <row r="25" ht="21" customFormat="1" customHeight="1" s="127">
      <c r="A25" s="250">
        <f>Weeks!$A$24</f>
        <v/>
      </c>
      <c r="B25" s="51">
        <f>IF($A25&gt;TODAY(),"",IFERROR(INDEX(Weeks!$L$7:$W$59,MATCH($A25,Weeks!$A$7:$A$59,0),MATCH($D$5,Weeks!$L$5:$W$5,0)),0))</f>
        <v/>
      </c>
      <c r="C25" s="252">
        <f>IF($A25&gt;TODAY(),"",IFERROR(INDEX(Weeks!$X$7:$AI$59,MATCH($A25,Weeks!$A$7:$A$59,0),MATCH($D$5,Weeks!$X$5:$AI$5,0)),0))</f>
        <v/>
      </c>
      <c r="D25" s="252">
        <f>IF($A25&gt;TODAY(),"",SUMIFS('Cash Ledger'!$E$7:$E$1006,'Cash Ledger'!$I$7:$I$1006,$D$5,'Cash Ledger'!$D$7:$D$1006,"Advance",'Cash Ledger'!$B$7:$B$1006,"&gt;="&amp;$A25,'Cash Ledger'!$B$7:$B$1006,"&lt;="&amp;($A25+6)))</f>
        <v/>
      </c>
      <c r="E25" s="266">
        <f>IF($A25&gt;TODAY(),"",SUMIFS('Cash Ledger'!$E$7:$E$1006,'Cash Ledger'!$I$7:$I$1006,$D$5,'Cash Ledger'!$D$7:$D$1006,"Correction",'Cash Ledger'!$B$7:$B$1006,"&gt;="&amp;$A25,'Cash Ledger'!$B$7:$B$1006,"&lt;="&amp;($A25+6)))</f>
        <v/>
      </c>
      <c r="F25" s="252">
        <f>IF($A25&gt;TODAY(),"",SUMIFS('Cash Ledger'!$E$7:$E$1006,'Cash Ledger'!$I$7:$I$1006,$D$5,'Cash Ledger'!$D$7:$D$1006,"Weekly pay",'Cash Ledger'!$B$7:$B$1006,"&gt;="&amp;$A25,'Cash Ledger'!$B$7:$B$1006,"&lt;="&amp;($A25+6)))</f>
        <v/>
      </c>
      <c r="G25" s="299">
        <f>IF($A25&gt;TODAY(),"",SUMPRODUCT((Weeks!$A$7:$A$59&lt;=$A25)*(Weeks!$X$5:$AI$5=$D$5)*Weeks!$X$7:$AI$59)-SUMIFS('Cash Ledger'!$E$7:$E$1006,'Cash Ledger'!$I$7:$I$1006,$D$5,'Cash Ledger'!$B$7:$B$1006,"&lt;="&amp;($A25+6)))</f>
        <v/>
      </c>
      <c r="H25" s="132">
        <f>IF(OR($A25&gt;TODAY(),$G25=""),"",IF(ROUND($G25,0)&lt;0,"owes you",IF(ROUND($G25,0)&gt;0,"you owe","settled")))</f>
        <v/>
      </c>
      <c r="I25" s="125" t="n"/>
      <c r="J25" s="126" t="n"/>
      <c r="K25" s="126" t="n"/>
      <c r="L25" s="126" t="n"/>
      <c r="M25" s="126" t="n"/>
      <c r="N25" s="126" t="n"/>
      <c r="O25" s="126" t="n"/>
      <c r="P25" s="126" t="n"/>
      <c r="Q25" s="126" t="n"/>
      <c r="R25" s="126" t="n"/>
      <c r="S25" s="126" t="n"/>
      <c r="T25" s="126" t="n"/>
      <c r="U25" s="126" t="n"/>
      <c r="V25" s="126" t="n"/>
      <c r="W25" s="126" t="n"/>
      <c r="X25" s="126" t="n"/>
      <c r="Y25" s="126" t="n"/>
      <c r="Z25" s="126" t="n"/>
      <c r="AA25" s="126" t="n"/>
      <c r="AB25" s="126" t="n"/>
      <c r="AC25" s="126" t="n"/>
      <c r="AD25" s="126" t="n"/>
      <c r="AE25" s="126" t="n"/>
      <c r="AF25" s="126" t="n"/>
      <c r="AG25" s="126" t="n"/>
      <c r="AH25" s="126" t="n"/>
      <c r="AI25" s="126" t="n"/>
      <c r="AJ25" s="126" t="n"/>
      <c r="AK25" s="126" t="n"/>
      <c r="AL25" s="126" t="n"/>
      <c r="AM25" s="126" t="n"/>
      <c r="AN25" s="126" t="n"/>
    </row>
    <row r="26" ht="21" customFormat="1" customHeight="1" s="127">
      <c r="A26" s="250">
        <f>Weeks!$A$25</f>
        <v/>
      </c>
      <c r="B26" s="51">
        <f>IF($A26&gt;TODAY(),"",IFERROR(INDEX(Weeks!$L$7:$W$59,MATCH($A26,Weeks!$A$7:$A$59,0),MATCH($D$5,Weeks!$L$5:$W$5,0)),0))</f>
        <v/>
      </c>
      <c r="C26" s="252">
        <f>IF($A26&gt;TODAY(),"",IFERROR(INDEX(Weeks!$X$7:$AI$59,MATCH($A26,Weeks!$A$7:$A$59,0),MATCH($D$5,Weeks!$X$5:$AI$5,0)),0))</f>
        <v/>
      </c>
      <c r="D26" s="252">
        <f>IF($A26&gt;TODAY(),"",SUMIFS('Cash Ledger'!$E$7:$E$1006,'Cash Ledger'!$I$7:$I$1006,$D$5,'Cash Ledger'!$D$7:$D$1006,"Advance",'Cash Ledger'!$B$7:$B$1006,"&gt;="&amp;$A26,'Cash Ledger'!$B$7:$B$1006,"&lt;="&amp;($A26+6)))</f>
        <v/>
      </c>
      <c r="E26" s="266">
        <f>IF($A26&gt;TODAY(),"",SUMIFS('Cash Ledger'!$E$7:$E$1006,'Cash Ledger'!$I$7:$I$1006,$D$5,'Cash Ledger'!$D$7:$D$1006,"Correction",'Cash Ledger'!$B$7:$B$1006,"&gt;="&amp;$A26,'Cash Ledger'!$B$7:$B$1006,"&lt;="&amp;($A26+6)))</f>
        <v/>
      </c>
      <c r="F26" s="252">
        <f>IF($A26&gt;TODAY(),"",SUMIFS('Cash Ledger'!$E$7:$E$1006,'Cash Ledger'!$I$7:$I$1006,$D$5,'Cash Ledger'!$D$7:$D$1006,"Weekly pay",'Cash Ledger'!$B$7:$B$1006,"&gt;="&amp;$A26,'Cash Ledger'!$B$7:$B$1006,"&lt;="&amp;($A26+6)))</f>
        <v/>
      </c>
      <c r="G26" s="299">
        <f>IF($A26&gt;TODAY(),"",SUMPRODUCT((Weeks!$A$7:$A$59&lt;=$A26)*(Weeks!$X$5:$AI$5=$D$5)*Weeks!$X$7:$AI$59)-SUMIFS('Cash Ledger'!$E$7:$E$1006,'Cash Ledger'!$I$7:$I$1006,$D$5,'Cash Ledger'!$B$7:$B$1006,"&lt;="&amp;($A26+6)))</f>
        <v/>
      </c>
      <c r="H26" s="132">
        <f>IF(OR($A26&gt;TODAY(),$G26=""),"",IF(ROUND($G26,0)&lt;0,"owes you",IF(ROUND($G26,0)&gt;0,"you owe","settled")))</f>
        <v/>
      </c>
      <c r="I26" s="125" t="n"/>
      <c r="J26" s="126" t="n"/>
      <c r="K26" s="126" t="n"/>
      <c r="L26" s="126" t="n"/>
      <c r="M26" s="126" t="n"/>
      <c r="N26" s="126" t="n"/>
      <c r="O26" s="126" t="n"/>
      <c r="P26" s="126" t="n"/>
      <c r="Q26" s="126" t="n"/>
      <c r="R26" s="126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</row>
    <row r="27" ht="21" customFormat="1" customHeight="1" s="127">
      <c r="A27" s="250">
        <f>Weeks!$A$26</f>
        <v/>
      </c>
      <c r="B27" s="51">
        <f>IF($A27&gt;TODAY(),"",IFERROR(INDEX(Weeks!$L$7:$W$59,MATCH($A27,Weeks!$A$7:$A$59,0),MATCH($D$5,Weeks!$L$5:$W$5,0)),0))</f>
        <v/>
      </c>
      <c r="C27" s="252">
        <f>IF($A27&gt;TODAY(),"",IFERROR(INDEX(Weeks!$X$7:$AI$59,MATCH($A27,Weeks!$A$7:$A$59,0),MATCH($D$5,Weeks!$X$5:$AI$5,0)),0))</f>
        <v/>
      </c>
      <c r="D27" s="252">
        <f>IF($A27&gt;TODAY(),"",SUMIFS('Cash Ledger'!$E$7:$E$1006,'Cash Ledger'!$I$7:$I$1006,$D$5,'Cash Ledger'!$D$7:$D$1006,"Advance",'Cash Ledger'!$B$7:$B$1006,"&gt;="&amp;$A27,'Cash Ledger'!$B$7:$B$1006,"&lt;="&amp;($A27+6)))</f>
        <v/>
      </c>
      <c r="E27" s="266">
        <f>IF($A27&gt;TODAY(),"",SUMIFS('Cash Ledger'!$E$7:$E$1006,'Cash Ledger'!$I$7:$I$1006,$D$5,'Cash Ledger'!$D$7:$D$1006,"Correction",'Cash Ledger'!$B$7:$B$1006,"&gt;="&amp;$A27,'Cash Ledger'!$B$7:$B$1006,"&lt;="&amp;($A27+6)))</f>
        <v/>
      </c>
      <c r="F27" s="252">
        <f>IF($A27&gt;TODAY(),"",SUMIFS('Cash Ledger'!$E$7:$E$1006,'Cash Ledger'!$I$7:$I$1006,$D$5,'Cash Ledger'!$D$7:$D$1006,"Weekly pay",'Cash Ledger'!$B$7:$B$1006,"&gt;="&amp;$A27,'Cash Ledger'!$B$7:$B$1006,"&lt;="&amp;($A27+6)))</f>
        <v/>
      </c>
      <c r="G27" s="299">
        <f>IF($A27&gt;TODAY(),"",SUMPRODUCT((Weeks!$A$7:$A$59&lt;=$A27)*(Weeks!$X$5:$AI$5=$D$5)*Weeks!$X$7:$AI$59)-SUMIFS('Cash Ledger'!$E$7:$E$1006,'Cash Ledger'!$I$7:$I$1006,$D$5,'Cash Ledger'!$B$7:$B$1006,"&lt;="&amp;($A27+6)))</f>
        <v/>
      </c>
      <c r="H27" s="132">
        <f>IF(OR($A27&gt;TODAY(),$G27=""),"",IF(ROUND($G27,0)&lt;0,"owes you",IF(ROUND($G27,0)&gt;0,"you owe","settled")))</f>
        <v/>
      </c>
      <c r="I27" s="125" t="n"/>
      <c r="J27" s="126" t="n"/>
      <c r="K27" s="126" t="n"/>
      <c r="L27" s="126" t="n"/>
      <c r="M27" s="126" t="n"/>
      <c r="N27" s="126" t="n"/>
      <c r="O27" s="126" t="n"/>
      <c r="P27" s="126" t="n"/>
      <c r="Q27" s="126" t="n"/>
      <c r="R27" s="126" t="n"/>
      <c r="S27" s="126" t="n"/>
      <c r="T27" s="126" t="n"/>
      <c r="U27" s="126" t="n"/>
      <c r="V27" s="126" t="n"/>
      <c r="W27" s="126" t="n"/>
      <c r="X27" s="126" t="n"/>
      <c r="Y27" s="126" t="n"/>
      <c r="Z27" s="126" t="n"/>
      <c r="AA27" s="126" t="n"/>
      <c r="AB27" s="126" t="n"/>
      <c r="AC27" s="126" t="n"/>
      <c r="AD27" s="126" t="n"/>
      <c r="AE27" s="126" t="n"/>
      <c r="AF27" s="126" t="n"/>
      <c r="AG27" s="126" t="n"/>
      <c r="AH27" s="126" t="n"/>
      <c r="AI27" s="126" t="n"/>
      <c r="AJ27" s="126" t="n"/>
      <c r="AK27" s="126" t="n"/>
      <c r="AL27" s="126" t="n"/>
      <c r="AM27" s="126" t="n"/>
      <c r="AN27" s="126" t="n"/>
    </row>
    <row r="28" ht="21" customFormat="1" customHeight="1" s="127">
      <c r="A28" s="250">
        <f>Weeks!$A$27</f>
        <v/>
      </c>
      <c r="B28" s="51">
        <f>IF($A28&gt;TODAY(),"",IFERROR(INDEX(Weeks!$L$7:$W$59,MATCH($A28,Weeks!$A$7:$A$59,0),MATCH($D$5,Weeks!$L$5:$W$5,0)),0))</f>
        <v/>
      </c>
      <c r="C28" s="252">
        <f>IF($A28&gt;TODAY(),"",IFERROR(INDEX(Weeks!$X$7:$AI$59,MATCH($A28,Weeks!$A$7:$A$59,0),MATCH($D$5,Weeks!$X$5:$AI$5,0)),0))</f>
        <v/>
      </c>
      <c r="D28" s="252">
        <f>IF($A28&gt;TODAY(),"",SUMIFS('Cash Ledger'!$E$7:$E$1006,'Cash Ledger'!$I$7:$I$1006,$D$5,'Cash Ledger'!$D$7:$D$1006,"Advance",'Cash Ledger'!$B$7:$B$1006,"&gt;="&amp;$A28,'Cash Ledger'!$B$7:$B$1006,"&lt;="&amp;($A28+6)))</f>
        <v/>
      </c>
      <c r="E28" s="266">
        <f>IF($A28&gt;TODAY(),"",SUMIFS('Cash Ledger'!$E$7:$E$1006,'Cash Ledger'!$I$7:$I$1006,$D$5,'Cash Ledger'!$D$7:$D$1006,"Correction",'Cash Ledger'!$B$7:$B$1006,"&gt;="&amp;$A28,'Cash Ledger'!$B$7:$B$1006,"&lt;="&amp;($A28+6)))</f>
        <v/>
      </c>
      <c r="F28" s="252">
        <f>IF($A28&gt;TODAY(),"",SUMIFS('Cash Ledger'!$E$7:$E$1006,'Cash Ledger'!$I$7:$I$1006,$D$5,'Cash Ledger'!$D$7:$D$1006,"Weekly pay",'Cash Ledger'!$B$7:$B$1006,"&gt;="&amp;$A28,'Cash Ledger'!$B$7:$B$1006,"&lt;="&amp;($A28+6)))</f>
        <v/>
      </c>
      <c r="G28" s="299">
        <f>IF($A28&gt;TODAY(),"",SUMPRODUCT((Weeks!$A$7:$A$59&lt;=$A28)*(Weeks!$X$5:$AI$5=$D$5)*Weeks!$X$7:$AI$59)-SUMIFS('Cash Ledger'!$E$7:$E$1006,'Cash Ledger'!$I$7:$I$1006,$D$5,'Cash Ledger'!$B$7:$B$1006,"&lt;="&amp;($A28+6)))</f>
        <v/>
      </c>
      <c r="H28" s="132">
        <f>IF(OR($A28&gt;TODAY(),$G28=""),"",IF(ROUND($G28,0)&lt;0,"owes you",IF(ROUND($G28,0)&gt;0,"you owe","settled")))</f>
        <v/>
      </c>
      <c r="I28" s="125" t="n"/>
      <c r="J28" s="126" t="n"/>
      <c r="K28" s="126" t="n"/>
      <c r="L28" s="126" t="n"/>
      <c r="M28" s="126" t="n"/>
      <c r="N28" s="126" t="n"/>
      <c r="O28" s="126" t="n"/>
      <c r="P28" s="126" t="n"/>
      <c r="Q28" s="126" t="n"/>
      <c r="R28" s="126" t="n"/>
      <c r="S28" s="126" t="n"/>
      <c r="T28" s="126" t="n"/>
      <c r="U28" s="126" t="n"/>
      <c r="V28" s="126" t="n"/>
      <c r="W28" s="126" t="n"/>
      <c r="X28" s="126" t="n"/>
      <c r="Y28" s="126" t="n"/>
      <c r="Z28" s="126" t="n"/>
      <c r="AA28" s="126" t="n"/>
      <c r="AB28" s="126" t="n"/>
      <c r="AC28" s="126" t="n"/>
      <c r="AD28" s="126" t="n"/>
      <c r="AE28" s="126" t="n"/>
      <c r="AF28" s="126" t="n"/>
      <c r="AG28" s="126" t="n"/>
      <c r="AH28" s="126" t="n"/>
      <c r="AI28" s="126" t="n"/>
      <c r="AJ28" s="126" t="n"/>
      <c r="AK28" s="126" t="n"/>
      <c r="AL28" s="126" t="n"/>
      <c r="AM28" s="126" t="n"/>
      <c r="AN28" s="126" t="n"/>
    </row>
    <row r="29" ht="21" customFormat="1" customHeight="1" s="127">
      <c r="A29" s="250">
        <f>Weeks!$A$28</f>
        <v/>
      </c>
      <c r="B29" s="51">
        <f>IF($A29&gt;TODAY(),"",IFERROR(INDEX(Weeks!$L$7:$W$59,MATCH($A29,Weeks!$A$7:$A$59,0),MATCH($D$5,Weeks!$L$5:$W$5,0)),0))</f>
        <v/>
      </c>
      <c r="C29" s="252">
        <f>IF($A29&gt;TODAY(),"",IFERROR(INDEX(Weeks!$X$7:$AI$59,MATCH($A29,Weeks!$A$7:$A$59,0),MATCH($D$5,Weeks!$X$5:$AI$5,0)),0))</f>
        <v/>
      </c>
      <c r="D29" s="252">
        <f>IF($A29&gt;TODAY(),"",SUMIFS('Cash Ledger'!$E$7:$E$1006,'Cash Ledger'!$I$7:$I$1006,$D$5,'Cash Ledger'!$D$7:$D$1006,"Advance",'Cash Ledger'!$B$7:$B$1006,"&gt;="&amp;$A29,'Cash Ledger'!$B$7:$B$1006,"&lt;="&amp;($A29+6)))</f>
        <v/>
      </c>
      <c r="E29" s="266">
        <f>IF($A29&gt;TODAY(),"",SUMIFS('Cash Ledger'!$E$7:$E$1006,'Cash Ledger'!$I$7:$I$1006,$D$5,'Cash Ledger'!$D$7:$D$1006,"Correction",'Cash Ledger'!$B$7:$B$1006,"&gt;="&amp;$A29,'Cash Ledger'!$B$7:$B$1006,"&lt;="&amp;($A29+6)))</f>
        <v/>
      </c>
      <c r="F29" s="252">
        <f>IF($A29&gt;TODAY(),"",SUMIFS('Cash Ledger'!$E$7:$E$1006,'Cash Ledger'!$I$7:$I$1006,$D$5,'Cash Ledger'!$D$7:$D$1006,"Weekly pay",'Cash Ledger'!$B$7:$B$1006,"&gt;="&amp;$A29,'Cash Ledger'!$B$7:$B$1006,"&lt;="&amp;($A29+6)))</f>
        <v/>
      </c>
      <c r="G29" s="299">
        <f>IF($A29&gt;TODAY(),"",SUMPRODUCT((Weeks!$A$7:$A$59&lt;=$A29)*(Weeks!$X$5:$AI$5=$D$5)*Weeks!$X$7:$AI$59)-SUMIFS('Cash Ledger'!$E$7:$E$1006,'Cash Ledger'!$I$7:$I$1006,$D$5,'Cash Ledger'!$B$7:$B$1006,"&lt;="&amp;($A29+6)))</f>
        <v/>
      </c>
      <c r="H29" s="132">
        <f>IF(OR($A29&gt;TODAY(),$G29=""),"",IF(ROUND($G29,0)&lt;0,"owes you",IF(ROUND($G29,0)&gt;0,"you owe","settled")))</f>
        <v/>
      </c>
      <c r="I29" s="125" t="n"/>
      <c r="J29" s="126" t="n"/>
      <c r="K29" s="126" t="n"/>
      <c r="L29" s="126" t="n"/>
      <c r="M29" s="126" t="n"/>
      <c r="N29" s="126" t="n"/>
      <c r="O29" s="126" t="n"/>
      <c r="P29" s="126" t="n"/>
      <c r="Q29" s="126" t="n"/>
      <c r="R29" s="126" t="n"/>
      <c r="S29" s="126" t="n"/>
      <c r="T29" s="126" t="n"/>
      <c r="U29" s="126" t="n"/>
      <c r="V29" s="126" t="n"/>
      <c r="W29" s="126" t="n"/>
      <c r="X29" s="126" t="n"/>
      <c r="Y29" s="126" t="n"/>
      <c r="Z29" s="126" t="n"/>
      <c r="AA29" s="126" t="n"/>
      <c r="AB29" s="126" t="n"/>
      <c r="AC29" s="126" t="n"/>
      <c r="AD29" s="126" t="n"/>
      <c r="AE29" s="126" t="n"/>
      <c r="AF29" s="126" t="n"/>
      <c r="AG29" s="126" t="n"/>
      <c r="AH29" s="126" t="n"/>
      <c r="AI29" s="126" t="n"/>
      <c r="AJ29" s="126" t="n"/>
      <c r="AK29" s="126" t="n"/>
      <c r="AL29" s="126" t="n"/>
      <c r="AM29" s="126" t="n"/>
      <c r="AN29" s="126" t="n"/>
    </row>
    <row r="30" ht="21" customFormat="1" customHeight="1" s="127">
      <c r="A30" s="250">
        <f>Weeks!$A$29</f>
        <v/>
      </c>
      <c r="B30" s="51">
        <f>IF($A30&gt;TODAY(),"",IFERROR(INDEX(Weeks!$L$7:$W$59,MATCH($A30,Weeks!$A$7:$A$59,0),MATCH($D$5,Weeks!$L$5:$W$5,0)),0))</f>
        <v/>
      </c>
      <c r="C30" s="252">
        <f>IF($A30&gt;TODAY(),"",IFERROR(INDEX(Weeks!$X$7:$AI$59,MATCH($A30,Weeks!$A$7:$A$59,0),MATCH($D$5,Weeks!$X$5:$AI$5,0)),0))</f>
        <v/>
      </c>
      <c r="D30" s="252">
        <f>IF($A30&gt;TODAY(),"",SUMIFS('Cash Ledger'!$E$7:$E$1006,'Cash Ledger'!$I$7:$I$1006,$D$5,'Cash Ledger'!$D$7:$D$1006,"Advance",'Cash Ledger'!$B$7:$B$1006,"&gt;="&amp;$A30,'Cash Ledger'!$B$7:$B$1006,"&lt;="&amp;($A30+6)))</f>
        <v/>
      </c>
      <c r="E30" s="266">
        <f>IF($A30&gt;TODAY(),"",SUMIFS('Cash Ledger'!$E$7:$E$1006,'Cash Ledger'!$I$7:$I$1006,$D$5,'Cash Ledger'!$D$7:$D$1006,"Correction",'Cash Ledger'!$B$7:$B$1006,"&gt;="&amp;$A30,'Cash Ledger'!$B$7:$B$1006,"&lt;="&amp;($A30+6)))</f>
        <v/>
      </c>
      <c r="F30" s="252">
        <f>IF($A30&gt;TODAY(),"",SUMIFS('Cash Ledger'!$E$7:$E$1006,'Cash Ledger'!$I$7:$I$1006,$D$5,'Cash Ledger'!$D$7:$D$1006,"Weekly pay",'Cash Ledger'!$B$7:$B$1006,"&gt;="&amp;$A30,'Cash Ledger'!$B$7:$B$1006,"&lt;="&amp;($A30+6)))</f>
        <v/>
      </c>
      <c r="G30" s="299">
        <f>IF($A30&gt;TODAY(),"",SUMPRODUCT((Weeks!$A$7:$A$59&lt;=$A30)*(Weeks!$X$5:$AI$5=$D$5)*Weeks!$X$7:$AI$59)-SUMIFS('Cash Ledger'!$E$7:$E$1006,'Cash Ledger'!$I$7:$I$1006,$D$5,'Cash Ledger'!$B$7:$B$1006,"&lt;="&amp;($A30+6)))</f>
        <v/>
      </c>
      <c r="H30" s="132">
        <f>IF(OR($A30&gt;TODAY(),$G30=""),"",IF(ROUND($G30,0)&lt;0,"owes you",IF(ROUND($G30,0)&gt;0,"you owe","settled")))</f>
        <v/>
      </c>
      <c r="I30" s="125" t="n"/>
      <c r="J30" s="126" t="n"/>
      <c r="K30" s="126" t="n"/>
      <c r="L30" s="126" t="n"/>
      <c r="M30" s="126" t="n"/>
      <c r="N30" s="126" t="n"/>
      <c r="O30" s="126" t="n"/>
      <c r="P30" s="126" t="n"/>
      <c r="Q30" s="126" t="n"/>
      <c r="R30" s="126" t="n"/>
      <c r="S30" s="126" t="n"/>
      <c r="T30" s="126" t="n"/>
      <c r="U30" s="126" t="n"/>
      <c r="V30" s="126" t="n"/>
      <c r="W30" s="126" t="n"/>
      <c r="X30" s="126" t="n"/>
      <c r="Y30" s="126" t="n"/>
      <c r="Z30" s="126" t="n"/>
      <c r="AA30" s="126" t="n"/>
      <c r="AB30" s="126" t="n"/>
      <c r="AC30" s="126" t="n"/>
      <c r="AD30" s="126" t="n"/>
      <c r="AE30" s="126" t="n"/>
      <c r="AF30" s="126" t="n"/>
      <c r="AG30" s="126" t="n"/>
      <c r="AH30" s="126" t="n"/>
      <c r="AI30" s="126" t="n"/>
      <c r="AJ30" s="126" t="n"/>
      <c r="AK30" s="126" t="n"/>
      <c r="AL30" s="126" t="n"/>
      <c r="AM30" s="126" t="n"/>
      <c r="AN30" s="126" t="n"/>
    </row>
    <row r="31" ht="21" customFormat="1" customHeight="1" s="127">
      <c r="A31" s="250">
        <f>Weeks!$A$30</f>
        <v/>
      </c>
      <c r="B31" s="51">
        <f>IF($A31&gt;TODAY(),"",IFERROR(INDEX(Weeks!$L$7:$W$59,MATCH($A31,Weeks!$A$7:$A$59,0),MATCH($D$5,Weeks!$L$5:$W$5,0)),0))</f>
        <v/>
      </c>
      <c r="C31" s="252">
        <f>IF($A31&gt;TODAY(),"",IFERROR(INDEX(Weeks!$X$7:$AI$59,MATCH($A31,Weeks!$A$7:$A$59,0),MATCH($D$5,Weeks!$X$5:$AI$5,0)),0))</f>
        <v/>
      </c>
      <c r="D31" s="252">
        <f>IF($A31&gt;TODAY(),"",SUMIFS('Cash Ledger'!$E$7:$E$1006,'Cash Ledger'!$I$7:$I$1006,$D$5,'Cash Ledger'!$D$7:$D$1006,"Advance",'Cash Ledger'!$B$7:$B$1006,"&gt;="&amp;$A31,'Cash Ledger'!$B$7:$B$1006,"&lt;="&amp;($A31+6)))</f>
        <v/>
      </c>
      <c r="E31" s="266">
        <f>IF($A31&gt;TODAY(),"",SUMIFS('Cash Ledger'!$E$7:$E$1006,'Cash Ledger'!$I$7:$I$1006,$D$5,'Cash Ledger'!$D$7:$D$1006,"Correction",'Cash Ledger'!$B$7:$B$1006,"&gt;="&amp;$A31,'Cash Ledger'!$B$7:$B$1006,"&lt;="&amp;($A31+6)))</f>
        <v/>
      </c>
      <c r="F31" s="252">
        <f>IF($A31&gt;TODAY(),"",SUMIFS('Cash Ledger'!$E$7:$E$1006,'Cash Ledger'!$I$7:$I$1006,$D$5,'Cash Ledger'!$D$7:$D$1006,"Weekly pay",'Cash Ledger'!$B$7:$B$1006,"&gt;="&amp;$A31,'Cash Ledger'!$B$7:$B$1006,"&lt;="&amp;($A31+6)))</f>
        <v/>
      </c>
      <c r="G31" s="299">
        <f>IF($A31&gt;TODAY(),"",SUMPRODUCT((Weeks!$A$7:$A$59&lt;=$A31)*(Weeks!$X$5:$AI$5=$D$5)*Weeks!$X$7:$AI$59)-SUMIFS('Cash Ledger'!$E$7:$E$1006,'Cash Ledger'!$I$7:$I$1006,$D$5,'Cash Ledger'!$B$7:$B$1006,"&lt;="&amp;($A31+6)))</f>
        <v/>
      </c>
      <c r="H31" s="132">
        <f>IF(OR($A31&gt;TODAY(),$G31=""),"",IF(ROUND($G31,0)&lt;0,"owes you",IF(ROUND($G31,0)&gt;0,"you owe","settled")))</f>
        <v/>
      </c>
      <c r="I31" s="125" t="n"/>
      <c r="J31" s="126" t="n"/>
      <c r="K31" s="126" t="n"/>
      <c r="L31" s="126" t="n"/>
      <c r="M31" s="126" t="n"/>
      <c r="N31" s="126" t="n"/>
      <c r="O31" s="126" t="n"/>
      <c r="P31" s="126" t="n"/>
      <c r="Q31" s="126" t="n"/>
      <c r="R31" s="126" t="n"/>
      <c r="S31" s="126" t="n"/>
      <c r="T31" s="126" t="n"/>
      <c r="U31" s="126" t="n"/>
      <c r="V31" s="126" t="n"/>
      <c r="W31" s="126" t="n"/>
      <c r="X31" s="126" t="n"/>
      <c r="Y31" s="126" t="n"/>
      <c r="Z31" s="126" t="n"/>
      <c r="AA31" s="126" t="n"/>
      <c r="AB31" s="126" t="n"/>
      <c r="AC31" s="126" t="n"/>
      <c r="AD31" s="126" t="n"/>
      <c r="AE31" s="126" t="n"/>
      <c r="AF31" s="126" t="n"/>
      <c r="AG31" s="126" t="n"/>
      <c r="AH31" s="126" t="n"/>
      <c r="AI31" s="126" t="n"/>
      <c r="AJ31" s="126" t="n"/>
      <c r="AK31" s="126" t="n"/>
      <c r="AL31" s="126" t="n"/>
      <c r="AM31" s="126" t="n"/>
      <c r="AN31" s="126" t="n"/>
    </row>
    <row r="32" ht="21" customFormat="1" customHeight="1" s="127">
      <c r="A32" s="250">
        <f>Weeks!$A$31</f>
        <v/>
      </c>
      <c r="B32" s="51">
        <f>IF($A32&gt;TODAY(),"",IFERROR(INDEX(Weeks!$L$7:$W$59,MATCH($A32,Weeks!$A$7:$A$59,0),MATCH($D$5,Weeks!$L$5:$W$5,0)),0))</f>
        <v/>
      </c>
      <c r="C32" s="252">
        <f>IF($A32&gt;TODAY(),"",IFERROR(INDEX(Weeks!$X$7:$AI$59,MATCH($A32,Weeks!$A$7:$A$59,0),MATCH($D$5,Weeks!$X$5:$AI$5,0)),0))</f>
        <v/>
      </c>
      <c r="D32" s="252">
        <f>IF($A32&gt;TODAY(),"",SUMIFS('Cash Ledger'!$E$7:$E$1006,'Cash Ledger'!$I$7:$I$1006,$D$5,'Cash Ledger'!$D$7:$D$1006,"Advance",'Cash Ledger'!$B$7:$B$1006,"&gt;="&amp;$A32,'Cash Ledger'!$B$7:$B$1006,"&lt;="&amp;($A32+6)))</f>
        <v/>
      </c>
      <c r="E32" s="266">
        <f>IF($A32&gt;TODAY(),"",SUMIFS('Cash Ledger'!$E$7:$E$1006,'Cash Ledger'!$I$7:$I$1006,$D$5,'Cash Ledger'!$D$7:$D$1006,"Correction",'Cash Ledger'!$B$7:$B$1006,"&gt;="&amp;$A32,'Cash Ledger'!$B$7:$B$1006,"&lt;="&amp;($A32+6)))</f>
        <v/>
      </c>
      <c r="F32" s="252">
        <f>IF($A32&gt;TODAY(),"",SUMIFS('Cash Ledger'!$E$7:$E$1006,'Cash Ledger'!$I$7:$I$1006,$D$5,'Cash Ledger'!$D$7:$D$1006,"Weekly pay",'Cash Ledger'!$B$7:$B$1006,"&gt;="&amp;$A32,'Cash Ledger'!$B$7:$B$1006,"&lt;="&amp;($A32+6)))</f>
        <v/>
      </c>
      <c r="G32" s="299">
        <f>IF($A32&gt;TODAY(),"",SUMPRODUCT((Weeks!$A$7:$A$59&lt;=$A32)*(Weeks!$X$5:$AI$5=$D$5)*Weeks!$X$7:$AI$59)-SUMIFS('Cash Ledger'!$E$7:$E$1006,'Cash Ledger'!$I$7:$I$1006,$D$5,'Cash Ledger'!$B$7:$B$1006,"&lt;="&amp;($A32+6)))</f>
        <v/>
      </c>
      <c r="H32" s="132">
        <f>IF(OR($A32&gt;TODAY(),$G32=""),"",IF(ROUND($G32,0)&lt;0,"owes you",IF(ROUND($G32,0)&gt;0,"you owe","settled")))</f>
        <v/>
      </c>
      <c r="I32" s="125" t="n"/>
      <c r="J32" s="126" t="n"/>
      <c r="K32" s="126" t="n"/>
      <c r="L32" s="126" t="n"/>
      <c r="M32" s="126" t="n"/>
      <c r="N32" s="126" t="n"/>
      <c r="O32" s="126" t="n"/>
      <c r="P32" s="126" t="n"/>
      <c r="Q32" s="126" t="n"/>
      <c r="R32" s="126" t="n"/>
      <c r="S32" s="126" t="n"/>
      <c r="T32" s="126" t="n"/>
      <c r="U32" s="126" t="n"/>
      <c r="V32" s="126" t="n"/>
      <c r="W32" s="126" t="n"/>
      <c r="X32" s="126" t="n"/>
      <c r="Y32" s="126" t="n"/>
      <c r="Z32" s="126" t="n"/>
      <c r="AA32" s="126" t="n"/>
      <c r="AB32" s="126" t="n"/>
      <c r="AC32" s="126" t="n"/>
      <c r="AD32" s="126" t="n"/>
      <c r="AE32" s="126" t="n"/>
      <c r="AF32" s="126" t="n"/>
      <c r="AG32" s="126" t="n"/>
      <c r="AH32" s="126" t="n"/>
      <c r="AI32" s="126" t="n"/>
      <c r="AJ32" s="126" t="n"/>
      <c r="AK32" s="126" t="n"/>
      <c r="AL32" s="126" t="n"/>
      <c r="AM32" s="126" t="n"/>
      <c r="AN32" s="126" t="n"/>
    </row>
    <row r="33" ht="21" customFormat="1" customHeight="1" s="127">
      <c r="A33" s="250">
        <f>Weeks!$A$32</f>
        <v/>
      </c>
      <c r="B33" s="51">
        <f>IF($A33&gt;TODAY(),"",IFERROR(INDEX(Weeks!$L$7:$W$59,MATCH($A33,Weeks!$A$7:$A$59,0),MATCH($D$5,Weeks!$L$5:$W$5,0)),0))</f>
        <v/>
      </c>
      <c r="C33" s="252">
        <f>IF($A33&gt;TODAY(),"",IFERROR(INDEX(Weeks!$X$7:$AI$59,MATCH($A33,Weeks!$A$7:$A$59,0),MATCH($D$5,Weeks!$X$5:$AI$5,0)),0))</f>
        <v/>
      </c>
      <c r="D33" s="252">
        <f>IF($A33&gt;TODAY(),"",SUMIFS('Cash Ledger'!$E$7:$E$1006,'Cash Ledger'!$I$7:$I$1006,$D$5,'Cash Ledger'!$D$7:$D$1006,"Advance",'Cash Ledger'!$B$7:$B$1006,"&gt;="&amp;$A33,'Cash Ledger'!$B$7:$B$1006,"&lt;="&amp;($A33+6)))</f>
        <v/>
      </c>
      <c r="E33" s="266">
        <f>IF($A33&gt;TODAY(),"",SUMIFS('Cash Ledger'!$E$7:$E$1006,'Cash Ledger'!$I$7:$I$1006,$D$5,'Cash Ledger'!$D$7:$D$1006,"Correction",'Cash Ledger'!$B$7:$B$1006,"&gt;="&amp;$A33,'Cash Ledger'!$B$7:$B$1006,"&lt;="&amp;($A33+6)))</f>
        <v/>
      </c>
      <c r="F33" s="252">
        <f>IF($A33&gt;TODAY(),"",SUMIFS('Cash Ledger'!$E$7:$E$1006,'Cash Ledger'!$I$7:$I$1006,$D$5,'Cash Ledger'!$D$7:$D$1006,"Weekly pay",'Cash Ledger'!$B$7:$B$1006,"&gt;="&amp;$A33,'Cash Ledger'!$B$7:$B$1006,"&lt;="&amp;($A33+6)))</f>
        <v/>
      </c>
      <c r="G33" s="299">
        <f>IF($A33&gt;TODAY(),"",SUMPRODUCT((Weeks!$A$7:$A$59&lt;=$A33)*(Weeks!$X$5:$AI$5=$D$5)*Weeks!$X$7:$AI$59)-SUMIFS('Cash Ledger'!$E$7:$E$1006,'Cash Ledger'!$I$7:$I$1006,$D$5,'Cash Ledger'!$B$7:$B$1006,"&lt;="&amp;($A33+6)))</f>
        <v/>
      </c>
      <c r="H33" s="132">
        <f>IF(OR($A33&gt;TODAY(),$G33=""),"",IF(ROUND($G33,0)&lt;0,"owes you",IF(ROUND($G33,0)&gt;0,"you owe","settled")))</f>
        <v/>
      </c>
      <c r="I33" s="125" t="n"/>
      <c r="J33" s="126" t="n"/>
      <c r="K33" s="126" t="n"/>
      <c r="L33" s="126" t="n"/>
      <c r="M33" s="126" t="n"/>
      <c r="N33" s="126" t="n"/>
      <c r="O33" s="126" t="n"/>
      <c r="P33" s="126" t="n"/>
      <c r="Q33" s="126" t="n"/>
      <c r="R33" s="126" t="n"/>
      <c r="S33" s="126" t="n"/>
      <c r="T33" s="126" t="n"/>
      <c r="U33" s="126" t="n"/>
      <c r="V33" s="126" t="n"/>
      <c r="W33" s="126" t="n"/>
      <c r="X33" s="126" t="n"/>
      <c r="Y33" s="126" t="n"/>
      <c r="Z33" s="126" t="n"/>
      <c r="AA33" s="126" t="n"/>
      <c r="AB33" s="126" t="n"/>
      <c r="AC33" s="126" t="n"/>
      <c r="AD33" s="126" t="n"/>
      <c r="AE33" s="126" t="n"/>
      <c r="AF33" s="126" t="n"/>
      <c r="AG33" s="126" t="n"/>
      <c r="AH33" s="126" t="n"/>
      <c r="AI33" s="126" t="n"/>
      <c r="AJ33" s="126" t="n"/>
      <c r="AK33" s="126" t="n"/>
      <c r="AL33" s="126" t="n"/>
      <c r="AM33" s="126" t="n"/>
      <c r="AN33" s="126" t="n"/>
    </row>
    <row r="34" ht="21" customFormat="1" customHeight="1" s="127">
      <c r="A34" s="250">
        <f>Weeks!$A$33</f>
        <v/>
      </c>
      <c r="B34" s="51">
        <f>IF($A34&gt;TODAY(),"",IFERROR(INDEX(Weeks!$L$7:$W$59,MATCH($A34,Weeks!$A$7:$A$59,0),MATCH($D$5,Weeks!$L$5:$W$5,0)),0))</f>
        <v/>
      </c>
      <c r="C34" s="252">
        <f>IF($A34&gt;TODAY(),"",IFERROR(INDEX(Weeks!$X$7:$AI$59,MATCH($A34,Weeks!$A$7:$A$59,0),MATCH($D$5,Weeks!$X$5:$AI$5,0)),0))</f>
        <v/>
      </c>
      <c r="D34" s="252">
        <f>IF($A34&gt;TODAY(),"",SUMIFS('Cash Ledger'!$E$7:$E$1006,'Cash Ledger'!$I$7:$I$1006,$D$5,'Cash Ledger'!$D$7:$D$1006,"Advance",'Cash Ledger'!$B$7:$B$1006,"&gt;="&amp;$A34,'Cash Ledger'!$B$7:$B$1006,"&lt;="&amp;($A34+6)))</f>
        <v/>
      </c>
      <c r="E34" s="266">
        <f>IF($A34&gt;TODAY(),"",SUMIFS('Cash Ledger'!$E$7:$E$1006,'Cash Ledger'!$I$7:$I$1006,$D$5,'Cash Ledger'!$D$7:$D$1006,"Correction",'Cash Ledger'!$B$7:$B$1006,"&gt;="&amp;$A34,'Cash Ledger'!$B$7:$B$1006,"&lt;="&amp;($A34+6)))</f>
        <v/>
      </c>
      <c r="F34" s="252">
        <f>IF($A34&gt;TODAY(),"",SUMIFS('Cash Ledger'!$E$7:$E$1006,'Cash Ledger'!$I$7:$I$1006,$D$5,'Cash Ledger'!$D$7:$D$1006,"Weekly pay",'Cash Ledger'!$B$7:$B$1006,"&gt;="&amp;$A34,'Cash Ledger'!$B$7:$B$1006,"&lt;="&amp;($A34+6)))</f>
        <v/>
      </c>
      <c r="G34" s="299">
        <f>IF($A34&gt;TODAY(),"",SUMPRODUCT((Weeks!$A$7:$A$59&lt;=$A34)*(Weeks!$X$5:$AI$5=$D$5)*Weeks!$X$7:$AI$59)-SUMIFS('Cash Ledger'!$E$7:$E$1006,'Cash Ledger'!$I$7:$I$1006,$D$5,'Cash Ledger'!$B$7:$B$1006,"&lt;="&amp;($A34+6)))</f>
        <v/>
      </c>
      <c r="H34" s="132">
        <f>IF(OR($A34&gt;TODAY(),$G34=""),"",IF(ROUND($G34,0)&lt;0,"owes you",IF(ROUND($G34,0)&gt;0,"you owe","settled")))</f>
        <v/>
      </c>
      <c r="I34" s="125" t="n"/>
      <c r="J34" s="126" t="n"/>
      <c r="K34" s="126" t="n"/>
      <c r="L34" s="126" t="n"/>
      <c r="M34" s="126" t="n"/>
      <c r="N34" s="126" t="n"/>
      <c r="O34" s="126" t="n"/>
      <c r="P34" s="126" t="n"/>
      <c r="Q34" s="126" t="n"/>
      <c r="R34" s="126" t="n"/>
      <c r="S34" s="126" t="n"/>
      <c r="T34" s="126" t="n"/>
      <c r="U34" s="126" t="n"/>
      <c r="V34" s="126" t="n"/>
      <c r="W34" s="126" t="n"/>
      <c r="X34" s="126" t="n"/>
      <c r="Y34" s="126" t="n"/>
      <c r="Z34" s="126" t="n"/>
      <c r="AA34" s="126" t="n"/>
      <c r="AB34" s="126" t="n"/>
      <c r="AC34" s="126" t="n"/>
      <c r="AD34" s="126" t="n"/>
      <c r="AE34" s="126" t="n"/>
      <c r="AF34" s="126" t="n"/>
      <c r="AG34" s="126" t="n"/>
      <c r="AH34" s="126" t="n"/>
      <c r="AI34" s="126" t="n"/>
      <c r="AJ34" s="126" t="n"/>
      <c r="AK34" s="126" t="n"/>
      <c r="AL34" s="126" t="n"/>
      <c r="AM34" s="126" t="n"/>
      <c r="AN34" s="126" t="n"/>
    </row>
    <row r="35" ht="21" customFormat="1" customHeight="1" s="127">
      <c r="A35" s="250">
        <f>Weeks!$A$34</f>
        <v/>
      </c>
      <c r="B35" s="51">
        <f>IF($A35&gt;TODAY(),"",IFERROR(INDEX(Weeks!$L$7:$W$59,MATCH($A35,Weeks!$A$7:$A$59,0),MATCH($D$5,Weeks!$L$5:$W$5,0)),0))</f>
        <v/>
      </c>
      <c r="C35" s="252">
        <f>IF($A35&gt;TODAY(),"",IFERROR(INDEX(Weeks!$X$7:$AI$59,MATCH($A35,Weeks!$A$7:$A$59,0),MATCH($D$5,Weeks!$X$5:$AI$5,0)),0))</f>
        <v/>
      </c>
      <c r="D35" s="252">
        <f>IF($A35&gt;TODAY(),"",SUMIFS('Cash Ledger'!$E$7:$E$1006,'Cash Ledger'!$I$7:$I$1006,$D$5,'Cash Ledger'!$D$7:$D$1006,"Advance",'Cash Ledger'!$B$7:$B$1006,"&gt;="&amp;$A35,'Cash Ledger'!$B$7:$B$1006,"&lt;="&amp;($A35+6)))</f>
        <v/>
      </c>
      <c r="E35" s="266">
        <f>IF($A35&gt;TODAY(),"",SUMIFS('Cash Ledger'!$E$7:$E$1006,'Cash Ledger'!$I$7:$I$1006,$D$5,'Cash Ledger'!$D$7:$D$1006,"Correction",'Cash Ledger'!$B$7:$B$1006,"&gt;="&amp;$A35,'Cash Ledger'!$B$7:$B$1006,"&lt;="&amp;($A35+6)))</f>
        <v/>
      </c>
      <c r="F35" s="252">
        <f>IF($A35&gt;TODAY(),"",SUMIFS('Cash Ledger'!$E$7:$E$1006,'Cash Ledger'!$I$7:$I$1006,$D$5,'Cash Ledger'!$D$7:$D$1006,"Weekly pay",'Cash Ledger'!$B$7:$B$1006,"&gt;="&amp;$A35,'Cash Ledger'!$B$7:$B$1006,"&lt;="&amp;($A35+6)))</f>
        <v/>
      </c>
      <c r="G35" s="299">
        <f>IF($A35&gt;TODAY(),"",SUMPRODUCT((Weeks!$A$7:$A$59&lt;=$A35)*(Weeks!$X$5:$AI$5=$D$5)*Weeks!$X$7:$AI$59)-SUMIFS('Cash Ledger'!$E$7:$E$1006,'Cash Ledger'!$I$7:$I$1006,$D$5,'Cash Ledger'!$B$7:$B$1006,"&lt;="&amp;($A35+6)))</f>
        <v/>
      </c>
      <c r="H35" s="132">
        <f>IF(OR($A35&gt;TODAY(),$G35=""),"",IF(ROUND($G35,0)&lt;0,"owes you",IF(ROUND($G35,0)&gt;0,"you owe","settled")))</f>
        <v/>
      </c>
      <c r="I35" s="125" t="n"/>
      <c r="J35" s="126" t="n"/>
      <c r="K35" s="126" t="n"/>
      <c r="L35" s="126" t="n"/>
      <c r="M35" s="126" t="n"/>
      <c r="N35" s="126" t="n"/>
      <c r="O35" s="126" t="n"/>
      <c r="P35" s="126" t="n"/>
      <c r="Q35" s="126" t="n"/>
      <c r="R35" s="126" t="n"/>
      <c r="S35" s="126" t="n"/>
      <c r="T35" s="126" t="n"/>
      <c r="U35" s="126" t="n"/>
      <c r="V35" s="126" t="n"/>
      <c r="W35" s="126" t="n"/>
      <c r="X35" s="126" t="n"/>
      <c r="Y35" s="126" t="n"/>
      <c r="Z35" s="126" t="n"/>
      <c r="AA35" s="126" t="n"/>
      <c r="AB35" s="126" t="n"/>
      <c r="AC35" s="126" t="n"/>
      <c r="AD35" s="126" t="n"/>
      <c r="AE35" s="126" t="n"/>
      <c r="AF35" s="126" t="n"/>
      <c r="AG35" s="126" t="n"/>
      <c r="AH35" s="126" t="n"/>
      <c r="AI35" s="126" t="n"/>
      <c r="AJ35" s="126" t="n"/>
      <c r="AK35" s="126" t="n"/>
      <c r="AL35" s="126" t="n"/>
      <c r="AM35" s="126" t="n"/>
      <c r="AN35" s="126" t="n"/>
    </row>
    <row r="36" ht="21" customFormat="1" customHeight="1" s="127">
      <c r="A36" s="250">
        <f>Weeks!$A$35</f>
        <v/>
      </c>
      <c r="B36" s="51">
        <f>IF($A36&gt;TODAY(),"",IFERROR(INDEX(Weeks!$L$7:$W$59,MATCH($A36,Weeks!$A$7:$A$59,0),MATCH($D$5,Weeks!$L$5:$W$5,0)),0))</f>
        <v/>
      </c>
      <c r="C36" s="252">
        <f>IF($A36&gt;TODAY(),"",IFERROR(INDEX(Weeks!$X$7:$AI$59,MATCH($A36,Weeks!$A$7:$A$59,0),MATCH($D$5,Weeks!$X$5:$AI$5,0)),0))</f>
        <v/>
      </c>
      <c r="D36" s="252">
        <f>IF($A36&gt;TODAY(),"",SUMIFS('Cash Ledger'!$E$7:$E$1006,'Cash Ledger'!$I$7:$I$1006,$D$5,'Cash Ledger'!$D$7:$D$1006,"Advance",'Cash Ledger'!$B$7:$B$1006,"&gt;="&amp;$A36,'Cash Ledger'!$B$7:$B$1006,"&lt;="&amp;($A36+6)))</f>
        <v/>
      </c>
      <c r="E36" s="266">
        <f>IF($A36&gt;TODAY(),"",SUMIFS('Cash Ledger'!$E$7:$E$1006,'Cash Ledger'!$I$7:$I$1006,$D$5,'Cash Ledger'!$D$7:$D$1006,"Correction",'Cash Ledger'!$B$7:$B$1006,"&gt;="&amp;$A36,'Cash Ledger'!$B$7:$B$1006,"&lt;="&amp;($A36+6)))</f>
        <v/>
      </c>
      <c r="F36" s="252">
        <f>IF($A36&gt;TODAY(),"",SUMIFS('Cash Ledger'!$E$7:$E$1006,'Cash Ledger'!$I$7:$I$1006,$D$5,'Cash Ledger'!$D$7:$D$1006,"Weekly pay",'Cash Ledger'!$B$7:$B$1006,"&gt;="&amp;$A36,'Cash Ledger'!$B$7:$B$1006,"&lt;="&amp;($A36+6)))</f>
        <v/>
      </c>
      <c r="G36" s="299">
        <f>IF($A36&gt;TODAY(),"",SUMPRODUCT((Weeks!$A$7:$A$59&lt;=$A36)*(Weeks!$X$5:$AI$5=$D$5)*Weeks!$X$7:$AI$59)-SUMIFS('Cash Ledger'!$E$7:$E$1006,'Cash Ledger'!$I$7:$I$1006,$D$5,'Cash Ledger'!$B$7:$B$1006,"&lt;="&amp;($A36+6)))</f>
        <v/>
      </c>
      <c r="H36" s="132">
        <f>IF(OR($A36&gt;TODAY(),$G36=""),"",IF(ROUND($G36,0)&lt;0,"owes you",IF(ROUND($G36,0)&gt;0,"you owe","settled")))</f>
        <v/>
      </c>
      <c r="I36" s="125" t="n"/>
      <c r="J36" s="126" t="n"/>
      <c r="K36" s="126" t="n"/>
      <c r="L36" s="126" t="n"/>
      <c r="M36" s="126" t="n"/>
      <c r="N36" s="126" t="n"/>
      <c r="O36" s="126" t="n"/>
      <c r="P36" s="126" t="n"/>
      <c r="Q36" s="126" t="n"/>
      <c r="R36" s="126" t="n"/>
      <c r="S36" s="126" t="n"/>
      <c r="T36" s="126" t="n"/>
      <c r="U36" s="126" t="n"/>
      <c r="V36" s="126" t="n"/>
      <c r="W36" s="126" t="n"/>
      <c r="X36" s="126" t="n"/>
      <c r="Y36" s="126" t="n"/>
      <c r="Z36" s="126" t="n"/>
      <c r="AA36" s="126" t="n"/>
      <c r="AB36" s="126" t="n"/>
      <c r="AC36" s="126" t="n"/>
      <c r="AD36" s="126" t="n"/>
      <c r="AE36" s="126" t="n"/>
      <c r="AF36" s="126" t="n"/>
      <c r="AG36" s="126" t="n"/>
      <c r="AH36" s="126" t="n"/>
      <c r="AI36" s="126" t="n"/>
      <c r="AJ36" s="126" t="n"/>
      <c r="AK36" s="126" t="n"/>
      <c r="AL36" s="126" t="n"/>
      <c r="AM36" s="126" t="n"/>
      <c r="AN36" s="126" t="n"/>
    </row>
    <row r="37" ht="21" customFormat="1" customHeight="1" s="127">
      <c r="A37" s="250">
        <f>Weeks!$A$36</f>
        <v/>
      </c>
      <c r="B37" s="51">
        <f>IF($A37&gt;TODAY(),"",IFERROR(INDEX(Weeks!$L$7:$W$59,MATCH($A37,Weeks!$A$7:$A$59,0),MATCH($D$5,Weeks!$L$5:$W$5,0)),0))</f>
        <v/>
      </c>
      <c r="C37" s="252">
        <f>IF($A37&gt;TODAY(),"",IFERROR(INDEX(Weeks!$X$7:$AI$59,MATCH($A37,Weeks!$A$7:$A$59,0),MATCH($D$5,Weeks!$X$5:$AI$5,0)),0))</f>
        <v/>
      </c>
      <c r="D37" s="252">
        <f>IF($A37&gt;TODAY(),"",SUMIFS('Cash Ledger'!$E$7:$E$1006,'Cash Ledger'!$I$7:$I$1006,$D$5,'Cash Ledger'!$D$7:$D$1006,"Advance",'Cash Ledger'!$B$7:$B$1006,"&gt;="&amp;$A37,'Cash Ledger'!$B$7:$B$1006,"&lt;="&amp;($A37+6)))</f>
        <v/>
      </c>
      <c r="E37" s="266">
        <f>IF($A37&gt;TODAY(),"",SUMIFS('Cash Ledger'!$E$7:$E$1006,'Cash Ledger'!$I$7:$I$1006,$D$5,'Cash Ledger'!$D$7:$D$1006,"Correction",'Cash Ledger'!$B$7:$B$1006,"&gt;="&amp;$A37,'Cash Ledger'!$B$7:$B$1006,"&lt;="&amp;($A37+6)))</f>
        <v/>
      </c>
      <c r="F37" s="252">
        <f>IF($A37&gt;TODAY(),"",SUMIFS('Cash Ledger'!$E$7:$E$1006,'Cash Ledger'!$I$7:$I$1006,$D$5,'Cash Ledger'!$D$7:$D$1006,"Weekly pay",'Cash Ledger'!$B$7:$B$1006,"&gt;="&amp;$A37,'Cash Ledger'!$B$7:$B$1006,"&lt;="&amp;($A37+6)))</f>
        <v/>
      </c>
      <c r="G37" s="299">
        <f>IF($A37&gt;TODAY(),"",SUMPRODUCT((Weeks!$A$7:$A$59&lt;=$A37)*(Weeks!$X$5:$AI$5=$D$5)*Weeks!$X$7:$AI$59)-SUMIFS('Cash Ledger'!$E$7:$E$1006,'Cash Ledger'!$I$7:$I$1006,$D$5,'Cash Ledger'!$B$7:$B$1006,"&lt;="&amp;($A37+6)))</f>
        <v/>
      </c>
      <c r="H37" s="132">
        <f>IF(OR($A37&gt;TODAY(),$G37=""),"",IF(ROUND($G37,0)&lt;0,"owes you",IF(ROUND($G37,0)&gt;0,"you owe","settled")))</f>
        <v/>
      </c>
      <c r="I37" s="125" t="n"/>
      <c r="J37" s="126" t="n"/>
      <c r="K37" s="126" t="n"/>
      <c r="L37" s="126" t="n"/>
      <c r="M37" s="126" t="n"/>
      <c r="N37" s="126" t="n"/>
      <c r="O37" s="126" t="n"/>
      <c r="P37" s="126" t="n"/>
      <c r="Q37" s="126" t="n"/>
      <c r="R37" s="126" t="n"/>
      <c r="S37" s="126" t="n"/>
      <c r="T37" s="126" t="n"/>
      <c r="U37" s="126" t="n"/>
      <c r="V37" s="126" t="n"/>
      <c r="W37" s="126" t="n"/>
      <c r="X37" s="126" t="n"/>
      <c r="Y37" s="126" t="n"/>
      <c r="Z37" s="126" t="n"/>
      <c r="AA37" s="126" t="n"/>
      <c r="AB37" s="126" t="n"/>
      <c r="AC37" s="126" t="n"/>
      <c r="AD37" s="126" t="n"/>
      <c r="AE37" s="126" t="n"/>
      <c r="AF37" s="126" t="n"/>
      <c r="AG37" s="126" t="n"/>
      <c r="AH37" s="126" t="n"/>
      <c r="AI37" s="126" t="n"/>
      <c r="AJ37" s="126" t="n"/>
      <c r="AK37" s="126" t="n"/>
      <c r="AL37" s="126" t="n"/>
      <c r="AM37" s="126" t="n"/>
      <c r="AN37" s="126" t="n"/>
    </row>
    <row r="38" ht="21" customFormat="1" customHeight="1" s="127">
      <c r="A38" s="250">
        <f>Weeks!$A$37</f>
        <v/>
      </c>
      <c r="B38" s="51">
        <f>IF($A38&gt;TODAY(),"",IFERROR(INDEX(Weeks!$L$7:$W$59,MATCH($A38,Weeks!$A$7:$A$59,0),MATCH($D$5,Weeks!$L$5:$W$5,0)),0))</f>
        <v/>
      </c>
      <c r="C38" s="252">
        <f>IF($A38&gt;TODAY(),"",IFERROR(INDEX(Weeks!$X$7:$AI$59,MATCH($A38,Weeks!$A$7:$A$59,0),MATCH($D$5,Weeks!$X$5:$AI$5,0)),0))</f>
        <v/>
      </c>
      <c r="D38" s="252">
        <f>IF($A38&gt;TODAY(),"",SUMIFS('Cash Ledger'!$E$7:$E$1006,'Cash Ledger'!$I$7:$I$1006,$D$5,'Cash Ledger'!$D$7:$D$1006,"Advance",'Cash Ledger'!$B$7:$B$1006,"&gt;="&amp;$A38,'Cash Ledger'!$B$7:$B$1006,"&lt;="&amp;($A38+6)))</f>
        <v/>
      </c>
      <c r="E38" s="266">
        <f>IF($A38&gt;TODAY(),"",SUMIFS('Cash Ledger'!$E$7:$E$1006,'Cash Ledger'!$I$7:$I$1006,$D$5,'Cash Ledger'!$D$7:$D$1006,"Correction",'Cash Ledger'!$B$7:$B$1006,"&gt;="&amp;$A38,'Cash Ledger'!$B$7:$B$1006,"&lt;="&amp;($A38+6)))</f>
        <v/>
      </c>
      <c r="F38" s="252">
        <f>IF($A38&gt;TODAY(),"",SUMIFS('Cash Ledger'!$E$7:$E$1006,'Cash Ledger'!$I$7:$I$1006,$D$5,'Cash Ledger'!$D$7:$D$1006,"Weekly pay",'Cash Ledger'!$B$7:$B$1006,"&gt;="&amp;$A38,'Cash Ledger'!$B$7:$B$1006,"&lt;="&amp;($A38+6)))</f>
        <v/>
      </c>
      <c r="G38" s="299">
        <f>IF($A38&gt;TODAY(),"",SUMPRODUCT((Weeks!$A$7:$A$59&lt;=$A38)*(Weeks!$X$5:$AI$5=$D$5)*Weeks!$X$7:$AI$59)-SUMIFS('Cash Ledger'!$E$7:$E$1006,'Cash Ledger'!$I$7:$I$1006,$D$5,'Cash Ledger'!$B$7:$B$1006,"&lt;="&amp;($A38+6)))</f>
        <v/>
      </c>
      <c r="H38" s="132">
        <f>IF(OR($A38&gt;TODAY(),$G38=""),"",IF(ROUND($G38,0)&lt;0,"owes you",IF(ROUND($G38,0)&gt;0,"you owe","settled")))</f>
        <v/>
      </c>
      <c r="I38" s="125" t="n"/>
      <c r="J38" s="126" t="n"/>
      <c r="K38" s="126" t="n"/>
      <c r="L38" s="126" t="n"/>
      <c r="M38" s="126" t="n"/>
      <c r="N38" s="126" t="n"/>
      <c r="O38" s="126" t="n"/>
      <c r="P38" s="126" t="n"/>
      <c r="Q38" s="126" t="n"/>
      <c r="R38" s="126" t="n"/>
      <c r="S38" s="126" t="n"/>
      <c r="T38" s="126" t="n"/>
      <c r="U38" s="126" t="n"/>
      <c r="V38" s="126" t="n"/>
      <c r="W38" s="126" t="n"/>
      <c r="X38" s="126" t="n"/>
      <c r="Y38" s="126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  <c r="AN38" s="126" t="n"/>
    </row>
    <row r="39" ht="21" customFormat="1" customHeight="1" s="127">
      <c r="A39" s="250">
        <f>Weeks!$A$38</f>
        <v/>
      </c>
      <c r="B39" s="51">
        <f>IF($A39&gt;TODAY(),"",IFERROR(INDEX(Weeks!$L$7:$W$59,MATCH($A39,Weeks!$A$7:$A$59,0),MATCH($D$5,Weeks!$L$5:$W$5,0)),0))</f>
        <v/>
      </c>
      <c r="C39" s="252">
        <f>IF($A39&gt;TODAY(),"",IFERROR(INDEX(Weeks!$X$7:$AI$59,MATCH($A39,Weeks!$A$7:$A$59,0),MATCH($D$5,Weeks!$X$5:$AI$5,0)),0))</f>
        <v/>
      </c>
      <c r="D39" s="252">
        <f>IF($A39&gt;TODAY(),"",SUMIFS('Cash Ledger'!$E$7:$E$1006,'Cash Ledger'!$I$7:$I$1006,$D$5,'Cash Ledger'!$D$7:$D$1006,"Advance",'Cash Ledger'!$B$7:$B$1006,"&gt;="&amp;$A39,'Cash Ledger'!$B$7:$B$1006,"&lt;="&amp;($A39+6)))</f>
        <v/>
      </c>
      <c r="E39" s="266">
        <f>IF($A39&gt;TODAY(),"",SUMIFS('Cash Ledger'!$E$7:$E$1006,'Cash Ledger'!$I$7:$I$1006,$D$5,'Cash Ledger'!$D$7:$D$1006,"Correction",'Cash Ledger'!$B$7:$B$1006,"&gt;="&amp;$A39,'Cash Ledger'!$B$7:$B$1006,"&lt;="&amp;($A39+6)))</f>
        <v/>
      </c>
      <c r="F39" s="252">
        <f>IF($A39&gt;TODAY(),"",SUMIFS('Cash Ledger'!$E$7:$E$1006,'Cash Ledger'!$I$7:$I$1006,$D$5,'Cash Ledger'!$D$7:$D$1006,"Weekly pay",'Cash Ledger'!$B$7:$B$1006,"&gt;="&amp;$A39,'Cash Ledger'!$B$7:$B$1006,"&lt;="&amp;($A39+6)))</f>
        <v/>
      </c>
      <c r="G39" s="299">
        <f>IF($A39&gt;TODAY(),"",SUMPRODUCT((Weeks!$A$7:$A$59&lt;=$A39)*(Weeks!$X$5:$AI$5=$D$5)*Weeks!$X$7:$AI$59)-SUMIFS('Cash Ledger'!$E$7:$E$1006,'Cash Ledger'!$I$7:$I$1006,$D$5,'Cash Ledger'!$B$7:$B$1006,"&lt;="&amp;($A39+6)))</f>
        <v/>
      </c>
      <c r="H39" s="132">
        <f>IF(OR($A39&gt;TODAY(),$G39=""),"",IF(ROUND($G39,0)&lt;0,"owes you",IF(ROUND($G39,0)&gt;0,"you owe","settled")))</f>
        <v/>
      </c>
      <c r="I39" s="125" t="n"/>
      <c r="J39" s="126" t="n"/>
      <c r="K39" s="126" t="n"/>
      <c r="L39" s="126" t="n"/>
      <c r="M39" s="126" t="n"/>
      <c r="N39" s="126" t="n"/>
      <c r="O39" s="126" t="n"/>
      <c r="P39" s="126" t="n"/>
      <c r="Q39" s="126" t="n"/>
      <c r="R39" s="126" t="n"/>
      <c r="S39" s="126" t="n"/>
      <c r="T39" s="126" t="n"/>
      <c r="U39" s="126" t="n"/>
      <c r="V39" s="126" t="n"/>
      <c r="W39" s="126" t="n"/>
      <c r="X39" s="126" t="n"/>
      <c r="Y39" s="126" t="n"/>
      <c r="Z39" s="126" t="n"/>
      <c r="AA39" s="126" t="n"/>
      <c r="AB39" s="126" t="n"/>
      <c r="AC39" s="126" t="n"/>
      <c r="AD39" s="126" t="n"/>
      <c r="AE39" s="126" t="n"/>
      <c r="AF39" s="126" t="n"/>
      <c r="AG39" s="126" t="n"/>
      <c r="AH39" s="126" t="n"/>
      <c r="AI39" s="126" t="n"/>
      <c r="AJ39" s="126" t="n"/>
      <c r="AK39" s="126" t="n"/>
      <c r="AL39" s="126" t="n"/>
      <c r="AM39" s="126" t="n"/>
      <c r="AN39" s="126" t="n"/>
    </row>
    <row r="40" ht="21" customFormat="1" customHeight="1" s="127">
      <c r="A40" s="250">
        <f>Weeks!$A$39</f>
        <v/>
      </c>
      <c r="B40" s="51">
        <f>IF($A40&gt;TODAY(),"",IFERROR(INDEX(Weeks!$L$7:$W$59,MATCH($A40,Weeks!$A$7:$A$59,0),MATCH($D$5,Weeks!$L$5:$W$5,0)),0))</f>
        <v/>
      </c>
      <c r="C40" s="252">
        <f>IF($A40&gt;TODAY(),"",IFERROR(INDEX(Weeks!$X$7:$AI$59,MATCH($A40,Weeks!$A$7:$A$59,0),MATCH($D$5,Weeks!$X$5:$AI$5,0)),0))</f>
        <v/>
      </c>
      <c r="D40" s="252">
        <f>IF($A40&gt;TODAY(),"",SUMIFS('Cash Ledger'!$E$7:$E$1006,'Cash Ledger'!$I$7:$I$1006,$D$5,'Cash Ledger'!$D$7:$D$1006,"Advance",'Cash Ledger'!$B$7:$B$1006,"&gt;="&amp;$A40,'Cash Ledger'!$B$7:$B$1006,"&lt;="&amp;($A40+6)))</f>
        <v/>
      </c>
      <c r="E40" s="266">
        <f>IF($A40&gt;TODAY(),"",SUMIFS('Cash Ledger'!$E$7:$E$1006,'Cash Ledger'!$I$7:$I$1006,$D$5,'Cash Ledger'!$D$7:$D$1006,"Correction",'Cash Ledger'!$B$7:$B$1006,"&gt;="&amp;$A40,'Cash Ledger'!$B$7:$B$1006,"&lt;="&amp;($A40+6)))</f>
        <v/>
      </c>
      <c r="F40" s="252">
        <f>IF($A40&gt;TODAY(),"",SUMIFS('Cash Ledger'!$E$7:$E$1006,'Cash Ledger'!$I$7:$I$1006,$D$5,'Cash Ledger'!$D$7:$D$1006,"Weekly pay",'Cash Ledger'!$B$7:$B$1006,"&gt;="&amp;$A40,'Cash Ledger'!$B$7:$B$1006,"&lt;="&amp;($A40+6)))</f>
        <v/>
      </c>
      <c r="G40" s="299">
        <f>IF($A40&gt;TODAY(),"",SUMPRODUCT((Weeks!$A$7:$A$59&lt;=$A40)*(Weeks!$X$5:$AI$5=$D$5)*Weeks!$X$7:$AI$59)-SUMIFS('Cash Ledger'!$E$7:$E$1006,'Cash Ledger'!$I$7:$I$1006,$D$5,'Cash Ledger'!$B$7:$B$1006,"&lt;="&amp;($A40+6)))</f>
        <v/>
      </c>
      <c r="H40" s="132">
        <f>IF(OR($A40&gt;TODAY(),$G40=""),"",IF(ROUND($G40,0)&lt;0,"owes you",IF(ROUND($G40,0)&gt;0,"you owe","settled")))</f>
        <v/>
      </c>
      <c r="I40" s="125" t="n"/>
      <c r="J40" s="126" t="n"/>
      <c r="K40" s="126" t="n"/>
      <c r="L40" s="126" t="n"/>
      <c r="M40" s="126" t="n"/>
      <c r="N40" s="126" t="n"/>
      <c r="O40" s="126" t="n"/>
      <c r="P40" s="126" t="n"/>
      <c r="Q40" s="126" t="n"/>
      <c r="R40" s="126" t="n"/>
      <c r="S40" s="126" t="n"/>
      <c r="T40" s="126" t="n"/>
      <c r="U40" s="126" t="n"/>
      <c r="V40" s="126" t="n"/>
      <c r="W40" s="126" t="n"/>
      <c r="X40" s="126" t="n"/>
      <c r="Y40" s="126" t="n"/>
      <c r="Z40" s="126" t="n"/>
      <c r="AA40" s="126" t="n"/>
      <c r="AB40" s="126" t="n"/>
      <c r="AC40" s="126" t="n"/>
      <c r="AD40" s="126" t="n"/>
      <c r="AE40" s="126" t="n"/>
      <c r="AF40" s="126" t="n"/>
      <c r="AG40" s="126" t="n"/>
      <c r="AH40" s="126" t="n"/>
      <c r="AI40" s="126" t="n"/>
      <c r="AJ40" s="126" t="n"/>
      <c r="AK40" s="126" t="n"/>
      <c r="AL40" s="126" t="n"/>
      <c r="AM40" s="126" t="n"/>
      <c r="AN40" s="126" t="n"/>
    </row>
    <row r="41" ht="21" customFormat="1" customHeight="1" s="127">
      <c r="A41" s="250">
        <f>Weeks!$A$40</f>
        <v/>
      </c>
      <c r="B41" s="51">
        <f>IF($A41&gt;TODAY(),"",IFERROR(INDEX(Weeks!$L$7:$W$59,MATCH($A41,Weeks!$A$7:$A$59,0),MATCH($D$5,Weeks!$L$5:$W$5,0)),0))</f>
        <v/>
      </c>
      <c r="C41" s="252">
        <f>IF($A41&gt;TODAY(),"",IFERROR(INDEX(Weeks!$X$7:$AI$59,MATCH($A41,Weeks!$A$7:$A$59,0),MATCH($D$5,Weeks!$X$5:$AI$5,0)),0))</f>
        <v/>
      </c>
      <c r="D41" s="252">
        <f>IF($A41&gt;TODAY(),"",SUMIFS('Cash Ledger'!$E$7:$E$1006,'Cash Ledger'!$I$7:$I$1006,$D$5,'Cash Ledger'!$D$7:$D$1006,"Advance",'Cash Ledger'!$B$7:$B$1006,"&gt;="&amp;$A41,'Cash Ledger'!$B$7:$B$1006,"&lt;="&amp;($A41+6)))</f>
        <v/>
      </c>
      <c r="E41" s="266">
        <f>IF($A41&gt;TODAY(),"",SUMIFS('Cash Ledger'!$E$7:$E$1006,'Cash Ledger'!$I$7:$I$1006,$D$5,'Cash Ledger'!$D$7:$D$1006,"Correction",'Cash Ledger'!$B$7:$B$1006,"&gt;="&amp;$A41,'Cash Ledger'!$B$7:$B$1006,"&lt;="&amp;($A41+6)))</f>
        <v/>
      </c>
      <c r="F41" s="252">
        <f>IF($A41&gt;TODAY(),"",SUMIFS('Cash Ledger'!$E$7:$E$1006,'Cash Ledger'!$I$7:$I$1006,$D$5,'Cash Ledger'!$D$7:$D$1006,"Weekly pay",'Cash Ledger'!$B$7:$B$1006,"&gt;="&amp;$A41,'Cash Ledger'!$B$7:$B$1006,"&lt;="&amp;($A41+6)))</f>
        <v/>
      </c>
      <c r="G41" s="299">
        <f>IF($A41&gt;TODAY(),"",SUMPRODUCT((Weeks!$A$7:$A$59&lt;=$A41)*(Weeks!$X$5:$AI$5=$D$5)*Weeks!$X$7:$AI$59)-SUMIFS('Cash Ledger'!$E$7:$E$1006,'Cash Ledger'!$I$7:$I$1006,$D$5,'Cash Ledger'!$B$7:$B$1006,"&lt;="&amp;($A41+6)))</f>
        <v/>
      </c>
      <c r="H41" s="132">
        <f>IF(OR($A41&gt;TODAY(),$G41=""),"",IF(ROUND($G41,0)&lt;0,"owes you",IF(ROUND($G41,0)&gt;0,"you owe","settled")))</f>
        <v/>
      </c>
      <c r="I41" s="125" t="n"/>
      <c r="J41" s="126" t="n"/>
      <c r="K41" s="126" t="n"/>
      <c r="L41" s="126" t="n"/>
      <c r="M41" s="126" t="n"/>
      <c r="N41" s="126" t="n"/>
      <c r="O41" s="126" t="n"/>
      <c r="P41" s="126" t="n"/>
      <c r="Q41" s="126" t="n"/>
      <c r="R41" s="126" t="n"/>
      <c r="S41" s="126" t="n"/>
      <c r="T41" s="126" t="n"/>
      <c r="U41" s="126" t="n"/>
      <c r="V41" s="126" t="n"/>
      <c r="W41" s="126" t="n"/>
      <c r="X41" s="126" t="n"/>
      <c r="Y41" s="126" t="n"/>
      <c r="Z41" s="126" t="n"/>
      <c r="AA41" s="126" t="n"/>
      <c r="AB41" s="126" t="n"/>
      <c r="AC41" s="126" t="n"/>
      <c r="AD41" s="126" t="n"/>
      <c r="AE41" s="126" t="n"/>
      <c r="AF41" s="126" t="n"/>
      <c r="AG41" s="126" t="n"/>
      <c r="AH41" s="126" t="n"/>
      <c r="AI41" s="126" t="n"/>
      <c r="AJ41" s="126" t="n"/>
      <c r="AK41" s="126" t="n"/>
      <c r="AL41" s="126" t="n"/>
      <c r="AM41" s="126" t="n"/>
      <c r="AN41" s="126" t="n"/>
    </row>
    <row r="42" ht="21" customFormat="1" customHeight="1" s="127">
      <c r="A42" s="250">
        <f>Weeks!$A$41</f>
        <v/>
      </c>
      <c r="B42" s="51">
        <f>IF($A42&gt;TODAY(),"",IFERROR(INDEX(Weeks!$L$7:$W$59,MATCH($A42,Weeks!$A$7:$A$59,0),MATCH($D$5,Weeks!$L$5:$W$5,0)),0))</f>
        <v/>
      </c>
      <c r="C42" s="252">
        <f>IF($A42&gt;TODAY(),"",IFERROR(INDEX(Weeks!$X$7:$AI$59,MATCH($A42,Weeks!$A$7:$A$59,0),MATCH($D$5,Weeks!$X$5:$AI$5,0)),0))</f>
        <v/>
      </c>
      <c r="D42" s="252">
        <f>IF($A42&gt;TODAY(),"",SUMIFS('Cash Ledger'!$E$7:$E$1006,'Cash Ledger'!$I$7:$I$1006,$D$5,'Cash Ledger'!$D$7:$D$1006,"Advance",'Cash Ledger'!$B$7:$B$1006,"&gt;="&amp;$A42,'Cash Ledger'!$B$7:$B$1006,"&lt;="&amp;($A42+6)))</f>
        <v/>
      </c>
      <c r="E42" s="266">
        <f>IF($A42&gt;TODAY(),"",SUMIFS('Cash Ledger'!$E$7:$E$1006,'Cash Ledger'!$I$7:$I$1006,$D$5,'Cash Ledger'!$D$7:$D$1006,"Correction",'Cash Ledger'!$B$7:$B$1006,"&gt;="&amp;$A42,'Cash Ledger'!$B$7:$B$1006,"&lt;="&amp;($A42+6)))</f>
        <v/>
      </c>
      <c r="F42" s="252">
        <f>IF($A42&gt;TODAY(),"",SUMIFS('Cash Ledger'!$E$7:$E$1006,'Cash Ledger'!$I$7:$I$1006,$D$5,'Cash Ledger'!$D$7:$D$1006,"Weekly pay",'Cash Ledger'!$B$7:$B$1006,"&gt;="&amp;$A42,'Cash Ledger'!$B$7:$B$1006,"&lt;="&amp;($A42+6)))</f>
        <v/>
      </c>
      <c r="G42" s="299">
        <f>IF($A42&gt;TODAY(),"",SUMPRODUCT((Weeks!$A$7:$A$59&lt;=$A42)*(Weeks!$X$5:$AI$5=$D$5)*Weeks!$X$7:$AI$59)-SUMIFS('Cash Ledger'!$E$7:$E$1006,'Cash Ledger'!$I$7:$I$1006,$D$5,'Cash Ledger'!$B$7:$B$1006,"&lt;="&amp;($A42+6)))</f>
        <v/>
      </c>
      <c r="H42" s="132">
        <f>IF(OR($A42&gt;TODAY(),$G42=""),"",IF(ROUND($G42,0)&lt;0,"owes you",IF(ROUND($G42,0)&gt;0,"you owe","settled")))</f>
        <v/>
      </c>
      <c r="I42" s="125" t="n"/>
      <c r="J42" s="126" t="n"/>
      <c r="K42" s="126" t="n"/>
      <c r="L42" s="126" t="n"/>
      <c r="M42" s="126" t="n"/>
      <c r="N42" s="126" t="n"/>
      <c r="O42" s="126" t="n"/>
      <c r="P42" s="126" t="n"/>
      <c r="Q42" s="126" t="n"/>
      <c r="R42" s="126" t="n"/>
      <c r="S42" s="126" t="n"/>
      <c r="T42" s="126" t="n"/>
      <c r="U42" s="126" t="n"/>
      <c r="V42" s="126" t="n"/>
      <c r="W42" s="126" t="n"/>
      <c r="X42" s="126" t="n"/>
      <c r="Y42" s="126" t="n"/>
      <c r="Z42" s="126" t="n"/>
      <c r="AA42" s="126" t="n"/>
      <c r="AB42" s="126" t="n"/>
      <c r="AC42" s="126" t="n"/>
      <c r="AD42" s="126" t="n"/>
      <c r="AE42" s="126" t="n"/>
      <c r="AF42" s="126" t="n"/>
      <c r="AG42" s="126" t="n"/>
      <c r="AH42" s="126" t="n"/>
      <c r="AI42" s="126" t="n"/>
      <c r="AJ42" s="126" t="n"/>
      <c r="AK42" s="126" t="n"/>
      <c r="AL42" s="126" t="n"/>
      <c r="AM42" s="126" t="n"/>
      <c r="AN42" s="126" t="n"/>
    </row>
    <row r="43" ht="21" customFormat="1" customHeight="1" s="127">
      <c r="A43" s="250">
        <f>Weeks!$A$42</f>
        <v/>
      </c>
      <c r="B43" s="51">
        <f>IF($A43&gt;TODAY(),"",IFERROR(INDEX(Weeks!$L$7:$W$59,MATCH($A43,Weeks!$A$7:$A$59,0),MATCH($D$5,Weeks!$L$5:$W$5,0)),0))</f>
        <v/>
      </c>
      <c r="C43" s="252">
        <f>IF($A43&gt;TODAY(),"",IFERROR(INDEX(Weeks!$X$7:$AI$59,MATCH($A43,Weeks!$A$7:$A$59,0),MATCH($D$5,Weeks!$X$5:$AI$5,0)),0))</f>
        <v/>
      </c>
      <c r="D43" s="252">
        <f>IF($A43&gt;TODAY(),"",SUMIFS('Cash Ledger'!$E$7:$E$1006,'Cash Ledger'!$I$7:$I$1006,$D$5,'Cash Ledger'!$D$7:$D$1006,"Advance",'Cash Ledger'!$B$7:$B$1006,"&gt;="&amp;$A43,'Cash Ledger'!$B$7:$B$1006,"&lt;="&amp;($A43+6)))</f>
        <v/>
      </c>
      <c r="E43" s="266">
        <f>IF($A43&gt;TODAY(),"",SUMIFS('Cash Ledger'!$E$7:$E$1006,'Cash Ledger'!$I$7:$I$1006,$D$5,'Cash Ledger'!$D$7:$D$1006,"Correction",'Cash Ledger'!$B$7:$B$1006,"&gt;="&amp;$A43,'Cash Ledger'!$B$7:$B$1006,"&lt;="&amp;($A43+6)))</f>
        <v/>
      </c>
      <c r="F43" s="252">
        <f>IF($A43&gt;TODAY(),"",SUMIFS('Cash Ledger'!$E$7:$E$1006,'Cash Ledger'!$I$7:$I$1006,$D$5,'Cash Ledger'!$D$7:$D$1006,"Weekly pay",'Cash Ledger'!$B$7:$B$1006,"&gt;="&amp;$A43,'Cash Ledger'!$B$7:$B$1006,"&lt;="&amp;($A43+6)))</f>
        <v/>
      </c>
      <c r="G43" s="299">
        <f>IF($A43&gt;TODAY(),"",SUMPRODUCT((Weeks!$A$7:$A$59&lt;=$A43)*(Weeks!$X$5:$AI$5=$D$5)*Weeks!$X$7:$AI$59)-SUMIFS('Cash Ledger'!$E$7:$E$1006,'Cash Ledger'!$I$7:$I$1006,$D$5,'Cash Ledger'!$B$7:$B$1006,"&lt;="&amp;($A43+6)))</f>
        <v/>
      </c>
      <c r="H43" s="132">
        <f>IF(OR($A43&gt;TODAY(),$G43=""),"",IF(ROUND($G43,0)&lt;0,"owes you",IF(ROUND($G43,0)&gt;0,"you owe","settled")))</f>
        <v/>
      </c>
      <c r="I43" s="125" t="n"/>
      <c r="J43" s="126" t="n"/>
      <c r="K43" s="126" t="n"/>
      <c r="L43" s="126" t="n"/>
      <c r="M43" s="126" t="n"/>
      <c r="N43" s="126" t="n"/>
      <c r="O43" s="126" t="n"/>
      <c r="P43" s="126" t="n"/>
      <c r="Q43" s="126" t="n"/>
      <c r="R43" s="126" t="n"/>
      <c r="S43" s="126" t="n"/>
      <c r="T43" s="126" t="n"/>
      <c r="U43" s="126" t="n"/>
      <c r="V43" s="126" t="n"/>
      <c r="W43" s="126" t="n"/>
      <c r="X43" s="126" t="n"/>
      <c r="Y43" s="126" t="n"/>
      <c r="Z43" s="126" t="n"/>
      <c r="AA43" s="126" t="n"/>
      <c r="AB43" s="126" t="n"/>
      <c r="AC43" s="126" t="n"/>
      <c r="AD43" s="126" t="n"/>
      <c r="AE43" s="126" t="n"/>
      <c r="AF43" s="126" t="n"/>
      <c r="AG43" s="126" t="n"/>
      <c r="AH43" s="126" t="n"/>
      <c r="AI43" s="126" t="n"/>
      <c r="AJ43" s="126" t="n"/>
      <c r="AK43" s="126" t="n"/>
      <c r="AL43" s="126" t="n"/>
      <c r="AM43" s="126" t="n"/>
      <c r="AN43" s="126" t="n"/>
    </row>
    <row r="44" ht="21" customFormat="1" customHeight="1" s="127">
      <c r="A44" s="250">
        <f>Weeks!$A$43</f>
        <v/>
      </c>
      <c r="B44" s="51">
        <f>IF($A44&gt;TODAY(),"",IFERROR(INDEX(Weeks!$L$7:$W$59,MATCH($A44,Weeks!$A$7:$A$59,0),MATCH($D$5,Weeks!$L$5:$W$5,0)),0))</f>
        <v/>
      </c>
      <c r="C44" s="252">
        <f>IF($A44&gt;TODAY(),"",IFERROR(INDEX(Weeks!$X$7:$AI$59,MATCH($A44,Weeks!$A$7:$A$59,0),MATCH($D$5,Weeks!$X$5:$AI$5,0)),0))</f>
        <v/>
      </c>
      <c r="D44" s="252">
        <f>IF($A44&gt;TODAY(),"",SUMIFS('Cash Ledger'!$E$7:$E$1006,'Cash Ledger'!$I$7:$I$1006,$D$5,'Cash Ledger'!$D$7:$D$1006,"Advance",'Cash Ledger'!$B$7:$B$1006,"&gt;="&amp;$A44,'Cash Ledger'!$B$7:$B$1006,"&lt;="&amp;($A44+6)))</f>
        <v/>
      </c>
      <c r="E44" s="266">
        <f>IF($A44&gt;TODAY(),"",SUMIFS('Cash Ledger'!$E$7:$E$1006,'Cash Ledger'!$I$7:$I$1006,$D$5,'Cash Ledger'!$D$7:$D$1006,"Correction",'Cash Ledger'!$B$7:$B$1006,"&gt;="&amp;$A44,'Cash Ledger'!$B$7:$B$1006,"&lt;="&amp;($A44+6)))</f>
        <v/>
      </c>
      <c r="F44" s="252">
        <f>IF($A44&gt;TODAY(),"",SUMIFS('Cash Ledger'!$E$7:$E$1006,'Cash Ledger'!$I$7:$I$1006,$D$5,'Cash Ledger'!$D$7:$D$1006,"Weekly pay",'Cash Ledger'!$B$7:$B$1006,"&gt;="&amp;$A44,'Cash Ledger'!$B$7:$B$1006,"&lt;="&amp;($A44+6)))</f>
        <v/>
      </c>
      <c r="G44" s="299">
        <f>IF($A44&gt;TODAY(),"",SUMPRODUCT((Weeks!$A$7:$A$59&lt;=$A44)*(Weeks!$X$5:$AI$5=$D$5)*Weeks!$X$7:$AI$59)-SUMIFS('Cash Ledger'!$E$7:$E$1006,'Cash Ledger'!$I$7:$I$1006,$D$5,'Cash Ledger'!$B$7:$B$1006,"&lt;="&amp;($A44+6)))</f>
        <v/>
      </c>
      <c r="H44" s="132">
        <f>IF(OR($A44&gt;TODAY(),$G44=""),"",IF(ROUND($G44,0)&lt;0,"owes you",IF(ROUND($G44,0)&gt;0,"you owe","settled")))</f>
        <v/>
      </c>
      <c r="I44" s="125" t="n"/>
      <c r="J44" s="126" t="n"/>
      <c r="K44" s="126" t="n"/>
      <c r="L44" s="126" t="n"/>
      <c r="M44" s="126" t="n"/>
      <c r="N44" s="126" t="n"/>
      <c r="O44" s="126" t="n"/>
      <c r="P44" s="126" t="n"/>
      <c r="Q44" s="126" t="n"/>
      <c r="R44" s="126" t="n"/>
      <c r="S44" s="126" t="n"/>
      <c r="T44" s="126" t="n"/>
      <c r="U44" s="126" t="n"/>
      <c r="V44" s="126" t="n"/>
      <c r="W44" s="126" t="n"/>
      <c r="X44" s="126" t="n"/>
      <c r="Y44" s="126" t="n"/>
      <c r="Z44" s="126" t="n"/>
      <c r="AA44" s="126" t="n"/>
      <c r="AB44" s="126" t="n"/>
      <c r="AC44" s="126" t="n"/>
      <c r="AD44" s="126" t="n"/>
      <c r="AE44" s="126" t="n"/>
      <c r="AF44" s="126" t="n"/>
      <c r="AG44" s="126" t="n"/>
      <c r="AH44" s="126" t="n"/>
      <c r="AI44" s="126" t="n"/>
      <c r="AJ44" s="126" t="n"/>
      <c r="AK44" s="126" t="n"/>
      <c r="AL44" s="126" t="n"/>
      <c r="AM44" s="126" t="n"/>
      <c r="AN44" s="126" t="n"/>
    </row>
    <row r="45" ht="21" customFormat="1" customHeight="1" s="127">
      <c r="A45" s="250">
        <f>Weeks!$A$44</f>
        <v/>
      </c>
      <c r="B45" s="51">
        <f>IF($A45&gt;TODAY(),"",IFERROR(INDEX(Weeks!$L$7:$W$59,MATCH($A45,Weeks!$A$7:$A$59,0),MATCH($D$5,Weeks!$L$5:$W$5,0)),0))</f>
        <v/>
      </c>
      <c r="C45" s="252">
        <f>IF($A45&gt;TODAY(),"",IFERROR(INDEX(Weeks!$X$7:$AI$59,MATCH($A45,Weeks!$A$7:$A$59,0),MATCH($D$5,Weeks!$X$5:$AI$5,0)),0))</f>
        <v/>
      </c>
      <c r="D45" s="252">
        <f>IF($A45&gt;TODAY(),"",SUMIFS('Cash Ledger'!$E$7:$E$1006,'Cash Ledger'!$I$7:$I$1006,$D$5,'Cash Ledger'!$D$7:$D$1006,"Advance",'Cash Ledger'!$B$7:$B$1006,"&gt;="&amp;$A45,'Cash Ledger'!$B$7:$B$1006,"&lt;="&amp;($A45+6)))</f>
        <v/>
      </c>
      <c r="E45" s="266">
        <f>IF($A45&gt;TODAY(),"",SUMIFS('Cash Ledger'!$E$7:$E$1006,'Cash Ledger'!$I$7:$I$1006,$D$5,'Cash Ledger'!$D$7:$D$1006,"Correction",'Cash Ledger'!$B$7:$B$1006,"&gt;="&amp;$A45,'Cash Ledger'!$B$7:$B$1006,"&lt;="&amp;($A45+6)))</f>
        <v/>
      </c>
      <c r="F45" s="252">
        <f>IF($A45&gt;TODAY(),"",SUMIFS('Cash Ledger'!$E$7:$E$1006,'Cash Ledger'!$I$7:$I$1006,$D$5,'Cash Ledger'!$D$7:$D$1006,"Weekly pay",'Cash Ledger'!$B$7:$B$1006,"&gt;="&amp;$A45,'Cash Ledger'!$B$7:$B$1006,"&lt;="&amp;($A45+6)))</f>
        <v/>
      </c>
      <c r="G45" s="299">
        <f>IF($A45&gt;TODAY(),"",SUMPRODUCT((Weeks!$A$7:$A$59&lt;=$A45)*(Weeks!$X$5:$AI$5=$D$5)*Weeks!$X$7:$AI$59)-SUMIFS('Cash Ledger'!$E$7:$E$1006,'Cash Ledger'!$I$7:$I$1006,$D$5,'Cash Ledger'!$B$7:$B$1006,"&lt;="&amp;($A45+6)))</f>
        <v/>
      </c>
      <c r="H45" s="132">
        <f>IF(OR($A45&gt;TODAY(),$G45=""),"",IF(ROUND($G45,0)&lt;0,"owes you",IF(ROUND($G45,0)&gt;0,"you owe","settled")))</f>
        <v/>
      </c>
      <c r="I45" s="125" t="n"/>
      <c r="J45" s="126" t="n"/>
      <c r="K45" s="126" t="n"/>
      <c r="L45" s="126" t="n"/>
      <c r="M45" s="126" t="n"/>
      <c r="N45" s="126" t="n"/>
      <c r="O45" s="126" t="n"/>
      <c r="P45" s="126" t="n"/>
      <c r="Q45" s="126" t="n"/>
      <c r="R45" s="126" t="n"/>
      <c r="S45" s="126" t="n"/>
      <c r="T45" s="126" t="n"/>
      <c r="U45" s="126" t="n"/>
      <c r="V45" s="126" t="n"/>
      <c r="W45" s="126" t="n"/>
      <c r="X45" s="126" t="n"/>
      <c r="Y45" s="126" t="n"/>
      <c r="Z45" s="126" t="n"/>
      <c r="AA45" s="126" t="n"/>
      <c r="AB45" s="126" t="n"/>
      <c r="AC45" s="126" t="n"/>
      <c r="AD45" s="126" t="n"/>
      <c r="AE45" s="126" t="n"/>
      <c r="AF45" s="126" t="n"/>
      <c r="AG45" s="126" t="n"/>
      <c r="AH45" s="126" t="n"/>
      <c r="AI45" s="126" t="n"/>
      <c r="AJ45" s="126" t="n"/>
      <c r="AK45" s="126" t="n"/>
      <c r="AL45" s="126" t="n"/>
      <c r="AM45" s="126" t="n"/>
      <c r="AN45" s="126" t="n"/>
    </row>
    <row r="46" ht="21" customFormat="1" customHeight="1" s="127">
      <c r="A46" s="250">
        <f>Weeks!$A$45</f>
        <v/>
      </c>
      <c r="B46" s="51">
        <f>IF($A46&gt;TODAY(),"",IFERROR(INDEX(Weeks!$L$7:$W$59,MATCH($A46,Weeks!$A$7:$A$59,0),MATCH($D$5,Weeks!$L$5:$W$5,0)),0))</f>
        <v/>
      </c>
      <c r="C46" s="252">
        <f>IF($A46&gt;TODAY(),"",IFERROR(INDEX(Weeks!$X$7:$AI$59,MATCH($A46,Weeks!$A$7:$A$59,0),MATCH($D$5,Weeks!$X$5:$AI$5,0)),0))</f>
        <v/>
      </c>
      <c r="D46" s="252">
        <f>IF($A46&gt;TODAY(),"",SUMIFS('Cash Ledger'!$E$7:$E$1006,'Cash Ledger'!$I$7:$I$1006,$D$5,'Cash Ledger'!$D$7:$D$1006,"Advance",'Cash Ledger'!$B$7:$B$1006,"&gt;="&amp;$A46,'Cash Ledger'!$B$7:$B$1006,"&lt;="&amp;($A46+6)))</f>
        <v/>
      </c>
      <c r="E46" s="266">
        <f>IF($A46&gt;TODAY(),"",SUMIFS('Cash Ledger'!$E$7:$E$1006,'Cash Ledger'!$I$7:$I$1006,$D$5,'Cash Ledger'!$D$7:$D$1006,"Correction",'Cash Ledger'!$B$7:$B$1006,"&gt;="&amp;$A46,'Cash Ledger'!$B$7:$B$1006,"&lt;="&amp;($A46+6)))</f>
        <v/>
      </c>
      <c r="F46" s="252">
        <f>IF($A46&gt;TODAY(),"",SUMIFS('Cash Ledger'!$E$7:$E$1006,'Cash Ledger'!$I$7:$I$1006,$D$5,'Cash Ledger'!$D$7:$D$1006,"Weekly pay",'Cash Ledger'!$B$7:$B$1006,"&gt;="&amp;$A46,'Cash Ledger'!$B$7:$B$1006,"&lt;="&amp;($A46+6)))</f>
        <v/>
      </c>
      <c r="G46" s="299">
        <f>IF($A46&gt;TODAY(),"",SUMPRODUCT((Weeks!$A$7:$A$59&lt;=$A46)*(Weeks!$X$5:$AI$5=$D$5)*Weeks!$X$7:$AI$59)-SUMIFS('Cash Ledger'!$E$7:$E$1006,'Cash Ledger'!$I$7:$I$1006,$D$5,'Cash Ledger'!$B$7:$B$1006,"&lt;="&amp;($A46+6)))</f>
        <v/>
      </c>
      <c r="H46" s="132">
        <f>IF(OR($A46&gt;TODAY(),$G46=""),"",IF(ROUND($G46,0)&lt;0,"owes you",IF(ROUND($G46,0)&gt;0,"you owe","settled")))</f>
        <v/>
      </c>
      <c r="I46" s="125" t="n"/>
      <c r="J46" s="126" t="n"/>
      <c r="K46" s="126" t="n"/>
      <c r="L46" s="126" t="n"/>
      <c r="M46" s="126" t="n"/>
      <c r="N46" s="126" t="n"/>
      <c r="O46" s="126" t="n"/>
      <c r="P46" s="126" t="n"/>
      <c r="Q46" s="126" t="n"/>
      <c r="R46" s="126" t="n"/>
      <c r="S46" s="126" t="n"/>
      <c r="T46" s="126" t="n"/>
      <c r="U46" s="126" t="n"/>
      <c r="V46" s="126" t="n"/>
      <c r="W46" s="126" t="n"/>
      <c r="X46" s="126" t="n"/>
      <c r="Y46" s="126" t="n"/>
      <c r="Z46" s="126" t="n"/>
      <c r="AA46" s="126" t="n"/>
      <c r="AB46" s="126" t="n"/>
      <c r="AC46" s="126" t="n"/>
      <c r="AD46" s="126" t="n"/>
      <c r="AE46" s="126" t="n"/>
      <c r="AF46" s="126" t="n"/>
      <c r="AG46" s="126" t="n"/>
      <c r="AH46" s="126" t="n"/>
      <c r="AI46" s="126" t="n"/>
      <c r="AJ46" s="126" t="n"/>
      <c r="AK46" s="126" t="n"/>
      <c r="AL46" s="126" t="n"/>
      <c r="AM46" s="126" t="n"/>
      <c r="AN46" s="126" t="n"/>
    </row>
    <row r="47" ht="21" customFormat="1" customHeight="1" s="127">
      <c r="A47" s="250">
        <f>Weeks!$A$46</f>
        <v/>
      </c>
      <c r="B47" s="51">
        <f>IF($A47&gt;TODAY(),"",IFERROR(INDEX(Weeks!$L$7:$W$59,MATCH($A47,Weeks!$A$7:$A$59,0),MATCH($D$5,Weeks!$L$5:$W$5,0)),0))</f>
        <v/>
      </c>
      <c r="C47" s="252">
        <f>IF($A47&gt;TODAY(),"",IFERROR(INDEX(Weeks!$X$7:$AI$59,MATCH($A47,Weeks!$A$7:$A$59,0),MATCH($D$5,Weeks!$X$5:$AI$5,0)),0))</f>
        <v/>
      </c>
      <c r="D47" s="252">
        <f>IF($A47&gt;TODAY(),"",SUMIFS('Cash Ledger'!$E$7:$E$1006,'Cash Ledger'!$I$7:$I$1006,$D$5,'Cash Ledger'!$D$7:$D$1006,"Advance",'Cash Ledger'!$B$7:$B$1006,"&gt;="&amp;$A47,'Cash Ledger'!$B$7:$B$1006,"&lt;="&amp;($A47+6)))</f>
        <v/>
      </c>
      <c r="E47" s="266">
        <f>IF($A47&gt;TODAY(),"",SUMIFS('Cash Ledger'!$E$7:$E$1006,'Cash Ledger'!$I$7:$I$1006,$D$5,'Cash Ledger'!$D$7:$D$1006,"Correction",'Cash Ledger'!$B$7:$B$1006,"&gt;="&amp;$A47,'Cash Ledger'!$B$7:$B$1006,"&lt;="&amp;($A47+6)))</f>
        <v/>
      </c>
      <c r="F47" s="252">
        <f>IF($A47&gt;TODAY(),"",SUMIFS('Cash Ledger'!$E$7:$E$1006,'Cash Ledger'!$I$7:$I$1006,$D$5,'Cash Ledger'!$D$7:$D$1006,"Weekly pay",'Cash Ledger'!$B$7:$B$1006,"&gt;="&amp;$A47,'Cash Ledger'!$B$7:$B$1006,"&lt;="&amp;($A47+6)))</f>
        <v/>
      </c>
      <c r="G47" s="299">
        <f>IF($A47&gt;TODAY(),"",SUMPRODUCT((Weeks!$A$7:$A$59&lt;=$A47)*(Weeks!$X$5:$AI$5=$D$5)*Weeks!$X$7:$AI$59)-SUMIFS('Cash Ledger'!$E$7:$E$1006,'Cash Ledger'!$I$7:$I$1006,$D$5,'Cash Ledger'!$B$7:$B$1006,"&lt;="&amp;($A47+6)))</f>
        <v/>
      </c>
      <c r="H47" s="132">
        <f>IF(OR($A47&gt;TODAY(),$G47=""),"",IF(ROUND($G47,0)&lt;0,"owes you",IF(ROUND($G47,0)&gt;0,"you owe","settled")))</f>
        <v/>
      </c>
      <c r="I47" s="125" t="n"/>
      <c r="J47" s="126" t="n"/>
      <c r="K47" s="126" t="n"/>
      <c r="L47" s="126" t="n"/>
      <c r="M47" s="126" t="n"/>
      <c r="N47" s="126" t="n"/>
      <c r="O47" s="126" t="n"/>
      <c r="P47" s="126" t="n"/>
      <c r="Q47" s="126" t="n"/>
      <c r="R47" s="126" t="n"/>
      <c r="S47" s="126" t="n"/>
      <c r="T47" s="126" t="n"/>
      <c r="U47" s="126" t="n"/>
      <c r="V47" s="126" t="n"/>
      <c r="W47" s="126" t="n"/>
      <c r="X47" s="126" t="n"/>
      <c r="Y47" s="126" t="n"/>
      <c r="Z47" s="126" t="n"/>
      <c r="AA47" s="126" t="n"/>
      <c r="AB47" s="126" t="n"/>
      <c r="AC47" s="126" t="n"/>
      <c r="AD47" s="126" t="n"/>
      <c r="AE47" s="126" t="n"/>
      <c r="AF47" s="126" t="n"/>
      <c r="AG47" s="126" t="n"/>
      <c r="AH47" s="126" t="n"/>
      <c r="AI47" s="126" t="n"/>
      <c r="AJ47" s="126" t="n"/>
      <c r="AK47" s="126" t="n"/>
      <c r="AL47" s="126" t="n"/>
      <c r="AM47" s="126" t="n"/>
      <c r="AN47" s="126" t="n"/>
    </row>
    <row r="48" ht="21" customFormat="1" customHeight="1" s="127">
      <c r="A48" s="250">
        <f>Weeks!$A$47</f>
        <v/>
      </c>
      <c r="B48" s="51">
        <f>IF($A48&gt;TODAY(),"",IFERROR(INDEX(Weeks!$L$7:$W$59,MATCH($A48,Weeks!$A$7:$A$59,0),MATCH($D$5,Weeks!$L$5:$W$5,0)),0))</f>
        <v/>
      </c>
      <c r="C48" s="252">
        <f>IF($A48&gt;TODAY(),"",IFERROR(INDEX(Weeks!$X$7:$AI$59,MATCH($A48,Weeks!$A$7:$A$59,0),MATCH($D$5,Weeks!$X$5:$AI$5,0)),0))</f>
        <v/>
      </c>
      <c r="D48" s="252">
        <f>IF($A48&gt;TODAY(),"",SUMIFS('Cash Ledger'!$E$7:$E$1006,'Cash Ledger'!$I$7:$I$1006,$D$5,'Cash Ledger'!$D$7:$D$1006,"Advance",'Cash Ledger'!$B$7:$B$1006,"&gt;="&amp;$A48,'Cash Ledger'!$B$7:$B$1006,"&lt;="&amp;($A48+6)))</f>
        <v/>
      </c>
      <c r="E48" s="266">
        <f>IF($A48&gt;TODAY(),"",SUMIFS('Cash Ledger'!$E$7:$E$1006,'Cash Ledger'!$I$7:$I$1006,$D$5,'Cash Ledger'!$D$7:$D$1006,"Correction",'Cash Ledger'!$B$7:$B$1006,"&gt;="&amp;$A48,'Cash Ledger'!$B$7:$B$1006,"&lt;="&amp;($A48+6)))</f>
        <v/>
      </c>
      <c r="F48" s="252">
        <f>IF($A48&gt;TODAY(),"",SUMIFS('Cash Ledger'!$E$7:$E$1006,'Cash Ledger'!$I$7:$I$1006,$D$5,'Cash Ledger'!$D$7:$D$1006,"Weekly pay",'Cash Ledger'!$B$7:$B$1006,"&gt;="&amp;$A48,'Cash Ledger'!$B$7:$B$1006,"&lt;="&amp;($A48+6)))</f>
        <v/>
      </c>
      <c r="G48" s="299">
        <f>IF($A48&gt;TODAY(),"",SUMPRODUCT((Weeks!$A$7:$A$59&lt;=$A48)*(Weeks!$X$5:$AI$5=$D$5)*Weeks!$X$7:$AI$59)-SUMIFS('Cash Ledger'!$E$7:$E$1006,'Cash Ledger'!$I$7:$I$1006,$D$5,'Cash Ledger'!$B$7:$B$1006,"&lt;="&amp;($A48+6)))</f>
        <v/>
      </c>
      <c r="H48" s="132">
        <f>IF(OR($A48&gt;TODAY(),$G48=""),"",IF(ROUND($G48,0)&lt;0,"owes you",IF(ROUND($G48,0)&gt;0,"you owe","settled")))</f>
        <v/>
      </c>
      <c r="I48" s="125" t="n"/>
      <c r="J48" s="126" t="n"/>
      <c r="K48" s="126" t="n"/>
      <c r="L48" s="126" t="n"/>
      <c r="M48" s="126" t="n"/>
      <c r="N48" s="126" t="n"/>
      <c r="O48" s="126" t="n"/>
      <c r="P48" s="126" t="n"/>
      <c r="Q48" s="126" t="n"/>
      <c r="R48" s="126" t="n"/>
      <c r="S48" s="126" t="n"/>
      <c r="T48" s="126" t="n"/>
      <c r="U48" s="126" t="n"/>
      <c r="V48" s="126" t="n"/>
      <c r="W48" s="126" t="n"/>
      <c r="X48" s="126" t="n"/>
      <c r="Y48" s="126" t="n"/>
      <c r="Z48" s="126" t="n"/>
      <c r="AA48" s="126" t="n"/>
      <c r="AB48" s="126" t="n"/>
      <c r="AC48" s="126" t="n"/>
      <c r="AD48" s="126" t="n"/>
      <c r="AE48" s="126" t="n"/>
      <c r="AF48" s="126" t="n"/>
      <c r="AG48" s="126" t="n"/>
      <c r="AH48" s="126" t="n"/>
      <c r="AI48" s="126" t="n"/>
      <c r="AJ48" s="126" t="n"/>
      <c r="AK48" s="126" t="n"/>
      <c r="AL48" s="126" t="n"/>
      <c r="AM48" s="126" t="n"/>
      <c r="AN48" s="126" t="n"/>
    </row>
    <row r="49" ht="21" customFormat="1" customHeight="1" s="127">
      <c r="A49" s="250">
        <f>Weeks!$A$48</f>
        <v/>
      </c>
      <c r="B49" s="51">
        <f>IF($A49&gt;TODAY(),"",IFERROR(INDEX(Weeks!$L$7:$W$59,MATCH($A49,Weeks!$A$7:$A$59,0),MATCH($D$5,Weeks!$L$5:$W$5,0)),0))</f>
        <v/>
      </c>
      <c r="C49" s="252">
        <f>IF($A49&gt;TODAY(),"",IFERROR(INDEX(Weeks!$X$7:$AI$59,MATCH($A49,Weeks!$A$7:$A$59,0),MATCH($D$5,Weeks!$X$5:$AI$5,0)),0))</f>
        <v/>
      </c>
      <c r="D49" s="252">
        <f>IF($A49&gt;TODAY(),"",SUMIFS('Cash Ledger'!$E$7:$E$1006,'Cash Ledger'!$I$7:$I$1006,$D$5,'Cash Ledger'!$D$7:$D$1006,"Advance",'Cash Ledger'!$B$7:$B$1006,"&gt;="&amp;$A49,'Cash Ledger'!$B$7:$B$1006,"&lt;="&amp;($A49+6)))</f>
        <v/>
      </c>
      <c r="E49" s="266">
        <f>IF($A49&gt;TODAY(),"",SUMIFS('Cash Ledger'!$E$7:$E$1006,'Cash Ledger'!$I$7:$I$1006,$D$5,'Cash Ledger'!$D$7:$D$1006,"Correction",'Cash Ledger'!$B$7:$B$1006,"&gt;="&amp;$A49,'Cash Ledger'!$B$7:$B$1006,"&lt;="&amp;($A49+6)))</f>
        <v/>
      </c>
      <c r="F49" s="252">
        <f>IF($A49&gt;TODAY(),"",SUMIFS('Cash Ledger'!$E$7:$E$1006,'Cash Ledger'!$I$7:$I$1006,$D$5,'Cash Ledger'!$D$7:$D$1006,"Weekly pay",'Cash Ledger'!$B$7:$B$1006,"&gt;="&amp;$A49,'Cash Ledger'!$B$7:$B$1006,"&lt;="&amp;($A49+6)))</f>
        <v/>
      </c>
      <c r="G49" s="299">
        <f>IF($A49&gt;TODAY(),"",SUMPRODUCT((Weeks!$A$7:$A$59&lt;=$A49)*(Weeks!$X$5:$AI$5=$D$5)*Weeks!$X$7:$AI$59)-SUMIFS('Cash Ledger'!$E$7:$E$1006,'Cash Ledger'!$I$7:$I$1006,$D$5,'Cash Ledger'!$B$7:$B$1006,"&lt;="&amp;($A49+6)))</f>
        <v/>
      </c>
      <c r="H49" s="132">
        <f>IF(OR($A49&gt;TODAY(),$G49=""),"",IF(ROUND($G49,0)&lt;0,"owes you",IF(ROUND($G49,0)&gt;0,"you owe","settled")))</f>
        <v/>
      </c>
      <c r="I49" s="125" t="n"/>
      <c r="J49" s="126" t="n"/>
      <c r="K49" s="126" t="n"/>
      <c r="L49" s="126" t="n"/>
      <c r="M49" s="126" t="n"/>
      <c r="N49" s="126" t="n"/>
      <c r="O49" s="126" t="n"/>
      <c r="P49" s="126" t="n"/>
      <c r="Q49" s="126" t="n"/>
      <c r="R49" s="126" t="n"/>
      <c r="S49" s="126" t="n"/>
      <c r="T49" s="126" t="n"/>
      <c r="U49" s="126" t="n"/>
      <c r="V49" s="126" t="n"/>
      <c r="W49" s="126" t="n"/>
      <c r="X49" s="126" t="n"/>
      <c r="Y49" s="126" t="n"/>
      <c r="Z49" s="126" t="n"/>
      <c r="AA49" s="126" t="n"/>
      <c r="AB49" s="126" t="n"/>
      <c r="AC49" s="126" t="n"/>
      <c r="AD49" s="126" t="n"/>
      <c r="AE49" s="126" t="n"/>
      <c r="AF49" s="126" t="n"/>
      <c r="AG49" s="126" t="n"/>
      <c r="AH49" s="126" t="n"/>
      <c r="AI49" s="126" t="n"/>
      <c r="AJ49" s="126" t="n"/>
      <c r="AK49" s="126" t="n"/>
      <c r="AL49" s="126" t="n"/>
      <c r="AM49" s="126" t="n"/>
      <c r="AN49" s="126" t="n"/>
    </row>
    <row r="50" ht="21" customFormat="1" customHeight="1" s="127">
      <c r="A50" s="250">
        <f>Weeks!$A$49</f>
        <v/>
      </c>
      <c r="B50" s="51">
        <f>IF($A50&gt;TODAY(),"",IFERROR(INDEX(Weeks!$L$7:$W$59,MATCH($A50,Weeks!$A$7:$A$59,0),MATCH($D$5,Weeks!$L$5:$W$5,0)),0))</f>
        <v/>
      </c>
      <c r="C50" s="252">
        <f>IF($A50&gt;TODAY(),"",IFERROR(INDEX(Weeks!$X$7:$AI$59,MATCH($A50,Weeks!$A$7:$A$59,0),MATCH($D$5,Weeks!$X$5:$AI$5,0)),0))</f>
        <v/>
      </c>
      <c r="D50" s="252">
        <f>IF($A50&gt;TODAY(),"",SUMIFS('Cash Ledger'!$E$7:$E$1006,'Cash Ledger'!$I$7:$I$1006,$D$5,'Cash Ledger'!$D$7:$D$1006,"Advance",'Cash Ledger'!$B$7:$B$1006,"&gt;="&amp;$A50,'Cash Ledger'!$B$7:$B$1006,"&lt;="&amp;($A50+6)))</f>
        <v/>
      </c>
      <c r="E50" s="266">
        <f>IF($A50&gt;TODAY(),"",SUMIFS('Cash Ledger'!$E$7:$E$1006,'Cash Ledger'!$I$7:$I$1006,$D$5,'Cash Ledger'!$D$7:$D$1006,"Correction",'Cash Ledger'!$B$7:$B$1006,"&gt;="&amp;$A50,'Cash Ledger'!$B$7:$B$1006,"&lt;="&amp;($A50+6)))</f>
        <v/>
      </c>
      <c r="F50" s="252">
        <f>IF($A50&gt;TODAY(),"",SUMIFS('Cash Ledger'!$E$7:$E$1006,'Cash Ledger'!$I$7:$I$1006,$D$5,'Cash Ledger'!$D$7:$D$1006,"Weekly pay",'Cash Ledger'!$B$7:$B$1006,"&gt;="&amp;$A50,'Cash Ledger'!$B$7:$B$1006,"&lt;="&amp;($A50+6)))</f>
        <v/>
      </c>
      <c r="G50" s="299">
        <f>IF($A50&gt;TODAY(),"",SUMPRODUCT((Weeks!$A$7:$A$59&lt;=$A50)*(Weeks!$X$5:$AI$5=$D$5)*Weeks!$X$7:$AI$59)-SUMIFS('Cash Ledger'!$E$7:$E$1006,'Cash Ledger'!$I$7:$I$1006,$D$5,'Cash Ledger'!$B$7:$B$1006,"&lt;="&amp;($A50+6)))</f>
        <v/>
      </c>
      <c r="H50" s="132">
        <f>IF(OR($A50&gt;TODAY(),$G50=""),"",IF(ROUND($G50,0)&lt;0,"owes you",IF(ROUND($G50,0)&gt;0,"you owe","settled")))</f>
        <v/>
      </c>
      <c r="I50" s="125" t="n"/>
      <c r="J50" s="126" t="n"/>
      <c r="K50" s="126" t="n"/>
      <c r="L50" s="126" t="n"/>
      <c r="M50" s="126" t="n"/>
      <c r="N50" s="126" t="n"/>
      <c r="O50" s="126" t="n"/>
      <c r="P50" s="126" t="n"/>
      <c r="Q50" s="126" t="n"/>
      <c r="R50" s="126" t="n"/>
      <c r="S50" s="126" t="n"/>
      <c r="T50" s="126" t="n"/>
      <c r="U50" s="126" t="n"/>
      <c r="V50" s="126" t="n"/>
      <c r="W50" s="126" t="n"/>
      <c r="X50" s="126" t="n"/>
      <c r="Y50" s="126" t="n"/>
      <c r="Z50" s="126" t="n"/>
      <c r="AA50" s="126" t="n"/>
      <c r="AB50" s="126" t="n"/>
      <c r="AC50" s="126" t="n"/>
      <c r="AD50" s="126" t="n"/>
      <c r="AE50" s="126" t="n"/>
      <c r="AF50" s="126" t="n"/>
      <c r="AG50" s="126" t="n"/>
      <c r="AH50" s="126" t="n"/>
      <c r="AI50" s="126" t="n"/>
      <c r="AJ50" s="126" t="n"/>
      <c r="AK50" s="126" t="n"/>
      <c r="AL50" s="126" t="n"/>
      <c r="AM50" s="126" t="n"/>
      <c r="AN50" s="126" t="n"/>
    </row>
    <row r="51" ht="21" customFormat="1" customHeight="1" s="127">
      <c r="A51" s="250">
        <f>Weeks!$A$50</f>
        <v/>
      </c>
      <c r="B51" s="51">
        <f>IF($A51&gt;TODAY(),"",IFERROR(INDEX(Weeks!$L$7:$W$59,MATCH($A51,Weeks!$A$7:$A$59,0),MATCH($D$5,Weeks!$L$5:$W$5,0)),0))</f>
        <v/>
      </c>
      <c r="C51" s="252">
        <f>IF($A51&gt;TODAY(),"",IFERROR(INDEX(Weeks!$X$7:$AI$59,MATCH($A51,Weeks!$A$7:$A$59,0),MATCH($D$5,Weeks!$X$5:$AI$5,0)),0))</f>
        <v/>
      </c>
      <c r="D51" s="252">
        <f>IF($A51&gt;TODAY(),"",SUMIFS('Cash Ledger'!$E$7:$E$1006,'Cash Ledger'!$I$7:$I$1006,$D$5,'Cash Ledger'!$D$7:$D$1006,"Advance",'Cash Ledger'!$B$7:$B$1006,"&gt;="&amp;$A51,'Cash Ledger'!$B$7:$B$1006,"&lt;="&amp;($A51+6)))</f>
        <v/>
      </c>
      <c r="E51" s="266">
        <f>IF($A51&gt;TODAY(),"",SUMIFS('Cash Ledger'!$E$7:$E$1006,'Cash Ledger'!$I$7:$I$1006,$D$5,'Cash Ledger'!$D$7:$D$1006,"Correction",'Cash Ledger'!$B$7:$B$1006,"&gt;="&amp;$A51,'Cash Ledger'!$B$7:$B$1006,"&lt;="&amp;($A51+6)))</f>
        <v/>
      </c>
      <c r="F51" s="252">
        <f>IF($A51&gt;TODAY(),"",SUMIFS('Cash Ledger'!$E$7:$E$1006,'Cash Ledger'!$I$7:$I$1006,$D$5,'Cash Ledger'!$D$7:$D$1006,"Weekly pay",'Cash Ledger'!$B$7:$B$1006,"&gt;="&amp;$A51,'Cash Ledger'!$B$7:$B$1006,"&lt;="&amp;($A51+6)))</f>
        <v/>
      </c>
      <c r="G51" s="299">
        <f>IF($A51&gt;TODAY(),"",SUMPRODUCT((Weeks!$A$7:$A$59&lt;=$A51)*(Weeks!$X$5:$AI$5=$D$5)*Weeks!$X$7:$AI$59)-SUMIFS('Cash Ledger'!$E$7:$E$1006,'Cash Ledger'!$I$7:$I$1006,$D$5,'Cash Ledger'!$B$7:$B$1006,"&lt;="&amp;($A51+6)))</f>
        <v/>
      </c>
      <c r="H51" s="132">
        <f>IF(OR($A51&gt;TODAY(),$G51=""),"",IF(ROUND($G51,0)&lt;0,"owes you",IF(ROUND($G51,0)&gt;0,"you owe","settled")))</f>
        <v/>
      </c>
      <c r="I51" s="125" t="n"/>
      <c r="J51" s="126" t="n"/>
      <c r="K51" s="126" t="n"/>
      <c r="L51" s="126" t="n"/>
      <c r="M51" s="126" t="n"/>
      <c r="N51" s="126" t="n"/>
      <c r="O51" s="126" t="n"/>
      <c r="P51" s="126" t="n"/>
      <c r="Q51" s="126" t="n"/>
      <c r="R51" s="126" t="n"/>
      <c r="S51" s="126" t="n"/>
      <c r="T51" s="126" t="n"/>
      <c r="U51" s="126" t="n"/>
      <c r="V51" s="126" t="n"/>
      <c r="W51" s="126" t="n"/>
      <c r="X51" s="126" t="n"/>
      <c r="Y51" s="126" t="n"/>
      <c r="Z51" s="126" t="n"/>
      <c r="AA51" s="126" t="n"/>
      <c r="AB51" s="126" t="n"/>
      <c r="AC51" s="126" t="n"/>
      <c r="AD51" s="126" t="n"/>
      <c r="AE51" s="126" t="n"/>
      <c r="AF51" s="126" t="n"/>
      <c r="AG51" s="126" t="n"/>
      <c r="AH51" s="126" t="n"/>
      <c r="AI51" s="126" t="n"/>
      <c r="AJ51" s="126" t="n"/>
      <c r="AK51" s="126" t="n"/>
      <c r="AL51" s="126" t="n"/>
      <c r="AM51" s="126" t="n"/>
      <c r="AN51" s="126" t="n"/>
    </row>
    <row r="52" ht="21" customFormat="1" customHeight="1" s="127">
      <c r="A52" s="250">
        <f>Weeks!$A$51</f>
        <v/>
      </c>
      <c r="B52" s="51">
        <f>IF($A52&gt;TODAY(),"",IFERROR(INDEX(Weeks!$L$7:$W$59,MATCH($A52,Weeks!$A$7:$A$59,0),MATCH($D$5,Weeks!$L$5:$W$5,0)),0))</f>
        <v/>
      </c>
      <c r="C52" s="252">
        <f>IF($A52&gt;TODAY(),"",IFERROR(INDEX(Weeks!$X$7:$AI$59,MATCH($A52,Weeks!$A$7:$A$59,0),MATCH($D$5,Weeks!$X$5:$AI$5,0)),0))</f>
        <v/>
      </c>
      <c r="D52" s="252">
        <f>IF($A52&gt;TODAY(),"",SUMIFS('Cash Ledger'!$E$7:$E$1006,'Cash Ledger'!$I$7:$I$1006,$D$5,'Cash Ledger'!$D$7:$D$1006,"Advance",'Cash Ledger'!$B$7:$B$1006,"&gt;="&amp;$A52,'Cash Ledger'!$B$7:$B$1006,"&lt;="&amp;($A52+6)))</f>
        <v/>
      </c>
      <c r="E52" s="266">
        <f>IF($A52&gt;TODAY(),"",SUMIFS('Cash Ledger'!$E$7:$E$1006,'Cash Ledger'!$I$7:$I$1006,$D$5,'Cash Ledger'!$D$7:$D$1006,"Correction",'Cash Ledger'!$B$7:$B$1006,"&gt;="&amp;$A52,'Cash Ledger'!$B$7:$B$1006,"&lt;="&amp;($A52+6)))</f>
        <v/>
      </c>
      <c r="F52" s="252">
        <f>IF($A52&gt;TODAY(),"",SUMIFS('Cash Ledger'!$E$7:$E$1006,'Cash Ledger'!$I$7:$I$1006,$D$5,'Cash Ledger'!$D$7:$D$1006,"Weekly pay",'Cash Ledger'!$B$7:$B$1006,"&gt;="&amp;$A52,'Cash Ledger'!$B$7:$B$1006,"&lt;="&amp;($A52+6)))</f>
        <v/>
      </c>
      <c r="G52" s="299">
        <f>IF($A52&gt;TODAY(),"",SUMPRODUCT((Weeks!$A$7:$A$59&lt;=$A52)*(Weeks!$X$5:$AI$5=$D$5)*Weeks!$X$7:$AI$59)-SUMIFS('Cash Ledger'!$E$7:$E$1006,'Cash Ledger'!$I$7:$I$1006,$D$5,'Cash Ledger'!$B$7:$B$1006,"&lt;="&amp;($A52+6)))</f>
        <v/>
      </c>
      <c r="H52" s="132">
        <f>IF(OR($A52&gt;TODAY(),$G52=""),"",IF(ROUND($G52,0)&lt;0,"owes you",IF(ROUND($G52,0)&gt;0,"you owe","settled")))</f>
        <v/>
      </c>
      <c r="I52" s="125" t="n"/>
      <c r="J52" s="126" t="n"/>
      <c r="K52" s="126" t="n"/>
      <c r="L52" s="126" t="n"/>
      <c r="M52" s="126" t="n"/>
      <c r="N52" s="126" t="n"/>
      <c r="O52" s="126" t="n"/>
      <c r="P52" s="126" t="n"/>
      <c r="Q52" s="126" t="n"/>
      <c r="R52" s="126" t="n"/>
      <c r="S52" s="126" t="n"/>
      <c r="T52" s="126" t="n"/>
      <c r="U52" s="126" t="n"/>
      <c r="V52" s="126" t="n"/>
      <c r="W52" s="126" t="n"/>
      <c r="X52" s="126" t="n"/>
      <c r="Y52" s="126" t="n"/>
      <c r="Z52" s="126" t="n"/>
      <c r="AA52" s="126" t="n"/>
      <c r="AB52" s="126" t="n"/>
      <c r="AC52" s="126" t="n"/>
      <c r="AD52" s="126" t="n"/>
      <c r="AE52" s="126" t="n"/>
      <c r="AF52" s="126" t="n"/>
      <c r="AG52" s="126" t="n"/>
      <c r="AH52" s="126" t="n"/>
      <c r="AI52" s="126" t="n"/>
      <c r="AJ52" s="126" t="n"/>
      <c r="AK52" s="126" t="n"/>
      <c r="AL52" s="126" t="n"/>
      <c r="AM52" s="126" t="n"/>
      <c r="AN52" s="126" t="n"/>
    </row>
    <row r="53" ht="21" customFormat="1" customHeight="1" s="127">
      <c r="A53" s="250">
        <f>Weeks!$A$52</f>
        <v/>
      </c>
      <c r="B53" s="51">
        <f>IF($A53&gt;TODAY(),"",IFERROR(INDEX(Weeks!$L$7:$W$59,MATCH($A53,Weeks!$A$7:$A$59,0),MATCH($D$5,Weeks!$L$5:$W$5,0)),0))</f>
        <v/>
      </c>
      <c r="C53" s="252">
        <f>IF($A53&gt;TODAY(),"",IFERROR(INDEX(Weeks!$X$7:$AI$59,MATCH($A53,Weeks!$A$7:$A$59,0),MATCH($D$5,Weeks!$X$5:$AI$5,0)),0))</f>
        <v/>
      </c>
      <c r="D53" s="252">
        <f>IF($A53&gt;TODAY(),"",SUMIFS('Cash Ledger'!$E$7:$E$1006,'Cash Ledger'!$I$7:$I$1006,$D$5,'Cash Ledger'!$D$7:$D$1006,"Advance",'Cash Ledger'!$B$7:$B$1006,"&gt;="&amp;$A53,'Cash Ledger'!$B$7:$B$1006,"&lt;="&amp;($A53+6)))</f>
        <v/>
      </c>
      <c r="E53" s="266">
        <f>IF($A53&gt;TODAY(),"",SUMIFS('Cash Ledger'!$E$7:$E$1006,'Cash Ledger'!$I$7:$I$1006,$D$5,'Cash Ledger'!$D$7:$D$1006,"Correction",'Cash Ledger'!$B$7:$B$1006,"&gt;="&amp;$A53,'Cash Ledger'!$B$7:$B$1006,"&lt;="&amp;($A53+6)))</f>
        <v/>
      </c>
      <c r="F53" s="252">
        <f>IF($A53&gt;TODAY(),"",SUMIFS('Cash Ledger'!$E$7:$E$1006,'Cash Ledger'!$I$7:$I$1006,$D$5,'Cash Ledger'!$D$7:$D$1006,"Weekly pay",'Cash Ledger'!$B$7:$B$1006,"&gt;="&amp;$A53,'Cash Ledger'!$B$7:$B$1006,"&lt;="&amp;($A53+6)))</f>
        <v/>
      </c>
      <c r="G53" s="299">
        <f>IF($A53&gt;TODAY(),"",SUMPRODUCT((Weeks!$A$7:$A$59&lt;=$A53)*(Weeks!$X$5:$AI$5=$D$5)*Weeks!$X$7:$AI$59)-SUMIFS('Cash Ledger'!$E$7:$E$1006,'Cash Ledger'!$I$7:$I$1006,$D$5,'Cash Ledger'!$B$7:$B$1006,"&lt;="&amp;($A53+6)))</f>
        <v/>
      </c>
      <c r="H53" s="132">
        <f>IF(OR($A53&gt;TODAY(),$G53=""),"",IF(ROUND($G53,0)&lt;0,"owes you",IF(ROUND($G53,0)&gt;0,"you owe","settled")))</f>
        <v/>
      </c>
      <c r="I53" s="125" t="n"/>
      <c r="J53" s="126" t="n"/>
      <c r="K53" s="126" t="n"/>
      <c r="L53" s="126" t="n"/>
      <c r="M53" s="126" t="n"/>
      <c r="N53" s="126" t="n"/>
      <c r="O53" s="126" t="n"/>
      <c r="P53" s="126" t="n"/>
      <c r="Q53" s="126" t="n"/>
      <c r="R53" s="126" t="n"/>
      <c r="S53" s="126" t="n"/>
      <c r="T53" s="126" t="n"/>
      <c r="U53" s="126" t="n"/>
      <c r="V53" s="126" t="n"/>
      <c r="W53" s="126" t="n"/>
      <c r="X53" s="126" t="n"/>
      <c r="Y53" s="126" t="n"/>
      <c r="Z53" s="126" t="n"/>
      <c r="AA53" s="126" t="n"/>
      <c r="AB53" s="126" t="n"/>
      <c r="AC53" s="126" t="n"/>
      <c r="AD53" s="126" t="n"/>
      <c r="AE53" s="126" t="n"/>
      <c r="AF53" s="126" t="n"/>
      <c r="AG53" s="126" t="n"/>
      <c r="AH53" s="126" t="n"/>
      <c r="AI53" s="126" t="n"/>
      <c r="AJ53" s="126" t="n"/>
      <c r="AK53" s="126" t="n"/>
      <c r="AL53" s="126" t="n"/>
      <c r="AM53" s="126" t="n"/>
      <c r="AN53" s="126" t="n"/>
    </row>
    <row r="54" ht="21" customFormat="1" customHeight="1" s="127">
      <c r="A54" s="250">
        <f>Weeks!$A$53</f>
        <v/>
      </c>
      <c r="B54" s="51">
        <f>IF($A54&gt;TODAY(),"",IFERROR(INDEX(Weeks!$L$7:$W$59,MATCH($A54,Weeks!$A$7:$A$59,0),MATCH($D$5,Weeks!$L$5:$W$5,0)),0))</f>
        <v/>
      </c>
      <c r="C54" s="252">
        <f>IF($A54&gt;TODAY(),"",IFERROR(INDEX(Weeks!$X$7:$AI$59,MATCH($A54,Weeks!$A$7:$A$59,0),MATCH($D$5,Weeks!$X$5:$AI$5,0)),0))</f>
        <v/>
      </c>
      <c r="D54" s="252">
        <f>IF($A54&gt;TODAY(),"",SUMIFS('Cash Ledger'!$E$7:$E$1006,'Cash Ledger'!$I$7:$I$1006,$D$5,'Cash Ledger'!$D$7:$D$1006,"Advance",'Cash Ledger'!$B$7:$B$1006,"&gt;="&amp;$A54,'Cash Ledger'!$B$7:$B$1006,"&lt;="&amp;($A54+6)))</f>
        <v/>
      </c>
      <c r="E54" s="266">
        <f>IF($A54&gt;TODAY(),"",SUMIFS('Cash Ledger'!$E$7:$E$1006,'Cash Ledger'!$I$7:$I$1006,$D$5,'Cash Ledger'!$D$7:$D$1006,"Correction",'Cash Ledger'!$B$7:$B$1006,"&gt;="&amp;$A54,'Cash Ledger'!$B$7:$B$1006,"&lt;="&amp;($A54+6)))</f>
        <v/>
      </c>
      <c r="F54" s="252">
        <f>IF($A54&gt;TODAY(),"",SUMIFS('Cash Ledger'!$E$7:$E$1006,'Cash Ledger'!$I$7:$I$1006,$D$5,'Cash Ledger'!$D$7:$D$1006,"Weekly pay",'Cash Ledger'!$B$7:$B$1006,"&gt;="&amp;$A54,'Cash Ledger'!$B$7:$B$1006,"&lt;="&amp;($A54+6)))</f>
        <v/>
      </c>
      <c r="G54" s="299">
        <f>IF($A54&gt;TODAY(),"",SUMPRODUCT((Weeks!$A$7:$A$59&lt;=$A54)*(Weeks!$X$5:$AI$5=$D$5)*Weeks!$X$7:$AI$59)-SUMIFS('Cash Ledger'!$E$7:$E$1006,'Cash Ledger'!$I$7:$I$1006,$D$5,'Cash Ledger'!$B$7:$B$1006,"&lt;="&amp;($A54+6)))</f>
        <v/>
      </c>
      <c r="H54" s="132">
        <f>IF(OR($A54&gt;TODAY(),$G54=""),"",IF(ROUND($G54,0)&lt;0,"owes you",IF(ROUND($G54,0)&gt;0,"you owe","settled")))</f>
        <v/>
      </c>
      <c r="I54" s="125" t="n"/>
      <c r="J54" s="126" t="n"/>
      <c r="K54" s="126" t="n"/>
      <c r="L54" s="126" t="n"/>
      <c r="M54" s="126" t="n"/>
      <c r="N54" s="126" t="n"/>
      <c r="O54" s="126" t="n"/>
      <c r="P54" s="126" t="n"/>
      <c r="Q54" s="126" t="n"/>
      <c r="R54" s="126" t="n"/>
      <c r="S54" s="126" t="n"/>
      <c r="T54" s="126" t="n"/>
      <c r="U54" s="126" t="n"/>
      <c r="V54" s="126" t="n"/>
      <c r="W54" s="126" t="n"/>
      <c r="X54" s="126" t="n"/>
      <c r="Y54" s="126" t="n"/>
      <c r="Z54" s="126" t="n"/>
      <c r="AA54" s="126" t="n"/>
      <c r="AB54" s="126" t="n"/>
      <c r="AC54" s="126" t="n"/>
      <c r="AD54" s="126" t="n"/>
      <c r="AE54" s="126" t="n"/>
      <c r="AF54" s="126" t="n"/>
      <c r="AG54" s="126" t="n"/>
      <c r="AH54" s="126" t="n"/>
      <c r="AI54" s="126" t="n"/>
      <c r="AJ54" s="126" t="n"/>
      <c r="AK54" s="126" t="n"/>
      <c r="AL54" s="126" t="n"/>
      <c r="AM54" s="126" t="n"/>
      <c r="AN54" s="126" t="n"/>
    </row>
    <row r="55" ht="21" customFormat="1" customHeight="1" s="127">
      <c r="A55" s="250">
        <f>Weeks!$A$54</f>
        <v/>
      </c>
      <c r="B55" s="51">
        <f>IF($A55&gt;TODAY(),"",IFERROR(INDEX(Weeks!$L$7:$W$59,MATCH($A55,Weeks!$A$7:$A$59,0),MATCH($D$5,Weeks!$L$5:$W$5,0)),0))</f>
        <v/>
      </c>
      <c r="C55" s="252">
        <f>IF($A55&gt;TODAY(),"",IFERROR(INDEX(Weeks!$X$7:$AI$59,MATCH($A55,Weeks!$A$7:$A$59,0),MATCH($D$5,Weeks!$X$5:$AI$5,0)),0))</f>
        <v/>
      </c>
      <c r="D55" s="252">
        <f>IF($A55&gt;TODAY(),"",SUMIFS('Cash Ledger'!$E$7:$E$1006,'Cash Ledger'!$I$7:$I$1006,$D$5,'Cash Ledger'!$D$7:$D$1006,"Advance",'Cash Ledger'!$B$7:$B$1006,"&gt;="&amp;$A55,'Cash Ledger'!$B$7:$B$1006,"&lt;="&amp;($A55+6)))</f>
        <v/>
      </c>
      <c r="E55" s="266">
        <f>IF($A55&gt;TODAY(),"",SUMIFS('Cash Ledger'!$E$7:$E$1006,'Cash Ledger'!$I$7:$I$1006,$D$5,'Cash Ledger'!$D$7:$D$1006,"Correction",'Cash Ledger'!$B$7:$B$1006,"&gt;="&amp;$A55,'Cash Ledger'!$B$7:$B$1006,"&lt;="&amp;($A55+6)))</f>
        <v/>
      </c>
      <c r="F55" s="252">
        <f>IF($A55&gt;TODAY(),"",SUMIFS('Cash Ledger'!$E$7:$E$1006,'Cash Ledger'!$I$7:$I$1006,$D$5,'Cash Ledger'!$D$7:$D$1006,"Weekly pay",'Cash Ledger'!$B$7:$B$1006,"&gt;="&amp;$A55,'Cash Ledger'!$B$7:$B$1006,"&lt;="&amp;($A55+6)))</f>
        <v/>
      </c>
      <c r="G55" s="299">
        <f>IF($A55&gt;TODAY(),"",SUMPRODUCT((Weeks!$A$7:$A$59&lt;=$A55)*(Weeks!$X$5:$AI$5=$D$5)*Weeks!$X$7:$AI$59)-SUMIFS('Cash Ledger'!$E$7:$E$1006,'Cash Ledger'!$I$7:$I$1006,$D$5,'Cash Ledger'!$B$7:$B$1006,"&lt;="&amp;($A55+6)))</f>
        <v/>
      </c>
      <c r="H55" s="132">
        <f>IF(OR($A55&gt;TODAY(),$G55=""),"",IF(ROUND($G55,0)&lt;0,"owes you",IF(ROUND($G55,0)&gt;0,"you owe","settled")))</f>
        <v/>
      </c>
      <c r="I55" s="125" t="n"/>
      <c r="J55" s="126" t="n"/>
      <c r="K55" s="126" t="n"/>
      <c r="L55" s="126" t="n"/>
      <c r="M55" s="126" t="n"/>
      <c r="N55" s="126" t="n"/>
      <c r="O55" s="126" t="n"/>
      <c r="P55" s="126" t="n"/>
      <c r="Q55" s="126" t="n"/>
      <c r="R55" s="126" t="n"/>
      <c r="S55" s="126" t="n"/>
      <c r="T55" s="126" t="n"/>
      <c r="U55" s="126" t="n"/>
      <c r="V55" s="126" t="n"/>
      <c r="W55" s="126" t="n"/>
      <c r="X55" s="126" t="n"/>
      <c r="Y55" s="126" t="n"/>
      <c r="Z55" s="126" t="n"/>
      <c r="AA55" s="126" t="n"/>
      <c r="AB55" s="126" t="n"/>
      <c r="AC55" s="126" t="n"/>
      <c r="AD55" s="126" t="n"/>
      <c r="AE55" s="126" t="n"/>
      <c r="AF55" s="126" t="n"/>
      <c r="AG55" s="126" t="n"/>
      <c r="AH55" s="126" t="n"/>
      <c r="AI55" s="126" t="n"/>
      <c r="AJ55" s="126" t="n"/>
      <c r="AK55" s="126" t="n"/>
      <c r="AL55" s="126" t="n"/>
      <c r="AM55" s="126" t="n"/>
      <c r="AN55" s="126" t="n"/>
    </row>
    <row r="56" ht="21" customFormat="1" customHeight="1" s="127">
      <c r="A56" s="250">
        <f>Weeks!$A$55</f>
        <v/>
      </c>
      <c r="B56" s="51">
        <f>IF($A56&gt;TODAY(),"",IFERROR(INDEX(Weeks!$L$7:$W$59,MATCH($A56,Weeks!$A$7:$A$59,0),MATCH($D$5,Weeks!$L$5:$W$5,0)),0))</f>
        <v/>
      </c>
      <c r="C56" s="252">
        <f>IF($A56&gt;TODAY(),"",IFERROR(INDEX(Weeks!$X$7:$AI$59,MATCH($A56,Weeks!$A$7:$A$59,0),MATCH($D$5,Weeks!$X$5:$AI$5,0)),0))</f>
        <v/>
      </c>
      <c r="D56" s="252">
        <f>IF($A56&gt;TODAY(),"",SUMIFS('Cash Ledger'!$E$7:$E$1006,'Cash Ledger'!$I$7:$I$1006,$D$5,'Cash Ledger'!$D$7:$D$1006,"Advance",'Cash Ledger'!$B$7:$B$1006,"&gt;="&amp;$A56,'Cash Ledger'!$B$7:$B$1006,"&lt;="&amp;($A56+6)))</f>
        <v/>
      </c>
      <c r="E56" s="266">
        <f>IF($A56&gt;TODAY(),"",SUMIFS('Cash Ledger'!$E$7:$E$1006,'Cash Ledger'!$I$7:$I$1006,$D$5,'Cash Ledger'!$D$7:$D$1006,"Correction",'Cash Ledger'!$B$7:$B$1006,"&gt;="&amp;$A56,'Cash Ledger'!$B$7:$B$1006,"&lt;="&amp;($A56+6)))</f>
        <v/>
      </c>
      <c r="F56" s="252">
        <f>IF($A56&gt;TODAY(),"",SUMIFS('Cash Ledger'!$E$7:$E$1006,'Cash Ledger'!$I$7:$I$1006,$D$5,'Cash Ledger'!$D$7:$D$1006,"Weekly pay",'Cash Ledger'!$B$7:$B$1006,"&gt;="&amp;$A56,'Cash Ledger'!$B$7:$B$1006,"&lt;="&amp;($A56+6)))</f>
        <v/>
      </c>
      <c r="G56" s="299">
        <f>IF($A56&gt;TODAY(),"",SUMPRODUCT((Weeks!$A$7:$A$59&lt;=$A56)*(Weeks!$X$5:$AI$5=$D$5)*Weeks!$X$7:$AI$59)-SUMIFS('Cash Ledger'!$E$7:$E$1006,'Cash Ledger'!$I$7:$I$1006,$D$5,'Cash Ledger'!$B$7:$B$1006,"&lt;="&amp;($A56+6)))</f>
        <v/>
      </c>
      <c r="H56" s="132">
        <f>IF(OR($A56&gt;TODAY(),$G56=""),"",IF(ROUND($G56,0)&lt;0,"owes you",IF(ROUND($G56,0)&gt;0,"you owe","settled")))</f>
        <v/>
      </c>
      <c r="I56" s="125" t="n"/>
      <c r="J56" s="126" t="n"/>
      <c r="K56" s="126" t="n"/>
      <c r="L56" s="126" t="n"/>
      <c r="M56" s="126" t="n"/>
      <c r="N56" s="126" t="n"/>
      <c r="O56" s="126" t="n"/>
      <c r="P56" s="126" t="n"/>
      <c r="Q56" s="126" t="n"/>
      <c r="R56" s="126" t="n"/>
      <c r="S56" s="126" t="n"/>
      <c r="T56" s="126" t="n"/>
      <c r="U56" s="126" t="n"/>
      <c r="V56" s="126" t="n"/>
      <c r="W56" s="126" t="n"/>
      <c r="X56" s="126" t="n"/>
      <c r="Y56" s="126" t="n"/>
      <c r="Z56" s="126" t="n"/>
      <c r="AA56" s="126" t="n"/>
      <c r="AB56" s="126" t="n"/>
      <c r="AC56" s="126" t="n"/>
      <c r="AD56" s="126" t="n"/>
      <c r="AE56" s="126" t="n"/>
      <c r="AF56" s="126" t="n"/>
      <c r="AG56" s="126" t="n"/>
      <c r="AH56" s="126" t="n"/>
      <c r="AI56" s="126" t="n"/>
      <c r="AJ56" s="126" t="n"/>
      <c r="AK56" s="126" t="n"/>
      <c r="AL56" s="126" t="n"/>
      <c r="AM56" s="126" t="n"/>
      <c r="AN56" s="126" t="n"/>
    </row>
    <row r="57" ht="21" customFormat="1" customHeight="1" s="127">
      <c r="A57" s="250">
        <f>Weeks!$A$56</f>
        <v/>
      </c>
      <c r="B57" s="51">
        <f>IF($A57&gt;TODAY(),"",IFERROR(INDEX(Weeks!$L$7:$W$59,MATCH($A57,Weeks!$A$7:$A$59,0),MATCH($D$5,Weeks!$L$5:$W$5,0)),0))</f>
        <v/>
      </c>
      <c r="C57" s="252">
        <f>IF($A57&gt;TODAY(),"",IFERROR(INDEX(Weeks!$X$7:$AI$59,MATCH($A57,Weeks!$A$7:$A$59,0),MATCH($D$5,Weeks!$X$5:$AI$5,0)),0))</f>
        <v/>
      </c>
      <c r="D57" s="252">
        <f>IF($A57&gt;TODAY(),"",SUMIFS('Cash Ledger'!$E$7:$E$1006,'Cash Ledger'!$I$7:$I$1006,$D$5,'Cash Ledger'!$D$7:$D$1006,"Advance",'Cash Ledger'!$B$7:$B$1006,"&gt;="&amp;$A57,'Cash Ledger'!$B$7:$B$1006,"&lt;="&amp;($A57+6)))</f>
        <v/>
      </c>
      <c r="E57" s="266">
        <f>IF($A57&gt;TODAY(),"",SUMIFS('Cash Ledger'!$E$7:$E$1006,'Cash Ledger'!$I$7:$I$1006,$D$5,'Cash Ledger'!$D$7:$D$1006,"Correction",'Cash Ledger'!$B$7:$B$1006,"&gt;="&amp;$A57,'Cash Ledger'!$B$7:$B$1006,"&lt;="&amp;($A57+6)))</f>
        <v/>
      </c>
      <c r="F57" s="252">
        <f>IF($A57&gt;TODAY(),"",SUMIFS('Cash Ledger'!$E$7:$E$1006,'Cash Ledger'!$I$7:$I$1006,$D$5,'Cash Ledger'!$D$7:$D$1006,"Weekly pay",'Cash Ledger'!$B$7:$B$1006,"&gt;="&amp;$A57,'Cash Ledger'!$B$7:$B$1006,"&lt;="&amp;($A57+6)))</f>
        <v/>
      </c>
      <c r="G57" s="299">
        <f>IF($A57&gt;TODAY(),"",SUMPRODUCT((Weeks!$A$7:$A$59&lt;=$A57)*(Weeks!$X$5:$AI$5=$D$5)*Weeks!$X$7:$AI$59)-SUMIFS('Cash Ledger'!$E$7:$E$1006,'Cash Ledger'!$I$7:$I$1006,$D$5,'Cash Ledger'!$B$7:$B$1006,"&lt;="&amp;($A57+6)))</f>
        <v/>
      </c>
      <c r="H57" s="132">
        <f>IF(OR($A57&gt;TODAY(),$G57=""),"",IF(ROUND($G57,0)&lt;0,"owes you",IF(ROUND($G57,0)&gt;0,"you owe","settled")))</f>
        <v/>
      </c>
      <c r="I57" s="125" t="n"/>
      <c r="J57" s="126" t="n"/>
      <c r="K57" s="126" t="n"/>
      <c r="L57" s="126" t="n"/>
      <c r="M57" s="126" t="n"/>
      <c r="N57" s="126" t="n"/>
      <c r="O57" s="126" t="n"/>
      <c r="P57" s="126" t="n"/>
      <c r="Q57" s="126" t="n"/>
      <c r="R57" s="126" t="n"/>
      <c r="S57" s="126" t="n"/>
      <c r="T57" s="126" t="n"/>
      <c r="U57" s="126" t="n"/>
      <c r="V57" s="126" t="n"/>
      <c r="W57" s="126" t="n"/>
      <c r="X57" s="126" t="n"/>
      <c r="Y57" s="126" t="n"/>
      <c r="Z57" s="126" t="n"/>
      <c r="AA57" s="126" t="n"/>
      <c r="AB57" s="126" t="n"/>
      <c r="AC57" s="126" t="n"/>
      <c r="AD57" s="126" t="n"/>
      <c r="AE57" s="126" t="n"/>
      <c r="AF57" s="126" t="n"/>
      <c r="AG57" s="126" t="n"/>
      <c r="AH57" s="126" t="n"/>
      <c r="AI57" s="126" t="n"/>
      <c r="AJ57" s="126" t="n"/>
      <c r="AK57" s="126" t="n"/>
      <c r="AL57" s="126" t="n"/>
      <c r="AM57" s="126" t="n"/>
      <c r="AN57" s="126" t="n"/>
    </row>
    <row r="58" ht="21" customFormat="1" customHeight="1" s="127">
      <c r="A58" s="250">
        <f>Weeks!$A$57</f>
        <v/>
      </c>
      <c r="B58" s="51">
        <f>IF($A58&gt;TODAY(),"",IFERROR(INDEX(Weeks!$L$7:$W$59,MATCH($A58,Weeks!$A$7:$A$59,0),MATCH($D$5,Weeks!$L$5:$W$5,0)),0))</f>
        <v/>
      </c>
      <c r="C58" s="252">
        <f>IF($A58&gt;TODAY(),"",IFERROR(INDEX(Weeks!$X$7:$AI$59,MATCH($A58,Weeks!$A$7:$A$59,0),MATCH($D$5,Weeks!$X$5:$AI$5,0)),0))</f>
        <v/>
      </c>
      <c r="D58" s="252">
        <f>IF($A58&gt;TODAY(),"",SUMIFS('Cash Ledger'!$E$7:$E$1006,'Cash Ledger'!$I$7:$I$1006,$D$5,'Cash Ledger'!$D$7:$D$1006,"Advance",'Cash Ledger'!$B$7:$B$1006,"&gt;="&amp;$A58,'Cash Ledger'!$B$7:$B$1006,"&lt;="&amp;($A58+6)))</f>
        <v/>
      </c>
      <c r="E58" s="266">
        <f>IF($A58&gt;TODAY(),"",SUMIFS('Cash Ledger'!$E$7:$E$1006,'Cash Ledger'!$I$7:$I$1006,$D$5,'Cash Ledger'!$D$7:$D$1006,"Correction",'Cash Ledger'!$B$7:$B$1006,"&gt;="&amp;$A58,'Cash Ledger'!$B$7:$B$1006,"&lt;="&amp;($A58+6)))</f>
        <v/>
      </c>
      <c r="F58" s="252">
        <f>IF($A58&gt;TODAY(),"",SUMIFS('Cash Ledger'!$E$7:$E$1006,'Cash Ledger'!$I$7:$I$1006,$D$5,'Cash Ledger'!$D$7:$D$1006,"Weekly pay",'Cash Ledger'!$B$7:$B$1006,"&gt;="&amp;$A58,'Cash Ledger'!$B$7:$B$1006,"&lt;="&amp;($A58+6)))</f>
        <v/>
      </c>
      <c r="G58" s="299">
        <f>IF($A58&gt;TODAY(),"",SUMPRODUCT((Weeks!$A$7:$A$59&lt;=$A58)*(Weeks!$X$5:$AI$5=$D$5)*Weeks!$X$7:$AI$59)-SUMIFS('Cash Ledger'!$E$7:$E$1006,'Cash Ledger'!$I$7:$I$1006,$D$5,'Cash Ledger'!$B$7:$B$1006,"&lt;="&amp;($A58+6)))</f>
        <v/>
      </c>
      <c r="H58" s="132">
        <f>IF(OR($A58&gt;TODAY(),$G58=""),"",IF(ROUND($G58,0)&lt;0,"owes you",IF(ROUND($G58,0)&gt;0,"you owe","settled")))</f>
        <v/>
      </c>
      <c r="I58" s="125" t="n"/>
      <c r="J58" s="126" t="n"/>
      <c r="K58" s="126" t="n"/>
      <c r="L58" s="126" t="n"/>
      <c r="M58" s="126" t="n"/>
      <c r="N58" s="126" t="n"/>
      <c r="O58" s="126" t="n"/>
      <c r="P58" s="126" t="n"/>
      <c r="Q58" s="126" t="n"/>
      <c r="R58" s="126" t="n"/>
      <c r="S58" s="126" t="n"/>
      <c r="T58" s="126" t="n"/>
      <c r="U58" s="126" t="n"/>
      <c r="V58" s="126" t="n"/>
      <c r="W58" s="126" t="n"/>
      <c r="X58" s="126" t="n"/>
      <c r="Y58" s="126" t="n"/>
      <c r="Z58" s="126" t="n"/>
      <c r="AA58" s="126" t="n"/>
      <c r="AB58" s="126" t="n"/>
      <c r="AC58" s="126" t="n"/>
      <c r="AD58" s="126" t="n"/>
      <c r="AE58" s="126" t="n"/>
      <c r="AF58" s="126" t="n"/>
      <c r="AG58" s="126" t="n"/>
      <c r="AH58" s="126" t="n"/>
      <c r="AI58" s="126" t="n"/>
      <c r="AJ58" s="126" t="n"/>
      <c r="AK58" s="126" t="n"/>
      <c r="AL58" s="126" t="n"/>
      <c r="AM58" s="126" t="n"/>
      <c r="AN58" s="126" t="n"/>
    </row>
    <row r="59" ht="21" customFormat="1" customHeight="1" s="127">
      <c r="A59" s="250">
        <f>Weeks!$A$58</f>
        <v/>
      </c>
      <c r="B59" s="51">
        <f>IF($A59&gt;TODAY(),"",IFERROR(INDEX(Weeks!$L$7:$W$59,MATCH($A59,Weeks!$A$7:$A$59,0),MATCH($D$5,Weeks!$L$5:$W$5,0)),0))</f>
        <v/>
      </c>
      <c r="C59" s="252">
        <f>IF($A59&gt;TODAY(),"",IFERROR(INDEX(Weeks!$X$7:$AI$59,MATCH($A59,Weeks!$A$7:$A$59,0),MATCH($D$5,Weeks!$X$5:$AI$5,0)),0))</f>
        <v/>
      </c>
      <c r="D59" s="252">
        <f>IF($A59&gt;TODAY(),"",SUMIFS('Cash Ledger'!$E$7:$E$1006,'Cash Ledger'!$I$7:$I$1006,$D$5,'Cash Ledger'!$D$7:$D$1006,"Advance",'Cash Ledger'!$B$7:$B$1006,"&gt;="&amp;$A59,'Cash Ledger'!$B$7:$B$1006,"&lt;="&amp;($A59+6)))</f>
        <v/>
      </c>
      <c r="E59" s="266">
        <f>IF($A59&gt;TODAY(),"",SUMIFS('Cash Ledger'!$E$7:$E$1006,'Cash Ledger'!$I$7:$I$1006,$D$5,'Cash Ledger'!$D$7:$D$1006,"Correction",'Cash Ledger'!$B$7:$B$1006,"&gt;="&amp;$A59,'Cash Ledger'!$B$7:$B$1006,"&lt;="&amp;($A59+6)))</f>
        <v/>
      </c>
      <c r="F59" s="252">
        <f>IF($A59&gt;TODAY(),"",SUMIFS('Cash Ledger'!$E$7:$E$1006,'Cash Ledger'!$I$7:$I$1006,$D$5,'Cash Ledger'!$D$7:$D$1006,"Weekly pay",'Cash Ledger'!$B$7:$B$1006,"&gt;="&amp;$A59,'Cash Ledger'!$B$7:$B$1006,"&lt;="&amp;($A59+6)))</f>
        <v/>
      </c>
      <c r="G59" s="299">
        <f>IF($A59&gt;TODAY(),"",SUMPRODUCT((Weeks!$A$7:$A$59&lt;=$A59)*(Weeks!$X$5:$AI$5=$D$5)*Weeks!$X$7:$AI$59)-SUMIFS('Cash Ledger'!$E$7:$E$1006,'Cash Ledger'!$I$7:$I$1006,$D$5,'Cash Ledger'!$B$7:$B$1006,"&lt;="&amp;($A59+6)))</f>
        <v/>
      </c>
      <c r="H59" s="132">
        <f>IF(OR($A59&gt;TODAY(),$G59=""),"",IF(ROUND($G59,0)&lt;0,"owes you",IF(ROUND($G59,0)&gt;0,"you owe","settled")))</f>
        <v/>
      </c>
      <c r="I59" s="125" t="n"/>
      <c r="J59" s="126" t="n"/>
      <c r="K59" s="126" t="n"/>
      <c r="L59" s="126" t="n"/>
      <c r="M59" s="126" t="n"/>
      <c r="N59" s="126" t="n"/>
      <c r="O59" s="126" t="n"/>
      <c r="P59" s="126" t="n"/>
      <c r="Q59" s="126" t="n"/>
      <c r="R59" s="126" t="n"/>
      <c r="S59" s="126" t="n"/>
      <c r="T59" s="126" t="n"/>
      <c r="U59" s="126" t="n"/>
      <c r="V59" s="126" t="n"/>
      <c r="W59" s="126" t="n"/>
      <c r="X59" s="126" t="n"/>
      <c r="Y59" s="126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  <c r="AN59" s="126" t="n"/>
    </row>
    <row r="60" ht="21" customFormat="1" customHeight="1" s="127">
      <c r="A60" s="300">
        <f>Weeks!$A$59</f>
        <v/>
      </c>
      <c r="B60" s="46">
        <f>IF($A60&gt;TODAY(),"",IFERROR(INDEX(Weeks!$L$7:$W$59,MATCH($A60,Weeks!$A$7:$A$59,0),MATCH($D$5,Weeks!$L$5:$W$5,0)),0))</f>
        <v/>
      </c>
      <c r="C60" s="258">
        <f>IF($A60&gt;TODAY(),"",IFERROR(INDEX(Weeks!$X$7:$AI$59,MATCH($A60,Weeks!$A$7:$A$59,0),MATCH($D$5,Weeks!$X$5:$AI$5,0)),0))</f>
        <v/>
      </c>
      <c r="D60" s="258">
        <f>IF($A60&gt;TODAY(),"",SUMIFS('Cash Ledger'!$E$7:$E$1006,'Cash Ledger'!$I$7:$I$1006,$D$5,'Cash Ledger'!$D$7:$D$1006,"Advance",'Cash Ledger'!$B$7:$B$1006,"&gt;="&amp;$A60,'Cash Ledger'!$B$7:$B$1006,"&lt;="&amp;($A60+6)))</f>
        <v/>
      </c>
      <c r="E60" s="271">
        <f>IF($A60&gt;TODAY(),"",SUMIFS('Cash Ledger'!$E$7:$E$1006,'Cash Ledger'!$I$7:$I$1006,$D$5,'Cash Ledger'!$D$7:$D$1006,"Correction",'Cash Ledger'!$B$7:$B$1006,"&gt;="&amp;$A60,'Cash Ledger'!$B$7:$B$1006,"&lt;="&amp;($A60+6)))</f>
        <v/>
      </c>
      <c r="F60" s="258">
        <f>IF($A60&gt;TODAY(),"",SUMIFS('Cash Ledger'!$E$7:$E$1006,'Cash Ledger'!$I$7:$I$1006,$D$5,'Cash Ledger'!$D$7:$D$1006,"Weekly pay",'Cash Ledger'!$B$7:$B$1006,"&gt;="&amp;$A60,'Cash Ledger'!$B$7:$B$1006,"&lt;="&amp;($A60+6)))</f>
        <v/>
      </c>
      <c r="G60" s="301">
        <f>IF($A60&gt;TODAY(),"",SUMPRODUCT((Weeks!$A$7:$A$59&lt;=$A60)*(Weeks!$X$5:$AI$5=$D$5)*Weeks!$X$7:$AI$59)-SUMIFS('Cash Ledger'!$E$7:$E$1006,'Cash Ledger'!$I$7:$I$1006,$D$5,'Cash Ledger'!$B$7:$B$1006,"&lt;="&amp;($A60+6)))</f>
        <v/>
      </c>
      <c r="H60" s="135">
        <f>IF(OR($A60&gt;TODAY(),$G60=""),"",IF(ROUND($G60,0)&lt;0,"owes you",IF(ROUND($G60,0)&gt;0,"you owe","settled")))</f>
        <v/>
      </c>
      <c r="I60" s="137" t="n"/>
      <c r="J60" s="126" t="n"/>
      <c r="K60" s="126" t="n"/>
      <c r="L60" s="126" t="n"/>
      <c r="M60" s="126" t="n"/>
      <c r="N60" s="126" t="n"/>
      <c r="O60" s="126" t="n"/>
      <c r="P60" s="126" t="n"/>
      <c r="Q60" s="126" t="n"/>
      <c r="R60" s="126" t="n"/>
      <c r="S60" s="126" t="n"/>
      <c r="T60" s="126" t="n"/>
      <c r="U60" s="126" t="n"/>
      <c r="V60" s="126" t="n"/>
      <c r="W60" s="126" t="n"/>
      <c r="X60" s="126" t="n"/>
      <c r="Y60" s="126" t="n"/>
      <c r="Z60" s="126" t="n"/>
      <c r="AA60" s="126" t="n"/>
      <c r="AB60" s="126" t="n"/>
      <c r="AC60" s="126" t="n"/>
      <c r="AD60" s="126" t="n"/>
      <c r="AE60" s="126" t="n"/>
      <c r="AF60" s="126" t="n"/>
      <c r="AG60" s="126" t="n"/>
      <c r="AH60" s="126" t="n"/>
      <c r="AI60" s="126" t="n"/>
      <c r="AJ60" s="126" t="n"/>
      <c r="AK60" s="126" t="n"/>
      <c r="AL60" s="126" t="n"/>
      <c r="AM60" s="126" t="n"/>
      <c r="AN60" s="126" t="n"/>
    </row>
  </sheetData>
  <mergeCells count="10">
    <mergeCell ref="D1:E1"/>
    <mergeCell ref="V1:W1"/>
    <mergeCell ref="T1:U1"/>
    <mergeCell ref="K1:L1"/>
    <mergeCell ref="O1:P1"/>
    <mergeCell ref="A1:B1"/>
    <mergeCell ref="M1:N1"/>
    <mergeCell ref="R1:S1"/>
    <mergeCell ref="F1:G1"/>
    <mergeCell ref="I1:J1"/>
  </mergeCells>
  <dataValidations count="1">
    <dataValidation sqref="C5" showDropDown="0" showInputMessage="0" showErrorMessage="1" allowBlank="1" error="Pick a value from the list." type="list">
      <formula1>WorkerNames</formula1>
      <formula2>0</formula2>
    </dataValidation>
  </dataValidations>
  <hyperlinks>
    <hyperlink ref="C1" location="'Home'!A1" tooltip="Go to Home" display="Home"/>
    <hyperlink ref="D1" location="'Daily Log'!A1" tooltip="Go to Daily Log" display="Daily Log"/>
    <hyperlink ref="F1" location="'Cash Ledger'!A1" tooltip="Go to Cash Ledger" display="Cash Ledger"/>
    <hyperlink ref="H1" location="'Weekly Pay'!A1" tooltip="Go to Weekly Pay" display="Weekly Pay"/>
    <hyperlink ref="I1" location="'Payslip'!A1" tooltip="Go to Payslip" display="Payslip"/>
    <hyperlink ref="K1" location="'Workers'!A1" tooltip="Go to Workers" display="Workers"/>
    <hyperlink ref="M1" location="'Settings'!A1" tooltip="Go to Settings" display="Settings"/>
    <hyperlink ref="O1" location="'Guide'!A1" tooltip="Go to Guide" display="Guide"/>
    <hyperlink ref="T1" location="'Weeks'!A1" tooltip="Go to Weeks" display="Weeks"/>
    <hyperlink ref="V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94A3B8"/>
    <outlinePr summaryBelow="1" summaryRight="1"/>
    <pageSetUpPr/>
  </sheetPr>
  <dimension ref="A1:AN17"/>
  <sheetViews>
    <sheetView showGridLines="0" zoomScaleNormal="100" workbookViewId="0">
      <pane ySplit="5" topLeftCell="A6" activePane="bottomLeft" state="frozen"/>
      <selection pane="bottomLeft" activeCell="I1" sqref="I1:J1"/>
    </sheetView>
  </sheetViews>
  <sheetFormatPr baseColWidth="8" defaultColWidth="8.5703125" defaultRowHeight="15"/>
  <cols>
    <col width="7" customWidth="1" min="1" max="1"/>
    <col width="24" customWidth="1" min="2" max="2"/>
    <col width="10" customWidth="1" min="3" max="3"/>
    <col width="12" customWidth="1" min="4" max="5"/>
    <col width="16" customWidth="1" min="6" max="6"/>
    <col width="30" customWidth="1" min="7" max="7"/>
    <col width="34" customWidth="1" min="8" max="8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220" t="inlineStr">
        <is>
          <t>Daily Log</t>
        </is>
      </c>
      <c r="F1" s="220" t="inlineStr">
        <is>
          <t>Cash Ledger</t>
        </is>
      </c>
      <c r="H1" s="176" t="inlineStr">
        <is>
          <t>Weekly Pay</t>
        </is>
      </c>
      <c r="I1" s="220" t="inlineStr">
        <is>
          <t>Payslip</t>
        </is>
      </c>
      <c r="K1" s="205" t="inlineStr">
        <is>
          <t>Workers</t>
        </is>
      </c>
      <c r="M1" s="220" t="inlineStr">
        <is>
          <t>Settings</t>
        </is>
      </c>
      <c r="O1" s="220" t="inlineStr">
        <is>
          <t>Guide</t>
        </is>
      </c>
      <c r="Q1" s="31" t="inlineStr">
        <is>
          <t>·</t>
        </is>
      </c>
      <c r="R1" s="222" t="inlineStr">
        <is>
          <t>History</t>
        </is>
      </c>
      <c r="T1" s="222" t="inlineStr">
        <is>
          <t>Weeks</t>
        </is>
      </c>
      <c r="V1" s="222" t="inlineStr">
        <is>
          <t>Checks</t>
        </is>
      </c>
      <c r="X1" s="32" t="n"/>
      <c r="Y1" s="32" t="n"/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Workers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34" t="n"/>
      <c r="L2" s="34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Add a worker: fill the next empty slot and set Active. Remove one: set Left. Never delete or reuse a slot - that keeps each person's history intact.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217" t="n"/>
      <c r="B4" s="217" t="n"/>
      <c r="C4" s="217" t="n"/>
      <c r="D4" s="217" t="n"/>
      <c r="E4" s="217" t="n"/>
      <c r="F4" s="217" t="n"/>
      <c r="G4" s="217" t="n"/>
      <c r="H4" s="217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32.1" customFormat="1" customHeight="1" s="127">
      <c r="A5" s="58" t="inlineStr">
        <is>
          <t>ID</t>
        </is>
      </c>
      <c r="B5" s="58" t="inlineStr">
        <is>
          <t>Name</t>
        </is>
      </c>
      <c r="C5" s="58" t="inlineStr">
        <is>
          <t>Status</t>
        </is>
      </c>
      <c r="D5" s="58" t="inlineStr">
        <is>
          <t>Joined</t>
        </is>
      </c>
      <c r="E5" s="58" t="inlineStr">
        <is>
          <t>Left on</t>
        </is>
      </c>
      <c r="F5" s="58" t="inlineStr">
        <is>
          <t>Phone</t>
        </is>
      </c>
      <c r="G5" s="58" t="inlineStr">
        <is>
          <t>Notes</t>
        </is>
      </c>
      <c r="H5" s="58" t="inlineStr">
        <is>
          <t>Check</t>
        </is>
      </c>
      <c r="I5" s="125" t="n"/>
      <c r="J5" s="126" t="n"/>
      <c r="K5" s="126" t="n"/>
      <c r="L5" s="126" t="n"/>
      <c r="M5" s="126" t="n"/>
      <c r="N5" s="126" t="n"/>
      <c r="O5" s="126" t="n"/>
      <c r="P5" s="126" t="n"/>
      <c r="Q5" s="126" t="n"/>
      <c r="R5" s="126" t="n"/>
      <c r="S5" s="126" t="n"/>
      <c r="T5" s="126" t="n"/>
      <c r="U5" s="126" t="n"/>
      <c r="V5" s="126" t="n"/>
      <c r="W5" s="126" t="n"/>
      <c r="X5" s="126" t="n"/>
      <c r="Y5" s="126" t="n"/>
      <c r="Z5" s="126" t="n"/>
      <c r="AA5" s="126" t="n"/>
      <c r="AB5" s="126" t="n"/>
      <c r="AC5" s="126" t="n"/>
      <c r="AD5" s="126" t="n"/>
      <c r="AE5" s="126" t="n"/>
      <c r="AF5" s="126" t="n"/>
      <c r="AG5" s="126" t="n"/>
      <c r="AH5" s="126" t="n"/>
      <c r="AI5" s="126" t="n"/>
      <c r="AJ5" s="126" t="n"/>
      <c r="AK5" s="126" t="n"/>
      <c r="AL5" s="126" t="n"/>
      <c r="AM5" s="126" t="n"/>
      <c r="AN5" s="126" t="n"/>
    </row>
    <row r="6" ht="21" customFormat="1" customHeight="1" s="127">
      <c r="A6" s="107" t="inlineStr">
        <is>
          <t>W01</t>
        </is>
      </c>
      <c r="B6" s="130" t="inlineStr">
        <is>
          <t>Davlatbek</t>
        </is>
      </c>
      <c r="C6" s="43" t="inlineStr">
        <is>
          <t>Active</t>
        </is>
      </c>
      <c r="D6" s="261" t="n">
        <v>46286</v>
      </c>
      <c r="E6" s="302" t="n"/>
      <c r="F6" s="169" t="n"/>
      <c r="G6" s="130" t="n"/>
      <c r="H6" s="129">
        <f>IF($B6="",IF($C6&lt;&gt;"","status set but no name",""),IF(COUNTIF($B$6:$B$17,$B6)&gt;1,"same name twice - make it unique",IF($C6="","choose Active or Left","")))</f>
        <v/>
      </c>
      <c r="I6" s="125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</row>
    <row r="7" ht="21" customFormat="1" customHeight="1" s="127">
      <c r="A7" s="108" t="inlineStr">
        <is>
          <t>W02</t>
        </is>
      </c>
      <c r="B7" s="133" t="inlineStr">
        <is>
          <t>Xusanboy</t>
        </is>
      </c>
      <c r="C7" s="50" t="inlineStr">
        <is>
          <t>Active</t>
        </is>
      </c>
      <c r="D7" s="264" t="n">
        <v>46286</v>
      </c>
      <c r="E7" s="268" t="n"/>
      <c r="F7" s="170" t="n"/>
      <c r="G7" s="133" t="n"/>
      <c r="H7" s="132">
        <f>IF($B7="",IF($C7&lt;&gt;"","status set but no name",""),IF(COUNTIF($B$6:$B$17,$B7)&gt;1,"same name twice - make it unique",IF($C7="","choose Active or Left","")))</f>
        <v/>
      </c>
      <c r="I7" s="125" t="n"/>
      <c r="J7" s="126" t="n"/>
      <c r="K7" s="126" t="n"/>
      <c r="L7" s="126" t="n"/>
      <c r="M7" s="126" t="n"/>
      <c r="N7" s="126" t="n"/>
      <c r="O7" s="126" t="n"/>
      <c r="P7" s="126" t="n"/>
      <c r="Q7" s="126" t="n"/>
      <c r="R7" s="126" t="n"/>
      <c r="S7" s="126" t="n"/>
      <c r="T7" s="126" t="n"/>
      <c r="U7" s="126" t="n"/>
      <c r="V7" s="126" t="n"/>
      <c r="W7" s="126" t="n"/>
      <c r="X7" s="126" t="n"/>
      <c r="Y7" s="126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  <c r="AN7" s="126" t="n"/>
    </row>
    <row r="8" ht="21" customFormat="1" customHeight="1" s="127">
      <c r="A8" s="108" t="inlineStr">
        <is>
          <t>W03</t>
        </is>
      </c>
      <c r="B8" s="133" t="inlineStr">
        <is>
          <t>Oybek</t>
        </is>
      </c>
      <c r="C8" s="50" t="inlineStr">
        <is>
          <t>Active</t>
        </is>
      </c>
      <c r="D8" s="264" t="n">
        <v>46286</v>
      </c>
      <c r="E8" s="268" t="n"/>
      <c r="F8" s="170" t="n"/>
      <c r="G8" s="133" t="n"/>
      <c r="H8" s="132">
        <f>IF($B8="",IF($C8&lt;&gt;"","status set but no name",""),IF(COUNTIF($B$6:$B$17,$B8)&gt;1,"same name twice - make it unique",IF($C8="","choose Active or Left","")))</f>
        <v/>
      </c>
      <c r="I8" s="125" t="n"/>
      <c r="J8" s="126" t="n"/>
      <c r="K8" s="126" t="n"/>
      <c r="L8" s="126" t="n"/>
      <c r="M8" s="126" t="n"/>
      <c r="N8" s="126" t="n"/>
      <c r="O8" s="126" t="n"/>
      <c r="P8" s="126" t="n"/>
      <c r="Q8" s="126" t="n"/>
      <c r="R8" s="126" t="n"/>
      <c r="S8" s="126" t="n"/>
      <c r="T8" s="126" t="n"/>
      <c r="U8" s="126" t="n"/>
      <c r="V8" s="126" t="n"/>
      <c r="W8" s="126" t="n"/>
      <c r="X8" s="126" t="n"/>
      <c r="Y8" s="126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  <c r="AN8" s="126" t="n"/>
    </row>
    <row r="9" ht="21" customFormat="1" customHeight="1" s="127">
      <c r="A9" s="108" t="inlineStr">
        <is>
          <t>W04</t>
        </is>
      </c>
      <c r="B9" s="133" t="inlineStr">
        <is>
          <t>Nomonjon</t>
        </is>
      </c>
      <c r="C9" s="50" t="inlineStr">
        <is>
          <t>Active</t>
        </is>
      </c>
      <c r="D9" s="264" t="n">
        <v>46286</v>
      </c>
      <c r="E9" s="268" t="n"/>
      <c r="F9" s="170" t="n"/>
      <c r="G9" s="133" t="n"/>
      <c r="H9" s="132">
        <f>IF($B9="",IF($C9&lt;&gt;"","status set but no name",""),IF(COUNTIF($B$6:$B$17,$B9)&gt;1,"same name twice - make it unique",IF($C9="","choose Active or Left","")))</f>
        <v/>
      </c>
      <c r="I9" s="125" t="n"/>
      <c r="J9" s="126" t="n"/>
      <c r="K9" s="126" t="n"/>
      <c r="L9" s="126" t="n"/>
      <c r="M9" s="126" t="n"/>
      <c r="N9" s="126" t="n"/>
      <c r="O9" s="126" t="n"/>
      <c r="P9" s="126" t="n"/>
      <c r="Q9" s="126" t="n"/>
      <c r="R9" s="126" t="n"/>
      <c r="S9" s="126" t="n"/>
      <c r="T9" s="126" t="n"/>
      <c r="U9" s="126" t="n"/>
      <c r="V9" s="126" t="n"/>
      <c r="W9" s="126" t="n"/>
      <c r="X9" s="126" t="n"/>
      <c r="Y9" s="126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  <c r="AN9" s="126" t="n"/>
    </row>
    <row r="10" ht="21" customFormat="1" customHeight="1" s="127">
      <c r="A10" s="108" t="inlineStr">
        <is>
          <t>W05</t>
        </is>
      </c>
      <c r="B10" s="133" t="n"/>
      <c r="C10" s="50" t="n"/>
      <c r="D10" s="268" t="n"/>
      <c r="E10" s="268" t="n"/>
      <c r="F10" s="170" t="n"/>
      <c r="G10" s="133" t="n"/>
      <c r="H10" s="132">
        <f>IF($B10="",IF($C10&lt;&gt;"","status set but no name",""),IF(COUNTIF($B$6:$B$17,$B10)&gt;1,"same name twice - make it unique",IF($C10="","choose Active or Left","")))</f>
        <v/>
      </c>
      <c r="I10" s="125" t="n"/>
      <c r="J10" s="126" t="n"/>
      <c r="K10" s="126" t="n"/>
      <c r="L10" s="126" t="n"/>
      <c r="M10" s="126" t="n"/>
      <c r="N10" s="126" t="n"/>
      <c r="O10" s="126" t="n"/>
      <c r="P10" s="126" t="n"/>
      <c r="Q10" s="126" t="n"/>
      <c r="R10" s="126" t="n"/>
      <c r="S10" s="126" t="n"/>
      <c r="T10" s="126" t="n"/>
      <c r="U10" s="126" t="n"/>
      <c r="V10" s="126" t="n"/>
      <c r="W10" s="126" t="n"/>
      <c r="X10" s="126" t="n"/>
      <c r="Y10" s="126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  <c r="AN10" s="126" t="n"/>
    </row>
    <row r="11" ht="21" customFormat="1" customHeight="1" s="127">
      <c r="A11" s="108" t="inlineStr">
        <is>
          <t>W06</t>
        </is>
      </c>
      <c r="B11" s="133" t="n"/>
      <c r="C11" s="50" t="n"/>
      <c r="D11" s="268" t="n"/>
      <c r="E11" s="268" t="n"/>
      <c r="F11" s="170" t="n"/>
      <c r="G11" s="133" t="n"/>
      <c r="H11" s="132">
        <f>IF($B11="",IF($C11&lt;&gt;"","status set but no name",""),IF(COUNTIF($B$6:$B$17,$B11)&gt;1,"same name twice - make it unique",IF($C11="","choose Active or Left","")))</f>
        <v/>
      </c>
      <c r="I11" s="125" t="n"/>
      <c r="J11" s="126" t="n"/>
      <c r="K11" s="126" t="n"/>
      <c r="L11" s="126" t="n"/>
      <c r="M11" s="126" t="n"/>
      <c r="N11" s="126" t="n"/>
      <c r="O11" s="126" t="n"/>
      <c r="P11" s="126" t="n"/>
      <c r="Q11" s="126" t="n"/>
      <c r="R11" s="126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</row>
    <row r="12" ht="21" customFormat="1" customHeight="1" s="127">
      <c r="A12" s="108" t="inlineStr">
        <is>
          <t>W07</t>
        </is>
      </c>
      <c r="B12" s="133" t="n"/>
      <c r="C12" s="50" t="n"/>
      <c r="D12" s="268" t="n"/>
      <c r="E12" s="268" t="n"/>
      <c r="F12" s="170" t="n"/>
      <c r="G12" s="133" t="n"/>
      <c r="H12" s="132">
        <f>IF($B12="",IF($C12&lt;&gt;"","status set but no name",""),IF(COUNTIF($B$6:$B$17,$B12)&gt;1,"same name twice - make it unique",IF($C12="","choose Active or Left","")))</f>
        <v/>
      </c>
      <c r="I12" s="125" t="n"/>
      <c r="J12" s="126" t="n"/>
      <c r="K12" s="126" t="n"/>
      <c r="L12" s="126" t="n"/>
      <c r="M12" s="126" t="n"/>
      <c r="N12" s="126" t="n"/>
      <c r="O12" s="126" t="n"/>
      <c r="P12" s="126" t="n"/>
      <c r="Q12" s="126" t="n"/>
      <c r="R12" s="126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</row>
    <row r="13" ht="21" customFormat="1" customHeight="1" s="127">
      <c r="A13" s="108" t="inlineStr">
        <is>
          <t>W08</t>
        </is>
      </c>
      <c r="B13" s="133" t="n"/>
      <c r="C13" s="50" t="n"/>
      <c r="D13" s="268" t="n"/>
      <c r="E13" s="268" t="n"/>
      <c r="F13" s="170" t="n"/>
      <c r="G13" s="133" t="n"/>
      <c r="H13" s="132">
        <f>IF($B13="",IF($C13&lt;&gt;"","status set but no name",""),IF(COUNTIF($B$6:$B$17,$B13)&gt;1,"same name twice - make it unique",IF($C13="","choose Active or Left","")))</f>
        <v/>
      </c>
      <c r="I13" s="125" t="n"/>
      <c r="J13" s="126" t="n"/>
      <c r="K13" s="126" t="n"/>
      <c r="L13" s="126" t="n"/>
      <c r="M13" s="126" t="n"/>
      <c r="N13" s="126" t="n"/>
      <c r="O13" s="126" t="n"/>
      <c r="P13" s="126" t="n"/>
      <c r="Q13" s="126" t="n"/>
      <c r="R13" s="126" t="n"/>
      <c r="S13" s="126" t="n"/>
      <c r="T13" s="126" t="n"/>
      <c r="U13" s="126" t="n"/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</row>
    <row r="14" ht="21" customFormat="1" customHeight="1" s="127">
      <c r="A14" s="108" t="inlineStr">
        <is>
          <t>W09</t>
        </is>
      </c>
      <c r="B14" s="133" t="n"/>
      <c r="C14" s="50" t="n"/>
      <c r="D14" s="268" t="n"/>
      <c r="E14" s="268" t="n"/>
      <c r="F14" s="170" t="n"/>
      <c r="G14" s="133" t="n"/>
      <c r="H14" s="132">
        <f>IF($B14="",IF($C14&lt;&gt;"","status set but no name",""),IF(COUNTIF($B$6:$B$17,$B14)&gt;1,"same name twice - make it unique",IF($C14="","choose Active or Left","")))</f>
        <v/>
      </c>
      <c r="I14" s="125" t="n"/>
      <c r="J14" s="126" t="n"/>
      <c r="K14" s="126" t="n"/>
      <c r="L14" s="126" t="n"/>
      <c r="M14" s="126" t="n"/>
      <c r="N14" s="126" t="n"/>
      <c r="O14" s="126" t="n"/>
      <c r="P14" s="126" t="n"/>
      <c r="Q14" s="126" t="n"/>
      <c r="R14" s="126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</row>
    <row r="15" ht="21" customFormat="1" customHeight="1" s="127">
      <c r="A15" s="108" t="inlineStr">
        <is>
          <t>W10</t>
        </is>
      </c>
      <c r="B15" s="133" t="n"/>
      <c r="C15" s="50" t="n"/>
      <c r="D15" s="268" t="n"/>
      <c r="E15" s="268" t="n"/>
      <c r="F15" s="170" t="n"/>
      <c r="G15" s="133" t="n"/>
      <c r="H15" s="132">
        <f>IF($B15="",IF($C15&lt;&gt;"","status set but no name",""),IF(COUNTIF($B$6:$B$17,$B15)&gt;1,"same name twice - make it unique",IF($C15="","choose Active or Left","")))</f>
        <v/>
      </c>
      <c r="I15" s="125" t="n"/>
      <c r="J15" s="126" t="n"/>
      <c r="K15" s="126" t="n"/>
      <c r="L15" s="126" t="n"/>
      <c r="M15" s="126" t="n"/>
      <c r="N15" s="126" t="n"/>
      <c r="O15" s="126" t="n"/>
      <c r="P15" s="126" t="n"/>
      <c r="Q15" s="126" t="n"/>
      <c r="R15" s="126" t="n"/>
      <c r="S15" s="126" t="n"/>
      <c r="T15" s="126" t="n"/>
      <c r="U15" s="126" t="n"/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</row>
    <row r="16" ht="21" customFormat="1" customHeight="1" s="127">
      <c r="A16" s="108" t="inlineStr">
        <is>
          <t>W11</t>
        </is>
      </c>
      <c r="B16" s="133" t="n"/>
      <c r="C16" s="50" t="n"/>
      <c r="D16" s="268" t="n"/>
      <c r="E16" s="268" t="n"/>
      <c r="F16" s="170" t="n"/>
      <c r="G16" s="133" t="n"/>
      <c r="H16" s="132">
        <f>IF($B16="",IF($C16&lt;&gt;"","status set but no name",""),IF(COUNTIF($B$6:$B$17,$B16)&gt;1,"same name twice - make it unique",IF($C16="","choose Active or Left","")))</f>
        <v/>
      </c>
      <c r="I16" s="125" t="n"/>
      <c r="J16" s="126" t="n"/>
      <c r="K16" s="126" t="n"/>
      <c r="L16" s="126" t="n"/>
      <c r="M16" s="126" t="n"/>
      <c r="N16" s="126" t="n"/>
      <c r="O16" s="126" t="n"/>
      <c r="P16" s="126" t="n"/>
      <c r="Q16" s="126" t="n"/>
      <c r="R16" s="126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</row>
    <row r="17" ht="21" customFormat="1" customHeight="1" s="127">
      <c r="A17" s="109" t="inlineStr">
        <is>
          <t>W12</t>
        </is>
      </c>
      <c r="B17" s="136" t="n"/>
      <c r="C17" s="44" t="n"/>
      <c r="D17" s="269" t="n"/>
      <c r="E17" s="269" t="n"/>
      <c r="F17" s="171" t="n"/>
      <c r="G17" s="136" t="n"/>
      <c r="H17" s="135">
        <f>IF($B17="",IF($C17&lt;&gt;"","status set but no name",""),IF(COUNTIF($B$6:$B$17,$B17)&gt;1,"same name twice - make it unique",IF($C17="","choose Active or Left","")))</f>
        <v/>
      </c>
      <c r="I17" s="137" t="n"/>
      <c r="J17" s="126" t="n"/>
      <c r="K17" s="126" t="n"/>
      <c r="L17" s="126" t="n"/>
      <c r="M17" s="126" t="n"/>
      <c r="N17" s="126" t="n"/>
      <c r="O17" s="126" t="n"/>
      <c r="P17" s="126" t="n"/>
      <c r="Q17" s="126" t="n"/>
      <c r="R17" s="126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</row>
  </sheetData>
  <mergeCells count="10">
    <mergeCell ref="D1:E1"/>
    <mergeCell ref="V1:W1"/>
    <mergeCell ref="T1:U1"/>
    <mergeCell ref="K1:L1"/>
    <mergeCell ref="O1:P1"/>
    <mergeCell ref="A1:B1"/>
    <mergeCell ref="M1:N1"/>
    <mergeCell ref="R1:S1"/>
    <mergeCell ref="F1:G1"/>
    <mergeCell ref="I1:J1"/>
  </mergeCells>
  <conditionalFormatting sqref="H6:H17">
    <cfRule type="expression" priority="2" dxfId="1">
      <formula>LEN(H6)&gt;0</formula>
    </cfRule>
  </conditionalFormatting>
  <dataValidations count="2">
    <dataValidation sqref="D6:E17" showDropDown="0" showInputMessage="0" showErrorMessage="1" allowBlank="1" error="Type a date, e.g. 2026-09-23." type="date" operator="greaterThan">
      <formula1>36526</formula1>
      <formula2>0</formula2>
    </dataValidation>
    <dataValidation sqref="C6:C17" showDropDown="0" showInputMessage="0" showErrorMessage="1" allowBlank="1" error="Pick a value from the list." type="list">
      <formula1>StatusList</formula1>
      <formula2>0</formula2>
    </dataValidation>
  </dataValidations>
  <hyperlinks>
    <hyperlink ref="C1" location="'Home'!A1" tooltip="Go to Home" display="Home"/>
    <hyperlink ref="D1" location="'Daily Log'!A1" tooltip="Go to Daily Log" display="Daily Log"/>
    <hyperlink ref="F1" location="'Cash Ledger'!A1" tooltip="Go to Cash Ledger" display="Cash Ledger"/>
    <hyperlink ref="H1" location="'Weekly Pay'!A1" tooltip="Go to Weekly Pay" display="Weekly Pay"/>
    <hyperlink ref="I1" location="'Payslip'!A1" tooltip="Go to Payslip" display="Payslip"/>
    <hyperlink ref="M1" location="'Settings'!A1" tooltip="Go to Settings" display="Settings"/>
    <hyperlink ref="O1" location="'Guide'!A1" tooltip="Go to Guide" display="Guide"/>
    <hyperlink ref="R1" location="'Worker History'!A1" tooltip="Go to Worker History" display="History"/>
    <hyperlink ref="T1" location="'Weeks'!A1" tooltip="Go to Weeks" display="Weeks"/>
    <hyperlink ref="V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4A3B8"/>
    <outlinePr summaryBelow="1" summaryRight="1"/>
    <pageSetUpPr/>
  </sheetPr>
  <dimension ref="A1:AN32"/>
  <sheetViews>
    <sheetView showGridLines="0" zoomScaleNormal="100" workbookViewId="0">
      <pane ySplit="1" topLeftCell="A2" activePane="bottomLeft" state="frozen"/>
      <selection pane="bottomLeft" activeCell="C1" sqref="C1"/>
    </sheetView>
  </sheetViews>
  <sheetFormatPr baseColWidth="8" defaultColWidth="8.5703125" defaultRowHeight="15"/>
  <cols>
    <col width="2" customWidth="1" min="1" max="1"/>
    <col width="46" customWidth="1" min="2" max="2"/>
    <col width="16" customWidth="1" min="3" max="3"/>
    <col width="60" customWidth="1" min="4" max="4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176" t="inlineStr">
        <is>
          <t>Daily Log</t>
        </is>
      </c>
      <c r="E1" s="220" t="inlineStr">
        <is>
          <t>Cash Ledger</t>
        </is>
      </c>
      <c r="H1" s="220" t="inlineStr">
        <is>
          <t>Weekly Pay</t>
        </is>
      </c>
      <c r="K1" s="220" t="inlineStr">
        <is>
          <t>Payslip</t>
        </is>
      </c>
      <c r="M1" s="220" t="inlineStr">
        <is>
          <t>Workers</t>
        </is>
      </c>
      <c r="O1" s="205" t="inlineStr">
        <is>
          <t>Settings</t>
        </is>
      </c>
      <c r="Q1" s="220" t="inlineStr">
        <is>
          <t>Guide</t>
        </is>
      </c>
      <c r="S1" s="31" t="inlineStr">
        <is>
          <t>·</t>
        </is>
      </c>
      <c r="T1" s="222" t="inlineStr">
        <is>
          <t>History</t>
        </is>
      </c>
      <c r="V1" s="222" t="inlineStr">
        <is>
          <t>Weeks</t>
        </is>
      </c>
      <c r="X1" s="222" t="inlineStr">
        <is>
          <t>Checks</t>
        </is>
      </c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Settings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34" t="n"/>
      <c r="P2" s="34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Change these rarely. Tinted (light blue) cells are yours to edit.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7.25" customHeight="1">
      <c r="A5" s="3" t="n"/>
      <c r="B5" s="8" t="inlineStr">
        <is>
          <t>Rules</t>
        </is>
      </c>
      <c r="C5" s="217" t="n"/>
      <c r="D5" s="3" t="n"/>
      <c r="E5" s="3" t="n"/>
      <c r="F5" s="35" t="inlineStr">
        <is>
          <t>Lists (used by dropdowns)</t>
        </is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48" customHeight="1">
      <c r="A6" s="126" t="n"/>
      <c r="B6" s="173" t="inlineStr">
        <is>
          <t>Breakage allowance</t>
        </is>
      </c>
      <c r="C6" s="303" t="n">
        <v>0</v>
      </c>
      <c r="D6" s="174" t="inlineStr">
        <is>
          <t>Broken blocks up to this share of what was moulded are still paid. 0% = pay only good blocks (your rule). Block plants commonly break 2-5%; set e.g. 3% if you want to absorb normal breakage yourself.</t>
        </is>
      </c>
      <c r="E6" s="126" t="n"/>
      <c r="F6" s="175" t="inlineStr">
        <is>
          <t>Advance</t>
        </is>
      </c>
      <c r="G6" s="175" t="inlineStr">
        <is>
          <t>Active</t>
        </is>
      </c>
      <c r="H6" s="175" t="inlineStr">
        <is>
          <t>Yes</t>
        </is>
      </c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48" customHeight="1">
      <c r="A7" s="126" t="n"/>
      <c r="B7" s="173" t="inlineStr">
        <is>
          <t>Old debt taken back per week, max</t>
        </is>
      </c>
      <c r="C7" s="303" t="n">
        <v>1</v>
      </c>
      <c r="D7" s="174" t="inlineStr">
        <is>
          <t>When a worker owes you from earlier weeks, at most this share of a week's earnings goes to paying it back. 100% = take back everything you can (your rule). For formally employed workers Uzbek labour law caps wage deductions at 50% - check the Labour Code on lex.uz before relying on this.</t>
        </is>
      </c>
      <c r="E7" s="126" t="n"/>
      <c r="F7" s="175" t="inlineStr">
        <is>
          <t>Weekly pay</t>
        </is>
      </c>
      <c r="G7" s="175" t="inlineStr">
        <is>
          <t>Left</t>
        </is>
      </c>
      <c r="H7" s="175" t="inlineStr">
        <is>
          <t>No</t>
        </is>
      </c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48" customHeight="1">
      <c r="A8" s="126" t="n"/>
      <c r="B8" s="173" t="inlineStr">
        <is>
          <t>Reject rate that raises a warning</t>
        </is>
      </c>
      <c r="C8" s="303" t="n">
        <v>0.08</v>
      </c>
      <c r="D8" s="174" t="inlineStr">
        <is>
          <t>Normal breakage in block plants is 2-5%; above about 8% usually means a curing or handling problem worth looking at.</t>
        </is>
      </c>
      <c r="E8" s="126" t="n"/>
      <c r="F8" s="175" t="inlineStr">
        <is>
          <t>Correction</t>
        </is>
      </c>
      <c r="G8" s="126" t="n"/>
      <c r="H8" s="126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6.5" customHeight="1">
      <c r="A9" s="126" t="n"/>
      <c r="B9" s="126" t="n"/>
      <c r="C9" s="137" t="n"/>
      <c r="D9" s="126" t="n"/>
      <c r="E9" s="126" t="n"/>
      <c r="F9" s="126" t="n"/>
      <c r="G9" s="126" t="n"/>
      <c r="H9" s="126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6.5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17.25" customHeight="1">
      <c r="A11" s="3" t="n"/>
      <c r="B11" s="103" t="inlineStr">
        <is>
          <t>Pay rate per paid block</t>
        </is>
      </c>
      <c r="C11" s="217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</row>
    <row r="12" ht="30" customHeight="1">
      <c r="A12" s="217" t="n"/>
      <c r="B12" s="58" t="inlineStr">
        <is>
          <t>Starts from (date)</t>
        </is>
      </c>
      <c r="C12" s="58" t="inlineStr">
        <is>
          <t>Rate (so'm per block)</t>
        </is>
      </c>
      <c r="D12" s="217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</row>
    <row r="13" ht="24" customHeight="1">
      <c r="A13" s="217" t="n"/>
      <c r="B13" s="302" t="n">
        <v>46265</v>
      </c>
      <c r="C13" s="304" t="n">
        <v>500</v>
      </c>
      <c r="D13" s="111" t="inlineStr">
        <is>
          <t>&lt;- type your rate here. Add a row below when it changes; old weeks keep the old rate.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</row>
    <row r="14" ht="16.5" customHeight="1">
      <c r="A14" s="217" t="n"/>
      <c r="B14" s="268" t="n"/>
      <c r="C14" s="305" t="n"/>
      <c r="D14" s="217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</row>
    <row r="15" ht="16.5" customHeight="1">
      <c r="A15" s="217" t="n"/>
      <c r="B15" s="268" t="n"/>
      <c r="C15" s="305" t="n"/>
      <c r="D15" s="217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</row>
    <row r="16" ht="16.5" customHeight="1">
      <c r="A16" s="217" t="n"/>
      <c r="B16" s="268" t="n"/>
      <c r="C16" s="305" t="n"/>
      <c r="D16" s="217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</row>
    <row r="17" ht="16.5" customHeight="1">
      <c r="A17" s="217" t="n"/>
      <c r="B17" s="268" t="n"/>
      <c r="C17" s="305" t="n"/>
      <c r="D17" s="217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</row>
    <row r="18" ht="16.5" customHeight="1">
      <c r="A18" s="217" t="n"/>
      <c r="B18" s="268" t="n"/>
      <c r="C18" s="305" t="n"/>
      <c r="D18" s="217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</row>
    <row r="19" ht="16.5" customHeight="1">
      <c r="A19" s="217" t="n"/>
      <c r="B19" s="268" t="n"/>
      <c r="C19" s="305" t="n"/>
      <c r="D19" s="217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</row>
    <row r="20" ht="16.5" customHeight="1">
      <c r="A20" s="217" t="n"/>
      <c r="B20" s="268" t="n"/>
      <c r="C20" s="305" t="n"/>
      <c r="D20" s="217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</row>
    <row r="21" ht="16.5" customHeight="1">
      <c r="A21" s="217" t="n"/>
      <c r="B21" s="268" t="n"/>
      <c r="C21" s="305" t="n"/>
      <c r="D21" s="217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</row>
    <row r="22" ht="16.5" customHeight="1">
      <c r="A22" s="217" t="n"/>
      <c r="B22" s="268" t="n"/>
      <c r="C22" s="305" t="n"/>
      <c r="D22" s="217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</row>
    <row r="23" ht="16.5" customHeight="1">
      <c r="A23" s="217" t="n"/>
      <c r="B23" s="268" t="n"/>
      <c r="C23" s="305" t="n"/>
      <c r="D23" s="217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</row>
    <row r="24" ht="16.5" customHeight="1">
      <c r="A24" s="217" t="n"/>
      <c r="B24" s="268" t="n"/>
      <c r="C24" s="305" t="n"/>
      <c r="D24" s="217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</row>
    <row r="25" ht="16.5" customHeight="1">
      <c r="A25" s="217" t="n"/>
      <c r="B25" s="268" t="n"/>
      <c r="C25" s="305" t="n"/>
      <c r="D25" s="217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</row>
    <row r="26" ht="16.5" customHeight="1">
      <c r="A26" s="217" t="n"/>
      <c r="B26" s="268" t="n"/>
      <c r="C26" s="305" t="n"/>
      <c r="D26" s="217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</row>
    <row r="27" ht="16.5" customHeight="1">
      <c r="A27" s="217" t="n"/>
      <c r="B27" s="268" t="n"/>
      <c r="C27" s="305" t="n"/>
      <c r="D27" s="217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</row>
    <row r="28" ht="16.5" customHeight="1">
      <c r="A28" s="217" t="n"/>
      <c r="B28" s="268" t="n"/>
      <c r="C28" s="305" t="n"/>
      <c r="D28" s="217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</row>
    <row r="29" ht="16.5" customHeight="1">
      <c r="A29" s="217" t="n"/>
      <c r="B29" s="268" t="n"/>
      <c r="C29" s="305" t="n"/>
      <c r="D29" s="217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</row>
    <row r="30" ht="16.5" customHeight="1">
      <c r="A30" s="217" t="n"/>
      <c r="B30" s="268" t="n"/>
      <c r="C30" s="305" t="n"/>
      <c r="D30" s="217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</row>
    <row r="31" ht="16.5" customHeight="1">
      <c r="A31" s="217" t="n"/>
      <c r="B31" s="268" t="n"/>
      <c r="C31" s="305" t="n"/>
      <c r="D31" s="217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</row>
    <row r="32" ht="16.5" customHeight="1">
      <c r="A32" s="218" t="n"/>
      <c r="B32" s="269" t="n"/>
      <c r="C32" s="306" t="n"/>
      <c r="D32" s="218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</row>
  </sheetData>
  <mergeCells count="10">
    <mergeCell ref="H1:J1"/>
    <mergeCell ref="Q1:R1"/>
    <mergeCell ref="X1:Y1"/>
    <mergeCell ref="V1:W1"/>
    <mergeCell ref="T1:U1"/>
    <mergeCell ref="K1:L1"/>
    <mergeCell ref="O1:P1"/>
    <mergeCell ref="A1:B1"/>
    <mergeCell ref="M1:N1"/>
    <mergeCell ref="E1:G1"/>
  </mergeCells>
  <dataValidations count="2">
    <dataValidation sqref="B13:B32" showDropDown="0" showInputMessage="0" showErrorMessage="1" allowBlank="1" error="Type a date, e.g. 2026-09-23." type="date" operator="greaterThan">
      <formula1>36526</formula1>
      <formula2>0</formula2>
    </dataValidation>
    <dataValidation sqref="C13:C32" showDropDown="0" showInputMessage="0" showErrorMessage="1" allowBlank="1" error="Type the rate in so'm per block." type="decimal">
      <formula1>0</formula1>
      <formula2>1000000</formula2>
    </dataValidation>
  </dataValidations>
  <hyperlinks>
    <hyperlink ref="C1" location="'Home'!A1" tooltip="Go to Home" display="Home"/>
    <hyperlink ref="D1" location="'Daily Log'!A1" tooltip="Go to Daily Log" display="Daily Log"/>
    <hyperlink ref="E1" location="'Cash Ledger'!A1" tooltip="Go to Cash Ledger" display="Cash Ledger"/>
    <hyperlink ref="H1" location="'Weekly Pay'!A1" tooltip="Go to Weekly Pay" display="Weekly Pay"/>
    <hyperlink ref="K1" location="'Payslip'!A1" tooltip="Go to Payslip" display="Payslip"/>
    <hyperlink ref="M1" location="'Workers'!A1" tooltip="Go to Workers" display="Workers"/>
    <hyperlink ref="Q1" location="'Guide'!A1" tooltip="Go to Guide" display="Guide"/>
    <hyperlink ref="T1" location="'Worker History'!A1" tooltip="Go to Worker History" display="History"/>
    <hyperlink ref="V1" location="'Weeks'!A1" tooltip="Go to Weeks" display="Weeks"/>
    <hyperlink ref="X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94A3B8"/>
    <outlinePr summaryBelow="1" summaryRight="1"/>
    <pageSetUpPr/>
  </sheetPr>
  <dimension ref="A1:AN35"/>
  <sheetViews>
    <sheetView showGridLines="0" zoomScaleNormal="100" workbookViewId="0">
      <pane ySplit="1" topLeftCell="A2" activePane="bottomLeft" state="frozen"/>
      <selection pane="bottomLeft" activeCell="A1" sqref="A1:B1"/>
    </sheetView>
  </sheetViews>
  <sheetFormatPr baseColWidth="8" defaultColWidth="8.5703125" defaultRowHeight="15"/>
  <cols>
    <col width="3" customWidth="1" min="1" max="1"/>
    <col width="26" customWidth="1" min="2" max="2"/>
    <col width="92" customWidth="1" min="3" max="3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220" t="inlineStr">
        <is>
          <t>Daily Log</t>
        </is>
      </c>
      <c r="F1" s="220" t="inlineStr">
        <is>
          <t>Cash Ledger</t>
        </is>
      </c>
      <c r="I1" s="220" t="inlineStr">
        <is>
          <t>Weekly Pay</t>
        </is>
      </c>
      <c r="L1" s="220" t="inlineStr">
        <is>
          <t>Payslip</t>
        </is>
      </c>
      <c r="N1" s="220" t="inlineStr">
        <is>
          <t>Workers</t>
        </is>
      </c>
      <c r="P1" s="220" t="inlineStr">
        <is>
          <t>Settings</t>
        </is>
      </c>
      <c r="R1" s="205" t="inlineStr">
        <is>
          <t>Guide</t>
        </is>
      </c>
      <c r="T1" s="31" t="inlineStr">
        <is>
          <t>·</t>
        </is>
      </c>
      <c r="U1" s="222" t="inlineStr">
        <is>
          <t>History</t>
        </is>
      </c>
      <c r="W1" s="222" t="inlineStr">
        <is>
          <t>Weeks</t>
        </is>
      </c>
      <c r="Y1" s="222" t="inlineStr">
        <is>
          <t>Checks</t>
        </is>
      </c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Donabay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34" t="n"/>
      <c r="S2" s="34" t="n"/>
      <c r="T2" s="218" t="n"/>
      <c r="U2" s="218" t="n"/>
      <c r="V2" s="218" t="n"/>
      <c r="W2" s="218" t="n"/>
      <c r="X2" s="218" t="n"/>
      <c r="Y2" s="218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Filler-block production and weekly crew pay. No macros, no add-ins - just type.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217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6.5" customHeight="1">
      <c r="A5" s="3" t="n"/>
      <c r="B5" s="37" t="inlineStr">
        <is>
          <t>Workbook status</t>
        </is>
      </c>
      <c r="C5" s="208">
        <f>Checks!$C$5</f>
        <v/>
      </c>
      <c r="D5" s="218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6.5" customHeight="1">
      <c r="A6" s="3" t="n"/>
      <c r="B6" s="3" t="n"/>
      <c r="C6" s="218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16.5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17.25" customHeight="1">
      <c r="A8" s="3" t="n"/>
      <c r="B8" s="8" t="inlineStr">
        <is>
          <t>FIRST TIME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5" customHeight="1">
      <c r="A9" s="3" t="n"/>
      <c r="B9" s="39" t="inlineStr">
        <is>
          <t>1. Settings</t>
        </is>
      </c>
      <c r="C9" s="40" t="inlineStr">
        <is>
          <t>Type your pay rate per block next to the start date.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5" customHeight="1">
      <c r="A10" s="3" t="n"/>
      <c r="B10" s="39" t="inlineStr">
        <is>
          <t>2. Workers</t>
        </is>
      </c>
      <c r="C10" s="40" t="inlineStr">
        <is>
          <t>Replace 'Worker 1..4' with real names. Leave them Active.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16.5" customHeight="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</row>
    <row r="12" ht="17.25" customHeight="1">
      <c r="A12" s="3" t="n"/>
      <c r="B12" s="8" t="inlineStr">
        <is>
          <t>EVERY DAY  (1 minute)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</row>
    <row r="13" ht="27.75" customHeight="1">
      <c r="A13" s="3" t="n"/>
      <c r="B13" s="39" t="inlineStr">
        <is>
          <t>Daily Log</t>
        </is>
      </c>
      <c r="C13" s="40" t="inlineStr">
        <is>
          <t>On today's row: blocks moulded, blocks broken, and 1 under each worker who came (0.5 for half a day, leave empty if absent). Broken blocks can be filled in later, once you know them.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</row>
    <row r="14" ht="16.5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</row>
    <row r="15" ht="17.25" customHeight="1">
      <c r="A15" s="3" t="n"/>
      <c r="B15" s="8" t="inlineStr">
        <is>
          <t>WHEN SOMEONE ASKS FOR MONEY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</row>
    <row r="16" ht="27.75" customHeight="1">
      <c r="A16" s="3" t="n"/>
      <c r="B16" s="39" t="inlineStr">
        <is>
          <t>Cash Ledger</t>
        </is>
      </c>
      <c r="C16" s="40" t="inlineStr">
        <is>
          <t>New row: date, worker, type 'Advance', amount, reason. That's it - it is subtracted on payday automatically.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</row>
    <row r="17" ht="16.5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</row>
    <row r="18" ht="17.25" customHeight="1">
      <c r="A18" s="3" t="n"/>
      <c r="B18" s="8" t="inlineStr">
        <is>
          <t>PAYDAY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</row>
    <row r="19" ht="15" customHeight="1">
      <c r="A19" s="3" t="n"/>
      <c r="B19" s="39" t="inlineStr">
        <is>
          <t>1. Weekly Pay</t>
        </is>
      </c>
      <c r="C19" s="40" t="inlineStr">
        <is>
          <t>Pick the week. Check 'Before you pay' says OK. Pay each worker the green TO PAY amount.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</row>
    <row r="20" ht="15" customHeight="1">
      <c r="A20" s="3" t="n"/>
      <c r="B20" s="39" t="inlineStr">
        <is>
          <t>2. Cash Ledger</t>
        </is>
      </c>
      <c r="C20" s="40" t="inlineStr">
        <is>
          <t>Copy the green 'Ready for the Cash Ledger' list on Weekly Pay and Paste Values into the next empty row.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</row>
    <row r="21" ht="15" customHeight="1">
      <c r="A21" s="3" t="n"/>
      <c r="B21" s="39" t="inlineStr">
        <is>
          <t>3. Payslip</t>
        </is>
      </c>
      <c r="C21" s="40" t="inlineStr">
        <is>
          <t>Print one per worker and have them sign. It lists every advance they took that week.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</row>
    <row r="22" ht="16.5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</row>
    <row r="23" ht="17.25" customHeight="1">
      <c r="A23" s="3" t="n"/>
      <c r="B23" s="8" t="inlineStr">
        <is>
          <t>PEOPLE CHANGE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</row>
    <row r="24" ht="15" customHeight="1">
      <c r="A24" s="3" t="n"/>
      <c r="B24" s="39" t="inlineStr">
        <is>
          <t>Someone joins</t>
        </is>
      </c>
      <c r="C24" s="40" t="inlineStr">
        <is>
          <t>Workers: type the name in the next empty slot, status Active, joined date.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</row>
    <row r="25" ht="15" customHeight="1">
      <c r="A25" s="3" t="n"/>
      <c r="B25" s="39" t="inlineStr">
        <is>
          <t>Someone leaves</t>
        </is>
      </c>
      <c r="C25" s="40" t="inlineStr">
        <is>
          <t>Workers: set status Left. Do not delete the row - their history stays.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</row>
    <row r="26" ht="15" customHeight="1">
      <c r="A26" s="3" t="n"/>
      <c r="B26" s="39" t="inlineStr">
        <is>
          <t>Rate changes</t>
        </is>
      </c>
      <c r="C26" s="40" t="inlineStr">
        <is>
          <t>Settings: add a NEW row with the date the new rate starts. Old weeks keep the old rate.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</row>
    <row r="27" ht="16.5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</row>
    <row r="28" ht="17.25" customHeight="1">
      <c r="A28" s="3" t="n"/>
      <c r="B28" s="8" t="inlineStr">
        <is>
          <t>MISTAKES</t>
        </is>
      </c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</row>
    <row r="29" ht="15" customHeight="1">
      <c r="A29" s="3" t="n"/>
      <c r="B29" s="39" t="inlineStr">
        <is>
          <t>Wrong ledger entry</t>
        </is>
      </c>
      <c r="C29" s="40" t="inlineStr">
        <is>
          <t>Do not delete it. Add a 'Correction' row with the opposite amount (e.g. -100000) and say why.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</row>
    <row r="30" ht="16.5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</row>
    <row r="31" ht="17.25" customHeight="1">
      <c r="A31" s="3" t="n"/>
      <c r="B31" s="8" t="inlineStr">
        <is>
          <t>RULES THIS FILE FOLLOWS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</row>
    <row r="32" ht="15" customHeight="1">
      <c r="A32" s="3" t="n"/>
      <c r="B32" s="39" t="inlineStr">
        <is>
          <t>Pay base</t>
        </is>
      </c>
      <c r="C32" s="40" t="inlineStr">
        <is>
          <t>Only good blocks are paid (moulded minus broken). Settings can add a breakage allowance.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</row>
    <row r="33" ht="15" customHeight="1">
      <c r="A33" s="3" t="n"/>
      <c r="B33" s="39" t="inlineStr">
        <is>
          <t>Split</t>
        </is>
      </c>
      <c r="C33" s="40" t="inlineStr">
        <is>
          <t>The week's pot is shared by days worked: pot x your days / everyone's days.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</row>
    <row r="34" ht="27.75" customHeight="1">
      <c r="A34" s="3" t="n"/>
      <c r="B34" s="39" t="inlineStr">
        <is>
          <t>Debts</t>
        </is>
      </c>
      <c r="C34" s="40" t="inlineStr">
        <is>
          <t>Advances bigger than earnings never make pay negative - pay is 0 and the rest carries forward, visible on every payslip until it is paid back.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</row>
    <row r="35" ht="15" customHeight="1">
      <c r="A35" s="3" t="n"/>
      <c r="B35" s="39" t="inlineStr">
        <is>
          <t>Colours</t>
        </is>
      </c>
      <c r="C35" s="40" t="inlineStr">
        <is>
          <t>Light blue = you type here.  White = calculated, leave alone.  Red = needs a look.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</row>
  </sheetData>
  <mergeCells count="11">
    <mergeCell ref="D1:E1"/>
    <mergeCell ref="F1:H1"/>
    <mergeCell ref="I1:K1"/>
    <mergeCell ref="L1:M1"/>
    <mergeCell ref="U1:V1"/>
    <mergeCell ref="P1:Q1"/>
    <mergeCell ref="W1:X1"/>
    <mergeCell ref="Y1:Z1"/>
    <mergeCell ref="A1:B1"/>
    <mergeCell ref="N1:O1"/>
    <mergeCell ref="R1:S1"/>
  </mergeCells>
  <conditionalFormatting sqref="C5">
    <cfRule type="expression" priority="2" dxfId="6">
      <formula>C5="ALL CHECKS OK"</formula>
    </cfRule>
    <cfRule type="expression" priority="3" dxfId="1">
      <formula>C5&lt;&gt;"ALL CHECKS OK"</formula>
    </cfRule>
  </conditionalFormatting>
  <hyperlinks>
    <hyperlink ref="C1" location="'Home'!A1" tooltip="Go to Home" display="Home"/>
    <hyperlink ref="D1" location="'Daily Log'!A1" tooltip="Go to Daily Log" display="Daily Log"/>
    <hyperlink ref="F1" location="'Cash Ledger'!A1" tooltip="Go to Cash Ledger" display="Cash Ledger"/>
    <hyperlink ref="I1" location="'Weekly Pay'!A1" tooltip="Go to Weekly Pay" display="Weekly Pay"/>
    <hyperlink ref="L1" location="'Payslip'!A1" tooltip="Go to Payslip" display="Payslip"/>
    <hyperlink ref="N1" location="'Workers'!A1" tooltip="Go to Workers" display="Workers"/>
    <hyperlink ref="P1" location="'Settings'!A1" tooltip="Go to Settings" display="Settings"/>
    <hyperlink ref="U1" location="'Worker History'!A1" tooltip="Go to Worker History" display="History"/>
    <hyperlink ref="W1" location="'Weeks'!A1" tooltip="Go to Weeks" display="Weeks"/>
    <hyperlink ref="Y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CBD5E1"/>
    <outlinePr summaryBelow="1" summaryRight="1"/>
    <pageSetUpPr/>
  </sheetPr>
  <dimension ref="A1:AL5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F1" sqref="F1:G1"/>
    </sheetView>
  </sheetViews>
  <sheetFormatPr baseColWidth="8" defaultColWidth="8.5703125" defaultRowHeight="15"/>
  <cols>
    <col width="11" customWidth="1" min="1" max="2"/>
    <col width="10" customWidth="1" min="3" max="3"/>
    <col width="9" customWidth="1" min="4" max="4"/>
    <col width="10" customWidth="1" min="5" max="6"/>
    <col width="13" customWidth="1" min="7" max="7"/>
    <col width="9" customWidth="1" min="8" max="8"/>
    <col width="8" customWidth="1" min="9" max="9"/>
    <col width="10" customWidth="1" min="10" max="10"/>
    <col width="30" customWidth="1" min="11" max="11"/>
    <col width="8" customWidth="1" min="12" max="15"/>
    <col hidden="1" width="8" customWidth="1" min="16" max="23"/>
    <col width="11" customWidth="1" min="24" max="27"/>
    <col hidden="1" width="11" customWidth="1" min="28" max="35"/>
    <col width="13" customWidth="1" min="36" max="36"/>
    <col width="11" customWidth="1" min="37" max="37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220" t="inlineStr">
        <is>
          <t>Daily Log</t>
        </is>
      </c>
      <c r="F1" s="220" t="inlineStr">
        <is>
          <t>Cash Ledger</t>
        </is>
      </c>
      <c r="H1" s="223" t="inlineStr">
        <is>
          <t>Weekly Pay</t>
        </is>
      </c>
      <c r="I1" s="229" t="n"/>
      <c r="J1" s="220" t="inlineStr">
        <is>
          <t>Payslip</t>
        </is>
      </c>
      <c r="K1" s="176" t="inlineStr">
        <is>
          <t>Workers</t>
        </is>
      </c>
      <c r="L1" s="220" t="inlineStr">
        <is>
          <t>Settings</t>
        </is>
      </c>
      <c r="N1" s="220" t="inlineStr">
        <is>
          <t>Guide</t>
        </is>
      </c>
      <c r="P1" s="221" t="inlineStr">
        <is>
          <t>·</t>
        </is>
      </c>
      <c r="Y1" s="222" t="inlineStr">
        <is>
          <t>History</t>
        </is>
      </c>
      <c r="AA1" s="205" t="inlineStr">
        <is>
          <t>Weeks</t>
        </is>
      </c>
      <c r="AK1" s="222" t="inlineStr">
        <is>
          <t>Checks</t>
        </is>
      </c>
    </row>
    <row r="2" ht="36" customHeight="1" thickTop="1">
      <c r="A2" s="172" t="inlineStr">
        <is>
          <t>Weeks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218" t="n"/>
      <c r="Y2" s="218" t="n"/>
      <c r="Z2" s="218" t="n"/>
      <c r="AA2" s="34" t="n"/>
      <c r="AB2" s="34" t="n"/>
      <c r="AC2" s="34" t="n"/>
      <c r="AD2" s="34" t="n"/>
      <c r="AE2" s="34" t="n"/>
      <c r="AF2" s="34" t="n"/>
      <c r="AG2" s="34" t="n"/>
      <c r="AH2" s="34" t="n"/>
      <c r="AI2" s="34" t="n"/>
      <c r="AJ2" s="34" t="n"/>
      <c r="AK2" s="218" t="n"/>
      <c r="AL2" s="218" t="n"/>
    </row>
    <row r="3" ht="16.5" customHeight="1">
      <c r="A3" s="35" t="inlineStr">
        <is>
          <t>Calculation engine - nothing to type here. Every other sheet reads from it.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</row>
    <row r="4" ht="17.25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8" t="inlineStr">
        <is>
          <t>Days worked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8" t="inlineStr">
        <is>
          <t>Earned (so'm)</t>
        </is>
      </c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</row>
    <row r="5" ht="16.5" customHeight="1">
      <c r="A5" s="217" t="n"/>
      <c r="B5" s="217" t="n"/>
      <c r="C5" s="217" t="n"/>
      <c r="D5" s="217" t="n"/>
      <c r="E5" s="217" t="n"/>
      <c r="F5" s="217" t="n"/>
      <c r="G5" s="217" t="n"/>
      <c r="H5" s="217" t="n"/>
      <c r="I5" s="217" t="n"/>
      <c r="J5" s="217" t="n"/>
      <c r="K5" s="217" t="n"/>
      <c r="L5" s="211" t="inlineStr">
        <is>
          <t>W01</t>
        </is>
      </c>
      <c r="M5" s="211" t="inlineStr">
        <is>
          <t>W02</t>
        </is>
      </c>
      <c r="N5" s="211" t="inlineStr">
        <is>
          <t>W03</t>
        </is>
      </c>
      <c r="O5" s="211" t="inlineStr">
        <is>
          <t>W04</t>
        </is>
      </c>
      <c r="P5" s="211" t="inlineStr">
        <is>
          <t>W05</t>
        </is>
      </c>
      <c r="Q5" s="211" t="inlineStr">
        <is>
          <t>W06</t>
        </is>
      </c>
      <c r="R5" s="211" t="inlineStr">
        <is>
          <t>W07</t>
        </is>
      </c>
      <c r="S5" s="211" t="inlineStr">
        <is>
          <t>W08</t>
        </is>
      </c>
      <c r="T5" s="211" t="inlineStr">
        <is>
          <t>W09</t>
        </is>
      </c>
      <c r="U5" s="211" t="inlineStr">
        <is>
          <t>W10</t>
        </is>
      </c>
      <c r="V5" s="211" t="inlineStr">
        <is>
          <t>W11</t>
        </is>
      </c>
      <c r="W5" s="211" t="inlineStr">
        <is>
          <t>W12</t>
        </is>
      </c>
      <c r="X5" s="211" t="inlineStr">
        <is>
          <t>W01</t>
        </is>
      </c>
      <c r="Y5" s="211" t="inlineStr">
        <is>
          <t>W02</t>
        </is>
      </c>
      <c r="Z5" s="211" t="inlineStr">
        <is>
          <t>W03</t>
        </is>
      </c>
      <c r="AA5" s="211" t="inlineStr">
        <is>
          <t>W04</t>
        </is>
      </c>
      <c r="AB5" s="211" t="inlineStr">
        <is>
          <t>W05</t>
        </is>
      </c>
      <c r="AC5" s="211" t="inlineStr">
        <is>
          <t>W06</t>
        </is>
      </c>
      <c r="AD5" s="211" t="inlineStr">
        <is>
          <t>W07</t>
        </is>
      </c>
      <c r="AE5" s="211" t="inlineStr">
        <is>
          <t>W08</t>
        </is>
      </c>
      <c r="AF5" s="211" t="inlineStr">
        <is>
          <t>W09</t>
        </is>
      </c>
      <c r="AG5" s="211" t="inlineStr">
        <is>
          <t>W10</t>
        </is>
      </c>
      <c r="AH5" s="211" t="inlineStr">
        <is>
          <t>W11</t>
        </is>
      </c>
      <c r="AI5" s="211" t="inlineStr">
        <is>
          <t>W12</t>
        </is>
      </c>
      <c r="AJ5" s="217" t="n"/>
      <c r="AK5" s="217" t="n"/>
      <c r="AL5" s="3" t="n"/>
    </row>
    <row r="6" ht="32.1" customFormat="1" customHeight="1" s="127">
      <c r="A6" s="58" t="inlineStr">
        <is>
          <t>Week of</t>
        </is>
      </c>
      <c r="B6" s="58" t="inlineStr">
        <is>
          <t>to</t>
        </is>
      </c>
      <c r="C6" s="58" t="inlineStr">
        <is>
          <t>Moulded</t>
        </is>
      </c>
      <c r="D6" s="58" t="inlineStr">
        <is>
          <t>Broken</t>
        </is>
      </c>
      <c r="E6" s="58" t="inlineStr">
        <is>
          <t>Good</t>
        </is>
      </c>
      <c r="F6" s="58" t="inlineStr">
        <is>
          <t>Paid blocks</t>
        </is>
      </c>
      <c r="G6" s="58" t="inlineStr">
        <is>
          <t>Pot (so'm)</t>
        </is>
      </c>
      <c r="H6" s="58" t="inlineStr">
        <is>
          <t>Crew-days</t>
        </is>
      </c>
      <c r="I6" s="58" t="inlineStr">
        <is>
          <t>Reject %</t>
        </is>
      </c>
      <c r="J6" s="58" t="inlineStr">
        <is>
          <t>Good per crew-day</t>
        </is>
      </c>
      <c r="K6" s="58" t="inlineStr">
        <is>
          <t>Check</t>
        </is>
      </c>
      <c r="L6" s="58">
        <f>IF(Workers!$B$6="",Workers!$A$6,Workers!$B$6)</f>
        <v/>
      </c>
      <c r="M6" s="58">
        <f>IF(Workers!$B$7="",Workers!$A$7,Workers!$B$7)</f>
        <v/>
      </c>
      <c r="N6" s="58">
        <f>IF(Workers!$B$8="",Workers!$A$8,Workers!$B$8)</f>
        <v/>
      </c>
      <c r="O6" s="58">
        <f>IF(Workers!$B$9="",Workers!$A$9,Workers!$B$9)</f>
        <v/>
      </c>
      <c r="P6" s="58">
        <f>IF(Workers!$B$10="",Workers!$A$10,Workers!$B$10)</f>
        <v/>
      </c>
      <c r="Q6" s="58">
        <f>IF(Workers!$B$11="",Workers!$A$11,Workers!$B$11)</f>
        <v/>
      </c>
      <c r="R6" s="58">
        <f>IF(Workers!$B$12="",Workers!$A$12,Workers!$B$12)</f>
        <v/>
      </c>
      <c r="S6" s="58">
        <f>IF(Workers!$B$13="",Workers!$A$13,Workers!$B$13)</f>
        <v/>
      </c>
      <c r="T6" s="58">
        <f>IF(Workers!$B$14="",Workers!$A$14,Workers!$B$14)</f>
        <v/>
      </c>
      <c r="U6" s="58">
        <f>IF(Workers!$B$15="",Workers!$A$15,Workers!$B$15)</f>
        <v/>
      </c>
      <c r="V6" s="58">
        <f>IF(Workers!$B$16="",Workers!$A$16,Workers!$B$16)</f>
        <v/>
      </c>
      <c r="W6" s="58">
        <f>IF(Workers!$B$17="",Workers!$A$17,Workers!$B$17)</f>
        <v/>
      </c>
      <c r="X6" s="58">
        <f>IF(Workers!$B$6="",Workers!$A$6,Workers!$B$6)</f>
        <v/>
      </c>
      <c r="Y6" s="58">
        <f>IF(Workers!$B$7="",Workers!$A$7,Workers!$B$7)</f>
        <v/>
      </c>
      <c r="Z6" s="58">
        <f>IF(Workers!$B$8="",Workers!$A$8,Workers!$B$8)</f>
        <v/>
      </c>
      <c r="AA6" s="58">
        <f>IF(Workers!$B$9="",Workers!$A$9,Workers!$B$9)</f>
        <v/>
      </c>
      <c r="AB6" s="58">
        <f>IF(Workers!$B$10="",Workers!$A$10,Workers!$B$10)</f>
        <v/>
      </c>
      <c r="AC6" s="58">
        <f>IF(Workers!$B$11="",Workers!$A$11,Workers!$B$11)</f>
        <v/>
      </c>
      <c r="AD6" s="58">
        <f>IF(Workers!$B$12="",Workers!$A$12,Workers!$B$12)</f>
        <v/>
      </c>
      <c r="AE6" s="58">
        <f>IF(Workers!$B$13="",Workers!$A$13,Workers!$B$13)</f>
        <v/>
      </c>
      <c r="AF6" s="58">
        <f>IF(Workers!$B$14="",Workers!$A$14,Workers!$B$14)</f>
        <v/>
      </c>
      <c r="AG6" s="58">
        <f>IF(Workers!$B$15="",Workers!$A$15,Workers!$B$15)</f>
        <v/>
      </c>
      <c r="AH6" s="58">
        <f>IF(Workers!$B$16="",Workers!$A$16,Workers!$B$16)</f>
        <v/>
      </c>
      <c r="AI6" s="58">
        <f>IF(Workers!$B$17="",Workers!$A$17,Workers!$B$17)</f>
        <v/>
      </c>
      <c r="AJ6" s="58" t="inlineStr">
        <is>
          <t>Shares total</t>
        </is>
      </c>
      <c r="AK6" s="58" t="inlineStr">
        <is>
          <t>Shares - pot</t>
        </is>
      </c>
      <c r="AL6" s="125" t="n"/>
    </row>
    <row r="7" ht="21" customFormat="1" customHeight="1" s="127">
      <c r="A7" s="307" t="n">
        <v>46265</v>
      </c>
      <c r="B7" s="246">
        <f>$A7+6</f>
        <v/>
      </c>
      <c r="C7" s="178">
        <f>SUMIFS('Daily Log'!$C$7:$C$377,'Daily Log'!$V$7:$V$377,$A7)</f>
        <v/>
      </c>
      <c r="D7" s="178">
        <f>SUMIFS('Daily Log'!$D$7:$D$377,'Daily Log'!$V$7:$V$377,$A7)</f>
        <v/>
      </c>
      <c r="E7" s="178">
        <f>SUMIFS('Daily Log'!$E$7:$E$377,'Daily Log'!$V$7:$V$377,$A7)</f>
        <v/>
      </c>
      <c r="F7" s="178">
        <f>SUMIFS('Daily Log'!$F$7:$F$377,'Daily Log'!$V$7:$V$377,$A7)</f>
        <v/>
      </c>
      <c r="G7" s="248">
        <f>SUMIFS('Daily Log'!$U$7:$U$377,'Daily Log'!$V$7:$V$377,$A7)</f>
        <v/>
      </c>
      <c r="H7" s="178">
        <f>SUMIFS('Daily Log'!$S$7:$S$377,'Daily Log'!$V$7:$V$377,$A7)</f>
        <v/>
      </c>
      <c r="I7" s="276">
        <f>IF($C7=0,"",$D7/$C7)</f>
        <v/>
      </c>
      <c r="J7" s="61">
        <f>IF($H7=0,"",$E7/$H7)</f>
        <v/>
      </c>
      <c r="K7" s="129">
        <f>IF(AND($G7&gt;0,$H7=0),"pot not shared - no attendance marked",IF(AND($I7&lt;&gt;"",N($I7)&gt;RejectAlarm),"reject rate high",""))</f>
        <v/>
      </c>
      <c r="L7" s="45">
        <f>SUMIFS('Daily Log'!$G$7:$G$377,'Daily Log'!$V$7:$V$377,$A7)</f>
        <v/>
      </c>
      <c r="M7" s="45">
        <f>SUMIFS('Daily Log'!$H$7:$H$377,'Daily Log'!$V$7:$V$377,$A7)</f>
        <v/>
      </c>
      <c r="N7" s="45">
        <f>SUMIFS('Daily Log'!$I$7:$I$377,'Daily Log'!$V$7:$V$377,$A7)</f>
        <v/>
      </c>
      <c r="O7" s="45">
        <f>SUMIFS('Daily Log'!$J$7:$J$377,'Daily Log'!$V$7:$V$377,$A7)</f>
        <v/>
      </c>
      <c r="P7" s="45">
        <f>SUMIFS('Daily Log'!$K$7:$K$377,'Daily Log'!$V$7:$V$377,$A7)</f>
        <v/>
      </c>
      <c r="Q7" s="45">
        <f>SUMIFS('Daily Log'!$L$7:$L$377,'Daily Log'!$V$7:$V$377,$A7)</f>
        <v/>
      </c>
      <c r="R7" s="45">
        <f>SUMIFS('Daily Log'!$M$7:$M$377,'Daily Log'!$V$7:$V$377,$A7)</f>
        <v/>
      </c>
      <c r="S7" s="45">
        <f>SUMIFS('Daily Log'!$N$7:$N$377,'Daily Log'!$V$7:$V$377,$A7)</f>
        <v/>
      </c>
      <c r="T7" s="45">
        <f>SUMIFS('Daily Log'!$O$7:$O$377,'Daily Log'!$V$7:$V$377,$A7)</f>
        <v/>
      </c>
      <c r="U7" s="45">
        <f>SUMIFS('Daily Log'!$P$7:$P$377,'Daily Log'!$V$7:$V$377,$A7)</f>
        <v/>
      </c>
      <c r="V7" s="45">
        <f>SUMIFS('Daily Log'!$Q$7:$Q$377,'Daily Log'!$V$7:$V$377,$A7)</f>
        <v/>
      </c>
      <c r="W7" s="45">
        <f>SUMIFS('Daily Log'!$R$7:$R$377,'Daily Log'!$V$7:$V$377,$A7)</f>
        <v/>
      </c>
      <c r="X7" s="248">
        <f>IF($H7=0,0,ROUND($G7*L7/$H7,0))</f>
        <v/>
      </c>
      <c r="Y7" s="248">
        <f>IF($H7=0,0,ROUND($G7*M7/$H7,0))</f>
        <v/>
      </c>
      <c r="Z7" s="248">
        <f>IF($H7=0,0,ROUND($G7*N7/$H7,0))</f>
        <v/>
      </c>
      <c r="AA7" s="248">
        <f>IF($H7=0,0,ROUND($G7*O7/$H7,0))</f>
        <v/>
      </c>
      <c r="AB7" s="248">
        <f>IF($H7=0,0,ROUND($G7*P7/$H7,0))</f>
        <v/>
      </c>
      <c r="AC7" s="248">
        <f>IF($H7=0,0,ROUND($G7*Q7/$H7,0))</f>
        <v/>
      </c>
      <c r="AD7" s="248">
        <f>IF($H7=0,0,ROUND($G7*R7/$H7,0))</f>
        <v/>
      </c>
      <c r="AE7" s="248">
        <f>IF($H7=0,0,ROUND($G7*S7/$H7,0))</f>
        <v/>
      </c>
      <c r="AF7" s="248">
        <f>IF($H7=0,0,ROUND($G7*T7/$H7,0))</f>
        <v/>
      </c>
      <c r="AG7" s="248">
        <f>IF($H7=0,0,ROUND($G7*U7/$H7,0))</f>
        <v/>
      </c>
      <c r="AH7" s="248">
        <f>IF($H7=0,0,ROUND($G7*V7/$H7,0))</f>
        <v/>
      </c>
      <c r="AI7" s="248">
        <f>IF($H7=0,0,ROUND($G7*W7/$H7,0))</f>
        <v/>
      </c>
      <c r="AJ7" s="248">
        <f>SUM(X7:AI7)</f>
        <v/>
      </c>
      <c r="AK7" s="263">
        <f>$AJ7-$G7</f>
        <v/>
      </c>
      <c r="AL7" s="125" t="n"/>
    </row>
    <row r="8" ht="21" customFormat="1" customHeight="1" s="127">
      <c r="A8" s="308" t="n">
        <v>46272</v>
      </c>
      <c r="B8" s="250">
        <f>$A8+6</f>
        <v/>
      </c>
      <c r="C8" s="179">
        <f>SUMIFS('Daily Log'!$C$7:$C$377,'Daily Log'!$V$7:$V$377,$A8)</f>
        <v/>
      </c>
      <c r="D8" s="179">
        <f>SUMIFS('Daily Log'!$D$7:$D$377,'Daily Log'!$V$7:$V$377,$A8)</f>
        <v/>
      </c>
      <c r="E8" s="179">
        <f>SUMIFS('Daily Log'!$E$7:$E$377,'Daily Log'!$V$7:$V$377,$A8)</f>
        <v/>
      </c>
      <c r="F8" s="179">
        <f>SUMIFS('Daily Log'!$F$7:$F$377,'Daily Log'!$V$7:$V$377,$A8)</f>
        <v/>
      </c>
      <c r="G8" s="252">
        <f>SUMIFS('Daily Log'!$U$7:$U$377,'Daily Log'!$V$7:$V$377,$A8)</f>
        <v/>
      </c>
      <c r="H8" s="179">
        <f>SUMIFS('Daily Log'!$S$7:$S$377,'Daily Log'!$V$7:$V$377,$A8)</f>
        <v/>
      </c>
      <c r="I8" s="280">
        <f>IF($C8=0,"",$D8/$C8)</f>
        <v/>
      </c>
      <c r="J8" s="65">
        <f>IF($H8=0,"",$E8/$H8)</f>
        <v/>
      </c>
      <c r="K8" s="132">
        <f>IF(AND($G8&gt;0,$H8=0),"pot not shared - no attendance marked",IF(AND($I8&lt;&gt;"",N($I8)&gt;RejectAlarm),"reject rate high",""))</f>
        <v/>
      </c>
      <c r="L8" s="51">
        <f>SUMIFS('Daily Log'!$G$7:$G$377,'Daily Log'!$V$7:$V$377,$A8)</f>
        <v/>
      </c>
      <c r="M8" s="51">
        <f>SUMIFS('Daily Log'!$H$7:$H$377,'Daily Log'!$V$7:$V$377,$A8)</f>
        <v/>
      </c>
      <c r="N8" s="51">
        <f>SUMIFS('Daily Log'!$I$7:$I$377,'Daily Log'!$V$7:$V$377,$A8)</f>
        <v/>
      </c>
      <c r="O8" s="51">
        <f>SUMIFS('Daily Log'!$J$7:$J$377,'Daily Log'!$V$7:$V$377,$A8)</f>
        <v/>
      </c>
      <c r="P8" s="51">
        <f>SUMIFS('Daily Log'!$K$7:$K$377,'Daily Log'!$V$7:$V$377,$A8)</f>
        <v/>
      </c>
      <c r="Q8" s="51">
        <f>SUMIFS('Daily Log'!$L$7:$L$377,'Daily Log'!$V$7:$V$377,$A8)</f>
        <v/>
      </c>
      <c r="R8" s="51">
        <f>SUMIFS('Daily Log'!$M$7:$M$377,'Daily Log'!$V$7:$V$377,$A8)</f>
        <v/>
      </c>
      <c r="S8" s="51">
        <f>SUMIFS('Daily Log'!$N$7:$N$377,'Daily Log'!$V$7:$V$377,$A8)</f>
        <v/>
      </c>
      <c r="T8" s="51">
        <f>SUMIFS('Daily Log'!$O$7:$O$377,'Daily Log'!$V$7:$V$377,$A8)</f>
        <v/>
      </c>
      <c r="U8" s="51">
        <f>SUMIFS('Daily Log'!$P$7:$P$377,'Daily Log'!$V$7:$V$377,$A8)</f>
        <v/>
      </c>
      <c r="V8" s="51">
        <f>SUMIFS('Daily Log'!$Q$7:$Q$377,'Daily Log'!$V$7:$V$377,$A8)</f>
        <v/>
      </c>
      <c r="W8" s="51">
        <f>SUMIFS('Daily Log'!$R$7:$R$377,'Daily Log'!$V$7:$V$377,$A8)</f>
        <v/>
      </c>
      <c r="X8" s="252">
        <f>IF($H8=0,0,ROUND($G8*L8/$H8,0))</f>
        <v/>
      </c>
      <c r="Y8" s="252">
        <f>IF($H8=0,0,ROUND($G8*M8/$H8,0))</f>
        <v/>
      </c>
      <c r="Z8" s="252">
        <f>IF($H8=0,0,ROUND($G8*N8/$H8,0))</f>
        <v/>
      </c>
      <c r="AA8" s="252">
        <f>IF($H8=0,0,ROUND($G8*O8/$H8,0))</f>
        <v/>
      </c>
      <c r="AB8" s="252">
        <f>IF($H8=0,0,ROUND($G8*P8/$H8,0))</f>
        <v/>
      </c>
      <c r="AC8" s="252">
        <f>IF($H8=0,0,ROUND($G8*Q8/$H8,0))</f>
        <v/>
      </c>
      <c r="AD8" s="252">
        <f>IF($H8=0,0,ROUND($G8*R8/$H8,0))</f>
        <v/>
      </c>
      <c r="AE8" s="252">
        <f>IF($H8=0,0,ROUND($G8*S8/$H8,0))</f>
        <v/>
      </c>
      <c r="AF8" s="252">
        <f>IF($H8=0,0,ROUND($G8*T8/$H8,0))</f>
        <v/>
      </c>
      <c r="AG8" s="252">
        <f>IF($H8=0,0,ROUND($G8*U8/$H8,0))</f>
        <v/>
      </c>
      <c r="AH8" s="252">
        <f>IF($H8=0,0,ROUND($G8*V8/$H8,0))</f>
        <v/>
      </c>
      <c r="AI8" s="252">
        <f>IF($H8=0,0,ROUND($G8*W8/$H8,0))</f>
        <v/>
      </c>
      <c r="AJ8" s="252">
        <f>SUM(X8:AI8)</f>
        <v/>
      </c>
      <c r="AK8" s="266">
        <f>$AJ8-$G8</f>
        <v/>
      </c>
      <c r="AL8" s="125" t="n"/>
    </row>
    <row r="9" ht="21" customFormat="1" customHeight="1" s="127">
      <c r="A9" s="308" t="n">
        <v>46279</v>
      </c>
      <c r="B9" s="250">
        <f>$A9+6</f>
        <v/>
      </c>
      <c r="C9" s="179">
        <f>SUMIFS('Daily Log'!$C$7:$C$377,'Daily Log'!$V$7:$V$377,$A9)</f>
        <v/>
      </c>
      <c r="D9" s="179">
        <f>SUMIFS('Daily Log'!$D$7:$D$377,'Daily Log'!$V$7:$V$377,$A9)</f>
        <v/>
      </c>
      <c r="E9" s="179">
        <f>SUMIFS('Daily Log'!$E$7:$E$377,'Daily Log'!$V$7:$V$377,$A9)</f>
        <v/>
      </c>
      <c r="F9" s="179">
        <f>SUMIFS('Daily Log'!$F$7:$F$377,'Daily Log'!$V$7:$V$377,$A9)</f>
        <v/>
      </c>
      <c r="G9" s="252">
        <f>SUMIFS('Daily Log'!$U$7:$U$377,'Daily Log'!$V$7:$V$377,$A9)</f>
        <v/>
      </c>
      <c r="H9" s="179">
        <f>SUMIFS('Daily Log'!$S$7:$S$377,'Daily Log'!$V$7:$V$377,$A9)</f>
        <v/>
      </c>
      <c r="I9" s="280">
        <f>IF($C9=0,"",$D9/$C9)</f>
        <v/>
      </c>
      <c r="J9" s="65">
        <f>IF($H9=0,"",$E9/$H9)</f>
        <v/>
      </c>
      <c r="K9" s="132">
        <f>IF(AND($G9&gt;0,$H9=0),"pot not shared - no attendance marked",IF(AND($I9&lt;&gt;"",N($I9)&gt;RejectAlarm),"reject rate high",""))</f>
        <v/>
      </c>
      <c r="L9" s="51">
        <f>SUMIFS('Daily Log'!$G$7:$G$377,'Daily Log'!$V$7:$V$377,$A9)</f>
        <v/>
      </c>
      <c r="M9" s="51">
        <f>SUMIFS('Daily Log'!$H$7:$H$377,'Daily Log'!$V$7:$V$377,$A9)</f>
        <v/>
      </c>
      <c r="N9" s="51">
        <f>SUMIFS('Daily Log'!$I$7:$I$377,'Daily Log'!$V$7:$V$377,$A9)</f>
        <v/>
      </c>
      <c r="O9" s="51">
        <f>SUMIFS('Daily Log'!$J$7:$J$377,'Daily Log'!$V$7:$V$377,$A9)</f>
        <v/>
      </c>
      <c r="P9" s="51">
        <f>SUMIFS('Daily Log'!$K$7:$K$377,'Daily Log'!$V$7:$V$377,$A9)</f>
        <v/>
      </c>
      <c r="Q9" s="51">
        <f>SUMIFS('Daily Log'!$L$7:$L$377,'Daily Log'!$V$7:$V$377,$A9)</f>
        <v/>
      </c>
      <c r="R9" s="51">
        <f>SUMIFS('Daily Log'!$M$7:$M$377,'Daily Log'!$V$7:$V$377,$A9)</f>
        <v/>
      </c>
      <c r="S9" s="51">
        <f>SUMIFS('Daily Log'!$N$7:$N$377,'Daily Log'!$V$7:$V$377,$A9)</f>
        <v/>
      </c>
      <c r="T9" s="51">
        <f>SUMIFS('Daily Log'!$O$7:$O$377,'Daily Log'!$V$7:$V$377,$A9)</f>
        <v/>
      </c>
      <c r="U9" s="51">
        <f>SUMIFS('Daily Log'!$P$7:$P$377,'Daily Log'!$V$7:$V$377,$A9)</f>
        <v/>
      </c>
      <c r="V9" s="51">
        <f>SUMIFS('Daily Log'!$Q$7:$Q$377,'Daily Log'!$V$7:$V$377,$A9)</f>
        <v/>
      </c>
      <c r="W9" s="51">
        <f>SUMIFS('Daily Log'!$R$7:$R$377,'Daily Log'!$V$7:$V$377,$A9)</f>
        <v/>
      </c>
      <c r="X9" s="252">
        <f>IF($H9=0,0,ROUND($G9*L9/$H9,0))</f>
        <v/>
      </c>
      <c r="Y9" s="252">
        <f>IF($H9=0,0,ROUND($G9*M9/$H9,0))</f>
        <v/>
      </c>
      <c r="Z9" s="252">
        <f>IF($H9=0,0,ROUND($G9*N9/$H9,0))</f>
        <v/>
      </c>
      <c r="AA9" s="252">
        <f>IF($H9=0,0,ROUND($G9*O9/$H9,0))</f>
        <v/>
      </c>
      <c r="AB9" s="252">
        <f>IF($H9=0,0,ROUND($G9*P9/$H9,0))</f>
        <v/>
      </c>
      <c r="AC9" s="252">
        <f>IF($H9=0,0,ROUND($G9*Q9/$H9,0))</f>
        <v/>
      </c>
      <c r="AD9" s="252">
        <f>IF($H9=0,0,ROUND($G9*R9/$H9,0))</f>
        <v/>
      </c>
      <c r="AE9" s="252">
        <f>IF($H9=0,0,ROUND($G9*S9/$H9,0))</f>
        <v/>
      </c>
      <c r="AF9" s="252">
        <f>IF($H9=0,0,ROUND($G9*T9/$H9,0))</f>
        <v/>
      </c>
      <c r="AG9" s="252">
        <f>IF($H9=0,0,ROUND($G9*U9/$H9,0))</f>
        <v/>
      </c>
      <c r="AH9" s="252">
        <f>IF($H9=0,0,ROUND($G9*V9/$H9,0))</f>
        <v/>
      </c>
      <c r="AI9" s="252">
        <f>IF($H9=0,0,ROUND($G9*W9/$H9,0))</f>
        <v/>
      </c>
      <c r="AJ9" s="252">
        <f>SUM(X9:AI9)</f>
        <v/>
      </c>
      <c r="AK9" s="266">
        <f>$AJ9-$G9</f>
        <v/>
      </c>
      <c r="AL9" s="125" t="n"/>
    </row>
    <row r="10" ht="21" customFormat="1" customHeight="1" s="127">
      <c r="A10" s="308" t="n">
        <v>46286</v>
      </c>
      <c r="B10" s="250">
        <f>$A10+6</f>
        <v/>
      </c>
      <c r="C10" s="179">
        <f>SUMIFS('Daily Log'!$C$7:$C$377,'Daily Log'!$V$7:$V$377,$A10)</f>
        <v/>
      </c>
      <c r="D10" s="179">
        <f>SUMIFS('Daily Log'!$D$7:$D$377,'Daily Log'!$V$7:$V$377,$A10)</f>
        <v/>
      </c>
      <c r="E10" s="179">
        <f>SUMIFS('Daily Log'!$E$7:$E$377,'Daily Log'!$V$7:$V$377,$A10)</f>
        <v/>
      </c>
      <c r="F10" s="179">
        <f>SUMIFS('Daily Log'!$F$7:$F$377,'Daily Log'!$V$7:$V$377,$A10)</f>
        <v/>
      </c>
      <c r="G10" s="252">
        <f>SUMIFS('Daily Log'!$U$7:$U$377,'Daily Log'!$V$7:$V$377,$A10)</f>
        <v/>
      </c>
      <c r="H10" s="179">
        <f>SUMIFS('Daily Log'!$S$7:$S$377,'Daily Log'!$V$7:$V$377,$A10)</f>
        <v/>
      </c>
      <c r="I10" s="280">
        <f>IF($C10=0,"",$D10/$C10)</f>
        <v/>
      </c>
      <c r="J10" s="65">
        <f>IF($H10=0,"",$E10/$H10)</f>
        <v/>
      </c>
      <c r="K10" s="132">
        <f>IF(AND($G10&gt;0,$H10=0),"pot not shared - no attendance marked",IF(AND($I10&lt;&gt;"",N($I10)&gt;RejectAlarm),"reject rate high",""))</f>
        <v/>
      </c>
      <c r="L10" s="51">
        <f>SUMIFS('Daily Log'!$G$7:$G$377,'Daily Log'!$V$7:$V$377,$A10)</f>
        <v/>
      </c>
      <c r="M10" s="51">
        <f>SUMIFS('Daily Log'!$H$7:$H$377,'Daily Log'!$V$7:$V$377,$A10)</f>
        <v/>
      </c>
      <c r="N10" s="51">
        <f>SUMIFS('Daily Log'!$I$7:$I$377,'Daily Log'!$V$7:$V$377,$A10)</f>
        <v/>
      </c>
      <c r="O10" s="51">
        <f>SUMIFS('Daily Log'!$J$7:$J$377,'Daily Log'!$V$7:$V$377,$A10)</f>
        <v/>
      </c>
      <c r="P10" s="51">
        <f>SUMIFS('Daily Log'!$K$7:$K$377,'Daily Log'!$V$7:$V$377,$A10)</f>
        <v/>
      </c>
      <c r="Q10" s="51">
        <f>SUMIFS('Daily Log'!$L$7:$L$377,'Daily Log'!$V$7:$V$377,$A10)</f>
        <v/>
      </c>
      <c r="R10" s="51">
        <f>SUMIFS('Daily Log'!$M$7:$M$377,'Daily Log'!$V$7:$V$377,$A10)</f>
        <v/>
      </c>
      <c r="S10" s="51">
        <f>SUMIFS('Daily Log'!$N$7:$N$377,'Daily Log'!$V$7:$V$377,$A10)</f>
        <v/>
      </c>
      <c r="T10" s="51">
        <f>SUMIFS('Daily Log'!$O$7:$O$377,'Daily Log'!$V$7:$V$377,$A10)</f>
        <v/>
      </c>
      <c r="U10" s="51">
        <f>SUMIFS('Daily Log'!$P$7:$P$377,'Daily Log'!$V$7:$V$377,$A10)</f>
        <v/>
      </c>
      <c r="V10" s="51">
        <f>SUMIFS('Daily Log'!$Q$7:$Q$377,'Daily Log'!$V$7:$V$377,$A10)</f>
        <v/>
      </c>
      <c r="W10" s="51">
        <f>SUMIFS('Daily Log'!$R$7:$R$377,'Daily Log'!$V$7:$V$377,$A10)</f>
        <v/>
      </c>
      <c r="X10" s="252">
        <f>IF($H10=0,0,ROUND($G10*L10/$H10,0))</f>
        <v/>
      </c>
      <c r="Y10" s="252">
        <f>IF($H10=0,0,ROUND($G10*M10/$H10,0))</f>
        <v/>
      </c>
      <c r="Z10" s="252">
        <f>IF($H10=0,0,ROUND($G10*N10/$H10,0))</f>
        <v/>
      </c>
      <c r="AA10" s="252">
        <f>IF($H10=0,0,ROUND($G10*O10/$H10,0))</f>
        <v/>
      </c>
      <c r="AB10" s="252">
        <f>IF($H10=0,0,ROUND($G10*P10/$H10,0))</f>
        <v/>
      </c>
      <c r="AC10" s="252">
        <f>IF($H10=0,0,ROUND($G10*Q10/$H10,0))</f>
        <v/>
      </c>
      <c r="AD10" s="252">
        <f>IF($H10=0,0,ROUND($G10*R10/$H10,0))</f>
        <v/>
      </c>
      <c r="AE10" s="252">
        <f>IF($H10=0,0,ROUND($G10*S10/$H10,0))</f>
        <v/>
      </c>
      <c r="AF10" s="252">
        <f>IF($H10=0,0,ROUND($G10*T10/$H10,0))</f>
        <v/>
      </c>
      <c r="AG10" s="252">
        <f>IF($H10=0,0,ROUND($G10*U10/$H10,0))</f>
        <v/>
      </c>
      <c r="AH10" s="252">
        <f>IF($H10=0,0,ROUND($G10*V10/$H10,0))</f>
        <v/>
      </c>
      <c r="AI10" s="252">
        <f>IF($H10=0,0,ROUND($G10*W10/$H10,0))</f>
        <v/>
      </c>
      <c r="AJ10" s="252">
        <f>SUM(X10:AI10)</f>
        <v/>
      </c>
      <c r="AK10" s="266">
        <f>$AJ10-$G10</f>
        <v/>
      </c>
      <c r="AL10" s="125" t="n"/>
    </row>
    <row r="11" ht="21" customFormat="1" customHeight="1" s="127">
      <c r="A11" s="308" t="n">
        <v>46293</v>
      </c>
      <c r="B11" s="250">
        <f>$A11+6</f>
        <v/>
      </c>
      <c r="C11" s="179">
        <f>SUMIFS('Daily Log'!$C$7:$C$377,'Daily Log'!$V$7:$V$377,$A11)</f>
        <v/>
      </c>
      <c r="D11" s="179">
        <f>SUMIFS('Daily Log'!$D$7:$D$377,'Daily Log'!$V$7:$V$377,$A11)</f>
        <v/>
      </c>
      <c r="E11" s="179">
        <f>SUMIFS('Daily Log'!$E$7:$E$377,'Daily Log'!$V$7:$V$377,$A11)</f>
        <v/>
      </c>
      <c r="F11" s="179">
        <f>SUMIFS('Daily Log'!$F$7:$F$377,'Daily Log'!$V$7:$V$377,$A11)</f>
        <v/>
      </c>
      <c r="G11" s="252">
        <f>SUMIFS('Daily Log'!$U$7:$U$377,'Daily Log'!$V$7:$V$377,$A11)</f>
        <v/>
      </c>
      <c r="H11" s="179">
        <f>SUMIFS('Daily Log'!$S$7:$S$377,'Daily Log'!$V$7:$V$377,$A11)</f>
        <v/>
      </c>
      <c r="I11" s="280">
        <f>IF($C11=0,"",$D11/$C11)</f>
        <v/>
      </c>
      <c r="J11" s="65">
        <f>IF($H11=0,"",$E11/$H11)</f>
        <v/>
      </c>
      <c r="K11" s="132">
        <f>IF(AND($G11&gt;0,$H11=0),"pot not shared - no attendance marked",IF(AND($I11&lt;&gt;"",N($I11)&gt;RejectAlarm),"reject rate high",""))</f>
        <v/>
      </c>
      <c r="L11" s="51">
        <f>SUMIFS('Daily Log'!$G$7:$G$377,'Daily Log'!$V$7:$V$377,$A11)</f>
        <v/>
      </c>
      <c r="M11" s="51">
        <f>SUMIFS('Daily Log'!$H$7:$H$377,'Daily Log'!$V$7:$V$377,$A11)</f>
        <v/>
      </c>
      <c r="N11" s="51">
        <f>SUMIFS('Daily Log'!$I$7:$I$377,'Daily Log'!$V$7:$V$377,$A11)</f>
        <v/>
      </c>
      <c r="O11" s="51">
        <f>SUMIFS('Daily Log'!$J$7:$J$377,'Daily Log'!$V$7:$V$377,$A11)</f>
        <v/>
      </c>
      <c r="P11" s="51">
        <f>SUMIFS('Daily Log'!$K$7:$K$377,'Daily Log'!$V$7:$V$377,$A11)</f>
        <v/>
      </c>
      <c r="Q11" s="51">
        <f>SUMIFS('Daily Log'!$L$7:$L$377,'Daily Log'!$V$7:$V$377,$A11)</f>
        <v/>
      </c>
      <c r="R11" s="51">
        <f>SUMIFS('Daily Log'!$M$7:$M$377,'Daily Log'!$V$7:$V$377,$A11)</f>
        <v/>
      </c>
      <c r="S11" s="51">
        <f>SUMIFS('Daily Log'!$N$7:$N$377,'Daily Log'!$V$7:$V$377,$A11)</f>
        <v/>
      </c>
      <c r="T11" s="51">
        <f>SUMIFS('Daily Log'!$O$7:$O$377,'Daily Log'!$V$7:$V$377,$A11)</f>
        <v/>
      </c>
      <c r="U11" s="51">
        <f>SUMIFS('Daily Log'!$P$7:$P$377,'Daily Log'!$V$7:$V$377,$A11)</f>
        <v/>
      </c>
      <c r="V11" s="51">
        <f>SUMIFS('Daily Log'!$Q$7:$Q$377,'Daily Log'!$V$7:$V$377,$A11)</f>
        <v/>
      </c>
      <c r="W11" s="51">
        <f>SUMIFS('Daily Log'!$R$7:$R$377,'Daily Log'!$V$7:$V$377,$A11)</f>
        <v/>
      </c>
      <c r="X11" s="252">
        <f>IF($H11=0,0,ROUND($G11*L11/$H11,0))</f>
        <v/>
      </c>
      <c r="Y11" s="252">
        <f>IF($H11=0,0,ROUND($G11*M11/$H11,0))</f>
        <v/>
      </c>
      <c r="Z11" s="252">
        <f>IF($H11=0,0,ROUND($G11*N11/$H11,0))</f>
        <v/>
      </c>
      <c r="AA11" s="252">
        <f>IF($H11=0,0,ROUND($G11*O11/$H11,0))</f>
        <v/>
      </c>
      <c r="AB11" s="252">
        <f>IF($H11=0,0,ROUND($G11*P11/$H11,0))</f>
        <v/>
      </c>
      <c r="AC11" s="252">
        <f>IF($H11=0,0,ROUND($G11*Q11/$H11,0))</f>
        <v/>
      </c>
      <c r="AD11" s="252">
        <f>IF($H11=0,0,ROUND($G11*R11/$H11,0))</f>
        <v/>
      </c>
      <c r="AE11" s="252">
        <f>IF($H11=0,0,ROUND($G11*S11/$H11,0))</f>
        <v/>
      </c>
      <c r="AF11" s="252">
        <f>IF($H11=0,0,ROUND($G11*T11/$H11,0))</f>
        <v/>
      </c>
      <c r="AG11" s="252">
        <f>IF($H11=0,0,ROUND($G11*U11/$H11,0))</f>
        <v/>
      </c>
      <c r="AH11" s="252">
        <f>IF($H11=0,0,ROUND($G11*V11/$H11,0))</f>
        <v/>
      </c>
      <c r="AI11" s="252">
        <f>IF($H11=0,0,ROUND($G11*W11/$H11,0))</f>
        <v/>
      </c>
      <c r="AJ11" s="252">
        <f>SUM(X11:AI11)</f>
        <v/>
      </c>
      <c r="AK11" s="266">
        <f>$AJ11-$G11</f>
        <v/>
      </c>
      <c r="AL11" s="125" t="n"/>
    </row>
    <row r="12" ht="21" customFormat="1" customHeight="1" s="127">
      <c r="A12" s="308" t="n">
        <v>46300</v>
      </c>
      <c r="B12" s="250">
        <f>$A12+6</f>
        <v/>
      </c>
      <c r="C12" s="179">
        <f>SUMIFS('Daily Log'!$C$7:$C$377,'Daily Log'!$V$7:$V$377,$A12)</f>
        <v/>
      </c>
      <c r="D12" s="179">
        <f>SUMIFS('Daily Log'!$D$7:$D$377,'Daily Log'!$V$7:$V$377,$A12)</f>
        <v/>
      </c>
      <c r="E12" s="179">
        <f>SUMIFS('Daily Log'!$E$7:$E$377,'Daily Log'!$V$7:$V$377,$A12)</f>
        <v/>
      </c>
      <c r="F12" s="179">
        <f>SUMIFS('Daily Log'!$F$7:$F$377,'Daily Log'!$V$7:$V$377,$A12)</f>
        <v/>
      </c>
      <c r="G12" s="252">
        <f>SUMIFS('Daily Log'!$U$7:$U$377,'Daily Log'!$V$7:$V$377,$A12)</f>
        <v/>
      </c>
      <c r="H12" s="179">
        <f>SUMIFS('Daily Log'!$S$7:$S$377,'Daily Log'!$V$7:$V$377,$A12)</f>
        <v/>
      </c>
      <c r="I12" s="280">
        <f>IF($C12=0,"",$D12/$C12)</f>
        <v/>
      </c>
      <c r="J12" s="65">
        <f>IF($H12=0,"",$E12/$H12)</f>
        <v/>
      </c>
      <c r="K12" s="132">
        <f>IF(AND($G12&gt;0,$H12=0),"pot not shared - no attendance marked",IF(AND($I12&lt;&gt;"",N($I12)&gt;RejectAlarm),"reject rate high",""))</f>
        <v/>
      </c>
      <c r="L12" s="51">
        <f>SUMIFS('Daily Log'!$G$7:$G$377,'Daily Log'!$V$7:$V$377,$A12)</f>
        <v/>
      </c>
      <c r="M12" s="51">
        <f>SUMIFS('Daily Log'!$H$7:$H$377,'Daily Log'!$V$7:$V$377,$A12)</f>
        <v/>
      </c>
      <c r="N12" s="51">
        <f>SUMIFS('Daily Log'!$I$7:$I$377,'Daily Log'!$V$7:$V$377,$A12)</f>
        <v/>
      </c>
      <c r="O12" s="51">
        <f>SUMIFS('Daily Log'!$J$7:$J$377,'Daily Log'!$V$7:$V$377,$A12)</f>
        <v/>
      </c>
      <c r="P12" s="51">
        <f>SUMIFS('Daily Log'!$K$7:$K$377,'Daily Log'!$V$7:$V$377,$A12)</f>
        <v/>
      </c>
      <c r="Q12" s="51">
        <f>SUMIFS('Daily Log'!$L$7:$L$377,'Daily Log'!$V$7:$V$377,$A12)</f>
        <v/>
      </c>
      <c r="R12" s="51">
        <f>SUMIFS('Daily Log'!$M$7:$M$377,'Daily Log'!$V$7:$V$377,$A12)</f>
        <v/>
      </c>
      <c r="S12" s="51">
        <f>SUMIFS('Daily Log'!$N$7:$N$377,'Daily Log'!$V$7:$V$377,$A12)</f>
        <v/>
      </c>
      <c r="T12" s="51">
        <f>SUMIFS('Daily Log'!$O$7:$O$377,'Daily Log'!$V$7:$V$377,$A12)</f>
        <v/>
      </c>
      <c r="U12" s="51">
        <f>SUMIFS('Daily Log'!$P$7:$P$377,'Daily Log'!$V$7:$V$377,$A12)</f>
        <v/>
      </c>
      <c r="V12" s="51">
        <f>SUMIFS('Daily Log'!$Q$7:$Q$377,'Daily Log'!$V$7:$V$377,$A12)</f>
        <v/>
      </c>
      <c r="W12" s="51">
        <f>SUMIFS('Daily Log'!$R$7:$R$377,'Daily Log'!$V$7:$V$377,$A12)</f>
        <v/>
      </c>
      <c r="X12" s="252">
        <f>IF($H12=0,0,ROUND($G12*L12/$H12,0))</f>
        <v/>
      </c>
      <c r="Y12" s="252">
        <f>IF($H12=0,0,ROUND($G12*M12/$H12,0))</f>
        <v/>
      </c>
      <c r="Z12" s="252">
        <f>IF($H12=0,0,ROUND($G12*N12/$H12,0))</f>
        <v/>
      </c>
      <c r="AA12" s="252">
        <f>IF($H12=0,0,ROUND($G12*O12/$H12,0))</f>
        <v/>
      </c>
      <c r="AB12" s="252">
        <f>IF($H12=0,0,ROUND($G12*P12/$H12,0))</f>
        <v/>
      </c>
      <c r="AC12" s="252">
        <f>IF($H12=0,0,ROUND($G12*Q12/$H12,0))</f>
        <v/>
      </c>
      <c r="AD12" s="252">
        <f>IF($H12=0,0,ROUND($G12*R12/$H12,0))</f>
        <v/>
      </c>
      <c r="AE12" s="252">
        <f>IF($H12=0,0,ROUND($G12*S12/$H12,0))</f>
        <v/>
      </c>
      <c r="AF12" s="252">
        <f>IF($H12=0,0,ROUND($G12*T12/$H12,0))</f>
        <v/>
      </c>
      <c r="AG12" s="252">
        <f>IF($H12=0,0,ROUND($G12*U12/$H12,0))</f>
        <v/>
      </c>
      <c r="AH12" s="252">
        <f>IF($H12=0,0,ROUND($G12*V12/$H12,0))</f>
        <v/>
      </c>
      <c r="AI12" s="252">
        <f>IF($H12=0,0,ROUND($G12*W12/$H12,0))</f>
        <v/>
      </c>
      <c r="AJ12" s="252">
        <f>SUM(X12:AI12)</f>
        <v/>
      </c>
      <c r="AK12" s="266">
        <f>$AJ12-$G12</f>
        <v/>
      </c>
      <c r="AL12" s="125" t="n"/>
    </row>
    <row r="13" ht="21" customFormat="1" customHeight="1" s="127">
      <c r="A13" s="308" t="n">
        <v>46307</v>
      </c>
      <c r="B13" s="250">
        <f>$A13+6</f>
        <v/>
      </c>
      <c r="C13" s="179">
        <f>SUMIFS('Daily Log'!$C$7:$C$377,'Daily Log'!$V$7:$V$377,$A13)</f>
        <v/>
      </c>
      <c r="D13" s="179">
        <f>SUMIFS('Daily Log'!$D$7:$D$377,'Daily Log'!$V$7:$V$377,$A13)</f>
        <v/>
      </c>
      <c r="E13" s="179">
        <f>SUMIFS('Daily Log'!$E$7:$E$377,'Daily Log'!$V$7:$V$377,$A13)</f>
        <v/>
      </c>
      <c r="F13" s="179">
        <f>SUMIFS('Daily Log'!$F$7:$F$377,'Daily Log'!$V$7:$V$377,$A13)</f>
        <v/>
      </c>
      <c r="G13" s="252">
        <f>SUMIFS('Daily Log'!$U$7:$U$377,'Daily Log'!$V$7:$V$377,$A13)</f>
        <v/>
      </c>
      <c r="H13" s="179">
        <f>SUMIFS('Daily Log'!$S$7:$S$377,'Daily Log'!$V$7:$V$377,$A13)</f>
        <v/>
      </c>
      <c r="I13" s="280">
        <f>IF($C13=0,"",$D13/$C13)</f>
        <v/>
      </c>
      <c r="J13" s="65">
        <f>IF($H13=0,"",$E13/$H13)</f>
        <v/>
      </c>
      <c r="K13" s="132">
        <f>IF(AND($G13&gt;0,$H13=0),"pot not shared - no attendance marked",IF(AND($I13&lt;&gt;"",N($I13)&gt;RejectAlarm),"reject rate high",""))</f>
        <v/>
      </c>
      <c r="L13" s="51">
        <f>SUMIFS('Daily Log'!$G$7:$G$377,'Daily Log'!$V$7:$V$377,$A13)</f>
        <v/>
      </c>
      <c r="M13" s="51">
        <f>SUMIFS('Daily Log'!$H$7:$H$377,'Daily Log'!$V$7:$V$377,$A13)</f>
        <v/>
      </c>
      <c r="N13" s="51">
        <f>SUMIFS('Daily Log'!$I$7:$I$377,'Daily Log'!$V$7:$V$377,$A13)</f>
        <v/>
      </c>
      <c r="O13" s="51">
        <f>SUMIFS('Daily Log'!$J$7:$J$377,'Daily Log'!$V$7:$V$377,$A13)</f>
        <v/>
      </c>
      <c r="P13" s="51">
        <f>SUMIFS('Daily Log'!$K$7:$K$377,'Daily Log'!$V$7:$V$377,$A13)</f>
        <v/>
      </c>
      <c r="Q13" s="51">
        <f>SUMIFS('Daily Log'!$L$7:$L$377,'Daily Log'!$V$7:$V$377,$A13)</f>
        <v/>
      </c>
      <c r="R13" s="51">
        <f>SUMIFS('Daily Log'!$M$7:$M$377,'Daily Log'!$V$7:$V$377,$A13)</f>
        <v/>
      </c>
      <c r="S13" s="51">
        <f>SUMIFS('Daily Log'!$N$7:$N$377,'Daily Log'!$V$7:$V$377,$A13)</f>
        <v/>
      </c>
      <c r="T13" s="51">
        <f>SUMIFS('Daily Log'!$O$7:$O$377,'Daily Log'!$V$7:$V$377,$A13)</f>
        <v/>
      </c>
      <c r="U13" s="51">
        <f>SUMIFS('Daily Log'!$P$7:$P$377,'Daily Log'!$V$7:$V$377,$A13)</f>
        <v/>
      </c>
      <c r="V13" s="51">
        <f>SUMIFS('Daily Log'!$Q$7:$Q$377,'Daily Log'!$V$7:$V$377,$A13)</f>
        <v/>
      </c>
      <c r="W13" s="51">
        <f>SUMIFS('Daily Log'!$R$7:$R$377,'Daily Log'!$V$7:$V$377,$A13)</f>
        <v/>
      </c>
      <c r="X13" s="252">
        <f>IF($H13=0,0,ROUND($G13*L13/$H13,0))</f>
        <v/>
      </c>
      <c r="Y13" s="252">
        <f>IF($H13=0,0,ROUND($G13*M13/$H13,0))</f>
        <v/>
      </c>
      <c r="Z13" s="252">
        <f>IF($H13=0,0,ROUND($G13*N13/$H13,0))</f>
        <v/>
      </c>
      <c r="AA13" s="252">
        <f>IF($H13=0,0,ROUND($G13*O13/$H13,0))</f>
        <v/>
      </c>
      <c r="AB13" s="252">
        <f>IF($H13=0,0,ROUND($G13*P13/$H13,0))</f>
        <v/>
      </c>
      <c r="AC13" s="252">
        <f>IF($H13=0,0,ROUND($G13*Q13/$H13,0))</f>
        <v/>
      </c>
      <c r="AD13" s="252">
        <f>IF($H13=0,0,ROUND($G13*R13/$H13,0))</f>
        <v/>
      </c>
      <c r="AE13" s="252">
        <f>IF($H13=0,0,ROUND($G13*S13/$H13,0))</f>
        <v/>
      </c>
      <c r="AF13" s="252">
        <f>IF($H13=0,0,ROUND($G13*T13/$H13,0))</f>
        <v/>
      </c>
      <c r="AG13" s="252">
        <f>IF($H13=0,0,ROUND($G13*U13/$H13,0))</f>
        <v/>
      </c>
      <c r="AH13" s="252">
        <f>IF($H13=0,0,ROUND($G13*V13/$H13,0))</f>
        <v/>
      </c>
      <c r="AI13" s="252">
        <f>IF($H13=0,0,ROUND($G13*W13/$H13,0))</f>
        <v/>
      </c>
      <c r="AJ13" s="252">
        <f>SUM(X13:AI13)</f>
        <v/>
      </c>
      <c r="AK13" s="266">
        <f>$AJ13-$G13</f>
        <v/>
      </c>
      <c r="AL13" s="125" t="n"/>
    </row>
    <row r="14" ht="21" customFormat="1" customHeight="1" s="127">
      <c r="A14" s="308" t="n">
        <v>46314</v>
      </c>
      <c r="B14" s="250">
        <f>$A14+6</f>
        <v/>
      </c>
      <c r="C14" s="179">
        <f>SUMIFS('Daily Log'!$C$7:$C$377,'Daily Log'!$V$7:$V$377,$A14)</f>
        <v/>
      </c>
      <c r="D14" s="179">
        <f>SUMIFS('Daily Log'!$D$7:$D$377,'Daily Log'!$V$7:$V$377,$A14)</f>
        <v/>
      </c>
      <c r="E14" s="179">
        <f>SUMIFS('Daily Log'!$E$7:$E$377,'Daily Log'!$V$7:$V$377,$A14)</f>
        <v/>
      </c>
      <c r="F14" s="179">
        <f>SUMIFS('Daily Log'!$F$7:$F$377,'Daily Log'!$V$7:$V$377,$A14)</f>
        <v/>
      </c>
      <c r="G14" s="252">
        <f>SUMIFS('Daily Log'!$U$7:$U$377,'Daily Log'!$V$7:$V$377,$A14)</f>
        <v/>
      </c>
      <c r="H14" s="179">
        <f>SUMIFS('Daily Log'!$S$7:$S$377,'Daily Log'!$V$7:$V$377,$A14)</f>
        <v/>
      </c>
      <c r="I14" s="280">
        <f>IF($C14=0,"",$D14/$C14)</f>
        <v/>
      </c>
      <c r="J14" s="65">
        <f>IF($H14=0,"",$E14/$H14)</f>
        <v/>
      </c>
      <c r="K14" s="132">
        <f>IF(AND($G14&gt;0,$H14=0),"pot not shared - no attendance marked",IF(AND($I14&lt;&gt;"",N($I14)&gt;RejectAlarm),"reject rate high",""))</f>
        <v/>
      </c>
      <c r="L14" s="51">
        <f>SUMIFS('Daily Log'!$G$7:$G$377,'Daily Log'!$V$7:$V$377,$A14)</f>
        <v/>
      </c>
      <c r="M14" s="51">
        <f>SUMIFS('Daily Log'!$H$7:$H$377,'Daily Log'!$V$7:$V$377,$A14)</f>
        <v/>
      </c>
      <c r="N14" s="51">
        <f>SUMIFS('Daily Log'!$I$7:$I$377,'Daily Log'!$V$7:$V$377,$A14)</f>
        <v/>
      </c>
      <c r="O14" s="51">
        <f>SUMIFS('Daily Log'!$J$7:$J$377,'Daily Log'!$V$7:$V$377,$A14)</f>
        <v/>
      </c>
      <c r="P14" s="51">
        <f>SUMIFS('Daily Log'!$K$7:$K$377,'Daily Log'!$V$7:$V$377,$A14)</f>
        <v/>
      </c>
      <c r="Q14" s="51">
        <f>SUMIFS('Daily Log'!$L$7:$L$377,'Daily Log'!$V$7:$V$377,$A14)</f>
        <v/>
      </c>
      <c r="R14" s="51">
        <f>SUMIFS('Daily Log'!$M$7:$M$377,'Daily Log'!$V$7:$V$377,$A14)</f>
        <v/>
      </c>
      <c r="S14" s="51">
        <f>SUMIFS('Daily Log'!$N$7:$N$377,'Daily Log'!$V$7:$V$377,$A14)</f>
        <v/>
      </c>
      <c r="T14" s="51">
        <f>SUMIFS('Daily Log'!$O$7:$O$377,'Daily Log'!$V$7:$V$377,$A14)</f>
        <v/>
      </c>
      <c r="U14" s="51">
        <f>SUMIFS('Daily Log'!$P$7:$P$377,'Daily Log'!$V$7:$V$377,$A14)</f>
        <v/>
      </c>
      <c r="V14" s="51">
        <f>SUMIFS('Daily Log'!$Q$7:$Q$377,'Daily Log'!$V$7:$V$377,$A14)</f>
        <v/>
      </c>
      <c r="W14" s="51">
        <f>SUMIFS('Daily Log'!$R$7:$R$377,'Daily Log'!$V$7:$V$377,$A14)</f>
        <v/>
      </c>
      <c r="X14" s="252">
        <f>IF($H14=0,0,ROUND($G14*L14/$H14,0))</f>
        <v/>
      </c>
      <c r="Y14" s="252">
        <f>IF($H14=0,0,ROUND($G14*M14/$H14,0))</f>
        <v/>
      </c>
      <c r="Z14" s="252">
        <f>IF($H14=0,0,ROUND($G14*N14/$H14,0))</f>
        <v/>
      </c>
      <c r="AA14" s="252">
        <f>IF($H14=0,0,ROUND($G14*O14/$H14,0))</f>
        <v/>
      </c>
      <c r="AB14" s="252">
        <f>IF($H14=0,0,ROUND($G14*P14/$H14,0))</f>
        <v/>
      </c>
      <c r="AC14" s="252">
        <f>IF($H14=0,0,ROUND($G14*Q14/$H14,0))</f>
        <v/>
      </c>
      <c r="AD14" s="252">
        <f>IF($H14=0,0,ROUND($G14*R14/$H14,0))</f>
        <v/>
      </c>
      <c r="AE14" s="252">
        <f>IF($H14=0,0,ROUND($G14*S14/$H14,0))</f>
        <v/>
      </c>
      <c r="AF14" s="252">
        <f>IF($H14=0,0,ROUND($G14*T14/$H14,0))</f>
        <v/>
      </c>
      <c r="AG14" s="252">
        <f>IF($H14=0,0,ROUND($G14*U14/$H14,0))</f>
        <v/>
      </c>
      <c r="AH14" s="252">
        <f>IF($H14=0,0,ROUND($G14*V14/$H14,0))</f>
        <v/>
      </c>
      <c r="AI14" s="252">
        <f>IF($H14=0,0,ROUND($G14*W14/$H14,0))</f>
        <v/>
      </c>
      <c r="AJ14" s="252">
        <f>SUM(X14:AI14)</f>
        <v/>
      </c>
      <c r="AK14" s="266">
        <f>$AJ14-$G14</f>
        <v/>
      </c>
      <c r="AL14" s="125" t="n"/>
    </row>
    <row r="15" ht="21" customFormat="1" customHeight="1" s="127">
      <c r="A15" s="308" t="n">
        <v>46321</v>
      </c>
      <c r="B15" s="250">
        <f>$A15+6</f>
        <v/>
      </c>
      <c r="C15" s="179">
        <f>SUMIFS('Daily Log'!$C$7:$C$377,'Daily Log'!$V$7:$V$377,$A15)</f>
        <v/>
      </c>
      <c r="D15" s="179">
        <f>SUMIFS('Daily Log'!$D$7:$D$377,'Daily Log'!$V$7:$V$377,$A15)</f>
        <v/>
      </c>
      <c r="E15" s="179">
        <f>SUMIFS('Daily Log'!$E$7:$E$377,'Daily Log'!$V$7:$V$377,$A15)</f>
        <v/>
      </c>
      <c r="F15" s="179">
        <f>SUMIFS('Daily Log'!$F$7:$F$377,'Daily Log'!$V$7:$V$377,$A15)</f>
        <v/>
      </c>
      <c r="G15" s="252">
        <f>SUMIFS('Daily Log'!$U$7:$U$377,'Daily Log'!$V$7:$V$377,$A15)</f>
        <v/>
      </c>
      <c r="H15" s="179">
        <f>SUMIFS('Daily Log'!$S$7:$S$377,'Daily Log'!$V$7:$V$377,$A15)</f>
        <v/>
      </c>
      <c r="I15" s="280">
        <f>IF($C15=0,"",$D15/$C15)</f>
        <v/>
      </c>
      <c r="J15" s="65">
        <f>IF($H15=0,"",$E15/$H15)</f>
        <v/>
      </c>
      <c r="K15" s="132">
        <f>IF(AND($G15&gt;0,$H15=0),"pot not shared - no attendance marked",IF(AND($I15&lt;&gt;"",N($I15)&gt;RejectAlarm),"reject rate high",""))</f>
        <v/>
      </c>
      <c r="L15" s="51">
        <f>SUMIFS('Daily Log'!$G$7:$G$377,'Daily Log'!$V$7:$V$377,$A15)</f>
        <v/>
      </c>
      <c r="M15" s="51">
        <f>SUMIFS('Daily Log'!$H$7:$H$377,'Daily Log'!$V$7:$V$377,$A15)</f>
        <v/>
      </c>
      <c r="N15" s="51">
        <f>SUMIFS('Daily Log'!$I$7:$I$377,'Daily Log'!$V$7:$V$377,$A15)</f>
        <v/>
      </c>
      <c r="O15" s="51">
        <f>SUMIFS('Daily Log'!$J$7:$J$377,'Daily Log'!$V$7:$V$377,$A15)</f>
        <v/>
      </c>
      <c r="P15" s="51">
        <f>SUMIFS('Daily Log'!$K$7:$K$377,'Daily Log'!$V$7:$V$377,$A15)</f>
        <v/>
      </c>
      <c r="Q15" s="51">
        <f>SUMIFS('Daily Log'!$L$7:$L$377,'Daily Log'!$V$7:$V$377,$A15)</f>
        <v/>
      </c>
      <c r="R15" s="51">
        <f>SUMIFS('Daily Log'!$M$7:$M$377,'Daily Log'!$V$7:$V$377,$A15)</f>
        <v/>
      </c>
      <c r="S15" s="51">
        <f>SUMIFS('Daily Log'!$N$7:$N$377,'Daily Log'!$V$7:$V$377,$A15)</f>
        <v/>
      </c>
      <c r="T15" s="51">
        <f>SUMIFS('Daily Log'!$O$7:$O$377,'Daily Log'!$V$7:$V$377,$A15)</f>
        <v/>
      </c>
      <c r="U15" s="51">
        <f>SUMIFS('Daily Log'!$P$7:$P$377,'Daily Log'!$V$7:$V$377,$A15)</f>
        <v/>
      </c>
      <c r="V15" s="51">
        <f>SUMIFS('Daily Log'!$Q$7:$Q$377,'Daily Log'!$V$7:$V$377,$A15)</f>
        <v/>
      </c>
      <c r="W15" s="51">
        <f>SUMIFS('Daily Log'!$R$7:$R$377,'Daily Log'!$V$7:$V$377,$A15)</f>
        <v/>
      </c>
      <c r="X15" s="252">
        <f>IF($H15=0,0,ROUND($G15*L15/$H15,0))</f>
        <v/>
      </c>
      <c r="Y15" s="252">
        <f>IF($H15=0,0,ROUND($G15*M15/$H15,0))</f>
        <v/>
      </c>
      <c r="Z15" s="252">
        <f>IF($H15=0,0,ROUND($G15*N15/$H15,0))</f>
        <v/>
      </c>
      <c r="AA15" s="252">
        <f>IF($H15=0,0,ROUND($G15*O15/$H15,0))</f>
        <v/>
      </c>
      <c r="AB15" s="252">
        <f>IF($H15=0,0,ROUND($G15*P15/$H15,0))</f>
        <v/>
      </c>
      <c r="AC15" s="252">
        <f>IF($H15=0,0,ROUND($G15*Q15/$H15,0))</f>
        <v/>
      </c>
      <c r="AD15" s="252">
        <f>IF($H15=0,0,ROUND($G15*R15/$H15,0))</f>
        <v/>
      </c>
      <c r="AE15" s="252">
        <f>IF($H15=0,0,ROUND($G15*S15/$H15,0))</f>
        <v/>
      </c>
      <c r="AF15" s="252">
        <f>IF($H15=0,0,ROUND($G15*T15/$H15,0))</f>
        <v/>
      </c>
      <c r="AG15" s="252">
        <f>IF($H15=0,0,ROUND($G15*U15/$H15,0))</f>
        <v/>
      </c>
      <c r="AH15" s="252">
        <f>IF($H15=0,0,ROUND($G15*V15/$H15,0))</f>
        <v/>
      </c>
      <c r="AI15" s="252">
        <f>IF($H15=0,0,ROUND($G15*W15/$H15,0))</f>
        <v/>
      </c>
      <c r="AJ15" s="252">
        <f>SUM(X15:AI15)</f>
        <v/>
      </c>
      <c r="AK15" s="266">
        <f>$AJ15-$G15</f>
        <v/>
      </c>
      <c r="AL15" s="125" t="n"/>
    </row>
    <row r="16" ht="21" customFormat="1" customHeight="1" s="127">
      <c r="A16" s="308" t="n">
        <v>46328</v>
      </c>
      <c r="B16" s="250">
        <f>$A16+6</f>
        <v/>
      </c>
      <c r="C16" s="179">
        <f>SUMIFS('Daily Log'!$C$7:$C$377,'Daily Log'!$V$7:$V$377,$A16)</f>
        <v/>
      </c>
      <c r="D16" s="179">
        <f>SUMIFS('Daily Log'!$D$7:$D$377,'Daily Log'!$V$7:$V$377,$A16)</f>
        <v/>
      </c>
      <c r="E16" s="179">
        <f>SUMIFS('Daily Log'!$E$7:$E$377,'Daily Log'!$V$7:$V$377,$A16)</f>
        <v/>
      </c>
      <c r="F16" s="179">
        <f>SUMIFS('Daily Log'!$F$7:$F$377,'Daily Log'!$V$7:$V$377,$A16)</f>
        <v/>
      </c>
      <c r="G16" s="252">
        <f>SUMIFS('Daily Log'!$U$7:$U$377,'Daily Log'!$V$7:$V$377,$A16)</f>
        <v/>
      </c>
      <c r="H16" s="179">
        <f>SUMIFS('Daily Log'!$S$7:$S$377,'Daily Log'!$V$7:$V$377,$A16)</f>
        <v/>
      </c>
      <c r="I16" s="280">
        <f>IF($C16=0,"",$D16/$C16)</f>
        <v/>
      </c>
      <c r="J16" s="65">
        <f>IF($H16=0,"",$E16/$H16)</f>
        <v/>
      </c>
      <c r="K16" s="132">
        <f>IF(AND($G16&gt;0,$H16=0),"pot not shared - no attendance marked",IF(AND($I16&lt;&gt;"",N($I16)&gt;RejectAlarm),"reject rate high",""))</f>
        <v/>
      </c>
      <c r="L16" s="51">
        <f>SUMIFS('Daily Log'!$G$7:$G$377,'Daily Log'!$V$7:$V$377,$A16)</f>
        <v/>
      </c>
      <c r="M16" s="51">
        <f>SUMIFS('Daily Log'!$H$7:$H$377,'Daily Log'!$V$7:$V$377,$A16)</f>
        <v/>
      </c>
      <c r="N16" s="51">
        <f>SUMIFS('Daily Log'!$I$7:$I$377,'Daily Log'!$V$7:$V$377,$A16)</f>
        <v/>
      </c>
      <c r="O16" s="51">
        <f>SUMIFS('Daily Log'!$J$7:$J$377,'Daily Log'!$V$7:$V$377,$A16)</f>
        <v/>
      </c>
      <c r="P16" s="51">
        <f>SUMIFS('Daily Log'!$K$7:$K$377,'Daily Log'!$V$7:$V$377,$A16)</f>
        <v/>
      </c>
      <c r="Q16" s="51">
        <f>SUMIFS('Daily Log'!$L$7:$L$377,'Daily Log'!$V$7:$V$377,$A16)</f>
        <v/>
      </c>
      <c r="R16" s="51">
        <f>SUMIFS('Daily Log'!$M$7:$M$377,'Daily Log'!$V$7:$V$377,$A16)</f>
        <v/>
      </c>
      <c r="S16" s="51">
        <f>SUMIFS('Daily Log'!$N$7:$N$377,'Daily Log'!$V$7:$V$377,$A16)</f>
        <v/>
      </c>
      <c r="T16" s="51">
        <f>SUMIFS('Daily Log'!$O$7:$O$377,'Daily Log'!$V$7:$V$377,$A16)</f>
        <v/>
      </c>
      <c r="U16" s="51">
        <f>SUMIFS('Daily Log'!$P$7:$P$377,'Daily Log'!$V$7:$V$377,$A16)</f>
        <v/>
      </c>
      <c r="V16" s="51">
        <f>SUMIFS('Daily Log'!$Q$7:$Q$377,'Daily Log'!$V$7:$V$377,$A16)</f>
        <v/>
      </c>
      <c r="W16" s="51">
        <f>SUMIFS('Daily Log'!$R$7:$R$377,'Daily Log'!$V$7:$V$377,$A16)</f>
        <v/>
      </c>
      <c r="X16" s="252">
        <f>IF($H16=0,0,ROUND($G16*L16/$H16,0))</f>
        <v/>
      </c>
      <c r="Y16" s="252">
        <f>IF($H16=0,0,ROUND($G16*M16/$H16,0))</f>
        <v/>
      </c>
      <c r="Z16" s="252">
        <f>IF($H16=0,0,ROUND($G16*N16/$H16,0))</f>
        <v/>
      </c>
      <c r="AA16" s="252">
        <f>IF($H16=0,0,ROUND($G16*O16/$H16,0))</f>
        <v/>
      </c>
      <c r="AB16" s="252">
        <f>IF($H16=0,0,ROUND($G16*P16/$H16,0))</f>
        <v/>
      </c>
      <c r="AC16" s="252">
        <f>IF($H16=0,0,ROUND($G16*Q16/$H16,0))</f>
        <v/>
      </c>
      <c r="AD16" s="252">
        <f>IF($H16=0,0,ROUND($G16*R16/$H16,0))</f>
        <v/>
      </c>
      <c r="AE16" s="252">
        <f>IF($H16=0,0,ROUND($G16*S16/$H16,0))</f>
        <v/>
      </c>
      <c r="AF16" s="252">
        <f>IF($H16=0,0,ROUND($G16*T16/$H16,0))</f>
        <v/>
      </c>
      <c r="AG16" s="252">
        <f>IF($H16=0,0,ROUND($G16*U16/$H16,0))</f>
        <v/>
      </c>
      <c r="AH16" s="252">
        <f>IF($H16=0,0,ROUND($G16*V16/$H16,0))</f>
        <v/>
      </c>
      <c r="AI16" s="252">
        <f>IF($H16=0,0,ROUND($G16*W16/$H16,0))</f>
        <v/>
      </c>
      <c r="AJ16" s="252">
        <f>SUM(X16:AI16)</f>
        <v/>
      </c>
      <c r="AK16" s="266">
        <f>$AJ16-$G16</f>
        <v/>
      </c>
      <c r="AL16" s="125" t="n"/>
    </row>
    <row r="17" ht="21" customFormat="1" customHeight="1" s="127">
      <c r="A17" s="308" t="n">
        <v>46335</v>
      </c>
      <c r="B17" s="250">
        <f>$A17+6</f>
        <v/>
      </c>
      <c r="C17" s="179">
        <f>SUMIFS('Daily Log'!$C$7:$C$377,'Daily Log'!$V$7:$V$377,$A17)</f>
        <v/>
      </c>
      <c r="D17" s="179">
        <f>SUMIFS('Daily Log'!$D$7:$D$377,'Daily Log'!$V$7:$V$377,$A17)</f>
        <v/>
      </c>
      <c r="E17" s="179">
        <f>SUMIFS('Daily Log'!$E$7:$E$377,'Daily Log'!$V$7:$V$377,$A17)</f>
        <v/>
      </c>
      <c r="F17" s="179">
        <f>SUMIFS('Daily Log'!$F$7:$F$377,'Daily Log'!$V$7:$V$377,$A17)</f>
        <v/>
      </c>
      <c r="G17" s="252">
        <f>SUMIFS('Daily Log'!$U$7:$U$377,'Daily Log'!$V$7:$V$377,$A17)</f>
        <v/>
      </c>
      <c r="H17" s="179">
        <f>SUMIFS('Daily Log'!$S$7:$S$377,'Daily Log'!$V$7:$V$377,$A17)</f>
        <v/>
      </c>
      <c r="I17" s="280">
        <f>IF($C17=0,"",$D17/$C17)</f>
        <v/>
      </c>
      <c r="J17" s="65">
        <f>IF($H17=0,"",$E17/$H17)</f>
        <v/>
      </c>
      <c r="K17" s="132">
        <f>IF(AND($G17&gt;0,$H17=0),"pot not shared - no attendance marked",IF(AND($I17&lt;&gt;"",N($I17)&gt;RejectAlarm),"reject rate high",""))</f>
        <v/>
      </c>
      <c r="L17" s="51">
        <f>SUMIFS('Daily Log'!$G$7:$G$377,'Daily Log'!$V$7:$V$377,$A17)</f>
        <v/>
      </c>
      <c r="M17" s="51">
        <f>SUMIFS('Daily Log'!$H$7:$H$377,'Daily Log'!$V$7:$V$377,$A17)</f>
        <v/>
      </c>
      <c r="N17" s="51">
        <f>SUMIFS('Daily Log'!$I$7:$I$377,'Daily Log'!$V$7:$V$377,$A17)</f>
        <v/>
      </c>
      <c r="O17" s="51">
        <f>SUMIFS('Daily Log'!$J$7:$J$377,'Daily Log'!$V$7:$V$377,$A17)</f>
        <v/>
      </c>
      <c r="P17" s="51">
        <f>SUMIFS('Daily Log'!$K$7:$K$377,'Daily Log'!$V$7:$V$377,$A17)</f>
        <v/>
      </c>
      <c r="Q17" s="51">
        <f>SUMIFS('Daily Log'!$L$7:$L$377,'Daily Log'!$V$7:$V$377,$A17)</f>
        <v/>
      </c>
      <c r="R17" s="51">
        <f>SUMIFS('Daily Log'!$M$7:$M$377,'Daily Log'!$V$7:$V$377,$A17)</f>
        <v/>
      </c>
      <c r="S17" s="51">
        <f>SUMIFS('Daily Log'!$N$7:$N$377,'Daily Log'!$V$7:$V$377,$A17)</f>
        <v/>
      </c>
      <c r="T17" s="51">
        <f>SUMIFS('Daily Log'!$O$7:$O$377,'Daily Log'!$V$7:$V$377,$A17)</f>
        <v/>
      </c>
      <c r="U17" s="51">
        <f>SUMIFS('Daily Log'!$P$7:$P$377,'Daily Log'!$V$7:$V$377,$A17)</f>
        <v/>
      </c>
      <c r="V17" s="51">
        <f>SUMIFS('Daily Log'!$Q$7:$Q$377,'Daily Log'!$V$7:$V$377,$A17)</f>
        <v/>
      </c>
      <c r="W17" s="51">
        <f>SUMIFS('Daily Log'!$R$7:$R$377,'Daily Log'!$V$7:$V$377,$A17)</f>
        <v/>
      </c>
      <c r="X17" s="252">
        <f>IF($H17=0,0,ROUND($G17*L17/$H17,0))</f>
        <v/>
      </c>
      <c r="Y17" s="252">
        <f>IF($H17=0,0,ROUND($G17*M17/$H17,0))</f>
        <v/>
      </c>
      <c r="Z17" s="252">
        <f>IF($H17=0,0,ROUND($G17*N17/$H17,0))</f>
        <v/>
      </c>
      <c r="AA17" s="252">
        <f>IF($H17=0,0,ROUND($G17*O17/$H17,0))</f>
        <v/>
      </c>
      <c r="AB17" s="252">
        <f>IF($H17=0,0,ROUND($G17*P17/$H17,0))</f>
        <v/>
      </c>
      <c r="AC17" s="252">
        <f>IF($H17=0,0,ROUND($G17*Q17/$H17,0))</f>
        <v/>
      </c>
      <c r="AD17" s="252">
        <f>IF($H17=0,0,ROUND($G17*R17/$H17,0))</f>
        <v/>
      </c>
      <c r="AE17" s="252">
        <f>IF($H17=0,0,ROUND($G17*S17/$H17,0))</f>
        <v/>
      </c>
      <c r="AF17" s="252">
        <f>IF($H17=0,0,ROUND($G17*T17/$H17,0))</f>
        <v/>
      </c>
      <c r="AG17" s="252">
        <f>IF($H17=0,0,ROUND($G17*U17/$H17,0))</f>
        <v/>
      </c>
      <c r="AH17" s="252">
        <f>IF($H17=0,0,ROUND($G17*V17/$H17,0))</f>
        <v/>
      </c>
      <c r="AI17" s="252">
        <f>IF($H17=0,0,ROUND($G17*W17/$H17,0))</f>
        <v/>
      </c>
      <c r="AJ17" s="252">
        <f>SUM(X17:AI17)</f>
        <v/>
      </c>
      <c r="AK17" s="266">
        <f>$AJ17-$G17</f>
        <v/>
      </c>
      <c r="AL17" s="125" t="n"/>
    </row>
    <row r="18" ht="21" customFormat="1" customHeight="1" s="127">
      <c r="A18" s="308" t="n">
        <v>46342</v>
      </c>
      <c r="B18" s="250">
        <f>$A18+6</f>
        <v/>
      </c>
      <c r="C18" s="179">
        <f>SUMIFS('Daily Log'!$C$7:$C$377,'Daily Log'!$V$7:$V$377,$A18)</f>
        <v/>
      </c>
      <c r="D18" s="179">
        <f>SUMIFS('Daily Log'!$D$7:$D$377,'Daily Log'!$V$7:$V$377,$A18)</f>
        <v/>
      </c>
      <c r="E18" s="179">
        <f>SUMIFS('Daily Log'!$E$7:$E$377,'Daily Log'!$V$7:$V$377,$A18)</f>
        <v/>
      </c>
      <c r="F18" s="179">
        <f>SUMIFS('Daily Log'!$F$7:$F$377,'Daily Log'!$V$7:$V$377,$A18)</f>
        <v/>
      </c>
      <c r="G18" s="252">
        <f>SUMIFS('Daily Log'!$U$7:$U$377,'Daily Log'!$V$7:$V$377,$A18)</f>
        <v/>
      </c>
      <c r="H18" s="179">
        <f>SUMIFS('Daily Log'!$S$7:$S$377,'Daily Log'!$V$7:$V$377,$A18)</f>
        <v/>
      </c>
      <c r="I18" s="280">
        <f>IF($C18=0,"",$D18/$C18)</f>
        <v/>
      </c>
      <c r="J18" s="65">
        <f>IF($H18=0,"",$E18/$H18)</f>
        <v/>
      </c>
      <c r="K18" s="132">
        <f>IF(AND($G18&gt;0,$H18=0),"pot not shared - no attendance marked",IF(AND($I18&lt;&gt;"",N($I18)&gt;RejectAlarm),"reject rate high",""))</f>
        <v/>
      </c>
      <c r="L18" s="51">
        <f>SUMIFS('Daily Log'!$G$7:$G$377,'Daily Log'!$V$7:$V$377,$A18)</f>
        <v/>
      </c>
      <c r="M18" s="51">
        <f>SUMIFS('Daily Log'!$H$7:$H$377,'Daily Log'!$V$7:$V$377,$A18)</f>
        <v/>
      </c>
      <c r="N18" s="51">
        <f>SUMIFS('Daily Log'!$I$7:$I$377,'Daily Log'!$V$7:$V$377,$A18)</f>
        <v/>
      </c>
      <c r="O18" s="51">
        <f>SUMIFS('Daily Log'!$J$7:$J$377,'Daily Log'!$V$7:$V$377,$A18)</f>
        <v/>
      </c>
      <c r="P18" s="51">
        <f>SUMIFS('Daily Log'!$K$7:$K$377,'Daily Log'!$V$7:$V$377,$A18)</f>
        <v/>
      </c>
      <c r="Q18" s="51">
        <f>SUMIFS('Daily Log'!$L$7:$L$377,'Daily Log'!$V$7:$V$377,$A18)</f>
        <v/>
      </c>
      <c r="R18" s="51">
        <f>SUMIFS('Daily Log'!$M$7:$M$377,'Daily Log'!$V$7:$V$377,$A18)</f>
        <v/>
      </c>
      <c r="S18" s="51">
        <f>SUMIFS('Daily Log'!$N$7:$N$377,'Daily Log'!$V$7:$V$377,$A18)</f>
        <v/>
      </c>
      <c r="T18" s="51">
        <f>SUMIFS('Daily Log'!$O$7:$O$377,'Daily Log'!$V$7:$V$377,$A18)</f>
        <v/>
      </c>
      <c r="U18" s="51">
        <f>SUMIFS('Daily Log'!$P$7:$P$377,'Daily Log'!$V$7:$V$377,$A18)</f>
        <v/>
      </c>
      <c r="V18" s="51">
        <f>SUMIFS('Daily Log'!$Q$7:$Q$377,'Daily Log'!$V$7:$V$377,$A18)</f>
        <v/>
      </c>
      <c r="W18" s="51">
        <f>SUMIFS('Daily Log'!$R$7:$R$377,'Daily Log'!$V$7:$V$377,$A18)</f>
        <v/>
      </c>
      <c r="X18" s="252">
        <f>IF($H18=0,0,ROUND($G18*L18/$H18,0))</f>
        <v/>
      </c>
      <c r="Y18" s="252">
        <f>IF($H18=0,0,ROUND($G18*M18/$H18,0))</f>
        <v/>
      </c>
      <c r="Z18" s="252">
        <f>IF($H18=0,0,ROUND($G18*N18/$H18,0))</f>
        <v/>
      </c>
      <c r="AA18" s="252">
        <f>IF($H18=0,0,ROUND($G18*O18/$H18,0))</f>
        <v/>
      </c>
      <c r="AB18" s="252">
        <f>IF($H18=0,0,ROUND($G18*P18/$H18,0))</f>
        <v/>
      </c>
      <c r="AC18" s="252">
        <f>IF($H18=0,0,ROUND($G18*Q18/$H18,0))</f>
        <v/>
      </c>
      <c r="AD18" s="252">
        <f>IF($H18=0,0,ROUND($G18*R18/$H18,0))</f>
        <v/>
      </c>
      <c r="AE18" s="252">
        <f>IF($H18=0,0,ROUND($G18*S18/$H18,0))</f>
        <v/>
      </c>
      <c r="AF18" s="252">
        <f>IF($H18=0,0,ROUND($G18*T18/$H18,0))</f>
        <v/>
      </c>
      <c r="AG18" s="252">
        <f>IF($H18=0,0,ROUND($G18*U18/$H18,0))</f>
        <v/>
      </c>
      <c r="AH18" s="252">
        <f>IF($H18=0,0,ROUND($G18*V18/$H18,0))</f>
        <v/>
      </c>
      <c r="AI18" s="252">
        <f>IF($H18=0,0,ROUND($G18*W18/$H18,0))</f>
        <v/>
      </c>
      <c r="AJ18" s="252">
        <f>SUM(X18:AI18)</f>
        <v/>
      </c>
      <c r="AK18" s="266">
        <f>$AJ18-$G18</f>
        <v/>
      </c>
      <c r="AL18" s="125" t="n"/>
    </row>
    <row r="19" ht="21" customFormat="1" customHeight="1" s="127">
      <c r="A19" s="308" t="n">
        <v>46349</v>
      </c>
      <c r="B19" s="250">
        <f>$A19+6</f>
        <v/>
      </c>
      <c r="C19" s="179">
        <f>SUMIFS('Daily Log'!$C$7:$C$377,'Daily Log'!$V$7:$V$377,$A19)</f>
        <v/>
      </c>
      <c r="D19" s="179">
        <f>SUMIFS('Daily Log'!$D$7:$D$377,'Daily Log'!$V$7:$V$377,$A19)</f>
        <v/>
      </c>
      <c r="E19" s="179">
        <f>SUMIFS('Daily Log'!$E$7:$E$377,'Daily Log'!$V$7:$V$377,$A19)</f>
        <v/>
      </c>
      <c r="F19" s="179">
        <f>SUMIFS('Daily Log'!$F$7:$F$377,'Daily Log'!$V$7:$V$377,$A19)</f>
        <v/>
      </c>
      <c r="G19" s="252">
        <f>SUMIFS('Daily Log'!$U$7:$U$377,'Daily Log'!$V$7:$V$377,$A19)</f>
        <v/>
      </c>
      <c r="H19" s="179">
        <f>SUMIFS('Daily Log'!$S$7:$S$377,'Daily Log'!$V$7:$V$377,$A19)</f>
        <v/>
      </c>
      <c r="I19" s="280">
        <f>IF($C19=0,"",$D19/$C19)</f>
        <v/>
      </c>
      <c r="J19" s="65">
        <f>IF($H19=0,"",$E19/$H19)</f>
        <v/>
      </c>
      <c r="K19" s="132">
        <f>IF(AND($G19&gt;0,$H19=0),"pot not shared - no attendance marked",IF(AND($I19&lt;&gt;"",N($I19)&gt;RejectAlarm),"reject rate high",""))</f>
        <v/>
      </c>
      <c r="L19" s="51">
        <f>SUMIFS('Daily Log'!$G$7:$G$377,'Daily Log'!$V$7:$V$377,$A19)</f>
        <v/>
      </c>
      <c r="M19" s="51">
        <f>SUMIFS('Daily Log'!$H$7:$H$377,'Daily Log'!$V$7:$V$377,$A19)</f>
        <v/>
      </c>
      <c r="N19" s="51">
        <f>SUMIFS('Daily Log'!$I$7:$I$377,'Daily Log'!$V$7:$V$377,$A19)</f>
        <v/>
      </c>
      <c r="O19" s="51">
        <f>SUMIFS('Daily Log'!$J$7:$J$377,'Daily Log'!$V$7:$V$377,$A19)</f>
        <v/>
      </c>
      <c r="P19" s="51">
        <f>SUMIFS('Daily Log'!$K$7:$K$377,'Daily Log'!$V$7:$V$377,$A19)</f>
        <v/>
      </c>
      <c r="Q19" s="51">
        <f>SUMIFS('Daily Log'!$L$7:$L$377,'Daily Log'!$V$7:$V$377,$A19)</f>
        <v/>
      </c>
      <c r="R19" s="51">
        <f>SUMIFS('Daily Log'!$M$7:$M$377,'Daily Log'!$V$7:$V$377,$A19)</f>
        <v/>
      </c>
      <c r="S19" s="51">
        <f>SUMIFS('Daily Log'!$N$7:$N$377,'Daily Log'!$V$7:$V$377,$A19)</f>
        <v/>
      </c>
      <c r="T19" s="51">
        <f>SUMIFS('Daily Log'!$O$7:$O$377,'Daily Log'!$V$7:$V$377,$A19)</f>
        <v/>
      </c>
      <c r="U19" s="51">
        <f>SUMIFS('Daily Log'!$P$7:$P$377,'Daily Log'!$V$7:$V$377,$A19)</f>
        <v/>
      </c>
      <c r="V19" s="51">
        <f>SUMIFS('Daily Log'!$Q$7:$Q$377,'Daily Log'!$V$7:$V$377,$A19)</f>
        <v/>
      </c>
      <c r="W19" s="51">
        <f>SUMIFS('Daily Log'!$R$7:$R$377,'Daily Log'!$V$7:$V$377,$A19)</f>
        <v/>
      </c>
      <c r="X19" s="252">
        <f>IF($H19=0,0,ROUND($G19*L19/$H19,0))</f>
        <v/>
      </c>
      <c r="Y19" s="252">
        <f>IF($H19=0,0,ROUND($G19*M19/$H19,0))</f>
        <v/>
      </c>
      <c r="Z19" s="252">
        <f>IF($H19=0,0,ROUND($G19*N19/$H19,0))</f>
        <v/>
      </c>
      <c r="AA19" s="252">
        <f>IF($H19=0,0,ROUND($G19*O19/$H19,0))</f>
        <v/>
      </c>
      <c r="AB19" s="252">
        <f>IF($H19=0,0,ROUND($G19*P19/$H19,0))</f>
        <v/>
      </c>
      <c r="AC19" s="252">
        <f>IF($H19=0,0,ROUND($G19*Q19/$H19,0))</f>
        <v/>
      </c>
      <c r="AD19" s="252">
        <f>IF($H19=0,0,ROUND($G19*R19/$H19,0))</f>
        <v/>
      </c>
      <c r="AE19" s="252">
        <f>IF($H19=0,0,ROUND($G19*S19/$H19,0))</f>
        <v/>
      </c>
      <c r="AF19" s="252">
        <f>IF($H19=0,0,ROUND($G19*T19/$H19,0))</f>
        <v/>
      </c>
      <c r="AG19" s="252">
        <f>IF($H19=0,0,ROUND($G19*U19/$H19,0))</f>
        <v/>
      </c>
      <c r="AH19" s="252">
        <f>IF($H19=0,0,ROUND($G19*V19/$H19,0))</f>
        <v/>
      </c>
      <c r="AI19" s="252">
        <f>IF($H19=0,0,ROUND($G19*W19/$H19,0))</f>
        <v/>
      </c>
      <c r="AJ19" s="252">
        <f>SUM(X19:AI19)</f>
        <v/>
      </c>
      <c r="AK19" s="266">
        <f>$AJ19-$G19</f>
        <v/>
      </c>
      <c r="AL19" s="125" t="n"/>
    </row>
    <row r="20" ht="21" customFormat="1" customHeight="1" s="127">
      <c r="A20" s="308" t="n">
        <v>46356</v>
      </c>
      <c r="B20" s="250">
        <f>$A20+6</f>
        <v/>
      </c>
      <c r="C20" s="179">
        <f>SUMIFS('Daily Log'!$C$7:$C$377,'Daily Log'!$V$7:$V$377,$A20)</f>
        <v/>
      </c>
      <c r="D20" s="179">
        <f>SUMIFS('Daily Log'!$D$7:$D$377,'Daily Log'!$V$7:$V$377,$A20)</f>
        <v/>
      </c>
      <c r="E20" s="179">
        <f>SUMIFS('Daily Log'!$E$7:$E$377,'Daily Log'!$V$7:$V$377,$A20)</f>
        <v/>
      </c>
      <c r="F20" s="179">
        <f>SUMIFS('Daily Log'!$F$7:$F$377,'Daily Log'!$V$7:$V$377,$A20)</f>
        <v/>
      </c>
      <c r="G20" s="252">
        <f>SUMIFS('Daily Log'!$U$7:$U$377,'Daily Log'!$V$7:$V$377,$A20)</f>
        <v/>
      </c>
      <c r="H20" s="179">
        <f>SUMIFS('Daily Log'!$S$7:$S$377,'Daily Log'!$V$7:$V$377,$A20)</f>
        <v/>
      </c>
      <c r="I20" s="280">
        <f>IF($C20=0,"",$D20/$C20)</f>
        <v/>
      </c>
      <c r="J20" s="65">
        <f>IF($H20=0,"",$E20/$H20)</f>
        <v/>
      </c>
      <c r="K20" s="132">
        <f>IF(AND($G20&gt;0,$H20=0),"pot not shared - no attendance marked",IF(AND($I20&lt;&gt;"",N($I20)&gt;RejectAlarm),"reject rate high",""))</f>
        <v/>
      </c>
      <c r="L20" s="51">
        <f>SUMIFS('Daily Log'!$G$7:$G$377,'Daily Log'!$V$7:$V$377,$A20)</f>
        <v/>
      </c>
      <c r="M20" s="51">
        <f>SUMIFS('Daily Log'!$H$7:$H$377,'Daily Log'!$V$7:$V$377,$A20)</f>
        <v/>
      </c>
      <c r="N20" s="51">
        <f>SUMIFS('Daily Log'!$I$7:$I$377,'Daily Log'!$V$7:$V$377,$A20)</f>
        <v/>
      </c>
      <c r="O20" s="51">
        <f>SUMIFS('Daily Log'!$J$7:$J$377,'Daily Log'!$V$7:$V$377,$A20)</f>
        <v/>
      </c>
      <c r="P20" s="51">
        <f>SUMIFS('Daily Log'!$K$7:$K$377,'Daily Log'!$V$7:$V$377,$A20)</f>
        <v/>
      </c>
      <c r="Q20" s="51">
        <f>SUMIFS('Daily Log'!$L$7:$L$377,'Daily Log'!$V$7:$V$377,$A20)</f>
        <v/>
      </c>
      <c r="R20" s="51">
        <f>SUMIFS('Daily Log'!$M$7:$M$377,'Daily Log'!$V$7:$V$377,$A20)</f>
        <v/>
      </c>
      <c r="S20" s="51">
        <f>SUMIFS('Daily Log'!$N$7:$N$377,'Daily Log'!$V$7:$V$377,$A20)</f>
        <v/>
      </c>
      <c r="T20" s="51">
        <f>SUMIFS('Daily Log'!$O$7:$O$377,'Daily Log'!$V$7:$V$377,$A20)</f>
        <v/>
      </c>
      <c r="U20" s="51">
        <f>SUMIFS('Daily Log'!$P$7:$P$377,'Daily Log'!$V$7:$V$377,$A20)</f>
        <v/>
      </c>
      <c r="V20" s="51">
        <f>SUMIFS('Daily Log'!$Q$7:$Q$377,'Daily Log'!$V$7:$V$377,$A20)</f>
        <v/>
      </c>
      <c r="W20" s="51">
        <f>SUMIFS('Daily Log'!$R$7:$R$377,'Daily Log'!$V$7:$V$377,$A20)</f>
        <v/>
      </c>
      <c r="X20" s="252">
        <f>IF($H20=0,0,ROUND($G20*L20/$H20,0))</f>
        <v/>
      </c>
      <c r="Y20" s="252">
        <f>IF($H20=0,0,ROUND($G20*M20/$H20,0))</f>
        <v/>
      </c>
      <c r="Z20" s="252">
        <f>IF($H20=0,0,ROUND($G20*N20/$H20,0))</f>
        <v/>
      </c>
      <c r="AA20" s="252">
        <f>IF($H20=0,0,ROUND($G20*O20/$H20,0))</f>
        <v/>
      </c>
      <c r="AB20" s="252">
        <f>IF($H20=0,0,ROUND($G20*P20/$H20,0))</f>
        <v/>
      </c>
      <c r="AC20" s="252">
        <f>IF($H20=0,0,ROUND($G20*Q20/$H20,0))</f>
        <v/>
      </c>
      <c r="AD20" s="252">
        <f>IF($H20=0,0,ROUND($G20*R20/$H20,0))</f>
        <v/>
      </c>
      <c r="AE20" s="252">
        <f>IF($H20=0,0,ROUND($G20*S20/$H20,0))</f>
        <v/>
      </c>
      <c r="AF20" s="252">
        <f>IF($H20=0,0,ROUND($G20*T20/$H20,0))</f>
        <v/>
      </c>
      <c r="AG20" s="252">
        <f>IF($H20=0,0,ROUND($G20*U20/$H20,0))</f>
        <v/>
      </c>
      <c r="AH20" s="252">
        <f>IF($H20=0,0,ROUND($G20*V20/$H20,0))</f>
        <v/>
      </c>
      <c r="AI20" s="252">
        <f>IF($H20=0,0,ROUND($G20*W20/$H20,0))</f>
        <v/>
      </c>
      <c r="AJ20" s="252">
        <f>SUM(X20:AI20)</f>
        <v/>
      </c>
      <c r="AK20" s="266">
        <f>$AJ20-$G20</f>
        <v/>
      </c>
      <c r="AL20" s="125" t="n"/>
    </row>
    <row r="21" ht="21" customFormat="1" customHeight="1" s="127">
      <c r="A21" s="308" t="n">
        <v>46363</v>
      </c>
      <c r="B21" s="250">
        <f>$A21+6</f>
        <v/>
      </c>
      <c r="C21" s="179">
        <f>SUMIFS('Daily Log'!$C$7:$C$377,'Daily Log'!$V$7:$V$377,$A21)</f>
        <v/>
      </c>
      <c r="D21" s="179">
        <f>SUMIFS('Daily Log'!$D$7:$D$377,'Daily Log'!$V$7:$V$377,$A21)</f>
        <v/>
      </c>
      <c r="E21" s="179">
        <f>SUMIFS('Daily Log'!$E$7:$E$377,'Daily Log'!$V$7:$V$377,$A21)</f>
        <v/>
      </c>
      <c r="F21" s="179">
        <f>SUMIFS('Daily Log'!$F$7:$F$377,'Daily Log'!$V$7:$V$377,$A21)</f>
        <v/>
      </c>
      <c r="G21" s="252">
        <f>SUMIFS('Daily Log'!$U$7:$U$377,'Daily Log'!$V$7:$V$377,$A21)</f>
        <v/>
      </c>
      <c r="H21" s="179">
        <f>SUMIFS('Daily Log'!$S$7:$S$377,'Daily Log'!$V$7:$V$377,$A21)</f>
        <v/>
      </c>
      <c r="I21" s="280">
        <f>IF($C21=0,"",$D21/$C21)</f>
        <v/>
      </c>
      <c r="J21" s="65">
        <f>IF($H21=0,"",$E21/$H21)</f>
        <v/>
      </c>
      <c r="K21" s="132">
        <f>IF(AND($G21&gt;0,$H21=0),"pot not shared - no attendance marked",IF(AND($I21&lt;&gt;"",N($I21)&gt;RejectAlarm),"reject rate high",""))</f>
        <v/>
      </c>
      <c r="L21" s="51">
        <f>SUMIFS('Daily Log'!$G$7:$G$377,'Daily Log'!$V$7:$V$377,$A21)</f>
        <v/>
      </c>
      <c r="M21" s="51">
        <f>SUMIFS('Daily Log'!$H$7:$H$377,'Daily Log'!$V$7:$V$377,$A21)</f>
        <v/>
      </c>
      <c r="N21" s="51">
        <f>SUMIFS('Daily Log'!$I$7:$I$377,'Daily Log'!$V$7:$V$377,$A21)</f>
        <v/>
      </c>
      <c r="O21" s="51">
        <f>SUMIFS('Daily Log'!$J$7:$J$377,'Daily Log'!$V$7:$V$377,$A21)</f>
        <v/>
      </c>
      <c r="P21" s="51">
        <f>SUMIFS('Daily Log'!$K$7:$K$377,'Daily Log'!$V$7:$V$377,$A21)</f>
        <v/>
      </c>
      <c r="Q21" s="51">
        <f>SUMIFS('Daily Log'!$L$7:$L$377,'Daily Log'!$V$7:$V$377,$A21)</f>
        <v/>
      </c>
      <c r="R21" s="51">
        <f>SUMIFS('Daily Log'!$M$7:$M$377,'Daily Log'!$V$7:$V$377,$A21)</f>
        <v/>
      </c>
      <c r="S21" s="51">
        <f>SUMIFS('Daily Log'!$N$7:$N$377,'Daily Log'!$V$7:$V$377,$A21)</f>
        <v/>
      </c>
      <c r="T21" s="51">
        <f>SUMIFS('Daily Log'!$O$7:$O$377,'Daily Log'!$V$7:$V$377,$A21)</f>
        <v/>
      </c>
      <c r="U21" s="51">
        <f>SUMIFS('Daily Log'!$P$7:$P$377,'Daily Log'!$V$7:$V$377,$A21)</f>
        <v/>
      </c>
      <c r="V21" s="51">
        <f>SUMIFS('Daily Log'!$Q$7:$Q$377,'Daily Log'!$V$7:$V$377,$A21)</f>
        <v/>
      </c>
      <c r="W21" s="51">
        <f>SUMIFS('Daily Log'!$R$7:$R$377,'Daily Log'!$V$7:$V$377,$A21)</f>
        <v/>
      </c>
      <c r="X21" s="252">
        <f>IF($H21=0,0,ROUND($G21*L21/$H21,0))</f>
        <v/>
      </c>
      <c r="Y21" s="252">
        <f>IF($H21=0,0,ROUND($G21*M21/$H21,0))</f>
        <v/>
      </c>
      <c r="Z21" s="252">
        <f>IF($H21=0,0,ROUND($G21*N21/$H21,0))</f>
        <v/>
      </c>
      <c r="AA21" s="252">
        <f>IF($H21=0,0,ROUND($G21*O21/$H21,0))</f>
        <v/>
      </c>
      <c r="AB21" s="252">
        <f>IF($H21=0,0,ROUND($G21*P21/$H21,0))</f>
        <v/>
      </c>
      <c r="AC21" s="252">
        <f>IF($H21=0,0,ROUND($G21*Q21/$H21,0))</f>
        <v/>
      </c>
      <c r="AD21" s="252">
        <f>IF($H21=0,0,ROUND($G21*R21/$H21,0))</f>
        <v/>
      </c>
      <c r="AE21" s="252">
        <f>IF($H21=0,0,ROUND($G21*S21/$H21,0))</f>
        <v/>
      </c>
      <c r="AF21" s="252">
        <f>IF($H21=0,0,ROUND($G21*T21/$H21,0))</f>
        <v/>
      </c>
      <c r="AG21" s="252">
        <f>IF($H21=0,0,ROUND($G21*U21/$H21,0))</f>
        <v/>
      </c>
      <c r="AH21" s="252">
        <f>IF($H21=0,0,ROUND($G21*V21/$H21,0))</f>
        <v/>
      </c>
      <c r="AI21" s="252">
        <f>IF($H21=0,0,ROUND($G21*W21/$H21,0))</f>
        <v/>
      </c>
      <c r="AJ21" s="252">
        <f>SUM(X21:AI21)</f>
        <v/>
      </c>
      <c r="AK21" s="266">
        <f>$AJ21-$G21</f>
        <v/>
      </c>
      <c r="AL21" s="125" t="n"/>
    </row>
    <row r="22" ht="21" customFormat="1" customHeight="1" s="127">
      <c r="A22" s="308" t="n">
        <v>46370</v>
      </c>
      <c r="B22" s="250">
        <f>$A22+6</f>
        <v/>
      </c>
      <c r="C22" s="179">
        <f>SUMIFS('Daily Log'!$C$7:$C$377,'Daily Log'!$V$7:$V$377,$A22)</f>
        <v/>
      </c>
      <c r="D22" s="179">
        <f>SUMIFS('Daily Log'!$D$7:$D$377,'Daily Log'!$V$7:$V$377,$A22)</f>
        <v/>
      </c>
      <c r="E22" s="179">
        <f>SUMIFS('Daily Log'!$E$7:$E$377,'Daily Log'!$V$7:$V$377,$A22)</f>
        <v/>
      </c>
      <c r="F22" s="179">
        <f>SUMIFS('Daily Log'!$F$7:$F$377,'Daily Log'!$V$7:$V$377,$A22)</f>
        <v/>
      </c>
      <c r="G22" s="252">
        <f>SUMIFS('Daily Log'!$U$7:$U$377,'Daily Log'!$V$7:$V$377,$A22)</f>
        <v/>
      </c>
      <c r="H22" s="179">
        <f>SUMIFS('Daily Log'!$S$7:$S$377,'Daily Log'!$V$7:$V$377,$A22)</f>
        <v/>
      </c>
      <c r="I22" s="280">
        <f>IF($C22=0,"",$D22/$C22)</f>
        <v/>
      </c>
      <c r="J22" s="65">
        <f>IF($H22=0,"",$E22/$H22)</f>
        <v/>
      </c>
      <c r="K22" s="132">
        <f>IF(AND($G22&gt;0,$H22=0),"pot not shared - no attendance marked",IF(AND($I22&lt;&gt;"",N($I22)&gt;RejectAlarm),"reject rate high",""))</f>
        <v/>
      </c>
      <c r="L22" s="51">
        <f>SUMIFS('Daily Log'!$G$7:$G$377,'Daily Log'!$V$7:$V$377,$A22)</f>
        <v/>
      </c>
      <c r="M22" s="51">
        <f>SUMIFS('Daily Log'!$H$7:$H$377,'Daily Log'!$V$7:$V$377,$A22)</f>
        <v/>
      </c>
      <c r="N22" s="51">
        <f>SUMIFS('Daily Log'!$I$7:$I$377,'Daily Log'!$V$7:$V$377,$A22)</f>
        <v/>
      </c>
      <c r="O22" s="51">
        <f>SUMIFS('Daily Log'!$J$7:$J$377,'Daily Log'!$V$7:$V$377,$A22)</f>
        <v/>
      </c>
      <c r="P22" s="51">
        <f>SUMIFS('Daily Log'!$K$7:$K$377,'Daily Log'!$V$7:$V$377,$A22)</f>
        <v/>
      </c>
      <c r="Q22" s="51">
        <f>SUMIFS('Daily Log'!$L$7:$L$377,'Daily Log'!$V$7:$V$377,$A22)</f>
        <v/>
      </c>
      <c r="R22" s="51">
        <f>SUMIFS('Daily Log'!$M$7:$M$377,'Daily Log'!$V$7:$V$377,$A22)</f>
        <v/>
      </c>
      <c r="S22" s="51">
        <f>SUMIFS('Daily Log'!$N$7:$N$377,'Daily Log'!$V$7:$V$377,$A22)</f>
        <v/>
      </c>
      <c r="T22" s="51">
        <f>SUMIFS('Daily Log'!$O$7:$O$377,'Daily Log'!$V$7:$V$377,$A22)</f>
        <v/>
      </c>
      <c r="U22" s="51">
        <f>SUMIFS('Daily Log'!$P$7:$P$377,'Daily Log'!$V$7:$V$377,$A22)</f>
        <v/>
      </c>
      <c r="V22" s="51">
        <f>SUMIFS('Daily Log'!$Q$7:$Q$377,'Daily Log'!$V$7:$V$377,$A22)</f>
        <v/>
      </c>
      <c r="W22" s="51">
        <f>SUMIFS('Daily Log'!$R$7:$R$377,'Daily Log'!$V$7:$V$377,$A22)</f>
        <v/>
      </c>
      <c r="X22" s="252">
        <f>IF($H22=0,0,ROUND($G22*L22/$H22,0))</f>
        <v/>
      </c>
      <c r="Y22" s="252">
        <f>IF($H22=0,0,ROUND($G22*M22/$H22,0))</f>
        <v/>
      </c>
      <c r="Z22" s="252">
        <f>IF($H22=0,0,ROUND($G22*N22/$H22,0))</f>
        <v/>
      </c>
      <c r="AA22" s="252">
        <f>IF($H22=0,0,ROUND($G22*O22/$H22,0))</f>
        <v/>
      </c>
      <c r="AB22" s="252">
        <f>IF($H22=0,0,ROUND($G22*P22/$H22,0))</f>
        <v/>
      </c>
      <c r="AC22" s="252">
        <f>IF($H22=0,0,ROUND($G22*Q22/$H22,0))</f>
        <v/>
      </c>
      <c r="AD22" s="252">
        <f>IF($H22=0,0,ROUND($G22*R22/$H22,0))</f>
        <v/>
      </c>
      <c r="AE22" s="252">
        <f>IF($H22=0,0,ROUND($G22*S22/$H22,0))</f>
        <v/>
      </c>
      <c r="AF22" s="252">
        <f>IF($H22=0,0,ROUND($G22*T22/$H22,0))</f>
        <v/>
      </c>
      <c r="AG22" s="252">
        <f>IF($H22=0,0,ROUND($G22*U22/$H22,0))</f>
        <v/>
      </c>
      <c r="AH22" s="252">
        <f>IF($H22=0,0,ROUND($G22*V22/$H22,0))</f>
        <v/>
      </c>
      <c r="AI22" s="252">
        <f>IF($H22=0,0,ROUND($G22*W22/$H22,0))</f>
        <v/>
      </c>
      <c r="AJ22" s="252">
        <f>SUM(X22:AI22)</f>
        <v/>
      </c>
      <c r="AK22" s="266">
        <f>$AJ22-$G22</f>
        <v/>
      </c>
      <c r="AL22" s="125" t="n"/>
    </row>
    <row r="23" ht="21" customFormat="1" customHeight="1" s="127">
      <c r="A23" s="308" t="n">
        <v>46377</v>
      </c>
      <c r="B23" s="250">
        <f>$A23+6</f>
        <v/>
      </c>
      <c r="C23" s="179">
        <f>SUMIFS('Daily Log'!$C$7:$C$377,'Daily Log'!$V$7:$V$377,$A23)</f>
        <v/>
      </c>
      <c r="D23" s="179">
        <f>SUMIFS('Daily Log'!$D$7:$D$377,'Daily Log'!$V$7:$V$377,$A23)</f>
        <v/>
      </c>
      <c r="E23" s="179">
        <f>SUMIFS('Daily Log'!$E$7:$E$377,'Daily Log'!$V$7:$V$377,$A23)</f>
        <v/>
      </c>
      <c r="F23" s="179">
        <f>SUMIFS('Daily Log'!$F$7:$F$377,'Daily Log'!$V$7:$V$377,$A23)</f>
        <v/>
      </c>
      <c r="G23" s="252">
        <f>SUMIFS('Daily Log'!$U$7:$U$377,'Daily Log'!$V$7:$V$377,$A23)</f>
        <v/>
      </c>
      <c r="H23" s="179">
        <f>SUMIFS('Daily Log'!$S$7:$S$377,'Daily Log'!$V$7:$V$377,$A23)</f>
        <v/>
      </c>
      <c r="I23" s="280">
        <f>IF($C23=0,"",$D23/$C23)</f>
        <v/>
      </c>
      <c r="J23" s="65">
        <f>IF($H23=0,"",$E23/$H23)</f>
        <v/>
      </c>
      <c r="K23" s="132">
        <f>IF(AND($G23&gt;0,$H23=0),"pot not shared - no attendance marked",IF(AND($I23&lt;&gt;"",N($I23)&gt;RejectAlarm),"reject rate high",""))</f>
        <v/>
      </c>
      <c r="L23" s="51">
        <f>SUMIFS('Daily Log'!$G$7:$G$377,'Daily Log'!$V$7:$V$377,$A23)</f>
        <v/>
      </c>
      <c r="M23" s="51">
        <f>SUMIFS('Daily Log'!$H$7:$H$377,'Daily Log'!$V$7:$V$377,$A23)</f>
        <v/>
      </c>
      <c r="N23" s="51">
        <f>SUMIFS('Daily Log'!$I$7:$I$377,'Daily Log'!$V$7:$V$377,$A23)</f>
        <v/>
      </c>
      <c r="O23" s="51">
        <f>SUMIFS('Daily Log'!$J$7:$J$377,'Daily Log'!$V$7:$V$377,$A23)</f>
        <v/>
      </c>
      <c r="P23" s="51">
        <f>SUMIFS('Daily Log'!$K$7:$K$377,'Daily Log'!$V$7:$V$377,$A23)</f>
        <v/>
      </c>
      <c r="Q23" s="51">
        <f>SUMIFS('Daily Log'!$L$7:$L$377,'Daily Log'!$V$7:$V$377,$A23)</f>
        <v/>
      </c>
      <c r="R23" s="51">
        <f>SUMIFS('Daily Log'!$M$7:$M$377,'Daily Log'!$V$7:$V$377,$A23)</f>
        <v/>
      </c>
      <c r="S23" s="51">
        <f>SUMIFS('Daily Log'!$N$7:$N$377,'Daily Log'!$V$7:$V$377,$A23)</f>
        <v/>
      </c>
      <c r="T23" s="51">
        <f>SUMIFS('Daily Log'!$O$7:$O$377,'Daily Log'!$V$7:$V$377,$A23)</f>
        <v/>
      </c>
      <c r="U23" s="51">
        <f>SUMIFS('Daily Log'!$P$7:$P$377,'Daily Log'!$V$7:$V$377,$A23)</f>
        <v/>
      </c>
      <c r="V23" s="51">
        <f>SUMIFS('Daily Log'!$Q$7:$Q$377,'Daily Log'!$V$7:$V$377,$A23)</f>
        <v/>
      </c>
      <c r="W23" s="51">
        <f>SUMIFS('Daily Log'!$R$7:$R$377,'Daily Log'!$V$7:$V$377,$A23)</f>
        <v/>
      </c>
      <c r="X23" s="252">
        <f>IF($H23=0,0,ROUND($G23*L23/$H23,0))</f>
        <v/>
      </c>
      <c r="Y23" s="252">
        <f>IF($H23=0,0,ROUND($G23*M23/$H23,0))</f>
        <v/>
      </c>
      <c r="Z23" s="252">
        <f>IF($H23=0,0,ROUND($G23*N23/$H23,0))</f>
        <v/>
      </c>
      <c r="AA23" s="252">
        <f>IF($H23=0,0,ROUND($G23*O23/$H23,0))</f>
        <v/>
      </c>
      <c r="AB23" s="252">
        <f>IF($H23=0,0,ROUND($G23*P23/$H23,0))</f>
        <v/>
      </c>
      <c r="AC23" s="252">
        <f>IF($H23=0,0,ROUND($G23*Q23/$H23,0))</f>
        <v/>
      </c>
      <c r="AD23" s="252">
        <f>IF($H23=0,0,ROUND($G23*R23/$H23,0))</f>
        <v/>
      </c>
      <c r="AE23" s="252">
        <f>IF($H23=0,0,ROUND($G23*S23/$H23,0))</f>
        <v/>
      </c>
      <c r="AF23" s="252">
        <f>IF($H23=0,0,ROUND($G23*T23/$H23,0))</f>
        <v/>
      </c>
      <c r="AG23" s="252">
        <f>IF($H23=0,0,ROUND($G23*U23/$H23,0))</f>
        <v/>
      </c>
      <c r="AH23" s="252">
        <f>IF($H23=0,0,ROUND($G23*V23/$H23,0))</f>
        <v/>
      </c>
      <c r="AI23" s="252">
        <f>IF($H23=0,0,ROUND($G23*W23/$H23,0))</f>
        <v/>
      </c>
      <c r="AJ23" s="252">
        <f>SUM(X23:AI23)</f>
        <v/>
      </c>
      <c r="AK23" s="266">
        <f>$AJ23-$G23</f>
        <v/>
      </c>
      <c r="AL23" s="125" t="n"/>
    </row>
    <row r="24" ht="21" customFormat="1" customHeight="1" s="127">
      <c r="A24" s="308" t="n">
        <v>46384</v>
      </c>
      <c r="B24" s="250">
        <f>$A24+6</f>
        <v/>
      </c>
      <c r="C24" s="179">
        <f>SUMIFS('Daily Log'!$C$7:$C$377,'Daily Log'!$V$7:$V$377,$A24)</f>
        <v/>
      </c>
      <c r="D24" s="179">
        <f>SUMIFS('Daily Log'!$D$7:$D$377,'Daily Log'!$V$7:$V$377,$A24)</f>
        <v/>
      </c>
      <c r="E24" s="179">
        <f>SUMIFS('Daily Log'!$E$7:$E$377,'Daily Log'!$V$7:$V$377,$A24)</f>
        <v/>
      </c>
      <c r="F24" s="179">
        <f>SUMIFS('Daily Log'!$F$7:$F$377,'Daily Log'!$V$7:$V$377,$A24)</f>
        <v/>
      </c>
      <c r="G24" s="252">
        <f>SUMIFS('Daily Log'!$U$7:$U$377,'Daily Log'!$V$7:$V$377,$A24)</f>
        <v/>
      </c>
      <c r="H24" s="179">
        <f>SUMIFS('Daily Log'!$S$7:$S$377,'Daily Log'!$V$7:$V$377,$A24)</f>
        <v/>
      </c>
      <c r="I24" s="280">
        <f>IF($C24=0,"",$D24/$C24)</f>
        <v/>
      </c>
      <c r="J24" s="65">
        <f>IF($H24=0,"",$E24/$H24)</f>
        <v/>
      </c>
      <c r="K24" s="132">
        <f>IF(AND($G24&gt;0,$H24=0),"pot not shared - no attendance marked",IF(AND($I24&lt;&gt;"",N($I24)&gt;RejectAlarm),"reject rate high",""))</f>
        <v/>
      </c>
      <c r="L24" s="51">
        <f>SUMIFS('Daily Log'!$G$7:$G$377,'Daily Log'!$V$7:$V$377,$A24)</f>
        <v/>
      </c>
      <c r="M24" s="51">
        <f>SUMIFS('Daily Log'!$H$7:$H$377,'Daily Log'!$V$7:$V$377,$A24)</f>
        <v/>
      </c>
      <c r="N24" s="51">
        <f>SUMIFS('Daily Log'!$I$7:$I$377,'Daily Log'!$V$7:$V$377,$A24)</f>
        <v/>
      </c>
      <c r="O24" s="51">
        <f>SUMIFS('Daily Log'!$J$7:$J$377,'Daily Log'!$V$7:$V$377,$A24)</f>
        <v/>
      </c>
      <c r="P24" s="51">
        <f>SUMIFS('Daily Log'!$K$7:$K$377,'Daily Log'!$V$7:$V$377,$A24)</f>
        <v/>
      </c>
      <c r="Q24" s="51">
        <f>SUMIFS('Daily Log'!$L$7:$L$377,'Daily Log'!$V$7:$V$377,$A24)</f>
        <v/>
      </c>
      <c r="R24" s="51">
        <f>SUMIFS('Daily Log'!$M$7:$M$377,'Daily Log'!$V$7:$V$377,$A24)</f>
        <v/>
      </c>
      <c r="S24" s="51">
        <f>SUMIFS('Daily Log'!$N$7:$N$377,'Daily Log'!$V$7:$V$377,$A24)</f>
        <v/>
      </c>
      <c r="T24" s="51">
        <f>SUMIFS('Daily Log'!$O$7:$O$377,'Daily Log'!$V$7:$V$377,$A24)</f>
        <v/>
      </c>
      <c r="U24" s="51">
        <f>SUMIFS('Daily Log'!$P$7:$P$377,'Daily Log'!$V$7:$V$377,$A24)</f>
        <v/>
      </c>
      <c r="V24" s="51">
        <f>SUMIFS('Daily Log'!$Q$7:$Q$377,'Daily Log'!$V$7:$V$377,$A24)</f>
        <v/>
      </c>
      <c r="W24" s="51">
        <f>SUMIFS('Daily Log'!$R$7:$R$377,'Daily Log'!$V$7:$V$377,$A24)</f>
        <v/>
      </c>
      <c r="X24" s="252">
        <f>IF($H24=0,0,ROUND($G24*L24/$H24,0))</f>
        <v/>
      </c>
      <c r="Y24" s="252">
        <f>IF($H24=0,0,ROUND($G24*M24/$H24,0))</f>
        <v/>
      </c>
      <c r="Z24" s="252">
        <f>IF($H24=0,0,ROUND($G24*N24/$H24,0))</f>
        <v/>
      </c>
      <c r="AA24" s="252">
        <f>IF($H24=0,0,ROUND($G24*O24/$H24,0))</f>
        <v/>
      </c>
      <c r="AB24" s="252">
        <f>IF($H24=0,0,ROUND($G24*P24/$H24,0))</f>
        <v/>
      </c>
      <c r="AC24" s="252">
        <f>IF($H24=0,0,ROUND($G24*Q24/$H24,0))</f>
        <v/>
      </c>
      <c r="AD24" s="252">
        <f>IF($H24=0,0,ROUND($G24*R24/$H24,0))</f>
        <v/>
      </c>
      <c r="AE24" s="252">
        <f>IF($H24=0,0,ROUND($G24*S24/$H24,0))</f>
        <v/>
      </c>
      <c r="AF24" s="252">
        <f>IF($H24=0,0,ROUND($G24*T24/$H24,0))</f>
        <v/>
      </c>
      <c r="AG24" s="252">
        <f>IF($H24=0,0,ROUND($G24*U24/$H24,0))</f>
        <v/>
      </c>
      <c r="AH24" s="252">
        <f>IF($H24=0,0,ROUND($G24*V24/$H24,0))</f>
        <v/>
      </c>
      <c r="AI24" s="252">
        <f>IF($H24=0,0,ROUND($G24*W24/$H24,0))</f>
        <v/>
      </c>
      <c r="AJ24" s="252">
        <f>SUM(X24:AI24)</f>
        <v/>
      </c>
      <c r="AK24" s="266">
        <f>$AJ24-$G24</f>
        <v/>
      </c>
      <c r="AL24" s="125" t="n"/>
    </row>
    <row r="25" ht="21" customFormat="1" customHeight="1" s="127">
      <c r="A25" s="308" t="n">
        <v>46391</v>
      </c>
      <c r="B25" s="250">
        <f>$A25+6</f>
        <v/>
      </c>
      <c r="C25" s="179">
        <f>SUMIFS('Daily Log'!$C$7:$C$377,'Daily Log'!$V$7:$V$377,$A25)</f>
        <v/>
      </c>
      <c r="D25" s="179">
        <f>SUMIFS('Daily Log'!$D$7:$D$377,'Daily Log'!$V$7:$V$377,$A25)</f>
        <v/>
      </c>
      <c r="E25" s="179">
        <f>SUMIFS('Daily Log'!$E$7:$E$377,'Daily Log'!$V$7:$V$377,$A25)</f>
        <v/>
      </c>
      <c r="F25" s="179">
        <f>SUMIFS('Daily Log'!$F$7:$F$377,'Daily Log'!$V$7:$V$377,$A25)</f>
        <v/>
      </c>
      <c r="G25" s="252">
        <f>SUMIFS('Daily Log'!$U$7:$U$377,'Daily Log'!$V$7:$V$377,$A25)</f>
        <v/>
      </c>
      <c r="H25" s="179">
        <f>SUMIFS('Daily Log'!$S$7:$S$377,'Daily Log'!$V$7:$V$377,$A25)</f>
        <v/>
      </c>
      <c r="I25" s="280">
        <f>IF($C25=0,"",$D25/$C25)</f>
        <v/>
      </c>
      <c r="J25" s="65">
        <f>IF($H25=0,"",$E25/$H25)</f>
        <v/>
      </c>
      <c r="K25" s="132">
        <f>IF(AND($G25&gt;0,$H25=0),"pot not shared - no attendance marked",IF(AND($I25&lt;&gt;"",N($I25)&gt;RejectAlarm),"reject rate high",""))</f>
        <v/>
      </c>
      <c r="L25" s="51">
        <f>SUMIFS('Daily Log'!$G$7:$G$377,'Daily Log'!$V$7:$V$377,$A25)</f>
        <v/>
      </c>
      <c r="M25" s="51">
        <f>SUMIFS('Daily Log'!$H$7:$H$377,'Daily Log'!$V$7:$V$377,$A25)</f>
        <v/>
      </c>
      <c r="N25" s="51">
        <f>SUMIFS('Daily Log'!$I$7:$I$377,'Daily Log'!$V$7:$V$377,$A25)</f>
        <v/>
      </c>
      <c r="O25" s="51">
        <f>SUMIFS('Daily Log'!$J$7:$J$377,'Daily Log'!$V$7:$V$377,$A25)</f>
        <v/>
      </c>
      <c r="P25" s="51">
        <f>SUMIFS('Daily Log'!$K$7:$K$377,'Daily Log'!$V$7:$V$377,$A25)</f>
        <v/>
      </c>
      <c r="Q25" s="51">
        <f>SUMIFS('Daily Log'!$L$7:$L$377,'Daily Log'!$V$7:$V$377,$A25)</f>
        <v/>
      </c>
      <c r="R25" s="51">
        <f>SUMIFS('Daily Log'!$M$7:$M$377,'Daily Log'!$V$7:$V$377,$A25)</f>
        <v/>
      </c>
      <c r="S25" s="51">
        <f>SUMIFS('Daily Log'!$N$7:$N$377,'Daily Log'!$V$7:$V$377,$A25)</f>
        <v/>
      </c>
      <c r="T25" s="51">
        <f>SUMIFS('Daily Log'!$O$7:$O$377,'Daily Log'!$V$7:$V$377,$A25)</f>
        <v/>
      </c>
      <c r="U25" s="51">
        <f>SUMIFS('Daily Log'!$P$7:$P$377,'Daily Log'!$V$7:$V$377,$A25)</f>
        <v/>
      </c>
      <c r="V25" s="51">
        <f>SUMIFS('Daily Log'!$Q$7:$Q$377,'Daily Log'!$V$7:$V$377,$A25)</f>
        <v/>
      </c>
      <c r="W25" s="51">
        <f>SUMIFS('Daily Log'!$R$7:$R$377,'Daily Log'!$V$7:$V$377,$A25)</f>
        <v/>
      </c>
      <c r="X25" s="252">
        <f>IF($H25=0,0,ROUND($G25*L25/$H25,0))</f>
        <v/>
      </c>
      <c r="Y25" s="252">
        <f>IF($H25=0,0,ROUND($G25*M25/$H25,0))</f>
        <v/>
      </c>
      <c r="Z25" s="252">
        <f>IF($H25=0,0,ROUND($G25*N25/$H25,0))</f>
        <v/>
      </c>
      <c r="AA25" s="252">
        <f>IF($H25=0,0,ROUND($G25*O25/$H25,0))</f>
        <v/>
      </c>
      <c r="AB25" s="252">
        <f>IF($H25=0,0,ROUND($G25*P25/$H25,0))</f>
        <v/>
      </c>
      <c r="AC25" s="252">
        <f>IF($H25=0,0,ROUND($G25*Q25/$H25,0))</f>
        <v/>
      </c>
      <c r="AD25" s="252">
        <f>IF($H25=0,0,ROUND($G25*R25/$H25,0))</f>
        <v/>
      </c>
      <c r="AE25" s="252">
        <f>IF($H25=0,0,ROUND($G25*S25/$H25,0))</f>
        <v/>
      </c>
      <c r="AF25" s="252">
        <f>IF($H25=0,0,ROUND($G25*T25/$H25,0))</f>
        <v/>
      </c>
      <c r="AG25" s="252">
        <f>IF($H25=0,0,ROUND($G25*U25/$H25,0))</f>
        <v/>
      </c>
      <c r="AH25" s="252">
        <f>IF($H25=0,0,ROUND($G25*V25/$H25,0))</f>
        <v/>
      </c>
      <c r="AI25" s="252">
        <f>IF($H25=0,0,ROUND($G25*W25/$H25,0))</f>
        <v/>
      </c>
      <c r="AJ25" s="252">
        <f>SUM(X25:AI25)</f>
        <v/>
      </c>
      <c r="AK25" s="266">
        <f>$AJ25-$G25</f>
        <v/>
      </c>
      <c r="AL25" s="125" t="n"/>
    </row>
    <row r="26" ht="21" customFormat="1" customHeight="1" s="127">
      <c r="A26" s="308" t="n">
        <v>46398</v>
      </c>
      <c r="B26" s="250">
        <f>$A26+6</f>
        <v/>
      </c>
      <c r="C26" s="179">
        <f>SUMIFS('Daily Log'!$C$7:$C$377,'Daily Log'!$V$7:$V$377,$A26)</f>
        <v/>
      </c>
      <c r="D26" s="179">
        <f>SUMIFS('Daily Log'!$D$7:$D$377,'Daily Log'!$V$7:$V$377,$A26)</f>
        <v/>
      </c>
      <c r="E26" s="179">
        <f>SUMIFS('Daily Log'!$E$7:$E$377,'Daily Log'!$V$7:$V$377,$A26)</f>
        <v/>
      </c>
      <c r="F26" s="179">
        <f>SUMIFS('Daily Log'!$F$7:$F$377,'Daily Log'!$V$7:$V$377,$A26)</f>
        <v/>
      </c>
      <c r="G26" s="252">
        <f>SUMIFS('Daily Log'!$U$7:$U$377,'Daily Log'!$V$7:$V$377,$A26)</f>
        <v/>
      </c>
      <c r="H26" s="179">
        <f>SUMIFS('Daily Log'!$S$7:$S$377,'Daily Log'!$V$7:$V$377,$A26)</f>
        <v/>
      </c>
      <c r="I26" s="280">
        <f>IF($C26=0,"",$D26/$C26)</f>
        <v/>
      </c>
      <c r="J26" s="65">
        <f>IF($H26=0,"",$E26/$H26)</f>
        <v/>
      </c>
      <c r="K26" s="132">
        <f>IF(AND($G26&gt;0,$H26=0),"pot not shared - no attendance marked",IF(AND($I26&lt;&gt;"",N($I26)&gt;RejectAlarm),"reject rate high",""))</f>
        <v/>
      </c>
      <c r="L26" s="51">
        <f>SUMIFS('Daily Log'!$G$7:$G$377,'Daily Log'!$V$7:$V$377,$A26)</f>
        <v/>
      </c>
      <c r="M26" s="51">
        <f>SUMIFS('Daily Log'!$H$7:$H$377,'Daily Log'!$V$7:$V$377,$A26)</f>
        <v/>
      </c>
      <c r="N26" s="51">
        <f>SUMIFS('Daily Log'!$I$7:$I$377,'Daily Log'!$V$7:$V$377,$A26)</f>
        <v/>
      </c>
      <c r="O26" s="51">
        <f>SUMIFS('Daily Log'!$J$7:$J$377,'Daily Log'!$V$7:$V$377,$A26)</f>
        <v/>
      </c>
      <c r="P26" s="51">
        <f>SUMIFS('Daily Log'!$K$7:$K$377,'Daily Log'!$V$7:$V$377,$A26)</f>
        <v/>
      </c>
      <c r="Q26" s="51">
        <f>SUMIFS('Daily Log'!$L$7:$L$377,'Daily Log'!$V$7:$V$377,$A26)</f>
        <v/>
      </c>
      <c r="R26" s="51">
        <f>SUMIFS('Daily Log'!$M$7:$M$377,'Daily Log'!$V$7:$V$377,$A26)</f>
        <v/>
      </c>
      <c r="S26" s="51">
        <f>SUMIFS('Daily Log'!$N$7:$N$377,'Daily Log'!$V$7:$V$377,$A26)</f>
        <v/>
      </c>
      <c r="T26" s="51">
        <f>SUMIFS('Daily Log'!$O$7:$O$377,'Daily Log'!$V$7:$V$377,$A26)</f>
        <v/>
      </c>
      <c r="U26" s="51">
        <f>SUMIFS('Daily Log'!$P$7:$P$377,'Daily Log'!$V$7:$V$377,$A26)</f>
        <v/>
      </c>
      <c r="V26" s="51">
        <f>SUMIFS('Daily Log'!$Q$7:$Q$377,'Daily Log'!$V$7:$V$377,$A26)</f>
        <v/>
      </c>
      <c r="W26" s="51">
        <f>SUMIFS('Daily Log'!$R$7:$R$377,'Daily Log'!$V$7:$V$377,$A26)</f>
        <v/>
      </c>
      <c r="X26" s="252">
        <f>IF($H26=0,0,ROUND($G26*L26/$H26,0))</f>
        <v/>
      </c>
      <c r="Y26" s="252">
        <f>IF($H26=0,0,ROUND($G26*M26/$H26,0))</f>
        <v/>
      </c>
      <c r="Z26" s="252">
        <f>IF($H26=0,0,ROUND($G26*N26/$H26,0))</f>
        <v/>
      </c>
      <c r="AA26" s="252">
        <f>IF($H26=0,0,ROUND($G26*O26/$H26,0))</f>
        <v/>
      </c>
      <c r="AB26" s="252">
        <f>IF($H26=0,0,ROUND($G26*P26/$H26,0))</f>
        <v/>
      </c>
      <c r="AC26" s="252">
        <f>IF($H26=0,0,ROUND($G26*Q26/$H26,0))</f>
        <v/>
      </c>
      <c r="AD26" s="252">
        <f>IF($H26=0,0,ROUND($G26*R26/$H26,0))</f>
        <v/>
      </c>
      <c r="AE26" s="252">
        <f>IF($H26=0,0,ROUND($G26*S26/$H26,0))</f>
        <v/>
      </c>
      <c r="AF26" s="252">
        <f>IF($H26=0,0,ROUND($G26*T26/$H26,0))</f>
        <v/>
      </c>
      <c r="AG26" s="252">
        <f>IF($H26=0,0,ROUND($G26*U26/$H26,0))</f>
        <v/>
      </c>
      <c r="AH26" s="252">
        <f>IF($H26=0,0,ROUND($G26*V26/$H26,0))</f>
        <v/>
      </c>
      <c r="AI26" s="252">
        <f>IF($H26=0,0,ROUND($G26*W26/$H26,0))</f>
        <v/>
      </c>
      <c r="AJ26" s="252">
        <f>SUM(X26:AI26)</f>
        <v/>
      </c>
      <c r="AK26" s="266">
        <f>$AJ26-$G26</f>
        <v/>
      </c>
      <c r="AL26" s="125" t="n"/>
    </row>
    <row r="27" ht="21" customFormat="1" customHeight="1" s="127">
      <c r="A27" s="308" t="n">
        <v>46405</v>
      </c>
      <c r="B27" s="250">
        <f>$A27+6</f>
        <v/>
      </c>
      <c r="C27" s="179">
        <f>SUMIFS('Daily Log'!$C$7:$C$377,'Daily Log'!$V$7:$V$377,$A27)</f>
        <v/>
      </c>
      <c r="D27" s="179">
        <f>SUMIFS('Daily Log'!$D$7:$D$377,'Daily Log'!$V$7:$V$377,$A27)</f>
        <v/>
      </c>
      <c r="E27" s="179">
        <f>SUMIFS('Daily Log'!$E$7:$E$377,'Daily Log'!$V$7:$V$377,$A27)</f>
        <v/>
      </c>
      <c r="F27" s="179">
        <f>SUMIFS('Daily Log'!$F$7:$F$377,'Daily Log'!$V$7:$V$377,$A27)</f>
        <v/>
      </c>
      <c r="G27" s="252">
        <f>SUMIFS('Daily Log'!$U$7:$U$377,'Daily Log'!$V$7:$V$377,$A27)</f>
        <v/>
      </c>
      <c r="H27" s="179">
        <f>SUMIFS('Daily Log'!$S$7:$S$377,'Daily Log'!$V$7:$V$377,$A27)</f>
        <v/>
      </c>
      <c r="I27" s="280">
        <f>IF($C27=0,"",$D27/$C27)</f>
        <v/>
      </c>
      <c r="J27" s="65">
        <f>IF($H27=0,"",$E27/$H27)</f>
        <v/>
      </c>
      <c r="K27" s="132">
        <f>IF(AND($G27&gt;0,$H27=0),"pot not shared - no attendance marked",IF(AND($I27&lt;&gt;"",N($I27)&gt;RejectAlarm),"reject rate high",""))</f>
        <v/>
      </c>
      <c r="L27" s="51">
        <f>SUMIFS('Daily Log'!$G$7:$G$377,'Daily Log'!$V$7:$V$377,$A27)</f>
        <v/>
      </c>
      <c r="M27" s="51">
        <f>SUMIFS('Daily Log'!$H$7:$H$377,'Daily Log'!$V$7:$V$377,$A27)</f>
        <v/>
      </c>
      <c r="N27" s="51">
        <f>SUMIFS('Daily Log'!$I$7:$I$377,'Daily Log'!$V$7:$V$377,$A27)</f>
        <v/>
      </c>
      <c r="O27" s="51">
        <f>SUMIFS('Daily Log'!$J$7:$J$377,'Daily Log'!$V$7:$V$377,$A27)</f>
        <v/>
      </c>
      <c r="P27" s="51">
        <f>SUMIFS('Daily Log'!$K$7:$K$377,'Daily Log'!$V$7:$V$377,$A27)</f>
        <v/>
      </c>
      <c r="Q27" s="51">
        <f>SUMIFS('Daily Log'!$L$7:$L$377,'Daily Log'!$V$7:$V$377,$A27)</f>
        <v/>
      </c>
      <c r="R27" s="51">
        <f>SUMIFS('Daily Log'!$M$7:$M$377,'Daily Log'!$V$7:$V$377,$A27)</f>
        <v/>
      </c>
      <c r="S27" s="51">
        <f>SUMIFS('Daily Log'!$N$7:$N$377,'Daily Log'!$V$7:$V$377,$A27)</f>
        <v/>
      </c>
      <c r="T27" s="51">
        <f>SUMIFS('Daily Log'!$O$7:$O$377,'Daily Log'!$V$7:$V$377,$A27)</f>
        <v/>
      </c>
      <c r="U27" s="51">
        <f>SUMIFS('Daily Log'!$P$7:$P$377,'Daily Log'!$V$7:$V$377,$A27)</f>
        <v/>
      </c>
      <c r="V27" s="51">
        <f>SUMIFS('Daily Log'!$Q$7:$Q$377,'Daily Log'!$V$7:$V$377,$A27)</f>
        <v/>
      </c>
      <c r="W27" s="51">
        <f>SUMIFS('Daily Log'!$R$7:$R$377,'Daily Log'!$V$7:$V$377,$A27)</f>
        <v/>
      </c>
      <c r="X27" s="252">
        <f>IF($H27=0,0,ROUND($G27*L27/$H27,0))</f>
        <v/>
      </c>
      <c r="Y27" s="252">
        <f>IF($H27=0,0,ROUND($G27*M27/$H27,0))</f>
        <v/>
      </c>
      <c r="Z27" s="252">
        <f>IF($H27=0,0,ROUND($G27*N27/$H27,0))</f>
        <v/>
      </c>
      <c r="AA27" s="252">
        <f>IF($H27=0,0,ROUND($G27*O27/$H27,0))</f>
        <v/>
      </c>
      <c r="AB27" s="252">
        <f>IF($H27=0,0,ROUND($G27*P27/$H27,0))</f>
        <v/>
      </c>
      <c r="AC27" s="252">
        <f>IF($H27=0,0,ROUND($G27*Q27/$H27,0))</f>
        <v/>
      </c>
      <c r="AD27" s="252">
        <f>IF($H27=0,0,ROUND($G27*R27/$H27,0))</f>
        <v/>
      </c>
      <c r="AE27" s="252">
        <f>IF($H27=0,0,ROUND($G27*S27/$H27,0))</f>
        <v/>
      </c>
      <c r="AF27" s="252">
        <f>IF($H27=0,0,ROUND($G27*T27/$H27,0))</f>
        <v/>
      </c>
      <c r="AG27" s="252">
        <f>IF($H27=0,0,ROUND($G27*U27/$H27,0))</f>
        <v/>
      </c>
      <c r="AH27" s="252">
        <f>IF($H27=0,0,ROUND($G27*V27/$H27,0))</f>
        <v/>
      </c>
      <c r="AI27" s="252">
        <f>IF($H27=0,0,ROUND($G27*W27/$H27,0))</f>
        <v/>
      </c>
      <c r="AJ27" s="252">
        <f>SUM(X27:AI27)</f>
        <v/>
      </c>
      <c r="AK27" s="266">
        <f>$AJ27-$G27</f>
        <v/>
      </c>
      <c r="AL27" s="125" t="n"/>
    </row>
    <row r="28" ht="21" customFormat="1" customHeight="1" s="127">
      <c r="A28" s="308" t="n">
        <v>46412</v>
      </c>
      <c r="B28" s="250">
        <f>$A28+6</f>
        <v/>
      </c>
      <c r="C28" s="179">
        <f>SUMIFS('Daily Log'!$C$7:$C$377,'Daily Log'!$V$7:$V$377,$A28)</f>
        <v/>
      </c>
      <c r="D28" s="179">
        <f>SUMIFS('Daily Log'!$D$7:$D$377,'Daily Log'!$V$7:$V$377,$A28)</f>
        <v/>
      </c>
      <c r="E28" s="179">
        <f>SUMIFS('Daily Log'!$E$7:$E$377,'Daily Log'!$V$7:$V$377,$A28)</f>
        <v/>
      </c>
      <c r="F28" s="179">
        <f>SUMIFS('Daily Log'!$F$7:$F$377,'Daily Log'!$V$7:$V$377,$A28)</f>
        <v/>
      </c>
      <c r="G28" s="252">
        <f>SUMIFS('Daily Log'!$U$7:$U$377,'Daily Log'!$V$7:$V$377,$A28)</f>
        <v/>
      </c>
      <c r="H28" s="179">
        <f>SUMIFS('Daily Log'!$S$7:$S$377,'Daily Log'!$V$7:$V$377,$A28)</f>
        <v/>
      </c>
      <c r="I28" s="280">
        <f>IF($C28=0,"",$D28/$C28)</f>
        <v/>
      </c>
      <c r="J28" s="65">
        <f>IF($H28=0,"",$E28/$H28)</f>
        <v/>
      </c>
      <c r="K28" s="132">
        <f>IF(AND($G28&gt;0,$H28=0),"pot not shared - no attendance marked",IF(AND($I28&lt;&gt;"",N($I28)&gt;RejectAlarm),"reject rate high",""))</f>
        <v/>
      </c>
      <c r="L28" s="51">
        <f>SUMIFS('Daily Log'!$G$7:$G$377,'Daily Log'!$V$7:$V$377,$A28)</f>
        <v/>
      </c>
      <c r="M28" s="51">
        <f>SUMIFS('Daily Log'!$H$7:$H$377,'Daily Log'!$V$7:$V$377,$A28)</f>
        <v/>
      </c>
      <c r="N28" s="51">
        <f>SUMIFS('Daily Log'!$I$7:$I$377,'Daily Log'!$V$7:$V$377,$A28)</f>
        <v/>
      </c>
      <c r="O28" s="51">
        <f>SUMIFS('Daily Log'!$J$7:$J$377,'Daily Log'!$V$7:$V$377,$A28)</f>
        <v/>
      </c>
      <c r="P28" s="51">
        <f>SUMIFS('Daily Log'!$K$7:$K$377,'Daily Log'!$V$7:$V$377,$A28)</f>
        <v/>
      </c>
      <c r="Q28" s="51">
        <f>SUMIFS('Daily Log'!$L$7:$L$377,'Daily Log'!$V$7:$V$377,$A28)</f>
        <v/>
      </c>
      <c r="R28" s="51">
        <f>SUMIFS('Daily Log'!$M$7:$M$377,'Daily Log'!$V$7:$V$377,$A28)</f>
        <v/>
      </c>
      <c r="S28" s="51">
        <f>SUMIFS('Daily Log'!$N$7:$N$377,'Daily Log'!$V$7:$V$377,$A28)</f>
        <v/>
      </c>
      <c r="T28" s="51">
        <f>SUMIFS('Daily Log'!$O$7:$O$377,'Daily Log'!$V$7:$V$377,$A28)</f>
        <v/>
      </c>
      <c r="U28" s="51">
        <f>SUMIFS('Daily Log'!$P$7:$P$377,'Daily Log'!$V$7:$V$377,$A28)</f>
        <v/>
      </c>
      <c r="V28" s="51">
        <f>SUMIFS('Daily Log'!$Q$7:$Q$377,'Daily Log'!$V$7:$V$377,$A28)</f>
        <v/>
      </c>
      <c r="W28" s="51">
        <f>SUMIFS('Daily Log'!$R$7:$R$377,'Daily Log'!$V$7:$V$377,$A28)</f>
        <v/>
      </c>
      <c r="X28" s="252">
        <f>IF($H28=0,0,ROUND($G28*L28/$H28,0))</f>
        <v/>
      </c>
      <c r="Y28" s="252">
        <f>IF($H28=0,0,ROUND($G28*M28/$H28,0))</f>
        <v/>
      </c>
      <c r="Z28" s="252">
        <f>IF($H28=0,0,ROUND($G28*N28/$H28,0))</f>
        <v/>
      </c>
      <c r="AA28" s="252">
        <f>IF($H28=0,0,ROUND($G28*O28/$H28,0))</f>
        <v/>
      </c>
      <c r="AB28" s="252">
        <f>IF($H28=0,0,ROUND($G28*P28/$H28,0))</f>
        <v/>
      </c>
      <c r="AC28" s="252">
        <f>IF($H28=0,0,ROUND($G28*Q28/$H28,0))</f>
        <v/>
      </c>
      <c r="AD28" s="252">
        <f>IF($H28=0,0,ROUND($G28*R28/$H28,0))</f>
        <v/>
      </c>
      <c r="AE28" s="252">
        <f>IF($H28=0,0,ROUND($G28*S28/$H28,0))</f>
        <v/>
      </c>
      <c r="AF28" s="252">
        <f>IF($H28=0,0,ROUND($G28*T28/$H28,0))</f>
        <v/>
      </c>
      <c r="AG28" s="252">
        <f>IF($H28=0,0,ROUND($G28*U28/$H28,0))</f>
        <v/>
      </c>
      <c r="AH28" s="252">
        <f>IF($H28=0,0,ROUND($G28*V28/$H28,0))</f>
        <v/>
      </c>
      <c r="AI28" s="252">
        <f>IF($H28=0,0,ROUND($G28*W28/$H28,0))</f>
        <v/>
      </c>
      <c r="AJ28" s="252">
        <f>SUM(X28:AI28)</f>
        <v/>
      </c>
      <c r="AK28" s="266">
        <f>$AJ28-$G28</f>
        <v/>
      </c>
      <c r="AL28" s="125" t="n"/>
    </row>
    <row r="29" ht="21" customFormat="1" customHeight="1" s="127">
      <c r="A29" s="308" t="n">
        <v>46419</v>
      </c>
      <c r="B29" s="250">
        <f>$A29+6</f>
        <v/>
      </c>
      <c r="C29" s="179">
        <f>SUMIFS('Daily Log'!$C$7:$C$377,'Daily Log'!$V$7:$V$377,$A29)</f>
        <v/>
      </c>
      <c r="D29" s="179">
        <f>SUMIFS('Daily Log'!$D$7:$D$377,'Daily Log'!$V$7:$V$377,$A29)</f>
        <v/>
      </c>
      <c r="E29" s="179">
        <f>SUMIFS('Daily Log'!$E$7:$E$377,'Daily Log'!$V$7:$V$377,$A29)</f>
        <v/>
      </c>
      <c r="F29" s="179">
        <f>SUMIFS('Daily Log'!$F$7:$F$377,'Daily Log'!$V$7:$V$377,$A29)</f>
        <v/>
      </c>
      <c r="G29" s="252">
        <f>SUMIFS('Daily Log'!$U$7:$U$377,'Daily Log'!$V$7:$V$377,$A29)</f>
        <v/>
      </c>
      <c r="H29" s="179">
        <f>SUMIFS('Daily Log'!$S$7:$S$377,'Daily Log'!$V$7:$V$377,$A29)</f>
        <v/>
      </c>
      <c r="I29" s="280">
        <f>IF($C29=0,"",$D29/$C29)</f>
        <v/>
      </c>
      <c r="J29" s="65">
        <f>IF($H29=0,"",$E29/$H29)</f>
        <v/>
      </c>
      <c r="K29" s="132">
        <f>IF(AND($G29&gt;0,$H29=0),"pot not shared - no attendance marked",IF(AND($I29&lt;&gt;"",N($I29)&gt;RejectAlarm),"reject rate high",""))</f>
        <v/>
      </c>
      <c r="L29" s="51">
        <f>SUMIFS('Daily Log'!$G$7:$G$377,'Daily Log'!$V$7:$V$377,$A29)</f>
        <v/>
      </c>
      <c r="M29" s="51">
        <f>SUMIFS('Daily Log'!$H$7:$H$377,'Daily Log'!$V$7:$V$377,$A29)</f>
        <v/>
      </c>
      <c r="N29" s="51">
        <f>SUMIFS('Daily Log'!$I$7:$I$377,'Daily Log'!$V$7:$V$377,$A29)</f>
        <v/>
      </c>
      <c r="O29" s="51">
        <f>SUMIFS('Daily Log'!$J$7:$J$377,'Daily Log'!$V$7:$V$377,$A29)</f>
        <v/>
      </c>
      <c r="P29" s="51">
        <f>SUMIFS('Daily Log'!$K$7:$K$377,'Daily Log'!$V$7:$V$377,$A29)</f>
        <v/>
      </c>
      <c r="Q29" s="51">
        <f>SUMIFS('Daily Log'!$L$7:$L$377,'Daily Log'!$V$7:$V$377,$A29)</f>
        <v/>
      </c>
      <c r="R29" s="51">
        <f>SUMIFS('Daily Log'!$M$7:$M$377,'Daily Log'!$V$7:$V$377,$A29)</f>
        <v/>
      </c>
      <c r="S29" s="51">
        <f>SUMIFS('Daily Log'!$N$7:$N$377,'Daily Log'!$V$7:$V$377,$A29)</f>
        <v/>
      </c>
      <c r="T29" s="51">
        <f>SUMIFS('Daily Log'!$O$7:$O$377,'Daily Log'!$V$7:$V$377,$A29)</f>
        <v/>
      </c>
      <c r="U29" s="51">
        <f>SUMIFS('Daily Log'!$P$7:$P$377,'Daily Log'!$V$7:$V$377,$A29)</f>
        <v/>
      </c>
      <c r="V29" s="51">
        <f>SUMIFS('Daily Log'!$Q$7:$Q$377,'Daily Log'!$V$7:$V$377,$A29)</f>
        <v/>
      </c>
      <c r="W29" s="51">
        <f>SUMIFS('Daily Log'!$R$7:$R$377,'Daily Log'!$V$7:$V$377,$A29)</f>
        <v/>
      </c>
      <c r="X29" s="252">
        <f>IF($H29=0,0,ROUND($G29*L29/$H29,0))</f>
        <v/>
      </c>
      <c r="Y29" s="252">
        <f>IF($H29=0,0,ROUND($G29*M29/$H29,0))</f>
        <v/>
      </c>
      <c r="Z29" s="252">
        <f>IF($H29=0,0,ROUND($G29*N29/$H29,0))</f>
        <v/>
      </c>
      <c r="AA29" s="252">
        <f>IF($H29=0,0,ROUND($G29*O29/$H29,0))</f>
        <v/>
      </c>
      <c r="AB29" s="252">
        <f>IF($H29=0,0,ROUND($G29*P29/$H29,0))</f>
        <v/>
      </c>
      <c r="AC29" s="252">
        <f>IF($H29=0,0,ROUND($G29*Q29/$H29,0))</f>
        <v/>
      </c>
      <c r="AD29" s="252">
        <f>IF($H29=0,0,ROUND($G29*R29/$H29,0))</f>
        <v/>
      </c>
      <c r="AE29" s="252">
        <f>IF($H29=0,0,ROUND($G29*S29/$H29,0))</f>
        <v/>
      </c>
      <c r="AF29" s="252">
        <f>IF($H29=0,0,ROUND($G29*T29/$H29,0))</f>
        <v/>
      </c>
      <c r="AG29" s="252">
        <f>IF($H29=0,0,ROUND($G29*U29/$H29,0))</f>
        <v/>
      </c>
      <c r="AH29" s="252">
        <f>IF($H29=0,0,ROUND($G29*V29/$H29,0))</f>
        <v/>
      </c>
      <c r="AI29" s="252">
        <f>IF($H29=0,0,ROUND($G29*W29/$H29,0))</f>
        <v/>
      </c>
      <c r="AJ29" s="252">
        <f>SUM(X29:AI29)</f>
        <v/>
      </c>
      <c r="AK29" s="266">
        <f>$AJ29-$G29</f>
        <v/>
      </c>
      <c r="AL29" s="125" t="n"/>
    </row>
    <row r="30" ht="21" customFormat="1" customHeight="1" s="127">
      <c r="A30" s="308" t="n">
        <v>46426</v>
      </c>
      <c r="B30" s="250">
        <f>$A30+6</f>
        <v/>
      </c>
      <c r="C30" s="179">
        <f>SUMIFS('Daily Log'!$C$7:$C$377,'Daily Log'!$V$7:$V$377,$A30)</f>
        <v/>
      </c>
      <c r="D30" s="179">
        <f>SUMIFS('Daily Log'!$D$7:$D$377,'Daily Log'!$V$7:$V$377,$A30)</f>
        <v/>
      </c>
      <c r="E30" s="179">
        <f>SUMIFS('Daily Log'!$E$7:$E$377,'Daily Log'!$V$7:$V$377,$A30)</f>
        <v/>
      </c>
      <c r="F30" s="179">
        <f>SUMIFS('Daily Log'!$F$7:$F$377,'Daily Log'!$V$7:$V$377,$A30)</f>
        <v/>
      </c>
      <c r="G30" s="252">
        <f>SUMIFS('Daily Log'!$U$7:$U$377,'Daily Log'!$V$7:$V$377,$A30)</f>
        <v/>
      </c>
      <c r="H30" s="179">
        <f>SUMIFS('Daily Log'!$S$7:$S$377,'Daily Log'!$V$7:$V$377,$A30)</f>
        <v/>
      </c>
      <c r="I30" s="280">
        <f>IF($C30=0,"",$D30/$C30)</f>
        <v/>
      </c>
      <c r="J30" s="65">
        <f>IF($H30=0,"",$E30/$H30)</f>
        <v/>
      </c>
      <c r="K30" s="132">
        <f>IF(AND($G30&gt;0,$H30=0),"pot not shared - no attendance marked",IF(AND($I30&lt;&gt;"",N($I30)&gt;RejectAlarm),"reject rate high",""))</f>
        <v/>
      </c>
      <c r="L30" s="51">
        <f>SUMIFS('Daily Log'!$G$7:$G$377,'Daily Log'!$V$7:$V$377,$A30)</f>
        <v/>
      </c>
      <c r="M30" s="51">
        <f>SUMIFS('Daily Log'!$H$7:$H$377,'Daily Log'!$V$7:$V$377,$A30)</f>
        <v/>
      </c>
      <c r="N30" s="51">
        <f>SUMIFS('Daily Log'!$I$7:$I$377,'Daily Log'!$V$7:$V$377,$A30)</f>
        <v/>
      </c>
      <c r="O30" s="51">
        <f>SUMIFS('Daily Log'!$J$7:$J$377,'Daily Log'!$V$7:$V$377,$A30)</f>
        <v/>
      </c>
      <c r="P30" s="51">
        <f>SUMIFS('Daily Log'!$K$7:$K$377,'Daily Log'!$V$7:$V$377,$A30)</f>
        <v/>
      </c>
      <c r="Q30" s="51">
        <f>SUMIFS('Daily Log'!$L$7:$L$377,'Daily Log'!$V$7:$V$377,$A30)</f>
        <v/>
      </c>
      <c r="R30" s="51">
        <f>SUMIFS('Daily Log'!$M$7:$M$377,'Daily Log'!$V$7:$V$377,$A30)</f>
        <v/>
      </c>
      <c r="S30" s="51">
        <f>SUMIFS('Daily Log'!$N$7:$N$377,'Daily Log'!$V$7:$V$377,$A30)</f>
        <v/>
      </c>
      <c r="T30" s="51">
        <f>SUMIFS('Daily Log'!$O$7:$O$377,'Daily Log'!$V$7:$V$377,$A30)</f>
        <v/>
      </c>
      <c r="U30" s="51">
        <f>SUMIFS('Daily Log'!$P$7:$P$377,'Daily Log'!$V$7:$V$377,$A30)</f>
        <v/>
      </c>
      <c r="V30" s="51">
        <f>SUMIFS('Daily Log'!$Q$7:$Q$377,'Daily Log'!$V$7:$V$377,$A30)</f>
        <v/>
      </c>
      <c r="W30" s="51">
        <f>SUMIFS('Daily Log'!$R$7:$R$377,'Daily Log'!$V$7:$V$377,$A30)</f>
        <v/>
      </c>
      <c r="X30" s="252">
        <f>IF($H30=0,0,ROUND($G30*L30/$H30,0))</f>
        <v/>
      </c>
      <c r="Y30" s="252">
        <f>IF($H30=0,0,ROUND($G30*M30/$H30,0))</f>
        <v/>
      </c>
      <c r="Z30" s="252">
        <f>IF($H30=0,0,ROUND($G30*N30/$H30,0))</f>
        <v/>
      </c>
      <c r="AA30" s="252">
        <f>IF($H30=0,0,ROUND($G30*O30/$H30,0))</f>
        <v/>
      </c>
      <c r="AB30" s="252">
        <f>IF($H30=0,0,ROUND($G30*P30/$H30,0))</f>
        <v/>
      </c>
      <c r="AC30" s="252">
        <f>IF($H30=0,0,ROUND($G30*Q30/$H30,0))</f>
        <v/>
      </c>
      <c r="AD30" s="252">
        <f>IF($H30=0,0,ROUND($G30*R30/$H30,0))</f>
        <v/>
      </c>
      <c r="AE30" s="252">
        <f>IF($H30=0,0,ROUND($G30*S30/$H30,0))</f>
        <v/>
      </c>
      <c r="AF30" s="252">
        <f>IF($H30=0,0,ROUND($G30*T30/$H30,0))</f>
        <v/>
      </c>
      <c r="AG30" s="252">
        <f>IF($H30=0,0,ROUND($G30*U30/$H30,0))</f>
        <v/>
      </c>
      <c r="AH30" s="252">
        <f>IF($H30=0,0,ROUND($G30*V30/$H30,0))</f>
        <v/>
      </c>
      <c r="AI30" s="252">
        <f>IF($H30=0,0,ROUND($G30*W30/$H30,0))</f>
        <v/>
      </c>
      <c r="AJ30" s="252">
        <f>SUM(X30:AI30)</f>
        <v/>
      </c>
      <c r="AK30" s="266">
        <f>$AJ30-$G30</f>
        <v/>
      </c>
      <c r="AL30" s="125" t="n"/>
    </row>
    <row r="31" ht="21" customFormat="1" customHeight="1" s="127">
      <c r="A31" s="308" t="n">
        <v>46433</v>
      </c>
      <c r="B31" s="250">
        <f>$A31+6</f>
        <v/>
      </c>
      <c r="C31" s="179">
        <f>SUMIFS('Daily Log'!$C$7:$C$377,'Daily Log'!$V$7:$V$377,$A31)</f>
        <v/>
      </c>
      <c r="D31" s="179">
        <f>SUMIFS('Daily Log'!$D$7:$D$377,'Daily Log'!$V$7:$V$377,$A31)</f>
        <v/>
      </c>
      <c r="E31" s="179">
        <f>SUMIFS('Daily Log'!$E$7:$E$377,'Daily Log'!$V$7:$V$377,$A31)</f>
        <v/>
      </c>
      <c r="F31" s="179">
        <f>SUMIFS('Daily Log'!$F$7:$F$377,'Daily Log'!$V$7:$V$377,$A31)</f>
        <v/>
      </c>
      <c r="G31" s="252">
        <f>SUMIFS('Daily Log'!$U$7:$U$377,'Daily Log'!$V$7:$V$377,$A31)</f>
        <v/>
      </c>
      <c r="H31" s="179">
        <f>SUMIFS('Daily Log'!$S$7:$S$377,'Daily Log'!$V$7:$V$377,$A31)</f>
        <v/>
      </c>
      <c r="I31" s="280">
        <f>IF($C31=0,"",$D31/$C31)</f>
        <v/>
      </c>
      <c r="J31" s="65">
        <f>IF($H31=0,"",$E31/$H31)</f>
        <v/>
      </c>
      <c r="K31" s="132">
        <f>IF(AND($G31&gt;0,$H31=0),"pot not shared - no attendance marked",IF(AND($I31&lt;&gt;"",N($I31)&gt;RejectAlarm),"reject rate high",""))</f>
        <v/>
      </c>
      <c r="L31" s="51">
        <f>SUMIFS('Daily Log'!$G$7:$G$377,'Daily Log'!$V$7:$V$377,$A31)</f>
        <v/>
      </c>
      <c r="M31" s="51">
        <f>SUMIFS('Daily Log'!$H$7:$H$377,'Daily Log'!$V$7:$V$377,$A31)</f>
        <v/>
      </c>
      <c r="N31" s="51">
        <f>SUMIFS('Daily Log'!$I$7:$I$377,'Daily Log'!$V$7:$V$377,$A31)</f>
        <v/>
      </c>
      <c r="O31" s="51">
        <f>SUMIFS('Daily Log'!$J$7:$J$377,'Daily Log'!$V$7:$V$377,$A31)</f>
        <v/>
      </c>
      <c r="P31" s="51">
        <f>SUMIFS('Daily Log'!$K$7:$K$377,'Daily Log'!$V$7:$V$377,$A31)</f>
        <v/>
      </c>
      <c r="Q31" s="51">
        <f>SUMIFS('Daily Log'!$L$7:$L$377,'Daily Log'!$V$7:$V$377,$A31)</f>
        <v/>
      </c>
      <c r="R31" s="51">
        <f>SUMIFS('Daily Log'!$M$7:$M$377,'Daily Log'!$V$7:$V$377,$A31)</f>
        <v/>
      </c>
      <c r="S31" s="51">
        <f>SUMIFS('Daily Log'!$N$7:$N$377,'Daily Log'!$V$7:$V$377,$A31)</f>
        <v/>
      </c>
      <c r="T31" s="51">
        <f>SUMIFS('Daily Log'!$O$7:$O$377,'Daily Log'!$V$7:$V$377,$A31)</f>
        <v/>
      </c>
      <c r="U31" s="51">
        <f>SUMIFS('Daily Log'!$P$7:$P$377,'Daily Log'!$V$7:$V$377,$A31)</f>
        <v/>
      </c>
      <c r="V31" s="51">
        <f>SUMIFS('Daily Log'!$Q$7:$Q$377,'Daily Log'!$V$7:$V$377,$A31)</f>
        <v/>
      </c>
      <c r="W31" s="51">
        <f>SUMIFS('Daily Log'!$R$7:$R$377,'Daily Log'!$V$7:$V$377,$A31)</f>
        <v/>
      </c>
      <c r="X31" s="252">
        <f>IF($H31=0,0,ROUND($G31*L31/$H31,0))</f>
        <v/>
      </c>
      <c r="Y31" s="252">
        <f>IF($H31=0,0,ROUND($G31*M31/$H31,0))</f>
        <v/>
      </c>
      <c r="Z31" s="252">
        <f>IF($H31=0,0,ROUND($G31*N31/$H31,0))</f>
        <v/>
      </c>
      <c r="AA31" s="252">
        <f>IF($H31=0,0,ROUND($G31*O31/$H31,0))</f>
        <v/>
      </c>
      <c r="AB31" s="252">
        <f>IF($H31=0,0,ROUND($G31*P31/$H31,0))</f>
        <v/>
      </c>
      <c r="AC31" s="252">
        <f>IF($H31=0,0,ROUND($G31*Q31/$H31,0))</f>
        <v/>
      </c>
      <c r="AD31" s="252">
        <f>IF($H31=0,0,ROUND($G31*R31/$H31,0))</f>
        <v/>
      </c>
      <c r="AE31" s="252">
        <f>IF($H31=0,0,ROUND($G31*S31/$H31,0))</f>
        <v/>
      </c>
      <c r="AF31" s="252">
        <f>IF($H31=0,0,ROUND($G31*T31/$H31,0))</f>
        <v/>
      </c>
      <c r="AG31" s="252">
        <f>IF($H31=0,0,ROUND($G31*U31/$H31,0))</f>
        <v/>
      </c>
      <c r="AH31" s="252">
        <f>IF($H31=0,0,ROUND($G31*V31/$H31,0))</f>
        <v/>
      </c>
      <c r="AI31" s="252">
        <f>IF($H31=0,0,ROUND($G31*W31/$H31,0))</f>
        <v/>
      </c>
      <c r="AJ31" s="252">
        <f>SUM(X31:AI31)</f>
        <v/>
      </c>
      <c r="AK31" s="266">
        <f>$AJ31-$G31</f>
        <v/>
      </c>
      <c r="AL31" s="125" t="n"/>
    </row>
    <row r="32" ht="21" customFormat="1" customHeight="1" s="127">
      <c r="A32" s="308" t="n">
        <v>46440</v>
      </c>
      <c r="B32" s="250">
        <f>$A32+6</f>
        <v/>
      </c>
      <c r="C32" s="179">
        <f>SUMIFS('Daily Log'!$C$7:$C$377,'Daily Log'!$V$7:$V$377,$A32)</f>
        <v/>
      </c>
      <c r="D32" s="179">
        <f>SUMIFS('Daily Log'!$D$7:$D$377,'Daily Log'!$V$7:$V$377,$A32)</f>
        <v/>
      </c>
      <c r="E32" s="179">
        <f>SUMIFS('Daily Log'!$E$7:$E$377,'Daily Log'!$V$7:$V$377,$A32)</f>
        <v/>
      </c>
      <c r="F32" s="179">
        <f>SUMIFS('Daily Log'!$F$7:$F$377,'Daily Log'!$V$7:$V$377,$A32)</f>
        <v/>
      </c>
      <c r="G32" s="252">
        <f>SUMIFS('Daily Log'!$U$7:$U$377,'Daily Log'!$V$7:$V$377,$A32)</f>
        <v/>
      </c>
      <c r="H32" s="179">
        <f>SUMIFS('Daily Log'!$S$7:$S$377,'Daily Log'!$V$7:$V$377,$A32)</f>
        <v/>
      </c>
      <c r="I32" s="280">
        <f>IF($C32=0,"",$D32/$C32)</f>
        <v/>
      </c>
      <c r="J32" s="65">
        <f>IF($H32=0,"",$E32/$H32)</f>
        <v/>
      </c>
      <c r="K32" s="132">
        <f>IF(AND($G32&gt;0,$H32=0),"pot not shared - no attendance marked",IF(AND($I32&lt;&gt;"",N($I32)&gt;RejectAlarm),"reject rate high",""))</f>
        <v/>
      </c>
      <c r="L32" s="51">
        <f>SUMIFS('Daily Log'!$G$7:$G$377,'Daily Log'!$V$7:$V$377,$A32)</f>
        <v/>
      </c>
      <c r="M32" s="51">
        <f>SUMIFS('Daily Log'!$H$7:$H$377,'Daily Log'!$V$7:$V$377,$A32)</f>
        <v/>
      </c>
      <c r="N32" s="51">
        <f>SUMIFS('Daily Log'!$I$7:$I$377,'Daily Log'!$V$7:$V$377,$A32)</f>
        <v/>
      </c>
      <c r="O32" s="51">
        <f>SUMIFS('Daily Log'!$J$7:$J$377,'Daily Log'!$V$7:$V$377,$A32)</f>
        <v/>
      </c>
      <c r="P32" s="51">
        <f>SUMIFS('Daily Log'!$K$7:$K$377,'Daily Log'!$V$7:$V$377,$A32)</f>
        <v/>
      </c>
      <c r="Q32" s="51">
        <f>SUMIFS('Daily Log'!$L$7:$L$377,'Daily Log'!$V$7:$V$377,$A32)</f>
        <v/>
      </c>
      <c r="R32" s="51">
        <f>SUMIFS('Daily Log'!$M$7:$M$377,'Daily Log'!$V$7:$V$377,$A32)</f>
        <v/>
      </c>
      <c r="S32" s="51">
        <f>SUMIFS('Daily Log'!$N$7:$N$377,'Daily Log'!$V$7:$V$377,$A32)</f>
        <v/>
      </c>
      <c r="T32" s="51">
        <f>SUMIFS('Daily Log'!$O$7:$O$377,'Daily Log'!$V$7:$V$377,$A32)</f>
        <v/>
      </c>
      <c r="U32" s="51">
        <f>SUMIFS('Daily Log'!$P$7:$P$377,'Daily Log'!$V$7:$V$377,$A32)</f>
        <v/>
      </c>
      <c r="V32" s="51">
        <f>SUMIFS('Daily Log'!$Q$7:$Q$377,'Daily Log'!$V$7:$V$377,$A32)</f>
        <v/>
      </c>
      <c r="W32" s="51">
        <f>SUMIFS('Daily Log'!$R$7:$R$377,'Daily Log'!$V$7:$V$377,$A32)</f>
        <v/>
      </c>
      <c r="X32" s="252">
        <f>IF($H32=0,0,ROUND($G32*L32/$H32,0))</f>
        <v/>
      </c>
      <c r="Y32" s="252">
        <f>IF($H32=0,0,ROUND($G32*M32/$H32,0))</f>
        <v/>
      </c>
      <c r="Z32" s="252">
        <f>IF($H32=0,0,ROUND($G32*N32/$H32,0))</f>
        <v/>
      </c>
      <c r="AA32" s="252">
        <f>IF($H32=0,0,ROUND($G32*O32/$H32,0))</f>
        <v/>
      </c>
      <c r="AB32" s="252">
        <f>IF($H32=0,0,ROUND($G32*P32/$H32,0))</f>
        <v/>
      </c>
      <c r="AC32" s="252">
        <f>IF($H32=0,0,ROUND($G32*Q32/$H32,0))</f>
        <v/>
      </c>
      <c r="AD32" s="252">
        <f>IF($H32=0,0,ROUND($G32*R32/$H32,0))</f>
        <v/>
      </c>
      <c r="AE32" s="252">
        <f>IF($H32=0,0,ROUND($G32*S32/$H32,0))</f>
        <v/>
      </c>
      <c r="AF32" s="252">
        <f>IF($H32=0,0,ROUND($G32*T32/$H32,0))</f>
        <v/>
      </c>
      <c r="AG32" s="252">
        <f>IF($H32=0,0,ROUND($G32*U32/$H32,0))</f>
        <v/>
      </c>
      <c r="AH32" s="252">
        <f>IF($H32=0,0,ROUND($G32*V32/$H32,0))</f>
        <v/>
      </c>
      <c r="AI32" s="252">
        <f>IF($H32=0,0,ROUND($G32*W32/$H32,0))</f>
        <v/>
      </c>
      <c r="AJ32" s="252">
        <f>SUM(X32:AI32)</f>
        <v/>
      </c>
      <c r="AK32" s="266">
        <f>$AJ32-$G32</f>
        <v/>
      </c>
      <c r="AL32" s="125" t="n"/>
    </row>
    <row r="33" ht="21" customFormat="1" customHeight="1" s="127">
      <c r="A33" s="308" t="n">
        <v>46447</v>
      </c>
      <c r="B33" s="250">
        <f>$A33+6</f>
        <v/>
      </c>
      <c r="C33" s="179">
        <f>SUMIFS('Daily Log'!$C$7:$C$377,'Daily Log'!$V$7:$V$377,$A33)</f>
        <v/>
      </c>
      <c r="D33" s="179">
        <f>SUMIFS('Daily Log'!$D$7:$D$377,'Daily Log'!$V$7:$V$377,$A33)</f>
        <v/>
      </c>
      <c r="E33" s="179">
        <f>SUMIFS('Daily Log'!$E$7:$E$377,'Daily Log'!$V$7:$V$377,$A33)</f>
        <v/>
      </c>
      <c r="F33" s="179">
        <f>SUMIFS('Daily Log'!$F$7:$F$377,'Daily Log'!$V$7:$V$377,$A33)</f>
        <v/>
      </c>
      <c r="G33" s="252">
        <f>SUMIFS('Daily Log'!$U$7:$U$377,'Daily Log'!$V$7:$V$377,$A33)</f>
        <v/>
      </c>
      <c r="H33" s="179">
        <f>SUMIFS('Daily Log'!$S$7:$S$377,'Daily Log'!$V$7:$V$377,$A33)</f>
        <v/>
      </c>
      <c r="I33" s="280">
        <f>IF($C33=0,"",$D33/$C33)</f>
        <v/>
      </c>
      <c r="J33" s="65">
        <f>IF($H33=0,"",$E33/$H33)</f>
        <v/>
      </c>
      <c r="K33" s="132">
        <f>IF(AND($G33&gt;0,$H33=0),"pot not shared - no attendance marked",IF(AND($I33&lt;&gt;"",N($I33)&gt;RejectAlarm),"reject rate high",""))</f>
        <v/>
      </c>
      <c r="L33" s="51">
        <f>SUMIFS('Daily Log'!$G$7:$G$377,'Daily Log'!$V$7:$V$377,$A33)</f>
        <v/>
      </c>
      <c r="M33" s="51">
        <f>SUMIFS('Daily Log'!$H$7:$H$377,'Daily Log'!$V$7:$V$377,$A33)</f>
        <v/>
      </c>
      <c r="N33" s="51">
        <f>SUMIFS('Daily Log'!$I$7:$I$377,'Daily Log'!$V$7:$V$377,$A33)</f>
        <v/>
      </c>
      <c r="O33" s="51">
        <f>SUMIFS('Daily Log'!$J$7:$J$377,'Daily Log'!$V$7:$V$377,$A33)</f>
        <v/>
      </c>
      <c r="P33" s="51">
        <f>SUMIFS('Daily Log'!$K$7:$K$377,'Daily Log'!$V$7:$V$377,$A33)</f>
        <v/>
      </c>
      <c r="Q33" s="51">
        <f>SUMIFS('Daily Log'!$L$7:$L$377,'Daily Log'!$V$7:$V$377,$A33)</f>
        <v/>
      </c>
      <c r="R33" s="51">
        <f>SUMIFS('Daily Log'!$M$7:$M$377,'Daily Log'!$V$7:$V$377,$A33)</f>
        <v/>
      </c>
      <c r="S33" s="51">
        <f>SUMIFS('Daily Log'!$N$7:$N$377,'Daily Log'!$V$7:$V$377,$A33)</f>
        <v/>
      </c>
      <c r="T33" s="51">
        <f>SUMIFS('Daily Log'!$O$7:$O$377,'Daily Log'!$V$7:$V$377,$A33)</f>
        <v/>
      </c>
      <c r="U33" s="51">
        <f>SUMIFS('Daily Log'!$P$7:$P$377,'Daily Log'!$V$7:$V$377,$A33)</f>
        <v/>
      </c>
      <c r="V33" s="51">
        <f>SUMIFS('Daily Log'!$Q$7:$Q$377,'Daily Log'!$V$7:$V$377,$A33)</f>
        <v/>
      </c>
      <c r="W33" s="51">
        <f>SUMIFS('Daily Log'!$R$7:$R$377,'Daily Log'!$V$7:$V$377,$A33)</f>
        <v/>
      </c>
      <c r="X33" s="252">
        <f>IF($H33=0,0,ROUND($G33*L33/$H33,0))</f>
        <v/>
      </c>
      <c r="Y33" s="252">
        <f>IF($H33=0,0,ROUND($G33*M33/$H33,0))</f>
        <v/>
      </c>
      <c r="Z33" s="252">
        <f>IF($H33=0,0,ROUND($G33*N33/$H33,0))</f>
        <v/>
      </c>
      <c r="AA33" s="252">
        <f>IF($H33=0,0,ROUND($G33*O33/$H33,0))</f>
        <v/>
      </c>
      <c r="AB33" s="252">
        <f>IF($H33=0,0,ROUND($G33*P33/$H33,0))</f>
        <v/>
      </c>
      <c r="AC33" s="252">
        <f>IF($H33=0,0,ROUND($G33*Q33/$H33,0))</f>
        <v/>
      </c>
      <c r="AD33" s="252">
        <f>IF($H33=0,0,ROUND($G33*R33/$H33,0))</f>
        <v/>
      </c>
      <c r="AE33" s="252">
        <f>IF($H33=0,0,ROUND($G33*S33/$H33,0))</f>
        <v/>
      </c>
      <c r="AF33" s="252">
        <f>IF($H33=0,0,ROUND($G33*T33/$H33,0))</f>
        <v/>
      </c>
      <c r="AG33" s="252">
        <f>IF($H33=0,0,ROUND($G33*U33/$H33,0))</f>
        <v/>
      </c>
      <c r="AH33" s="252">
        <f>IF($H33=0,0,ROUND($G33*V33/$H33,0))</f>
        <v/>
      </c>
      <c r="AI33" s="252">
        <f>IF($H33=0,0,ROUND($G33*W33/$H33,0))</f>
        <v/>
      </c>
      <c r="AJ33" s="252">
        <f>SUM(X33:AI33)</f>
        <v/>
      </c>
      <c r="AK33" s="266">
        <f>$AJ33-$G33</f>
        <v/>
      </c>
      <c r="AL33" s="125" t="n"/>
    </row>
    <row r="34" ht="21" customFormat="1" customHeight="1" s="127">
      <c r="A34" s="308" t="n">
        <v>46454</v>
      </c>
      <c r="B34" s="250">
        <f>$A34+6</f>
        <v/>
      </c>
      <c r="C34" s="179">
        <f>SUMIFS('Daily Log'!$C$7:$C$377,'Daily Log'!$V$7:$V$377,$A34)</f>
        <v/>
      </c>
      <c r="D34" s="179">
        <f>SUMIFS('Daily Log'!$D$7:$D$377,'Daily Log'!$V$7:$V$377,$A34)</f>
        <v/>
      </c>
      <c r="E34" s="179">
        <f>SUMIFS('Daily Log'!$E$7:$E$377,'Daily Log'!$V$7:$V$377,$A34)</f>
        <v/>
      </c>
      <c r="F34" s="179">
        <f>SUMIFS('Daily Log'!$F$7:$F$377,'Daily Log'!$V$7:$V$377,$A34)</f>
        <v/>
      </c>
      <c r="G34" s="252">
        <f>SUMIFS('Daily Log'!$U$7:$U$377,'Daily Log'!$V$7:$V$377,$A34)</f>
        <v/>
      </c>
      <c r="H34" s="179">
        <f>SUMIFS('Daily Log'!$S$7:$S$377,'Daily Log'!$V$7:$V$377,$A34)</f>
        <v/>
      </c>
      <c r="I34" s="280">
        <f>IF($C34=0,"",$D34/$C34)</f>
        <v/>
      </c>
      <c r="J34" s="65">
        <f>IF($H34=0,"",$E34/$H34)</f>
        <v/>
      </c>
      <c r="K34" s="132">
        <f>IF(AND($G34&gt;0,$H34=0),"pot not shared - no attendance marked",IF(AND($I34&lt;&gt;"",N($I34)&gt;RejectAlarm),"reject rate high",""))</f>
        <v/>
      </c>
      <c r="L34" s="51">
        <f>SUMIFS('Daily Log'!$G$7:$G$377,'Daily Log'!$V$7:$V$377,$A34)</f>
        <v/>
      </c>
      <c r="M34" s="51">
        <f>SUMIFS('Daily Log'!$H$7:$H$377,'Daily Log'!$V$7:$V$377,$A34)</f>
        <v/>
      </c>
      <c r="N34" s="51">
        <f>SUMIFS('Daily Log'!$I$7:$I$377,'Daily Log'!$V$7:$V$377,$A34)</f>
        <v/>
      </c>
      <c r="O34" s="51">
        <f>SUMIFS('Daily Log'!$J$7:$J$377,'Daily Log'!$V$7:$V$377,$A34)</f>
        <v/>
      </c>
      <c r="P34" s="51">
        <f>SUMIFS('Daily Log'!$K$7:$K$377,'Daily Log'!$V$7:$V$377,$A34)</f>
        <v/>
      </c>
      <c r="Q34" s="51">
        <f>SUMIFS('Daily Log'!$L$7:$L$377,'Daily Log'!$V$7:$V$377,$A34)</f>
        <v/>
      </c>
      <c r="R34" s="51">
        <f>SUMIFS('Daily Log'!$M$7:$M$377,'Daily Log'!$V$7:$V$377,$A34)</f>
        <v/>
      </c>
      <c r="S34" s="51">
        <f>SUMIFS('Daily Log'!$N$7:$N$377,'Daily Log'!$V$7:$V$377,$A34)</f>
        <v/>
      </c>
      <c r="T34" s="51">
        <f>SUMIFS('Daily Log'!$O$7:$O$377,'Daily Log'!$V$7:$V$377,$A34)</f>
        <v/>
      </c>
      <c r="U34" s="51">
        <f>SUMIFS('Daily Log'!$P$7:$P$377,'Daily Log'!$V$7:$V$377,$A34)</f>
        <v/>
      </c>
      <c r="V34" s="51">
        <f>SUMIFS('Daily Log'!$Q$7:$Q$377,'Daily Log'!$V$7:$V$377,$A34)</f>
        <v/>
      </c>
      <c r="W34" s="51">
        <f>SUMIFS('Daily Log'!$R$7:$R$377,'Daily Log'!$V$7:$V$377,$A34)</f>
        <v/>
      </c>
      <c r="X34" s="252">
        <f>IF($H34=0,0,ROUND($G34*L34/$H34,0))</f>
        <v/>
      </c>
      <c r="Y34" s="252">
        <f>IF($H34=0,0,ROUND($G34*M34/$H34,0))</f>
        <v/>
      </c>
      <c r="Z34" s="252">
        <f>IF($H34=0,0,ROUND($G34*N34/$H34,0))</f>
        <v/>
      </c>
      <c r="AA34" s="252">
        <f>IF($H34=0,0,ROUND($G34*O34/$H34,0))</f>
        <v/>
      </c>
      <c r="AB34" s="252">
        <f>IF($H34=0,0,ROUND($G34*P34/$H34,0))</f>
        <v/>
      </c>
      <c r="AC34" s="252">
        <f>IF($H34=0,0,ROUND($G34*Q34/$H34,0))</f>
        <v/>
      </c>
      <c r="AD34" s="252">
        <f>IF($H34=0,0,ROUND($G34*R34/$H34,0))</f>
        <v/>
      </c>
      <c r="AE34" s="252">
        <f>IF($H34=0,0,ROUND($G34*S34/$H34,0))</f>
        <v/>
      </c>
      <c r="AF34" s="252">
        <f>IF($H34=0,0,ROUND($G34*T34/$H34,0))</f>
        <v/>
      </c>
      <c r="AG34" s="252">
        <f>IF($H34=0,0,ROUND($G34*U34/$H34,0))</f>
        <v/>
      </c>
      <c r="AH34" s="252">
        <f>IF($H34=0,0,ROUND($G34*V34/$H34,0))</f>
        <v/>
      </c>
      <c r="AI34" s="252">
        <f>IF($H34=0,0,ROUND($G34*W34/$H34,0))</f>
        <v/>
      </c>
      <c r="AJ34" s="252">
        <f>SUM(X34:AI34)</f>
        <v/>
      </c>
      <c r="AK34" s="266">
        <f>$AJ34-$G34</f>
        <v/>
      </c>
      <c r="AL34" s="125" t="n"/>
    </row>
    <row r="35" ht="21" customFormat="1" customHeight="1" s="127">
      <c r="A35" s="308" t="n">
        <v>46461</v>
      </c>
      <c r="B35" s="250">
        <f>$A35+6</f>
        <v/>
      </c>
      <c r="C35" s="179">
        <f>SUMIFS('Daily Log'!$C$7:$C$377,'Daily Log'!$V$7:$V$377,$A35)</f>
        <v/>
      </c>
      <c r="D35" s="179">
        <f>SUMIFS('Daily Log'!$D$7:$D$377,'Daily Log'!$V$7:$V$377,$A35)</f>
        <v/>
      </c>
      <c r="E35" s="179">
        <f>SUMIFS('Daily Log'!$E$7:$E$377,'Daily Log'!$V$7:$V$377,$A35)</f>
        <v/>
      </c>
      <c r="F35" s="179">
        <f>SUMIFS('Daily Log'!$F$7:$F$377,'Daily Log'!$V$7:$V$377,$A35)</f>
        <v/>
      </c>
      <c r="G35" s="252">
        <f>SUMIFS('Daily Log'!$U$7:$U$377,'Daily Log'!$V$7:$V$377,$A35)</f>
        <v/>
      </c>
      <c r="H35" s="179">
        <f>SUMIFS('Daily Log'!$S$7:$S$377,'Daily Log'!$V$7:$V$377,$A35)</f>
        <v/>
      </c>
      <c r="I35" s="280">
        <f>IF($C35=0,"",$D35/$C35)</f>
        <v/>
      </c>
      <c r="J35" s="65">
        <f>IF($H35=0,"",$E35/$H35)</f>
        <v/>
      </c>
      <c r="K35" s="132">
        <f>IF(AND($G35&gt;0,$H35=0),"pot not shared - no attendance marked",IF(AND($I35&lt;&gt;"",N($I35)&gt;RejectAlarm),"reject rate high",""))</f>
        <v/>
      </c>
      <c r="L35" s="51">
        <f>SUMIFS('Daily Log'!$G$7:$G$377,'Daily Log'!$V$7:$V$377,$A35)</f>
        <v/>
      </c>
      <c r="M35" s="51">
        <f>SUMIFS('Daily Log'!$H$7:$H$377,'Daily Log'!$V$7:$V$377,$A35)</f>
        <v/>
      </c>
      <c r="N35" s="51">
        <f>SUMIFS('Daily Log'!$I$7:$I$377,'Daily Log'!$V$7:$V$377,$A35)</f>
        <v/>
      </c>
      <c r="O35" s="51">
        <f>SUMIFS('Daily Log'!$J$7:$J$377,'Daily Log'!$V$7:$V$377,$A35)</f>
        <v/>
      </c>
      <c r="P35" s="51">
        <f>SUMIFS('Daily Log'!$K$7:$K$377,'Daily Log'!$V$7:$V$377,$A35)</f>
        <v/>
      </c>
      <c r="Q35" s="51">
        <f>SUMIFS('Daily Log'!$L$7:$L$377,'Daily Log'!$V$7:$V$377,$A35)</f>
        <v/>
      </c>
      <c r="R35" s="51">
        <f>SUMIFS('Daily Log'!$M$7:$M$377,'Daily Log'!$V$7:$V$377,$A35)</f>
        <v/>
      </c>
      <c r="S35" s="51">
        <f>SUMIFS('Daily Log'!$N$7:$N$377,'Daily Log'!$V$7:$V$377,$A35)</f>
        <v/>
      </c>
      <c r="T35" s="51">
        <f>SUMIFS('Daily Log'!$O$7:$O$377,'Daily Log'!$V$7:$V$377,$A35)</f>
        <v/>
      </c>
      <c r="U35" s="51">
        <f>SUMIFS('Daily Log'!$P$7:$P$377,'Daily Log'!$V$7:$V$377,$A35)</f>
        <v/>
      </c>
      <c r="V35" s="51">
        <f>SUMIFS('Daily Log'!$Q$7:$Q$377,'Daily Log'!$V$7:$V$377,$A35)</f>
        <v/>
      </c>
      <c r="W35" s="51">
        <f>SUMIFS('Daily Log'!$R$7:$R$377,'Daily Log'!$V$7:$V$377,$A35)</f>
        <v/>
      </c>
      <c r="X35" s="252">
        <f>IF($H35=0,0,ROUND($G35*L35/$H35,0))</f>
        <v/>
      </c>
      <c r="Y35" s="252">
        <f>IF($H35=0,0,ROUND($G35*M35/$H35,0))</f>
        <v/>
      </c>
      <c r="Z35" s="252">
        <f>IF($H35=0,0,ROUND($G35*N35/$H35,0))</f>
        <v/>
      </c>
      <c r="AA35" s="252">
        <f>IF($H35=0,0,ROUND($G35*O35/$H35,0))</f>
        <v/>
      </c>
      <c r="AB35" s="252">
        <f>IF($H35=0,0,ROUND($G35*P35/$H35,0))</f>
        <v/>
      </c>
      <c r="AC35" s="252">
        <f>IF($H35=0,0,ROUND($G35*Q35/$H35,0))</f>
        <v/>
      </c>
      <c r="AD35" s="252">
        <f>IF($H35=0,0,ROUND($G35*R35/$H35,0))</f>
        <v/>
      </c>
      <c r="AE35" s="252">
        <f>IF($H35=0,0,ROUND($G35*S35/$H35,0))</f>
        <v/>
      </c>
      <c r="AF35" s="252">
        <f>IF($H35=0,0,ROUND($G35*T35/$H35,0))</f>
        <v/>
      </c>
      <c r="AG35" s="252">
        <f>IF($H35=0,0,ROUND($G35*U35/$H35,0))</f>
        <v/>
      </c>
      <c r="AH35" s="252">
        <f>IF($H35=0,0,ROUND($G35*V35/$H35,0))</f>
        <v/>
      </c>
      <c r="AI35" s="252">
        <f>IF($H35=0,0,ROUND($G35*W35/$H35,0))</f>
        <v/>
      </c>
      <c r="AJ35" s="252">
        <f>SUM(X35:AI35)</f>
        <v/>
      </c>
      <c r="AK35" s="266">
        <f>$AJ35-$G35</f>
        <v/>
      </c>
      <c r="AL35" s="125" t="n"/>
    </row>
    <row r="36" ht="21" customFormat="1" customHeight="1" s="127">
      <c r="A36" s="308" t="n">
        <v>46468</v>
      </c>
      <c r="B36" s="250">
        <f>$A36+6</f>
        <v/>
      </c>
      <c r="C36" s="179">
        <f>SUMIFS('Daily Log'!$C$7:$C$377,'Daily Log'!$V$7:$V$377,$A36)</f>
        <v/>
      </c>
      <c r="D36" s="179">
        <f>SUMIFS('Daily Log'!$D$7:$D$377,'Daily Log'!$V$7:$V$377,$A36)</f>
        <v/>
      </c>
      <c r="E36" s="179">
        <f>SUMIFS('Daily Log'!$E$7:$E$377,'Daily Log'!$V$7:$V$377,$A36)</f>
        <v/>
      </c>
      <c r="F36" s="179">
        <f>SUMIFS('Daily Log'!$F$7:$F$377,'Daily Log'!$V$7:$V$377,$A36)</f>
        <v/>
      </c>
      <c r="G36" s="252">
        <f>SUMIFS('Daily Log'!$U$7:$U$377,'Daily Log'!$V$7:$V$377,$A36)</f>
        <v/>
      </c>
      <c r="H36" s="179">
        <f>SUMIFS('Daily Log'!$S$7:$S$377,'Daily Log'!$V$7:$V$377,$A36)</f>
        <v/>
      </c>
      <c r="I36" s="280">
        <f>IF($C36=0,"",$D36/$C36)</f>
        <v/>
      </c>
      <c r="J36" s="65">
        <f>IF($H36=0,"",$E36/$H36)</f>
        <v/>
      </c>
      <c r="K36" s="132">
        <f>IF(AND($G36&gt;0,$H36=0),"pot not shared - no attendance marked",IF(AND($I36&lt;&gt;"",N($I36)&gt;RejectAlarm),"reject rate high",""))</f>
        <v/>
      </c>
      <c r="L36" s="51">
        <f>SUMIFS('Daily Log'!$G$7:$G$377,'Daily Log'!$V$7:$V$377,$A36)</f>
        <v/>
      </c>
      <c r="M36" s="51">
        <f>SUMIFS('Daily Log'!$H$7:$H$377,'Daily Log'!$V$7:$V$377,$A36)</f>
        <v/>
      </c>
      <c r="N36" s="51">
        <f>SUMIFS('Daily Log'!$I$7:$I$377,'Daily Log'!$V$7:$V$377,$A36)</f>
        <v/>
      </c>
      <c r="O36" s="51">
        <f>SUMIFS('Daily Log'!$J$7:$J$377,'Daily Log'!$V$7:$V$377,$A36)</f>
        <v/>
      </c>
      <c r="P36" s="51">
        <f>SUMIFS('Daily Log'!$K$7:$K$377,'Daily Log'!$V$7:$V$377,$A36)</f>
        <v/>
      </c>
      <c r="Q36" s="51">
        <f>SUMIFS('Daily Log'!$L$7:$L$377,'Daily Log'!$V$7:$V$377,$A36)</f>
        <v/>
      </c>
      <c r="R36" s="51">
        <f>SUMIFS('Daily Log'!$M$7:$M$377,'Daily Log'!$V$7:$V$377,$A36)</f>
        <v/>
      </c>
      <c r="S36" s="51">
        <f>SUMIFS('Daily Log'!$N$7:$N$377,'Daily Log'!$V$7:$V$377,$A36)</f>
        <v/>
      </c>
      <c r="T36" s="51">
        <f>SUMIFS('Daily Log'!$O$7:$O$377,'Daily Log'!$V$7:$V$377,$A36)</f>
        <v/>
      </c>
      <c r="U36" s="51">
        <f>SUMIFS('Daily Log'!$P$7:$P$377,'Daily Log'!$V$7:$V$377,$A36)</f>
        <v/>
      </c>
      <c r="V36" s="51">
        <f>SUMIFS('Daily Log'!$Q$7:$Q$377,'Daily Log'!$V$7:$V$377,$A36)</f>
        <v/>
      </c>
      <c r="W36" s="51">
        <f>SUMIFS('Daily Log'!$R$7:$R$377,'Daily Log'!$V$7:$V$377,$A36)</f>
        <v/>
      </c>
      <c r="X36" s="252">
        <f>IF($H36=0,0,ROUND($G36*L36/$H36,0))</f>
        <v/>
      </c>
      <c r="Y36" s="252">
        <f>IF($H36=0,0,ROUND($G36*M36/$H36,0))</f>
        <v/>
      </c>
      <c r="Z36" s="252">
        <f>IF($H36=0,0,ROUND($G36*N36/$H36,0))</f>
        <v/>
      </c>
      <c r="AA36" s="252">
        <f>IF($H36=0,0,ROUND($G36*O36/$H36,0))</f>
        <v/>
      </c>
      <c r="AB36" s="252">
        <f>IF($H36=0,0,ROUND($G36*P36/$H36,0))</f>
        <v/>
      </c>
      <c r="AC36" s="252">
        <f>IF($H36=0,0,ROUND($G36*Q36/$H36,0))</f>
        <v/>
      </c>
      <c r="AD36" s="252">
        <f>IF($H36=0,0,ROUND($G36*R36/$H36,0))</f>
        <v/>
      </c>
      <c r="AE36" s="252">
        <f>IF($H36=0,0,ROUND($G36*S36/$H36,0))</f>
        <v/>
      </c>
      <c r="AF36" s="252">
        <f>IF($H36=0,0,ROUND($G36*T36/$H36,0))</f>
        <v/>
      </c>
      <c r="AG36" s="252">
        <f>IF($H36=0,0,ROUND($G36*U36/$H36,0))</f>
        <v/>
      </c>
      <c r="AH36" s="252">
        <f>IF($H36=0,0,ROUND($G36*V36/$H36,0))</f>
        <v/>
      </c>
      <c r="AI36" s="252">
        <f>IF($H36=0,0,ROUND($G36*W36/$H36,0))</f>
        <v/>
      </c>
      <c r="AJ36" s="252">
        <f>SUM(X36:AI36)</f>
        <v/>
      </c>
      <c r="AK36" s="266">
        <f>$AJ36-$G36</f>
        <v/>
      </c>
      <c r="AL36" s="125" t="n"/>
    </row>
    <row r="37" ht="21" customFormat="1" customHeight="1" s="127">
      <c r="A37" s="308" t="n">
        <v>46475</v>
      </c>
      <c r="B37" s="250">
        <f>$A37+6</f>
        <v/>
      </c>
      <c r="C37" s="179">
        <f>SUMIFS('Daily Log'!$C$7:$C$377,'Daily Log'!$V$7:$V$377,$A37)</f>
        <v/>
      </c>
      <c r="D37" s="179">
        <f>SUMIFS('Daily Log'!$D$7:$D$377,'Daily Log'!$V$7:$V$377,$A37)</f>
        <v/>
      </c>
      <c r="E37" s="179">
        <f>SUMIFS('Daily Log'!$E$7:$E$377,'Daily Log'!$V$7:$V$377,$A37)</f>
        <v/>
      </c>
      <c r="F37" s="179">
        <f>SUMIFS('Daily Log'!$F$7:$F$377,'Daily Log'!$V$7:$V$377,$A37)</f>
        <v/>
      </c>
      <c r="G37" s="252">
        <f>SUMIFS('Daily Log'!$U$7:$U$377,'Daily Log'!$V$7:$V$377,$A37)</f>
        <v/>
      </c>
      <c r="H37" s="179">
        <f>SUMIFS('Daily Log'!$S$7:$S$377,'Daily Log'!$V$7:$V$377,$A37)</f>
        <v/>
      </c>
      <c r="I37" s="280">
        <f>IF($C37=0,"",$D37/$C37)</f>
        <v/>
      </c>
      <c r="J37" s="65">
        <f>IF($H37=0,"",$E37/$H37)</f>
        <v/>
      </c>
      <c r="K37" s="132">
        <f>IF(AND($G37&gt;0,$H37=0),"pot not shared - no attendance marked",IF(AND($I37&lt;&gt;"",N($I37)&gt;RejectAlarm),"reject rate high",""))</f>
        <v/>
      </c>
      <c r="L37" s="51">
        <f>SUMIFS('Daily Log'!$G$7:$G$377,'Daily Log'!$V$7:$V$377,$A37)</f>
        <v/>
      </c>
      <c r="M37" s="51">
        <f>SUMIFS('Daily Log'!$H$7:$H$377,'Daily Log'!$V$7:$V$377,$A37)</f>
        <v/>
      </c>
      <c r="N37" s="51">
        <f>SUMIFS('Daily Log'!$I$7:$I$377,'Daily Log'!$V$7:$V$377,$A37)</f>
        <v/>
      </c>
      <c r="O37" s="51">
        <f>SUMIFS('Daily Log'!$J$7:$J$377,'Daily Log'!$V$7:$V$377,$A37)</f>
        <v/>
      </c>
      <c r="P37" s="51">
        <f>SUMIFS('Daily Log'!$K$7:$K$377,'Daily Log'!$V$7:$V$377,$A37)</f>
        <v/>
      </c>
      <c r="Q37" s="51">
        <f>SUMIFS('Daily Log'!$L$7:$L$377,'Daily Log'!$V$7:$V$377,$A37)</f>
        <v/>
      </c>
      <c r="R37" s="51">
        <f>SUMIFS('Daily Log'!$M$7:$M$377,'Daily Log'!$V$7:$V$377,$A37)</f>
        <v/>
      </c>
      <c r="S37" s="51">
        <f>SUMIFS('Daily Log'!$N$7:$N$377,'Daily Log'!$V$7:$V$377,$A37)</f>
        <v/>
      </c>
      <c r="T37" s="51">
        <f>SUMIFS('Daily Log'!$O$7:$O$377,'Daily Log'!$V$7:$V$377,$A37)</f>
        <v/>
      </c>
      <c r="U37" s="51">
        <f>SUMIFS('Daily Log'!$P$7:$P$377,'Daily Log'!$V$7:$V$377,$A37)</f>
        <v/>
      </c>
      <c r="V37" s="51">
        <f>SUMIFS('Daily Log'!$Q$7:$Q$377,'Daily Log'!$V$7:$V$377,$A37)</f>
        <v/>
      </c>
      <c r="W37" s="51">
        <f>SUMIFS('Daily Log'!$R$7:$R$377,'Daily Log'!$V$7:$V$377,$A37)</f>
        <v/>
      </c>
      <c r="X37" s="252">
        <f>IF($H37=0,0,ROUND($G37*L37/$H37,0))</f>
        <v/>
      </c>
      <c r="Y37" s="252">
        <f>IF($H37=0,0,ROUND($G37*M37/$H37,0))</f>
        <v/>
      </c>
      <c r="Z37" s="252">
        <f>IF($H37=0,0,ROUND($G37*N37/$H37,0))</f>
        <v/>
      </c>
      <c r="AA37" s="252">
        <f>IF($H37=0,0,ROUND($G37*O37/$H37,0))</f>
        <v/>
      </c>
      <c r="AB37" s="252">
        <f>IF($H37=0,0,ROUND($G37*P37/$H37,0))</f>
        <v/>
      </c>
      <c r="AC37" s="252">
        <f>IF($H37=0,0,ROUND($G37*Q37/$H37,0))</f>
        <v/>
      </c>
      <c r="AD37" s="252">
        <f>IF($H37=0,0,ROUND($G37*R37/$H37,0))</f>
        <v/>
      </c>
      <c r="AE37" s="252">
        <f>IF($H37=0,0,ROUND($G37*S37/$H37,0))</f>
        <v/>
      </c>
      <c r="AF37" s="252">
        <f>IF($H37=0,0,ROUND($G37*T37/$H37,0))</f>
        <v/>
      </c>
      <c r="AG37" s="252">
        <f>IF($H37=0,0,ROUND($G37*U37/$H37,0))</f>
        <v/>
      </c>
      <c r="AH37" s="252">
        <f>IF($H37=0,0,ROUND($G37*V37/$H37,0))</f>
        <v/>
      </c>
      <c r="AI37" s="252">
        <f>IF($H37=0,0,ROUND($G37*W37/$H37,0))</f>
        <v/>
      </c>
      <c r="AJ37" s="252">
        <f>SUM(X37:AI37)</f>
        <v/>
      </c>
      <c r="AK37" s="266">
        <f>$AJ37-$G37</f>
        <v/>
      </c>
      <c r="AL37" s="125" t="n"/>
    </row>
    <row r="38" ht="21" customFormat="1" customHeight="1" s="127">
      <c r="A38" s="308" t="n">
        <v>46482</v>
      </c>
      <c r="B38" s="250">
        <f>$A38+6</f>
        <v/>
      </c>
      <c r="C38" s="179">
        <f>SUMIFS('Daily Log'!$C$7:$C$377,'Daily Log'!$V$7:$V$377,$A38)</f>
        <v/>
      </c>
      <c r="D38" s="179">
        <f>SUMIFS('Daily Log'!$D$7:$D$377,'Daily Log'!$V$7:$V$377,$A38)</f>
        <v/>
      </c>
      <c r="E38" s="179">
        <f>SUMIFS('Daily Log'!$E$7:$E$377,'Daily Log'!$V$7:$V$377,$A38)</f>
        <v/>
      </c>
      <c r="F38" s="179">
        <f>SUMIFS('Daily Log'!$F$7:$F$377,'Daily Log'!$V$7:$V$377,$A38)</f>
        <v/>
      </c>
      <c r="G38" s="252">
        <f>SUMIFS('Daily Log'!$U$7:$U$377,'Daily Log'!$V$7:$V$377,$A38)</f>
        <v/>
      </c>
      <c r="H38" s="179">
        <f>SUMIFS('Daily Log'!$S$7:$S$377,'Daily Log'!$V$7:$V$377,$A38)</f>
        <v/>
      </c>
      <c r="I38" s="280">
        <f>IF($C38=0,"",$D38/$C38)</f>
        <v/>
      </c>
      <c r="J38" s="65">
        <f>IF($H38=0,"",$E38/$H38)</f>
        <v/>
      </c>
      <c r="K38" s="132">
        <f>IF(AND($G38&gt;0,$H38=0),"pot not shared - no attendance marked",IF(AND($I38&lt;&gt;"",N($I38)&gt;RejectAlarm),"reject rate high",""))</f>
        <v/>
      </c>
      <c r="L38" s="51">
        <f>SUMIFS('Daily Log'!$G$7:$G$377,'Daily Log'!$V$7:$V$377,$A38)</f>
        <v/>
      </c>
      <c r="M38" s="51">
        <f>SUMIFS('Daily Log'!$H$7:$H$377,'Daily Log'!$V$7:$V$377,$A38)</f>
        <v/>
      </c>
      <c r="N38" s="51">
        <f>SUMIFS('Daily Log'!$I$7:$I$377,'Daily Log'!$V$7:$V$377,$A38)</f>
        <v/>
      </c>
      <c r="O38" s="51">
        <f>SUMIFS('Daily Log'!$J$7:$J$377,'Daily Log'!$V$7:$V$377,$A38)</f>
        <v/>
      </c>
      <c r="P38" s="51">
        <f>SUMIFS('Daily Log'!$K$7:$K$377,'Daily Log'!$V$7:$V$377,$A38)</f>
        <v/>
      </c>
      <c r="Q38" s="51">
        <f>SUMIFS('Daily Log'!$L$7:$L$377,'Daily Log'!$V$7:$V$377,$A38)</f>
        <v/>
      </c>
      <c r="R38" s="51">
        <f>SUMIFS('Daily Log'!$M$7:$M$377,'Daily Log'!$V$7:$V$377,$A38)</f>
        <v/>
      </c>
      <c r="S38" s="51">
        <f>SUMIFS('Daily Log'!$N$7:$N$377,'Daily Log'!$V$7:$V$377,$A38)</f>
        <v/>
      </c>
      <c r="T38" s="51">
        <f>SUMIFS('Daily Log'!$O$7:$O$377,'Daily Log'!$V$7:$V$377,$A38)</f>
        <v/>
      </c>
      <c r="U38" s="51">
        <f>SUMIFS('Daily Log'!$P$7:$P$377,'Daily Log'!$V$7:$V$377,$A38)</f>
        <v/>
      </c>
      <c r="V38" s="51">
        <f>SUMIFS('Daily Log'!$Q$7:$Q$377,'Daily Log'!$V$7:$V$377,$A38)</f>
        <v/>
      </c>
      <c r="W38" s="51">
        <f>SUMIFS('Daily Log'!$R$7:$R$377,'Daily Log'!$V$7:$V$377,$A38)</f>
        <v/>
      </c>
      <c r="X38" s="252">
        <f>IF($H38=0,0,ROUND($G38*L38/$H38,0))</f>
        <v/>
      </c>
      <c r="Y38" s="252">
        <f>IF($H38=0,0,ROUND($G38*M38/$H38,0))</f>
        <v/>
      </c>
      <c r="Z38" s="252">
        <f>IF($H38=0,0,ROUND($G38*N38/$H38,0))</f>
        <v/>
      </c>
      <c r="AA38" s="252">
        <f>IF($H38=0,0,ROUND($G38*O38/$H38,0))</f>
        <v/>
      </c>
      <c r="AB38" s="252">
        <f>IF($H38=0,0,ROUND($G38*P38/$H38,0))</f>
        <v/>
      </c>
      <c r="AC38" s="252">
        <f>IF($H38=0,0,ROUND($G38*Q38/$H38,0))</f>
        <v/>
      </c>
      <c r="AD38" s="252">
        <f>IF($H38=0,0,ROUND($G38*R38/$H38,0))</f>
        <v/>
      </c>
      <c r="AE38" s="252">
        <f>IF($H38=0,0,ROUND($G38*S38/$H38,0))</f>
        <v/>
      </c>
      <c r="AF38" s="252">
        <f>IF($H38=0,0,ROUND($G38*T38/$H38,0))</f>
        <v/>
      </c>
      <c r="AG38" s="252">
        <f>IF($H38=0,0,ROUND($G38*U38/$H38,0))</f>
        <v/>
      </c>
      <c r="AH38" s="252">
        <f>IF($H38=0,0,ROUND($G38*V38/$H38,0))</f>
        <v/>
      </c>
      <c r="AI38" s="252">
        <f>IF($H38=0,0,ROUND($G38*W38/$H38,0))</f>
        <v/>
      </c>
      <c r="AJ38" s="252">
        <f>SUM(X38:AI38)</f>
        <v/>
      </c>
      <c r="AK38" s="266">
        <f>$AJ38-$G38</f>
        <v/>
      </c>
      <c r="AL38" s="125" t="n"/>
    </row>
    <row r="39" ht="21" customFormat="1" customHeight="1" s="127">
      <c r="A39" s="308" t="n">
        <v>46489</v>
      </c>
      <c r="B39" s="250">
        <f>$A39+6</f>
        <v/>
      </c>
      <c r="C39" s="179">
        <f>SUMIFS('Daily Log'!$C$7:$C$377,'Daily Log'!$V$7:$V$377,$A39)</f>
        <v/>
      </c>
      <c r="D39" s="179">
        <f>SUMIFS('Daily Log'!$D$7:$D$377,'Daily Log'!$V$7:$V$377,$A39)</f>
        <v/>
      </c>
      <c r="E39" s="179">
        <f>SUMIFS('Daily Log'!$E$7:$E$377,'Daily Log'!$V$7:$V$377,$A39)</f>
        <v/>
      </c>
      <c r="F39" s="179">
        <f>SUMIFS('Daily Log'!$F$7:$F$377,'Daily Log'!$V$7:$V$377,$A39)</f>
        <v/>
      </c>
      <c r="G39" s="252">
        <f>SUMIFS('Daily Log'!$U$7:$U$377,'Daily Log'!$V$7:$V$377,$A39)</f>
        <v/>
      </c>
      <c r="H39" s="179">
        <f>SUMIFS('Daily Log'!$S$7:$S$377,'Daily Log'!$V$7:$V$377,$A39)</f>
        <v/>
      </c>
      <c r="I39" s="280">
        <f>IF($C39=0,"",$D39/$C39)</f>
        <v/>
      </c>
      <c r="J39" s="65">
        <f>IF($H39=0,"",$E39/$H39)</f>
        <v/>
      </c>
      <c r="K39" s="132">
        <f>IF(AND($G39&gt;0,$H39=0),"pot not shared - no attendance marked",IF(AND($I39&lt;&gt;"",N($I39)&gt;RejectAlarm),"reject rate high",""))</f>
        <v/>
      </c>
      <c r="L39" s="51">
        <f>SUMIFS('Daily Log'!$G$7:$G$377,'Daily Log'!$V$7:$V$377,$A39)</f>
        <v/>
      </c>
      <c r="M39" s="51">
        <f>SUMIFS('Daily Log'!$H$7:$H$377,'Daily Log'!$V$7:$V$377,$A39)</f>
        <v/>
      </c>
      <c r="N39" s="51">
        <f>SUMIFS('Daily Log'!$I$7:$I$377,'Daily Log'!$V$7:$V$377,$A39)</f>
        <v/>
      </c>
      <c r="O39" s="51">
        <f>SUMIFS('Daily Log'!$J$7:$J$377,'Daily Log'!$V$7:$V$377,$A39)</f>
        <v/>
      </c>
      <c r="P39" s="51">
        <f>SUMIFS('Daily Log'!$K$7:$K$377,'Daily Log'!$V$7:$V$377,$A39)</f>
        <v/>
      </c>
      <c r="Q39" s="51">
        <f>SUMIFS('Daily Log'!$L$7:$L$377,'Daily Log'!$V$7:$V$377,$A39)</f>
        <v/>
      </c>
      <c r="R39" s="51">
        <f>SUMIFS('Daily Log'!$M$7:$M$377,'Daily Log'!$V$7:$V$377,$A39)</f>
        <v/>
      </c>
      <c r="S39" s="51">
        <f>SUMIFS('Daily Log'!$N$7:$N$377,'Daily Log'!$V$7:$V$377,$A39)</f>
        <v/>
      </c>
      <c r="T39" s="51">
        <f>SUMIFS('Daily Log'!$O$7:$O$377,'Daily Log'!$V$7:$V$377,$A39)</f>
        <v/>
      </c>
      <c r="U39" s="51">
        <f>SUMIFS('Daily Log'!$P$7:$P$377,'Daily Log'!$V$7:$V$377,$A39)</f>
        <v/>
      </c>
      <c r="V39" s="51">
        <f>SUMIFS('Daily Log'!$Q$7:$Q$377,'Daily Log'!$V$7:$V$377,$A39)</f>
        <v/>
      </c>
      <c r="W39" s="51">
        <f>SUMIFS('Daily Log'!$R$7:$R$377,'Daily Log'!$V$7:$V$377,$A39)</f>
        <v/>
      </c>
      <c r="X39" s="252">
        <f>IF($H39=0,0,ROUND($G39*L39/$H39,0))</f>
        <v/>
      </c>
      <c r="Y39" s="252">
        <f>IF($H39=0,0,ROUND($G39*M39/$H39,0))</f>
        <v/>
      </c>
      <c r="Z39" s="252">
        <f>IF($H39=0,0,ROUND($G39*N39/$H39,0))</f>
        <v/>
      </c>
      <c r="AA39" s="252">
        <f>IF($H39=0,0,ROUND($G39*O39/$H39,0))</f>
        <v/>
      </c>
      <c r="AB39" s="252">
        <f>IF($H39=0,0,ROUND($G39*P39/$H39,0))</f>
        <v/>
      </c>
      <c r="AC39" s="252">
        <f>IF($H39=0,0,ROUND($G39*Q39/$H39,0))</f>
        <v/>
      </c>
      <c r="AD39" s="252">
        <f>IF($H39=0,0,ROUND($G39*R39/$H39,0))</f>
        <v/>
      </c>
      <c r="AE39" s="252">
        <f>IF($H39=0,0,ROUND($G39*S39/$H39,0))</f>
        <v/>
      </c>
      <c r="AF39" s="252">
        <f>IF($H39=0,0,ROUND($G39*T39/$H39,0))</f>
        <v/>
      </c>
      <c r="AG39" s="252">
        <f>IF($H39=0,0,ROUND($G39*U39/$H39,0))</f>
        <v/>
      </c>
      <c r="AH39" s="252">
        <f>IF($H39=0,0,ROUND($G39*V39/$H39,0))</f>
        <v/>
      </c>
      <c r="AI39" s="252">
        <f>IF($H39=0,0,ROUND($G39*W39/$H39,0))</f>
        <v/>
      </c>
      <c r="AJ39" s="252">
        <f>SUM(X39:AI39)</f>
        <v/>
      </c>
      <c r="AK39" s="266">
        <f>$AJ39-$G39</f>
        <v/>
      </c>
      <c r="AL39" s="125" t="n"/>
    </row>
    <row r="40" ht="21" customFormat="1" customHeight="1" s="127">
      <c r="A40" s="308" t="n">
        <v>46496</v>
      </c>
      <c r="B40" s="250">
        <f>$A40+6</f>
        <v/>
      </c>
      <c r="C40" s="179">
        <f>SUMIFS('Daily Log'!$C$7:$C$377,'Daily Log'!$V$7:$V$377,$A40)</f>
        <v/>
      </c>
      <c r="D40" s="179">
        <f>SUMIFS('Daily Log'!$D$7:$D$377,'Daily Log'!$V$7:$V$377,$A40)</f>
        <v/>
      </c>
      <c r="E40" s="179">
        <f>SUMIFS('Daily Log'!$E$7:$E$377,'Daily Log'!$V$7:$V$377,$A40)</f>
        <v/>
      </c>
      <c r="F40" s="179">
        <f>SUMIFS('Daily Log'!$F$7:$F$377,'Daily Log'!$V$7:$V$377,$A40)</f>
        <v/>
      </c>
      <c r="G40" s="252">
        <f>SUMIFS('Daily Log'!$U$7:$U$377,'Daily Log'!$V$7:$V$377,$A40)</f>
        <v/>
      </c>
      <c r="H40" s="179">
        <f>SUMIFS('Daily Log'!$S$7:$S$377,'Daily Log'!$V$7:$V$377,$A40)</f>
        <v/>
      </c>
      <c r="I40" s="280">
        <f>IF($C40=0,"",$D40/$C40)</f>
        <v/>
      </c>
      <c r="J40" s="65">
        <f>IF($H40=0,"",$E40/$H40)</f>
        <v/>
      </c>
      <c r="K40" s="132">
        <f>IF(AND($G40&gt;0,$H40=0),"pot not shared - no attendance marked",IF(AND($I40&lt;&gt;"",N($I40)&gt;RejectAlarm),"reject rate high",""))</f>
        <v/>
      </c>
      <c r="L40" s="51">
        <f>SUMIFS('Daily Log'!$G$7:$G$377,'Daily Log'!$V$7:$V$377,$A40)</f>
        <v/>
      </c>
      <c r="M40" s="51">
        <f>SUMIFS('Daily Log'!$H$7:$H$377,'Daily Log'!$V$7:$V$377,$A40)</f>
        <v/>
      </c>
      <c r="N40" s="51">
        <f>SUMIFS('Daily Log'!$I$7:$I$377,'Daily Log'!$V$7:$V$377,$A40)</f>
        <v/>
      </c>
      <c r="O40" s="51">
        <f>SUMIFS('Daily Log'!$J$7:$J$377,'Daily Log'!$V$7:$V$377,$A40)</f>
        <v/>
      </c>
      <c r="P40" s="51">
        <f>SUMIFS('Daily Log'!$K$7:$K$377,'Daily Log'!$V$7:$V$377,$A40)</f>
        <v/>
      </c>
      <c r="Q40" s="51">
        <f>SUMIFS('Daily Log'!$L$7:$L$377,'Daily Log'!$V$7:$V$377,$A40)</f>
        <v/>
      </c>
      <c r="R40" s="51">
        <f>SUMIFS('Daily Log'!$M$7:$M$377,'Daily Log'!$V$7:$V$377,$A40)</f>
        <v/>
      </c>
      <c r="S40" s="51">
        <f>SUMIFS('Daily Log'!$N$7:$N$377,'Daily Log'!$V$7:$V$377,$A40)</f>
        <v/>
      </c>
      <c r="T40" s="51">
        <f>SUMIFS('Daily Log'!$O$7:$O$377,'Daily Log'!$V$7:$V$377,$A40)</f>
        <v/>
      </c>
      <c r="U40" s="51">
        <f>SUMIFS('Daily Log'!$P$7:$P$377,'Daily Log'!$V$7:$V$377,$A40)</f>
        <v/>
      </c>
      <c r="V40" s="51">
        <f>SUMIFS('Daily Log'!$Q$7:$Q$377,'Daily Log'!$V$7:$V$377,$A40)</f>
        <v/>
      </c>
      <c r="W40" s="51">
        <f>SUMIFS('Daily Log'!$R$7:$R$377,'Daily Log'!$V$7:$V$377,$A40)</f>
        <v/>
      </c>
      <c r="X40" s="252">
        <f>IF($H40=0,0,ROUND($G40*L40/$H40,0))</f>
        <v/>
      </c>
      <c r="Y40" s="252">
        <f>IF($H40=0,0,ROUND($G40*M40/$H40,0))</f>
        <v/>
      </c>
      <c r="Z40" s="252">
        <f>IF($H40=0,0,ROUND($G40*N40/$H40,0))</f>
        <v/>
      </c>
      <c r="AA40" s="252">
        <f>IF($H40=0,0,ROUND($G40*O40/$H40,0))</f>
        <v/>
      </c>
      <c r="AB40" s="252">
        <f>IF($H40=0,0,ROUND($G40*P40/$H40,0))</f>
        <v/>
      </c>
      <c r="AC40" s="252">
        <f>IF($H40=0,0,ROUND($G40*Q40/$H40,0))</f>
        <v/>
      </c>
      <c r="AD40" s="252">
        <f>IF($H40=0,0,ROUND($G40*R40/$H40,0))</f>
        <v/>
      </c>
      <c r="AE40" s="252">
        <f>IF($H40=0,0,ROUND($G40*S40/$H40,0))</f>
        <v/>
      </c>
      <c r="AF40" s="252">
        <f>IF($H40=0,0,ROUND($G40*T40/$H40,0))</f>
        <v/>
      </c>
      <c r="AG40" s="252">
        <f>IF($H40=0,0,ROUND($G40*U40/$H40,0))</f>
        <v/>
      </c>
      <c r="AH40" s="252">
        <f>IF($H40=0,0,ROUND($G40*V40/$H40,0))</f>
        <v/>
      </c>
      <c r="AI40" s="252">
        <f>IF($H40=0,0,ROUND($G40*W40/$H40,0))</f>
        <v/>
      </c>
      <c r="AJ40" s="252">
        <f>SUM(X40:AI40)</f>
        <v/>
      </c>
      <c r="AK40" s="266">
        <f>$AJ40-$G40</f>
        <v/>
      </c>
      <c r="AL40" s="125" t="n"/>
    </row>
    <row r="41" ht="21" customFormat="1" customHeight="1" s="127">
      <c r="A41" s="308" t="n">
        <v>46503</v>
      </c>
      <c r="B41" s="250">
        <f>$A41+6</f>
        <v/>
      </c>
      <c r="C41" s="179">
        <f>SUMIFS('Daily Log'!$C$7:$C$377,'Daily Log'!$V$7:$V$377,$A41)</f>
        <v/>
      </c>
      <c r="D41" s="179">
        <f>SUMIFS('Daily Log'!$D$7:$D$377,'Daily Log'!$V$7:$V$377,$A41)</f>
        <v/>
      </c>
      <c r="E41" s="179">
        <f>SUMIFS('Daily Log'!$E$7:$E$377,'Daily Log'!$V$7:$V$377,$A41)</f>
        <v/>
      </c>
      <c r="F41" s="179">
        <f>SUMIFS('Daily Log'!$F$7:$F$377,'Daily Log'!$V$7:$V$377,$A41)</f>
        <v/>
      </c>
      <c r="G41" s="252">
        <f>SUMIFS('Daily Log'!$U$7:$U$377,'Daily Log'!$V$7:$V$377,$A41)</f>
        <v/>
      </c>
      <c r="H41" s="179">
        <f>SUMIFS('Daily Log'!$S$7:$S$377,'Daily Log'!$V$7:$V$377,$A41)</f>
        <v/>
      </c>
      <c r="I41" s="280">
        <f>IF($C41=0,"",$D41/$C41)</f>
        <v/>
      </c>
      <c r="J41" s="65">
        <f>IF($H41=0,"",$E41/$H41)</f>
        <v/>
      </c>
      <c r="K41" s="132">
        <f>IF(AND($G41&gt;0,$H41=0),"pot not shared - no attendance marked",IF(AND($I41&lt;&gt;"",N($I41)&gt;RejectAlarm),"reject rate high",""))</f>
        <v/>
      </c>
      <c r="L41" s="51">
        <f>SUMIFS('Daily Log'!$G$7:$G$377,'Daily Log'!$V$7:$V$377,$A41)</f>
        <v/>
      </c>
      <c r="M41" s="51">
        <f>SUMIFS('Daily Log'!$H$7:$H$377,'Daily Log'!$V$7:$V$377,$A41)</f>
        <v/>
      </c>
      <c r="N41" s="51">
        <f>SUMIFS('Daily Log'!$I$7:$I$377,'Daily Log'!$V$7:$V$377,$A41)</f>
        <v/>
      </c>
      <c r="O41" s="51">
        <f>SUMIFS('Daily Log'!$J$7:$J$377,'Daily Log'!$V$7:$V$377,$A41)</f>
        <v/>
      </c>
      <c r="P41" s="51">
        <f>SUMIFS('Daily Log'!$K$7:$K$377,'Daily Log'!$V$7:$V$377,$A41)</f>
        <v/>
      </c>
      <c r="Q41" s="51">
        <f>SUMIFS('Daily Log'!$L$7:$L$377,'Daily Log'!$V$7:$V$377,$A41)</f>
        <v/>
      </c>
      <c r="R41" s="51">
        <f>SUMIFS('Daily Log'!$M$7:$M$377,'Daily Log'!$V$7:$V$377,$A41)</f>
        <v/>
      </c>
      <c r="S41" s="51">
        <f>SUMIFS('Daily Log'!$N$7:$N$377,'Daily Log'!$V$7:$V$377,$A41)</f>
        <v/>
      </c>
      <c r="T41" s="51">
        <f>SUMIFS('Daily Log'!$O$7:$O$377,'Daily Log'!$V$7:$V$377,$A41)</f>
        <v/>
      </c>
      <c r="U41" s="51">
        <f>SUMIFS('Daily Log'!$P$7:$P$377,'Daily Log'!$V$7:$V$377,$A41)</f>
        <v/>
      </c>
      <c r="V41" s="51">
        <f>SUMIFS('Daily Log'!$Q$7:$Q$377,'Daily Log'!$V$7:$V$377,$A41)</f>
        <v/>
      </c>
      <c r="W41" s="51">
        <f>SUMIFS('Daily Log'!$R$7:$R$377,'Daily Log'!$V$7:$V$377,$A41)</f>
        <v/>
      </c>
      <c r="X41" s="252">
        <f>IF($H41=0,0,ROUND($G41*L41/$H41,0))</f>
        <v/>
      </c>
      <c r="Y41" s="252">
        <f>IF($H41=0,0,ROUND($G41*M41/$H41,0))</f>
        <v/>
      </c>
      <c r="Z41" s="252">
        <f>IF($H41=0,0,ROUND($G41*N41/$H41,0))</f>
        <v/>
      </c>
      <c r="AA41" s="252">
        <f>IF($H41=0,0,ROUND($G41*O41/$H41,0))</f>
        <v/>
      </c>
      <c r="AB41" s="252">
        <f>IF($H41=0,0,ROUND($G41*P41/$H41,0))</f>
        <v/>
      </c>
      <c r="AC41" s="252">
        <f>IF($H41=0,0,ROUND($G41*Q41/$H41,0))</f>
        <v/>
      </c>
      <c r="AD41" s="252">
        <f>IF($H41=0,0,ROUND($G41*R41/$H41,0))</f>
        <v/>
      </c>
      <c r="AE41" s="252">
        <f>IF($H41=0,0,ROUND($G41*S41/$H41,0))</f>
        <v/>
      </c>
      <c r="AF41" s="252">
        <f>IF($H41=0,0,ROUND($G41*T41/$H41,0))</f>
        <v/>
      </c>
      <c r="AG41" s="252">
        <f>IF($H41=0,0,ROUND($G41*U41/$H41,0))</f>
        <v/>
      </c>
      <c r="AH41" s="252">
        <f>IF($H41=0,0,ROUND($G41*V41/$H41,0))</f>
        <v/>
      </c>
      <c r="AI41" s="252">
        <f>IF($H41=0,0,ROUND($G41*W41/$H41,0))</f>
        <v/>
      </c>
      <c r="AJ41" s="252">
        <f>SUM(X41:AI41)</f>
        <v/>
      </c>
      <c r="AK41" s="266">
        <f>$AJ41-$G41</f>
        <v/>
      </c>
      <c r="AL41" s="125" t="n"/>
    </row>
    <row r="42" ht="21" customFormat="1" customHeight="1" s="127">
      <c r="A42" s="308" t="n">
        <v>46510</v>
      </c>
      <c r="B42" s="250">
        <f>$A42+6</f>
        <v/>
      </c>
      <c r="C42" s="179">
        <f>SUMIFS('Daily Log'!$C$7:$C$377,'Daily Log'!$V$7:$V$377,$A42)</f>
        <v/>
      </c>
      <c r="D42" s="179">
        <f>SUMIFS('Daily Log'!$D$7:$D$377,'Daily Log'!$V$7:$V$377,$A42)</f>
        <v/>
      </c>
      <c r="E42" s="179">
        <f>SUMIFS('Daily Log'!$E$7:$E$377,'Daily Log'!$V$7:$V$377,$A42)</f>
        <v/>
      </c>
      <c r="F42" s="179">
        <f>SUMIFS('Daily Log'!$F$7:$F$377,'Daily Log'!$V$7:$V$377,$A42)</f>
        <v/>
      </c>
      <c r="G42" s="252">
        <f>SUMIFS('Daily Log'!$U$7:$U$377,'Daily Log'!$V$7:$V$377,$A42)</f>
        <v/>
      </c>
      <c r="H42" s="179">
        <f>SUMIFS('Daily Log'!$S$7:$S$377,'Daily Log'!$V$7:$V$377,$A42)</f>
        <v/>
      </c>
      <c r="I42" s="280">
        <f>IF($C42=0,"",$D42/$C42)</f>
        <v/>
      </c>
      <c r="J42" s="65">
        <f>IF($H42=0,"",$E42/$H42)</f>
        <v/>
      </c>
      <c r="K42" s="132">
        <f>IF(AND($G42&gt;0,$H42=0),"pot not shared - no attendance marked",IF(AND($I42&lt;&gt;"",N($I42)&gt;RejectAlarm),"reject rate high",""))</f>
        <v/>
      </c>
      <c r="L42" s="51">
        <f>SUMIFS('Daily Log'!$G$7:$G$377,'Daily Log'!$V$7:$V$377,$A42)</f>
        <v/>
      </c>
      <c r="M42" s="51">
        <f>SUMIFS('Daily Log'!$H$7:$H$377,'Daily Log'!$V$7:$V$377,$A42)</f>
        <v/>
      </c>
      <c r="N42" s="51">
        <f>SUMIFS('Daily Log'!$I$7:$I$377,'Daily Log'!$V$7:$V$377,$A42)</f>
        <v/>
      </c>
      <c r="O42" s="51">
        <f>SUMIFS('Daily Log'!$J$7:$J$377,'Daily Log'!$V$7:$V$377,$A42)</f>
        <v/>
      </c>
      <c r="P42" s="51">
        <f>SUMIFS('Daily Log'!$K$7:$K$377,'Daily Log'!$V$7:$V$377,$A42)</f>
        <v/>
      </c>
      <c r="Q42" s="51">
        <f>SUMIFS('Daily Log'!$L$7:$L$377,'Daily Log'!$V$7:$V$377,$A42)</f>
        <v/>
      </c>
      <c r="R42" s="51">
        <f>SUMIFS('Daily Log'!$M$7:$M$377,'Daily Log'!$V$7:$V$377,$A42)</f>
        <v/>
      </c>
      <c r="S42" s="51">
        <f>SUMIFS('Daily Log'!$N$7:$N$377,'Daily Log'!$V$7:$V$377,$A42)</f>
        <v/>
      </c>
      <c r="T42" s="51">
        <f>SUMIFS('Daily Log'!$O$7:$O$377,'Daily Log'!$V$7:$V$377,$A42)</f>
        <v/>
      </c>
      <c r="U42" s="51">
        <f>SUMIFS('Daily Log'!$P$7:$P$377,'Daily Log'!$V$7:$V$377,$A42)</f>
        <v/>
      </c>
      <c r="V42" s="51">
        <f>SUMIFS('Daily Log'!$Q$7:$Q$377,'Daily Log'!$V$7:$V$377,$A42)</f>
        <v/>
      </c>
      <c r="W42" s="51">
        <f>SUMIFS('Daily Log'!$R$7:$R$377,'Daily Log'!$V$7:$V$377,$A42)</f>
        <v/>
      </c>
      <c r="X42" s="252">
        <f>IF($H42=0,0,ROUND($G42*L42/$H42,0))</f>
        <v/>
      </c>
      <c r="Y42" s="252">
        <f>IF($H42=0,0,ROUND($G42*M42/$H42,0))</f>
        <v/>
      </c>
      <c r="Z42" s="252">
        <f>IF($H42=0,0,ROUND($G42*N42/$H42,0))</f>
        <v/>
      </c>
      <c r="AA42" s="252">
        <f>IF($H42=0,0,ROUND($G42*O42/$H42,0))</f>
        <v/>
      </c>
      <c r="AB42" s="252">
        <f>IF($H42=0,0,ROUND($G42*P42/$H42,0))</f>
        <v/>
      </c>
      <c r="AC42" s="252">
        <f>IF($H42=0,0,ROUND($G42*Q42/$H42,0))</f>
        <v/>
      </c>
      <c r="AD42" s="252">
        <f>IF($H42=0,0,ROUND($G42*R42/$H42,0))</f>
        <v/>
      </c>
      <c r="AE42" s="252">
        <f>IF($H42=0,0,ROUND($G42*S42/$H42,0))</f>
        <v/>
      </c>
      <c r="AF42" s="252">
        <f>IF($H42=0,0,ROUND($G42*T42/$H42,0))</f>
        <v/>
      </c>
      <c r="AG42" s="252">
        <f>IF($H42=0,0,ROUND($G42*U42/$H42,0))</f>
        <v/>
      </c>
      <c r="AH42" s="252">
        <f>IF($H42=0,0,ROUND($G42*V42/$H42,0))</f>
        <v/>
      </c>
      <c r="AI42" s="252">
        <f>IF($H42=0,0,ROUND($G42*W42/$H42,0))</f>
        <v/>
      </c>
      <c r="AJ42" s="252">
        <f>SUM(X42:AI42)</f>
        <v/>
      </c>
      <c r="AK42" s="266">
        <f>$AJ42-$G42</f>
        <v/>
      </c>
      <c r="AL42" s="125" t="n"/>
    </row>
    <row r="43" ht="21" customFormat="1" customHeight="1" s="127">
      <c r="A43" s="308" t="n">
        <v>46517</v>
      </c>
      <c r="B43" s="250">
        <f>$A43+6</f>
        <v/>
      </c>
      <c r="C43" s="179">
        <f>SUMIFS('Daily Log'!$C$7:$C$377,'Daily Log'!$V$7:$V$377,$A43)</f>
        <v/>
      </c>
      <c r="D43" s="179">
        <f>SUMIFS('Daily Log'!$D$7:$D$377,'Daily Log'!$V$7:$V$377,$A43)</f>
        <v/>
      </c>
      <c r="E43" s="179">
        <f>SUMIFS('Daily Log'!$E$7:$E$377,'Daily Log'!$V$7:$V$377,$A43)</f>
        <v/>
      </c>
      <c r="F43" s="179">
        <f>SUMIFS('Daily Log'!$F$7:$F$377,'Daily Log'!$V$7:$V$377,$A43)</f>
        <v/>
      </c>
      <c r="G43" s="252">
        <f>SUMIFS('Daily Log'!$U$7:$U$377,'Daily Log'!$V$7:$V$377,$A43)</f>
        <v/>
      </c>
      <c r="H43" s="179">
        <f>SUMIFS('Daily Log'!$S$7:$S$377,'Daily Log'!$V$7:$V$377,$A43)</f>
        <v/>
      </c>
      <c r="I43" s="280">
        <f>IF($C43=0,"",$D43/$C43)</f>
        <v/>
      </c>
      <c r="J43" s="65">
        <f>IF($H43=0,"",$E43/$H43)</f>
        <v/>
      </c>
      <c r="K43" s="132">
        <f>IF(AND($G43&gt;0,$H43=0),"pot not shared - no attendance marked",IF(AND($I43&lt;&gt;"",N($I43)&gt;RejectAlarm),"reject rate high",""))</f>
        <v/>
      </c>
      <c r="L43" s="51">
        <f>SUMIFS('Daily Log'!$G$7:$G$377,'Daily Log'!$V$7:$V$377,$A43)</f>
        <v/>
      </c>
      <c r="M43" s="51">
        <f>SUMIFS('Daily Log'!$H$7:$H$377,'Daily Log'!$V$7:$V$377,$A43)</f>
        <v/>
      </c>
      <c r="N43" s="51">
        <f>SUMIFS('Daily Log'!$I$7:$I$377,'Daily Log'!$V$7:$V$377,$A43)</f>
        <v/>
      </c>
      <c r="O43" s="51">
        <f>SUMIFS('Daily Log'!$J$7:$J$377,'Daily Log'!$V$7:$V$377,$A43)</f>
        <v/>
      </c>
      <c r="P43" s="51">
        <f>SUMIFS('Daily Log'!$K$7:$K$377,'Daily Log'!$V$7:$V$377,$A43)</f>
        <v/>
      </c>
      <c r="Q43" s="51">
        <f>SUMIFS('Daily Log'!$L$7:$L$377,'Daily Log'!$V$7:$V$377,$A43)</f>
        <v/>
      </c>
      <c r="R43" s="51">
        <f>SUMIFS('Daily Log'!$M$7:$M$377,'Daily Log'!$V$7:$V$377,$A43)</f>
        <v/>
      </c>
      <c r="S43" s="51">
        <f>SUMIFS('Daily Log'!$N$7:$N$377,'Daily Log'!$V$7:$V$377,$A43)</f>
        <v/>
      </c>
      <c r="T43" s="51">
        <f>SUMIFS('Daily Log'!$O$7:$O$377,'Daily Log'!$V$7:$V$377,$A43)</f>
        <v/>
      </c>
      <c r="U43" s="51">
        <f>SUMIFS('Daily Log'!$P$7:$P$377,'Daily Log'!$V$7:$V$377,$A43)</f>
        <v/>
      </c>
      <c r="V43" s="51">
        <f>SUMIFS('Daily Log'!$Q$7:$Q$377,'Daily Log'!$V$7:$V$377,$A43)</f>
        <v/>
      </c>
      <c r="W43" s="51">
        <f>SUMIFS('Daily Log'!$R$7:$R$377,'Daily Log'!$V$7:$V$377,$A43)</f>
        <v/>
      </c>
      <c r="X43" s="252">
        <f>IF($H43=0,0,ROUND($G43*L43/$H43,0))</f>
        <v/>
      </c>
      <c r="Y43" s="252">
        <f>IF($H43=0,0,ROUND($G43*M43/$H43,0))</f>
        <v/>
      </c>
      <c r="Z43" s="252">
        <f>IF($H43=0,0,ROUND($G43*N43/$H43,0))</f>
        <v/>
      </c>
      <c r="AA43" s="252">
        <f>IF($H43=0,0,ROUND($G43*O43/$H43,0))</f>
        <v/>
      </c>
      <c r="AB43" s="252">
        <f>IF($H43=0,0,ROUND($G43*P43/$H43,0))</f>
        <v/>
      </c>
      <c r="AC43" s="252">
        <f>IF($H43=0,0,ROUND($G43*Q43/$H43,0))</f>
        <v/>
      </c>
      <c r="AD43" s="252">
        <f>IF($H43=0,0,ROUND($G43*R43/$H43,0))</f>
        <v/>
      </c>
      <c r="AE43" s="252">
        <f>IF($H43=0,0,ROUND($G43*S43/$H43,0))</f>
        <v/>
      </c>
      <c r="AF43" s="252">
        <f>IF($H43=0,0,ROUND($G43*T43/$H43,0))</f>
        <v/>
      </c>
      <c r="AG43" s="252">
        <f>IF($H43=0,0,ROUND($G43*U43/$H43,0))</f>
        <v/>
      </c>
      <c r="AH43" s="252">
        <f>IF($H43=0,0,ROUND($G43*V43/$H43,0))</f>
        <v/>
      </c>
      <c r="AI43" s="252">
        <f>IF($H43=0,0,ROUND($G43*W43/$H43,0))</f>
        <v/>
      </c>
      <c r="AJ43" s="252">
        <f>SUM(X43:AI43)</f>
        <v/>
      </c>
      <c r="AK43" s="266">
        <f>$AJ43-$G43</f>
        <v/>
      </c>
      <c r="AL43" s="125" t="n"/>
    </row>
    <row r="44" ht="21" customFormat="1" customHeight="1" s="127">
      <c r="A44" s="308" t="n">
        <v>46524</v>
      </c>
      <c r="B44" s="250">
        <f>$A44+6</f>
        <v/>
      </c>
      <c r="C44" s="179">
        <f>SUMIFS('Daily Log'!$C$7:$C$377,'Daily Log'!$V$7:$V$377,$A44)</f>
        <v/>
      </c>
      <c r="D44" s="179">
        <f>SUMIFS('Daily Log'!$D$7:$D$377,'Daily Log'!$V$7:$V$377,$A44)</f>
        <v/>
      </c>
      <c r="E44" s="179">
        <f>SUMIFS('Daily Log'!$E$7:$E$377,'Daily Log'!$V$7:$V$377,$A44)</f>
        <v/>
      </c>
      <c r="F44" s="179">
        <f>SUMIFS('Daily Log'!$F$7:$F$377,'Daily Log'!$V$7:$V$377,$A44)</f>
        <v/>
      </c>
      <c r="G44" s="252">
        <f>SUMIFS('Daily Log'!$U$7:$U$377,'Daily Log'!$V$7:$V$377,$A44)</f>
        <v/>
      </c>
      <c r="H44" s="179">
        <f>SUMIFS('Daily Log'!$S$7:$S$377,'Daily Log'!$V$7:$V$377,$A44)</f>
        <v/>
      </c>
      <c r="I44" s="280">
        <f>IF($C44=0,"",$D44/$C44)</f>
        <v/>
      </c>
      <c r="J44" s="65">
        <f>IF($H44=0,"",$E44/$H44)</f>
        <v/>
      </c>
      <c r="K44" s="132">
        <f>IF(AND($G44&gt;0,$H44=0),"pot not shared - no attendance marked",IF(AND($I44&lt;&gt;"",N($I44)&gt;RejectAlarm),"reject rate high",""))</f>
        <v/>
      </c>
      <c r="L44" s="51">
        <f>SUMIFS('Daily Log'!$G$7:$G$377,'Daily Log'!$V$7:$V$377,$A44)</f>
        <v/>
      </c>
      <c r="M44" s="51">
        <f>SUMIFS('Daily Log'!$H$7:$H$377,'Daily Log'!$V$7:$V$377,$A44)</f>
        <v/>
      </c>
      <c r="N44" s="51">
        <f>SUMIFS('Daily Log'!$I$7:$I$377,'Daily Log'!$V$7:$V$377,$A44)</f>
        <v/>
      </c>
      <c r="O44" s="51">
        <f>SUMIFS('Daily Log'!$J$7:$J$377,'Daily Log'!$V$7:$V$377,$A44)</f>
        <v/>
      </c>
      <c r="P44" s="51">
        <f>SUMIFS('Daily Log'!$K$7:$K$377,'Daily Log'!$V$7:$V$377,$A44)</f>
        <v/>
      </c>
      <c r="Q44" s="51">
        <f>SUMIFS('Daily Log'!$L$7:$L$377,'Daily Log'!$V$7:$V$377,$A44)</f>
        <v/>
      </c>
      <c r="R44" s="51">
        <f>SUMIFS('Daily Log'!$M$7:$M$377,'Daily Log'!$V$7:$V$377,$A44)</f>
        <v/>
      </c>
      <c r="S44" s="51">
        <f>SUMIFS('Daily Log'!$N$7:$N$377,'Daily Log'!$V$7:$V$377,$A44)</f>
        <v/>
      </c>
      <c r="T44" s="51">
        <f>SUMIFS('Daily Log'!$O$7:$O$377,'Daily Log'!$V$7:$V$377,$A44)</f>
        <v/>
      </c>
      <c r="U44" s="51">
        <f>SUMIFS('Daily Log'!$P$7:$P$377,'Daily Log'!$V$7:$V$377,$A44)</f>
        <v/>
      </c>
      <c r="V44" s="51">
        <f>SUMIFS('Daily Log'!$Q$7:$Q$377,'Daily Log'!$V$7:$V$377,$A44)</f>
        <v/>
      </c>
      <c r="W44" s="51">
        <f>SUMIFS('Daily Log'!$R$7:$R$377,'Daily Log'!$V$7:$V$377,$A44)</f>
        <v/>
      </c>
      <c r="X44" s="252">
        <f>IF($H44=0,0,ROUND($G44*L44/$H44,0))</f>
        <v/>
      </c>
      <c r="Y44" s="252">
        <f>IF($H44=0,0,ROUND($G44*M44/$H44,0))</f>
        <v/>
      </c>
      <c r="Z44" s="252">
        <f>IF($H44=0,0,ROUND($G44*N44/$H44,0))</f>
        <v/>
      </c>
      <c r="AA44" s="252">
        <f>IF($H44=0,0,ROUND($G44*O44/$H44,0))</f>
        <v/>
      </c>
      <c r="AB44" s="252">
        <f>IF($H44=0,0,ROUND($G44*P44/$H44,0))</f>
        <v/>
      </c>
      <c r="AC44" s="252">
        <f>IF($H44=0,0,ROUND($G44*Q44/$H44,0))</f>
        <v/>
      </c>
      <c r="AD44" s="252">
        <f>IF($H44=0,0,ROUND($G44*R44/$H44,0))</f>
        <v/>
      </c>
      <c r="AE44" s="252">
        <f>IF($H44=0,0,ROUND($G44*S44/$H44,0))</f>
        <v/>
      </c>
      <c r="AF44" s="252">
        <f>IF($H44=0,0,ROUND($G44*T44/$H44,0))</f>
        <v/>
      </c>
      <c r="AG44" s="252">
        <f>IF($H44=0,0,ROUND($G44*U44/$H44,0))</f>
        <v/>
      </c>
      <c r="AH44" s="252">
        <f>IF($H44=0,0,ROUND($G44*V44/$H44,0))</f>
        <v/>
      </c>
      <c r="AI44" s="252">
        <f>IF($H44=0,0,ROUND($G44*W44/$H44,0))</f>
        <v/>
      </c>
      <c r="AJ44" s="252">
        <f>SUM(X44:AI44)</f>
        <v/>
      </c>
      <c r="AK44" s="266">
        <f>$AJ44-$G44</f>
        <v/>
      </c>
      <c r="AL44" s="125" t="n"/>
    </row>
    <row r="45" ht="21" customFormat="1" customHeight="1" s="127">
      <c r="A45" s="308" t="n">
        <v>46531</v>
      </c>
      <c r="B45" s="250">
        <f>$A45+6</f>
        <v/>
      </c>
      <c r="C45" s="179">
        <f>SUMIFS('Daily Log'!$C$7:$C$377,'Daily Log'!$V$7:$V$377,$A45)</f>
        <v/>
      </c>
      <c r="D45" s="179">
        <f>SUMIFS('Daily Log'!$D$7:$D$377,'Daily Log'!$V$7:$V$377,$A45)</f>
        <v/>
      </c>
      <c r="E45" s="179">
        <f>SUMIFS('Daily Log'!$E$7:$E$377,'Daily Log'!$V$7:$V$377,$A45)</f>
        <v/>
      </c>
      <c r="F45" s="179">
        <f>SUMIFS('Daily Log'!$F$7:$F$377,'Daily Log'!$V$7:$V$377,$A45)</f>
        <v/>
      </c>
      <c r="G45" s="252">
        <f>SUMIFS('Daily Log'!$U$7:$U$377,'Daily Log'!$V$7:$V$377,$A45)</f>
        <v/>
      </c>
      <c r="H45" s="179">
        <f>SUMIFS('Daily Log'!$S$7:$S$377,'Daily Log'!$V$7:$V$377,$A45)</f>
        <v/>
      </c>
      <c r="I45" s="280">
        <f>IF($C45=0,"",$D45/$C45)</f>
        <v/>
      </c>
      <c r="J45" s="65">
        <f>IF($H45=0,"",$E45/$H45)</f>
        <v/>
      </c>
      <c r="K45" s="132">
        <f>IF(AND($G45&gt;0,$H45=0),"pot not shared - no attendance marked",IF(AND($I45&lt;&gt;"",N($I45)&gt;RejectAlarm),"reject rate high",""))</f>
        <v/>
      </c>
      <c r="L45" s="51">
        <f>SUMIFS('Daily Log'!$G$7:$G$377,'Daily Log'!$V$7:$V$377,$A45)</f>
        <v/>
      </c>
      <c r="M45" s="51">
        <f>SUMIFS('Daily Log'!$H$7:$H$377,'Daily Log'!$V$7:$V$377,$A45)</f>
        <v/>
      </c>
      <c r="N45" s="51">
        <f>SUMIFS('Daily Log'!$I$7:$I$377,'Daily Log'!$V$7:$V$377,$A45)</f>
        <v/>
      </c>
      <c r="O45" s="51">
        <f>SUMIFS('Daily Log'!$J$7:$J$377,'Daily Log'!$V$7:$V$377,$A45)</f>
        <v/>
      </c>
      <c r="P45" s="51">
        <f>SUMIFS('Daily Log'!$K$7:$K$377,'Daily Log'!$V$7:$V$377,$A45)</f>
        <v/>
      </c>
      <c r="Q45" s="51">
        <f>SUMIFS('Daily Log'!$L$7:$L$377,'Daily Log'!$V$7:$V$377,$A45)</f>
        <v/>
      </c>
      <c r="R45" s="51">
        <f>SUMIFS('Daily Log'!$M$7:$M$377,'Daily Log'!$V$7:$V$377,$A45)</f>
        <v/>
      </c>
      <c r="S45" s="51">
        <f>SUMIFS('Daily Log'!$N$7:$N$377,'Daily Log'!$V$7:$V$377,$A45)</f>
        <v/>
      </c>
      <c r="T45" s="51">
        <f>SUMIFS('Daily Log'!$O$7:$O$377,'Daily Log'!$V$7:$V$377,$A45)</f>
        <v/>
      </c>
      <c r="U45" s="51">
        <f>SUMIFS('Daily Log'!$P$7:$P$377,'Daily Log'!$V$7:$V$377,$A45)</f>
        <v/>
      </c>
      <c r="V45" s="51">
        <f>SUMIFS('Daily Log'!$Q$7:$Q$377,'Daily Log'!$V$7:$V$377,$A45)</f>
        <v/>
      </c>
      <c r="W45" s="51">
        <f>SUMIFS('Daily Log'!$R$7:$R$377,'Daily Log'!$V$7:$V$377,$A45)</f>
        <v/>
      </c>
      <c r="X45" s="252">
        <f>IF($H45=0,0,ROUND($G45*L45/$H45,0))</f>
        <v/>
      </c>
      <c r="Y45" s="252">
        <f>IF($H45=0,0,ROUND($G45*M45/$H45,0))</f>
        <v/>
      </c>
      <c r="Z45" s="252">
        <f>IF($H45=0,0,ROUND($G45*N45/$H45,0))</f>
        <v/>
      </c>
      <c r="AA45" s="252">
        <f>IF($H45=0,0,ROUND($G45*O45/$H45,0))</f>
        <v/>
      </c>
      <c r="AB45" s="252">
        <f>IF($H45=0,0,ROUND($G45*P45/$H45,0))</f>
        <v/>
      </c>
      <c r="AC45" s="252">
        <f>IF($H45=0,0,ROUND($G45*Q45/$H45,0))</f>
        <v/>
      </c>
      <c r="AD45" s="252">
        <f>IF($H45=0,0,ROUND($G45*R45/$H45,0))</f>
        <v/>
      </c>
      <c r="AE45" s="252">
        <f>IF($H45=0,0,ROUND($G45*S45/$H45,0))</f>
        <v/>
      </c>
      <c r="AF45" s="252">
        <f>IF($H45=0,0,ROUND($G45*T45/$H45,0))</f>
        <v/>
      </c>
      <c r="AG45" s="252">
        <f>IF($H45=0,0,ROUND($G45*U45/$H45,0))</f>
        <v/>
      </c>
      <c r="AH45" s="252">
        <f>IF($H45=0,0,ROUND($G45*V45/$H45,0))</f>
        <v/>
      </c>
      <c r="AI45" s="252">
        <f>IF($H45=0,0,ROUND($G45*W45/$H45,0))</f>
        <v/>
      </c>
      <c r="AJ45" s="252">
        <f>SUM(X45:AI45)</f>
        <v/>
      </c>
      <c r="AK45" s="266">
        <f>$AJ45-$G45</f>
        <v/>
      </c>
      <c r="AL45" s="125" t="n"/>
    </row>
    <row r="46" ht="21" customFormat="1" customHeight="1" s="127">
      <c r="A46" s="308" t="n">
        <v>46538</v>
      </c>
      <c r="B46" s="250">
        <f>$A46+6</f>
        <v/>
      </c>
      <c r="C46" s="179">
        <f>SUMIFS('Daily Log'!$C$7:$C$377,'Daily Log'!$V$7:$V$377,$A46)</f>
        <v/>
      </c>
      <c r="D46" s="179">
        <f>SUMIFS('Daily Log'!$D$7:$D$377,'Daily Log'!$V$7:$V$377,$A46)</f>
        <v/>
      </c>
      <c r="E46" s="179">
        <f>SUMIFS('Daily Log'!$E$7:$E$377,'Daily Log'!$V$7:$V$377,$A46)</f>
        <v/>
      </c>
      <c r="F46" s="179">
        <f>SUMIFS('Daily Log'!$F$7:$F$377,'Daily Log'!$V$7:$V$377,$A46)</f>
        <v/>
      </c>
      <c r="G46" s="252">
        <f>SUMIFS('Daily Log'!$U$7:$U$377,'Daily Log'!$V$7:$V$377,$A46)</f>
        <v/>
      </c>
      <c r="H46" s="179">
        <f>SUMIFS('Daily Log'!$S$7:$S$377,'Daily Log'!$V$7:$V$377,$A46)</f>
        <v/>
      </c>
      <c r="I46" s="280">
        <f>IF($C46=0,"",$D46/$C46)</f>
        <v/>
      </c>
      <c r="J46" s="65">
        <f>IF($H46=0,"",$E46/$H46)</f>
        <v/>
      </c>
      <c r="K46" s="132">
        <f>IF(AND($G46&gt;0,$H46=0),"pot not shared - no attendance marked",IF(AND($I46&lt;&gt;"",N($I46)&gt;RejectAlarm),"reject rate high",""))</f>
        <v/>
      </c>
      <c r="L46" s="51">
        <f>SUMIFS('Daily Log'!$G$7:$G$377,'Daily Log'!$V$7:$V$377,$A46)</f>
        <v/>
      </c>
      <c r="M46" s="51">
        <f>SUMIFS('Daily Log'!$H$7:$H$377,'Daily Log'!$V$7:$V$377,$A46)</f>
        <v/>
      </c>
      <c r="N46" s="51">
        <f>SUMIFS('Daily Log'!$I$7:$I$377,'Daily Log'!$V$7:$V$377,$A46)</f>
        <v/>
      </c>
      <c r="O46" s="51">
        <f>SUMIFS('Daily Log'!$J$7:$J$377,'Daily Log'!$V$7:$V$377,$A46)</f>
        <v/>
      </c>
      <c r="P46" s="51">
        <f>SUMIFS('Daily Log'!$K$7:$K$377,'Daily Log'!$V$7:$V$377,$A46)</f>
        <v/>
      </c>
      <c r="Q46" s="51">
        <f>SUMIFS('Daily Log'!$L$7:$L$377,'Daily Log'!$V$7:$V$377,$A46)</f>
        <v/>
      </c>
      <c r="R46" s="51">
        <f>SUMIFS('Daily Log'!$M$7:$M$377,'Daily Log'!$V$7:$V$377,$A46)</f>
        <v/>
      </c>
      <c r="S46" s="51">
        <f>SUMIFS('Daily Log'!$N$7:$N$377,'Daily Log'!$V$7:$V$377,$A46)</f>
        <v/>
      </c>
      <c r="T46" s="51">
        <f>SUMIFS('Daily Log'!$O$7:$O$377,'Daily Log'!$V$7:$V$377,$A46)</f>
        <v/>
      </c>
      <c r="U46" s="51">
        <f>SUMIFS('Daily Log'!$P$7:$P$377,'Daily Log'!$V$7:$V$377,$A46)</f>
        <v/>
      </c>
      <c r="V46" s="51">
        <f>SUMIFS('Daily Log'!$Q$7:$Q$377,'Daily Log'!$V$7:$V$377,$A46)</f>
        <v/>
      </c>
      <c r="W46" s="51">
        <f>SUMIFS('Daily Log'!$R$7:$R$377,'Daily Log'!$V$7:$V$377,$A46)</f>
        <v/>
      </c>
      <c r="X46" s="252">
        <f>IF($H46=0,0,ROUND($G46*L46/$H46,0))</f>
        <v/>
      </c>
      <c r="Y46" s="252">
        <f>IF($H46=0,0,ROUND($G46*M46/$H46,0))</f>
        <v/>
      </c>
      <c r="Z46" s="252">
        <f>IF($H46=0,0,ROUND($G46*N46/$H46,0))</f>
        <v/>
      </c>
      <c r="AA46" s="252">
        <f>IF($H46=0,0,ROUND($G46*O46/$H46,0))</f>
        <v/>
      </c>
      <c r="AB46" s="252">
        <f>IF($H46=0,0,ROUND($G46*P46/$H46,0))</f>
        <v/>
      </c>
      <c r="AC46" s="252">
        <f>IF($H46=0,0,ROUND($G46*Q46/$H46,0))</f>
        <v/>
      </c>
      <c r="AD46" s="252">
        <f>IF($H46=0,0,ROUND($G46*R46/$H46,0))</f>
        <v/>
      </c>
      <c r="AE46" s="252">
        <f>IF($H46=0,0,ROUND($G46*S46/$H46,0))</f>
        <v/>
      </c>
      <c r="AF46" s="252">
        <f>IF($H46=0,0,ROUND($G46*T46/$H46,0))</f>
        <v/>
      </c>
      <c r="AG46" s="252">
        <f>IF($H46=0,0,ROUND($G46*U46/$H46,0))</f>
        <v/>
      </c>
      <c r="AH46" s="252">
        <f>IF($H46=0,0,ROUND($G46*V46/$H46,0))</f>
        <v/>
      </c>
      <c r="AI46" s="252">
        <f>IF($H46=0,0,ROUND($G46*W46/$H46,0))</f>
        <v/>
      </c>
      <c r="AJ46" s="252">
        <f>SUM(X46:AI46)</f>
        <v/>
      </c>
      <c r="AK46" s="266">
        <f>$AJ46-$G46</f>
        <v/>
      </c>
      <c r="AL46" s="125" t="n"/>
    </row>
    <row r="47" ht="21" customFormat="1" customHeight="1" s="127">
      <c r="A47" s="308" t="n">
        <v>46545</v>
      </c>
      <c r="B47" s="250">
        <f>$A47+6</f>
        <v/>
      </c>
      <c r="C47" s="179">
        <f>SUMIFS('Daily Log'!$C$7:$C$377,'Daily Log'!$V$7:$V$377,$A47)</f>
        <v/>
      </c>
      <c r="D47" s="179">
        <f>SUMIFS('Daily Log'!$D$7:$D$377,'Daily Log'!$V$7:$V$377,$A47)</f>
        <v/>
      </c>
      <c r="E47" s="179">
        <f>SUMIFS('Daily Log'!$E$7:$E$377,'Daily Log'!$V$7:$V$377,$A47)</f>
        <v/>
      </c>
      <c r="F47" s="179">
        <f>SUMIFS('Daily Log'!$F$7:$F$377,'Daily Log'!$V$7:$V$377,$A47)</f>
        <v/>
      </c>
      <c r="G47" s="252">
        <f>SUMIFS('Daily Log'!$U$7:$U$377,'Daily Log'!$V$7:$V$377,$A47)</f>
        <v/>
      </c>
      <c r="H47" s="179">
        <f>SUMIFS('Daily Log'!$S$7:$S$377,'Daily Log'!$V$7:$V$377,$A47)</f>
        <v/>
      </c>
      <c r="I47" s="280">
        <f>IF($C47=0,"",$D47/$C47)</f>
        <v/>
      </c>
      <c r="J47" s="65">
        <f>IF($H47=0,"",$E47/$H47)</f>
        <v/>
      </c>
      <c r="K47" s="132">
        <f>IF(AND($G47&gt;0,$H47=0),"pot not shared - no attendance marked",IF(AND($I47&lt;&gt;"",N($I47)&gt;RejectAlarm),"reject rate high",""))</f>
        <v/>
      </c>
      <c r="L47" s="51">
        <f>SUMIFS('Daily Log'!$G$7:$G$377,'Daily Log'!$V$7:$V$377,$A47)</f>
        <v/>
      </c>
      <c r="M47" s="51">
        <f>SUMIFS('Daily Log'!$H$7:$H$377,'Daily Log'!$V$7:$V$377,$A47)</f>
        <v/>
      </c>
      <c r="N47" s="51">
        <f>SUMIFS('Daily Log'!$I$7:$I$377,'Daily Log'!$V$7:$V$377,$A47)</f>
        <v/>
      </c>
      <c r="O47" s="51">
        <f>SUMIFS('Daily Log'!$J$7:$J$377,'Daily Log'!$V$7:$V$377,$A47)</f>
        <v/>
      </c>
      <c r="P47" s="51">
        <f>SUMIFS('Daily Log'!$K$7:$K$377,'Daily Log'!$V$7:$V$377,$A47)</f>
        <v/>
      </c>
      <c r="Q47" s="51">
        <f>SUMIFS('Daily Log'!$L$7:$L$377,'Daily Log'!$V$7:$V$377,$A47)</f>
        <v/>
      </c>
      <c r="R47" s="51">
        <f>SUMIFS('Daily Log'!$M$7:$M$377,'Daily Log'!$V$7:$V$377,$A47)</f>
        <v/>
      </c>
      <c r="S47" s="51">
        <f>SUMIFS('Daily Log'!$N$7:$N$377,'Daily Log'!$V$7:$V$377,$A47)</f>
        <v/>
      </c>
      <c r="T47" s="51">
        <f>SUMIFS('Daily Log'!$O$7:$O$377,'Daily Log'!$V$7:$V$377,$A47)</f>
        <v/>
      </c>
      <c r="U47" s="51">
        <f>SUMIFS('Daily Log'!$P$7:$P$377,'Daily Log'!$V$7:$V$377,$A47)</f>
        <v/>
      </c>
      <c r="V47" s="51">
        <f>SUMIFS('Daily Log'!$Q$7:$Q$377,'Daily Log'!$V$7:$V$377,$A47)</f>
        <v/>
      </c>
      <c r="W47" s="51">
        <f>SUMIFS('Daily Log'!$R$7:$R$377,'Daily Log'!$V$7:$V$377,$A47)</f>
        <v/>
      </c>
      <c r="X47" s="252">
        <f>IF($H47=0,0,ROUND($G47*L47/$H47,0))</f>
        <v/>
      </c>
      <c r="Y47" s="252">
        <f>IF($H47=0,0,ROUND($G47*M47/$H47,0))</f>
        <v/>
      </c>
      <c r="Z47" s="252">
        <f>IF($H47=0,0,ROUND($G47*N47/$H47,0))</f>
        <v/>
      </c>
      <c r="AA47" s="252">
        <f>IF($H47=0,0,ROUND($G47*O47/$H47,0))</f>
        <v/>
      </c>
      <c r="AB47" s="252">
        <f>IF($H47=0,0,ROUND($G47*P47/$H47,0))</f>
        <v/>
      </c>
      <c r="AC47" s="252">
        <f>IF($H47=0,0,ROUND($G47*Q47/$H47,0))</f>
        <v/>
      </c>
      <c r="AD47" s="252">
        <f>IF($H47=0,0,ROUND($G47*R47/$H47,0))</f>
        <v/>
      </c>
      <c r="AE47" s="252">
        <f>IF($H47=0,0,ROUND($G47*S47/$H47,0))</f>
        <v/>
      </c>
      <c r="AF47" s="252">
        <f>IF($H47=0,0,ROUND($G47*T47/$H47,0))</f>
        <v/>
      </c>
      <c r="AG47" s="252">
        <f>IF($H47=0,0,ROUND($G47*U47/$H47,0))</f>
        <v/>
      </c>
      <c r="AH47" s="252">
        <f>IF($H47=0,0,ROUND($G47*V47/$H47,0))</f>
        <v/>
      </c>
      <c r="AI47" s="252">
        <f>IF($H47=0,0,ROUND($G47*W47/$H47,0))</f>
        <v/>
      </c>
      <c r="AJ47" s="252">
        <f>SUM(X47:AI47)</f>
        <v/>
      </c>
      <c r="AK47" s="266">
        <f>$AJ47-$G47</f>
        <v/>
      </c>
      <c r="AL47" s="125" t="n"/>
    </row>
    <row r="48" ht="21" customFormat="1" customHeight="1" s="127">
      <c r="A48" s="308" t="n">
        <v>46552</v>
      </c>
      <c r="B48" s="250">
        <f>$A48+6</f>
        <v/>
      </c>
      <c r="C48" s="179">
        <f>SUMIFS('Daily Log'!$C$7:$C$377,'Daily Log'!$V$7:$V$377,$A48)</f>
        <v/>
      </c>
      <c r="D48" s="179">
        <f>SUMIFS('Daily Log'!$D$7:$D$377,'Daily Log'!$V$7:$V$377,$A48)</f>
        <v/>
      </c>
      <c r="E48" s="179">
        <f>SUMIFS('Daily Log'!$E$7:$E$377,'Daily Log'!$V$7:$V$377,$A48)</f>
        <v/>
      </c>
      <c r="F48" s="179">
        <f>SUMIFS('Daily Log'!$F$7:$F$377,'Daily Log'!$V$7:$V$377,$A48)</f>
        <v/>
      </c>
      <c r="G48" s="252">
        <f>SUMIFS('Daily Log'!$U$7:$U$377,'Daily Log'!$V$7:$V$377,$A48)</f>
        <v/>
      </c>
      <c r="H48" s="179">
        <f>SUMIFS('Daily Log'!$S$7:$S$377,'Daily Log'!$V$7:$V$377,$A48)</f>
        <v/>
      </c>
      <c r="I48" s="280">
        <f>IF($C48=0,"",$D48/$C48)</f>
        <v/>
      </c>
      <c r="J48" s="65">
        <f>IF($H48=0,"",$E48/$H48)</f>
        <v/>
      </c>
      <c r="K48" s="132">
        <f>IF(AND($G48&gt;0,$H48=0),"pot not shared - no attendance marked",IF(AND($I48&lt;&gt;"",N($I48)&gt;RejectAlarm),"reject rate high",""))</f>
        <v/>
      </c>
      <c r="L48" s="51">
        <f>SUMIFS('Daily Log'!$G$7:$G$377,'Daily Log'!$V$7:$V$377,$A48)</f>
        <v/>
      </c>
      <c r="M48" s="51">
        <f>SUMIFS('Daily Log'!$H$7:$H$377,'Daily Log'!$V$7:$V$377,$A48)</f>
        <v/>
      </c>
      <c r="N48" s="51">
        <f>SUMIFS('Daily Log'!$I$7:$I$377,'Daily Log'!$V$7:$V$377,$A48)</f>
        <v/>
      </c>
      <c r="O48" s="51">
        <f>SUMIFS('Daily Log'!$J$7:$J$377,'Daily Log'!$V$7:$V$377,$A48)</f>
        <v/>
      </c>
      <c r="P48" s="51">
        <f>SUMIFS('Daily Log'!$K$7:$K$377,'Daily Log'!$V$7:$V$377,$A48)</f>
        <v/>
      </c>
      <c r="Q48" s="51">
        <f>SUMIFS('Daily Log'!$L$7:$L$377,'Daily Log'!$V$7:$V$377,$A48)</f>
        <v/>
      </c>
      <c r="R48" s="51">
        <f>SUMIFS('Daily Log'!$M$7:$M$377,'Daily Log'!$V$7:$V$377,$A48)</f>
        <v/>
      </c>
      <c r="S48" s="51">
        <f>SUMIFS('Daily Log'!$N$7:$N$377,'Daily Log'!$V$7:$V$377,$A48)</f>
        <v/>
      </c>
      <c r="T48" s="51">
        <f>SUMIFS('Daily Log'!$O$7:$O$377,'Daily Log'!$V$7:$V$377,$A48)</f>
        <v/>
      </c>
      <c r="U48" s="51">
        <f>SUMIFS('Daily Log'!$P$7:$P$377,'Daily Log'!$V$7:$V$377,$A48)</f>
        <v/>
      </c>
      <c r="V48" s="51">
        <f>SUMIFS('Daily Log'!$Q$7:$Q$377,'Daily Log'!$V$7:$V$377,$A48)</f>
        <v/>
      </c>
      <c r="W48" s="51">
        <f>SUMIFS('Daily Log'!$R$7:$R$377,'Daily Log'!$V$7:$V$377,$A48)</f>
        <v/>
      </c>
      <c r="X48" s="252">
        <f>IF($H48=0,0,ROUND($G48*L48/$H48,0))</f>
        <v/>
      </c>
      <c r="Y48" s="252">
        <f>IF($H48=0,0,ROUND($G48*M48/$H48,0))</f>
        <v/>
      </c>
      <c r="Z48" s="252">
        <f>IF($H48=0,0,ROUND($G48*N48/$H48,0))</f>
        <v/>
      </c>
      <c r="AA48" s="252">
        <f>IF($H48=0,0,ROUND($G48*O48/$H48,0))</f>
        <v/>
      </c>
      <c r="AB48" s="252">
        <f>IF($H48=0,0,ROUND($G48*P48/$H48,0))</f>
        <v/>
      </c>
      <c r="AC48" s="252">
        <f>IF($H48=0,0,ROUND($G48*Q48/$H48,0))</f>
        <v/>
      </c>
      <c r="AD48" s="252">
        <f>IF($H48=0,0,ROUND($G48*R48/$H48,0))</f>
        <v/>
      </c>
      <c r="AE48" s="252">
        <f>IF($H48=0,0,ROUND($G48*S48/$H48,0))</f>
        <v/>
      </c>
      <c r="AF48" s="252">
        <f>IF($H48=0,0,ROUND($G48*T48/$H48,0))</f>
        <v/>
      </c>
      <c r="AG48" s="252">
        <f>IF($H48=0,0,ROUND($G48*U48/$H48,0))</f>
        <v/>
      </c>
      <c r="AH48" s="252">
        <f>IF($H48=0,0,ROUND($G48*V48/$H48,0))</f>
        <v/>
      </c>
      <c r="AI48" s="252">
        <f>IF($H48=0,0,ROUND($G48*W48/$H48,0))</f>
        <v/>
      </c>
      <c r="AJ48" s="252">
        <f>SUM(X48:AI48)</f>
        <v/>
      </c>
      <c r="AK48" s="266">
        <f>$AJ48-$G48</f>
        <v/>
      </c>
      <c r="AL48" s="125" t="n"/>
    </row>
    <row r="49" ht="21" customFormat="1" customHeight="1" s="127">
      <c r="A49" s="308" t="n">
        <v>46559</v>
      </c>
      <c r="B49" s="250">
        <f>$A49+6</f>
        <v/>
      </c>
      <c r="C49" s="179">
        <f>SUMIFS('Daily Log'!$C$7:$C$377,'Daily Log'!$V$7:$V$377,$A49)</f>
        <v/>
      </c>
      <c r="D49" s="179">
        <f>SUMIFS('Daily Log'!$D$7:$D$377,'Daily Log'!$V$7:$V$377,$A49)</f>
        <v/>
      </c>
      <c r="E49" s="179">
        <f>SUMIFS('Daily Log'!$E$7:$E$377,'Daily Log'!$V$7:$V$377,$A49)</f>
        <v/>
      </c>
      <c r="F49" s="179">
        <f>SUMIFS('Daily Log'!$F$7:$F$377,'Daily Log'!$V$7:$V$377,$A49)</f>
        <v/>
      </c>
      <c r="G49" s="252">
        <f>SUMIFS('Daily Log'!$U$7:$U$377,'Daily Log'!$V$7:$V$377,$A49)</f>
        <v/>
      </c>
      <c r="H49" s="179">
        <f>SUMIFS('Daily Log'!$S$7:$S$377,'Daily Log'!$V$7:$V$377,$A49)</f>
        <v/>
      </c>
      <c r="I49" s="280">
        <f>IF($C49=0,"",$D49/$C49)</f>
        <v/>
      </c>
      <c r="J49" s="65">
        <f>IF($H49=0,"",$E49/$H49)</f>
        <v/>
      </c>
      <c r="K49" s="132">
        <f>IF(AND($G49&gt;0,$H49=0),"pot not shared - no attendance marked",IF(AND($I49&lt;&gt;"",N($I49)&gt;RejectAlarm),"reject rate high",""))</f>
        <v/>
      </c>
      <c r="L49" s="51">
        <f>SUMIFS('Daily Log'!$G$7:$G$377,'Daily Log'!$V$7:$V$377,$A49)</f>
        <v/>
      </c>
      <c r="M49" s="51">
        <f>SUMIFS('Daily Log'!$H$7:$H$377,'Daily Log'!$V$7:$V$377,$A49)</f>
        <v/>
      </c>
      <c r="N49" s="51">
        <f>SUMIFS('Daily Log'!$I$7:$I$377,'Daily Log'!$V$7:$V$377,$A49)</f>
        <v/>
      </c>
      <c r="O49" s="51">
        <f>SUMIFS('Daily Log'!$J$7:$J$377,'Daily Log'!$V$7:$V$377,$A49)</f>
        <v/>
      </c>
      <c r="P49" s="51">
        <f>SUMIFS('Daily Log'!$K$7:$K$377,'Daily Log'!$V$7:$V$377,$A49)</f>
        <v/>
      </c>
      <c r="Q49" s="51">
        <f>SUMIFS('Daily Log'!$L$7:$L$377,'Daily Log'!$V$7:$V$377,$A49)</f>
        <v/>
      </c>
      <c r="R49" s="51">
        <f>SUMIFS('Daily Log'!$M$7:$M$377,'Daily Log'!$V$7:$V$377,$A49)</f>
        <v/>
      </c>
      <c r="S49" s="51">
        <f>SUMIFS('Daily Log'!$N$7:$N$377,'Daily Log'!$V$7:$V$377,$A49)</f>
        <v/>
      </c>
      <c r="T49" s="51">
        <f>SUMIFS('Daily Log'!$O$7:$O$377,'Daily Log'!$V$7:$V$377,$A49)</f>
        <v/>
      </c>
      <c r="U49" s="51">
        <f>SUMIFS('Daily Log'!$P$7:$P$377,'Daily Log'!$V$7:$V$377,$A49)</f>
        <v/>
      </c>
      <c r="V49" s="51">
        <f>SUMIFS('Daily Log'!$Q$7:$Q$377,'Daily Log'!$V$7:$V$377,$A49)</f>
        <v/>
      </c>
      <c r="W49" s="51">
        <f>SUMIFS('Daily Log'!$R$7:$R$377,'Daily Log'!$V$7:$V$377,$A49)</f>
        <v/>
      </c>
      <c r="X49" s="252">
        <f>IF($H49=0,0,ROUND($G49*L49/$H49,0))</f>
        <v/>
      </c>
      <c r="Y49" s="252">
        <f>IF($H49=0,0,ROUND($G49*M49/$H49,0))</f>
        <v/>
      </c>
      <c r="Z49" s="252">
        <f>IF($H49=0,0,ROUND($G49*N49/$H49,0))</f>
        <v/>
      </c>
      <c r="AA49" s="252">
        <f>IF($H49=0,0,ROUND($G49*O49/$H49,0))</f>
        <v/>
      </c>
      <c r="AB49" s="252">
        <f>IF($H49=0,0,ROUND($G49*P49/$H49,0))</f>
        <v/>
      </c>
      <c r="AC49" s="252">
        <f>IF($H49=0,0,ROUND($G49*Q49/$H49,0))</f>
        <v/>
      </c>
      <c r="AD49" s="252">
        <f>IF($H49=0,0,ROUND($G49*R49/$H49,0))</f>
        <v/>
      </c>
      <c r="AE49" s="252">
        <f>IF($H49=0,0,ROUND($G49*S49/$H49,0))</f>
        <v/>
      </c>
      <c r="AF49" s="252">
        <f>IF($H49=0,0,ROUND($G49*T49/$H49,0))</f>
        <v/>
      </c>
      <c r="AG49" s="252">
        <f>IF($H49=0,0,ROUND($G49*U49/$H49,0))</f>
        <v/>
      </c>
      <c r="AH49" s="252">
        <f>IF($H49=0,0,ROUND($G49*V49/$H49,0))</f>
        <v/>
      </c>
      <c r="AI49" s="252">
        <f>IF($H49=0,0,ROUND($G49*W49/$H49,0))</f>
        <v/>
      </c>
      <c r="AJ49" s="252">
        <f>SUM(X49:AI49)</f>
        <v/>
      </c>
      <c r="AK49" s="266">
        <f>$AJ49-$G49</f>
        <v/>
      </c>
      <c r="AL49" s="125" t="n"/>
    </row>
    <row r="50" ht="21" customFormat="1" customHeight="1" s="127">
      <c r="A50" s="308" t="n">
        <v>46566</v>
      </c>
      <c r="B50" s="250">
        <f>$A50+6</f>
        <v/>
      </c>
      <c r="C50" s="179">
        <f>SUMIFS('Daily Log'!$C$7:$C$377,'Daily Log'!$V$7:$V$377,$A50)</f>
        <v/>
      </c>
      <c r="D50" s="179">
        <f>SUMIFS('Daily Log'!$D$7:$D$377,'Daily Log'!$V$7:$V$377,$A50)</f>
        <v/>
      </c>
      <c r="E50" s="179">
        <f>SUMIFS('Daily Log'!$E$7:$E$377,'Daily Log'!$V$7:$V$377,$A50)</f>
        <v/>
      </c>
      <c r="F50" s="179">
        <f>SUMIFS('Daily Log'!$F$7:$F$377,'Daily Log'!$V$7:$V$377,$A50)</f>
        <v/>
      </c>
      <c r="G50" s="252">
        <f>SUMIFS('Daily Log'!$U$7:$U$377,'Daily Log'!$V$7:$V$377,$A50)</f>
        <v/>
      </c>
      <c r="H50" s="179">
        <f>SUMIFS('Daily Log'!$S$7:$S$377,'Daily Log'!$V$7:$V$377,$A50)</f>
        <v/>
      </c>
      <c r="I50" s="280">
        <f>IF($C50=0,"",$D50/$C50)</f>
        <v/>
      </c>
      <c r="J50" s="65">
        <f>IF($H50=0,"",$E50/$H50)</f>
        <v/>
      </c>
      <c r="K50" s="132">
        <f>IF(AND($G50&gt;0,$H50=0),"pot not shared - no attendance marked",IF(AND($I50&lt;&gt;"",N($I50)&gt;RejectAlarm),"reject rate high",""))</f>
        <v/>
      </c>
      <c r="L50" s="51">
        <f>SUMIFS('Daily Log'!$G$7:$G$377,'Daily Log'!$V$7:$V$377,$A50)</f>
        <v/>
      </c>
      <c r="M50" s="51">
        <f>SUMIFS('Daily Log'!$H$7:$H$377,'Daily Log'!$V$7:$V$377,$A50)</f>
        <v/>
      </c>
      <c r="N50" s="51">
        <f>SUMIFS('Daily Log'!$I$7:$I$377,'Daily Log'!$V$7:$V$377,$A50)</f>
        <v/>
      </c>
      <c r="O50" s="51">
        <f>SUMIFS('Daily Log'!$J$7:$J$377,'Daily Log'!$V$7:$V$377,$A50)</f>
        <v/>
      </c>
      <c r="P50" s="51">
        <f>SUMIFS('Daily Log'!$K$7:$K$377,'Daily Log'!$V$7:$V$377,$A50)</f>
        <v/>
      </c>
      <c r="Q50" s="51">
        <f>SUMIFS('Daily Log'!$L$7:$L$377,'Daily Log'!$V$7:$V$377,$A50)</f>
        <v/>
      </c>
      <c r="R50" s="51">
        <f>SUMIFS('Daily Log'!$M$7:$M$377,'Daily Log'!$V$7:$V$377,$A50)</f>
        <v/>
      </c>
      <c r="S50" s="51">
        <f>SUMIFS('Daily Log'!$N$7:$N$377,'Daily Log'!$V$7:$V$377,$A50)</f>
        <v/>
      </c>
      <c r="T50" s="51">
        <f>SUMIFS('Daily Log'!$O$7:$O$377,'Daily Log'!$V$7:$V$377,$A50)</f>
        <v/>
      </c>
      <c r="U50" s="51">
        <f>SUMIFS('Daily Log'!$P$7:$P$377,'Daily Log'!$V$7:$V$377,$A50)</f>
        <v/>
      </c>
      <c r="V50" s="51">
        <f>SUMIFS('Daily Log'!$Q$7:$Q$377,'Daily Log'!$V$7:$V$377,$A50)</f>
        <v/>
      </c>
      <c r="W50" s="51">
        <f>SUMIFS('Daily Log'!$R$7:$R$377,'Daily Log'!$V$7:$V$377,$A50)</f>
        <v/>
      </c>
      <c r="X50" s="252">
        <f>IF($H50=0,0,ROUND($G50*L50/$H50,0))</f>
        <v/>
      </c>
      <c r="Y50" s="252">
        <f>IF($H50=0,0,ROUND($G50*M50/$H50,0))</f>
        <v/>
      </c>
      <c r="Z50" s="252">
        <f>IF($H50=0,0,ROUND($G50*N50/$H50,0))</f>
        <v/>
      </c>
      <c r="AA50" s="252">
        <f>IF($H50=0,0,ROUND($G50*O50/$H50,0))</f>
        <v/>
      </c>
      <c r="AB50" s="252">
        <f>IF($H50=0,0,ROUND($G50*P50/$H50,0))</f>
        <v/>
      </c>
      <c r="AC50" s="252">
        <f>IF($H50=0,0,ROUND($G50*Q50/$H50,0))</f>
        <v/>
      </c>
      <c r="AD50" s="252">
        <f>IF($H50=0,0,ROUND($G50*R50/$H50,0))</f>
        <v/>
      </c>
      <c r="AE50" s="252">
        <f>IF($H50=0,0,ROUND($G50*S50/$H50,0))</f>
        <v/>
      </c>
      <c r="AF50" s="252">
        <f>IF($H50=0,0,ROUND($G50*T50/$H50,0))</f>
        <v/>
      </c>
      <c r="AG50" s="252">
        <f>IF($H50=0,0,ROUND($G50*U50/$H50,0))</f>
        <v/>
      </c>
      <c r="AH50" s="252">
        <f>IF($H50=0,0,ROUND($G50*V50/$H50,0))</f>
        <v/>
      </c>
      <c r="AI50" s="252">
        <f>IF($H50=0,0,ROUND($G50*W50/$H50,0))</f>
        <v/>
      </c>
      <c r="AJ50" s="252">
        <f>SUM(X50:AI50)</f>
        <v/>
      </c>
      <c r="AK50" s="266">
        <f>$AJ50-$G50</f>
        <v/>
      </c>
      <c r="AL50" s="125" t="n"/>
    </row>
    <row r="51" ht="21" customFormat="1" customHeight="1" s="127">
      <c r="A51" s="308" t="n">
        <v>46573</v>
      </c>
      <c r="B51" s="250">
        <f>$A51+6</f>
        <v/>
      </c>
      <c r="C51" s="179">
        <f>SUMIFS('Daily Log'!$C$7:$C$377,'Daily Log'!$V$7:$V$377,$A51)</f>
        <v/>
      </c>
      <c r="D51" s="179">
        <f>SUMIFS('Daily Log'!$D$7:$D$377,'Daily Log'!$V$7:$V$377,$A51)</f>
        <v/>
      </c>
      <c r="E51" s="179">
        <f>SUMIFS('Daily Log'!$E$7:$E$377,'Daily Log'!$V$7:$V$377,$A51)</f>
        <v/>
      </c>
      <c r="F51" s="179">
        <f>SUMIFS('Daily Log'!$F$7:$F$377,'Daily Log'!$V$7:$V$377,$A51)</f>
        <v/>
      </c>
      <c r="G51" s="252">
        <f>SUMIFS('Daily Log'!$U$7:$U$377,'Daily Log'!$V$7:$V$377,$A51)</f>
        <v/>
      </c>
      <c r="H51" s="179">
        <f>SUMIFS('Daily Log'!$S$7:$S$377,'Daily Log'!$V$7:$V$377,$A51)</f>
        <v/>
      </c>
      <c r="I51" s="280">
        <f>IF($C51=0,"",$D51/$C51)</f>
        <v/>
      </c>
      <c r="J51" s="65">
        <f>IF($H51=0,"",$E51/$H51)</f>
        <v/>
      </c>
      <c r="K51" s="132">
        <f>IF(AND($G51&gt;0,$H51=0),"pot not shared - no attendance marked",IF(AND($I51&lt;&gt;"",N($I51)&gt;RejectAlarm),"reject rate high",""))</f>
        <v/>
      </c>
      <c r="L51" s="51">
        <f>SUMIFS('Daily Log'!$G$7:$G$377,'Daily Log'!$V$7:$V$377,$A51)</f>
        <v/>
      </c>
      <c r="M51" s="51">
        <f>SUMIFS('Daily Log'!$H$7:$H$377,'Daily Log'!$V$7:$V$377,$A51)</f>
        <v/>
      </c>
      <c r="N51" s="51">
        <f>SUMIFS('Daily Log'!$I$7:$I$377,'Daily Log'!$V$7:$V$377,$A51)</f>
        <v/>
      </c>
      <c r="O51" s="51">
        <f>SUMIFS('Daily Log'!$J$7:$J$377,'Daily Log'!$V$7:$V$377,$A51)</f>
        <v/>
      </c>
      <c r="P51" s="51">
        <f>SUMIFS('Daily Log'!$K$7:$K$377,'Daily Log'!$V$7:$V$377,$A51)</f>
        <v/>
      </c>
      <c r="Q51" s="51">
        <f>SUMIFS('Daily Log'!$L$7:$L$377,'Daily Log'!$V$7:$V$377,$A51)</f>
        <v/>
      </c>
      <c r="R51" s="51">
        <f>SUMIFS('Daily Log'!$M$7:$M$377,'Daily Log'!$V$7:$V$377,$A51)</f>
        <v/>
      </c>
      <c r="S51" s="51">
        <f>SUMIFS('Daily Log'!$N$7:$N$377,'Daily Log'!$V$7:$V$377,$A51)</f>
        <v/>
      </c>
      <c r="T51" s="51">
        <f>SUMIFS('Daily Log'!$O$7:$O$377,'Daily Log'!$V$7:$V$377,$A51)</f>
        <v/>
      </c>
      <c r="U51" s="51">
        <f>SUMIFS('Daily Log'!$P$7:$P$377,'Daily Log'!$V$7:$V$377,$A51)</f>
        <v/>
      </c>
      <c r="V51" s="51">
        <f>SUMIFS('Daily Log'!$Q$7:$Q$377,'Daily Log'!$V$7:$V$377,$A51)</f>
        <v/>
      </c>
      <c r="W51" s="51">
        <f>SUMIFS('Daily Log'!$R$7:$R$377,'Daily Log'!$V$7:$V$377,$A51)</f>
        <v/>
      </c>
      <c r="X51" s="252">
        <f>IF($H51=0,0,ROUND($G51*L51/$H51,0))</f>
        <v/>
      </c>
      <c r="Y51" s="252">
        <f>IF($H51=0,0,ROUND($G51*M51/$H51,0))</f>
        <v/>
      </c>
      <c r="Z51" s="252">
        <f>IF($H51=0,0,ROUND($G51*N51/$H51,0))</f>
        <v/>
      </c>
      <c r="AA51" s="252">
        <f>IF($H51=0,0,ROUND($G51*O51/$H51,0))</f>
        <v/>
      </c>
      <c r="AB51" s="252">
        <f>IF($H51=0,0,ROUND($G51*P51/$H51,0))</f>
        <v/>
      </c>
      <c r="AC51" s="252">
        <f>IF($H51=0,0,ROUND($G51*Q51/$H51,0))</f>
        <v/>
      </c>
      <c r="AD51" s="252">
        <f>IF($H51=0,0,ROUND($G51*R51/$H51,0))</f>
        <v/>
      </c>
      <c r="AE51" s="252">
        <f>IF($H51=0,0,ROUND($G51*S51/$H51,0))</f>
        <v/>
      </c>
      <c r="AF51" s="252">
        <f>IF($H51=0,0,ROUND($G51*T51/$H51,0))</f>
        <v/>
      </c>
      <c r="AG51" s="252">
        <f>IF($H51=0,0,ROUND($G51*U51/$H51,0))</f>
        <v/>
      </c>
      <c r="AH51" s="252">
        <f>IF($H51=0,0,ROUND($G51*V51/$H51,0))</f>
        <v/>
      </c>
      <c r="AI51" s="252">
        <f>IF($H51=0,0,ROUND($G51*W51/$H51,0))</f>
        <v/>
      </c>
      <c r="AJ51" s="252">
        <f>SUM(X51:AI51)</f>
        <v/>
      </c>
      <c r="AK51" s="266">
        <f>$AJ51-$G51</f>
        <v/>
      </c>
      <c r="AL51" s="125" t="n"/>
    </row>
    <row r="52" ht="21" customFormat="1" customHeight="1" s="127">
      <c r="A52" s="308" t="n">
        <v>46580</v>
      </c>
      <c r="B52" s="250">
        <f>$A52+6</f>
        <v/>
      </c>
      <c r="C52" s="179">
        <f>SUMIFS('Daily Log'!$C$7:$C$377,'Daily Log'!$V$7:$V$377,$A52)</f>
        <v/>
      </c>
      <c r="D52" s="179">
        <f>SUMIFS('Daily Log'!$D$7:$D$377,'Daily Log'!$V$7:$V$377,$A52)</f>
        <v/>
      </c>
      <c r="E52" s="179">
        <f>SUMIFS('Daily Log'!$E$7:$E$377,'Daily Log'!$V$7:$V$377,$A52)</f>
        <v/>
      </c>
      <c r="F52" s="179">
        <f>SUMIFS('Daily Log'!$F$7:$F$377,'Daily Log'!$V$7:$V$377,$A52)</f>
        <v/>
      </c>
      <c r="G52" s="252">
        <f>SUMIFS('Daily Log'!$U$7:$U$377,'Daily Log'!$V$7:$V$377,$A52)</f>
        <v/>
      </c>
      <c r="H52" s="179">
        <f>SUMIFS('Daily Log'!$S$7:$S$377,'Daily Log'!$V$7:$V$377,$A52)</f>
        <v/>
      </c>
      <c r="I52" s="280">
        <f>IF($C52=0,"",$D52/$C52)</f>
        <v/>
      </c>
      <c r="J52" s="65">
        <f>IF($H52=0,"",$E52/$H52)</f>
        <v/>
      </c>
      <c r="K52" s="132">
        <f>IF(AND($G52&gt;0,$H52=0),"pot not shared - no attendance marked",IF(AND($I52&lt;&gt;"",N($I52)&gt;RejectAlarm),"reject rate high",""))</f>
        <v/>
      </c>
      <c r="L52" s="51">
        <f>SUMIFS('Daily Log'!$G$7:$G$377,'Daily Log'!$V$7:$V$377,$A52)</f>
        <v/>
      </c>
      <c r="M52" s="51">
        <f>SUMIFS('Daily Log'!$H$7:$H$377,'Daily Log'!$V$7:$V$377,$A52)</f>
        <v/>
      </c>
      <c r="N52" s="51">
        <f>SUMIFS('Daily Log'!$I$7:$I$377,'Daily Log'!$V$7:$V$377,$A52)</f>
        <v/>
      </c>
      <c r="O52" s="51">
        <f>SUMIFS('Daily Log'!$J$7:$J$377,'Daily Log'!$V$7:$V$377,$A52)</f>
        <v/>
      </c>
      <c r="P52" s="51">
        <f>SUMIFS('Daily Log'!$K$7:$K$377,'Daily Log'!$V$7:$V$377,$A52)</f>
        <v/>
      </c>
      <c r="Q52" s="51">
        <f>SUMIFS('Daily Log'!$L$7:$L$377,'Daily Log'!$V$7:$V$377,$A52)</f>
        <v/>
      </c>
      <c r="R52" s="51">
        <f>SUMIFS('Daily Log'!$M$7:$M$377,'Daily Log'!$V$7:$V$377,$A52)</f>
        <v/>
      </c>
      <c r="S52" s="51">
        <f>SUMIFS('Daily Log'!$N$7:$N$377,'Daily Log'!$V$7:$V$377,$A52)</f>
        <v/>
      </c>
      <c r="T52" s="51">
        <f>SUMIFS('Daily Log'!$O$7:$O$377,'Daily Log'!$V$7:$V$377,$A52)</f>
        <v/>
      </c>
      <c r="U52" s="51">
        <f>SUMIFS('Daily Log'!$P$7:$P$377,'Daily Log'!$V$7:$V$377,$A52)</f>
        <v/>
      </c>
      <c r="V52" s="51">
        <f>SUMIFS('Daily Log'!$Q$7:$Q$377,'Daily Log'!$V$7:$V$377,$A52)</f>
        <v/>
      </c>
      <c r="W52" s="51">
        <f>SUMIFS('Daily Log'!$R$7:$R$377,'Daily Log'!$V$7:$V$377,$A52)</f>
        <v/>
      </c>
      <c r="X52" s="252">
        <f>IF($H52=0,0,ROUND($G52*L52/$H52,0))</f>
        <v/>
      </c>
      <c r="Y52" s="252">
        <f>IF($H52=0,0,ROUND($G52*M52/$H52,0))</f>
        <v/>
      </c>
      <c r="Z52" s="252">
        <f>IF($H52=0,0,ROUND($G52*N52/$H52,0))</f>
        <v/>
      </c>
      <c r="AA52" s="252">
        <f>IF($H52=0,0,ROUND($G52*O52/$H52,0))</f>
        <v/>
      </c>
      <c r="AB52" s="252">
        <f>IF($H52=0,0,ROUND($G52*P52/$H52,0))</f>
        <v/>
      </c>
      <c r="AC52" s="252">
        <f>IF($H52=0,0,ROUND($G52*Q52/$H52,0))</f>
        <v/>
      </c>
      <c r="AD52" s="252">
        <f>IF($H52=0,0,ROUND($G52*R52/$H52,0))</f>
        <v/>
      </c>
      <c r="AE52" s="252">
        <f>IF($H52=0,0,ROUND($G52*S52/$H52,0))</f>
        <v/>
      </c>
      <c r="AF52" s="252">
        <f>IF($H52=0,0,ROUND($G52*T52/$H52,0))</f>
        <v/>
      </c>
      <c r="AG52" s="252">
        <f>IF($H52=0,0,ROUND($G52*U52/$H52,0))</f>
        <v/>
      </c>
      <c r="AH52" s="252">
        <f>IF($H52=0,0,ROUND($G52*V52/$H52,0))</f>
        <v/>
      </c>
      <c r="AI52" s="252">
        <f>IF($H52=0,0,ROUND($G52*W52/$H52,0))</f>
        <v/>
      </c>
      <c r="AJ52" s="252">
        <f>SUM(X52:AI52)</f>
        <v/>
      </c>
      <c r="AK52" s="266">
        <f>$AJ52-$G52</f>
        <v/>
      </c>
      <c r="AL52" s="125" t="n"/>
    </row>
    <row r="53" ht="21" customFormat="1" customHeight="1" s="127">
      <c r="A53" s="308" t="n">
        <v>46587</v>
      </c>
      <c r="B53" s="250">
        <f>$A53+6</f>
        <v/>
      </c>
      <c r="C53" s="179">
        <f>SUMIFS('Daily Log'!$C$7:$C$377,'Daily Log'!$V$7:$V$377,$A53)</f>
        <v/>
      </c>
      <c r="D53" s="179">
        <f>SUMIFS('Daily Log'!$D$7:$D$377,'Daily Log'!$V$7:$V$377,$A53)</f>
        <v/>
      </c>
      <c r="E53" s="179">
        <f>SUMIFS('Daily Log'!$E$7:$E$377,'Daily Log'!$V$7:$V$377,$A53)</f>
        <v/>
      </c>
      <c r="F53" s="179">
        <f>SUMIFS('Daily Log'!$F$7:$F$377,'Daily Log'!$V$7:$V$377,$A53)</f>
        <v/>
      </c>
      <c r="G53" s="252">
        <f>SUMIFS('Daily Log'!$U$7:$U$377,'Daily Log'!$V$7:$V$377,$A53)</f>
        <v/>
      </c>
      <c r="H53" s="179">
        <f>SUMIFS('Daily Log'!$S$7:$S$377,'Daily Log'!$V$7:$V$377,$A53)</f>
        <v/>
      </c>
      <c r="I53" s="280">
        <f>IF($C53=0,"",$D53/$C53)</f>
        <v/>
      </c>
      <c r="J53" s="65">
        <f>IF($H53=0,"",$E53/$H53)</f>
        <v/>
      </c>
      <c r="K53" s="132">
        <f>IF(AND($G53&gt;0,$H53=0),"pot not shared - no attendance marked",IF(AND($I53&lt;&gt;"",N($I53)&gt;RejectAlarm),"reject rate high",""))</f>
        <v/>
      </c>
      <c r="L53" s="51">
        <f>SUMIFS('Daily Log'!$G$7:$G$377,'Daily Log'!$V$7:$V$377,$A53)</f>
        <v/>
      </c>
      <c r="M53" s="51">
        <f>SUMIFS('Daily Log'!$H$7:$H$377,'Daily Log'!$V$7:$V$377,$A53)</f>
        <v/>
      </c>
      <c r="N53" s="51">
        <f>SUMIFS('Daily Log'!$I$7:$I$377,'Daily Log'!$V$7:$V$377,$A53)</f>
        <v/>
      </c>
      <c r="O53" s="51">
        <f>SUMIFS('Daily Log'!$J$7:$J$377,'Daily Log'!$V$7:$V$377,$A53)</f>
        <v/>
      </c>
      <c r="P53" s="51">
        <f>SUMIFS('Daily Log'!$K$7:$K$377,'Daily Log'!$V$7:$V$377,$A53)</f>
        <v/>
      </c>
      <c r="Q53" s="51">
        <f>SUMIFS('Daily Log'!$L$7:$L$377,'Daily Log'!$V$7:$V$377,$A53)</f>
        <v/>
      </c>
      <c r="R53" s="51">
        <f>SUMIFS('Daily Log'!$M$7:$M$377,'Daily Log'!$V$7:$V$377,$A53)</f>
        <v/>
      </c>
      <c r="S53" s="51">
        <f>SUMIFS('Daily Log'!$N$7:$N$377,'Daily Log'!$V$7:$V$377,$A53)</f>
        <v/>
      </c>
      <c r="T53" s="51">
        <f>SUMIFS('Daily Log'!$O$7:$O$377,'Daily Log'!$V$7:$V$377,$A53)</f>
        <v/>
      </c>
      <c r="U53" s="51">
        <f>SUMIFS('Daily Log'!$P$7:$P$377,'Daily Log'!$V$7:$V$377,$A53)</f>
        <v/>
      </c>
      <c r="V53" s="51">
        <f>SUMIFS('Daily Log'!$Q$7:$Q$377,'Daily Log'!$V$7:$V$377,$A53)</f>
        <v/>
      </c>
      <c r="W53" s="51">
        <f>SUMIFS('Daily Log'!$R$7:$R$377,'Daily Log'!$V$7:$V$377,$A53)</f>
        <v/>
      </c>
      <c r="X53" s="252">
        <f>IF($H53=0,0,ROUND($G53*L53/$H53,0))</f>
        <v/>
      </c>
      <c r="Y53" s="252">
        <f>IF($H53=0,0,ROUND($G53*M53/$H53,0))</f>
        <v/>
      </c>
      <c r="Z53" s="252">
        <f>IF($H53=0,0,ROUND($G53*N53/$H53,0))</f>
        <v/>
      </c>
      <c r="AA53" s="252">
        <f>IF($H53=0,0,ROUND($G53*O53/$H53,0))</f>
        <v/>
      </c>
      <c r="AB53" s="252">
        <f>IF($H53=0,0,ROUND($G53*P53/$H53,0))</f>
        <v/>
      </c>
      <c r="AC53" s="252">
        <f>IF($H53=0,0,ROUND($G53*Q53/$H53,0))</f>
        <v/>
      </c>
      <c r="AD53" s="252">
        <f>IF($H53=0,0,ROUND($G53*R53/$H53,0))</f>
        <v/>
      </c>
      <c r="AE53" s="252">
        <f>IF($H53=0,0,ROUND($G53*S53/$H53,0))</f>
        <v/>
      </c>
      <c r="AF53" s="252">
        <f>IF($H53=0,0,ROUND($G53*T53/$H53,0))</f>
        <v/>
      </c>
      <c r="AG53" s="252">
        <f>IF($H53=0,0,ROUND($G53*U53/$H53,0))</f>
        <v/>
      </c>
      <c r="AH53" s="252">
        <f>IF($H53=0,0,ROUND($G53*V53/$H53,0))</f>
        <v/>
      </c>
      <c r="AI53" s="252">
        <f>IF($H53=0,0,ROUND($G53*W53/$H53,0))</f>
        <v/>
      </c>
      <c r="AJ53" s="252">
        <f>SUM(X53:AI53)</f>
        <v/>
      </c>
      <c r="AK53" s="266">
        <f>$AJ53-$G53</f>
        <v/>
      </c>
      <c r="AL53" s="125" t="n"/>
    </row>
    <row r="54" ht="21" customFormat="1" customHeight="1" s="127">
      <c r="A54" s="308" t="n">
        <v>46594</v>
      </c>
      <c r="B54" s="250">
        <f>$A54+6</f>
        <v/>
      </c>
      <c r="C54" s="179">
        <f>SUMIFS('Daily Log'!$C$7:$C$377,'Daily Log'!$V$7:$V$377,$A54)</f>
        <v/>
      </c>
      <c r="D54" s="179">
        <f>SUMIFS('Daily Log'!$D$7:$D$377,'Daily Log'!$V$7:$V$377,$A54)</f>
        <v/>
      </c>
      <c r="E54" s="179">
        <f>SUMIFS('Daily Log'!$E$7:$E$377,'Daily Log'!$V$7:$V$377,$A54)</f>
        <v/>
      </c>
      <c r="F54" s="179">
        <f>SUMIFS('Daily Log'!$F$7:$F$377,'Daily Log'!$V$7:$V$377,$A54)</f>
        <v/>
      </c>
      <c r="G54" s="252">
        <f>SUMIFS('Daily Log'!$U$7:$U$377,'Daily Log'!$V$7:$V$377,$A54)</f>
        <v/>
      </c>
      <c r="H54" s="179">
        <f>SUMIFS('Daily Log'!$S$7:$S$377,'Daily Log'!$V$7:$V$377,$A54)</f>
        <v/>
      </c>
      <c r="I54" s="280">
        <f>IF($C54=0,"",$D54/$C54)</f>
        <v/>
      </c>
      <c r="J54" s="65">
        <f>IF($H54=0,"",$E54/$H54)</f>
        <v/>
      </c>
      <c r="K54" s="132">
        <f>IF(AND($G54&gt;0,$H54=0),"pot not shared - no attendance marked",IF(AND($I54&lt;&gt;"",N($I54)&gt;RejectAlarm),"reject rate high",""))</f>
        <v/>
      </c>
      <c r="L54" s="51">
        <f>SUMIFS('Daily Log'!$G$7:$G$377,'Daily Log'!$V$7:$V$377,$A54)</f>
        <v/>
      </c>
      <c r="M54" s="51">
        <f>SUMIFS('Daily Log'!$H$7:$H$377,'Daily Log'!$V$7:$V$377,$A54)</f>
        <v/>
      </c>
      <c r="N54" s="51">
        <f>SUMIFS('Daily Log'!$I$7:$I$377,'Daily Log'!$V$7:$V$377,$A54)</f>
        <v/>
      </c>
      <c r="O54" s="51">
        <f>SUMIFS('Daily Log'!$J$7:$J$377,'Daily Log'!$V$7:$V$377,$A54)</f>
        <v/>
      </c>
      <c r="P54" s="51">
        <f>SUMIFS('Daily Log'!$K$7:$K$377,'Daily Log'!$V$7:$V$377,$A54)</f>
        <v/>
      </c>
      <c r="Q54" s="51">
        <f>SUMIFS('Daily Log'!$L$7:$L$377,'Daily Log'!$V$7:$V$377,$A54)</f>
        <v/>
      </c>
      <c r="R54" s="51">
        <f>SUMIFS('Daily Log'!$M$7:$M$377,'Daily Log'!$V$7:$V$377,$A54)</f>
        <v/>
      </c>
      <c r="S54" s="51">
        <f>SUMIFS('Daily Log'!$N$7:$N$377,'Daily Log'!$V$7:$V$377,$A54)</f>
        <v/>
      </c>
      <c r="T54" s="51">
        <f>SUMIFS('Daily Log'!$O$7:$O$377,'Daily Log'!$V$7:$V$377,$A54)</f>
        <v/>
      </c>
      <c r="U54" s="51">
        <f>SUMIFS('Daily Log'!$P$7:$P$377,'Daily Log'!$V$7:$V$377,$A54)</f>
        <v/>
      </c>
      <c r="V54" s="51">
        <f>SUMIFS('Daily Log'!$Q$7:$Q$377,'Daily Log'!$V$7:$V$377,$A54)</f>
        <v/>
      </c>
      <c r="W54" s="51">
        <f>SUMIFS('Daily Log'!$R$7:$R$377,'Daily Log'!$V$7:$V$377,$A54)</f>
        <v/>
      </c>
      <c r="X54" s="252">
        <f>IF($H54=0,0,ROUND($G54*L54/$H54,0))</f>
        <v/>
      </c>
      <c r="Y54" s="252">
        <f>IF($H54=0,0,ROUND($G54*M54/$H54,0))</f>
        <v/>
      </c>
      <c r="Z54" s="252">
        <f>IF($H54=0,0,ROUND($G54*N54/$H54,0))</f>
        <v/>
      </c>
      <c r="AA54" s="252">
        <f>IF($H54=0,0,ROUND($G54*O54/$H54,0))</f>
        <v/>
      </c>
      <c r="AB54" s="252">
        <f>IF($H54=0,0,ROUND($G54*P54/$H54,0))</f>
        <v/>
      </c>
      <c r="AC54" s="252">
        <f>IF($H54=0,0,ROUND($G54*Q54/$H54,0))</f>
        <v/>
      </c>
      <c r="AD54" s="252">
        <f>IF($H54=0,0,ROUND($G54*R54/$H54,0))</f>
        <v/>
      </c>
      <c r="AE54" s="252">
        <f>IF($H54=0,0,ROUND($G54*S54/$H54,0))</f>
        <v/>
      </c>
      <c r="AF54" s="252">
        <f>IF($H54=0,0,ROUND($G54*T54/$H54,0))</f>
        <v/>
      </c>
      <c r="AG54" s="252">
        <f>IF($H54=0,0,ROUND($G54*U54/$H54,0))</f>
        <v/>
      </c>
      <c r="AH54" s="252">
        <f>IF($H54=0,0,ROUND($G54*V54/$H54,0))</f>
        <v/>
      </c>
      <c r="AI54" s="252">
        <f>IF($H54=0,0,ROUND($G54*W54/$H54,0))</f>
        <v/>
      </c>
      <c r="AJ54" s="252">
        <f>SUM(X54:AI54)</f>
        <v/>
      </c>
      <c r="AK54" s="266">
        <f>$AJ54-$G54</f>
        <v/>
      </c>
      <c r="AL54" s="125" t="n"/>
    </row>
    <row r="55" ht="21" customFormat="1" customHeight="1" s="127">
      <c r="A55" s="308" t="n">
        <v>46601</v>
      </c>
      <c r="B55" s="250">
        <f>$A55+6</f>
        <v/>
      </c>
      <c r="C55" s="179">
        <f>SUMIFS('Daily Log'!$C$7:$C$377,'Daily Log'!$V$7:$V$377,$A55)</f>
        <v/>
      </c>
      <c r="D55" s="179">
        <f>SUMIFS('Daily Log'!$D$7:$D$377,'Daily Log'!$V$7:$V$377,$A55)</f>
        <v/>
      </c>
      <c r="E55" s="179">
        <f>SUMIFS('Daily Log'!$E$7:$E$377,'Daily Log'!$V$7:$V$377,$A55)</f>
        <v/>
      </c>
      <c r="F55" s="179">
        <f>SUMIFS('Daily Log'!$F$7:$F$377,'Daily Log'!$V$7:$V$377,$A55)</f>
        <v/>
      </c>
      <c r="G55" s="252">
        <f>SUMIFS('Daily Log'!$U$7:$U$377,'Daily Log'!$V$7:$V$377,$A55)</f>
        <v/>
      </c>
      <c r="H55" s="179">
        <f>SUMIFS('Daily Log'!$S$7:$S$377,'Daily Log'!$V$7:$V$377,$A55)</f>
        <v/>
      </c>
      <c r="I55" s="280">
        <f>IF($C55=0,"",$D55/$C55)</f>
        <v/>
      </c>
      <c r="J55" s="65">
        <f>IF($H55=0,"",$E55/$H55)</f>
        <v/>
      </c>
      <c r="K55" s="132">
        <f>IF(AND($G55&gt;0,$H55=0),"pot not shared - no attendance marked",IF(AND($I55&lt;&gt;"",N($I55)&gt;RejectAlarm),"reject rate high",""))</f>
        <v/>
      </c>
      <c r="L55" s="51">
        <f>SUMIFS('Daily Log'!$G$7:$G$377,'Daily Log'!$V$7:$V$377,$A55)</f>
        <v/>
      </c>
      <c r="M55" s="51">
        <f>SUMIFS('Daily Log'!$H$7:$H$377,'Daily Log'!$V$7:$V$377,$A55)</f>
        <v/>
      </c>
      <c r="N55" s="51">
        <f>SUMIFS('Daily Log'!$I$7:$I$377,'Daily Log'!$V$7:$V$377,$A55)</f>
        <v/>
      </c>
      <c r="O55" s="51">
        <f>SUMIFS('Daily Log'!$J$7:$J$377,'Daily Log'!$V$7:$V$377,$A55)</f>
        <v/>
      </c>
      <c r="P55" s="51">
        <f>SUMIFS('Daily Log'!$K$7:$K$377,'Daily Log'!$V$7:$V$377,$A55)</f>
        <v/>
      </c>
      <c r="Q55" s="51">
        <f>SUMIFS('Daily Log'!$L$7:$L$377,'Daily Log'!$V$7:$V$377,$A55)</f>
        <v/>
      </c>
      <c r="R55" s="51">
        <f>SUMIFS('Daily Log'!$M$7:$M$377,'Daily Log'!$V$7:$V$377,$A55)</f>
        <v/>
      </c>
      <c r="S55" s="51">
        <f>SUMIFS('Daily Log'!$N$7:$N$377,'Daily Log'!$V$7:$V$377,$A55)</f>
        <v/>
      </c>
      <c r="T55" s="51">
        <f>SUMIFS('Daily Log'!$O$7:$O$377,'Daily Log'!$V$7:$V$377,$A55)</f>
        <v/>
      </c>
      <c r="U55" s="51">
        <f>SUMIFS('Daily Log'!$P$7:$P$377,'Daily Log'!$V$7:$V$377,$A55)</f>
        <v/>
      </c>
      <c r="V55" s="51">
        <f>SUMIFS('Daily Log'!$Q$7:$Q$377,'Daily Log'!$V$7:$V$377,$A55)</f>
        <v/>
      </c>
      <c r="W55" s="51">
        <f>SUMIFS('Daily Log'!$R$7:$R$377,'Daily Log'!$V$7:$V$377,$A55)</f>
        <v/>
      </c>
      <c r="X55" s="252">
        <f>IF($H55=0,0,ROUND($G55*L55/$H55,0))</f>
        <v/>
      </c>
      <c r="Y55" s="252">
        <f>IF($H55=0,0,ROUND($G55*M55/$H55,0))</f>
        <v/>
      </c>
      <c r="Z55" s="252">
        <f>IF($H55=0,0,ROUND($G55*N55/$H55,0))</f>
        <v/>
      </c>
      <c r="AA55" s="252">
        <f>IF($H55=0,0,ROUND($G55*O55/$H55,0))</f>
        <v/>
      </c>
      <c r="AB55" s="252">
        <f>IF($H55=0,0,ROUND($G55*P55/$H55,0))</f>
        <v/>
      </c>
      <c r="AC55" s="252">
        <f>IF($H55=0,0,ROUND($G55*Q55/$H55,0))</f>
        <v/>
      </c>
      <c r="AD55" s="252">
        <f>IF($H55=0,0,ROUND($G55*R55/$H55,0))</f>
        <v/>
      </c>
      <c r="AE55" s="252">
        <f>IF($H55=0,0,ROUND($G55*S55/$H55,0))</f>
        <v/>
      </c>
      <c r="AF55" s="252">
        <f>IF($H55=0,0,ROUND($G55*T55/$H55,0))</f>
        <v/>
      </c>
      <c r="AG55" s="252">
        <f>IF($H55=0,0,ROUND($G55*U55/$H55,0))</f>
        <v/>
      </c>
      <c r="AH55" s="252">
        <f>IF($H55=0,0,ROUND($G55*V55/$H55,0))</f>
        <v/>
      </c>
      <c r="AI55" s="252">
        <f>IF($H55=0,0,ROUND($G55*W55/$H55,0))</f>
        <v/>
      </c>
      <c r="AJ55" s="252">
        <f>SUM(X55:AI55)</f>
        <v/>
      </c>
      <c r="AK55" s="266">
        <f>$AJ55-$G55</f>
        <v/>
      </c>
      <c r="AL55" s="125" t="n"/>
    </row>
    <row r="56" ht="21" customFormat="1" customHeight="1" s="127">
      <c r="A56" s="308" t="n">
        <v>46608</v>
      </c>
      <c r="B56" s="250">
        <f>$A56+6</f>
        <v/>
      </c>
      <c r="C56" s="179">
        <f>SUMIFS('Daily Log'!$C$7:$C$377,'Daily Log'!$V$7:$V$377,$A56)</f>
        <v/>
      </c>
      <c r="D56" s="179">
        <f>SUMIFS('Daily Log'!$D$7:$D$377,'Daily Log'!$V$7:$V$377,$A56)</f>
        <v/>
      </c>
      <c r="E56" s="179">
        <f>SUMIFS('Daily Log'!$E$7:$E$377,'Daily Log'!$V$7:$V$377,$A56)</f>
        <v/>
      </c>
      <c r="F56" s="179">
        <f>SUMIFS('Daily Log'!$F$7:$F$377,'Daily Log'!$V$7:$V$377,$A56)</f>
        <v/>
      </c>
      <c r="G56" s="252">
        <f>SUMIFS('Daily Log'!$U$7:$U$377,'Daily Log'!$V$7:$V$377,$A56)</f>
        <v/>
      </c>
      <c r="H56" s="179">
        <f>SUMIFS('Daily Log'!$S$7:$S$377,'Daily Log'!$V$7:$V$377,$A56)</f>
        <v/>
      </c>
      <c r="I56" s="280">
        <f>IF($C56=0,"",$D56/$C56)</f>
        <v/>
      </c>
      <c r="J56" s="65">
        <f>IF($H56=0,"",$E56/$H56)</f>
        <v/>
      </c>
      <c r="K56" s="132">
        <f>IF(AND($G56&gt;0,$H56=0),"pot not shared - no attendance marked",IF(AND($I56&lt;&gt;"",N($I56)&gt;RejectAlarm),"reject rate high",""))</f>
        <v/>
      </c>
      <c r="L56" s="51">
        <f>SUMIFS('Daily Log'!$G$7:$G$377,'Daily Log'!$V$7:$V$377,$A56)</f>
        <v/>
      </c>
      <c r="M56" s="51">
        <f>SUMIFS('Daily Log'!$H$7:$H$377,'Daily Log'!$V$7:$V$377,$A56)</f>
        <v/>
      </c>
      <c r="N56" s="51">
        <f>SUMIFS('Daily Log'!$I$7:$I$377,'Daily Log'!$V$7:$V$377,$A56)</f>
        <v/>
      </c>
      <c r="O56" s="51">
        <f>SUMIFS('Daily Log'!$J$7:$J$377,'Daily Log'!$V$7:$V$377,$A56)</f>
        <v/>
      </c>
      <c r="P56" s="51">
        <f>SUMIFS('Daily Log'!$K$7:$K$377,'Daily Log'!$V$7:$V$377,$A56)</f>
        <v/>
      </c>
      <c r="Q56" s="51">
        <f>SUMIFS('Daily Log'!$L$7:$L$377,'Daily Log'!$V$7:$V$377,$A56)</f>
        <v/>
      </c>
      <c r="R56" s="51">
        <f>SUMIFS('Daily Log'!$M$7:$M$377,'Daily Log'!$V$7:$V$377,$A56)</f>
        <v/>
      </c>
      <c r="S56" s="51">
        <f>SUMIFS('Daily Log'!$N$7:$N$377,'Daily Log'!$V$7:$V$377,$A56)</f>
        <v/>
      </c>
      <c r="T56" s="51">
        <f>SUMIFS('Daily Log'!$O$7:$O$377,'Daily Log'!$V$7:$V$377,$A56)</f>
        <v/>
      </c>
      <c r="U56" s="51">
        <f>SUMIFS('Daily Log'!$P$7:$P$377,'Daily Log'!$V$7:$V$377,$A56)</f>
        <v/>
      </c>
      <c r="V56" s="51">
        <f>SUMIFS('Daily Log'!$Q$7:$Q$377,'Daily Log'!$V$7:$V$377,$A56)</f>
        <v/>
      </c>
      <c r="W56" s="51">
        <f>SUMIFS('Daily Log'!$R$7:$R$377,'Daily Log'!$V$7:$V$377,$A56)</f>
        <v/>
      </c>
      <c r="X56" s="252">
        <f>IF($H56=0,0,ROUND($G56*L56/$H56,0))</f>
        <v/>
      </c>
      <c r="Y56" s="252">
        <f>IF($H56=0,0,ROUND($G56*M56/$H56,0))</f>
        <v/>
      </c>
      <c r="Z56" s="252">
        <f>IF($H56=0,0,ROUND($G56*N56/$H56,0))</f>
        <v/>
      </c>
      <c r="AA56" s="252">
        <f>IF($H56=0,0,ROUND($G56*O56/$H56,0))</f>
        <v/>
      </c>
      <c r="AB56" s="252">
        <f>IF($H56=0,0,ROUND($G56*P56/$H56,0))</f>
        <v/>
      </c>
      <c r="AC56" s="252">
        <f>IF($H56=0,0,ROUND($G56*Q56/$H56,0))</f>
        <v/>
      </c>
      <c r="AD56" s="252">
        <f>IF($H56=0,0,ROUND($G56*R56/$H56,0))</f>
        <v/>
      </c>
      <c r="AE56" s="252">
        <f>IF($H56=0,0,ROUND($G56*S56/$H56,0))</f>
        <v/>
      </c>
      <c r="AF56" s="252">
        <f>IF($H56=0,0,ROUND($G56*T56/$H56,0))</f>
        <v/>
      </c>
      <c r="AG56" s="252">
        <f>IF($H56=0,0,ROUND($G56*U56/$H56,0))</f>
        <v/>
      </c>
      <c r="AH56" s="252">
        <f>IF($H56=0,0,ROUND($G56*V56/$H56,0))</f>
        <v/>
      </c>
      <c r="AI56" s="252">
        <f>IF($H56=0,0,ROUND($G56*W56/$H56,0))</f>
        <v/>
      </c>
      <c r="AJ56" s="252">
        <f>SUM(X56:AI56)</f>
        <v/>
      </c>
      <c r="AK56" s="266">
        <f>$AJ56-$G56</f>
        <v/>
      </c>
      <c r="AL56" s="125" t="n"/>
    </row>
    <row r="57" ht="21" customFormat="1" customHeight="1" s="127">
      <c r="A57" s="308" t="n">
        <v>46615</v>
      </c>
      <c r="B57" s="250">
        <f>$A57+6</f>
        <v/>
      </c>
      <c r="C57" s="179">
        <f>SUMIFS('Daily Log'!$C$7:$C$377,'Daily Log'!$V$7:$V$377,$A57)</f>
        <v/>
      </c>
      <c r="D57" s="179">
        <f>SUMIFS('Daily Log'!$D$7:$D$377,'Daily Log'!$V$7:$V$377,$A57)</f>
        <v/>
      </c>
      <c r="E57" s="179">
        <f>SUMIFS('Daily Log'!$E$7:$E$377,'Daily Log'!$V$7:$V$377,$A57)</f>
        <v/>
      </c>
      <c r="F57" s="179">
        <f>SUMIFS('Daily Log'!$F$7:$F$377,'Daily Log'!$V$7:$V$377,$A57)</f>
        <v/>
      </c>
      <c r="G57" s="252">
        <f>SUMIFS('Daily Log'!$U$7:$U$377,'Daily Log'!$V$7:$V$377,$A57)</f>
        <v/>
      </c>
      <c r="H57" s="179">
        <f>SUMIFS('Daily Log'!$S$7:$S$377,'Daily Log'!$V$7:$V$377,$A57)</f>
        <v/>
      </c>
      <c r="I57" s="280">
        <f>IF($C57=0,"",$D57/$C57)</f>
        <v/>
      </c>
      <c r="J57" s="65">
        <f>IF($H57=0,"",$E57/$H57)</f>
        <v/>
      </c>
      <c r="K57" s="132">
        <f>IF(AND($G57&gt;0,$H57=0),"pot not shared - no attendance marked",IF(AND($I57&lt;&gt;"",N($I57)&gt;RejectAlarm),"reject rate high",""))</f>
        <v/>
      </c>
      <c r="L57" s="51">
        <f>SUMIFS('Daily Log'!$G$7:$G$377,'Daily Log'!$V$7:$V$377,$A57)</f>
        <v/>
      </c>
      <c r="M57" s="51">
        <f>SUMIFS('Daily Log'!$H$7:$H$377,'Daily Log'!$V$7:$V$377,$A57)</f>
        <v/>
      </c>
      <c r="N57" s="51">
        <f>SUMIFS('Daily Log'!$I$7:$I$377,'Daily Log'!$V$7:$V$377,$A57)</f>
        <v/>
      </c>
      <c r="O57" s="51">
        <f>SUMIFS('Daily Log'!$J$7:$J$377,'Daily Log'!$V$7:$V$377,$A57)</f>
        <v/>
      </c>
      <c r="P57" s="51">
        <f>SUMIFS('Daily Log'!$K$7:$K$377,'Daily Log'!$V$7:$V$377,$A57)</f>
        <v/>
      </c>
      <c r="Q57" s="51">
        <f>SUMIFS('Daily Log'!$L$7:$L$377,'Daily Log'!$V$7:$V$377,$A57)</f>
        <v/>
      </c>
      <c r="R57" s="51">
        <f>SUMIFS('Daily Log'!$M$7:$M$377,'Daily Log'!$V$7:$V$377,$A57)</f>
        <v/>
      </c>
      <c r="S57" s="51">
        <f>SUMIFS('Daily Log'!$N$7:$N$377,'Daily Log'!$V$7:$V$377,$A57)</f>
        <v/>
      </c>
      <c r="T57" s="51">
        <f>SUMIFS('Daily Log'!$O$7:$O$377,'Daily Log'!$V$7:$V$377,$A57)</f>
        <v/>
      </c>
      <c r="U57" s="51">
        <f>SUMIFS('Daily Log'!$P$7:$P$377,'Daily Log'!$V$7:$V$377,$A57)</f>
        <v/>
      </c>
      <c r="V57" s="51">
        <f>SUMIFS('Daily Log'!$Q$7:$Q$377,'Daily Log'!$V$7:$V$377,$A57)</f>
        <v/>
      </c>
      <c r="W57" s="51">
        <f>SUMIFS('Daily Log'!$R$7:$R$377,'Daily Log'!$V$7:$V$377,$A57)</f>
        <v/>
      </c>
      <c r="X57" s="252">
        <f>IF($H57=0,0,ROUND($G57*L57/$H57,0))</f>
        <v/>
      </c>
      <c r="Y57" s="252">
        <f>IF($H57=0,0,ROUND($G57*M57/$H57,0))</f>
        <v/>
      </c>
      <c r="Z57" s="252">
        <f>IF($H57=0,0,ROUND($G57*N57/$H57,0))</f>
        <v/>
      </c>
      <c r="AA57" s="252">
        <f>IF($H57=0,0,ROUND($G57*O57/$H57,0))</f>
        <v/>
      </c>
      <c r="AB57" s="252">
        <f>IF($H57=0,0,ROUND($G57*P57/$H57,0))</f>
        <v/>
      </c>
      <c r="AC57" s="252">
        <f>IF($H57=0,0,ROUND($G57*Q57/$H57,0))</f>
        <v/>
      </c>
      <c r="AD57" s="252">
        <f>IF($H57=0,0,ROUND($G57*R57/$H57,0))</f>
        <v/>
      </c>
      <c r="AE57" s="252">
        <f>IF($H57=0,0,ROUND($G57*S57/$H57,0))</f>
        <v/>
      </c>
      <c r="AF57" s="252">
        <f>IF($H57=0,0,ROUND($G57*T57/$H57,0))</f>
        <v/>
      </c>
      <c r="AG57" s="252">
        <f>IF($H57=0,0,ROUND($G57*U57/$H57,0))</f>
        <v/>
      </c>
      <c r="AH57" s="252">
        <f>IF($H57=0,0,ROUND($G57*V57/$H57,0))</f>
        <v/>
      </c>
      <c r="AI57" s="252">
        <f>IF($H57=0,0,ROUND($G57*W57/$H57,0))</f>
        <v/>
      </c>
      <c r="AJ57" s="252">
        <f>SUM(X57:AI57)</f>
        <v/>
      </c>
      <c r="AK57" s="266">
        <f>$AJ57-$G57</f>
        <v/>
      </c>
      <c r="AL57" s="125" t="n"/>
    </row>
    <row r="58" ht="21" customFormat="1" customHeight="1" s="127">
      <c r="A58" s="308" t="n">
        <v>46622</v>
      </c>
      <c r="B58" s="250">
        <f>$A58+6</f>
        <v/>
      </c>
      <c r="C58" s="179">
        <f>SUMIFS('Daily Log'!$C$7:$C$377,'Daily Log'!$V$7:$V$377,$A58)</f>
        <v/>
      </c>
      <c r="D58" s="179">
        <f>SUMIFS('Daily Log'!$D$7:$D$377,'Daily Log'!$V$7:$V$377,$A58)</f>
        <v/>
      </c>
      <c r="E58" s="179">
        <f>SUMIFS('Daily Log'!$E$7:$E$377,'Daily Log'!$V$7:$V$377,$A58)</f>
        <v/>
      </c>
      <c r="F58" s="179">
        <f>SUMIFS('Daily Log'!$F$7:$F$377,'Daily Log'!$V$7:$V$377,$A58)</f>
        <v/>
      </c>
      <c r="G58" s="252">
        <f>SUMIFS('Daily Log'!$U$7:$U$377,'Daily Log'!$V$7:$V$377,$A58)</f>
        <v/>
      </c>
      <c r="H58" s="179">
        <f>SUMIFS('Daily Log'!$S$7:$S$377,'Daily Log'!$V$7:$V$377,$A58)</f>
        <v/>
      </c>
      <c r="I58" s="280">
        <f>IF($C58=0,"",$D58/$C58)</f>
        <v/>
      </c>
      <c r="J58" s="65">
        <f>IF($H58=0,"",$E58/$H58)</f>
        <v/>
      </c>
      <c r="K58" s="132">
        <f>IF(AND($G58&gt;0,$H58=0),"pot not shared - no attendance marked",IF(AND($I58&lt;&gt;"",N($I58)&gt;RejectAlarm),"reject rate high",""))</f>
        <v/>
      </c>
      <c r="L58" s="51">
        <f>SUMIFS('Daily Log'!$G$7:$G$377,'Daily Log'!$V$7:$V$377,$A58)</f>
        <v/>
      </c>
      <c r="M58" s="51">
        <f>SUMIFS('Daily Log'!$H$7:$H$377,'Daily Log'!$V$7:$V$377,$A58)</f>
        <v/>
      </c>
      <c r="N58" s="51">
        <f>SUMIFS('Daily Log'!$I$7:$I$377,'Daily Log'!$V$7:$V$377,$A58)</f>
        <v/>
      </c>
      <c r="O58" s="51">
        <f>SUMIFS('Daily Log'!$J$7:$J$377,'Daily Log'!$V$7:$V$377,$A58)</f>
        <v/>
      </c>
      <c r="P58" s="51">
        <f>SUMIFS('Daily Log'!$K$7:$K$377,'Daily Log'!$V$7:$V$377,$A58)</f>
        <v/>
      </c>
      <c r="Q58" s="51">
        <f>SUMIFS('Daily Log'!$L$7:$L$377,'Daily Log'!$V$7:$V$377,$A58)</f>
        <v/>
      </c>
      <c r="R58" s="51">
        <f>SUMIFS('Daily Log'!$M$7:$M$377,'Daily Log'!$V$7:$V$377,$A58)</f>
        <v/>
      </c>
      <c r="S58" s="51">
        <f>SUMIFS('Daily Log'!$N$7:$N$377,'Daily Log'!$V$7:$V$377,$A58)</f>
        <v/>
      </c>
      <c r="T58" s="51">
        <f>SUMIFS('Daily Log'!$O$7:$O$377,'Daily Log'!$V$7:$V$377,$A58)</f>
        <v/>
      </c>
      <c r="U58" s="51">
        <f>SUMIFS('Daily Log'!$P$7:$P$377,'Daily Log'!$V$7:$V$377,$A58)</f>
        <v/>
      </c>
      <c r="V58" s="51">
        <f>SUMIFS('Daily Log'!$Q$7:$Q$377,'Daily Log'!$V$7:$V$377,$A58)</f>
        <v/>
      </c>
      <c r="W58" s="51">
        <f>SUMIFS('Daily Log'!$R$7:$R$377,'Daily Log'!$V$7:$V$377,$A58)</f>
        <v/>
      </c>
      <c r="X58" s="252">
        <f>IF($H58=0,0,ROUND($G58*L58/$H58,0))</f>
        <v/>
      </c>
      <c r="Y58" s="252">
        <f>IF($H58=0,0,ROUND($G58*M58/$H58,0))</f>
        <v/>
      </c>
      <c r="Z58" s="252">
        <f>IF($H58=0,0,ROUND($G58*N58/$H58,0))</f>
        <v/>
      </c>
      <c r="AA58" s="252">
        <f>IF($H58=0,0,ROUND($G58*O58/$H58,0))</f>
        <v/>
      </c>
      <c r="AB58" s="252">
        <f>IF($H58=0,0,ROUND($G58*P58/$H58,0))</f>
        <v/>
      </c>
      <c r="AC58" s="252">
        <f>IF($H58=0,0,ROUND($G58*Q58/$H58,0))</f>
        <v/>
      </c>
      <c r="AD58" s="252">
        <f>IF($H58=0,0,ROUND($G58*R58/$H58,0))</f>
        <v/>
      </c>
      <c r="AE58" s="252">
        <f>IF($H58=0,0,ROUND($G58*S58/$H58,0))</f>
        <v/>
      </c>
      <c r="AF58" s="252">
        <f>IF($H58=0,0,ROUND($G58*T58/$H58,0))</f>
        <v/>
      </c>
      <c r="AG58" s="252">
        <f>IF($H58=0,0,ROUND($G58*U58/$H58,0))</f>
        <v/>
      </c>
      <c r="AH58" s="252">
        <f>IF($H58=0,0,ROUND($G58*V58/$H58,0))</f>
        <v/>
      </c>
      <c r="AI58" s="252">
        <f>IF($H58=0,0,ROUND($G58*W58/$H58,0))</f>
        <v/>
      </c>
      <c r="AJ58" s="252">
        <f>SUM(X58:AI58)</f>
        <v/>
      </c>
      <c r="AK58" s="266">
        <f>$AJ58-$G58</f>
        <v/>
      </c>
      <c r="AL58" s="125" t="n"/>
    </row>
    <row r="59" ht="21" customFormat="1" customHeight="1" s="127">
      <c r="A59" s="309" t="n">
        <v>46629</v>
      </c>
      <c r="B59" s="300">
        <f>$A59+6</f>
        <v/>
      </c>
      <c r="C59" s="180">
        <f>SUMIFS('Daily Log'!$C$7:$C$377,'Daily Log'!$V$7:$V$377,$A59)</f>
        <v/>
      </c>
      <c r="D59" s="180">
        <f>SUMIFS('Daily Log'!$D$7:$D$377,'Daily Log'!$V$7:$V$377,$A59)</f>
        <v/>
      </c>
      <c r="E59" s="180">
        <f>SUMIFS('Daily Log'!$E$7:$E$377,'Daily Log'!$V$7:$V$377,$A59)</f>
        <v/>
      </c>
      <c r="F59" s="180">
        <f>SUMIFS('Daily Log'!$F$7:$F$377,'Daily Log'!$V$7:$V$377,$A59)</f>
        <v/>
      </c>
      <c r="G59" s="258">
        <f>SUMIFS('Daily Log'!$U$7:$U$377,'Daily Log'!$V$7:$V$377,$A59)</f>
        <v/>
      </c>
      <c r="H59" s="180">
        <f>SUMIFS('Daily Log'!$S$7:$S$377,'Daily Log'!$V$7:$V$377,$A59)</f>
        <v/>
      </c>
      <c r="I59" s="310">
        <f>IF($C59=0,"",$D59/$C59)</f>
        <v/>
      </c>
      <c r="J59" s="73">
        <f>IF($H59=0,"",$E59/$H59)</f>
        <v/>
      </c>
      <c r="K59" s="135">
        <f>IF(AND($G59&gt;0,$H59=0),"pot not shared - no attendance marked",IF(AND($I59&lt;&gt;"",N($I59)&gt;RejectAlarm),"reject rate high",""))</f>
        <v/>
      </c>
      <c r="L59" s="46">
        <f>SUMIFS('Daily Log'!$G$7:$G$377,'Daily Log'!$V$7:$V$377,$A59)</f>
        <v/>
      </c>
      <c r="M59" s="46">
        <f>SUMIFS('Daily Log'!$H$7:$H$377,'Daily Log'!$V$7:$V$377,$A59)</f>
        <v/>
      </c>
      <c r="N59" s="46">
        <f>SUMIFS('Daily Log'!$I$7:$I$377,'Daily Log'!$V$7:$V$377,$A59)</f>
        <v/>
      </c>
      <c r="O59" s="46">
        <f>SUMIFS('Daily Log'!$J$7:$J$377,'Daily Log'!$V$7:$V$377,$A59)</f>
        <v/>
      </c>
      <c r="P59" s="46">
        <f>SUMIFS('Daily Log'!$K$7:$K$377,'Daily Log'!$V$7:$V$377,$A59)</f>
        <v/>
      </c>
      <c r="Q59" s="46">
        <f>SUMIFS('Daily Log'!$L$7:$L$377,'Daily Log'!$V$7:$V$377,$A59)</f>
        <v/>
      </c>
      <c r="R59" s="46">
        <f>SUMIFS('Daily Log'!$M$7:$M$377,'Daily Log'!$V$7:$V$377,$A59)</f>
        <v/>
      </c>
      <c r="S59" s="46">
        <f>SUMIFS('Daily Log'!$N$7:$N$377,'Daily Log'!$V$7:$V$377,$A59)</f>
        <v/>
      </c>
      <c r="T59" s="46">
        <f>SUMIFS('Daily Log'!$O$7:$O$377,'Daily Log'!$V$7:$V$377,$A59)</f>
        <v/>
      </c>
      <c r="U59" s="46">
        <f>SUMIFS('Daily Log'!$P$7:$P$377,'Daily Log'!$V$7:$V$377,$A59)</f>
        <v/>
      </c>
      <c r="V59" s="46">
        <f>SUMIFS('Daily Log'!$Q$7:$Q$377,'Daily Log'!$V$7:$V$377,$A59)</f>
        <v/>
      </c>
      <c r="W59" s="46">
        <f>SUMIFS('Daily Log'!$R$7:$R$377,'Daily Log'!$V$7:$V$377,$A59)</f>
        <v/>
      </c>
      <c r="X59" s="258">
        <f>IF($H59=0,0,ROUND($G59*L59/$H59,0))</f>
        <v/>
      </c>
      <c r="Y59" s="258">
        <f>IF($H59=0,0,ROUND($G59*M59/$H59,0))</f>
        <v/>
      </c>
      <c r="Z59" s="258">
        <f>IF($H59=0,0,ROUND($G59*N59/$H59,0))</f>
        <v/>
      </c>
      <c r="AA59" s="258">
        <f>IF($H59=0,0,ROUND($G59*O59/$H59,0))</f>
        <v/>
      </c>
      <c r="AB59" s="258">
        <f>IF($H59=0,0,ROUND($G59*P59/$H59,0))</f>
        <v/>
      </c>
      <c r="AC59" s="258">
        <f>IF($H59=0,0,ROUND($G59*Q59/$H59,0))</f>
        <v/>
      </c>
      <c r="AD59" s="258">
        <f>IF($H59=0,0,ROUND($G59*R59/$H59,0))</f>
        <v/>
      </c>
      <c r="AE59" s="258">
        <f>IF($H59=0,0,ROUND($G59*S59/$H59,0))</f>
        <v/>
      </c>
      <c r="AF59" s="258">
        <f>IF($H59=0,0,ROUND($G59*T59/$H59,0))</f>
        <v/>
      </c>
      <c r="AG59" s="258">
        <f>IF($H59=0,0,ROUND($G59*U59/$H59,0))</f>
        <v/>
      </c>
      <c r="AH59" s="258">
        <f>IF($H59=0,0,ROUND($G59*V59/$H59,0))</f>
        <v/>
      </c>
      <c r="AI59" s="258">
        <f>IF($H59=0,0,ROUND($G59*W59/$H59,0))</f>
        <v/>
      </c>
      <c r="AJ59" s="258">
        <f>SUM(X59:AI59)</f>
        <v/>
      </c>
      <c r="AK59" s="271">
        <f>$AJ59-$G59</f>
        <v/>
      </c>
      <c r="AL59" s="137" t="n"/>
    </row>
  </sheetData>
  <mergeCells count="10">
    <mergeCell ref="D1:E1"/>
    <mergeCell ref="P1:X1"/>
    <mergeCell ref="AK1:AL1"/>
    <mergeCell ref="H1:I1"/>
    <mergeCell ref="L1:M1"/>
    <mergeCell ref="Y1:Z1"/>
    <mergeCell ref="F1:G1"/>
    <mergeCell ref="A1:B1"/>
    <mergeCell ref="N1:O1"/>
    <mergeCell ref="AA1:AJ1"/>
  </mergeCells>
  <conditionalFormatting sqref="K7:K59">
    <cfRule type="expression" priority="2" dxfId="1">
      <formula>LEN(K7)&gt;0</formula>
    </cfRule>
  </conditionalFormatting>
  <hyperlinks>
    <hyperlink ref="C1" location="'Home'!A1" tooltip="Go to Home" display="Home"/>
    <hyperlink ref="D1" location="'Daily Log'!A1" tooltip="Go to Daily Log" display="Daily Log"/>
    <hyperlink ref="F1" location="'Cash Ledger'!A1" tooltip="Go to Cash Ledger" display="Cash Ledger"/>
    <hyperlink ref="H1" location="'Weekly Pay'!A1" tooltip="Go to Weekly Pay" display="Weekly Pay"/>
    <hyperlink ref="J1" location="'Payslip'!A1" tooltip="Go to Payslip" display="Payslip"/>
    <hyperlink ref="K1" location="'Workers'!A1" tooltip="Go to Workers" display="Workers"/>
    <hyperlink ref="L1" location="'Settings'!A1" tooltip="Go to Settings" display="Settings"/>
    <hyperlink ref="N1" location="'Guide'!A1" tooltip="Go to Guide" display="Guide"/>
    <hyperlink ref="Y1" location="'Worker History'!A1" tooltip="Go to Worker History" display="History"/>
    <hyperlink ref="AK1" location="'Checks'!A1" tooltip="Go to Checks" display="Checks"/>
  </hyperlink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BD5E1"/>
    <outlinePr summaryBelow="1" summaryRight="1"/>
    <pageSetUpPr/>
  </sheetPr>
  <dimension ref="A1:AN20"/>
  <sheetViews>
    <sheetView showGridLines="0" zoomScaleNormal="100" workbookViewId="0">
      <pane ySplit="1" topLeftCell="A2" activePane="bottomLeft" state="frozen"/>
      <selection pane="bottomLeft" activeCell="B13" sqref="B13"/>
    </sheetView>
  </sheetViews>
  <sheetFormatPr baseColWidth="8" defaultColWidth="8.5703125" defaultRowHeight="15"/>
  <cols>
    <col width="2" customWidth="1" min="1" max="1"/>
    <col width="58" customWidth="1" min="2" max="2"/>
    <col width="22" customWidth="1" min="3" max="3"/>
    <col width="50" customWidth="1" min="4" max="4"/>
  </cols>
  <sheetData>
    <row r="1" ht="30" customFormat="1" customHeight="1" s="1" thickBot="1">
      <c r="A1" s="185" t="inlineStr">
        <is>
          <t>◆ Donabay</t>
        </is>
      </c>
      <c r="C1" s="176" t="inlineStr">
        <is>
          <t>Home</t>
        </is>
      </c>
      <c r="D1" s="176" t="inlineStr">
        <is>
          <t>Daily Log</t>
        </is>
      </c>
      <c r="E1" s="220" t="inlineStr">
        <is>
          <t>Cash Ledger</t>
        </is>
      </c>
      <c r="H1" s="220" t="inlineStr">
        <is>
          <t>Weekly Pay</t>
        </is>
      </c>
      <c r="K1" s="220" t="inlineStr">
        <is>
          <t>Payslip</t>
        </is>
      </c>
      <c r="M1" s="220" t="inlineStr">
        <is>
          <t>Workers</t>
        </is>
      </c>
      <c r="O1" s="220" t="inlineStr">
        <is>
          <t>Settings</t>
        </is>
      </c>
      <c r="Q1" s="220" t="inlineStr">
        <is>
          <t>Guide</t>
        </is>
      </c>
      <c r="S1" s="31" t="inlineStr">
        <is>
          <t>·</t>
        </is>
      </c>
      <c r="T1" s="222" t="inlineStr">
        <is>
          <t>History</t>
        </is>
      </c>
      <c r="V1" s="222" t="inlineStr">
        <is>
          <t>Weeks</t>
        </is>
      </c>
      <c r="X1" s="205" t="inlineStr">
        <is>
          <t>Checks</t>
        </is>
      </c>
      <c r="Z1" s="32" t="n"/>
      <c r="AA1" s="32" t="n"/>
      <c r="AB1" s="32" t="n"/>
      <c r="AC1" s="32" t="n"/>
      <c r="AD1" s="32" t="n"/>
      <c r="AE1" s="32" t="n"/>
      <c r="AF1" s="32" t="n"/>
      <c r="AG1" s="32" t="n"/>
      <c r="AH1" s="32" t="n"/>
      <c r="AI1" s="32" t="n"/>
      <c r="AJ1" s="32" t="n"/>
      <c r="AK1" s="32" t="n"/>
      <c r="AL1" s="32" t="n"/>
      <c r="AM1" s="32" t="n"/>
      <c r="AN1" s="32" t="n"/>
    </row>
    <row r="2" ht="36" customHeight="1" thickTop="1">
      <c r="A2" s="172" t="inlineStr">
        <is>
          <t>Checks</t>
        </is>
      </c>
      <c r="B2" s="218" t="n"/>
      <c r="C2" s="218" t="n"/>
      <c r="D2" s="218" t="n"/>
      <c r="E2" s="218" t="n"/>
      <c r="F2" s="218" t="n"/>
      <c r="G2" s="218" t="n"/>
      <c r="H2" s="218" t="n"/>
      <c r="I2" s="218" t="n"/>
      <c r="J2" s="218" t="n"/>
      <c r="K2" s="218" t="n"/>
      <c r="L2" s="218" t="n"/>
      <c r="M2" s="218" t="n"/>
      <c r="N2" s="218" t="n"/>
      <c r="O2" s="218" t="n"/>
      <c r="P2" s="218" t="n"/>
      <c r="Q2" s="218" t="n"/>
      <c r="R2" s="218" t="n"/>
      <c r="S2" s="218" t="n"/>
      <c r="T2" s="218" t="n"/>
      <c r="U2" s="218" t="n"/>
      <c r="V2" s="218" t="n"/>
      <c r="W2" s="218" t="n"/>
      <c r="X2" s="34" t="n"/>
      <c r="Y2" s="34" t="n"/>
      <c r="Z2" s="218" t="n"/>
      <c r="AA2" s="218" t="n"/>
      <c r="AB2" s="218" t="n"/>
      <c r="AC2" s="218" t="n"/>
      <c r="AD2" s="218" t="n"/>
      <c r="AE2" s="218" t="n"/>
      <c r="AF2" s="218" t="n"/>
      <c r="AG2" s="218" t="n"/>
      <c r="AH2" s="218" t="n"/>
      <c r="AI2" s="218" t="n"/>
      <c r="AJ2" s="218" t="n"/>
      <c r="AK2" s="218" t="n"/>
      <c r="AL2" s="218" t="n"/>
      <c r="AM2" s="218" t="n"/>
      <c r="AN2" s="218" t="n"/>
    </row>
    <row r="3" ht="16.5" customHeight="1">
      <c r="A3" s="35" t="inlineStr">
        <is>
          <t>The workbook checking itself. Everything should say OK before payday.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</row>
    <row r="4" ht="16.5" customHeight="1">
      <c r="A4" s="3" t="n"/>
      <c r="B4" s="3" t="n"/>
      <c r="C4" s="217" t="n"/>
      <c r="D4" s="217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</row>
    <row r="5" ht="17.25" customHeight="1">
      <c r="A5" s="3" t="n"/>
      <c r="B5" s="103" t="inlineStr">
        <is>
          <t>Overall</t>
        </is>
      </c>
      <c r="C5" s="224">
        <f>IF(COUNTIF($C$8:$C$16,"OK")=9,"ALL CHECKS OK",(9-COUNTIF($C$8:$C$16,"OK"))&amp;" check(s) need attention")</f>
        <v/>
      </c>
      <c r="D5" s="273" t="n"/>
      <c r="E5" s="218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</row>
    <row r="6" ht="16.5" customHeight="1">
      <c r="A6" s="3" t="n"/>
      <c r="B6" s="217" t="n"/>
      <c r="C6" s="217" t="n"/>
      <c r="D6" s="217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</row>
    <row r="7" ht="21.75" customHeight="1">
      <c r="A7" s="217" t="n"/>
      <c r="B7" s="58" t="inlineStr">
        <is>
          <t>Check</t>
        </is>
      </c>
      <c r="C7" s="58" t="inlineStr">
        <is>
          <t>Result</t>
        </is>
      </c>
      <c r="D7" s="58" t="inlineStr">
        <is>
          <t>Where to look</t>
        </is>
      </c>
      <c r="E7" s="217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</row>
    <row r="8" ht="16.5" customHeight="1">
      <c r="A8" s="217" t="n"/>
      <c r="B8" s="219" t="inlineStr">
        <is>
          <t>Worker list is clean (names unique, status set)</t>
        </is>
      </c>
      <c r="C8" s="118">
        <f>IF((COUNTIF(Workers!$H$6:$H$17,"?*"))=0,"OK",(COUNTIF(Workers!$H$6:$H$17,"?*"))&amp;" to fix")</f>
        <v/>
      </c>
      <c r="D8" s="119" t="inlineStr">
        <is>
          <t>Workers</t>
        </is>
      </c>
      <c r="E8" s="217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</row>
    <row r="9" ht="16.5" customHeight="1">
      <c r="A9" s="217" t="n"/>
      <c r="B9" s="207" t="inlineStr">
        <is>
          <t>Daily Log rows without problems</t>
        </is>
      </c>
      <c r="C9" s="216">
        <f>IF((COUNTIF('Daily Log'!$W$7:$W$377,"?*"))=0,"OK",(COUNTIF('Daily Log'!$W$7:$W$377,"?*"))&amp;" to fix")</f>
        <v/>
      </c>
      <c r="D9" s="57" t="inlineStr">
        <is>
          <t>Daily Log - Check column</t>
        </is>
      </c>
      <c r="E9" s="217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</row>
    <row r="10" ht="16.5" customHeight="1">
      <c r="A10" s="217" t="n"/>
      <c r="B10" s="207" t="inlineStr">
        <is>
          <t>Cash Ledger entries are complete and valid</t>
        </is>
      </c>
      <c r="C10" s="216">
        <f>IF((COUNTIF('Cash Ledger'!$M$7:$M$1006,"?*")-COUNTIF('Cash Ledger'!$M$7:$M$1006,"Warning*"))=0,"OK",(COUNTIF('Cash Ledger'!$M$7:$M$1006,"?*")-COUNTIF('Cash Ledger'!$M$7:$M$1006,"Warning*"))&amp;" to fix")</f>
        <v/>
      </c>
      <c r="D10" s="57" t="inlineStr">
        <is>
          <t>Cash Ledger - Check column</t>
        </is>
      </c>
      <c r="E10" s="217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</row>
    <row r="11" ht="16.5" customHeight="1">
      <c r="A11" s="217" t="n"/>
      <c r="B11" s="207" t="inlineStr">
        <is>
          <t>Every week's pot is shared out</t>
        </is>
      </c>
      <c r="C11" s="216">
        <f>IF((COUNTIF(Weeks!$K$7:$K$59,"pot*"))=0,"OK",(COUNTIF(Weeks!$K$7:$K$59,"pot*"))&amp;" to fix")</f>
        <v/>
      </c>
      <c r="D11" s="57" t="inlineStr">
        <is>
          <t>Weeks</t>
        </is>
      </c>
      <c r="E11" s="217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</row>
    <row r="12" ht="16.5" customHeight="1">
      <c r="A12" s="217" t="n"/>
      <c r="B12" s="207" t="inlineStr">
        <is>
          <t>Worker shares add up to each week's pot</t>
        </is>
      </c>
      <c r="C12" s="216">
        <f>IF((SUMPRODUCT(--(ABS(Weeks!$AK$7:$AK$59)&gt;12)))=0,"OK",(SUMPRODUCT(--(ABS(Weeks!$AK$7:$AK$59)&gt;12)))&amp;" to fix")</f>
        <v/>
      </c>
      <c r="D12" s="57" t="inlineStr">
        <is>
          <t>Weeks</t>
        </is>
      </c>
      <c r="E12" s="217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</row>
    <row r="13" ht="16.5" customHeight="1">
      <c r="A13" s="217" t="n"/>
      <c r="B13" s="207" t="inlineStr">
        <is>
          <t>A pay rate is set</t>
        </is>
      </c>
      <c r="C13" s="216">
        <f>IF((IF(COUNTIF(RateValues,"&gt;0")=0,1,0))=0,"OK",(IF(COUNTIF(RateValues,"&gt;0")=0,1,0))&amp;" to fix")</f>
        <v/>
      </c>
      <c r="D13" s="57" t="inlineStr">
        <is>
          <t>Settings</t>
        </is>
      </c>
      <c r="E13" s="217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</row>
    <row r="14" ht="16.5" customHeight="1">
      <c r="A14" s="217" t="n"/>
      <c r="B14" s="207" t="inlineStr">
        <is>
          <t>Rate dates are in order, oldest first</t>
        </is>
      </c>
      <c r="C14" s="216">
        <f>IF((SUMPRODUCT((Settings!$B$14:$B$32&lt;&gt;"")*(Settings!$B$14:$B$32&lt;=Settings!$B$13:$B$31)))=0,"OK",(SUMPRODUCT((Settings!$B$14:$B$32&lt;&gt;"")*(Settings!$B$14:$B$32&lt;=Settings!$B$13:$B$31)))&amp;" to fix")</f>
        <v/>
      </c>
      <c r="D14" s="57" t="inlineStr">
        <is>
          <t>Settings</t>
        </is>
      </c>
      <c r="E14" s="217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</row>
    <row r="15" ht="16.5" customHeight="1">
      <c r="A15" s="217" t="n"/>
      <c r="B15" s="207" t="inlineStr">
        <is>
          <t>Cash Ledger has room left</t>
        </is>
      </c>
      <c r="C15" s="216">
        <f>IF((IF(COUNT('Cash Ledger'!$B$7:$B$1006)&gt;950,1,0))=0,"OK",(IF(COUNT('Cash Ledger'!$B$7:$B$1006)&gt;950,1,0))&amp;" to fix")</f>
        <v/>
      </c>
      <c r="D15" s="57" t="inlineStr">
        <is>
          <t>Cash Ledger - nearly full, ask for a rebuild</t>
        </is>
      </c>
      <c r="E15" s="217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</row>
    <row r="16" ht="16.5" customHeight="1">
      <c r="A16" s="218" t="n"/>
      <c r="B16" s="207" t="inlineStr">
        <is>
          <t>Worker slots left</t>
        </is>
      </c>
      <c r="C16" s="216">
        <f>IF((IF(COUNTA(Workers!$B$6:$B$17)&gt;=12,1,0))=0,"OK",(IF(COUNTA(Workers!$B$6:$B$17)&gt;=12,1,0))&amp;" to fix")</f>
        <v/>
      </c>
      <c r="D16" s="57" t="inlineStr">
        <is>
          <t>Workers - all slots used, ask for a rebuild</t>
        </is>
      </c>
      <c r="E16" s="218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</row>
    <row r="17" ht="16.5" customHeight="1">
      <c r="A17" s="3" t="n"/>
      <c r="B17" s="217" t="n"/>
      <c r="C17" s="217" t="n"/>
      <c r="D17" s="217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</row>
    <row r="18" ht="17.25" customHeight="1">
      <c r="A18" s="3" t="n"/>
      <c r="B18" s="103" t="inlineStr">
        <is>
          <t>Warnings (not errors)</t>
        </is>
      </c>
      <c r="C18" s="217" t="n"/>
      <c r="D18" s="217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</row>
    <row r="19" ht="16.5" customHeight="1">
      <c r="A19" s="217" t="n"/>
      <c r="B19" s="207" t="inlineStr">
        <is>
          <t>Advances bigger than what the worker had earned so far</t>
        </is>
      </c>
      <c r="C19" s="216">
        <f>COUNTIF('Cash Ledger'!$M$7:$M$1006,"Warning*")</f>
        <v/>
      </c>
      <c r="D19" s="57" t="inlineStr">
        <is>
          <t>Allowed - just so you know. Shows as debt carried forward.</t>
        </is>
      </c>
      <c r="E19" s="217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</row>
    <row r="20" ht="16.5" customHeight="1">
      <c r="A20" s="218" t="n"/>
      <c r="B20" s="209" t="inlineStr">
        <is>
          <t>Weeks with a high reject rate</t>
        </is>
      </c>
      <c r="C20" s="120">
        <f>COUNTIF(Weeks!$K$7:$K$59,"?*")-COUNTIF(Weeks!$K$7:$K$59,"pot*")</f>
        <v/>
      </c>
      <c r="D20" s="98" t="inlineStr">
        <is>
          <t>Weeks</t>
        </is>
      </c>
      <c r="E20" s="218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</row>
  </sheetData>
  <mergeCells count="11">
    <mergeCell ref="H1:J1"/>
    <mergeCell ref="Q1:R1"/>
    <mergeCell ref="X1:Y1"/>
    <mergeCell ref="V1:W1"/>
    <mergeCell ref="K1:L1"/>
    <mergeCell ref="C5:D5"/>
    <mergeCell ref="T1:U1"/>
    <mergeCell ref="O1:P1"/>
    <mergeCell ref="A1:B1"/>
    <mergeCell ref="M1:N1"/>
    <mergeCell ref="E1:G1"/>
  </mergeCells>
  <conditionalFormatting sqref="C5">
    <cfRule type="expression" priority="4" dxfId="0">
      <formula>C5="ALL CHECKS OK"</formula>
    </cfRule>
    <cfRule type="expression" priority="5" dxfId="1">
      <formula>C5&lt;&gt;"ALL CHECKS OK"</formula>
    </cfRule>
  </conditionalFormatting>
  <conditionalFormatting sqref="C8:C16">
    <cfRule type="expression" priority="2" dxfId="1">
      <formula>C8&lt;&gt;"OK"</formula>
    </cfRule>
    <cfRule type="expression" priority="3" dxfId="0">
      <formula>C8="OK"</formula>
    </cfRule>
  </conditionalFormatting>
  <hyperlinks>
    <hyperlink ref="C1" location="'Home'!A1" tooltip="Go to Home" display="Home"/>
    <hyperlink ref="D1" location="'Daily Log'!A1" tooltip="Go to Daily Log" display="Daily Log"/>
    <hyperlink ref="E1" location="'Cash Ledger'!A1" tooltip="Go to Cash Ledger" display="Cash Ledger"/>
    <hyperlink ref="H1" location="'Weekly Pay'!A1" tooltip="Go to Weekly Pay" display="Weekly Pay"/>
    <hyperlink ref="K1" location="'Payslip'!A1" tooltip="Go to Payslip" display="Payslip"/>
    <hyperlink ref="M1" location="'Workers'!A1" tooltip="Go to Workers" display="Workers"/>
    <hyperlink ref="O1" location="'Settings'!A1" tooltip="Go to Settings" display="Settings"/>
    <hyperlink ref="Q1" location="'Guide'!A1" tooltip="Go to Guide" display="Guide"/>
    <hyperlink ref="T1" location="'Worker History'!A1" tooltip="Go to Worker History" display="History"/>
    <hyperlink ref="V1" location="'Weeks'!A1" tooltip="Go to Weeks" display="Weeks"/>
  </hyperlink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CBD5E1"/>
    <outlinePr summaryBelow="1" summaryRight="1"/>
    <pageSetUpPr/>
  </sheetPr>
  <dimension ref="A1:A115"/>
  <sheetViews>
    <sheetView showGridLines="0" tabSelected="1" workbookViewId="0">
      <selection activeCell="A1" sqref="A1"/>
    </sheetView>
  </sheetViews>
  <sheetFormatPr baseColWidth="8" defaultRowHeight="15"/>
  <cols>
    <col width="171.42578125" customWidth="1" style="225" min="1" max="1"/>
  </cols>
  <sheetData>
    <row r="1" ht="16.5" customHeight="1">
      <c r="A1" s="226" t="inlineStr">
        <is>
          <t>Project Notes: to make a .md file, copy A3 to the last line into Notepad and save as Donabay_project_notes.md</t>
        </is>
      </c>
    </row>
    <row r="2"/>
    <row r="3">
      <c r="A3" s="228" t="inlineStr">
        <is>
          <t># Donabay – Project Notes (handover)</t>
        </is>
      </c>
    </row>
    <row r="4">
      <c r="A4" s="227" t="n"/>
    </row>
    <row r="5">
      <c r="A5" s="227" t="inlineStr">
        <is>
          <t>_Last updated: 24 Sep 2026. File: **Donabay.xlsx**_</t>
        </is>
      </c>
    </row>
    <row r="6">
      <c r="A6" s="227" t="n"/>
    </row>
    <row r="7" ht="26.25" customHeight="1">
      <c r="A7" s="227" t="inlineStr">
        <is>
          <t>Weekly pay workbook for a filler-block plant. The crew is paid **per good block** and the weekly pot is **shared by days worked**. Advances are logged in a cash ledger and taken off the next pay. Plain Excel only: no macros, no add-ins.</t>
        </is>
      </c>
    </row>
    <row r="8">
      <c r="A8" s="227" t="n"/>
    </row>
    <row r="9">
      <c r="A9" s="227" t="inlineStr">
        <is>
          <t>---</t>
        </is>
      </c>
    </row>
    <row r="10">
      <c r="A10" s="227" t="n"/>
    </row>
    <row r="11">
      <c r="A11" s="228" t="inlineStr">
        <is>
          <t>## 1. How the business rules work</t>
        </is>
      </c>
    </row>
    <row r="12">
      <c r="A12" s="227" t="n"/>
    </row>
    <row r="13">
      <c r="A13" s="227" t="inlineStr">
        <is>
          <t>| Rule | How it works |</t>
        </is>
      </c>
    </row>
    <row r="14">
      <c r="A14" s="227" t="inlineStr">
        <is>
          <t>|---|---|</t>
        </is>
      </c>
    </row>
    <row r="15" ht="26.25" customHeight="1">
      <c r="A15" s="227" t="inlineStr">
        <is>
          <t>| Pay base | Only good blocks are paid: `Good = Moulded − Broken`. `Paid blocks = Moulded − MAX(0, Broken − BreakAllow × Moulded)`. BreakAllow is currently 0%, so paid = good. |</t>
        </is>
      </c>
    </row>
    <row r="16" ht="26.25" customHeight="1">
      <c r="A16" s="227" t="inlineStr">
        <is>
          <t>| Pay rate | Settings rate table: so'm per paid block, each rate with a start date. The rate in force on each day is looked up, so old weeks keep their old rate. Current rate: **500 so'm from 2026-08-31**. |</t>
        </is>
      </c>
    </row>
    <row r="17">
      <c r="A17" s="227" t="inlineStr">
        <is>
          <t>| Weekly pot | Sum of the week's daily pay values (paid blocks × rate). |</t>
        </is>
      </c>
    </row>
    <row r="18">
      <c r="A18" s="227" t="inlineStr">
        <is>
          <t>| Split | Worker share = pot × (worker's days ÷ total crew-days). Attendance: `1` = full day, `0.5` = half day, empty = absent. |</t>
        </is>
      </c>
    </row>
    <row r="19">
      <c r="A19" s="227" t="inlineStr">
        <is>
          <t>| Advances | Logged in the Cash Ledger as type **Advance** and taken off that week's pay. |</t>
        </is>
      </c>
    </row>
    <row r="20" ht="26.25" customHeight="1">
      <c r="A20" s="227" t="inlineStr">
        <is>
          <t>| Debt | Pay never goes negative. If a worker owes money, TO PAY is 0 and the debt carries forward. At most **DebtCap** of a week's earnings (currently 100%) goes to paying back old debt. Note: Uzbek labour law caps wage deductions at 50% for formally employed staff. |</t>
        </is>
      </c>
    </row>
    <row r="21">
      <c r="A21" s="227" t="inlineStr">
        <is>
          <t>| Weeks | Monday to Sunday. The first week starts **2026-08-31**. |</t>
        </is>
      </c>
    </row>
    <row r="22">
      <c r="A22" s="227" t="inlineStr">
        <is>
          <t>| Mistakes | Never delete a ledger row. Add a **Correction** row with the opposite amount. |</t>
        </is>
      </c>
    </row>
    <row r="23">
      <c r="A23" s="227" t="n"/>
    </row>
    <row r="24">
      <c r="A24" s="228" t="inlineStr">
        <is>
          <t>## 2. Sheets (in tab order)</t>
        </is>
      </c>
    </row>
    <row r="25">
      <c r="A25" s="227" t="n"/>
    </row>
    <row r="26">
      <c r="A26" s="227" t="inlineStr">
        <is>
          <t>| # | Sheet | Purpose | Frozen | Notes |</t>
        </is>
      </c>
    </row>
    <row r="27">
      <c r="A27" s="227" t="inlineStr">
        <is>
          <t>|---|---|---|---|---|</t>
        </is>
      </c>
    </row>
    <row r="28" ht="26.25" customHeight="1">
      <c r="A28" s="227" t="inlineStr">
        <is>
          <t>| 1 | **Home** | Dashboard, the file opens here | – | KPI cards (rows 6–8), Workbook health (B11:I23), Quick actions (K11:R19), Crew table (rows 29–41). Hidden helper T3 = row of the current week in Weeks. The week shown is the current calendar week (the Monday of today). |</t>
        </is>
      </c>
    </row>
    <row r="29" ht="39" customHeight="1">
      <c r="A29" s="227" t="inlineStr">
        <is>
          <t>| 2 | **Daily Log** | One row per day (rows 7:377) | A1:B6 | A Date · B Day · C Moulded · D Broken · E Good · F Paid blocks · **G:R attendance for worker slots W01–W12** · S Crew-days · T Rate · U Pay value · V Week of · W Check · X Notes. Today's row is highlighted green. Attendance only accepts values from 0 to 1. Some columns are grouped (collapsed). |</t>
        </is>
      </c>
    </row>
    <row r="30" ht="26.25" customHeight="1">
      <c r="A30" s="227" t="inlineStr">
        <is>
          <t>| 3 | **Cash Ledger** | Every so'm handed out (rows 7:1006) | rows 1:6 | A # · B Date · C Worker · D Type (Advance / Weekly pay / Correction) · E Amount · F Reason · G Given by · H Signed? · I ID · J Week of · K key · L Worker balance after · M Check. The totals row is row 4. I:K are grouped helper columns. |</t>
        </is>
      </c>
    </row>
    <row r="31" ht="39" customHeight="1">
      <c r="A31" s="227" t="inlineStr">
        <is>
          <t>| 4 | **Weekly Pay** | Payday screen | A1:B11 | Week picker in **C5**. Worker rows 12:23 (slots W01–W12), crew total in row 24. F Earned · G Brought forward · H Advances · I Corrections · J Due · **K TO PAY** · L Paid (in ledger) · M Still to pay · N Carried forward · O Note. **Q:T "Ready for the Cash Ledger"** lists the rows to copy and Paste Values into the ledger. U is a hidden helper column. |</t>
        </is>
      </c>
    </row>
    <row r="32">
      <c r="A32" s="227" t="inlineStr">
        <is>
          <t>| 5 | **Payslip** | Printable slip | row 1 | Week in C5, worker in C6. Lists that week's advances and has signature lines. |</t>
        </is>
      </c>
    </row>
    <row r="33">
      <c r="A33" s="227" t="inlineStr">
        <is>
          <t>| 6 | Worker History | One worker's account week by week | rows 1:7 | Worker picker in row 5. |</t>
        </is>
      </c>
    </row>
    <row r="34" ht="26.25" customHeight="1">
      <c r="A34" s="227" t="inlineStr">
        <is>
          <t>| 7 | Workers | 12 fixed slots W01–W12 (rows 6:17) | rows 1:5 | ID · Name · Status (Active/Left) · Joined · Left on · Phone · Notes · Check. Never delete or reuse a slot. |</t>
        </is>
      </c>
    </row>
    <row r="35">
      <c r="A35" s="227" t="inlineStr">
        <is>
          <t>| 8 | Settings | Rules and pay rates | row 1 | C6 BreakAllow · C7 DebtCap · C8 RejectAlarm (8%). Rate table B13:C32. Dropdown lists F6:H8. |</t>
        </is>
      </c>
    </row>
    <row r="36">
      <c r="A36" s="227" t="inlineStr">
        <is>
          <t>| 9 | Guide | User instructions (was "Start here") | row 1 | |</t>
        </is>
      </c>
    </row>
    <row r="37" ht="26.25" customHeight="1">
      <c r="A37" s="227" t="inlineStr">
        <is>
          <t>| 10 | Weeks | Calculation engine, one row per week (rows 7:59) | A1:B6 | A Week of … J Good per crew-day · K Check · **L:W days per worker** · **X:AI share per worker** · AJ Shares total · AK Shares − pot. Worker IDs are in row 5 and matched by Weekly Pay, Payslip and Worker History. |</t>
        </is>
      </c>
    </row>
    <row r="38">
      <c r="A38" s="227" t="inlineStr">
        <is>
          <t>| 11 | Checks | Self-checks | row 1 | C5 overall result ("ALL CHECKS OK"), 9 checks in B8:C16, warnings B19:C20. |</t>
        </is>
      </c>
    </row>
    <row r="39">
      <c r="A39" s="227" t="inlineStr">
        <is>
          <t>| 12 | Project Notes | These notes | – | |</t>
        </is>
      </c>
    </row>
    <row r="40">
      <c r="A40" s="227" t="n"/>
    </row>
    <row r="41">
      <c r="A41" s="228" t="inlineStr">
        <is>
          <t>### Named ranges</t>
        </is>
      </c>
    </row>
    <row r="42" ht="39" customHeight="1">
      <c r="A42" s="227" t="inlineStr">
        <is>
          <t>`BreakAllow=Settings!C6` · `DebtCap=Settings!C7` · `RejectAlarm=Settings!C8` · `RateDates=Settings!B13:B32` · `RateValues=Settings!C13:C32` · `EntryTypes=Settings!F6:F8` · `StatusList=Settings!G6:G7` · `YesNo=Settings!H6:H7` · `WeekStarts=Weeks!A7:A59` · `WorkerIDs=Workers!A6:A17` · `WorkerNames=Workers!B6:B17`</t>
        </is>
      </c>
    </row>
    <row r="43">
      <c r="A43" s="227" t="n"/>
    </row>
    <row r="44">
      <c r="A44" s="228" t="inlineStr">
        <is>
          <t>## 3. Current data (at handover)</t>
        </is>
      </c>
    </row>
    <row r="45">
      <c r="A45" s="227" t="n"/>
    </row>
    <row r="46">
      <c r="A46" s="227" t="inlineStr">
        <is>
          <t>- **Workers:** W01 Davlatbek, W02 Xusanboy, W03 Oybek, W04 Nomonjon (was mistyped as Abdurashid). All Active and working since at least 4 Sep; real joining dates still to be entered. W05–W12 are empty.</t>
        </is>
      </c>
    </row>
    <row r="47">
      <c r="A47" s="227" t="inlineStr">
        <is>
          <t>- **Week of 2026-09-21** (as of 23 Sep): moulded 11,978, broken 121, good 11,857, pot 5,928,500 so'm, 24 crew-days, reject rate 1.0%.</t>
        </is>
      </c>
    </row>
    <row r="48">
      <c r="A48" s="227" t="inlineStr">
        <is>
          <t>- **Advances:** Davlatbek 150,000 (21 Sep) and Xusanboy 500,000 (22 Sep), 650,000 in total. TO PAY for the crew was 5,278,500.</t>
        </is>
      </c>
    </row>
    <row r="49">
      <c r="A49" s="227" t="inlineStr">
        <is>
          <t>- Checks: **ALL CHECKS OK**.</t>
        </is>
      </c>
    </row>
    <row r="50">
      <c r="A50" s="227" t="inlineStr">
        <is>
          <t>- More Daily Log rows were entered after this; check the file for the latest figures.</t>
        </is>
      </c>
    </row>
    <row r="51">
      <c r="A51" s="227" t="n"/>
    </row>
    <row r="52">
      <c r="A52" s="228" t="inlineStr">
        <is>
          <t>## 4. Design system (Light &amp; clean)</t>
        </is>
      </c>
    </row>
    <row r="53">
      <c r="A53" s="227" t="n"/>
    </row>
    <row r="54">
      <c r="A54" s="227" t="inlineStr">
        <is>
          <t>- Font **Segoe UI**. White background, no gridlines.</t>
        </is>
      </c>
    </row>
    <row r="55">
      <c r="A55" s="227" t="inlineStr">
        <is>
          <t>- Colours:</t>
        </is>
      </c>
    </row>
    <row r="56">
      <c r="A56" s="227" t="inlineStr">
        <is>
          <t xml:space="preserve">  - ink `#0F172A`, text `#334155`, muted `#64748B`, border `#E2E8F0`, surface `#F8FAFC`</t>
        </is>
      </c>
    </row>
    <row r="57">
      <c r="A57" s="227" t="inlineStr">
        <is>
          <t xml:space="preserve">  - accent `#4F46E5` / `#4338CA`, accent soft `#EEF2FF`</t>
        </is>
      </c>
    </row>
    <row r="58">
      <c r="A58" s="227" t="inlineStr">
        <is>
          <t xml:space="preserve">  - success `#16A34A` / `#DCFCE7`, warning `#B45309` / `#FEF3C7`, danger `#B91C1C` / `#FEE2E2`</t>
        </is>
      </c>
    </row>
    <row r="59">
      <c r="A59" s="227" t="inlineStr">
        <is>
          <t>- **Input cells:** fill `#EEF2FF`, text `#3730A3` (light blue = you type here). Calculated cells are white.</t>
        </is>
      </c>
    </row>
    <row r="60">
      <c r="A60" s="227" t="inlineStr">
        <is>
          <t>- Table headers: fill `#F8FAFC`, bold 9pt `#475569`, bottom border `#CBD5E1`. Rows have thin horizontal lines only.</t>
        </is>
      </c>
    </row>
    <row r="61">
      <c r="A61" s="227" t="inlineStr">
        <is>
          <t>- Number format `#,##0` (the old `# ##0` displayed wrongly, e.g. "5928 500"). Zeros show as `–`. Percentages `0.0%`.</t>
        </is>
      </c>
    </row>
    <row r="62" ht="26.25" customHeight="1">
      <c r="A62" s="227" t="inlineStr">
        <is>
          <t>- **Nav bar (row 1, every sheet):** "◆ Donabay" brand, then links Home · Daily Log · Cash Ledger · Weekly Pay · Payslip · Workers · Settings · Guide, with History · Weeks · Checks in lighter grey. The current page has fill `#EEF2FF`, text `#4338CA` and a thick indigo bottom border. Row height 30. Some nav cells are **merged**.</t>
        </is>
      </c>
    </row>
    <row r="63">
      <c r="A63" s="227" t="inlineStr">
        <is>
          <t>- Tab colours: indigo for Home, Daily Log, Cash Ledger, Weekly Pay and Payslip. Grey for the rest.</t>
        </is>
      </c>
    </row>
    <row r="64">
      <c r="A64" s="227" t="n"/>
    </row>
    <row r="65">
      <c r="A65" s="228" t="inlineStr">
        <is>
          <t>## 5. Change log</t>
        </is>
      </c>
    </row>
    <row r="66">
      <c r="A66" s="227" t="n"/>
    </row>
    <row r="67">
      <c r="A67" s="227" t="inlineStr">
        <is>
          <t>1. Built the core workbook: Daily Log, Cash Ledger, Weekly Pay, Payslip, Workers, Settings, Weeks, Checks and Start here.</t>
        </is>
      </c>
    </row>
    <row r="68">
      <c r="A68" s="227" t="inlineStr">
        <is>
          <t>2. Tried checkboxes for attendance. The user couldn't tick them, so this was **rolled back** to 1 / 0.5 / empty.</t>
        </is>
      </c>
    </row>
    <row r="69">
      <c r="A69" s="227" t="inlineStr">
        <is>
          <t>3. Speed-ups:</t>
        </is>
      </c>
    </row>
    <row r="70">
      <c r="A70" s="227" t="inlineStr">
        <is>
          <t xml:space="preserve">   - Weekly Pay "Ready for the Cash Ledger" copy block.</t>
        </is>
      </c>
    </row>
    <row r="71">
      <c r="A71" s="227" t="inlineStr">
        <is>
          <t xml:space="preserve">   - Green highlight on today's row in the Daily Log.</t>
        </is>
      </c>
    </row>
    <row r="72">
      <c r="A72" s="227" t="inlineStr">
        <is>
          <t xml:space="preserve">   - Grouped helper columns.</t>
        </is>
      </c>
    </row>
    <row r="73">
      <c r="A73" s="227" t="inlineStr">
        <is>
          <t xml:space="preserve">   - Tips lines.</t>
        </is>
      </c>
    </row>
    <row r="74">
      <c r="A74" s="227" t="inlineStr">
        <is>
          <t>4. Redesign:</t>
        </is>
      </c>
    </row>
    <row r="75">
      <c r="A75" s="227" t="inlineStr">
        <is>
          <t xml:space="preserve">   - Inserted nav row 1 on all sheets, which moved every row down by 1.</t>
        </is>
      </c>
    </row>
    <row r="76">
      <c r="A76" s="227" t="inlineStr">
        <is>
          <t xml:space="preserve">   - New Home dashboard.</t>
        </is>
      </c>
    </row>
    <row r="77">
      <c r="A77" s="227" t="inlineStr">
        <is>
          <t xml:space="preserve">   - Restyled every sheet.</t>
        </is>
      </c>
    </row>
    <row r="78">
      <c r="A78" s="227" t="inlineStr">
        <is>
          <t xml:space="preserve">   - Renamed Start here to Guide.</t>
        </is>
      </c>
    </row>
    <row r="79">
      <c r="A79" s="227" t="inlineStr">
        <is>
          <t xml:space="preserve">   - Fixed the Cash Ledger # numbering.</t>
        </is>
      </c>
    </row>
    <row r="80">
      <c r="A80" s="227" t="inlineStr">
        <is>
          <t xml:space="preserve">   - Moved the Corrections total.</t>
        </is>
      </c>
    </row>
    <row r="81">
      <c r="A81" s="227" t="inlineStr">
        <is>
          <t xml:space="preserve">   - Amounts inside message text now show as `#,##0`.</t>
        </is>
      </c>
    </row>
    <row r="82">
      <c r="A82" s="227" t="inlineStr">
        <is>
          <t>5. **Removed cement tracking.** The plant uses batching weight controls, so these were dropped:</t>
        </is>
      </c>
    </row>
    <row r="83">
      <c r="A83" s="227" t="inlineStr">
        <is>
          <t xml:space="preserve">   - Daily Log Cement column.</t>
        </is>
      </c>
    </row>
    <row r="84">
      <c r="A84" s="227" t="inlineStr">
        <is>
          <t xml:space="preserve">   - Weeks Cement bags and Bags per 1000 columns.</t>
        </is>
      </c>
    </row>
    <row r="85">
      <c r="A85" s="227" t="inlineStr">
        <is>
          <t xml:space="preserve">   - The cement check in the Weeks Check column.</t>
        </is>
      </c>
    </row>
    <row r="86">
      <c r="A86" s="227" t="inlineStr">
        <is>
          <t xml:space="preserve">   - The Settings "expected bags" row and the `CementNorm` name.</t>
        </is>
      </c>
    </row>
    <row r="87">
      <c r="A87" s="227" t="inlineStr">
        <is>
          <t xml:space="preserve">   - The cement wording in the Checks warning.</t>
        </is>
      </c>
    </row>
    <row r="88">
      <c r="A88" s="227" t="inlineStr">
        <is>
          <t>6. Added this Project Notes tab (24 Sep 2026).</t>
        </is>
      </c>
    </row>
    <row r="89">
      <c r="A89" t="inlineStr">
        <is>
          <t>7. **Imported the old hand-kept sheet (24 Sep 2026).** The calendar now starts Mon 31 Aug: 4-18 Sep production and the Avans/Berdim cash went in as written. W04 was renamed to Nomonjon. Cells the owner must confirm are amber with a comment: unknown cash dates, three payments that disagree with the old sheet's Qoldi, joining dates, and 25-26 Sep entered in advance.</t>
        </is>
      </c>
    </row>
    <row r="90">
      <c r="A90" t="inlineStr">
        <is>
          <t xml:space="preserve">   - The old 4-9 Sep pay period spans two Monday-Sunday weeks here, so it shows as two weeks on Weekly Pay. The running balances are the same.</t>
        </is>
      </c>
    </row>
    <row r="91">
      <c r="A91" s="227" t="n"/>
    </row>
    <row r="92">
      <c r="A92" s="228" t="inlineStr">
        <is>
          <t>## 6. Known quirks and lessons</t>
        </is>
      </c>
    </row>
    <row r="93">
      <c r="A93" s="227" t="n"/>
    </row>
    <row r="94">
      <c r="A94" s="227" t="inlineStr">
        <is>
          <t>- Link formulas are **blocked** in this environment. Nav links are static cell links (Insert → Link → Place in this document).</t>
        </is>
      </c>
    </row>
    <row r="95">
      <c r="A95" s="227" t="inlineStr">
        <is>
          <t>- Nav bar cells can be merged. Unmerge them before inserting or deleting columns near the nav links, then rebuild.</t>
        </is>
      </c>
    </row>
    <row r="96" ht="26.25" customHeight="1">
      <c r="A96" s="227" t="inlineStr">
        <is>
          <t>- Inserting or deleting columns on Daily Log or Weeks moves the nav bar links. Check row 1 afterwards.</t>
        </is>
      </c>
    </row>
    <row r="97">
      <c r="A97" s="227" t="inlineStr">
        <is>
          <t>- Payslip printing has **not been test-printed** since the redesign.</t>
        </is>
      </c>
    </row>
    <row r="98">
      <c r="A98" s="227" t="inlineStr">
        <is>
          <t>- Capacity: Daily Log runs to row 377 (about 1 year), the Cash Ledger has 1,000 rows, Weeks has 53 rows, and there are 12 worker slots. Checks warns when these are nearly full.</t>
        </is>
      </c>
    </row>
    <row r="99">
      <c r="A99" s="227" t="inlineStr">
        <is>
          <t>- These notes are kept on this tab so they travel with the workbook.</t>
        </is>
      </c>
    </row>
    <row r="100">
      <c r="A100" s="227" t="n"/>
    </row>
    <row r="101">
      <c r="A101" s="228" t="inlineStr">
        <is>
          <t>## 7. Daily use (quick reference)</t>
        </is>
      </c>
    </row>
    <row r="102">
      <c r="A102" s="227" t="n"/>
    </row>
    <row r="103">
      <c r="A103" s="227" t="inlineStr">
        <is>
          <t>- **Every day (Daily Log):** enter moulded, broken, and 1 / 0.5 / empty for each worker.</t>
        </is>
      </c>
    </row>
    <row r="104">
      <c r="A104" s="227" t="inlineStr">
        <is>
          <t xml:space="preserve">  - Fast fill: select the cells, type `1`, then press **Ctrl+Enter** (Mac: Control+Return).</t>
        </is>
      </c>
    </row>
    <row r="105" ht="26.25" customHeight="1">
      <c r="A105" s="227" t="inlineStr">
        <is>
          <t xml:space="preserve">  - Ctrl+D fills down and Ctrl+R fills right.</t>
        </is>
      </c>
    </row>
    <row r="106">
      <c r="A106" s="227" t="inlineStr">
        <is>
          <t>- **Advance:** add a Cash Ledger row with date, worker, `Advance`, amount and reason. Ctrl+; enters today's date.</t>
        </is>
      </c>
    </row>
    <row r="107">
      <c r="A107" s="227" t="inlineStr">
        <is>
          <t>- **Payday:** on Weekly Pay, pick the week, check Checks says OK, and pay the **TO PAY** amounts. Then copy the "Ready for the Cash Ledger" list and Paste Values into the next empty ledger row. Print the Payslips and have each worker sign.</t>
        </is>
      </c>
    </row>
    <row r="108">
      <c r="A108" s="227" t="inlineStr">
        <is>
          <t>- **New worker:** fill the next empty slot on Workers and set it Active. **Leaver:** set Left and never delete the row.</t>
        </is>
      </c>
    </row>
    <row r="109">
      <c r="A109" s="227" t="inlineStr">
        <is>
          <t>- **Rate change:** add a new row to the Settings rate table with the start date.</t>
        </is>
      </c>
    </row>
    <row r="110">
      <c r="A110" s="227" t="n"/>
    </row>
    <row r="111">
      <c r="A111" s="228" t="inlineStr">
        <is>
          <t>## 8. Possible next steps</t>
        </is>
      </c>
    </row>
    <row r="112">
      <c r="A112" s="227" t="n"/>
    </row>
    <row r="113">
      <c r="A113" s="227" t="inlineStr">
        <is>
          <t>- Test-print the Payslip and set the print area and page setup.</t>
        </is>
      </c>
    </row>
    <row r="114">
      <c r="A114" s="227" t="inlineStr">
        <is>
          <t>- Optional: monthly summary or chart on Home.</t>
        </is>
      </c>
    </row>
    <row r="115">
      <c r="A115" s="227" t="inlineStr">
        <is>
          <t>- Optional: extend capacity (more worker slots or ledger rows) when Checks warns.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2026-09-23T07:56:16Z</dcterms:created>
  <dcterms:modified xsi:type="dcterms:W3CDTF">2026-09-24T06:39:32Z</dcterms:modified>
  <cp:lastModifiedBy>Azizbek Dadabaev</cp:lastModifiedBy>
  <cp:revision>0</cp:revision>
</cp:coreProperties>
</file>