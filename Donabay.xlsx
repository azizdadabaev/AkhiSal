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ziz\Downloads\"/>
    </mc:Choice>
  </mc:AlternateContent>
  <xr:revisionPtr revIDLastSave="0" documentId="13_ncr:1_{112DBDAF-E185-440E-9A85-BD7329FB7EBF}" xr6:coauthVersionLast="47" xr6:coauthVersionMax="47" xr10:uidLastSave="{00000000-0000-0000-0000-000000000000}"/>
  <bookViews>
    <workbookView xWindow="-120" yWindow="-120" windowWidth="29040" windowHeight="15720" tabRatio="500" firstSheet="5" activeTab="11" xr2:uid="{00000000-000D-0000-FFFF-FFFF00000000}"/>
  </bookViews>
  <sheets>
    <sheet name="Home" sheetId="11" r:id="rId1"/>
    <sheet name="Daily Log" sheetId="2" r:id="rId2"/>
    <sheet name="Cash Ledger" sheetId="3" r:id="rId3"/>
    <sheet name="Weekly Pay" sheetId="4" r:id="rId4"/>
    <sheet name="Payslip" sheetId="5" r:id="rId5"/>
    <sheet name="Worker History" sheetId="6" r:id="rId6"/>
    <sheet name="Workers" sheetId="7" r:id="rId7"/>
    <sheet name="Settings" sheetId="8" r:id="rId8"/>
    <sheet name="Guide" sheetId="1" r:id="rId9"/>
    <sheet name="Weeks" sheetId="10" r:id="rId10"/>
    <sheet name="Checks" sheetId="9" r:id="rId11"/>
    <sheet name="Project Notes" sheetId="12" r:id="rId12"/>
  </sheets>
  <definedNames>
    <definedName name="_xlnm._FilterDatabase" localSheetId="2" hidden="1">'Cash Ledger'!$A$6:$M$1006</definedName>
    <definedName name="BreakAllow">Settings!$C$6</definedName>
    <definedName name="DebtCap">Settings!$C$7</definedName>
    <definedName name="EntryTypes">Settings!$F$6:$F$8</definedName>
    <definedName name="_xlnm.Print_Area" localSheetId="4">Payslip!$B$8:$E$46</definedName>
    <definedName name="RateDates">Settings!$B$13:$B$32</definedName>
    <definedName name="RateValues">Settings!$C$13:$C$32</definedName>
    <definedName name="RejectAlarm">Settings!$C$8</definedName>
    <definedName name="StatusList">Settings!$G$6:$G$7</definedName>
    <definedName name="WeekStarts">Weeks!$A$7:$A$59</definedName>
    <definedName name="WorkerIDs">Workers!$A$6:$A$17</definedName>
    <definedName name="WorkerNames">Workers!$B$6:$B$17</definedName>
    <definedName name="YesNo">Settings!$H$6:$H$7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3" i="4" l="1"/>
  <c r="O22" i="4"/>
  <c r="O21" i="4"/>
  <c r="O20" i="4"/>
  <c r="O19" i="4"/>
  <c r="O18" i="4"/>
  <c r="O17" i="4"/>
  <c r="O16" i="4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4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B42" i="11"/>
  <c r="B41" i="11"/>
  <c r="I41" i="11" s="1" a="1"/>
  <c r="I41" i="11" s="1"/>
  <c r="B40" i="11"/>
  <c r="B39" i="11"/>
  <c r="B38" i="11"/>
  <c r="B37" i="11"/>
  <c r="B36" i="11"/>
  <c r="B35" i="11"/>
  <c r="B34" i="11"/>
  <c r="B33" i="11"/>
  <c r="B32" i="11"/>
  <c r="B31" i="11"/>
  <c r="B30" i="11"/>
  <c r="I13" i="11"/>
  <c r="I20" i="11"/>
  <c r="I21" i="11"/>
  <c r="B23" i="11"/>
  <c r="B22" i="11"/>
  <c r="B21" i="11"/>
  <c r="B20" i="11"/>
  <c r="B19" i="11"/>
  <c r="B18" i="11"/>
  <c r="B17" i="11"/>
  <c r="B16" i="11"/>
  <c r="B15" i="11"/>
  <c r="B14" i="11"/>
  <c r="B13" i="11"/>
  <c r="R41" i="11"/>
  <c r="O41" i="11" a="1"/>
  <c r="O41" i="11" s="1"/>
  <c r="L41" i="11"/>
  <c r="F41" i="11" a="1"/>
  <c r="F41" i="11" s="1"/>
  <c r="R40" i="11"/>
  <c r="O40" i="11" a="1"/>
  <c r="O40" i="11" s="1"/>
  <c r="L40" i="11"/>
  <c r="I40" i="11" a="1"/>
  <c r="I40" i="11" s="1"/>
  <c r="F40" i="11" a="1"/>
  <c r="F40" i="11" s="1"/>
  <c r="R39" i="11"/>
  <c r="O39" i="11" a="1"/>
  <c r="O39" i="11" s="1"/>
  <c r="L39" i="11"/>
  <c r="I39" i="11" a="1"/>
  <c r="I39" i="11" s="1"/>
  <c r="F39" i="11" a="1"/>
  <c r="F39" i="11" s="1"/>
  <c r="R38" i="11"/>
  <c r="O38" i="11" a="1"/>
  <c r="O38" i="11" s="1"/>
  <c r="L38" i="11"/>
  <c r="I38" i="11" a="1"/>
  <c r="I38" i="11" s="1"/>
  <c r="F38" i="11" a="1"/>
  <c r="F38" i="11" s="1"/>
  <c r="R37" i="11"/>
  <c r="O37" i="11" a="1"/>
  <c r="O37" i="11" s="1"/>
  <c r="L37" i="11"/>
  <c r="I37" i="11" a="1"/>
  <c r="I37" i="11" s="1"/>
  <c r="F37" i="11" a="1"/>
  <c r="F37" i="11" s="1"/>
  <c r="R36" i="11"/>
  <c r="O36" i="11" a="1"/>
  <c r="O36" i="11" s="1"/>
  <c r="L36" i="11"/>
  <c r="I36" i="11" a="1"/>
  <c r="I36" i="11" s="1"/>
  <c r="F36" i="11" a="1"/>
  <c r="F36" i="11" s="1"/>
  <c r="R35" i="11"/>
  <c r="O35" i="11" a="1"/>
  <c r="O35" i="11" s="1"/>
  <c r="L35" i="11"/>
  <c r="I35" i="11" a="1"/>
  <c r="I35" i="11" s="1"/>
  <c r="F35" i="11" a="1"/>
  <c r="F35" i="11" s="1"/>
  <c r="R34" i="11"/>
  <c r="O34" i="11" a="1"/>
  <c r="O34" i="11" s="1"/>
  <c r="L34" i="11"/>
  <c r="I34" i="11" a="1"/>
  <c r="I34" i="11" s="1"/>
  <c r="F34" i="11" a="1"/>
  <c r="F34" i="11" s="1"/>
  <c r="B28" i="11"/>
  <c r="Q8" i="11"/>
  <c r="E8" i="11"/>
  <c r="R3" i="11"/>
  <c r="T3" i="11" s="1"/>
  <c r="W150" i="2" a="1"/>
  <c r="W150" i="2" s="1"/>
  <c r="W174" i="2" a="1"/>
  <c r="W174" i="2" s="1"/>
  <c r="S7" i="2"/>
  <c r="S8" i="2"/>
  <c r="S9" i="2"/>
  <c r="S10" i="2"/>
  <c r="S11" i="2"/>
  <c r="S12" i="2"/>
  <c r="S13" i="2"/>
  <c r="W13" i="2" s="1" a="1"/>
  <c r="W13" i="2" s="1"/>
  <c r="S14" i="2"/>
  <c r="W14" i="2" s="1" a="1"/>
  <c r="W14" i="2" s="1"/>
  <c r="S15" i="2"/>
  <c r="W15" i="2" s="1" a="1"/>
  <c r="W15" i="2" s="1"/>
  <c r="S16" i="2"/>
  <c r="W16" i="2" s="1" a="1"/>
  <c r="W16" i="2" s="1"/>
  <c r="S17" i="2"/>
  <c r="W17" i="2" s="1" a="1"/>
  <c r="W17" i="2" s="1"/>
  <c r="S18" i="2"/>
  <c r="W18" i="2" s="1" a="1"/>
  <c r="W18" i="2" s="1"/>
  <c r="S19" i="2"/>
  <c r="W19" i="2" s="1" a="1"/>
  <c r="W19" i="2" s="1"/>
  <c r="S20" i="2"/>
  <c r="W20" i="2" s="1" a="1"/>
  <c r="W20" i="2" s="1"/>
  <c r="S21" i="2"/>
  <c r="W21" i="2" s="1" a="1"/>
  <c r="W21" i="2" s="1"/>
  <c r="S22" i="2"/>
  <c r="W22" i="2" s="1" a="1"/>
  <c r="W22" i="2" s="1"/>
  <c r="S23" i="2"/>
  <c r="W23" i="2" s="1" a="1"/>
  <c r="W23" i="2" s="1"/>
  <c r="S24" i="2"/>
  <c r="W24" i="2" s="1" a="1"/>
  <c r="W24" i="2" s="1"/>
  <c r="S25" i="2"/>
  <c r="W25" i="2" s="1" a="1"/>
  <c r="W25" i="2" s="1"/>
  <c r="S26" i="2"/>
  <c r="W26" i="2" s="1" a="1"/>
  <c r="W26" i="2" s="1"/>
  <c r="S27" i="2"/>
  <c r="W27" i="2" s="1" a="1"/>
  <c r="W27" i="2" s="1"/>
  <c r="S28" i="2"/>
  <c r="W28" i="2" s="1" a="1"/>
  <c r="W28" i="2" s="1"/>
  <c r="S29" i="2"/>
  <c r="W29" i="2" s="1" a="1"/>
  <c r="W29" i="2" s="1"/>
  <c r="S30" i="2"/>
  <c r="W30" i="2" s="1" a="1"/>
  <c r="W30" i="2" s="1"/>
  <c r="S31" i="2"/>
  <c r="W31" i="2" s="1" a="1"/>
  <c r="W31" i="2" s="1"/>
  <c r="S32" i="2"/>
  <c r="W32" i="2" s="1" a="1"/>
  <c r="W32" i="2" s="1"/>
  <c r="S33" i="2"/>
  <c r="W33" i="2" s="1" a="1"/>
  <c r="W33" i="2" s="1"/>
  <c r="S34" i="2"/>
  <c r="W34" i="2" s="1" a="1"/>
  <c r="W34" i="2" s="1"/>
  <c r="S35" i="2"/>
  <c r="W35" i="2" s="1" a="1"/>
  <c r="W35" i="2" s="1"/>
  <c r="S36" i="2"/>
  <c r="W36" i="2" s="1" a="1"/>
  <c r="W36" i="2" s="1"/>
  <c r="S37" i="2"/>
  <c r="W37" i="2" s="1" a="1"/>
  <c r="W37" i="2" s="1"/>
  <c r="S38" i="2"/>
  <c r="W38" i="2" s="1" a="1"/>
  <c r="W38" i="2" s="1"/>
  <c r="S39" i="2"/>
  <c r="W39" i="2" s="1" a="1"/>
  <c r="W39" i="2" s="1"/>
  <c r="S40" i="2"/>
  <c r="W40" i="2" s="1" a="1"/>
  <c r="W40" i="2" s="1"/>
  <c r="S41" i="2"/>
  <c r="W41" i="2" s="1" a="1"/>
  <c r="W41" i="2" s="1"/>
  <c r="S42" i="2"/>
  <c r="W42" i="2" s="1" a="1"/>
  <c r="W42" i="2" s="1"/>
  <c r="S43" i="2"/>
  <c r="W43" i="2" s="1" a="1"/>
  <c r="W43" i="2" s="1"/>
  <c r="S44" i="2"/>
  <c r="W44" i="2" s="1" a="1"/>
  <c r="W44" i="2" s="1"/>
  <c r="S45" i="2"/>
  <c r="W45" i="2" s="1" a="1"/>
  <c r="W45" i="2" s="1"/>
  <c r="S46" i="2"/>
  <c r="W46" i="2" s="1" a="1"/>
  <c r="W46" i="2" s="1"/>
  <c r="S47" i="2"/>
  <c r="W47" i="2" s="1" a="1"/>
  <c r="W47" i="2" s="1"/>
  <c r="S48" i="2"/>
  <c r="W48" i="2" s="1" a="1"/>
  <c r="W48" i="2" s="1"/>
  <c r="S49" i="2"/>
  <c r="W49" i="2" s="1" a="1"/>
  <c r="W49" i="2" s="1"/>
  <c r="S50" i="2"/>
  <c r="W50" i="2" s="1" a="1"/>
  <c r="W50" i="2" s="1"/>
  <c r="S51" i="2"/>
  <c r="W51" i="2" s="1" a="1"/>
  <c r="W51" i="2" s="1"/>
  <c r="S52" i="2"/>
  <c r="W52" i="2" s="1" a="1"/>
  <c r="W52" i="2" s="1"/>
  <c r="S53" i="2"/>
  <c r="W53" i="2" s="1" a="1"/>
  <c r="W53" i="2" s="1"/>
  <c r="S54" i="2"/>
  <c r="W54" i="2" s="1" a="1"/>
  <c r="W54" i="2" s="1"/>
  <c r="S55" i="2"/>
  <c r="W55" i="2" s="1" a="1"/>
  <c r="W55" i="2" s="1"/>
  <c r="S56" i="2"/>
  <c r="W56" i="2" s="1" a="1"/>
  <c r="W56" i="2" s="1"/>
  <c r="S57" i="2"/>
  <c r="W57" i="2" s="1" a="1"/>
  <c r="W57" i="2" s="1"/>
  <c r="S58" i="2"/>
  <c r="W58" i="2" s="1" a="1"/>
  <c r="W58" i="2" s="1"/>
  <c r="S59" i="2"/>
  <c r="W59" i="2" s="1" a="1"/>
  <c r="W59" i="2" s="1"/>
  <c r="S60" i="2"/>
  <c r="W60" i="2" s="1" a="1"/>
  <c r="W60" i="2" s="1"/>
  <c r="S61" i="2"/>
  <c r="W61" i="2" s="1" a="1"/>
  <c r="W61" i="2" s="1"/>
  <c r="S62" i="2"/>
  <c r="W62" i="2" s="1" a="1"/>
  <c r="W62" i="2" s="1"/>
  <c r="S63" i="2"/>
  <c r="W63" i="2" s="1" a="1"/>
  <c r="W63" i="2" s="1"/>
  <c r="S64" i="2"/>
  <c r="W64" i="2" s="1" a="1"/>
  <c r="W64" i="2" s="1"/>
  <c r="S65" i="2"/>
  <c r="W65" i="2" s="1" a="1"/>
  <c r="W65" i="2" s="1"/>
  <c r="S66" i="2"/>
  <c r="W66" i="2" s="1" a="1"/>
  <c r="W66" i="2" s="1"/>
  <c r="S67" i="2"/>
  <c r="W67" i="2" s="1" a="1"/>
  <c r="W67" i="2" s="1"/>
  <c r="S68" i="2"/>
  <c r="W68" i="2" s="1" a="1"/>
  <c r="W68" i="2" s="1"/>
  <c r="S69" i="2"/>
  <c r="W69" i="2" s="1" a="1"/>
  <c r="W69" i="2" s="1"/>
  <c r="S70" i="2"/>
  <c r="W70" i="2" s="1" a="1"/>
  <c r="W70" i="2" s="1"/>
  <c r="S71" i="2"/>
  <c r="W71" i="2" s="1" a="1"/>
  <c r="W71" i="2" s="1"/>
  <c r="S72" i="2"/>
  <c r="W72" i="2" s="1" a="1"/>
  <c r="W72" i="2" s="1"/>
  <c r="S73" i="2"/>
  <c r="W73" i="2" s="1" a="1"/>
  <c r="W73" i="2" s="1"/>
  <c r="S74" i="2"/>
  <c r="W74" i="2" s="1" a="1"/>
  <c r="W74" i="2" s="1"/>
  <c r="S75" i="2"/>
  <c r="W75" i="2" s="1" a="1"/>
  <c r="W75" i="2" s="1"/>
  <c r="S76" i="2"/>
  <c r="W76" i="2" s="1" a="1"/>
  <c r="W76" i="2" s="1"/>
  <c r="S77" i="2"/>
  <c r="W77" i="2" s="1" a="1"/>
  <c r="W77" i="2" s="1"/>
  <c r="S78" i="2"/>
  <c r="W78" i="2" s="1" a="1"/>
  <c r="W78" i="2" s="1"/>
  <c r="S79" i="2"/>
  <c r="W79" i="2" s="1" a="1"/>
  <c r="W79" i="2" s="1"/>
  <c r="S80" i="2"/>
  <c r="W80" i="2" s="1" a="1"/>
  <c r="W80" i="2" s="1"/>
  <c r="S81" i="2"/>
  <c r="W81" i="2" s="1" a="1"/>
  <c r="W81" i="2" s="1"/>
  <c r="S82" i="2"/>
  <c r="W82" i="2" s="1" a="1"/>
  <c r="W82" i="2" s="1"/>
  <c r="S83" i="2"/>
  <c r="W83" i="2" s="1" a="1"/>
  <c r="W83" i="2" s="1"/>
  <c r="S84" i="2"/>
  <c r="W84" i="2" s="1" a="1"/>
  <c r="W84" i="2" s="1"/>
  <c r="S85" i="2"/>
  <c r="W85" i="2" s="1" a="1"/>
  <c r="W85" i="2" s="1"/>
  <c r="S86" i="2"/>
  <c r="W86" i="2" s="1" a="1"/>
  <c r="W86" i="2" s="1"/>
  <c r="S87" i="2"/>
  <c r="W87" i="2" s="1" a="1"/>
  <c r="W87" i="2" s="1"/>
  <c r="S88" i="2"/>
  <c r="W88" i="2" s="1" a="1"/>
  <c r="W88" i="2" s="1"/>
  <c r="S89" i="2"/>
  <c r="W89" i="2" s="1" a="1"/>
  <c r="W89" i="2" s="1"/>
  <c r="S90" i="2"/>
  <c r="W90" i="2" s="1" a="1"/>
  <c r="W90" i="2" s="1"/>
  <c r="S91" i="2"/>
  <c r="W91" i="2" s="1" a="1"/>
  <c r="W91" i="2" s="1"/>
  <c r="S92" i="2"/>
  <c r="W92" i="2" s="1" a="1"/>
  <c r="W92" i="2" s="1"/>
  <c r="S93" i="2"/>
  <c r="W93" i="2" s="1" a="1"/>
  <c r="W93" i="2" s="1"/>
  <c r="S94" i="2"/>
  <c r="W94" i="2" s="1" a="1"/>
  <c r="W94" i="2" s="1"/>
  <c r="S95" i="2"/>
  <c r="W95" i="2" s="1" a="1"/>
  <c r="W95" i="2" s="1"/>
  <c r="S96" i="2"/>
  <c r="W96" i="2" s="1" a="1"/>
  <c r="W96" i="2" s="1"/>
  <c r="S97" i="2"/>
  <c r="W97" i="2" s="1" a="1"/>
  <c r="W97" i="2" s="1"/>
  <c r="S98" i="2"/>
  <c r="W98" i="2" s="1" a="1"/>
  <c r="W98" i="2" s="1"/>
  <c r="S99" i="2"/>
  <c r="W99" i="2" s="1" a="1"/>
  <c r="W99" i="2" s="1"/>
  <c r="S100" i="2"/>
  <c r="W100" i="2" s="1" a="1"/>
  <c r="W100" i="2" s="1"/>
  <c r="S101" i="2"/>
  <c r="W101" i="2" s="1" a="1"/>
  <c r="W101" i="2" s="1"/>
  <c r="S102" i="2"/>
  <c r="W102" i="2" s="1" a="1"/>
  <c r="W102" i="2" s="1"/>
  <c r="S103" i="2"/>
  <c r="W103" i="2" s="1" a="1"/>
  <c r="W103" i="2" s="1"/>
  <c r="S104" i="2"/>
  <c r="W104" i="2" s="1" a="1"/>
  <c r="W104" i="2" s="1"/>
  <c r="S105" i="2"/>
  <c r="W105" i="2" s="1" a="1"/>
  <c r="W105" i="2" s="1"/>
  <c r="S106" i="2"/>
  <c r="W106" i="2" s="1" a="1"/>
  <c r="W106" i="2" s="1"/>
  <c r="S107" i="2"/>
  <c r="W107" i="2" s="1" a="1"/>
  <c r="W107" i="2" s="1"/>
  <c r="S108" i="2"/>
  <c r="W108" i="2" s="1" a="1"/>
  <c r="W108" i="2" s="1"/>
  <c r="S109" i="2"/>
  <c r="W109" i="2" s="1" a="1"/>
  <c r="W109" i="2" s="1"/>
  <c r="S110" i="2"/>
  <c r="W110" i="2" s="1" a="1"/>
  <c r="W110" i="2" s="1"/>
  <c r="S111" i="2"/>
  <c r="W111" i="2" s="1" a="1"/>
  <c r="W111" i="2" s="1"/>
  <c r="S112" i="2"/>
  <c r="W112" i="2" s="1" a="1"/>
  <c r="W112" i="2" s="1"/>
  <c r="S113" i="2"/>
  <c r="W113" i="2" s="1" a="1"/>
  <c r="W113" i="2" s="1"/>
  <c r="S114" i="2"/>
  <c r="W114" i="2" s="1" a="1"/>
  <c r="W114" i="2" s="1"/>
  <c r="S115" i="2"/>
  <c r="W115" i="2" s="1" a="1"/>
  <c r="W115" i="2" s="1"/>
  <c r="S116" i="2"/>
  <c r="W116" i="2" s="1" a="1"/>
  <c r="W116" i="2" s="1"/>
  <c r="S117" i="2"/>
  <c r="W117" i="2" s="1" a="1"/>
  <c r="W117" i="2" s="1"/>
  <c r="S118" i="2"/>
  <c r="W118" i="2" s="1" a="1"/>
  <c r="W118" i="2" s="1"/>
  <c r="S119" i="2"/>
  <c r="W119" i="2" s="1" a="1"/>
  <c r="W119" i="2" s="1"/>
  <c r="S120" i="2"/>
  <c r="W120" i="2" s="1" a="1"/>
  <c r="W120" i="2" s="1"/>
  <c r="S121" i="2"/>
  <c r="W121" i="2" s="1" a="1"/>
  <c r="W121" i="2" s="1"/>
  <c r="S122" i="2"/>
  <c r="W122" i="2" s="1" a="1"/>
  <c r="W122" i="2" s="1"/>
  <c r="S123" i="2"/>
  <c r="W123" i="2" s="1" a="1"/>
  <c r="W123" i="2" s="1"/>
  <c r="S124" i="2"/>
  <c r="W124" i="2" s="1" a="1"/>
  <c r="W124" i="2" s="1"/>
  <c r="S125" i="2"/>
  <c r="W125" i="2" s="1" a="1"/>
  <c r="W125" i="2" s="1"/>
  <c r="S126" i="2"/>
  <c r="W126" i="2" s="1" a="1"/>
  <c r="W126" i="2" s="1"/>
  <c r="S127" i="2"/>
  <c r="W127" i="2" s="1" a="1"/>
  <c r="W127" i="2" s="1"/>
  <c r="S128" i="2"/>
  <c r="W128" i="2" s="1" a="1"/>
  <c r="W128" i="2" s="1"/>
  <c r="S129" i="2"/>
  <c r="W129" i="2" s="1" a="1"/>
  <c r="W129" i="2" s="1"/>
  <c r="S130" i="2"/>
  <c r="W130" i="2" s="1" a="1"/>
  <c r="W130" i="2" s="1"/>
  <c r="S131" i="2"/>
  <c r="W131" i="2" s="1" a="1"/>
  <c r="W131" i="2" s="1"/>
  <c r="S132" i="2"/>
  <c r="W132" i="2" s="1" a="1"/>
  <c r="W132" i="2" s="1"/>
  <c r="S133" i="2"/>
  <c r="W133" i="2" s="1" a="1"/>
  <c r="W133" i="2" s="1"/>
  <c r="S134" i="2"/>
  <c r="W134" i="2" s="1" a="1"/>
  <c r="W134" i="2" s="1"/>
  <c r="S135" i="2"/>
  <c r="W135" i="2" s="1" a="1"/>
  <c r="W135" i="2" s="1"/>
  <c r="S136" i="2"/>
  <c r="W136" i="2" s="1" a="1"/>
  <c r="W136" i="2" s="1"/>
  <c r="S137" i="2"/>
  <c r="W137" i="2" s="1" a="1"/>
  <c r="W137" i="2" s="1"/>
  <c r="S138" i="2"/>
  <c r="W138" i="2" s="1" a="1"/>
  <c r="W138" i="2" s="1"/>
  <c r="S139" i="2"/>
  <c r="W139" i="2" s="1" a="1"/>
  <c r="W139" i="2" s="1"/>
  <c r="S140" i="2"/>
  <c r="W140" i="2" s="1" a="1"/>
  <c r="W140" i="2" s="1"/>
  <c r="S141" i="2"/>
  <c r="W141" i="2" s="1" a="1"/>
  <c r="W141" i="2" s="1"/>
  <c r="S142" i="2"/>
  <c r="W142" i="2" s="1" a="1"/>
  <c r="W142" i="2" s="1"/>
  <c r="S143" i="2"/>
  <c r="W143" i="2" s="1" a="1"/>
  <c r="W143" i="2" s="1"/>
  <c r="S144" i="2"/>
  <c r="W144" i="2" s="1" a="1"/>
  <c r="W144" i="2" s="1"/>
  <c r="S145" i="2"/>
  <c r="W145" i="2" s="1" a="1"/>
  <c r="W145" i="2" s="1"/>
  <c r="S146" i="2"/>
  <c r="W146" i="2" s="1" a="1"/>
  <c r="W146" i="2" s="1"/>
  <c r="S147" i="2"/>
  <c r="W147" i="2" s="1" a="1"/>
  <c r="W147" i="2" s="1"/>
  <c r="S148" i="2"/>
  <c r="W148" i="2" s="1" a="1"/>
  <c r="W148" i="2" s="1"/>
  <c r="S149" i="2"/>
  <c r="W149" i="2" s="1" a="1"/>
  <c r="W149" i="2" s="1"/>
  <c r="S150" i="2"/>
  <c r="S151" i="2"/>
  <c r="W151" i="2" s="1" a="1"/>
  <c r="W151" i="2" s="1"/>
  <c r="S152" i="2"/>
  <c r="W152" i="2" s="1" a="1"/>
  <c r="W152" i="2" s="1"/>
  <c r="S153" i="2"/>
  <c r="W153" i="2" s="1" a="1"/>
  <c r="W153" i="2" s="1"/>
  <c r="S154" i="2"/>
  <c r="W154" i="2" s="1" a="1"/>
  <c r="W154" i="2" s="1"/>
  <c r="S155" i="2"/>
  <c r="W155" i="2" s="1" a="1"/>
  <c r="W155" i="2" s="1"/>
  <c r="S156" i="2"/>
  <c r="W156" i="2" s="1" a="1"/>
  <c r="W156" i="2" s="1"/>
  <c r="S157" i="2"/>
  <c r="W157" i="2" s="1" a="1"/>
  <c r="W157" i="2" s="1"/>
  <c r="S158" i="2"/>
  <c r="W158" i="2" s="1" a="1"/>
  <c r="W158" i="2" s="1"/>
  <c r="S159" i="2"/>
  <c r="W159" i="2" s="1" a="1"/>
  <c r="W159" i="2" s="1"/>
  <c r="S160" i="2"/>
  <c r="W160" i="2" s="1" a="1"/>
  <c r="W160" i="2" s="1"/>
  <c r="S161" i="2"/>
  <c r="W161" i="2" s="1" a="1"/>
  <c r="W161" i="2" s="1"/>
  <c r="S162" i="2"/>
  <c r="W162" i="2" s="1" a="1"/>
  <c r="W162" i="2" s="1"/>
  <c r="S163" i="2"/>
  <c r="W163" i="2" s="1" a="1"/>
  <c r="W163" i="2" s="1"/>
  <c r="S164" i="2"/>
  <c r="W164" i="2" s="1" a="1"/>
  <c r="W164" i="2" s="1"/>
  <c r="S165" i="2"/>
  <c r="W165" i="2" s="1" a="1"/>
  <c r="W165" i="2" s="1"/>
  <c r="S166" i="2"/>
  <c r="W166" i="2" s="1" a="1"/>
  <c r="W166" i="2" s="1"/>
  <c r="S167" i="2"/>
  <c r="W167" i="2" s="1" a="1"/>
  <c r="W167" i="2" s="1"/>
  <c r="S168" i="2"/>
  <c r="W168" i="2" s="1" a="1"/>
  <c r="W168" i="2" s="1"/>
  <c r="S169" i="2"/>
  <c r="W169" i="2" s="1" a="1"/>
  <c r="W169" i="2" s="1"/>
  <c r="S170" i="2"/>
  <c r="W170" i="2" s="1" a="1"/>
  <c r="W170" i="2" s="1"/>
  <c r="S171" i="2"/>
  <c r="W171" i="2" s="1" a="1"/>
  <c r="W171" i="2" s="1"/>
  <c r="S172" i="2"/>
  <c r="W172" i="2" s="1" a="1"/>
  <c r="W172" i="2" s="1"/>
  <c r="S173" i="2"/>
  <c r="W173" i="2" s="1" a="1"/>
  <c r="W173" i="2" s="1"/>
  <c r="S174" i="2"/>
  <c r="S175" i="2"/>
  <c r="W175" i="2" s="1" a="1"/>
  <c r="W175" i="2" s="1"/>
  <c r="S176" i="2"/>
  <c r="W176" i="2" s="1" a="1"/>
  <c r="W176" i="2" s="1"/>
  <c r="S177" i="2"/>
  <c r="W177" i="2" s="1" a="1"/>
  <c r="W177" i="2" s="1"/>
  <c r="S178" i="2"/>
  <c r="W178" i="2" s="1" a="1"/>
  <c r="W178" i="2" s="1"/>
  <c r="S179" i="2"/>
  <c r="W179" i="2" s="1" a="1"/>
  <c r="W179" i="2" s="1"/>
  <c r="S180" i="2"/>
  <c r="W180" i="2" s="1" a="1"/>
  <c r="W180" i="2" s="1"/>
  <c r="S181" i="2"/>
  <c r="W181" i="2" s="1" a="1"/>
  <c r="W181" i="2" s="1"/>
  <c r="S182" i="2"/>
  <c r="W182" i="2" s="1" a="1"/>
  <c r="W182" i="2" s="1"/>
  <c r="S183" i="2"/>
  <c r="W183" i="2" s="1" a="1"/>
  <c r="W183" i="2" s="1"/>
  <c r="S184" i="2"/>
  <c r="W184" i="2" s="1" a="1"/>
  <c r="W184" i="2" s="1"/>
  <c r="S185" i="2"/>
  <c r="W185" i="2" s="1" a="1"/>
  <c r="W185" i="2" s="1"/>
  <c r="S186" i="2"/>
  <c r="W186" i="2" s="1" a="1"/>
  <c r="W186" i="2" s="1"/>
  <c r="S187" i="2"/>
  <c r="W187" i="2" s="1" a="1"/>
  <c r="W187" i="2" s="1"/>
  <c r="S188" i="2"/>
  <c r="W188" i="2" s="1" a="1"/>
  <c r="W188" i="2" s="1"/>
  <c r="S189" i="2"/>
  <c r="W189" i="2" s="1" a="1"/>
  <c r="W189" i="2" s="1"/>
  <c r="S190" i="2"/>
  <c r="W190" i="2" s="1" a="1"/>
  <c r="W190" i="2" s="1"/>
  <c r="S191" i="2"/>
  <c r="W191" i="2" s="1" a="1"/>
  <c r="W191" i="2" s="1"/>
  <c r="S192" i="2"/>
  <c r="W192" i="2" s="1" a="1"/>
  <c r="W192" i="2" s="1"/>
  <c r="S193" i="2"/>
  <c r="W193" i="2" s="1" a="1"/>
  <c r="W193" i="2" s="1"/>
  <c r="S194" i="2"/>
  <c r="W194" i="2" s="1" a="1"/>
  <c r="W194" i="2" s="1"/>
  <c r="S195" i="2"/>
  <c r="W195" i="2" s="1" a="1"/>
  <c r="W195" i="2" s="1"/>
  <c r="S196" i="2"/>
  <c r="W196" i="2" s="1" a="1"/>
  <c r="W196" i="2" s="1"/>
  <c r="S197" i="2"/>
  <c r="W197" i="2" s="1" a="1"/>
  <c r="W197" i="2" s="1"/>
  <c r="S198" i="2"/>
  <c r="W198" i="2" s="1" a="1"/>
  <c r="W198" i="2" s="1"/>
  <c r="S199" i="2"/>
  <c r="W199" i="2" s="1" a="1"/>
  <c r="W199" i="2" s="1"/>
  <c r="S200" i="2"/>
  <c r="W200" i="2" s="1" a="1"/>
  <c r="W200" i="2" s="1"/>
  <c r="S201" i="2"/>
  <c r="W201" i="2" s="1" a="1"/>
  <c r="W201" i="2" s="1"/>
  <c r="S202" i="2"/>
  <c r="W202" i="2" s="1" a="1"/>
  <c r="W202" i="2" s="1"/>
  <c r="S203" i="2"/>
  <c r="W203" i="2" s="1" a="1"/>
  <c r="W203" i="2" s="1"/>
  <c r="S204" i="2"/>
  <c r="W204" i="2" s="1" a="1"/>
  <c r="W204" i="2" s="1"/>
  <c r="S205" i="2"/>
  <c r="W205" i="2" s="1" a="1"/>
  <c r="W205" i="2" s="1"/>
  <c r="S206" i="2"/>
  <c r="W206" i="2" s="1" a="1"/>
  <c r="W206" i="2" s="1"/>
  <c r="S207" i="2"/>
  <c r="W207" i="2" s="1" a="1"/>
  <c r="W207" i="2" s="1"/>
  <c r="S208" i="2"/>
  <c r="W208" i="2" s="1" a="1"/>
  <c r="W208" i="2" s="1"/>
  <c r="S209" i="2"/>
  <c r="W209" i="2" s="1" a="1"/>
  <c r="W209" i="2" s="1"/>
  <c r="S210" i="2"/>
  <c r="W210" i="2" s="1" a="1"/>
  <c r="W210" i="2" s="1"/>
  <c r="S211" i="2"/>
  <c r="W211" i="2" s="1" a="1"/>
  <c r="W211" i="2" s="1"/>
  <c r="S212" i="2"/>
  <c r="W212" i="2" s="1" a="1"/>
  <c r="W212" i="2" s="1"/>
  <c r="S213" i="2"/>
  <c r="W213" i="2" s="1" a="1"/>
  <c r="W213" i="2" s="1"/>
  <c r="S214" i="2"/>
  <c r="W214" i="2" s="1" a="1"/>
  <c r="W214" i="2" s="1"/>
  <c r="S215" i="2"/>
  <c r="W215" i="2" s="1" a="1"/>
  <c r="W215" i="2" s="1"/>
  <c r="S216" i="2"/>
  <c r="W216" i="2" s="1" a="1"/>
  <c r="W216" i="2" s="1"/>
  <c r="S217" i="2"/>
  <c r="W217" i="2" s="1" a="1"/>
  <c r="W217" i="2" s="1"/>
  <c r="S218" i="2"/>
  <c r="W218" i="2" s="1" a="1"/>
  <c r="W218" i="2" s="1"/>
  <c r="S219" i="2"/>
  <c r="W219" i="2" s="1" a="1"/>
  <c r="W219" i="2" s="1"/>
  <c r="S220" i="2"/>
  <c r="W220" i="2" s="1" a="1"/>
  <c r="W220" i="2" s="1"/>
  <c r="S221" i="2"/>
  <c r="W221" i="2" s="1" a="1"/>
  <c r="W221" i="2" s="1"/>
  <c r="S222" i="2"/>
  <c r="W222" i="2" s="1" a="1"/>
  <c r="W222" i="2" s="1"/>
  <c r="S223" i="2"/>
  <c r="W223" i="2" s="1" a="1"/>
  <c r="W223" i="2" s="1"/>
  <c r="S224" i="2"/>
  <c r="W224" i="2" s="1" a="1"/>
  <c r="W224" i="2" s="1"/>
  <c r="S225" i="2"/>
  <c r="W225" i="2" s="1" a="1"/>
  <c r="W225" i="2" s="1"/>
  <c r="S226" i="2"/>
  <c r="W226" i="2" s="1" a="1"/>
  <c r="W226" i="2" s="1"/>
  <c r="S227" i="2"/>
  <c r="W227" i="2" s="1" a="1"/>
  <c r="W227" i="2" s="1"/>
  <c r="S228" i="2"/>
  <c r="W228" i="2" s="1" a="1"/>
  <c r="W228" i="2" s="1"/>
  <c r="S229" i="2"/>
  <c r="W229" i="2" s="1" a="1"/>
  <c r="W229" i="2" s="1"/>
  <c r="S230" i="2"/>
  <c r="W230" i="2" s="1" a="1"/>
  <c r="W230" i="2" s="1"/>
  <c r="S231" i="2"/>
  <c r="W231" i="2" s="1" a="1"/>
  <c r="W231" i="2" s="1"/>
  <c r="S232" i="2"/>
  <c r="W232" i="2" s="1" a="1"/>
  <c r="W232" i="2" s="1"/>
  <c r="S233" i="2"/>
  <c r="W233" i="2" s="1" a="1"/>
  <c r="W233" i="2" s="1"/>
  <c r="S234" i="2"/>
  <c r="W234" i="2" s="1" a="1"/>
  <c r="W234" i="2" s="1"/>
  <c r="S235" i="2"/>
  <c r="W235" i="2" s="1" a="1"/>
  <c r="W235" i="2" s="1"/>
  <c r="S236" i="2"/>
  <c r="W236" i="2" s="1" a="1"/>
  <c r="W236" i="2" s="1"/>
  <c r="S237" i="2"/>
  <c r="W237" i="2" s="1" a="1"/>
  <c r="W237" i="2" s="1"/>
  <c r="S238" i="2"/>
  <c r="W238" i="2" s="1" a="1"/>
  <c r="W238" i="2" s="1"/>
  <c r="S239" i="2"/>
  <c r="W239" i="2" s="1" a="1"/>
  <c r="W239" i="2" s="1"/>
  <c r="S240" i="2"/>
  <c r="W240" i="2" s="1" a="1"/>
  <c r="W240" i="2" s="1"/>
  <c r="S241" i="2"/>
  <c r="W241" i="2" s="1" a="1"/>
  <c r="W241" i="2" s="1"/>
  <c r="S242" i="2"/>
  <c r="W242" i="2" s="1" a="1"/>
  <c r="W242" i="2" s="1"/>
  <c r="S243" i="2"/>
  <c r="W243" i="2" s="1" a="1"/>
  <c r="W243" i="2" s="1"/>
  <c r="S244" i="2"/>
  <c r="W244" i="2" s="1" a="1"/>
  <c r="W244" i="2" s="1"/>
  <c r="S245" i="2"/>
  <c r="W245" i="2" s="1" a="1"/>
  <c r="W245" i="2" s="1"/>
  <c r="S246" i="2"/>
  <c r="W246" i="2" s="1" a="1"/>
  <c r="W246" i="2" s="1"/>
  <c r="S247" i="2"/>
  <c r="W247" i="2" s="1" a="1"/>
  <c r="W247" i="2" s="1"/>
  <c r="S248" i="2"/>
  <c r="W248" i="2" s="1" a="1"/>
  <c r="W248" i="2" s="1"/>
  <c r="S249" i="2"/>
  <c r="W249" i="2" s="1" a="1"/>
  <c r="W249" i="2" s="1"/>
  <c r="S250" i="2"/>
  <c r="W250" i="2" s="1" a="1"/>
  <c r="W250" i="2" s="1"/>
  <c r="S251" i="2"/>
  <c r="W251" i="2" s="1" a="1"/>
  <c r="W251" i="2" s="1"/>
  <c r="S252" i="2"/>
  <c r="W252" i="2" s="1" a="1"/>
  <c r="W252" i="2" s="1"/>
  <c r="S253" i="2"/>
  <c r="W253" i="2" s="1" a="1"/>
  <c r="W253" i="2" s="1"/>
  <c r="S254" i="2"/>
  <c r="W254" i="2" s="1" a="1"/>
  <c r="W254" i="2" s="1"/>
  <c r="S255" i="2"/>
  <c r="W255" i="2" s="1" a="1"/>
  <c r="W255" i="2" s="1"/>
  <c r="S256" i="2"/>
  <c r="W256" i="2" s="1" a="1"/>
  <c r="W256" i="2" s="1"/>
  <c r="S257" i="2"/>
  <c r="W257" i="2" s="1" a="1"/>
  <c r="W257" i="2" s="1"/>
  <c r="S258" i="2"/>
  <c r="W258" i="2" s="1" a="1"/>
  <c r="W258" i="2" s="1"/>
  <c r="S259" i="2"/>
  <c r="W259" i="2" s="1" a="1"/>
  <c r="W259" i="2" s="1"/>
  <c r="S260" i="2"/>
  <c r="W260" i="2" s="1" a="1"/>
  <c r="W260" i="2" s="1"/>
  <c r="S261" i="2"/>
  <c r="W261" i="2" s="1" a="1"/>
  <c r="W261" i="2" s="1"/>
  <c r="S262" i="2"/>
  <c r="W262" i="2" s="1" a="1"/>
  <c r="W262" i="2" s="1"/>
  <c r="S263" i="2"/>
  <c r="W263" i="2" s="1" a="1"/>
  <c r="W263" i="2" s="1"/>
  <c r="S264" i="2"/>
  <c r="W264" i="2" s="1" a="1"/>
  <c r="W264" i="2" s="1"/>
  <c r="S265" i="2"/>
  <c r="W265" i="2" s="1" a="1"/>
  <c r="W265" i="2" s="1"/>
  <c r="S266" i="2"/>
  <c r="W266" i="2" s="1" a="1"/>
  <c r="W266" i="2" s="1"/>
  <c r="S267" i="2"/>
  <c r="W267" i="2" s="1" a="1"/>
  <c r="W267" i="2" s="1"/>
  <c r="S268" i="2"/>
  <c r="W268" i="2" s="1" a="1"/>
  <c r="W268" i="2" s="1"/>
  <c r="S269" i="2"/>
  <c r="W269" i="2" s="1" a="1"/>
  <c r="W269" i="2" s="1"/>
  <c r="S270" i="2"/>
  <c r="W270" i="2" s="1" a="1"/>
  <c r="W270" i="2" s="1"/>
  <c r="S271" i="2"/>
  <c r="W271" i="2" s="1" a="1"/>
  <c r="W271" i="2" s="1"/>
  <c r="S272" i="2"/>
  <c r="W272" i="2" s="1" a="1"/>
  <c r="W272" i="2" s="1"/>
  <c r="S273" i="2"/>
  <c r="W273" i="2" s="1" a="1"/>
  <c r="W273" i="2" s="1"/>
  <c r="S274" i="2"/>
  <c r="W274" i="2" s="1" a="1"/>
  <c r="W274" i="2" s="1"/>
  <c r="S275" i="2"/>
  <c r="W275" i="2" s="1" a="1"/>
  <c r="W275" i="2" s="1"/>
  <c r="S276" i="2"/>
  <c r="W276" i="2" s="1" a="1"/>
  <c r="W276" i="2" s="1"/>
  <c r="S277" i="2"/>
  <c r="W277" i="2" s="1" a="1"/>
  <c r="W277" i="2" s="1"/>
  <c r="S278" i="2"/>
  <c r="W278" i="2" s="1" a="1"/>
  <c r="W278" i="2" s="1"/>
  <c r="S279" i="2"/>
  <c r="W279" i="2" s="1" a="1"/>
  <c r="W279" i="2" s="1"/>
  <c r="S280" i="2"/>
  <c r="W280" i="2" s="1" a="1"/>
  <c r="W280" i="2" s="1"/>
  <c r="S281" i="2"/>
  <c r="W281" i="2" s="1" a="1"/>
  <c r="W281" i="2" s="1"/>
  <c r="S282" i="2"/>
  <c r="W282" i="2" s="1" a="1"/>
  <c r="W282" i="2" s="1"/>
  <c r="S283" i="2"/>
  <c r="W283" i="2" s="1" a="1"/>
  <c r="W283" i="2" s="1"/>
  <c r="S284" i="2"/>
  <c r="W284" i="2" s="1" a="1"/>
  <c r="W284" i="2" s="1"/>
  <c r="S285" i="2"/>
  <c r="W285" i="2" s="1" a="1"/>
  <c r="W285" i="2" s="1"/>
  <c r="S286" i="2"/>
  <c r="W286" i="2" s="1" a="1"/>
  <c r="W286" i="2" s="1"/>
  <c r="S287" i="2"/>
  <c r="W287" i="2" s="1" a="1"/>
  <c r="W287" i="2" s="1"/>
  <c r="S288" i="2"/>
  <c r="W288" i="2" s="1" a="1"/>
  <c r="W288" i="2" s="1"/>
  <c r="S289" i="2"/>
  <c r="W289" i="2" s="1" a="1"/>
  <c r="W289" i="2" s="1"/>
  <c r="S290" i="2"/>
  <c r="W290" i="2" s="1" a="1"/>
  <c r="W290" i="2" s="1"/>
  <c r="S291" i="2"/>
  <c r="W291" i="2" s="1" a="1"/>
  <c r="W291" i="2" s="1"/>
  <c r="S292" i="2"/>
  <c r="W292" i="2" s="1" a="1"/>
  <c r="W292" i="2" s="1"/>
  <c r="S293" i="2"/>
  <c r="W293" i="2" s="1" a="1"/>
  <c r="W293" i="2" s="1"/>
  <c r="S294" i="2"/>
  <c r="W294" i="2" s="1" a="1"/>
  <c r="W294" i="2" s="1"/>
  <c r="S295" i="2"/>
  <c r="W295" i="2" s="1" a="1"/>
  <c r="W295" i="2" s="1"/>
  <c r="S296" i="2"/>
  <c r="W296" i="2" s="1" a="1"/>
  <c r="W296" i="2" s="1"/>
  <c r="S297" i="2"/>
  <c r="W297" i="2" s="1" a="1"/>
  <c r="W297" i="2" s="1"/>
  <c r="S298" i="2"/>
  <c r="W298" i="2" s="1" a="1"/>
  <c r="W298" i="2" s="1"/>
  <c r="S299" i="2"/>
  <c r="W299" i="2" s="1" a="1"/>
  <c r="W299" i="2" s="1"/>
  <c r="S300" i="2"/>
  <c r="W300" i="2" s="1" a="1"/>
  <c r="W300" i="2" s="1"/>
  <c r="S301" i="2"/>
  <c r="W301" i="2" s="1" a="1"/>
  <c r="W301" i="2" s="1"/>
  <c r="S302" i="2"/>
  <c r="W302" i="2" s="1" a="1"/>
  <c r="W302" i="2" s="1"/>
  <c r="S303" i="2"/>
  <c r="W303" i="2" s="1" a="1"/>
  <c r="W303" i="2" s="1"/>
  <c r="S304" i="2"/>
  <c r="W304" i="2" s="1" a="1"/>
  <c r="W304" i="2" s="1"/>
  <c r="S305" i="2"/>
  <c r="W305" i="2" s="1" a="1"/>
  <c r="W305" i="2" s="1"/>
  <c r="S306" i="2"/>
  <c r="W306" i="2" s="1" a="1"/>
  <c r="W306" i="2" s="1"/>
  <c r="S307" i="2"/>
  <c r="W307" i="2" s="1" a="1"/>
  <c r="W307" i="2" s="1"/>
  <c r="S308" i="2"/>
  <c r="W308" i="2" s="1" a="1"/>
  <c r="W308" i="2" s="1"/>
  <c r="S309" i="2"/>
  <c r="W309" i="2" s="1" a="1"/>
  <c r="W309" i="2" s="1"/>
  <c r="S310" i="2"/>
  <c r="W310" i="2" s="1" a="1"/>
  <c r="W310" i="2" s="1"/>
  <c r="S311" i="2"/>
  <c r="W311" i="2" s="1" a="1"/>
  <c r="W311" i="2" s="1"/>
  <c r="S312" i="2"/>
  <c r="W312" i="2" s="1" a="1"/>
  <c r="W312" i="2" s="1"/>
  <c r="S313" i="2"/>
  <c r="W313" i="2" s="1" a="1"/>
  <c r="W313" i="2" s="1"/>
  <c r="S314" i="2"/>
  <c r="W314" i="2" s="1" a="1"/>
  <c r="W314" i="2" s="1"/>
  <c r="S315" i="2"/>
  <c r="W315" i="2" s="1" a="1"/>
  <c r="W315" i="2" s="1"/>
  <c r="S316" i="2"/>
  <c r="W316" i="2" s="1" a="1"/>
  <c r="W316" i="2" s="1"/>
  <c r="S317" i="2"/>
  <c r="W317" i="2" s="1" a="1"/>
  <c r="W317" i="2" s="1"/>
  <c r="S318" i="2"/>
  <c r="W318" i="2" s="1" a="1"/>
  <c r="W318" i="2" s="1"/>
  <c r="S319" i="2"/>
  <c r="W319" i="2" s="1" a="1"/>
  <c r="W319" i="2" s="1"/>
  <c r="S320" i="2"/>
  <c r="W320" i="2" s="1" a="1"/>
  <c r="W320" i="2" s="1"/>
  <c r="S321" i="2"/>
  <c r="W321" i="2" s="1" a="1"/>
  <c r="W321" i="2" s="1"/>
  <c r="S322" i="2"/>
  <c r="W322" i="2" s="1" a="1"/>
  <c r="W322" i="2" s="1"/>
  <c r="S323" i="2"/>
  <c r="W323" i="2" s="1" a="1"/>
  <c r="W323" i="2" s="1"/>
  <c r="S324" i="2"/>
  <c r="W324" i="2" s="1" a="1"/>
  <c r="W324" i="2" s="1"/>
  <c r="S325" i="2"/>
  <c r="W325" i="2" s="1" a="1"/>
  <c r="W325" i="2" s="1"/>
  <c r="S326" i="2"/>
  <c r="W326" i="2" s="1" a="1"/>
  <c r="W326" i="2" s="1"/>
  <c r="S327" i="2"/>
  <c r="W327" i="2" s="1" a="1"/>
  <c r="W327" i="2" s="1"/>
  <c r="S328" i="2"/>
  <c r="W328" i="2" s="1" a="1"/>
  <c r="W328" i="2" s="1"/>
  <c r="S329" i="2"/>
  <c r="W329" i="2" s="1" a="1"/>
  <c r="W329" i="2" s="1"/>
  <c r="S330" i="2"/>
  <c r="W330" i="2" s="1" a="1"/>
  <c r="W330" i="2" s="1"/>
  <c r="S331" i="2"/>
  <c r="W331" i="2" s="1" a="1"/>
  <c r="W331" i="2" s="1"/>
  <c r="S332" i="2"/>
  <c r="W332" i="2" s="1" a="1"/>
  <c r="W332" i="2" s="1"/>
  <c r="S333" i="2"/>
  <c r="W333" i="2" s="1" a="1"/>
  <c r="W333" i="2" s="1"/>
  <c r="S334" i="2"/>
  <c r="W334" i="2" s="1" a="1"/>
  <c r="W334" i="2" s="1"/>
  <c r="S335" i="2"/>
  <c r="W335" i="2" s="1" a="1"/>
  <c r="W335" i="2" s="1"/>
  <c r="S336" i="2"/>
  <c r="W336" i="2" s="1" a="1"/>
  <c r="W336" i="2" s="1"/>
  <c r="S337" i="2"/>
  <c r="W337" i="2" s="1" a="1"/>
  <c r="W337" i="2" s="1"/>
  <c r="S338" i="2"/>
  <c r="W338" i="2" s="1" a="1"/>
  <c r="W338" i="2" s="1"/>
  <c r="S339" i="2"/>
  <c r="W339" i="2" s="1" a="1"/>
  <c r="W339" i="2" s="1"/>
  <c r="S340" i="2"/>
  <c r="W340" i="2" s="1" a="1"/>
  <c r="W340" i="2" s="1"/>
  <c r="S341" i="2"/>
  <c r="W341" i="2" s="1" a="1"/>
  <c r="W341" i="2" s="1"/>
  <c r="S342" i="2"/>
  <c r="W342" i="2" s="1" a="1"/>
  <c r="W342" i="2" s="1"/>
  <c r="S343" i="2"/>
  <c r="W343" i="2" s="1" a="1"/>
  <c r="W343" i="2" s="1"/>
  <c r="S344" i="2"/>
  <c r="W344" i="2" s="1" a="1"/>
  <c r="W344" i="2" s="1"/>
  <c r="S345" i="2"/>
  <c r="W345" i="2" s="1" a="1"/>
  <c r="W345" i="2" s="1"/>
  <c r="S346" i="2"/>
  <c r="W346" i="2" s="1" a="1"/>
  <c r="W346" i="2" s="1"/>
  <c r="S347" i="2"/>
  <c r="W347" i="2" s="1" a="1"/>
  <c r="W347" i="2" s="1"/>
  <c r="S348" i="2"/>
  <c r="W348" i="2" s="1" a="1"/>
  <c r="W348" i="2" s="1"/>
  <c r="S349" i="2"/>
  <c r="W349" i="2" s="1" a="1"/>
  <c r="W349" i="2" s="1"/>
  <c r="S350" i="2"/>
  <c r="W350" i="2" s="1" a="1"/>
  <c r="W350" i="2" s="1"/>
  <c r="S351" i="2"/>
  <c r="W351" i="2" s="1" a="1"/>
  <c r="W351" i="2" s="1"/>
  <c r="S352" i="2"/>
  <c r="W352" i="2" s="1" a="1"/>
  <c r="W352" i="2" s="1"/>
  <c r="S353" i="2"/>
  <c r="W353" i="2" s="1" a="1"/>
  <c r="W353" i="2" s="1"/>
  <c r="S354" i="2"/>
  <c r="W354" i="2" s="1" a="1"/>
  <c r="W354" i="2" s="1"/>
  <c r="S355" i="2"/>
  <c r="W355" i="2" s="1" a="1"/>
  <c r="W355" i="2" s="1"/>
  <c r="S356" i="2"/>
  <c r="W356" i="2" s="1" a="1"/>
  <c r="W356" i="2" s="1"/>
  <c r="S357" i="2"/>
  <c r="W357" i="2" s="1" a="1"/>
  <c r="W357" i="2" s="1"/>
  <c r="S358" i="2"/>
  <c r="W358" i="2" s="1" a="1"/>
  <c r="W358" i="2" s="1"/>
  <c r="S359" i="2"/>
  <c r="W359" i="2" s="1" a="1"/>
  <c r="W359" i="2" s="1"/>
  <c r="S360" i="2"/>
  <c r="W360" i="2" s="1" a="1"/>
  <c r="W360" i="2" s="1"/>
  <c r="S361" i="2"/>
  <c r="W361" i="2" s="1" a="1"/>
  <c r="W361" i="2" s="1"/>
  <c r="S362" i="2"/>
  <c r="W362" i="2" s="1" a="1"/>
  <c r="W362" i="2" s="1"/>
  <c r="S363" i="2"/>
  <c r="W363" i="2" s="1" a="1"/>
  <c r="W363" i="2" s="1"/>
  <c r="S364" i="2"/>
  <c r="W364" i="2" s="1" a="1"/>
  <c r="W364" i="2" s="1"/>
  <c r="S365" i="2"/>
  <c r="W365" i="2" s="1" a="1"/>
  <c r="W365" i="2" s="1"/>
  <c r="S366" i="2"/>
  <c r="W366" i="2" s="1" a="1"/>
  <c r="W366" i="2" s="1"/>
  <c r="S367" i="2"/>
  <c r="W367" i="2" s="1" a="1"/>
  <c r="W367" i="2" s="1"/>
  <c r="S368" i="2"/>
  <c r="W368" i="2" s="1" a="1"/>
  <c r="W368" i="2" s="1"/>
  <c r="S369" i="2"/>
  <c r="W369" i="2" s="1" a="1"/>
  <c r="W369" i="2" s="1"/>
  <c r="S370" i="2"/>
  <c r="W370" i="2" s="1" a="1"/>
  <c r="W370" i="2" s="1"/>
  <c r="S371" i="2"/>
  <c r="W371" i="2" s="1" a="1"/>
  <c r="W371" i="2" s="1"/>
  <c r="S372" i="2"/>
  <c r="W372" i="2" s="1" a="1"/>
  <c r="W372" i="2" s="1"/>
  <c r="S373" i="2"/>
  <c r="W373" i="2" s="1" a="1"/>
  <c r="W373" i="2" s="1"/>
  <c r="S374" i="2"/>
  <c r="W374" i="2" s="1" a="1"/>
  <c r="W374" i="2" s="1"/>
  <c r="S375" i="2"/>
  <c r="W375" i="2" s="1" a="1"/>
  <c r="W375" i="2" s="1"/>
  <c r="S376" i="2"/>
  <c r="W376" i="2" s="1" a="1"/>
  <c r="W376" i="2" s="1"/>
  <c r="S377" i="2"/>
  <c r="W377" i="2" s="1" a="1"/>
  <c r="W377" i="2" s="1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C16" i="9"/>
  <c r="C15" i="9"/>
  <c r="C14" i="9"/>
  <c r="I19" i="11" s="1"/>
  <c r="C13" i="9"/>
  <c r="I18" i="11" s="1"/>
  <c r="H17" i="7"/>
  <c r="H16" i="7"/>
  <c r="H15" i="7"/>
  <c r="H14" i="7"/>
  <c r="H13" i="7"/>
  <c r="H12" i="7"/>
  <c r="H11" i="7"/>
  <c r="H10" i="7"/>
  <c r="H9" i="7"/>
  <c r="H8" i="7"/>
  <c r="H7" i="7"/>
  <c r="H6" i="7"/>
  <c r="A60" i="6"/>
  <c r="G60" i="6" s="1"/>
  <c r="H60" i="6" s="1"/>
  <c r="F59" i="6"/>
  <c r="A59" i="6"/>
  <c r="A58" i="6"/>
  <c r="F58" i="6" s="1"/>
  <c r="A57" i="6"/>
  <c r="G56" i="6"/>
  <c r="H56" i="6" s="1"/>
  <c r="F56" i="6"/>
  <c r="D56" i="6"/>
  <c r="A56" i="6"/>
  <c r="C56" i="6" s="1"/>
  <c r="A55" i="6"/>
  <c r="F55" i="6" s="1"/>
  <c r="A54" i="6"/>
  <c r="G54" i="6" s="1"/>
  <c r="H54" i="6" s="1"/>
  <c r="A53" i="6"/>
  <c r="G53" i="6" s="1"/>
  <c r="H53" i="6" s="1"/>
  <c r="A52" i="6"/>
  <c r="F52" i="6" s="1"/>
  <c r="A51" i="6"/>
  <c r="G51" i="6" s="1"/>
  <c r="H51" i="6" s="1"/>
  <c r="A50" i="6"/>
  <c r="G50" i="6" s="1"/>
  <c r="H50" i="6" s="1"/>
  <c r="G49" i="6"/>
  <c r="H49" i="6" s="1"/>
  <c r="B49" i="6"/>
  <c r="A49" i="6"/>
  <c r="F49" i="6" s="1"/>
  <c r="A48" i="6"/>
  <c r="F47" i="6"/>
  <c r="E47" i="6"/>
  <c r="A47" i="6"/>
  <c r="C47" i="6" s="1"/>
  <c r="A46" i="6"/>
  <c r="F46" i="6" s="1"/>
  <c r="D45" i="6"/>
  <c r="C45" i="6"/>
  <c r="A45" i="6"/>
  <c r="G45" i="6" s="1"/>
  <c r="H45" i="6" s="1"/>
  <c r="A44" i="6"/>
  <c r="D44" i="6" s="1"/>
  <c r="G43" i="6"/>
  <c r="H43" i="6" s="1"/>
  <c r="E43" i="6"/>
  <c r="D43" i="6"/>
  <c r="C43" i="6"/>
  <c r="A43" i="6"/>
  <c r="F43" i="6" s="1"/>
  <c r="A42" i="6"/>
  <c r="D42" i="6" s="1"/>
  <c r="A41" i="6"/>
  <c r="C41" i="6" s="1"/>
  <c r="A40" i="6"/>
  <c r="F40" i="6" s="1"/>
  <c r="G39" i="6"/>
  <c r="H39" i="6" s="1"/>
  <c r="D39" i="6"/>
  <c r="A39" i="6"/>
  <c r="A38" i="6"/>
  <c r="D38" i="6" s="1"/>
  <c r="G37" i="6"/>
  <c r="H37" i="6" s="1"/>
  <c r="B37" i="6"/>
  <c r="A37" i="6"/>
  <c r="F37" i="6" s="1"/>
  <c r="A36" i="6"/>
  <c r="C36" i="6" s="1"/>
  <c r="F35" i="6"/>
  <c r="E35" i="6"/>
  <c r="A35" i="6"/>
  <c r="B35" i="6" s="1"/>
  <c r="G34" i="6"/>
  <c r="H34" i="6" s="1"/>
  <c r="E34" i="6"/>
  <c r="D34" i="6"/>
  <c r="A34" i="6"/>
  <c r="F34" i="6" s="1"/>
  <c r="A33" i="6"/>
  <c r="D33" i="6" s="1"/>
  <c r="F32" i="6"/>
  <c r="E32" i="6"/>
  <c r="D32" i="6"/>
  <c r="A32" i="6"/>
  <c r="B32" i="6" s="1"/>
  <c r="B31" i="6"/>
  <c r="A31" i="6"/>
  <c r="F31" i="6" s="1"/>
  <c r="A30" i="6"/>
  <c r="G30" i="6" s="1"/>
  <c r="H30" i="6" s="1"/>
  <c r="D29" i="6"/>
  <c r="C29" i="6"/>
  <c r="A29" i="6"/>
  <c r="B29" i="6" s="1"/>
  <c r="C28" i="6"/>
  <c r="A28" i="6"/>
  <c r="F28" i="6" s="1"/>
  <c r="A27" i="6"/>
  <c r="C27" i="6" s="1"/>
  <c r="A26" i="6"/>
  <c r="B26" i="6" s="1"/>
  <c r="A25" i="6"/>
  <c r="F25" i="6" s="1"/>
  <c r="D24" i="6"/>
  <c r="A24" i="6"/>
  <c r="C24" i="6" s="1"/>
  <c r="D23" i="6"/>
  <c r="A23" i="6"/>
  <c r="B23" i="6" s="1"/>
  <c r="A22" i="6"/>
  <c r="F22" i="6" s="1"/>
  <c r="A21" i="6"/>
  <c r="A20" i="6"/>
  <c r="B20" i="6" s="1"/>
  <c r="D19" i="6"/>
  <c r="A19" i="6"/>
  <c r="F19" i="6" s="1"/>
  <c r="A18" i="6"/>
  <c r="G18" i="6" s="1"/>
  <c r="H18" i="6" s="1"/>
  <c r="A17" i="6"/>
  <c r="B17" i="6" s="1"/>
  <c r="A16" i="6"/>
  <c r="F16" i="6" s="1"/>
  <c r="A15" i="6"/>
  <c r="G15" i="6" s="1"/>
  <c r="H15" i="6" s="1"/>
  <c r="A14" i="6"/>
  <c r="F14" i="6" s="1"/>
  <c r="C13" i="6"/>
  <c r="A13" i="6"/>
  <c r="F13" i="6" s="1"/>
  <c r="A12" i="6"/>
  <c r="F11" i="6"/>
  <c r="E11" i="6"/>
  <c r="D11" i="6"/>
  <c r="C11" i="6"/>
  <c r="A11" i="6"/>
  <c r="A10" i="6"/>
  <c r="F10" i="6" s="1"/>
  <c r="D9" i="6"/>
  <c r="A9" i="6"/>
  <c r="C9" i="6" s="1"/>
  <c r="A8" i="6"/>
  <c r="D5" i="6"/>
  <c r="D9" i="5"/>
  <c r="C9" i="5"/>
  <c r="D6" i="5"/>
  <c r="B23" i="4"/>
  <c r="H23" i="4" s="1"/>
  <c r="A23" i="4"/>
  <c r="B22" i="4"/>
  <c r="K22" i="4" s="1"/>
  <c r="A22" i="4"/>
  <c r="G21" i="4"/>
  <c r="C21" i="4"/>
  <c r="B21" i="4"/>
  <c r="A21" i="4"/>
  <c r="L20" i="4"/>
  <c r="J20" i="4"/>
  <c r="I20" i="4"/>
  <c r="H20" i="4"/>
  <c r="G20" i="4"/>
  <c r="C20" i="4"/>
  <c r="B20" i="4"/>
  <c r="N20" i="4" s="1"/>
  <c r="A20" i="4"/>
  <c r="N19" i="4"/>
  <c r="L19" i="4"/>
  <c r="K19" i="4"/>
  <c r="J19" i="4"/>
  <c r="I19" i="4"/>
  <c r="G19" i="4"/>
  <c r="F19" i="4"/>
  <c r="D19" i="4"/>
  <c r="B19" i="4"/>
  <c r="H19" i="4" s="1"/>
  <c r="A19" i="4"/>
  <c r="N18" i="4"/>
  <c r="M18" i="4"/>
  <c r="L18" i="4"/>
  <c r="J18" i="4"/>
  <c r="I18" i="4"/>
  <c r="H18" i="4"/>
  <c r="G18" i="4"/>
  <c r="F18" i="4"/>
  <c r="D18" i="4"/>
  <c r="C18" i="4"/>
  <c r="B18" i="4"/>
  <c r="K18" i="4" s="1"/>
  <c r="A18" i="4"/>
  <c r="B17" i="4"/>
  <c r="N17" i="4" s="1"/>
  <c r="A17" i="4"/>
  <c r="B16" i="4"/>
  <c r="A16" i="4"/>
  <c r="B15" i="4"/>
  <c r="A15" i="4"/>
  <c r="B14" i="4"/>
  <c r="A14" i="4"/>
  <c r="H14" i="4" s="1"/>
  <c r="B13" i="4"/>
  <c r="C13" i="4" s="1"/>
  <c r="A13" i="4"/>
  <c r="B12" i="4"/>
  <c r="A12" i="4"/>
  <c r="D5" i="4"/>
  <c r="J1006" i="3"/>
  <c r="I1006" i="3"/>
  <c r="K1006" i="3" s="1"/>
  <c r="J1005" i="3"/>
  <c r="I1005" i="3"/>
  <c r="J1004" i="3"/>
  <c r="I1004" i="3"/>
  <c r="K1004" i="3" s="1"/>
  <c r="J1003" i="3"/>
  <c r="I1003" i="3"/>
  <c r="J1002" i="3"/>
  <c r="I1002" i="3"/>
  <c r="K1002" i="3" s="1"/>
  <c r="J1001" i="3"/>
  <c r="I1001" i="3"/>
  <c r="K1001" i="3" s="1"/>
  <c r="J1000" i="3"/>
  <c r="I1000" i="3"/>
  <c r="K1000" i="3" s="1"/>
  <c r="J999" i="3"/>
  <c r="I999" i="3"/>
  <c r="K999" i="3" s="1"/>
  <c r="J998" i="3"/>
  <c r="I998" i="3"/>
  <c r="J997" i="3"/>
  <c r="I997" i="3"/>
  <c r="L997" i="3" s="1"/>
  <c r="J996" i="3"/>
  <c r="I996" i="3"/>
  <c r="K996" i="3" s="1"/>
  <c r="J995" i="3"/>
  <c r="I995" i="3"/>
  <c r="L995" i="3" s="1"/>
  <c r="J994" i="3"/>
  <c r="I994" i="3"/>
  <c r="J993" i="3"/>
  <c r="I993" i="3"/>
  <c r="L993" i="3" s="1"/>
  <c r="J992" i="3"/>
  <c r="I992" i="3"/>
  <c r="K992" i="3" s="1"/>
  <c r="J991" i="3"/>
  <c r="I991" i="3"/>
  <c r="J990" i="3"/>
  <c r="I990" i="3"/>
  <c r="K990" i="3" s="1"/>
  <c r="J989" i="3"/>
  <c r="I989" i="3"/>
  <c r="L989" i="3" s="1"/>
  <c r="J988" i="3"/>
  <c r="I988" i="3"/>
  <c r="K988" i="3" s="1"/>
  <c r="J987" i="3"/>
  <c r="I987" i="3"/>
  <c r="L987" i="3" s="1"/>
  <c r="J986" i="3"/>
  <c r="I986" i="3"/>
  <c r="K986" i="3" s="1"/>
  <c r="J985" i="3"/>
  <c r="I985" i="3"/>
  <c r="L985" i="3" s="1"/>
  <c r="J984" i="3"/>
  <c r="I984" i="3"/>
  <c r="J983" i="3"/>
  <c r="I983" i="3"/>
  <c r="L983" i="3" s="1"/>
  <c r="J982" i="3"/>
  <c r="I982" i="3"/>
  <c r="K982" i="3" s="1"/>
  <c r="J981" i="3"/>
  <c r="I981" i="3"/>
  <c r="L981" i="3" s="1"/>
  <c r="J980" i="3"/>
  <c r="I980" i="3"/>
  <c r="K980" i="3" s="1"/>
  <c r="J979" i="3"/>
  <c r="I979" i="3"/>
  <c r="K979" i="3" s="1"/>
  <c r="J978" i="3"/>
  <c r="I978" i="3"/>
  <c r="K978" i="3" s="1"/>
  <c r="J977" i="3"/>
  <c r="I977" i="3"/>
  <c r="L977" i="3" s="1"/>
  <c r="J976" i="3"/>
  <c r="I976" i="3"/>
  <c r="K976" i="3" s="1"/>
  <c r="J975" i="3"/>
  <c r="I975" i="3"/>
  <c r="J974" i="3"/>
  <c r="I974" i="3"/>
  <c r="K974" i="3" s="1"/>
  <c r="J973" i="3"/>
  <c r="I973" i="3"/>
  <c r="L973" i="3" s="1"/>
  <c r="J972" i="3"/>
  <c r="I972" i="3"/>
  <c r="K972" i="3" s="1"/>
  <c r="J971" i="3"/>
  <c r="I971" i="3"/>
  <c r="L971" i="3" s="1"/>
  <c r="J970" i="3"/>
  <c r="I970" i="3"/>
  <c r="J969" i="3"/>
  <c r="I969" i="3"/>
  <c r="L969" i="3" s="1"/>
  <c r="J968" i="3"/>
  <c r="I968" i="3"/>
  <c r="K968" i="3" s="1"/>
  <c r="J967" i="3"/>
  <c r="I967" i="3"/>
  <c r="L967" i="3" s="1"/>
  <c r="J966" i="3"/>
  <c r="I966" i="3"/>
  <c r="K966" i="3" s="1"/>
  <c r="J965" i="3"/>
  <c r="I965" i="3"/>
  <c r="L965" i="3" s="1"/>
  <c r="J964" i="3"/>
  <c r="I964" i="3"/>
  <c r="K964" i="3" s="1"/>
  <c r="J963" i="3"/>
  <c r="I963" i="3"/>
  <c r="J962" i="3"/>
  <c r="I962" i="3"/>
  <c r="K962" i="3" s="1"/>
  <c r="J961" i="3"/>
  <c r="I961" i="3"/>
  <c r="L961" i="3" s="1"/>
  <c r="J960" i="3"/>
  <c r="I960" i="3"/>
  <c r="K960" i="3" s="1"/>
  <c r="J959" i="3"/>
  <c r="I959" i="3"/>
  <c r="K959" i="3" s="1"/>
  <c r="J958" i="3"/>
  <c r="I958" i="3"/>
  <c r="K958" i="3" s="1"/>
  <c r="J957" i="3"/>
  <c r="I957" i="3"/>
  <c r="L957" i="3" s="1"/>
  <c r="J956" i="3"/>
  <c r="I956" i="3"/>
  <c r="K956" i="3" s="1"/>
  <c r="J955" i="3"/>
  <c r="I955" i="3"/>
  <c r="K955" i="3" s="1"/>
  <c r="J954" i="3"/>
  <c r="I954" i="3"/>
  <c r="K954" i="3" s="1"/>
  <c r="K953" i="3"/>
  <c r="J953" i="3"/>
  <c r="I953" i="3"/>
  <c r="L953" i="3" s="1"/>
  <c r="J952" i="3"/>
  <c r="I952" i="3"/>
  <c r="K952" i="3" s="1"/>
  <c r="J951" i="3"/>
  <c r="I951" i="3"/>
  <c r="K951" i="3" s="1"/>
  <c r="J950" i="3"/>
  <c r="I950" i="3"/>
  <c r="K950" i="3" s="1"/>
  <c r="J949" i="3"/>
  <c r="I949" i="3"/>
  <c r="L949" i="3" s="1"/>
  <c r="J948" i="3"/>
  <c r="I948" i="3"/>
  <c r="K948" i="3" s="1"/>
  <c r="J947" i="3"/>
  <c r="I947" i="3"/>
  <c r="J946" i="3"/>
  <c r="I946" i="3"/>
  <c r="J945" i="3"/>
  <c r="I945" i="3"/>
  <c r="L945" i="3" s="1"/>
  <c r="J944" i="3"/>
  <c r="I944" i="3"/>
  <c r="K944" i="3" s="1"/>
  <c r="K943" i="3"/>
  <c r="J943" i="3"/>
  <c r="I943" i="3"/>
  <c r="L943" i="3" s="1"/>
  <c r="J942" i="3"/>
  <c r="I942" i="3"/>
  <c r="K942" i="3" s="1"/>
  <c r="J941" i="3"/>
  <c r="I941" i="3"/>
  <c r="L941" i="3" s="1"/>
  <c r="J940" i="3"/>
  <c r="I940" i="3"/>
  <c r="K940" i="3" s="1"/>
  <c r="J939" i="3"/>
  <c r="I939" i="3"/>
  <c r="L939" i="3" s="1"/>
  <c r="J938" i="3"/>
  <c r="I938" i="3"/>
  <c r="K938" i="3" s="1"/>
  <c r="J937" i="3"/>
  <c r="I937" i="3"/>
  <c r="K937" i="3" s="1"/>
  <c r="J936" i="3"/>
  <c r="I936" i="3"/>
  <c r="K936" i="3" s="1"/>
  <c r="K935" i="3"/>
  <c r="J935" i="3"/>
  <c r="I935" i="3"/>
  <c r="L935" i="3" s="1"/>
  <c r="J934" i="3"/>
  <c r="I934" i="3"/>
  <c r="K934" i="3" s="1"/>
  <c r="J933" i="3"/>
  <c r="I933" i="3"/>
  <c r="L932" i="3"/>
  <c r="J932" i="3"/>
  <c r="I932" i="3"/>
  <c r="K932" i="3" s="1"/>
  <c r="J931" i="3"/>
  <c r="I931" i="3"/>
  <c r="J930" i="3"/>
  <c r="I930" i="3"/>
  <c r="K930" i="3" s="1"/>
  <c r="J929" i="3"/>
  <c r="I929" i="3"/>
  <c r="K929" i="3" s="1"/>
  <c r="J928" i="3"/>
  <c r="I928" i="3"/>
  <c r="K928" i="3" s="1"/>
  <c r="J927" i="3"/>
  <c r="I927" i="3"/>
  <c r="K927" i="3" s="1"/>
  <c r="J926" i="3"/>
  <c r="I926" i="3"/>
  <c r="J925" i="3"/>
  <c r="I925" i="3"/>
  <c r="L925" i="3" s="1"/>
  <c r="J924" i="3"/>
  <c r="I924" i="3"/>
  <c r="K924" i="3" s="1"/>
  <c r="J923" i="3"/>
  <c r="I923" i="3"/>
  <c r="L923" i="3" s="1"/>
  <c r="J922" i="3"/>
  <c r="I922" i="3"/>
  <c r="J921" i="3"/>
  <c r="I921" i="3"/>
  <c r="L921" i="3" s="1"/>
  <c r="J920" i="3"/>
  <c r="I920" i="3"/>
  <c r="K920" i="3" s="1"/>
  <c r="J919" i="3"/>
  <c r="I919" i="3"/>
  <c r="J918" i="3"/>
  <c r="I918" i="3"/>
  <c r="K918" i="3" s="1"/>
  <c r="J917" i="3"/>
  <c r="I917" i="3"/>
  <c r="L917" i="3" s="1"/>
  <c r="J916" i="3"/>
  <c r="I916" i="3"/>
  <c r="K916" i="3" s="1"/>
  <c r="J915" i="3"/>
  <c r="I915" i="3"/>
  <c r="L915" i="3" s="1"/>
  <c r="J914" i="3"/>
  <c r="I914" i="3"/>
  <c r="K914" i="3" s="1"/>
  <c r="J913" i="3"/>
  <c r="I913" i="3"/>
  <c r="L913" i="3" s="1"/>
  <c r="J912" i="3"/>
  <c r="I912" i="3"/>
  <c r="K911" i="3"/>
  <c r="J911" i="3"/>
  <c r="I911" i="3"/>
  <c r="L911" i="3" s="1"/>
  <c r="J910" i="3"/>
  <c r="I910" i="3"/>
  <c r="K910" i="3" s="1"/>
  <c r="J909" i="3"/>
  <c r="I909" i="3"/>
  <c r="L909" i="3" s="1"/>
  <c r="J908" i="3"/>
  <c r="I908" i="3"/>
  <c r="K908" i="3" s="1"/>
  <c r="J907" i="3"/>
  <c r="I907" i="3"/>
  <c r="K907" i="3" s="1"/>
  <c r="J906" i="3"/>
  <c r="I906" i="3"/>
  <c r="K906" i="3" s="1"/>
  <c r="J905" i="3"/>
  <c r="I905" i="3"/>
  <c r="L905" i="3" s="1"/>
  <c r="J904" i="3"/>
  <c r="I904" i="3"/>
  <c r="K904" i="3" s="1"/>
  <c r="J903" i="3"/>
  <c r="I903" i="3"/>
  <c r="J902" i="3"/>
  <c r="I902" i="3"/>
  <c r="K902" i="3" s="1"/>
  <c r="J901" i="3"/>
  <c r="I901" i="3"/>
  <c r="L901" i="3" s="1"/>
  <c r="J900" i="3"/>
  <c r="I900" i="3"/>
  <c r="K900" i="3" s="1"/>
  <c r="J899" i="3"/>
  <c r="I899" i="3"/>
  <c r="L899" i="3" s="1"/>
  <c r="J898" i="3"/>
  <c r="I898" i="3"/>
  <c r="J897" i="3"/>
  <c r="I897" i="3"/>
  <c r="J896" i="3"/>
  <c r="I896" i="3"/>
  <c r="J895" i="3"/>
  <c r="I895" i="3"/>
  <c r="L895" i="3" s="1"/>
  <c r="J894" i="3"/>
  <c r="I894" i="3"/>
  <c r="K894" i="3" s="1"/>
  <c r="J893" i="3"/>
  <c r="I893" i="3"/>
  <c r="K893" i="3" s="1"/>
  <c r="J892" i="3"/>
  <c r="I892" i="3"/>
  <c r="K892" i="3" s="1"/>
  <c r="J891" i="3"/>
  <c r="I891" i="3"/>
  <c r="L891" i="3" s="1"/>
  <c r="J890" i="3"/>
  <c r="I890" i="3"/>
  <c r="K890" i="3" s="1"/>
  <c r="J889" i="3"/>
  <c r="I889" i="3"/>
  <c r="J888" i="3"/>
  <c r="I888" i="3"/>
  <c r="K888" i="3" s="1"/>
  <c r="J887" i="3"/>
  <c r="I887" i="3"/>
  <c r="L887" i="3" s="1"/>
  <c r="J886" i="3"/>
  <c r="I886" i="3"/>
  <c r="K886" i="3" s="1"/>
  <c r="J885" i="3"/>
  <c r="I885" i="3"/>
  <c r="K885" i="3" s="1"/>
  <c r="J884" i="3"/>
  <c r="I884" i="3"/>
  <c r="K884" i="3" s="1"/>
  <c r="J883" i="3"/>
  <c r="I883" i="3"/>
  <c r="L883" i="3" s="1"/>
  <c r="J882" i="3"/>
  <c r="I882" i="3"/>
  <c r="L882" i="3" s="1"/>
  <c r="J881" i="3"/>
  <c r="I881" i="3"/>
  <c r="L881" i="3" s="1"/>
  <c r="J880" i="3"/>
  <c r="I880" i="3"/>
  <c r="L880" i="3" s="1"/>
  <c r="J879" i="3"/>
  <c r="I879" i="3"/>
  <c r="L879" i="3" s="1"/>
  <c r="J878" i="3"/>
  <c r="I878" i="3"/>
  <c r="L878" i="3" s="1"/>
  <c r="J877" i="3"/>
  <c r="I877" i="3"/>
  <c r="L877" i="3" s="1"/>
  <c r="J876" i="3"/>
  <c r="I876" i="3"/>
  <c r="L876" i="3" s="1"/>
  <c r="J875" i="3"/>
  <c r="I875" i="3"/>
  <c r="L875" i="3" s="1"/>
  <c r="J874" i="3"/>
  <c r="I874" i="3"/>
  <c r="K874" i="3" s="1"/>
  <c r="J873" i="3"/>
  <c r="I873" i="3"/>
  <c r="L873" i="3" s="1"/>
  <c r="J872" i="3"/>
  <c r="I872" i="3"/>
  <c r="L872" i="3" s="1"/>
  <c r="J871" i="3"/>
  <c r="I871" i="3"/>
  <c r="L871" i="3" s="1"/>
  <c r="J870" i="3"/>
  <c r="I870" i="3"/>
  <c r="L870" i="3" s="1"/>
  <c r="J869" i="3"/>
  <c r="I869" i="3"/>
  <c r="L869" i="3" s="1"/>
  <c r="J868" i="3"/>
  <c r="I868" i="3"/>
  <c r="L868" i="3" s="1"/>
  <c r="J867" i="3"/>
  <c r="I867" i="3"/>
  <c r="L867" i="3" s="1"/>
  <c r="J866" i="3"/>
  <c r="I866" i="3"/>
  <c r="K866" i="3" s="1"/>
  <c r="J865" i="3"/>
  <c r="I865" i="3"/>
  <c r="L865" i="3" s="1"/>
  <c r="J864" i="3"/>
  <c r="I864" i="3"/>
  <c r="K864" i="3" s="1"/>
  <c r="J863" i="3"/>
  <c r="I863" i="3"/>
  <c r="L863" i="3" s="1"/>
  <c r="J862" i="3"/>
  <c r="I862" i="3"/>
  <c r="L862" i="3" s="1"/>
  <c r="J861" i="3"/>
  <c r="I861" i="3"/>
  <c r="L861" i="3" s="1"/>
  <c r="K860" i="3"/>
  <c r="J860" i="3"/>
  <c r="I860" i="3"/>
  <c r="L860" i="3" s="1"/>
  <c r="J859" i="3"/>
  <c r="I859" i="3"/>
  <c r="L859" i="3" s="1"/>
  <c r="J858" i="3"/>
  <c r="I858" i="3"/>
  <c r="L858" i="3" s="1"/>
  <c r="J857" i="3"/>
  <c r="I857" i="3"/>
  <c r="L857" i="3" s="1"/>
  <c r="J856" i="3"/>
  <c r="I856" i="3"/>
  <c r="L856" i="3" s="1"/>
  <c r="J855" i="3"/>
  <c r="I855" i="3"/>
  <c r="L855" i="3" s="1"/>
  <c r="J854" i="3"/>
  <c r="I854" i="3"/>
  <c r="L854" i="3" s="1"/>
  <c r="J853" i="3"/>
  <c r="I853" i="3"/>
  <c r="L853" i="3" s="1"/>
  <c r="K852" i="3"/>
  <c r="J852" i="3"/>
  <c r="I852" i="3"/>
  <c r="L852" i="3" s="1"/>
  <c r="J851" i="3"/>
  <c r="I851" i="3"/>
  <c r="L851" i="3" s="1"/>
  <c r="J850" i="3"/>
  <c r="I850" i="3"/>
  <c r="K850" i="3" s="1"/>
  <c r="J849" i="3"/>
  <c r="I849" i="3"/>
  <c r="L849" i="3" s="1"/>
  <c r="J848" i="3"/>
  <c r="I848" i="3"/>
  <c r="L848" i="3" s="1"/>
  <c r="J847" i="3"/>
  <c r="I847" i="3"/>
  <c r="L847" i="3" s="1"/>
  <c r="J846" i="3"/>
  <c r="I846" i="3"/>
  <c r="L846" i="3" s="1"/>
  <c r="J845" i="3"/>
  <c r="I845" i="3"/>
  <c r="L845" i="3" s="1"/>
  <c r="J844" i="3"/>
  <c r="I844" i="3"/>
  <c r="L844" i="3" s="1"/>
  <c r="J843" i="3"/>
  <c r="I843" i="3"/>
  <c r="L843" i="3" s="1"/>
  <c r="J842" i="3"/>
  <c r="I842" i="3"/>
  <c r="L842" i="3" s="1"/>
  <c r="J841" i="3"/>
  <c r="I841" i="3"/>
  <c r="K841" i="3" s="1"/>
  <c r="J840" i="3"/>
  <c r="I840" i="3"/>
  <c r="J839" i="3"/>
  <c r="I839" i="3"/>
  <c r="J838" i="3"/>
  <c r="I838" i="3"/>
  <c r="J837" i="3"/>
  <c r="I837" i="3"/>
  <c r="K837" i="3" s="1"/>
  <c r="J836" i="3"/>
  <c r="I836" i="3"/>
  <c r="L836" i="3" s="1"/>
  <c r="J835" i="3"/>
  <c r="I835" i="3"/>
  <c r="L835" i="3" s="1"/>
  <c r="J834" i="3"/>
  <c r="I834" i="3"/>
  <c r="L834" i="3" s="1"/>
  <c r="J833" i="3"/>
  <c r="I833" i="3"/>
  <c r="K833" i="3" s="1"/>
  <c r="J832" i="3"/>
  <c r="I832" i="3"/>
  <c r="L832" i="3" s="1"/>
  <c r="J831" i="3"/>
  <c r="I831" i="3"/>
  <c r="K831" i="3" s="1"/>
  <c r="J830" i="3"/>
  <c r="I830" i="3"/>
  <c r="L830" i="3" s="1"/>
  <c r="J829" i="3"/>
  <c r="I829" i="3"/>
  <c r="K829" i="3" s="1"/>
  <c r="J828" i="3"/>
  <c r="I828" i="3"/>
  <c r="J827" i="3"/>
  <c r="I827" i="3"/>
  <c r="J826" i="3"/>
  <c r="I826" i="3"/>
  <c r="L826" i="3" s="1"/>
  <c r="J825" i="3"/>
  <c r="I825" i="3"/>
  <c r="J824" i="3"/>
  <c r="I824" i="3"/>
  <c r="L824" i="3" s="1"/>
  <c r="J823" i="3"/>
  <c r="I823" i="3"/>
  <c r="L823" i="3" s="1"/>
  <c r="J822" i="3"/>
  <c r="I822" i="3"/>
  <c r="L822" i="3" s="1"/>
  <c r="L821" i="3"/>
  <c r="J821" i="3"/>
  <c r="I821" i="3"/>
  <c r="K821" i="3" s="1"/>
  <c r="J820" i="3"/>
  <c r="I820" i="3"/>
  <c r="L820" i="3" s="1"/>
  <c r="J819" i="3"/>
  <c r="I819" i="3"/>
  <c r="L819" i="3" s="1"/>
  <c r="J818" i="3"/>
  <c r="I818" i="3"/>
  <c r="L818" i="3" s="1"/>
  <c r="J817" i="3"/>
  <c r="I817" i="3"/>
  <c r="K817" i="3" s="1"/>
  <c r="J816" i="3"/>
  <c r="I816" i="3"/>
  <c r="J815" i="3"/>
  <c r="I815" i="3"/>
  <c r="J814" i="3"/>
  <c r="I814" i="3"/>
  <c r="J813" i="3"/>
  <c r="I813" i="3"/>
  <c r="K813" i="3" s="1"/>
  <c r="J812" i="3"/>
  <c r="I812" i="3"/>
  <c r="L812" i="3" s="1"/>
  <c r="J811" i="3"/>
  <c r="I811" i="3"/>
  <c r="L811" i="3" s="1"/>
  <c r="J810" i="3"/>
  <c r="I810" i="3"/>
  <c r="L810" i="3" s="1"/>
  <c r="J809" i="3"/>
  <c r="I809" i="3"/>
  <c r="K809" i="3" s="1"/>
  <c r="J808" i="3"/>
  <c r="I808" i="3"/>
  <c r="L808" i="3" s="1"/>
  <c r="J807" i="3"/>
  <c r="I807" i="3"/>
  <c r="K807" i="3" s="1"/>
  <c r="J806" i="3"/>
  <c r="I806" i="3"/>
  <c r="L806" i="3" s="1"/>
  <c r="J805" i="3"/>
  <c r="I805" i="3"/>
  <c r="K805" i="3" s="1"/>
  <c r="J804" i="3"/>
  <c r="I804" i="3"/>
  <c r="J803" i="3"/>
  <c r="I803" i="3"/>
  <c r="J802" i="3"/>
  <c r="I802" i="3"/>
  <c r="L802" i="3" s="1"/>
  <c r="J801" i="3"/>
  <c r="I801" i="3"/>
  <c r="J800" i="3"/>
  <c r="I800" i="3"/>
  <c r="L800" i="3" s="1"/>
  <c r="J799" i="3"/>
  <c r="I799" i="3"/>
  <c r="L799" i="3" s="1"/>
  <c r="J798" i="3"/>
  <c r="I798" i="3"/>
  <c r="L798" i="3" s="1"/>
  <c r="J797" i="3"/>
  <c r="I797" i="3"/>
  <c r="K797" i="3" s="1"/>
  <c r="J796" i="3"/>
  <c r="I796" i="3"/>
  <c r="L796" i="3" s="1"/>
  <c r="J795" i="3"/>
  <c r="I795" i="3"/>
  <c r="L795" i="3" s="1"/>
  <c r="J794" i="3"/>
  <c r="I794" i="3"/>
  <c r="L794" i="3" s="1"/>
  <c r="J793" i="3"/>
  <c r="I793" i="3"/>
  <c r="K793" i="3" s="1"/>
  <c r="J792" i="3"/>
  <c r="I792" i="3"/>
  <c r="J791" i="3"/>
  <c r="I791" i="3"/>
  <c r="J790" i="3"/>
  <c r="I790" i="3"/>
  <c r="L790" i="3" s="1"/>
  <c r="J789" i="3"/>
  <c r="I789" i="3"/>
  <c r="L789" i="3" s="1"/>
  <c r="J788" i="3"/>
  <c r="I788" i="3"/>
  <c r="L788" i="3" s="1"/>
  <c r="J787" i="3"/>
  <c r="I787" i="3"/>
  <c r="L787" i="3" s="1"/>
  <c r="J786" i="3"/>
  <c r="I786" i="3"/>
  <c r="J785" i="3"/>
  <c r="I785" i="3"/>
  <c r="K785" i="3" s="1"/>
  <c r="J784" i="3"/>
  <c r="I784" i="3"/>
  <c r="L784" i="3" s="1"/>
  <c r="J783" i="3"/>
  <c r="I783" i="3"/>
  <c r="L783" i="3" s="1"/>
  <c r="J782" i="3"/>
  <c r="I782" i="3"/>
  <c r="L782" i="3" s="1"/>
  <c r="J781" i="3"/>
  <c r="I781" i="3"/>
  <c r="K781" i="3" s="1"/>
  <c r="J780" i="3"/>
  <c r="I780" i="3"/>
  <c r="J779" i="3"/>
  <c r="I779" i="3"/>
  <c r="K779" i="3" s="1"/>
  <c r="J778" i="3"/>
  <c r="I778" i="3"/>
  <c r="L778" i="3" s="1"/>
  <c r="J777" i="3"/>
  <c r="I777" i="3"/>
  <c r="L777" i="3" s="1"/>
  <c r="J776" i="3"/>
  <c r="I776" i="3"/>
  <c r="L776" i="3" s="1"/>
  <c r="J775" i="3"/>
  <c r="I775" i="3"/>
  <c r="L775" i="3" s="1"/>
  <c r="J774" i="3"/>
  <c r="I774" i="3"/>
  <c r="L774" i="3" s="1"/>
  <c r="J773" i="3"/>
  <c r="I773" i="3"/>
  <c r="K773" i="3" s="1"/>
  <c r="J772" i="3"/>
  <c r="I772" i="3"/>
  <c r="L772" i="3" s="1"/>
  <c r="J771" i="3"/>
  <c r="I771" i="3"/>
  <c r="L771" i="3" s="1"/>
  <c r="J770" i="3"/>
  <c r="I770" i="3"/>
  <c r="L770" i="3" s="1"/>
  <c r="J769" i="3"/>
  <c r="I769" i="3"/>
  <c r="K769" i="3" s="1"/>
  <c r="J768" i="3"/>
  <c r="I768" i="3"/>
  <c r="J767" i="3"/>
  <c r="I767" i="3"/>
  <c r="L767" i="3" s="1"/>
  <c r="J766" i="3"/>
  <c r="I766" i="3"/>
  <c r="L766" i="3" s="1"/>
  <c r="J765" i="3"/>
  <c r="I765" i="3"/>
  <c r="K765" i="3" s="1"/>
  <c r="J764" i="3"/>
  <c r="I764" i="3"/>
  <c r="L764" i="3" s="1"/>
  <c r="J763" i="3"/>
  <c r="I763" i="3"/>
  <c r="L763" i="3" s="1"/>
  <c r="J762" i="3"/>
  <c r="I762" i="3"/>
  <c r="L762" i="3" s="1"/>
  <c r="J761" i="3"/>
  <c r="I761" i="3"/>
  <c r="L761" i="3" s="1"/>
  <c r="J760" i="3"/>
  <c r="I760" i="3"/>
  <c r="L760" i="3" s="1"/>
  <c r="J759" i="3"/>
  <c r="I759" i="3"/>
  <c r="L759" i="3" s="1"/>
  <c r="J758" i="3"/>
  <c r="I758" i="3"/>
  <c r="J757" i="3"/>
  <c r="I757" i="3"/>
  <c r="K757" i="3" s="1"/>
  <c r="J756" i="3"/>
  <c r="I756" i="3"/>
  <c r="L756" i="3" s="1"/>
  <c r="J755" i="3"/>
  <c r="I755" i="3"/>
  <c r="L755" i="3" s="1"/>
  <c r="J754" i="3"/>
  <c r="I754" i="3"/>
  <c r="L754" i="3" s="1"/>
  <c r="J753" i="3"/>
  <c r="I753" i="3"/>
  <c r="L753" i="3" s="1"/>
  <c r="J752" i="3"/>
  <c r="I752" i="3"/>
  <c r="L752" i="3" s="1"/>
  <c r="J751" i="3"/>
  <c r="I751" i="3"/>
  <c r="K751" i="3" s="1"/>
  <c r="J750" i="3"/>
  <c r="I750" i="3"/>
  <c r="L750" i="3" s="1"/>
  <c r="J749" i="3"/>
  <c r="I749" i="3"/>
  <c r="L749" i="3" s="1"/>
  <c r="J748" i="3"/>
  <c r="I748" i="3"/>
  <c r="L748" i="3" s="1"/>
  <c r="J747" i="3"/>
  <c r="I747" i="3"/>
  <c r="L747" i="3" s="1"/>
  <c r="J746" i="3"/>
  <c r="I746" i="3"/>
  <c r="J745" i="3"/>
  <c r="I745" i="3"/>
  <c r="K745" i="3" s="1"/>
  <c r="J744" i="3"/>
  <c r="I744" i="3"/>
  <c r="J743" i="3"/>
  <c r="I743" i="3"/>
  <c r="K743" i="3" s="1"/>
  <c r="J742" i="3"/>
  <c r="I742" i="3"/>
  <c r="L742" i="3" s="1"/>
  <c r="J741" i="3"/>
  <c r="I741" i="3"/>
  <c r="L741" i="3" s="1"/>
  <c r="J740" i="3"/>
  <c r="I740" i="3"/>
  <c r="L740" i="3" s="1"/>
  <c r="J739" i="3"/>
  <c r="I739" i="3"/>
  <c r="L739" i="3" s="1"/>
  <c r="J738" i="3"/>
  <c r="I738" i="3"/>
  <c r="J737" i="3"/>
  <c r="I737" i="3"/>
  <c r="J736" i="3"/>
  <c r="I736" i="3"/>
  <c r="L736" i="3" s="1"/>
  <c r="J735" i="3"/>
  <c r="I735" i="3"/>
  <c r="L735" i="3" s="1"/>
  <c r="J734" i="3"/>
  <c r="I734" i="3"/>
  <c r="J733" i="3"/>
  <c r="I733" i="3"/>
  <c r="L733" i="3" s="1"/>
  <c r="J732" i="3"/>
  <c r="I732" i="3"/>
  <c r="L732" i="3" s="1"/>
  <c r="J731" i="3"/>
  <c r="I731" i="3"/>
  <c r="K731" i="3" s="1"/>
  <c r="J730" i="3"/>
  <c r="I730" i="3"/>
  <c r="L730" i="3" s="1"/>
  <c r="J729" i="3"/>
  <c r="I729" i="3"/>
  <c r="K729" i="3" s="1"/>
  <c r="J728" i="3"/>
  <c r="I728" i="3"/>
  <c r="L728" i="3" s="1"/>
  <c r="J727" i="3"/>
  <c r="I727" i="3"/>
  <c r="L727" i="3" s="1"/>
  <c r="J726" i="3"/>
  <c r="I726" i="3"/>
  <c r="L726" i="3" s="1"/>
  <c r="J725" i="3"/>
  <c r="I725" i="3"/>
  <c r="L725" i="3" s="1"/>
  <c r="J724" i="3"/>
  <c r="I724" i="3"/>
  <c r="J723" i="3"/>
  <c r="I723" i="3"/>
  <c r="J722" i="3"/>
  <c r="I722" i="3"/>
  <c r="L722" i="3" s="1"/>
  <c r="J721" i="3"/>
  <c r="I721" i="3"/>
  <c r="K721" i="3" s="1"/>
  <c r="J720" i="3"/>
  <c r="I720" i="3"/>
  <c r="J719" i="3"/>
  <c r="I719" i="3"/>
  <c r="K719" i="3" s="1"/>
  <c r="J718" i="3"/>
  <c r="I718" i="3"/>
  <c r="J717" i="3"/>
  <c r="I717" i="3"/>
  <c r="L717" i="3" s="1"/>
  <c r="J716" i="3"/>
  <c r="I716" i="3"/>
  <c r="J715" i="3"/>
  <c r="I715" i="3"/>
  <c r="K715" i="3" s="1"/>
  <c r="J714" i="3"/>
  <c r="I714" i="3"/>
  <c r="L714" i="3" s="1"/>
  <c r="J713" i="3"/>
  <c r="I713" i="3"/>
  <c r="L713" i="3" s="1"/>
  <c r="J712" i="3"/>
  <c r="I712" i="3"/>
  <c r="L712" i="3" s="1"/>
  <c r="J711" i="3"/>
  <c r="I711" i="3"/>
  <c r="L711" i="3" s="1"/>
  <c r="J710" i="3"/>
  <c r="I710" i="3"/>
  <c r="J709" i="3"/>
  <c r="I709" i="3"/>
  <c r="J708" i="3"/>
  <c r="I708" i="3"/>
  <c r="L708" i="3" s="1"/>
  <c r="J707" i="3"/>
  <c r="I707" i="3"/>
  <c r="L707" i="3" s="1"/>
  <c r="J706" i="3"/>
  <c r="I706" i="3"/>
  <c r="L706" i="3" s="1"/>
  <c r="J705" i="3"/>
  <c r="I705" i="3"/>
  <c r="K705" i="3" s="1"/>
  <c r="J704" i="3"/>
  <c r="I704" i="3"/>
  <c r="L704" i="3" s="1"/>
  <c r="L703" i="3"/>
  <c r="K703" i="3"/>
  <c r="J703" i="3"/>
  <c r="I703" i="3"/>
  <c r="J702" i="3"/>
  <c r="I702" i="3"/>
  <c r="J701" i="3"/>
  <c r="I701" i="3"/>
  <c r="K701" i="3" s="1"/>
  <c r="J700" i="3"/>
  <c r="I700" i="3"/>
  <c r="L700" i="3" s="1"/>
  <c r="J699" i="3"/>
  <c r="I699" i="3"/>
  <c r="L699" i="3" s="1"/>
  <c r="J698" i="3"/>
  <c r="I698" i="3"/>
  <c r="L698" i="3" s="1"/>
  <c r="J697" i="3"/>
  <c r="I697" i="3"/>
  <c r="K697" i="3" s="1"/>
  <c r="J696" i="3"/>
  <c r="I696" i="3"/>
  <c r="J695" i="3"/>
  <c r="I695" i="3"/>
  <c r="L695" i="3" s="1"/>
  <c r="J694" i="3"/>
  <c r="I694" i="3"/>
  <c r="J693" i="3"/>
  <c r="I693" i="3"/>
  <c r="J692" i="3"/>
  <c r="I692" i="3"/>
  <c r="L692" i="3" s="1"/>
  <c r="J691" i="3"/>
  <c r="I691" i="3"/>
  <c r="L691" i="3" s="1"/>
  <c r="J690" i="3"/>
  <c r="I690" i="3"/>
  <c r="L690" i="3" s="1"/>
  <c r="J689" i="3"/>
  <c r="I689" i="3"/>
  <c r="L689" i="3" s="1"/>
  <c r="J688" i="3"/>
  <c r="I688" i="3"/>
  <c r="L688" i="3" s="1"/>
  <c r="J687" i="3"/>
  <c r="I687" i="3"/>
  <c r="L687" i="3" s="1"/>
  <c r="J686" i="3"/>
  <c r="I686" i="3"/>
  <c r="J685" i="3"/>
  <c r="I685" i="3"/>
  <c r="K685" i="3" s="1"/>
  <c r="J684" i="3"/>
  <c r="I684" i="3"/>
  <c r="L684" i="3" s="1"/>
  <c r="J683" i="3"/>
  <c r="I683" i="3"/>
  <c r="K683" i="3" s="1"/>
  <c r="J682" i="3"/>
  <c r="I682" i="3"/>
  <c r="L682" i="3" s="1"/>
  <c r="J681" i="3"/>
  <c r="I681" i="3"/>
  <c r="L681" i="3" s="1"/>
  <c r="J680" i="3"/>
  <c r="I680" i="3"/>
  <c r="L680" i="3" s="1"/>
  <c r="J679" i="3"/>
  <c r="I679" i="3"/>
  <c r="J678" i="3"/>
  <c r="I678" i="3"/>
  <c r="L678" i="3" s="1"/>
  <c r="J677" i="3"/>
  <c r="I677" i="3"/>
  <c r="L677" i="3" s="1"/>
  <c r="J676" i="3"/>
  <c r="I676" i="3"/>
  <c r="L676" i="3" s="1"/>
  <c r="J675" i="3"/>
  <c r="I675" i="3"/>
  <c r="L675" i="3" s="1"/>
  <c r="J674" i="3"/>
  <c r="I674" i="3"/>
  <c r="L674" i="3" s="1"/>
  <c r="J673" i="3"/>
  <c r="I673" i="3"/>
  <c r="K673" i="3" s="1"/>
  <c r="J672" i="3"/>
  <c r="I672" i="3"/>
  <c r="L671" i="3"/>
  <c r="J671" i="3"/>
  <c r="I671" i="3"/>
  <c r="K671" i="3" s="1"/>
  <c r="J670" i="3"/>
  <c r="I670" i="3"/>
  <c r="J669" i="3"/>
  <c r="I669" i="3"/>
  <c r="L669" i="3" s="1"/>
  <c r="J668" i="3"/>
  <c r="I668" i="3"/>
  <c r="L668" i="3" s="1"/>
  <c r="J667" i="3"/>
  <c r="I667" i="3"/>
  <c r="K667" i="3" s="1"/>
  <c r="J666" i="3"/>
  <c r="I666" i="3"/>
  <c r="L666" i="3" s="1"/>
  <c r="J665" i="3"/>
  <c r="I665" i="3"/>
  <c r="L665" i="3" s="1"/>
  <c r="J664" i="3"/>
  <c r="I664" i="3"/>
  <c r="L664" i="3" s="1"/>
  <c r="J663" i="3"/>
  <c r="I663" i="3"/>
  <c r="J662" i="3"/>
  <c r="I662" i="3"/>
  <c r="J661" i="3"/>
  <c r="I661" i="3"/>
  <c r="L661" i="3" s="1"/>
  <c r="J660" i="3"/>
  <c r="I660" i="3"/>
  <c r="L660" i="3" s="1"/>
  <c r="J659" i="3"/>
  <c r="I659" i="3"/>
  <c r="K659" i="3" s="1"/>
  <c r="J658" i="3"/>
  <c r="I658" i="3"/>
  <c r="L658" i="3" s="1"/>
  <c r="J657" i="3"/>
  <c r="I657" i="3"/>
  <c r="L657" i="3" s="1"/>
  <c r="J656" i="3"/>
  <c r="I656" i="3"/>
  <c r="L656" i="3" s="1"/>
  <c r="J655" i="3"/>
  <c r="I655" i="3"/>
  <c r="L655" i="3" s="1"/>
  <c r="J654" i="3"/>
  <c r="I654" i="3"/>
  <c r="L654" i="3" s="1"/>
  <c r="J653" i="3"/>
  <c r="I653" i="3"/>
  <c r="L653" i="3" s="1"/>
  <c r="J652" i="3"/>
  <c r="I652" i="3"/>
  <c r="L652" i="3" s="1"/>
  <c r="J651" i="3"/>
  <c r="I651" i="3"/>
  <c r="J650" i="3"/>
  <c r="I650" i="3"/>
  <c r="L650" i="3" s="1"/>
  <c r="J649" i="3"/>
  <c r="I649" i="3"/>
  <c r="J648" i="3"/>
  <c r="I648" i="3"/>
  <c r="J647" i="3"/>
  <c r="I647" i="3"/>
  <c r="L647" i="3" s="1"/>
  <c r="J646" i="3"/>
  <c r="I646" i="3"/>
  <c r="J645" i="3"/>
  <c r="I645" i="3"/>
  <c r="L645" i="3" s="1"/>
  <c r="J644" i="3"/>
  <c r="I644" i="3"/>
  <c r="J643" i="3"/>
  <c r="I643" i="3"/>
  <c r="K643" i="3" s="1"/>
  <c r="J642" i="3"/>
  <c r="I642" i="3"/>
  <c r="L642" i="3" s="1"/>
  <c r="J641" i="3"/>
  <c r="I641" i="3"/>
  <c r="K641" i="3" s="1"/>
  <c r="J640" i="3"/>
  <c r="I640" i="3"/>
  <c r="J639" i="3"/>
  <c r="I639" i="3"/>
  <c r="L639" i="3" s="1"/>
  <c r="J638" i="3"/>
  <c r="I638" i="3"/>
  <c r="J637" i="3"/>
  <c r="I637" i="3"/>
  <c r="L637" i="3" s="1"/>
  <c r="J636" i="3"/>
  <c r="I636" i="3"/>
  <c r="L636" i="3" s="1"/>
  <c r="J635" i="3"/>
  <c r="I635" i="3"/>
  <c r="J634" i="3"/>
  <c r="I634" i="3"/>
  <c r="L634" i="3" s="1"/>
  <c r="J633" i="3"/>
  <c r="I633" i="3"/>
  <c r="L633" i="3" s="1"/>
  <c r="J632" i="3"/>
  <c r="I632" i="3"/>
  <c r="L632" i="3" s="1"/>
  <c r="J631" i="3"/>
  <c r="I631" i="3"/>
  <c r="K631" i="3" s="1"/>
  <c r="J630" i="3"/>
  <c r="I630" i="3"/>
  <c r="J629" i="3"/>
  <c r="I629" i="3"/>
  <c r="L629" i="3" s="1"/>
  <c r="J628" i="3"/>
  <c r="I628" i="3"/>
  <c r="L628" i="3" s="1"/>
  <c r="J627" i="3"/>
  <c r="I627" i="3"/>
  <c r="J626" i="3"/>
  <c r="I626" i="3"/>
  <c r="J625" i="3"/>
  <c r="I625" i="3"/>
  <c r="J624" i="3"/>
  <c r="I624" i="3"/>
  <c r="J623" i="3"/>
  <c r="I623" i="3"/>
  <c r="L623" i="3" s="1"/>
  <c r="J622" i="3"/>
  <c r="I622" i="3"/>
  <c r="L622" i="3" s="1"/>
  <c r="J621" i="3"/>
  <c r="I621" i="3"/>
  <c r="L621" i="3" s="1"/>
  <c r="J620" i="3"/>
  <c r="I620" i="3"/>
  <c r="L620" i="3" s="1"/>
  <c r="J619" i="3"/>
  <c r="I619" i="3"/>
  <c r="J618" i="3"/>
  <c r="I618" i="3"/>
  <c r="L618" i="3" s="1"/>
  <c r="J617" i="3"/>
  <c r="I617" i="3"/>
  <c r="L617" i="3" s="1"/>
  <c r="J616" i="3"/>
  <c r="I616" i="3"/>
  <c r="J615" i="3"/>
  <c r="I615" i="3"/>
  <c r="K615" i="3" s="1"/>
  <c r="J614" i="3"/>
  <c r="I614" i="3"/>
  <c r="J613" i="3"/>
  <c r="I613" i="3"/>
  <c r="K613" i="3" s="1"/>
  <c r="J612" i="3"/>
  <c r="I612" i="3"/>
  <c r="L612" i="3" s="1"/>
  <c r="J611" i="3"/>
  <c r="I611" i="3"/>
  <c r="K611" i="3" s="1"/>
  <c r="J610" i="3"/>
  <c r="I610" i="3"/>
  <c r="L610" i="3" s="1"/>
  <c r="J609" i="3"/>
  <c r="I609" i="3"/>
  <c r="J608" i="3"/>
  <c r="I608" i="3"/>
  <c r="L608" i="3" s="1"/>
  <c r="J607" i="3"/>
  <c r="I607" i="3"/>
  <c r="L607" i="3" s="1"/>
  <c r="J606" i="3"/>
  <c r="I606" i="3"/>
  <c r="L606" i="3" s="1"/>
  <c r="J605" i="3"/>
  <c r="I605" i="3"/>
  <c r="L605" i="3" s="1"/>
  <c r="J604" i="3"/>
  <c r="I604" i="3"/>
  <c r="J603" i="3"/>
  <c r="I603" i="3"/>
  <c r="J602" i="3"/>
  <c r="I602" i="3"/>
  <c r="L602" i="3" s="1"/>
  <c r="J601" i="3"/>
  <c r="I601" i="3"/>
  <c r="J600" i="3"/>
  <c r="I600" i="3"/>
  <c r="J599" i="3"/>
  <c r="I599" i="3"/>
  <c r="L599" i="3" s="1"/>
  <c r="J598" i="3"/>
  <c r="I598" i="3"/>
  <c r="L598" i="3" s="1"/>
  <c r="J597" i="3"/>
  <c r="I597" i="3"/>
  <c r="L597" i="3" s="1"/>
  <c r="J596" i="3"/>
  <c r="I596" i="3"/>
  <c r="L596" i="3" s="1"/>
  <c r="J595" i="3"/>
  <c r="I595" i="3"/>
  <c r="L595" i="3" s="1"/>
  <c r="J594" i="3"/>
  <c r="I594" i="3"/>
  <c r="L594" i="3" s="1"/>
  <c r="J593" i="3"/>
  <c r="I593" i="3"/>
  <c r="K593" i="3" s="1"/>
  <c r="J592" i="3"/>
  <c r="I592" i="3"/>
  <c r="L592" i="3" s="1"/>
  <c r="J591" i="3"/>
  <c r="I591" i="3"/>
  <c r="L591" i="3" s="1"/>
  <c r="J590" i="3"/>
  <c r="I590" i="3"/>
  <c r="J589" i="3"/>
  <c r="I589" i="3"/>
  <c r="J588" i="3"/>
  <c r="I588" i="3"/>
  <c r="J587" i="3"/>
  <c r="I587" i="3"/>
  <c r="K587" i="3" s="1"/>
  <c r="J586" i="3"/>
  <c r="I586" i="3"/>
  <c r="L586" i="3" s="1"/>
  <c r="J585" i="3"/>
  <c r="I585" i="3"/>
  <c r="L585" i="3" s="1"/>
  <c r="J584" i="3"/>
  <c r="I584" i="3"/>
  <c r="L584" i="3" s="1"/>
  <c r="J583" i="3"/>
  <c r="I583" i="3"/>
  <c r="K583" i="3" s="1"/>
  <c r="J582" i="3"/>
  <c r="I582" i="3"/>
  <c r="L582" i="3" s="1"/>
  <c r="J581" i="3"/>
  <c r="I581" i="3"/>
  <c r="J580" i="3"/>
  <c r="I580" i="3"/>
  <c r="J579" i="3"/>
  <c r="I579" i="3"/>
  <c r="L579" i="3" s="1"/>
  <c r="J578" i="3"/>
  <c r="I578" i="3"/>
  <c r="L578" i="3" s="1"/>
  <c r="J577" i="3"/>
  <c r="I577" i="3"/>
  <c r="L577" i="3" s="1"/>
  <c r="J576" i="3"/>
  <c r="I576" i="3"/>
  <c r="J575" i="3"/>
  <c r="I575" i="3"/>
  <c r="J574" i="3"/>
  <c r="I574" i="3"/>
  <c r="L574" i="3" s="1"/>
  <c r="J573" i="3"/>
  <c r="I573" i="3"/>
  <c r="J572" i="3"/>
  <c r="I572" i="3"/>
  <c r="L572" i="3" s="1"/>
  <c r="J571" i="3"/>
  <c r="I571" i="3"/>
  <c r="L571" i="3" s="1"/>
  <c r="J570" i="3"/>
  <c r="I570" i="3"/>
  <c r="L570" i="3" s="1"/>
  <c r="J569" i="3"/>
  <c r="I569" i="3"/>
  <c r="L569" i="3" s="1"/>
  <c r="J568" i="3"/>
  <c r="I568" i="3"/>
  <c r="J567" i="3"/>
  <c r="I567" i="3"/>
  <c r="K567" i="3" s="1"/>
  <c r="J566" i="3"/>
  <c r="I566" i="3"/>
  <c r="J565" i="3"/>
  <c r="I565" i="3"/>
  <c r="L565" i="3" s="1"/>
  <c r="J564" i="3"/>
  <c r="I564" i="3"/>
  <c r="J563" i="3"/>
  <c r="I563" i="3"/>
  <c r="K563" i="3" s="1"/>
  <c r="J562" i="3"/>
  <c r="I562" i="3"/>
  <c r="J561" i="3"/>
  <c r="I561" i="3"/>
  <c r="L561" i="3" s="1"/>
  <c r="J560" i="3"/>
  <c r="I560" i="3"/>
  <c r="L560" i="3" s="1"/>
  <c r="J559" i="3"/>
  <c r="I559" i="3"/>
  <c r="L559" i="3" s="1"/>
  <c r="J558" i="3"/>
  <c r="I558" i="3"/>
  <c r="L558" i="3" s="1"/>
  <c r="J557" i="3"/>
  <c r="I557" i="3"/>
  <c r="L557" i="3" s="1"/>
  <c r="J556" i="3"/>
  <c r="I556" i="3"/>
  <c r="J555" i="3"/>
  <c r="I555" i="3"/>
  <c r="K555" i="3" s="1"/>
  <c r="J554" i="3"/>
  <c r="I554" i="3"/>
  <c r="L554" i="3" s="1"/>
  <c r="J553" i="3"/>
  <c r="I553" i="3"/>
  <c r="L553" i="3" s="1"/>
  <c r="J552" i="3"/>
  <c r="I552" i="3"/>
  <c r="J551" i="3"/>
  <c r="I551" i="3"/>
  <c r="J550" i="3"/>
  <c r="I550" i="3"/>
  <c r="J549" i="3"/>
  <c r="I549" i="3"/>
  <c r="J548" i="3"/>
  <c r="I548" i="3"/>
  <c r="L548" i="3" s="1"/>
  <c r="J547" i="3"/>
  <c r="I547" i="3"/>
  <c r="L547" i="3" s="1"/>
  <c r="J546" i="3"/>
  <c r="I546" i="3"/>
  <c r="L546" i="3" s="1"/>
  <c r="J545" i="3"/>
  <c r="I545" i="3"/>
  <c r="K545" i="3" s="1"/>
  <c r="J544" i="3"/>
  <c r="I544" i="3"/>
  <c r="L544" i="3" s="1"/>
  <c r="J543" i="3"/>
  <c r="I543" i="3"/>
  <c r="L543" i="3" s="1"/>
  <c r="J542" i="3"/>
  <c r="I542" i="3"/>
  <c r="L542" i="3" s="1"/>
  <c r="J541" i="3"/>
  <c r="I541" i="3"/>
  <c r="J540" i="3"/>
  <c r="I540" i="3"/>
  <c r="J539" i="3"/>
  <c r="I539" i="3"/>
  <c r="K539" i="3" s="1"/>
  <c r="J538" i="3"/>
  <c r="I538" i="3"/>
  <c r="J537" i="3"/>
  <c r="I537" i="3"/>
  <c r="J536" i="3"/>
  <c r="I536" i="3"/>
  <c r="J535" i="3"/>
  <c r="I535" i="3"/>
  <c r="J534" i="3"/>
  <c r="I534" i="3"/>
  <c r="L534" i="3" s="1"/>
  <c r="J533" i="3"/>
  <c r="I533" i="3"/>
  <c r="L533" i="3" s="1"/>
  <c r="J532" i="3"/>
  <c r="I532" i="3"/>
  <c r="L532" i="3" s="1"/>
  <c r="J531" i="3"/>
  <c r="I531" i="3"/>
  <c r="K531" i="3" s="1"/>
  <c r="J530" i="3"/>
  <c r="I530" i="3"/>
  <c r="L530" i="3" s="1"/>
  <c r="J529" i="3"/>
  <c r="I529" i="3"/>
  <c r="L529" i="3" s="1"/>
  <c r="J528" i="3"/>
  <c r="I528" i="3"/>
  <c r="J527" i="3"/>
  <c r="I527" i="3"/>
  <c r="J526" i="3"/>
  <c r="I526" i="3"/>
  <c r="L526" i="3" s="1"/>
  <c r="J525" i="3"/>
  <c r="I525" i="3"/>
  <c r="K525" i="3" s="1"/>
  <c r="J524" i="3"/>
  <c r="I524" i="3"/>
  <c r="L524" i="3" s="1"/>
  <c r="J523" i="3"/>
  <c r="I523" i="3"/>
  <c r="L523" i="3" s="1"/>
  <c r="J522" i="3"/>
  <c r="I522" i="3"/>
  <c r="J521" i="3"/>
  <c r="I521" i="3"/>
  <c r="K521" i="3" s="1"/>
  <c r="J520" i="3"/>
  <c r="I520" i="3"/>
  <c r="L520" i="3" s="1"/>
  <c r="J519" i="3"/>
  <c r="I519" i="3"/>
  <c r="L519" i="3" s="1"/>
  <c r="J518" i="3"/>
  <c r="I518" i="3"/>
  <c r="L518" i="3" s="1"/>
  <c r="J517" i="3"/>
  <c r="I517" i="3"/>
  <c r="L517" i="3" s="1"/>
  <c r="J516" i="3"/>
  <c r="I516" i="3"/>
  <c r="L516" i="3" s="1"/>
  <c r="J515" i="3"/>
  <c r="I515" i="3"/>
  <c r="L515" i="3" s="1"/>
  <c r="J514" i="3"/>
  <c r="I514" i="3"/>
  <c r="L514" i="3" s="1"/>
  <c r="J513" i="3"/>
  <c r="I513" i="3"/>
  <c r="J512" i="3"/>
  <c r="I512" i="3"/>
  <c r="L512" i="3" s="1"/>
  <c r="J511" i="3"/>
  <c r="I511" i="3"/>
  <c r="L511" i="3" s="1"/>
  <c r="J510" i="3"/>
  <c r="I510" i="3"/>
  <c r="L510" i="3" s="1"/>
  <c r="J509" i="3"/>
  <c r="I509" i="3"/>
  <c r="J508" i="3"/>
  <c r="I508" i="3"/>
  <c r="J507" i="3"/>
  <c r="I507" i="3"/>
  <c r="L507" i="3" s="1"/>
  <c r="J506" i="3"/>
  <c r="I506" i="3"/>
  <c r="L506" i="3" s="1"/>
  <c r="J505" i="3"/>
  <c r="I505" i="3"/>
  <c r="L505" i="3" s="1"/>
  <c r="J504" i="3"/>
  <c r="I504" i="3"/>
  <c r="L504" i="3" s="1"/>
  <c r="J503" i="3"/>
  <c r="I503" i="3"/>
  <c r="L503" i="3" s="1"/>
  <c r="J502" i="3"/>
  <c r="I502" i="3"/>
  <c r="L502" i="3" s="1"/>
  <c r="J501" i="3"/>
  <c r="I501" i="3"/>
  <c r="L501" i="3" s="1"/>
  <c r="J500" i="3"/>
  <c r="I500" i="3"/>
  <c r="L500" i="3" s="1"/>
  <c r="J499" i="3"/>
  <c r="I499" i="3"/>
  <c r="L499" i="3" s="1"/>
  <c r="J498" i="3"/>
  <c r="I498" i="3"/>
  <c r="J497" i="3"/>
  <c r="I497" i="3"/>
  <c r="L497" i="3" s="1"/>
  <c r="J496" i="3"/>
  <c r="I496" i="3"/>
  <c r="J495" i="3"/>
  <c r="I495" i="3"/>
  <c r="L495" i="3" s="1"/>
  <c r="J494" i="3"/>
  <c r="I494" i="3"/>
  <c r="L494" i="3" s="1"/>
  <c r="J493" i="3"/>
  <c r="I493" i="3"/>
  <c r="L493" i="3" s="1"/>
  <c r="J492" i="3"/>
  <c r="I492" i="3"/>
  <c r="L492" i="3" s="1"/>
  <c r="J491" i="3"/>
  <c r="I491" i="3"/>
  <c r="L491" i="3" s="1"/>
  <c r="J490" i="3"/>
  <c r="I490" i="3"/>
  <c r="L490" i="3" s="1"/>
  <c r="J489" i="3"/>
  <c r="I489" i="3"/>
  <c r="L489" i="3" s="1"/>
  <c r="J488" i="3"/>
  <c r="I488" i="3"/>
  <c r="L488" i="3" s="1"/>
  <c r="J487" i="3"/>
  <c r="I487" i="3"/>
  <c r="L487" i="3" s="1"/>
  <c r="J486" i="3"/>
  <c r="I486" i="3"/>
  <c r="L486" i="3" s="1"/>
  <c r="J485" i="3"/>
  <c r="I485" i="3"/>
  <c r="L485" i="3" s="1"/>
  <c r="J484" i="3"/>
  <c r="I484" i="3"/>
  <c r="J483" i="3"/>
  <c r="I483" i="3"/>
  <c r="J482" i="3"/>
  <c r="I482" i="3"/>
  <c r="L482" i="3" s="1"/>
  <c r="J481" i="3"/>
  <c r="I481" i="3"/>
  <c r="L481" i="3" s="1"/>
  <c r="J480" i="3"/>
  <c r="I480" i="3"/>
  <c r="L480" i="3" s="1"/>
  <c r="J479" i="3"/>
  <c r="I479" i="3"/>
  <c r="L479" i="3" s="1"/>
  <c r="J478" i="3"/>
  <c r="I478" i="3"/>
  <c r="L478" i="3" s="1"/>
  <c r="J477" i="3"/>
  <c r="I477" i="3"/>
  <c r="J476" i="3"/>
  <c r="I476" i="3"/>
  <c r="L476" i="3" s="1"/>
  <c r="J475" i="3"/>
  <c r="I475" i="3"/>
  <c r="L475" i="3" s="1"/>
  <c r="J474" i="3"/>
  <c r="I474" i="3"/>
  <c r="L474" i="3" s="1"/>
  <c r="J473" i="3"/>
  <c r="I473" i="3"/>
  <c r="L473" i="3" s="1"/>
  <c r="J472" i="3"/>
  <c r="I472" i="3"/>
  <c r="L472" i="3" s="1"/>
  <c r="J471" i="3"/>
  <c r="I471" i="3"/>
  <c r="L471" i="3" s="1"/>
  <c r="J470" i="3"/>
  <c r="I470" i="3"/>
  <c r="L470" i="3" s="1"/>
  <c r="J469" i="3"/>
  <c r="I469" i="3"/>
  <c r="L469" i="3" s="1"/>
  <c r="J468" i="3"/>
  <c r="I468" i="3"/>
  <c r="L468" i="3" s="1"/>
  <c r="J467" i="3"/>
  <c r="I467" i="3"/>
  <c r="K467" i="3" s="1"/>
  <c r="J466" i="3"/>
  <c r="I466" i="3"/>
  <c r="J465" i="3"/>
  <c r="I465" i="3"/>
  <c r="J464" i="3"/>
  <c r="I464" i="3"/>
  <c r="J463" i="3"/>
  <c r="I463" i="3"/>
  <c r="J462" i="3"/>
  <c r="I462" i="3"/>
  <c r="L462" i="3" s="1"/>
  <c r="J461" i="3"/>
  <c r="I461" i="3"/>
  <c r="L461" i="3" s="1"/>
  <c r="J460" i="3"/>
  <c r="I460" i="3"/>
  <c r="L460" i="3" s="1"/>
  <c r="J459" i="3"/>
  <c r="I459" i="3"/>
  <c r="K459" i="3" s="1"/>
  <c r="J458" i="3"/>
  <c r="I458" i="3"/>
  <c r="L458" i="3" s="1"/>
  <c r="J457" i="3"/>
  <c r="I457" i="3"/>
  <c r="L457" i="3" s="1"/>
  <c r="J456" i="3"/>
  <c r="I456" i="3"/>
  <c r="L456" i="3" s="1"/>
  <c r="J455" i="3"/>
  <c r="I455" i="3"/>
  <c r="J454" i="3"/>
  <c r="I454" i="3"/>
  <c r="J453" i="3"/>
  <c r="I453" i="3"/>
  <c r="J452" i="3"/>
  <c r="I452" i="3"/>
  <c r="L452" i="3" s="1"/>
  <c r="J451" i="3"/>
  <c r="I451" i="3"/>
  <c r="K451" i="3" s="1"/>
  <c r="J450" i="3"/>
  <c r="I450" i="3"/>
  <c r="L450" i="3" s="1"/>
  <c r="J449" i="3"/>
  <c r="I449" i="3"/>
  <c r="L449" i="3" s="1"/>
  <c r="J448" i="3"/>
  <c r="I448" i="3"/>
  <c r="L448" i="3" s="1"/>
  <c r="J447" i="3"/>
  <c r="I447" i="3"/>
  <c r="L447" i="3" s="1"/>
  <c r="J446" i="3"/>
  <c r="I446" i="3"/>
  <c r="J445" i="3"/>
  <c r="I445" i="3"/>
  <c r="L445" i="3" s="1"/>
  <c r="J444" i="3"/>
  <c r="I444" i="3"/>
  <c r="L444" i="3" s="1"/>
  <c r="J443" i="3"/>
  <c r="I443" i="3"/>
  <c r="L443" i="3" s="1"/>
  <c r="J442" i="3"/>
  <c r="I442" i="3"/>
  <c r="J441" i="3"/>
  <c r="I441" i="3"/>
  <c r="K441" i="3" s="1"/>
  <c r="J440" i="3"/>
  <c r="I440" i="3"/>
  <c r="L440" i="3" s="1"/>
  <c r="J439" i="3"/>
  <c r="I439" i="3"/>
  <c r="L439" i="3" s="1"/>
  <c r="J438" i="3"/>
  <c r="I438" i="3"/>
  <c r="L438" i="3" s="1"/>
  <c r="J437" i="3"/>
  <c r="I437" i="3"/>
  <c r="L437" i="3" s="1"/>
  <c r="J436" i="3"/>
  <c r="I436" i="3"/>
  <c r="L436" i="3" s="1"/>
  <c r="J435" i="3"/>
  <c r="I435" i="3"/>
  <c r="J434" i="3"/>
  <c r="I434" i="3"/>
  <c r="L434" i="3" s="1"/>
  <c r="J433" i="3"/>
  <c r="I433" i="3"/>
  <c r="L433" i="3" s="1"/>
  <c r="J432" i="3"/>
  <c r="I432" i="3"/>
  <c r="J431" i="3"/>
  <c r="I431" i="3"/>
  <c r="J430" i="3"/>
  <c r="I430" i="3"/>
  <c r="L430" i="3" s="1"/>
  <c r="J429" i="3"/>
  <c r="I429" i="3"/>
  <c r="J428" i="3"/>
  <c r="I428" i="3"/>
  <c r="L428" i="3" s="1"/>
  <c r="J427" i="3"/>
  <c r="I427" i="3"/>
  <c r="L427" i="3" s="1"/>
  <c r="J426" i="3"/>
  <c r="I426" i="3"/>
  <c r="L426" i="3" s="1"/>
  <c r="J425" i="3"/>
  <c r="I425" i="3"/>
  <c r="L425" i="3" s="1"/>
  <c r="J424" i="3"/>
  <c r="I424" i="3"/>
  <c r="L424" i="3" s="1"/>
  <c r="J423" i="3"/>
  <c r="I423" i="3"/>
  <c r="L423" i="3" s="1"/>
  <c r="J422" i="3"/>
  <c r="I422" i="3"/>
  <c r="L422" i="3" s="1"/>
  <c r="J421" i="3"/>
  <c r="I421" i="3"/>
  <c r="L421" i="3" s="1"/>
  <c r="J420" i="3"/>
  <c r="I420" i="3"/>
  <c r="L420" i="3" s="1"/>
  <c r="J419" i="3"/>
  <c r="I419" i="3"/>
  <c r="J418" i="3"/>
  <c r="I418" i="3"/>
  <c r="J417" i="3"/>
  <c r="I417" i="3"/>
  <c r="K417" i="3" s="1"/>
  <c r="J416" i="3"/>
  <c r="I416" i="3"/>
  <c r="L416" i="3" s="1"/>
  <c r="J415" i="3"/>
  <c r="I415" i="3"/>
  <c r="L415" i="3" s="1"/>
  <c r="J414" i="3"/>
  <c r="I414" i="3"/>
  <c r="L414" i="3" s="1"/>
  <c r="J413" i="3"/>
  <c r="I413" i="3"/>
  <c r="L413" i="3" s="1"/>
  <c r="J412" i="3"/>
  <c r="I412" i="3"/>
  <c r="L412" i="3" s="1"/>
  <c r="J411" i="3"/>
  <c r="I411" i="3"/>
  <c r="K411" i="3" s="1"/>
  <c r="J410" i="3"/>
  <c r="I410" i="3"/>
  <c r="L410" i="3" s="1"/>
  <c r="J409" i="3"/>
  <c r="I409" i="3"/>
  <c r="L409" i="3" s="1"/>
  <c r="J408" i="3"/>
  <c r="I408" i="3"/>
  <c r="L408" i="3" s="1"/>
  <c r="J407" i="3"/>
  <c r="I407" i="3"/>
  <c r="J406" i="3"/>
  <c r="I406" i="3"/>
  <c r="L406" i="3" s="1"/>
  <c r="J405" i="3"/>
  <c r="I405" i="3"/>
  <c r="J404" i="3"/>
  <c r="I404" i="3"/>
  <c r="L404" i="3" s="1"/>
  <c r="J403" i="3"/>
  <c r="I403" i="3"/>
  <c r="L403" i="3" s="1"/>
  <c r="J402" i="3"/>
  <c r="I402" i="3"/>
  <c r="J401" i="3"/>
  <c r="I401" i="3"/>
  <c r="L401" i="3" s="1"/>
  <c r="J400" i="3"/>
  <c r="I400" i="3"/>
  <c r="L400" i="3" s="1"/>
  <c r="J399" i="3"/>
  <c r="I399" i="3"/>
  <c r="L399" i="3" s="1"/>
  <c r="J398" i="3"/>
  <c r="I398" i="3"/>
  <c r="J397" i="3"/>
  <c r="I397" i="3"/>
  <c r="L397" i="3" s="1"/>
  <c r="J396" i="3"/>
  <c r="I396" i="3"/>
  <c r="L396" i="3" s="1"/>
  <c r="J395" i="3"/>
  <c r="I395" i="3"/>
  <c r="K395" i="3" s="1"/>
  <c r="J394" i="3"/>
  <c r="I394" i="3"/>
  <c r="J393" i="3"/>
  <c r="I393" i="3"/>
  <c r="K393" i="3" s="1"/>
  <c r="J392" i="3"/>
  <c r="I392" i="3"/>
  <c r="L392" i="3" s="1"/>
  <c r="J391" i="3"/>
  <c r="I391" i="3"/>
  <c r="L391" i="3" s="1"/>
  <c r="J390" i="3"/>
  <c r="I390" i="3"/>
  <c r="L390" i="3" s="1"/>
  <c r="J389" i="3"/>
  <c r="I389" i="3"/>
  <c r="L389" i="3" s="1"/>
  <c r="J388" i="3"/>
  <c r="I388" i="3"/>
  <c r="L388" i="3" s="1"/>
  <c r="J387" i="3"/>
  <c r="I387" i="3"/>
  <c r="L387" i="3" s="1"/>
  <c r="J386" i="3"/>
  <c r="I386" i="3"/>
  <c r="L386" i="3" s="1"/>
  <c r="J385" i="3"/>
  <c r="I385" i="3"/>
  <c r="L385" i="3" s="1"/>
  <c r="J384" i="3"/>
  <c r="I384" i="3"/>
  <c r="L384" i="3" s="1"/>
  <c r="J383" i="3"/>
  <c r="I383" i="3"/>
  <c r="L383" i="3" s="1"/>
  <c r="J382" i="3"/>
  <c r="I382" i="3"/>
  <c r="K382" i="3" s="1"/>
  <c r="J381" i="3"/>
  <c r="I381" i="3"/>
  <c r="L381" i="3" s="1"/>
  <c r="J380" i="3"/>
  <c r="I380" i="3"/>
  <c r="K380" i="3" s="1"/>
  <c r="J379" i="3"/>
  <c r="I379" i="3"/>
  <c r="K379" i="3" s="1"/>
  <c r="J378" i="3"/>
  <c r="I378" i="3"/>
  <c r="J377" i="3"/>
  <c r="I377" i="3"/>
  <c r="L377" i="3" s="1"/>
  <c r="J376" i="3"/>
  <c r="I376" i="3"/>
  <c r="K376" i="3" s="1"/>
  <c r="J375" i="3"/>
  <c r="I375" i="3"/>
  <c r="L375" i="3" s="1"/>
  <c r="J374" i="3"/>
  <c r="I374" i="3"/>
  <c r="K374" i="3" s="1"/>
  <c r="J373" i="3"/>
  <c r="I373" i="3"/>
  <c r="J372" i="3"/>
  <c r="I372" i="3"/>
  <c r="J371" i="3"/>
  <c r="I371" i="3"/>
  <c r="K371" i="3" s="1"/>
  <c r="J370" i="3"/>
  <c r="I370" i="3"/>
  <c r="K370" i="3" s="1"/>
  <c r="J369" i="3"/>
  <c r="I369" i="3"/>
  <c r="L369" i="3" s="1"/>
  <c r="J368" i="3"/>
  <c r="I368" i="3"/>
  <c r="K368" i="3" s="1"/>
  <c r="J367" i="3"/>
  <c r="I367" i="3"/>
  <c r="L367" i="3" s="1"/>
  <c r="J366" i="3"/>
  <c r="I366" i="3"/>
  <c r="K366" i="3" s="1"/>
  <c r="J365" i="3"/>
  <c r="I365" i="3"/>
  <c r="K365" i="3" s="1"/>
  <c r="J364" i="3"/>
  <c r="I364" i="3"/>
  <c r="K364" i="3" s="1"/>
  <c r="J363" i="3"/>
  <c r="I363" i="3"/>
  <c r="K363" i="3" s="1"/>
  <c r="J362" i="3"/>
  <c r="I362" i="3"/>
  <c r="J361" i="3"/>
  <c r="I361" i="3"/>
  <c r="L361" i="3" s="1"/>
  <c r="J360" i="3"/>
  <c r="I360" i="3"/>
  <c r="J359" i="3"/>
  <c r="I359" i="3"/>
  <c r="L359" i="3" s="1"/>
  <c r="J358" i="3"/>
  <c r="I358" i="3"/>
  <c r="K358" i="3" s="1"/>
  <c r="J357" i="3"/>
  <c r="I357" i="3"/>
  <c r="L357" i="3" s="1"/>
  <c r="J356" i="3"/>
  <c r="I356" i="3"/>
  <c r="K356" i="3" s="1"/>
  <c r="J355" i="3"/>
  <c r="I355" i="3"/>
  <c r="K355" i="3" s="1"/>
  <c r="J354" i="3"/>
  <c r="I354" i="3"/>
  <c r="J353" i="3"/>
  <c r="I353" i="3"/>
  <c r="L353" i="3" s="1"/>
  <c r="J352" i="3"/>
  <c r="I352" i="3"/>
  <c r="K352" i="3" s="1"/>
  <c r="J351" i="3"/>
  <c r="I351" i="3"/>
  <c r="L351" i="3" s="1"/>
  <c r="J350" i="3"/>
  <c r="I350" i="3"/>
  <c r="K350" i="3" s="1"/>
  <c r="J349" i="3"/>
  <c r="I349" i="3"/>
  <c r="J348" i="3"/>
  <c r="I348" i="3"/>
  <c r="K348" i="3" s="1"/>
  <c r="J347" i="3"/>
  <c r="I347" i="3"/>
  <c r="K347" i="3" s="1"/>
  <c r="J346" i="3"/>
  <c r="I346" i="3"/>
  <c r="K346" i="3" s="1"/>
  <c r="J345" i="3"/>
  <c r="I345" i="3"/>
  <c r="K345" i="3" s="1"/>
  <c r="J344" i="3"/>
  <c r="I344" i="3"/>
  <c r="J343" i="3"/>
  <c r="I343" i="3"/>
  <c r="L343" i="3" s="1"/>
  <c r="J342" i="3"/>
  <c r="I342" i="3"/>
  <c r="K342" i="3" s="1"/>
  <c r="J341" i="3"/>
  <c r="I341" i="3"/>
  <c r="K341" i="3" s="1"/>
  <c r="J340" i="3"/>
  <c r="I340" i="3"/>
  <c r="K340" i="3" s="1"/>
  <c r="J339" i="3"/>
  <c r="I339" i="3"/>
  <c r="K339" i="3" s="1"/>
  <c r="J338" i="3"/>
  <c r="I338" i="3"/>
  <c r="J337" i="3"/>
  <c r="I337" i="3"/>
  <c r="L337" i="3" s="1"/>
  <c r="J336" i="3"/>
  <c r="I336" i="3"/>
  <c r="K336" i="3" s="1"/>
  <c r="J335" i="3"/>
  <c r="I335" i="3"/>
  <c r="K335" i="3" s="1"/>
  <c r="J334" i="3"/>
  <c r="I334" i="3"/>
  <c r="K334" i="3" s="1"/>
  <c r="J333" i="3"/>
  <c r="I333" i="3"/>
  <c r="L333" i="3" s="1"/>
  <c r="J332" i="3"/>
  <c r="I332" i="3"/>
  <c r="J331" i="3"/>
  <c r="I331" i="3"/>
  <c r="K331" i="3" s="1"/>
  <c r="J330" i="3"/>
  <c r="I330" i="3"/>
  <c r="J329" i="3"/>
  <c r="I329" i="3"/>
  <c r="L329" i="3" s="1"/>
  <c r="J328" i="3"/>
  <c r="I328" i="3"/>
  <c r="K328" i="3" s="1"/>
  <c r="J327" i="3"/>
  <c r="I327" i="3"/>
  <c r="L327" i="3" s="1"/>
  <c r="J326" i="3"/>
  <c r="I326" i="3"/>
  <c r="K326" i="3" s="1"/>
  <c r="J325" i="3"/>
  <c r="I325" i="3"/>
  <c r="K325" i="3" s="1"/>
  <c r="J324" i="3"/>
  <c r="I324" i="3"/>
  <c r="K324" i="3" s="1"/>
  <c r="J323" i="3"/>
  <c r="I323" i="3"/>
  <c r="K323" i="3" s="1"/>
  <c r="L322" i="3"/>
  <c r="J322" i="3"/>
  <c r="I322" i="3"/>
  <c r="K322" i="3" s="1"/>
  <c r="J321" i="3"/>
  <c r="I321" i="3"/>
  <c r="K321" i="3" s="1"/>
  <c r="J320" i="3"/>
  <c r="I320" i="3"/>
  <c r="J319" i="3"/>
  <c r="I319" i="3"/>
  <c r="J318" i="3"/>
  <c r="I318" i="3"/>
  <c r="K318" i="3" s="1"/>
  <c r="J317" i="3"/>
  <c r="I317" i="3"/>
  <c r="K317" i="3" s="1"/>
  <c r="J316" i="3"/>
  <c r="I316" i="3"/>
  <c r="K316" i="3" s="1"/>
  <c r="K315" i="3"/>
  <c r="J315" i="3"/>
  <c r="I315" i="3"/>
  <c r="L315" i="3" s="1"/>
  <c r="J314" i="3"/>
  <c r="I314" i="3"/>
  <c r="J313" i="3"/>
  <c r="I313" i="3"/>
  <c r="L313" i="3" s="1"/>
  <c r="J312" i="3"/>
  <c r="I312" i="3"/>
  <c r="K312" i="3" s="1"/>
  <c r="J311" i="3"/>
  <c r="I311" i="3"/>
  <c r="L311" i="3" s="1"/>
  <c r="J310" i="3"/>
  <c r="I310" i="3"/>
  <c r="K310" i="3" s="1"/>
  <c r="J309" i="3"/>
  <c r="I309" i="3"/>
  <c r="L309" i="3" s="1"/>
  <c r="J308" i="3"/>
  <c r="I308" i="3"/>
  <c r="J307" i="3"/>
  <c r="I307" i="3"/>
  <c r="K307" i="3" s="1"/>
  <c r="J306" i="3"/>
  <c r="I306" i="3"/>
  <c r="J305" i="3"/>
  <c r="I305" i="3"/>
  <c r="L305" i="3" s="1"/>
  <c r="J304" i="3"/>
  <c r="I304" i="3"/>
  <c r="K304" i="3" s="1"/>
  <c r="J303" i="3"/>
  <c r="I303" i="3"/>
  <c r="L303" i="3" s="1"/>
  <c r="J302" i="3"/>
  <c r="I302" i="3"/>
  <c r="K302" i="3" s="1"/>
  <c r="J301" i="3"/>
  <c r="I301" i="3"/>
  <c r="K301" i="3" s="1"/>
  <c r="J300" i="3"/>
  <c r="I300" i="3"/>
  <c r="K300" i="3" s="1"/>
  <c r="J299" i="3"/>
  <c r="I299" i="3"/>
  <c r="L299" i="3" s="1"/>
  <c r="J298" i="3"/>
  <c r="I298" i="3"/>
  <c r="K298" i="3" s="1"/>
  <c r="J297" i="3"/>
  <c r="I297" i="3"/>
  <c r="L297" i="3" s="1"/>
  <c r="J296" i="3"/>
  <c r="I296" i="3"/>
  <c r="J295" i="3"/>
  <c r="I295" i="3"/>
  <c r="K295" i="3" s="1"/>
  <c r="J294" i="3"/>
  <c r="I294" i="3"/>
  <c r="K294" i="3" s="1"/>
  <c r="J293" i="3"/>
  <c r="I293" i="3"/>
  <c r="L293" i="3" s="1"/>
  <c r="J292" i="3"/>
  <c r="I292" i="3"/>
  <c r="K292" i="3" s="1"/>
  <c r="J291" i="3"/>
  <c r="I291" i="3"/>
  <c r="L291" i="3" s="1"/>
  <c r="J290" i="3"/>
  <c r="I290" i="3"/>
  <c r="K290" i="3" s="1"/>
  <c r="J289" i="3"/>
  <c r="I289" i="3"/>
  <c r="K289" i="3" s="1"/>
  <c r="J288" i="3"/>
  <c r="I288" i="3"/>
  <c r="K288" i="3" s="1"/>
  <c r="J287" i="3"/>
  <c r="I287" i="3"/>
  <c r="L287" i="3" s="1"/>
  <c r="J286" i="3"/>
  <c r="I286" i="3"/>
  <c r="K286" i="3" s="1"/>
  <c r="J285" i="3"/>
  <c r="I285" i="3"/>
  <c r="L285" i="3" s="1"/>
  <c r="J284" i="3"/>
  <c r="I284" i="3"/>
  <c r="K284" i="3" s="1"/>
  <c r="J283" i="3"/>
  <c r="I283" i="3"/>
  <c r="J282" i="3"/>
  <c r="I282" i="3"/>
  <c r="K282" i="3" s="1"/>
  <c r="J281" i="3"/>
  <c r="I281" i="3"/>
  <c r="L281" i="3" s="1"/>
  <c r="J280" i="3"/>
  <c r="I280" i="3"/>
  <c r="J279" i="3"/>
  <c r="I279" i="3"/>
  <c r="L279" i="3" s="1"/>
  <c r="J278" i="3"/>
  <c r="I278" i="3"/>
  <c r="J277" i="3"/>
  <c r="I277" i="3"/>
  <c r="L277" i="3" s="1"/>
  <c r="J276" i="3"/>
  <c r="I276" i="3"/>
  <c r="K276" i="3" s="1"/>
  <c r="J275" i="3"/>
  <c r="I275" i="3"/>
  <c r="L275" i="3" s="1"/>
  <c r="J274" i="3"/>
  <c r="I274" i="3"/>
  <c r="K274" i="3" s="1"/>
  <c r="J273" i="3"/>
  <c r="I273" i="3"/>
  <c r="L273" i="3" s="1"/>
  <c r="J272" i="3"/>
  <c r="I272" i="3"/>
  <c r="J271" i="3"/>
  <c r="I271" i="3"/>
  <c r="K271" i="3" s="1"/>
  <c r="J270" i="3"/>
  <c r="I270" i="3"/>
  <c r="K270" i="3" s="1"/>
  <c r="J269" i="3"/>
  <c r="I269" i="3"/>
  <c r="K269" i="3" s="1"/>
  <c r="J268" i="3"/>
  <c r="I268" i="3"/>
  <c r="K268" i="3" s="1"/>
  <c r="J267" i="3"/>
  <c r="I267" i="3"/>
  <c r="K267" i="3" s="1"/>
  <c r="J266" i="3"/>
  <c r="I266" i="3"/>
  <c r="K266" i="3" s="1"/>
  <c r="J265" i="3"/>
  <c r="I265" i="3"/>
  <c r="K265" i="3" s="1"/>
  <c r="J264" i="3"/>
  <c r="I264" i="3"/>
  <c r="K264" i="3" s="1"/>
  <c r="J263" i="3"/>
  <c r="I263" i="3"/>
  <c r="L263" i="3" s="1"/>
  <c r="J262" i="3"/>
  <c r="I262" i="3"/>
  <c r="K262" i="3" s="1"/>
  <c r="J261" i="3"/>
  <c r="I261" i="3"/>
  <c r="J260" i="3"/>
  <c r="I260" i="3"/>
  <c r="K260" i="3" s="1"/>
  <c r="J259" i="3"/>
  <c r="I259" i="3"/>
  <c r="J258" i="3"/>
  <c r="I258" i="3"/>
  <c r="K258" i="3" s="1"/>
  <c r="J257" i="3"/>
  <c r="I257" i="3"/>
  <c r="L257" i="3" s="1"/>
  <c r="J256" i="3"/>
  <c r="I256" i="3"/>
  <c r="K256" i="3" s="1"/>
  <c r="J255" i="3"/>
  <c r="I255" i="3"/>
  <c r="L255" i="3" s="1"/>
  <c r="J254" i="3"/>
  <c r="I254" i="3"/>
  <c r="J253" i="3"/>
  <c r="I253" i="3"/>
  <c r="K253" i="3" s="1"/>
  <c r="J252" i="3"/>
  <c r="I252" i="3"/>
  <c r="J251" i="3"/>
  <c r="I251" i="3"/>
  <c r="L251" i="3" s="1"/>
  <c r="J250" i="3"/>
  <c r="I250" i="3"/>
  <c r="K250" i="3" s="1"/>
  <c r="J249" i="3"/>
  <c r="I249" i="3"/>
  <c r="L249" i="3" s="1"/>
  <c r="J248" i="3"/>
  <c r="I248" i="3"/>
  <c r="J247" i="3"/>
  <c r="I247" i="3"/>
  <c r="K247" i="3" s="1"/>
  <c r="J246" i="3"/>
  <c r="I246" i="3"/>
  <c r="K246" i="3" s="1"/>
  <c r="J245" i="3"/>
  <c r="I245" i="3"/>
  <c r="K245" i="3" s="1"/>
  <c r="J244" i="3"/>
  <c r="I244" i="3"/>
  <c r="K244" i="3" s="1"/>
  <c r="J243" i="3"/>
  <c r="I243" i="3"/>
  <c r="L243" i="3" s="1"/>
  <c r="J242" i="3"/>
  <c r="I242" i="3"/>
  <c r="K242" i="3" s="1"/>
  <c r="J241" i="3"/>
  <c r="I241" i="3"/>
  <c r="J240" i="3"/>
  <c r="I240" i="3"/>
  <c r="K240" i="3" s="1"/>
  <c r="J239" i="3"/>
  <c r="I239" i="3"/>
  <c r="L239" i="3" s="1"/>
  <c r="J238" i="3"/>
  <c r="I238" i="3"/>
  <c r="K238" i="3" s="1"/>
  <c r="J237" i="3"/>
  <c r="I237" i="3"/>
  <c r="L237" i="3" s="1"/>
  <c r="J236" i="3"/>
  <c r="I236" i="3"/>
  <c r="K236" i="3" s="1"/>
  <c r="J235" i="3"/>
  <c r="I235" i="3"/>
  <c r="J234" i="3"/>
  <c r="I234" i="3"/>
  <c r="J233" i="3"/>
  <c r="I233" i="3"/>
  <c r="L233" i="3" s="1"/>
  <c r="J232" i="3"/>
  <c r="I232" i="3"/>
  <c r="K232" i="3" s="1"/>
  <c r="J231" i="3"/>
  <c r="I231" i="3"/>
  <c r="L231" i="3" s="1"/>
  <c r="J230" i="3"/>
  <c r="I230" i="3"/>
  <c r="J229" i="3"/>
  <c r="I229" i="3"/>
  <c r="K229" i="3" s="1"/>
  <c r="J228" i="3"/>
  <c r="I228" i="3"/>
  <c r="K228" i="3" s="1"/>
  <c r="J227" i="3"/>
  <c r="I227" i="3"/>
  <c r="L227" i="3" s="1"/>
  <c r="J226" i="3"/>
  <c r="I226" i="3"/>
  <c r="K226" i="3" s="1"/>
  <c r="J225" i="3"/>
  <c r="I225" i="3"/>
  <c r="L225" i="3" s="1"/>
  <c r="J224" i="3"/>
  <c r="I224" i="3"/>
  <c r="J223" i="3"/>
  <c r="I223" i="3"/>
  <c r="J222" i="3"/>
  <c r="I222" i="3"/>
  <c r="K222" i="3" s="1"/>
  <c r="J221" i="3"/>
  <c r="I221" i="3"/>
  <c r="L221" i="3" s="1"/>
  <c r="J220" i="3"/>
  <c r="I220" i="3"/>
  <c r="K220" i="3" s="1"/>
  <c r="J219" i="3"/>
  <c r="I219" i="3"/>
  <c r="L219" i="3" s="1"/>
  <c r="J218" i="3"/>
  <c r="I218" i="3"/>
  <c r="K218" i="3" s="1"/>
  <c r="J217" i="3"/>
  <c r="I217" i="3"/>
  <c r="K217" i="3" s="1"/>
  <c r="J216" i="3"/>
  <c r="I216" i="3"/>
  <c r="K216" i="3" s="1"/>
  <c r="J215" i="3"/>
  <c r="I215" i="3"/>
  <c r="L215" i="3" s="1"/>
  <c r="J214" i="3"/>
  <c r="I214" i="3"/>
  <c r="K214" i="3" s="1"/>
  <c r="J213" i="3"/>
  <c r="I213" i="3"/>
  <c r="J212" i="3"/>
  <c r="I212" i="3"/>
  <c r="K212" i="3" s="1"/>
  <c r="J211" i="3"/>
  <c r="I211" i="3"/>
  <c r="J210" i="3"/>
  <c r="I210" i="3"/>
  <c r="K210" i="3" s="1"/>
  <c r="J209" i="3"/>
  <c r="I209" i="3"/>
  <c r="L209" i="3" s="1"/>
  <c r="J208" i="3"/>
  <c r="I208" i="3"/>
  <c r="K208" i="3" s="1"/>
  <c r="J207" i="3"/>
  <c r="I207" i="3"/>
  <c r="L207" i="3" s="1"/>
  <c r="J206" i="3"/>
  <c r="I206" i="3"/>
  <c r="J205" i="3"/>
  <c r="I205" i="3"/>
  <c r="L205" i="3" s="1"/>
  <c r="J204" i="3"/>
  <c r="I204" i="3"/>
  <c r="K204" i="3" s="1"/>
  <c r="J203" i="3"/>
  <c r="I203" i="3"/>
  <c r="L203" i="3" s="1"/>
  <c r="J202" i="3"/>
  <c r="I202" i="3"/>
  <c r="K202" i="3" s="1"/>
  <c r="J201" i="3"/>
  <c r="I201" i="3"/>
  <c r="L201" i="3" s="1"/>
  <c r="J200" i="3"/>
  <c r="I200" i="3"/>
  <c r="J199" i="3"/>
  <c r="I199" i="3"/>
  <c r="K199" i="3" s="1"/>
  <c r="J198" i="3"/>
  <c r="I198" i="3"/>
  <c r="K198" i="3" s="1"/>
  <c r="J197" i="3"/>
  <c r="I197" i="3"/>
  <c r="K197" i="3" s="1"/>
  <c r="J196" i="3"/>
  <c r="I196" i="3"/>
  <c r="K196" i="3" s="1"/>
  <c r="J195" i="3"/>
  <c r="I195" i="3"/>
  <c r="L195" i="3" s="1"/>
  <c r="J194" i="3"/>
  <c r="I194" i="3"/>
  <c r="K194" i="3" s="1"/>
  <c r="J193" i="3"/>
  <c r="I193" i="3"/>
  <c r="K193" i="3" s="1"/>
  <c r="J192" i="3"/>
  <c r="I192" i="3"/>
  <c r="K192" i="3" s="1"/>
  <c r="J191" i="3"/>
  <c r="I191" i="3"/>
  <c r="K191" i="3" s="1"/>
  <c r="J190" i="3"/>
  <c r="I190" i="3"/>
  <c r="K190" i="3" s="1"/>
  <c r="J189" i="3"/>
  <c r="I189" i="3"/>
  <c r="L189" i="3" s="1"/>
  <c r="J188" i="3"/>
  <c r="I188" i="3"/>
  <c r="K188" i="3" s="1"/>
  <c r="J187" i="3"/>
  <c r="I187" i="3"/>
  <c r="J186" i="3"/>
  <c r="I186" i="3"/>
  <c r="K186" i="3" s="1"/>
  <c r="J185" i="3"/>
  <c r="I185" i="3"/>
  <c r="L185" i="3" s="1"/>
  <c r="J184" i="3"/>
  <c r="I184" i="3"/>
  <c r="K184" i="3" s="1"/>
  <c r="J183" i="3"/>
  <c r="I183" i="3"/>
  <c r="L183" i="3" s="1"/>
  <c r="J182" i="3"/>
  <c r="I182" i="3"/>
  <c r="J181" i="3"/>
  <c r="I181" i="3"/>
  <c r="K181" i="3" s="1"/>
  <c r="J180" i="3"/>
  <c r="I180" i="3"/>
  <c r="J179" i="3"/>
  <c r="I179" i="3"/>
  <c r="L179" i="3" s="1"/>
  <c r="J178" i="3"/>
  <c r="I178" i="3"/>
  <c r="K178" i="3" s="1"/>
  <c r="J177" i="3"/>
  <c r="I177" i="3"/>
  <c r="L177" i="3" s="1"/>
  <c r="J176" i="3"/>
  <c r="I176" i="3"/>
  <c r="J175" i="3"/>
  <c r="I175" i="3"/>
  <c r="K175" i="3" s="1"/>
  <c r="J174" i="3"/>
  <c r="I174" i="3"/>
  <c r="K174" i="3" s="1"/>
  <c r="L173" i="3"/>
  <c r="J173" i="3"/>
  <c r="I173" i="3"/>
  <c r="K173" i="3" s="1"/>
  <c r="J172" i="3"/>
  <c r="I172" i="3"/>
  <c r="K172" i="3" s="1"/>
  <c r="J171" i="3"/>
  <c r="I171" i="3"/>
  <c r="K171" i="3" s="1"/>
  <c r="J170" i="3"/>
  <c r="I170" i="3"/>
  <c r="J169" i="3"/>
  <c r="I169" i="3"/>
  <c r="K169" i="3" s="1"/>
  <c r="J168" i="3"/>
  <c r="I168" i="3"/>
  <c r="K168" i="3" s="1"/>
  <c r="J167" i="3"/>
  <c r="I167" i="3"/>
  <c r="L167" i="3" s="1"/>
  <c r="J166" i="3"/>
  <c r="I166" i="3"/>
  <c r="K166" i="3" s="1"/>
  <c r="J165" i="3"/>
  <c r="I165" i="3"/>
  <c r="L165" i="3" s="1"/>
  <c r="J164" i="3"/>
  <c r="I164" i="3"/>
  <c r="K164" i="3" s="1"/>
  <c r="J163" i="3"/>
  <c r="I163" i="3"/>
  <c r="J162" i="3"/>
  <c r="I162" i="3"/>
  <c r="J161" i="3"/>
  <c r="I161" i="3"/>
  <c r="L161" i="3" s="1"/>
  <c r="J160" i="3"/>
  <c r="I160" i="3"/>
  <c r="K160" i="3" s="1"/>
  <c r="J159" i="3"/>
  <c r="I159" i="3"/>
  <c r="L159" i="3" s="1"/>
  <c r="J158" i="3"/>
  <c r="I158" i="3"/>
  <c r="J157" i="3"/>
  <c r="I157" i="3"/>
  <c r="L157" i="3" s="1"/>
  <c r="J156" i="3"/>
  <c r="I156" i="3"/>
  <c r="K156" i="3" s="1"/>
  <c r="J155" i="3"/>
  <c r="I155" i="3"/>
  <c r="L155" i="3" s="1"/>
  <c r="J154" i="3"/>
  <c r="I154" i="3"/>
  <c r="K154" i="3" s="1"/>
  <c r="J153" i="3"/>
  <c r="I153" i="3"/>
  <c r="L153" i="3" s="1"/>
  <c r="J152" i="3"/>
  <c r="I152" i="3"/>
  <c r="J151" i="3"/>
  <c r="I151" i="3"/>
  <c r="K151" i="3" s="1"/>
  <c r="J150" i="3"/>
  <c r="I150" i="3"/>
  <c r="K150" i="3" s="1"/>
  <c r="J149" i="3"/>
  <c r="I149" i="3"/>
  <c r="L149" i="3" s="1"/>
  <c r="J148" i="3"/>
  <c r="I148" i="3"/>
  <c r="K148" i="3" s="1"/>
  <c r="J147" i="3"/>
  <c r="I147" i="3"/>
  <c r="L147" i="3" s="1"/>
  <c r="J146" i="3"/>
  <c r="I146" i="3"/>
  <c r="K146" i="3" s="1"/>
  <c r="J145" i="3"/>
  <c r="I145" i="3"/>
  <c r="K145" i="3" s="1"/>
  <c r="J144" i="3"/>
  <c r="I144" i="3"/>
  <c r="K144" i="3" s="1"/>
  <c r="J143" i="3"/>
  <c r="I143" i="3"/>
  <c r="K143" i="3" s="1"/>
  <c r="J142" i="3"/>
  <c r="I142" i="3"/>
  <c r="K142" i="3" s="1"/>
  <c r="J141" i="3"/>
  <c r="I141" i="3"/>
  <c r="L141" i="3" s="1"/>
  <c r="J140" i="3"/>
  <c r="I140" i="3"/>
  <c r="K140" i="3" s="1"/>
  <c r="J139" i="3"/>
  <c r="I139" i="3"/>
  <c r="J138" i="3"/>
  <c r="I138" i="3"/>
  <c r="K138" i="3" s="1"/>
  <c r="J137" i="3"/>
  <c r="I137" i="3"/>
  <c r="L137" i="3" s="1"/>
  <c r="J136" i="3"/>
  <c r="I136" i="3"/>
  <c r="K136" i="3" s="1"/>
  <c r="J135" i="3"/>
  <c r="I135" i="3"/>
  <c r="L135" i="3" s="1"/>
  <c r="J134" i="3"/>
  <c r="I134" i="3"/>
  <c r="J133" i="3"/>
  <c r="I133" i="3"/>
  <c r="K133" i="3" s="1"/>
  <c r="L132" i="3"/>
  <c r="J132" i="3"/>
  <c r="I132" i="3"/>
  <c r="K132" i="3" s="1"/>
  <c r="J131" i="3"/>
  <c r="I131" i="3"/>
  <c r="L131" i="3" s="1"/>
  <c r="J130" i="3"/>
  <c r="I130" i="3"/>
  <c r="K130" i="3" s="1"/>
  <c r="J129" i="3"/>
  <c r="I129" i="3"/>
  <c r="L129" i="3" s="1"/>
  <c r="J128" i="3"/>
  <c r="I128" i="3"/>
  <c r="J127" i="3"/>
  <c r="I127" i="3"/>
  <c r="K127" i="3" s="1"/>
  <c r="J126" i="3"/>
  <c r="I126" i="3"/>
  <c r="K126" i="3" s="1"/>
  <c r="L125" i="3"/>
  <c r="J125" i="3"/>
  <c r="I125" i="3"/>
  <c r="K125" i="3" s="1"/>
  <c r="J124" i="3"/>
  <c r="I124" i="3"/>
  <c r="K124" i="3" s="1"/>
  <c r="J123" i="3"/>
  <c r="I123" i="3"/>
  <c r="L123" i="3" s="1"/>
  <c r="J122" i="3"/>
  <c r="I122" i="3"/>
  <c r="K122" i="3" s="1"/>
  <c r="J121" i="3"/>
  <c r="I121" i="3"/>
  <c r="K121" i="3" s="1"/>
  <c r="J120" i="3"/>
  <c r="I120" i="3"/>
  <c r="K120" i="3" s="1"/>
  <c r="J119" i="3"/>
  <c r="I119" i="3"/>
  <c r="L119" i="3" s="1"/>
  <c r="J118" i="3"/>
  <c r="I118" i="3"/>
  <c r="K118" i="3" s="1"/>
  <c r="J117" i="3"/>
  <c r="I117" i="3"/>
  <c r="L117" i="3" s="1"/>
  <c r="J116" i="3"/>
  <c r="I116" i="3"/>
  <c r="K116" i="3" s="1"/>
  <c r="J115" i="3"/>
  <c r="I115" i="3"/>
  <c r="J114" i="3"/>
  <c r="I114" i="3"/>
  <c r="K114" i="3" s="1"/>
  <c r="J113" i="3"/>
  <c r="I113" i="3"/>
  <c r="L113" i="3" s="1"/>
  <c r="J112" i="3"/>
  <c r="I112" i="3"/>
  <c r="K112" i="3" s="1"/>
  <c r="J111" i="3"/>
  <c r="I111" i="3"/>
  <c r="K111" i="3" s="1"/>
  <c r="J110" i="3"/>
  <c r="I110" i="3"/>
  <c r="J109" i="3"/>
  <c r="I109" i="3"/>
  <c r="L109" i="3" s="1"/>
  <c r="J108" i="3"/>
  <c r="I108" i="3"/>
  <c r="K108" i="3" s="1"/>
  <c r="J107" i="3"/>
  <c r="I107" i="3"/>
  <c r="L107" i="3" s="1"/>
  <c r="J106" i="3"/>
  <c r="I106" i="3"/>
  <c r="K106" i="3" s="1"/>
  <c r="J105" i="3"/>
  <c r="I105" i="3"/>
  <c r="L105" i="3" s="1"/>
  <c r="J104" i="3"/>
  <c r="I104" i="3"/>
  <c r="J103" i="3"/>
  <c r="I103" i="3"/>
  <c r="K103" i="3" s="1"/>
  <c r="J102" i="3"/>
  <c r="I102" i="3"/>
  <c r="K102" i="3" s="1"/>
  <c r="J101" i="3"/>
  <c r="I101" i="3"/>
  <c r="L101" i="3" s="1"/>
  <c r="J100" i="3"/>
  <c r="I100" i="3"/>
  <c r="K100" i="3" s="1"/>
  <c r="J99" i="3"/>
  <c r="I99" i="3"/>
  <c r="L99" i="3" s="1"/>
  <c r="J98" i="3"/>
  <c r="I98" i="3"/>
  <c r="K98" i="3" s="1"/>
  <c r="J97" i="3"/>
  <c r="I97" i="3"/>
  <c r="K97" i="3" s="1"/>
  <c r="J96" i="3"/>
  <c r="I96" i="3"/>
  <c r="K96" i="3" s="1"/>
  <c r="J95" i="3"/>
  <c r="I95" i="3"/>
  <c r="L95" i="3" s="1"/>
  <c r="J94" i="3"/>
  <c r="I94" i="3"/>
  <c r="K94" i="3" s="1"/>
  <c r="J93" i="3"/>
  <c r="I93" i="3"/>
  <c r="L93" i="3" s="1"/>
  <c r="J92" i="3"/>
  <c r="I92" i="3"/>
  <c r="K92" i="3" s="1"/>
  <c r="J91" i="3"/>
  <c r="I91" i="3"/>
  <c r="J90" i="3"/>
  <c r="I90" i="3"/>
  <c r="K90" i="3" s="1"/>
  <c r="J89" i="3"/>
  <c r="I89" i="3"/>
  <c r="L89" i="3" s="1"/>
  <c r="J88" i="3"/>
  <c r="I88" i="3"/>
  <c r="K88" i="3" s="1"/>
  <c r="J87" i="3"/>
  <c r="I87" i="3"/>
  <c r="L87" i="3" s="1"/>
  <c r="J86" i="3"/>
  <c r="I86" i="3"/>
  <c r="J85" i="3"/>
  <c r="I85" i="3"/>
  <c r="K85" i="3" s="1"/>
  <c r="J84" i="3"/>
  <c r="I84" i="3"/>
  <c r="K84" i="3" s="1"/>
  <c r="J83" i="3"/>
  <c r="I83" i="3"/>
  <c r="L83" i="3" s="1"/>
  <c r="J82" i="3"/>
  <c r="I82" i="3"/>
  <c r="K82" i="3" s="1"/>
  <c r="J81" i="3"/>
  <c r="I81" i="3"/>
  <c r="L81" i="3" s="1"/>
  <c r="J80" i="3"/>
  <c r="I80" i="3"/>
  <c r="J79" i="3"/>
  <c r="I79" i="3"/>
  <c r="K79" i="3" s="1"/>
  <c r="J78" i="3"/>
  <c r="I78" i="3"/>
  <c r="K78" i="3" s="1"/>
  <c r="J77" i="3"/>
  <c r="I77" i="3"/>
  <c r="L77" i="3" s="1"/>
  <c r="J76" i="3"/>
  <c r="I76" i="3"/>
  <c r="K76" i="3" s="1"/>
  <c r="J75" i="3"/>
  <c r="I75" i="3"/>
  <c r="K75" i="3" s="1"/>
  <c r="J74" i="3"/>
  <c r="I74" i="3"/>
  <c r="K74" i="3" s="1"/>
  <c r="J73" i="3"/>
  <c r="I73" i="3"/>
  <c r="K73" i="3" s="1"/>
  <c r="J72" i="3"/>
  <c r="I72" i="3"/>
  <c r="K72" i="3" s="1"/>
  <c r="J71" i="3"/>
  <c r="I71" i="3"/>
  <c r="L71" i="3" s="1"/>
  <c r="J70" i="3"/>
  <c r="I70" i="3"/>
  <c r="K70" i="3" s="1"/>
  <c r="J69" i="3"/>
  <c r="I69" i="3"/>
  <c r="L69" i="3" s="1"/>
  <c r="J68" i="3"/>
  <c r="I68" i="3"/>
  <c r="K68" i="3" s="1"/>
  <c r="J67" i="3"/>
  <c r="I67" i="3"/>
  <c r="J66" i="3"/>
  <c r="I66" i="3"/>
  <c r="K66" i="3" s="1"/>
  <c r="J65" i="3"/>
  <c r="I65" i="3"/>
  <c r="L65" i="3" s="1"/>
  <c r="J64" i="3"/>
  <c r="I64" i="3"/>
  <c r="K64" i="3" s="1"/>
  <c r="J63" i="3"/>
  <c r="I63" i="3"/>
  <c r="L63" i="3" s="1"/>
  <c r="J62" i="3"/>
  <c r="I62" i="3"/>
  <c r="J61" i="3"/>
  <c r="I61" i="3"/>
  <c r="L61" i="3" s="1"/>
  <c r="J60" i="3"/>
  <c r="I60" i="3"/>
  <c r="K60" i="3" s="1"/>
  <c r="J59" i="3"/>
  <c r="I59" i="3"/>
  <c r="L59" i="3" s="1"/>
  <c r="J58" i="3"/>
  <c r="I58" i="3"/>
  <c r="K58" i="3" s="1"/>
  <c r="J57" i="3"/>
  <c r="I57" i="3"/>
  <c r="L57" i="3" s="1"/>
  <c r="J56" i="3"/>
  <c r="I56" i="3"/>
  <c r="L56" i="3" s="1"/>
  <c r="J55" i="3"/>
  <c r="I55" i="3"/>
  <c r="L55" i="3" s="1"/>
  <c r="J54" i="3"/>
  <c r="I54" i="3"/>
  <c r="L54" i="3" s="1"/>
  <c r="J53" i="3"/>
  <c r="I53" i="3"/>
  <c r="L53" i="3" s="1"/>
  <c r="J52" i="3"/>
  <c r="I52" i="3"/>
  <c r="L52" i="3" s="1"/>
  <c r="J51" i="3"/>
  <c r="I51" i="3"/>
  <c r="L51" i="3" s="1"/>
  <c r="J50" i="3"/>
  <c r="I50" i="3"/>
  <c r="J49" i="3"/>
  <c r="I49" i="3"/>
  <c r="L49" i="3" s="1"/>
  <c r="J48" i="3"/>
  <c r="I48" i="3"/>
  <c r="J47" i="3"/>
  <c r="I47" i="3"/>
  <c r="L47" i="3" s="1"/>
  <c r="J46" i="3"/>
  <c r="I46" i="3"/>
  <c r="J45" i="3"/>
  <c r="I45" i="3"/>
  <c r="L45" i="3" s="1"/>
  <c r="J44" i="3"/>
  <c r="I44" i="3"/>
  <c r="J43" i="3"/>
  <c r="I43" i="3"/>
  <c r="L43" i="3" s="1"/>
  <c r="J42" i="3"/>
  <c r="I42" i="3"/>
  <c r="J41" i="3"/>
  <c r="I41" i="3"/>
  <c r="L41" i="3" s="1"/>
  <c r="J40" i="3"/>
  <c r="I40" i="3"/>
  <c r="J39" i="3"/>
  <c r="I39" i="3"/>
  <c r="L39" i="3" s="1"/>
  <c r="J38" i="3"/>
  <c r="I38" i="3"/>
  <c r="J37" i="3"/>
  <c r="I37" i="3"/>
  <c r="L37" i="3" s="1"/>
  <c r="J36" i="3"/>
  <c r="I36" i="3"/>
  <c r="J35" i="3"/>
  <c r="I35" i="3"/>
  <c r="L35" i="3" s="1"/>
  <c r="J34" i="3"/>
  <c r="I34" i="3"/>
  <c r="J33" i="3"/>
  <c r="I33" i="3"/>
  <c r="L33" i="3" s="1"/>
  <c r="J32" i="3"/>
  <c r="I32" i="3"/>
  <c r="J31" i="3"/>
  <c r="I31" i="3"/>
  <c r="L31" i="3" s="1"/>
  <c r="J30" i="3"/>
  <c r="I30" i="3"/>
  <c r="J29" i="3"/>
  <c r="I29" i="3"/>
  <c r="L29" i="3" s="1"/>
  <c r="J28" i="3"/>
  <c r="I28" i="3"/>
  <c r="J27" i="3"/>
  <c r="I27" i="3"/>
  <c r="L27" i="3" s="1"/>
  <c r="J26" i="3"/>
  <c r="I26" i="3"/>
  <c r="J25" i="3"/>
  <c r="I25" i="3"/>
  <c r="L25" i="3" s="1"/>
  <c r="J24" i="3"/>
  <c r="I24" i="3"/>
  <c r="J23" i="3"/>
  <c r="I23" i="3"/>
  <c r="L23" i="3" s="1"/>
  <c r="J22" i="3"/>
  <c r="I22" i="3"/>
  <c r="J21" i="3"/>
  <c r="I21" i="3"/>
  <c r="L21" i="3" s="1"/>
  <c r="J20" i="3"/>
  <c r="I20" i="3"/>
  <c r="J19" i="3"/>
  <c r="I19" i="3"/>
  <c r="L19" i="3" s="1"/>
  <c r="J18" i="3"/>
  <c r="I18" i="3"/>
  <c r="J17" i="3"/>
  <c r="I17" i="3"/>
  <c r="L17" i="3" s="1"/>
  <c r="J16" i="3"/>
  <c r="I16" i="3"/>
  <c r="J15" i="3"/>
  <c r="I15" i="3"/>
  <c r="L15" i="3" s="1"/>
  <c r="J14" i="3"/>
  <c r="I14" i="3"/>
  <c r="J13" i="3"/>
  <c r="I13" i="3"/>
  <c r="L13" i="3" s="1"/>
  <c r="J12" i="3"/>
  <c r="I12" i="3"/>
  <c r="J11" i="3"/>
  <c r="I11" i="3"/>
  <c r="L11" i="3" s="1"/>
  <c r="J10" i="3"/>
  <c r="I10" i="3"/>
  <c r="J9" i="3"/>
  <c r="I9" i="3"/>
  <c r="L9" i="3" s="1"/>
  <c r="J8" i="3"/>
  <c r="I8" i="3"/>
  <c r="J7" i="3"/>
  <c r="I7" i="3"/>
  <c r="G4" i="3"/>
  <c r="E4" i="3"/>
  <c r="V377" i="2"/>
  <c r="U377" i="2"/>
  <c r="T377" i="2"/>
  <c r="F377" i="2"/>
  <c r="E377" i="2"/>
  <c r="B377" i="2"/>
  <c r="V376" i="2"/>
  <c r="U376" i="2"/>
  <c r="T376" i="2"/>
  <c r="F376" i="2"/>
  <c r="E376" i="2"/>
  <c r="B376" i="2"/>
  <c r="V375" i="2"/>
  <c r="U375" i="2"/>
  <c r="T375" i="2"/>
  <c r="F375" i="2"/>
  <c r="E375" i="2"/>
  <c r="B375" i="2"/>
  <c r="V374" i="2"/>
  <c r="U374" i="2"/>
  <c r="T374" i="2"/>
  <c r="F374" i="2"/>
  <c r="E374" i="2"/>
  <c r="B374" i="2"/>
  <c r="V373" i="2"/>
  <c r="U373" i="2"/>
  <c r="T373" i="2"/>
  <c r="F373" i="2"/>
  <c r="E373" i="2"/>
  <c r="B373" i="2"/>
  <c r="V372" i="2"/>
  <c r="U372" i="2"/>
  <c r="T372" i="2"/>
  <c r="F372" i="2"/>
  <c r="E372" i="2"/>
  <c r="B372" i="2"/>
  <c r="V371" i="2"/>
  <c r="U371" i="2"/>
  <c r="T371" i="2"/>
  <c r="F371" i="2"/>
  <c r="E371" i="2"/>
  <c r="B371" i="2"/>
  <c r="V370" i="2"/>
  <c r="U370" i="2"/>
  <c r="T370" i="2"/>
  <c r="F370" i="2"/>
  <c r="E370" i="2"/>
  <c r="B370" i="2"/>
  <c r="V369" i="2"/>
  <c r="U369" i="2"/>
  <c r="T369" i="2"/>
  <c r="F369" i="2"/>
  <c r="E369" i="2"/>
  <c r="B369" i="2"/>
  <c r="V368" i="2"/>
  <c r="U368" i="2"/>
  <c r="T368" i="2"/>
  <c r="F368" i="2"/>
  <c r="E368" i="2"/>
  <c r="B368" i="2"/>
  <c r="V367" i="2"/>
  <c r="U367" i="2"/>
  <c r="T367" i="2"/>
  <c r="F367" i="2"/>
  <c r="E367" i="2"/>
  <c r="B367" i="2"/>
  <c r="V366" i="2"/>
  <c r="U366" i="2"/>
  <c r="T366" i="2"/>
  <c r="F366" i="2"/>
  <c r="E366" i="2"/>
  <c r="B366" i="2"/>
  <c r="V365" i="2"/>
  <c r="U365" i="2"/>
  <c r="T365" i="2"/>
  <c r="F365" i="2"/>
  <c r="E365" i="2"/>
  <c r="B365" i="2"/>
  <c r="V364" i="2"/>
  <c r="U364" i="2"/>
  <c r="T364" i="2"/>
  <c r="F364" i="2"/>
  <c r="E364" i="2"/>
  <c r="B364" i="2"/>
  <c r="V363" i="2"/>
  <c r="U363" i="2"/>
  <c r="T363" i="2"/>
  <c r="F363" i="2"/>
  <c r="E363" i="2"/>
  <c r="B363" i="2"/>
  <c r="V362" i="2"/>
  <c r="U362" i="2"/>
  <c r="T362" i="2"/>
  <c r="F362" i="2"/>
  <c r="E362" i="2"/>
  <c r="B362" i="2"/>
  <c r="V361" i="2"/>
  <c r="U361" i="2"/>
  <c r="T361" i="2"/>
  <c r="F361" i="2"/>
  <c r="E361" i="2"/>
  <c r="B361" i="2"/>
  <c r="V360" i="2"/>
  <c r="U360" i="2"/>
  <c r="T360" i="2"/>
  <c r="F360" i="2"/>
  <c r="E360" i="2"/>
  <c r="B360" i="2"/>
  <c r="V359" i="2"/>
  <c r="U359" i="2"/>
  <c r="T359" i="2"/>
  <c r="F359" i="2"/>
  <c r="E359" i="2"/>
  <c r="B359" i="2"/>
  <c r="V358" i="2"/>
  <c r="U358" i="2"/>
  <c r="T358" i="2"/>
  <c r="F358" i="2"/>
  <c r="E358" i="2"/>
  <c r="B358" i="2"/>
  <c r="V357" i="2"/>
  <c r="U357" i="2"/>
  <c r="T357" i="2"/>
  <c r="F357" i="2"/>
  <c r="E357" i="2"/>
  <c r="B357" i="2"/>
  <c r="V356" i="2"/>
  <c r="U356" i="2"/>
  <c r="T356" i="2"/>
  <c r="F356" i="2"/>
  <c r="E356" i="2"/>
  <c r="B356" i="2"/>
  <c r="V355" i="2"/>
  <c r="U355" i="2"/>
  <c r="T355" i="2"/>
  <c r="F355" i="2"/>
  <c r="E355" i="2"/>
  <c r="B355" i="2"/>
  <c r="V354" i="2"/>
  <c r="U354" i="2"/>
  <c r="T354" i="2"/>
  <c r="F354" i="2"/>
  <c r="E354" i="2"/>
  <c r="B354" i="2"/>
  <c r="V353" i="2"/>
  <c r="U353" i="2"/>
  <c r="T353" i="2"/>
  <c r="F353" i="2"/>
  <c r="E353" i="2"/>
  <c r="B353" i="2"/>
  <c r="V352" i="2"/>
  <c r="U352" i="2"/>
  <c r="T352" i="2"/>
  <c r="F352" i="2"/>
  <c r="E352" i="2"/>
  <c r="B352" i="2"/>
  <c r="V351" i="2"/>
  <c r="U351" i="2"/>
  <c r="T351" i="2"/>
  <c r="F351" i="2"/>
  <c r="E351" i="2"/>
  <c r="B351" i="2"/>
  <c r="V350" i="2"/>
  <c r="U350" i="2"/>
  <c r="T350" i="2"/>
  <c r="F350" i="2"/>
  <c r="E350" i="2"/>
  <c r="B350" i="2"/>
  <c r="V349" i="2"/>
  <c r="U349" i="2"/>
  <c r="T349" i="2"/>
  <c r="F349" i="2"/>
  <c r="E349" i="2"/>
  <c r="B349" i="2"/>
  <c r="V348" i="2"/>
  <c r="U348" i="2"/>
  <c r="T348" i="2"/>
  <c r="F348" i="2"/>
  <c r="E348" i="2"/>
  <c r="B348" i="2"/>
  <c r="V347" i="2"/>
  <c r="U347" i="2"/>
  <c r="T347" i="2"/>
  <c r="F347" i="2"/>
  <c r="E347" i="2"/>
  <c r="B347" i="2"/>
  <c r="V346" i="2"/>
  <c r="U346" i="2"/>
  <c r="T346" i="2"/>
  <c r="F346" i="2"/>
  <c r="E346" i="2"/>
  <c r="B346" i="2"/>
  <c r="V345" i="2"/>
  <c r="U345" i="2"/>
  <c r="T345" i="2"/>
  <c r="F345" i="2"/>
  <c r="E345" i="2"/>
  <c r="B345" i="2"/>
  <c r="V344" i="2"/>
  <c r="U344" i="2"/>
  <c r="T344" i="2"/>
  <c r="F344" i="2"/>
  <c r="E344" i="2"/>
  <c r="B344" i="2"/>
  <c r="V343" i="2"/>
  <c r="U343" i="2"/>
  <c r="T343" i="2"/>
  <c r="F343" i="2"/>
  <c r="E343" i="2"/>
  <c r="B343" i="2"/>
  <c r="V342" i="2"/>
  <c r="U342" i="2"/>
  <c r="T342" i="2"/>
  <c r="F342" i="2"/>
  <c r="E342" i="2"/>
  <c r="B342" i="2"/>
  <c r="V341" i="2"/>
  <c r="U341" i="2"/>
  <c r="T341" i="2"/>
  <c r="F341" i="2"/>
  <c r="E341" i="2"/>
  <c r="B341" i="2"/>
  <c r="V340" i="2"/>
  <c r="U340" i="2"/>
  <c r="T340" i="2"/>
  <c r="F340" i="2"/>
  <c r="E340" i="2"/>
  <c r="B340" i="2"/>
  <c r="V339" i="2"/>
  <c r="U339" i="2"/>
  <c r="T339" i="2"/>
  <c r="F339" i="2"/>
  <c r="E339" i="2"/>
  <c r="B339" i="2"/>
  <c r="V338" i="2"/>
  <c r="U338" i="2"/>
  <c r="T338" i="2"/>
  <c r="F338" i="2"/>
  <c r="E338" i="2"/>
  <c r="B338" i="2"/>
  <c r="V337" i="2"/>
  <c r="U337" i="2"/>
  <c r="T337" i="2"/>
  <c r="F337" i="2"/>
  <c r="E337" i="2"/>
  <c r="B337" i="2"/>
  <c r="V336" i="2"/>
  <c r="U336" i="2"/>
  <c r="T336" i="2"/>
  <c r="F336" i="2"/>
  <c r="E336" i="2"/>
  <c r="B336" i="2"/>
  <c r="V335" i="2"/>
  <c r="U335" i="2"/>
  <c r="T335" i="2"/>
  <c r="F335" i="2"/>
  <c r="E335" i="2"/>
  <c r="B335" i="2"/>
  <c r="V334" i="2"/>
  <c r="U334" i="2"/>
  <c r="T334" i="2"/>
  <c r="F334" i="2"/>
  <c r="E334" i="2"/>
  <c r="B334" i="2"/>
  <c r="V333" i="2"/>
  <c r="U333" i="2"/>
  <c r="T333" i="2"/>
  <c r="F333" i="2"/>
  <c r="E333" i="2"/>
  <c r="B333" i="2"/>
  <c r="V332" i="2"/>
  <c r="U332" i="2"/>
  <c r="T332" i="2"/>
  <c r="F332" i="2"/>
  <c r="E332" i="2"/>
  <c r="B332" i="2"/>
  <c r="V331" i="2"/>
  <c r="U331" i="2"/>
  <c r="T331" i="2"/>
  <c r="F331" i="2"/>
  <c r="E331" i="2"/>
  <c r="B331" i="2"/>
  <c r="V330" i="2"/>
  <c r="U330" i="2"/>
  <c r="T330" i="2"/>
  <c r="F330" i="2"/>
  <c r="E330" i="2"/>
  <c r="B330" i="2"/>
  <c r="V329" i="2"/>
  <c r="U329" i="2"/>
  <c r="T329" i="2"/>
  <c r="F329" i="2"/>
  <c r="E329" i="2"/>
  <c r="B329" i="2"/>
  <c r="V328" i="2"/>
  <c r="U328" i="2"/>
  <c r="T328" i="2"/>
  <c r="F328" i="2"/>
  <c r="E328" i="2"/>
  <c r="B328" i="2"/>
  <c r="V327" i="2"/>
  <c r="U327" i="2"/>
  <c r="T327" i="2"/>
  <c r="F327" i="2"/>
  <c r="E327" i="2"/>
  <c r="B327" i="2"/>
  <c r="V326" i="2"/>
  <c r="U326" i="2"/>
  <c r="T326" i="2"/>
  <c r="F326" i="2"/>
  <c r="E326" i="2"/>
  <c r="B326" i="2"/>
  <c r="V325" i="2"/>
  <c r="U325" i="2"/>
  <c r="T325" i="2"/>
  <c r="F325" i="2"/>
  <c r="E325" i="2"/>
  <c r="B325" i="2"/>
  <c r="V324" i="2"/>
  <c r="U324" i="2"/>
  <c r="T324" i="2"/>
  <c r="F324" i="2"/>
  <c r="E324" i="2"/>
  <c r="B324" i="2"/>
  <c r="V323" i="2"/>
  <c r="U323" i="2"/>
  <c r="T323" i="2"/>
  <c r="F323" i="2"/>
  <c r="E323" i="2"/>
  <c r="B323" i="2"/>
  <c r="V322" i="2"/>
  <c r="U322" i="2"/>
  <c r="T322" i="2"/>
  <c r="F322" i="2"/>
  <c r="E322" i="2"/>
  <c r="B322" i="2"/>
  <c r="V321" i="2"/>
  <c r="U321" i="2"/>
  <c r="T321" i="2"/>
  <c r="F321" i="2"/>
  <c r="E321" i="2"/>
  <c r="B321" i="2"/>
  <c r="V320" i="2"/>
  <c r="U320" i="2"/>
  <c r="T320" i="2"/>
  <c r="F320" i="2"/>
  <c r="E320" i="2"/>
  <c r="B320" i="2"/>
  <c r="V319" i="2"/>
  <c r="U319" i="2"/>
  <c r="T319" i="2"/>
  <c r="F319" i="2"/>
  <c r="E319" i="2"/>
  <c r="B319" i="2"/>
  <c r="V318" i="2"/>
  <c r="U318" i="2"/>
  <c r="T318" i="2"/>
  <c r="F318" i="2"/>
  <c r="E318" i="2"/>
  <c r="B318" i="2"/>
  <c r="V317" i="2"/>
  <c r="U317" i="2"/>
  <c r="T317" i="2"/>
  <c r="F317" i="2"/>
  <c r="E317" i="2"/>
  <c r="B317" i="2"/>
  <c r="V316" i="2"/>
  <c r="U316" i="2"/>
  <c r="T316" i="2"/>
  <c r="F316" i="2"/>
  <c r="E316" i="2"/>
  <c r="B316" i="2"/>
  <c r="V315" i="2"/>
  <c r="U315" i="2"/>
  <c r="T315" i="2"/>
  <c r="F315" i="2"/>
  <c r="E315" i="2"/>
  <c r="B315" i="2"/>
  <c r="V314" i="2"/>
  <c r="U314" i="2"/>
  <c r="T314" i="2"/>
  <c r="F314" i="2"/>
  <c r="E314" i="2"/>
  <c r="B314" i="2"/>
  <c r="V313" i="2"/>
  <c r="U313" i="2"/>
  <c r="T313" i="2"/>
  <c r="F313" i="2"/>
  <c r="E313" i="2"/>
  <c r="B313" i="2"/>
  <c r="V312" i="2"/>
  <c r="U312" i="2"/>
  <c r="T312" i="2"/>
  <c r="F312" i="2"/>
  <c r="E312" i="2"/>
  <c r="B312" i="2"/>
  <c r="V311" i="2"/>
  <c r="U311" i="2"/>
  <c r="T311" i="2"/>
  <c r="F311" i="2"/>
  <c r="E311" i="2"/>
  <c r="B311" i="2"/>
  <c r="V310" i="2"/>
  <c r="U310" i="2"/>
  <c r="T310" i="2"/>
  <c r="F310" i="2"/>
  <c r="E310" i="2"/>
  <c r="B310" i="2"/>
  <c r="V309" i="2"/>
  <c r="U309" i="2"/>
  <c r="T309" i="2"/>
  <c r="F309" i="2"/>
  <c r="E309" i="2"/>
  <c r="B309" i="2"/>
  <c r="V308" i="2"/>
  <c r="U308" i="2"/>
  <c r="T308" i="2"/>
  <c r="F308" i="2"/>
  <c r="E308" i="2"/>
  <c r="B308" i="2"/>
  <c r="V307" i="2"/>
  <c r="U307" i="2"/>
  <c r="T307" i="2"/>
  <c r="F307" i="2"/>
  <c r="E307" i="2"/>
  <c r="B307" i="2"/>
  <c r="V306" i="2"/>
  <c r="U306" i="2"/>
  <c r="T306" i="2"/>
  <c r="F306" i="2"/>
  <c r="E306" i="2"/>
  <c r="B306" i="2"/>
  <c r="V305" i="2"/>
  <c r="U305" i="2"/>
  <c r="T305" i="2"/>
  <c r="F305" i="2"/>
  <c r="E305" i="2"/>
  <c r="B305" i="2"/>
  <c r="V304" i="2"/>
  <c r="U304" i="2"/>
  <c r="T304" i="2"/>
  <c r="F304" i="2"/>
  <c r="E304" i="2"/>
  <c r="B304" i="2"/>
  <c r="V303" i="2"/>
  <c r="U303" i="2"/>
  <c r="T303" i="2"/>
  <c r="F303" i="2"/>
  <c r="E303" i="2"/>
  <c r="B303" i="2"/>
  <c r="V302" i="2"/>
  <c r="U302" i="2"/>
  <c r="T302" i="2"/>
  <c r="F302" i="2"/>
  <c r="E302" i="2"/>
  <c r="B302" i="2"/>
  <c r="V301" i="2"/>
  <c r="U301" i="2"/>
  <c r="T301" i="2"/>
  <c r="F301" i="2"/>
  <c r="E301" i="2"/>
  <c r="B301" i="2"/>
  <c r="V300" i="2"/>
  <c r="U300" i="2"/>
  <c r="T300" i="2"/>
  <c r="F300" i="2"/>
  <c r="E300" i="2"/>
  <c r="B300" i="2"/>
  <c r="V299" i="2"/>
  <c r="U299" i="2"/>
  <c r="T299" i="2"/>
  <c r="F299" i="2"/>
  <c r="E299" i="2"/>
  <c r="B299" i="2"/>
  <c r="V298" i="2"/>
  <c r="U298" i="2"/>
  <c r="T298" i="2"/>
  <c r="F298" i="2"/>
  <c r="E298" i="2"/>
  <c r="B298" i="2"/>
  <c r="V297" i="2"/>
  <c r="U297" i="2"/>
  <c r="T297" i="2"/>
  <c r="F297" i="2"/>
  <c r="E297" i="2"/>
  <c r="B297" i="2"/>
  <c r="V296" i="2"/>
  <c r="U296" i="2"/>
  <c r="T296" i="2"/>
  <c r="F296" i="2"/>
  <c r="E296" i="2"/>
  <c r="B296" i="2"/>
  <c r="V295" i="2"/>
  <c r="U295" i="2"/>
  <c r="T295" i="2"/>
  <c r="F295" i="2"/>
  <c r="E295" i="2"/>
  <c r="B295" i="2"/>
  <c r="V294" i="2"/>
  <c r="U294" i="2"/>
  <c r="T294" i="2"/>
  <c r="F294" i="2"/>
  <c r="E294" i="2"/>
  <c r="B294" i="2"/>
  <c r="V293" i="2"/>
  <c r="U293" i="2"/>
  <c r="T293" i="2"/>
  <c r="F293" i="2"/>
  <c r="E293" i="2"/>
  <c r="B293" i="2"/>
  <c r="V292" i="2"/>
  <c r="U292" i="2"/>
  <c r="T292" i="2"/>
  <c r="F292" i="2"/>
  <c r="E292" i="2"/>
  <c r="B292" i="2"/>
  <c r="V291" i="2"/>
  <c r="U291" i="2"/>
  <c r="T291" i="2"/>
  <c r="F291" i="2"/>
  <c r="E291" i="2"/>
  <c r="B291" i="2"/>
  <c r="V290" i="2"/>
  <c r="U290" i="2"/>
  <c r="T290" i="2"/>
  <c r="F290" i="2"/>
  <c r="E290" i="2"/>
  <c r="B290" i="2"/>
  <c r="V289" i="2"/>
  <c r="U289" i="2"/>
  <c r="T289" i="2"/>
  <c r="F289" i="2"/>
  <c r="E289" i="2"/>
  <c r="B289" i="2"/>
  <c r="V288" i="2"/>
  <c r="U288" i="2"/>
  <c r="T288" i="2"/>
  <c r="F288" i="2"/>
  <c r="E288" i="2"/>
  <c r="B288" i="2"/>
  <c r="V287" i="2"/>
  <c r="U287" i="2"/>
  <c r="T287" i="2"/>
  <c r="F287" i="2"/>
  <c r="E287" i="2"/>
  <c r="B287" i="2"/>
  <c r="V286" i="2"/>
  <c r="U286" i="2"/>
  <c r="T286" i="2"/>
  <c r="F286" i="2"/>
  <c r="E286" i="2"/>
  <c r="B286" i="2"/>
  <c r="V285" i="2"/>
  <c r="U285" i="2"/>
  <c r="T285" i="2"/>
  <c r="F285" i="2"/>
  <c r="E285" i="2"/>
  <c r="B285" i="2"/>
  <c r="V284" i="2"/>
  <c r="U284" i="2"/>
  <c r="T284" i="2"/>
  <c r="F284" i="2"/>
  <c r="E284" i="2"/>
  <c r="B284" i="2"/>
  <c r="V283" i="2"/>
  <c r="U283" i="2"/>
  <c r="T283" i="2"/>
  <c r="F283" i="2"/>
  <c r="E283" i="2"/>
  <c r="B283" i="2"/>
  <c r="V282" i="2"/>
  <c r="U282" i="2"/>
  <c r="T282" i="2"/>
  <c r="F282" i="2"/>
  <c r="E282" i="2"/>
  <c r="B282" i="2"/>
  <c r="V281" i="2"/>
  <c r="U281" i="2"/>
  <c r="T281" i="2"/>
  <c r="F281" i="2"/>
  <c r="E281" i="2"/>
  <c r="B281" i="2"/>
  <c r="V280" i="2"/>
  <c r="U280" i="2"/>
  <c r="T280" i="2"/>
  <c r="F280" i="2"/>
  <c r="E280" i="2"/>
  <c r="B280" i="2"/>
  <c r="V279" i="2"/>
  <c r="U279" i="2"/>
  <c r="T279" i="2"/>
  <c r="F279" i="2"/>
  <c r="E279" i="2"/>
  <c r="B279" i="2"/>
  <c r="V278" i="2"/>
  <c r="U278" i="2"/>
  <c r="T278" i="2"/>
  <c r="F278" i="2"/>
  <c r="E278" i="2"/>
  <c r="B278" i="2"/>
  <c r="V277" i="2"/>
  <c r="U277" i="2"/>
  <c r="T277" i="2"/>
  <c r="F277" i="2"/>
  <c r="E277" i="2"/>
  <c r="B277" i="2"/>
  <c r="V276" i="2"/>
  <c r="U276" i="2"/>
  <c r="T276" i="2"/>
  <c r="F276" i="2"/>
  <c r="E276" i="2"/>
  <c r="B276" i="2"/>
  <c r="V275" i="2"/>
  <c r="U275" i="2"/>
  <c r="T275" i="2"/>
  <c r="F275" i="2"/>
  <c r="E275" i="2"/>
  <c r="B275" i="2"/>
  <c r="V274" i="2"/>
  <c r="U274" i="2"/>
  <c r="T274" i="2"/>
  <c r="F274" i="2"/>
  <c r="E274" i="2"/>
  <c r="B274" i="2"/>
  <c r="V273" i="2"/>
  <c r="U273" i="2"/>
  <c r="T273" i="2"/>
  <c r="F273" i="2"/>
  <c r="E273" i="2"/>
  <c r="B273" i="2"/>
  <c r="V272" i="2"/>
  <c r="U272" i="2"/>
  <c r="T272" i="2"/>
  <c r="F272" i="2"/>
  <c r="E272" i="2"/>
  <c r="B272" i="2"/>
  <c r="V271" i="2"/>
  <c r="U271" i="2"/>
  <c r="T271" i="2"/>
  <c r="F271" i="2"/>
  <c r="E271" i="2"/>
  <c r="B271" i="2"/>
  <c r="V270" i="2"/>
  <c r="U270" i="2"/>
  <c r="T270" i="2"/>
  <c r="F270" i="2"/>
  <c r="E270" i="2"/>
  <c r="B270" i="2"/>
  <c r="V269" i="2"/>
  <c r="U269" i="2"/>
  <c r="T269" i="2"/>
  <c r="F269" i="2"/>
  <c r="E269" i="2"/>
  <c r="B269" i="2"/>
  <c r="V268" i="2"/>
  <c r="U268" i="2"/>
  <c r="T268" i="2"/>
  <c r="F268" i="2"/>
  <c r="E268" i="2"/>
  <c r="B268" i="2"/>
  <c r="V267" i="2"/>
  <c r="U267" i="2"/>
  <c r="T267" i="2"/>
  <c r="F267" i="2"/>
  <c r="E267" i="2"/>
  <c r="B267" i="2"/>
  <c r="V266" i="2"/>
  <c r="U266" i="2"/>
  <c r="T266" i="2"/>
  <c r="F266" i="2"/>
  <c r="E266" i="2"/>
  <c r="B266" i="2"/>
  <c r="V265" i="2"/>
  <c r="U265" i="2"/>
  <c r="T265" i="2"/>
  <c r="F265" i="2"/>
  <c r="E265" i="2"/>
  <c r="B265" i="2"/>
  <c r="V264" i="2"/>
  <c r="U264" i="2"/>
  <c r="T264" i="2"/>
  <c r="F264" i="2"/>
  <c r="E264" i="2"/>
  <c r="B264" i="2"/>
  <c r="V263" i="2"/>
  <c r="U263" i="2"/>
  <c r="T263" i="2"/>
  <c r="F263" i="2"/>
  <c r="E263" i="2"/>
  <c r="B263" i="2"/>
  <c r="V262" i="2"/>
  <c r="U262" i="2"/>
  <c r="T262" i="2"/>
  <c r="F262" i="2"/>
  <c r="E262" i="2"/>
  <c r="B262" i="2"/>
  <c r="V261" i="2"/>
  <c r="U261" i="2"/>
  <c r="T261" i="2"/>
  <c r="F261" i="2"/>
  <c r="E261" i="2"/>
  <c r="B261" i="2"/>
  <c r="V260" i="2"/>
  <c r="U260" i="2"/>
  <c r="T260" i="2"/>
  <c r="F260" i="2"/>
  <c r="E260" i="2"/>
  <c r="B260" i="2"/>
  <c r="V259" i="2"/>
  <c r="U259" i="2"/>
  <c r="T259" i="2"/>
  <c r="F259" i="2"/>
  <c r="E259" i="2"/>
  <c r="B259" i="2"/>
  <c r="V258" i="2"/>
  <c r="U258" i="2"/>
  <c r="T258" i="2"/>
  <c r="F258" i="2"/>
  <c r="E258" i="2"/>
  <c r="B258" i="2"/>
  <c r="V257" i="2"/>
  <c r="U257" i="2"/>
  <c r="T257" i="2"/>
  <c r="F257" i="2"/>
  <c r="E257" i="2"/>
  <c r="B257" i="2"/>
  <c r="V256" i="2"/>
  <c r="U256" i="2"/>
  <c r="T256" i="2"/>
  <c r="F256" i="2"/>
  <c r="E256" i="2"/>
  <c r="B256" i="2"/>
  <c r="V255" i="2"/>
  <c r="U255" i="2"/>
  <c r="T255" i="2"/>
  <c r="F255" i="2"/>
  <c r="E255" i="2"/>
  <c r="B255" i="2"/>
  <c r="V254" i="2"/>
  <c r="U254" i="2"/>
  <c r="T254" i="2"/>
  <c r="F254" i="2"/>
  <c r="E254" i="2"/>
  <c r="B254" i="2"/>
  <c r="V253" i="2"/>
  <c r="U253" i="2"/>
  <c r="T253" i="2"/>
  <c r="F253" i="2"/>
  <c r="E253" i="2"/>
  <c r="B253" i="2"/>
  <c r="V252" i="2"/>
  <c r="U252" i="2"/>
  <c r="T252" i="2"/>
  <c r="F252" i="2"/>
  <c r="E252" i="2"/>
  <c r="B252" i="2"/>
  <c r="V251" i="2"/>
  <c r="U251" i="2"/>
  <c r="T251" i="2"/>
  <c r="F251" i="2"/>
  <c r="E251" i="2"/>
  <c r="B251" i="2"/>
  <c r="V250" i="2"/>
  <c r="U250" i="2"/>
  <c r="T250" i="2"/>
  <c r="F250" i="2"/>
  <c r="E250" i="2"/>
  <c r="B250" i="2"/>
  <c r="V249" i="2"/>
  <c r="U249" i="2"/>
  <c r="T249" i="2"/>
  <c r="F249" i="2"/>
  <c r="E249" i="2"/>
  <c r="B249" i="2"/>
  <c r="V248" i="2"/>
  <c r="U248" i="2"/>
  <c r="T248" i="2"/>
  <c r="F248" i="2"/>
  <c r="E248" i="2"/>
  <c r="B248" i="2"/>
  <c r="V247" i="2"/>
  <c r="U247" i="2"/>
  <c r="T247" i="2"/>
  <c r="F247" i="2"/>
  <c r="E247" i="2"/>
  <c r="B247" i="2"/>
  <c r="V246" i="2"/>
  <c r="U246" i="2"/>
  <c r="T246" i="2"/>
  <c r="F246" i="2"/>
  <c r="E246" i="2"/>
  <c r="B246" i="2"/>
  <c r="V245" i="2"/>
  <c r="U245" i="2"/>
  <c r="T245" i="2"/>
  <c r="F245" i="2"/>
  <c r="E245" i="2"/>
  <c r="B245" i="2"/>
  <c r="V244" i="2"/>
  <c r="U244" i="2"/>
  <c r="T244" i="2"/>
  <c r="F244" i="2"/>
  <c r="E244" i="2"/>
  <c r="B244" i="2"/>
  <c r="V243" i="2"/>
  <c r="U243" i="2"/>
  <c r="T243" i="2"/>
  <c r="F243" i="2"/>
  <c r="E243" i="2"/>
  <c r="B243" i="2"/>
  <c r="V242" i="2"/>
  <c r="U242" i="2"/>
  <c r="T242" i="2"/>
  <c r="F242" i="2"/>
  <c r="E242" i="2"/>
  <c r="B242" i="2"/>
  <c r="V241" i="2"/>
  <c r="U241" i="2"/>
  <c r="T241" i="2"/>
  <c r="F241" i="2"/>
  <c r="E241" i="2"/>
  <c r="B241" i="2"/>
  <c r="V240" i="2"/>
  <c r="U240" i="2"/>
  <c r="T240" i="2"/>
  <c r="F240" i="2"/>
  <c r="E240" i="2"/>
  <c r="B240" i="2"/>
  <c r="V239" i="2"/>
  <c r="U239" i="2"/>
  <c r="T239" i="2"/>
  <c r="F239" i="2"/>
  <c r="E239" i="2"/>
  <c r="B239" i="2"/>
  <c r="V238" i="2"/>
  <c r="U238" i="2"/>
  <c r="T238" i="2"/>
  <c r="F238" i="2"/>
  <c r="E238" i="2"/>
  <c r="B238" i="2"/>
  <c r="V237" i="2"/>
  <c r="U237" i="2"/>
  <c r="T237" i="2"/>
  <c r="F237" i="2"/>
  <c r="E237" i="2"/>
  <c r="B237" i="2"/>
  <c r="V236" i="2"/>
  <c r="U236" i="2"/>
  <c r="T236" i="2"/>
  <c r="F236" i="2"/>
  <c r="E236" i="2"/>
  <c r="B236" i="2"/>
  <c r="V235" i="2"/>
  <c r="U235" i="2"/>
  <c r="T235" i="2"/>
  <c r="F235" i="2"/>
  <c r="E235" i="2"/>
  <c r="B235" i="2"/>
  <c r="V234" i="2"/>
  <c r="U234" i="2"/>
  <c r="T234" i="2"/>
  <c r="F234" i="2"/>
  <c r="E234" i="2"/>
  <c r="B234" i="2"/>
  <c r="V233" i="2"/>
  <c r="U233" i="2"/>
  <c r="T233" i="2"/>
  <c r="F233" i="2"/>
  <c r="E233" i="2"/>
  <c r="B233" i="2"/>
  <c r="V232" i="2"/>
  <c r="U232" i="2"/>
  <c r="T232" i="2"/>
  <c r="F232" i="2"/>
  <c r="E232" i="2"/>
  <c r="B232" i="2"/>
  <c r="V231" i="2"/>
  <c r="U231" i="2"/>
  <c r="T231" i="2"/>
  <c r="F231" i="2"/>
  <c r="E231" i="2"/>
  <c r="B231" i="2"/>
  <c r="V230" i="2"/>
  <c r="U230" i="2"/>
  <c r="T230" i="2"/>
  <c r="F230" i="2"/>
  <c r="E230" i="2"/>
  <c r="B230" i="2"/>
  <c r="V229" i="2"/>
  <c r="U229" i="2"/>
  <c r="T229" i="2"/>
  <c r="F229" i="2"/>
  <c r="E229" i="2"/>
  <c r="B229" i="2"/>
  <c r="V228" i="2"/>
  <c r="U228" i="2"/>
  <c r="T228" i="2"/>
  <c r="F228" i="2"/>
  <c r="E228" i="2"/>
  <c r="B228" i="2"/>
  <c r="V227" i="2"/>
  <c r="U227" i="2"/>
  <c r="T227" i="2"/>
  <c r="F227" i="2"/>
  <c r="E227" i="2"/>
  <c r="B227" i="2"/>
  <c r="V226" i="2"/>
  <c r="U226" i="2"/>
  <c r="T226" i="2"/>
  <c r="F226" i="2"/>
  <c r="E226" i="2"/>
  <c r="B226" i="2"/>
  <c r="V225" i="2"/>
  <c r="U225" i="2"/>
  <c r="T225" i="2"/>
  <c r="F225" i="2"/>
  <c r="E225" i="2"/>
  <c r="B225" i="2"/>
  <c r="V224" i="2"/>
  <c r="U224" i="2"/>
  <c r="T224" i="2"/>
  <c r="F224" i="2"/>
  <c r="E224" i="2"/>
  <c r="B224" i="2"/>
  <c r="V223" i="2"/>
  <c r="U223" i="2"/>
  <c r="T223" i="2"/>
  <c r="F223" i="2"/>
  <c r="E223" i="2"/>
  <c r="B223" i="2"/>
  <c r="V222" i="2"/>
  <c r="U222" i="2"/>
  <c r="T222" i="2"/>
  <c r="F222" i="2"/>
  <c r="E222" i="2"/>
  <c r="B222" i="2"/>
  <c r="V221" i="2"/>
  <c r="U221" i="2"/>
  <c r="T221" i="2"/>
  <c r="F221" i="2"/>
  <c r="E221" i="2"/>
  <c r="B221" i="2"/>
  <c r="V220" i="2"/>
  <c r="U220" i="2"/>
  <c r="T220" i="2"/>
  <c r="F220" i="2"/>
  <c r="E220" i="2"/>
  <c r="B220" i="2"/>
  <c r="V219" i="2"/>
  <c r="U219" i="2"/>
  <c r="T219" i="2"/>
  <c r="F219" i="2"/>
  <c r="E219" i="2"/>
  <c r="B219" i="2"/>
  <c r="V218" i="2"/>
  <c r="U218" i="2"/>
  <c r="T218" i="2"/>
  <c r="F218" i="2"/>
  <c r="E218" i="2"/>
  <c r="B218" i="2"/>
  <c r="V217" i="2"/>
  <c r="U217" i="2"/>
  <c r="T217" i="2"/>
  <c r="F217" i="2"/>
  <c r="E217" i="2"/>
  <c r="B217" i="2"/>
  <c r="V216" i="2"/>
  <c r="U216" i="2"/>
  <c r="T216" i="2"/>
  <c r="F216" i="2"/>
  <c r="E216" i="2"/>
  <c r="B216" i="2"/>
  <c r="V215" i="2"/>
  <c r="U215" i="2"/>
  <c r="T215" i="2"/>
  <c r="F215" i="2"/>
  <c r="E215" i="2"/>
  <c r="B215" i="2"/>
  <c r="V214" i="2"/>
  <c r="U214" i="2"/>
  <c r="T214" i="2"/>
  <c r="F214" i="2"/>
  <c r="E214" i="2"/>
  <c r="B214" i="2"/>
  <c r="V213" i="2"/>
  <c r="U213" i="2"/>
  <c r="T213" i="2"/>
  <c r="F213" i="2"/>
  <c r="E213" i="2"/>
  <c r="B213" i="2"/>
  <c r="V212" i="2"/>
  <c r="U212" i="2"/>
  <c r="T212" i="2"/>
  <c r="F212" i="2"/>
  <c r="E212" i="2"/>
  <c r="B212" i="2"/>
  <c r="V211" i="2"/>
  <c r="U211" i="2"/>
  <c r="T211" i="2"/>
  <c r="F211" i="2"/>
  <c r="E211" i="2"/>
  <c r="B211" i="2"/>
  <c r="V210" i="2"/>
  <c r="U210" i="2"/>
  <c r="T210" i="2"/>
  <c r="F210" i="2"/>
  <c r="E210" i="2"/>
  <c r="B210" i="2"/>
  <c r="V209" i="2"/>
  <c r="U209" i="2"/>
  <c r="T209" i="2"/>
  <c r="F209" i="2"/>
  <c r="E209" i="2"/>
  <c r="B209" i="2"/>
  <c r="V208" i="2"/>
  <c r="U208" i="2"/>
  <c r="T208" i="2"/>
  <c r="F208" i="2"/>
  <c r="E208" i="2"/>
  <c r="B208" i="2"/>
  <c r="V207" i="2"/>
  <c r="U207" i="2"/>
  <c r="T207" i="2"/>
  <c r="F207" i="2"/>
  <c r="E207" i="2"/>
  <c r="B207" i="2"/>
  <c r="V206" i="2"/>
  <c r="U206" i="2"/>
  <c r="T206" i="2"/>
  <c r="F206" i="2"/>
  <c r="E206" i="2"/>
  <c r="B206" i="2"/>
  <c r="V205" i="2"/>
  <c r="U205" i="2"/>
  <c r="T205" i="2"/>
  <c r="F205" i="2"/>
  <c r="E205" i="2"/>
  <c r="B205" i="2"/>
  <c r="V204" i="2"/>
  <c r="U204" i="2"/>
  <c r="T204" i="2"/>
  <c r="F204" i="2"/>
  <c r="E204" i="2"/>
  <c r="B204" i="2"/>
  <c r="V203" i="2"/>
  <c r="U203" i="2"/>
  <c r="T203" i="2"/>
  <c r="F203" i="2"/>
  <c r="E203" i="2"/>
  <c r="B203" i="2"/>
  <c r="V202" i="2"/>
  <c r="U202" i="2"/>
  <c r="T202" i="2"/>
  <c r="F202" i="2"/>
  <c r="E202" i="2"/>
  <c r="B202" i="2"/>
  <c r="V201" i="2"/>
  <c r="U201" i="2"/>
  <c r="T201" i="2"/>
  <c r="F201" i="2"/>
  <c r="E201" i="2"/>
  <c r="B201" i="2"/>
  <c r="V200" i="2"/>
  <c r="U200" i="2"/>
  <c r="T200" i="2"/>
  <c r="F200" i="2"/>
  <c r="E200" i="2"/>
  <c r="B200" i="2"/>
  <c r="V199" i="2"/>
  <c r="U199" i="2"/>
  <c r="T199" i="2"/>
  <c r="F199" i="2"/>
  <c r="E199" i="2"/>
  <c r="B199" i="2"/>
  <c r="V198" i="2"/>
  <c r="U198" i="2"/>
  <c r="T198" i="2"/>
  <c r="F198" i="2"/>
  <c r="E198" i="2"/>
  <c r="B198" i="2"/>
  <c r="V197" i="2"/>
  <c r="U197" i="2"/>
  <c r="T197" i="2"/>
  <c r="F197" i="2"/>
  <c r="E197" i="2"/>
  <c r="B197" i="2"/>
  <c r="V196" i="2"/>
  <c r="U196" i="2"/>
  <c r="T196" i="2"/>
  <c r="F196" i="2"/>
  <c r="E196" i="2"/>
  <c r="B196" i="2"/>
  <c r="V195" i="2"/>
  <c r="U195" i="2"/>
  <c r="T195" i="2"/>
  <c r="F195" i="2"/>
  <c r="E195" i="2"/>
  <c r="B195" i="2"/>
  <c r="V194" i="2"/>
  <c r="U194" i="2"/>
  <c r="T194" i="2"/>
  <c r="F194" i="2"/>
  <c r="E194" i="2"/>
  <c r="B194" i="2"/>
  <c r="V193" i="2"/>
  <c r="U193" i="2"/>
  <c r="T193" i="2"/>
  <c r="F193" i="2"/>
  <c r="E193" i="2"/>
  <c r="B193" i="2"/>
  <c r="V192" i="2"/>
  <c r="U192" i="2"/>
  <c r="T192" i="2"/>
  <c r="F192" i="2"/>
  <c r="E192" i="2"/>
  <c r="B192" i="2"/>
  <c r="V191" i="2"/>
  <c r="U191" i="2"/>
  <c r="T191" i="2"/>
  <c r="F191" i="2"/>
  <c r="E191" i="2"/>
  <c r="B191" i="2"/>
  <c r="V190" i="2"/>
  <c r="U190" i="2"/>
  <c r="T190" i="2"/>
  <c r="F190" i="2"/>
  <c r="E190" i="2"/>
  <c r="B190" i="2"/>
  <c r="V189" i="2"/>
  <c r="U189" i="2"/>
  <c r="T189" i="2"/>
  <c r="F189" i="2"/>
  <c r="E189" i="2"/>
  <c r="B189" i="2"/>
  <c r="V188" i="2"/>
  <c r="U188" i="2"/>
  <c r="T188" i="2"/>
  <c r="F188" i="2"/>
  <c r="E188" i="2"/>
  <c r="B188" i="2"/>
  <c r="V187" i="2"/>
  <c r="U187" i="2"/>
  <c r="T187" i="2"/>
  <c r="F187" i="2"/>
  <c r="E187" i="2"/>
  <c r="B187" i="2"/>
  <c r="V186" i="2"/>
  <c r="U186" i="2"/>
  <c r="T186" i="2"/>
  <c r="F186" i="2"/>
  <c r="E186" i="2"/>
  <c r="B186" i="2"/>
  <c r="V185" i="2"/>
  <c r="U185" i="2"/>
  <c r="T185" i="2"/>
  <c r="F185" i="2"/>
  <c r="E185" i="2"/>
  <c r="B185" i="2"/>
  <c r="V184" i="2"/>
  <c r="U184" i="2"/>
  <c r="T184" i="2"/>
  <c r="F184" i="2"/>
  <c r="E184" i="2"/>
  <c r="B184" i="2"/>
  <c r="V183" i="2"/>
  <c r="U183" i="2"/>
  <c r="T183" i="2"/>
  <c r="F183" i="2"/>
  <c r="E183" i="2"/>
  <c r="B183" i="2"/>
  <c r="V182" i="2"/>
  <c r="U182" i="2"/>
  <c r="T182" i="2"/>
  <c r="F182" i="2"/>
  <c r="E182" i="2"/>
  <c r="B182" i="2"/>
  <c r="V181" i="2"/>
  <c r="U181" i="2"/>
  <c r="T181" i="2"/>
  <c r="F181" i="2"/>
  <c r="E181" i="2"/>
  <c r="B181" i="2"/>
  <c r="V180" i="2"/>
  <c r="U180" i="2"/>
  <c r="T180" i="2"/>
  <c r="F180" i="2"/>
  <c r="E180" i="2"/>
  <c r="B180" i="2"/>
  <c r="V179" i="2"/>
  <c r="U179" i="2"/>
  <c r="T179" i="2"/>
  <c r="F179" i="2"/>
  <c r="E179" i="2"/>
  <c r="B179" i="2"/>
  <c r="V178" i="2"/>
  <c r="U178" i="2"/>
  <c r="T178" i="2"/>
  <c r="F178" i="2"/>
  <c r="E178" i="2"/>
  <c r="B178" i="2"/>
  <c r="V177" i="2"/>
  <c r="U177" i="2"/>
  <c r="T177" i="2"/>
  <c r="F177" i="2"/>
  <c r="E177" i="2"/>
  <c r="B177" i="2"/>
  <c r="V176" i="2"/>
  <c r="U176" i="2"/>
  <c r="T176" i="2"/>
  <c r="F176" i="2"/>
  <c r="E176" i="2"/>
  <c r="B176" i="2"/>
  <c r="V175" i="2"/>
  <c r="U175" i="2"/>
  <c r="T175" i="2"/>
  <c r="F175" i="2"/>
  <c r="E175" i="2"/>
  <c r="B175" i="2"/>
  <c r="V174" i="2"/>
  <c r="U174" i="2"/>
  <c r="T174" i="2"/>
  <c r="F174" i="2"/>
  <c r="E174" i="2"/>
  <c r="B174" i="2"/>
  <c r="V173" i="2"/>
  <c r="U173" i="2"/>
  <c r="T173" i="2"/>
  <c r="F173" i="2"/>
  <c r="E173" i="2"/>
  <c r="B173" i="2"/>
  <c r="V172" i="2"/>
  <c r="U172" i="2"/>
  <c r="T172" i="2"/>
  <c r="F172" i="2"/>
  <c r="E172" i="2"/>
  <c r="B172" i="2"/>
  <c r="V171" i="2"/>
  <c r="U171" i="2"/>
  <c r="T171" i="2"/>
  <c r="F171" i="2"/>
  <c r="E171" i="2"/>
  <c r="B171" i="2"/>
  <c r="V170" i="2"/>
  <c r="U170" i="2"/>
  <c r="T170" i="2"/>
  <c r="F170" i="2"/>
  <c r="E170" i="2"/>
  <c r="B170" i="2"/>
  <c r="V169" i="2"/>
  <c r="U169" i="2"/>
  <c r="T169" i="2"/>
  <c r="F169" i="2"/>
  <c r="E169" i="2"/>
  <c r="B169" i="2"/>
  <c r="V168" i="2"/>
  <c r="U168" i="2"/>
  <c r="T168" i="2"/>
  <c r="F168" i="2"/>
  <c r="E168" i="2"/>
  <c r="B168" i="2"/>
  <c r="V167" i="2"/>
  <c r="U167" i="2"/>
  <c r="T167" i="2"/>
  <c r="F167" i="2"/>
  <c r="E167" i="2"/>
  <c r="B167" i="2"/>
  <c r="V166" i="2"/>
  <c r="U166" i="2"/>
  <c r="T166" i="2"/>
  <c r="F166" i="2"/>
  <c r="E166" i="2"/>
  <c r="B166" i="2"/>
  <c r="V165" i="2"/>
  <c r="U165" i="2"/>
  <c r="T165" i="2"/>
  <c r="F165" i="2"/>
  <c r="E165" i="2"/>
  <c r="B165" i="2"/>
  <c r="V164" i="2"/>
  <c r="U164" i="2"/>
  <c r="T164" i="2"/>
  <c r="F164" i="2"/>
  <c r="E164" i="2"/>
  <c r="B164" i="2"/>
  <c r="V163" i="2"/>
  <c r="U163" i="2"/>
  <c r="T163" i="2"/>
  <c r="F163" i="2"/>
  <c r="E163" i="2"/>
  <c r="B163" i="2"/>
  <c r="V162" i="2"/>
  <c r="U162" i="2"/>
  <c r="T162" i="2"/>
  <c r="F162" i="2"/>
  <c r="E162" i="2"/>
  <c r="B162" i="2"/>
  <c r="V161" i="2"/>
  <c r="U161" i="2"/>
  <c r="T161" i="2"/>
  <c r="F161" i="2"/>
  <c r="E161" i="2"/>
  <c r="B161" i="2"/>
  <c r="V160" i="2"/>
  <c r="U160" i="2"/>
  <c r="T160" i="2"/>
  <c r="F160" i="2"/>
  <c r="E160" i="2"/>
  <c r="B160" i="2"/>
  <c r="V159" i="2"/>
  <c r="U159" i="2"/>
  <c r="T159" i="2"/>
  <c r="F159" i="2"/>
  <c r="E159" i="2"/>
  <c r="B159" i="2"/>
  <c r="V158" i="2"/>
  <c r="U158" i="2"/>
  <c r="T158" i="2"/>
  <c r="F158" i="2"/>
  <c r="E158" i="2"/>
  <c r="B158" i="2"/>
  <c r="V157" i="2"/>
  <c r="U157" i="2"/>
  <c r="T157" i="2"/>
  <c r="F157" i="2"/>
  <c r="E157" i="2"/>
  <c r="B157" i="2"/>
  <c r="V156" i="2"/>
  <c r="U156" i="2"/>
  <c r="T156" i="2"/>
  <c r="F156" i="2"/>
  <c r="E156" i="2"/>
  <c r="B156" i="2"/>
  <c r="V155" i="2"/>
  <c r="U155" i="2"/>
  <c r="T155" i="2"/>
  <c r="F155" i="2"/>
  <c r="E155" i="2"/>
  <c r="B155" i="2"/>
  <c r="V154" i="2"/>
  <c r="U154" i="2"/>
  <c r="T154" i="2"/>
  <c r="F154" i="2"/>
  <c r="E154" i="2"/>
  <c r="B154" i="2"/>
  <c r="V153" i="2"/>
  <c r="U153" i="2"/>
  <c r="T153" i="2"/>
  <c r="F153" i="2"/>
  <c r="E153" i="2"/>
  <c r="B153" i="2"/>
  <c r="V152" i="2"/>
  <c r="U152" i="2"/>
  <c r="T152" i="2"/>
  <c r="F152" i="2"/>
  <c r="E152" i="2"/>
  <c r="B152" i="2"/>
  <c r="V151" i="2"/>
  <c r="U151" i="2"/>
  <c r="T151" i="2"/>
  <c r="F151" i="2"/>
  <c r="E151" i="2"/>
  <c r="B151" i="2"/>
  <c r="V150" i="2"/>
  <c r="U150" i="2"/>
  <c r="T150" i="2"/>
  <c r="F150" i="2"/>
  <c r="E150" i="2"/>
  <c r="B150" i="2"/>
  <c r="V149" i="2"/>
  <c r="U149" i="2"/>
  <c r="T149" i="2"/>
  <c r="F149" i="2"/>
  <c r="E149" i="2"/>
  <c r="B149" i="2"/>
  <c r="V148" i="2"/>
  <c r="U148" i="2"/>
  <c r="T148" i="2"/>
  <c r="F148" i="2"/>
  <c r="E148" i="2"/>
  <c r="B148" i="2"/>
  <c r="V147" i="2"/>
  <c r="U147" i="2"/>
  <c r="T147" i="2"/>
  <c r="F147" i="2"/>
  <c r="E147" i="2"/>
  <c r="B147" i="2"/>
  <c r="V146" i="2"/>
  <c r="U146" i="2"/>
  <c r="T146" i="2"/>
  <c r="F146" i="2"/>
  <c r="E146" i="2"/>
  <c r="B146" i="2"/>
  <c r="V145" i="2"/>
  <c r="U145" i="2"/>
  <c r="T145" i="2"/>
  <c r="F145" i="2"/>
  <c r="E145" i="2"/>
  <c r="B145" i="2"/>
  <c r="V144" i="2"/>
  <c r="U144" i="2"/>
  <c r="T144" i="2"/>
  <c r="F144" i="2"/>
  <c r="E144" i="2"/>
  <c r="B144" i="2"/>
  <c r="V143" i="2"/>
  <c r="U143" i="2"/>
  <c r="T143" i="2"/>
  <c r="F143" i="2"/>
  <c r="E143" i="2"/>
  <c r="B143" i="2"/>
  <c r="V142" i="2"/>
  <c r="U142" i="2"/>
  <c r="T142" i="2"/>
  <c r="F142" i="2"/>
  <c r="E142" i="2"/>
  <c r="B142" i="2"/>
  <c r="V141" i="2"/>
  <c r="U141" i="2"/>
  <c r="T141" i="2"/>
  <c r="F141" i="2"/>
  <c r="E141" i="2"/>
  <c r="B141" i="2"/>
  <c r="V140" i="2"/>
  <c r="U140" i="2"/>
  <c r="T140" i="2"/>
  <c r="F140" i="2"/>
  <c r="E140" i="2"/>
  <c r="B140" i="2"/>
  <c r="V139" i="2"/>
  <c r="U139" i="2"/>
  <c r="T139" i="2"/>
  <c r="F139" i="2"/>
  <c r="E139" i="2"/>
  <c r="B139" i="2"/>
  <c r="V138" i="2"/>
  <c r="U138" i="2"/>
  <c r="T138" i="2"/>
  <c r="F138" i="2"/>
  <c r="E138" i="2"/>
  <c r="B138" i="2"/>
  <c r="V137" i="2"/>
  <c r="U137" i="2"/>
  <c r="T137" i="2"/>
  <c r="F137" i="2"/>
  <c r="E137" i="2"/>
  <c r="B137" i="2"/>
  <c r="V136" i="2"/>
  <c r="U136" i="2"/>
  <c r="T136" i="2"/>
  <c r="F136" i="2"/>
  <c r="E136" i="2"/>
  <c r="B136" i="2"/>
  <c r="V135" i="2"/>
  <c r="U135" i="2"/>
  <c r="T135" i="2"/>
  <c r="F135" i="2"/>
  <c r="E135" i="2"/>
  <c r="B135" i="2"/>
  <c r="V134" i="2"/>
  <c r="U134" i="2"/>
  <c r="T134" i="2"/>
  <c r="F134" i="2"/>
  <c r="E134" i="2"/>
  <c r="B134" i="2"/>
  <c r="V133" i="2"/>
  <c r="U133" i="2"/>
  <c r="T133" i="2"/>
  <c r="F133" i="2"/>
  <c r="E133" i="2"/>
  <c r="B133" i="2"/>
  <c r="V132" i="2"/>
  <c r="U132" i="2"/>
  <c r="T132" i="2"/>
  <c r="F132" i="2"/>
  <c r="E132" i="2"/>
  <c r="B132" i="2"/>
  <c r="V131" i="2"/>
  <c r="U131" i="2"/>
  <c r="T131" i="2"/>
  <c r="F131" i="2"/>
  <c r="E131" i="2"/>
  <c r="B131" i="2"/>
  <c r="V130" i="2"/>
  <c r="U130" i="2"/>
  <c r="T130" i="2"/>
  <c r="F130" i="2"/>
  <c r="E130" i="2"/>
  <c r="B130" i="2"/>
  <c r="V129" i="2"/>
  <c r="U129" i="2"/>
  <c r="T129" i="2"/>
  <c r="F129" i="2"/>
  <c r="E129" i="2"/>
  <c r="B129" i="2"/>
  <c r="V128" i="2"/>
  <c r="U128" i="2"/>
  <c r="T128" i="2"/>
  <c r="F128" i="2"/>
  <c r="E128" i="2"/>
  <c r="B128" i="2"/>
  <c r="V127" i="2"/>
  <c r="U127" i="2"/>
  <c r="T127" i="2"/>
  <c r="F127" i="2"/>
  <c r="E127" i="2"/>
  <c r="B127" i="2"/>
  <c r="V126" i="2"/>
  <c r="U126" i="2"/>
  <c r="T126" i="2"/>
  <c r="F126" i="2"/>
  <c r="E126" i="2"/>
  <c r="B126" i="2"/>
  <c r="V125" i="2"/>
  <c r="U125" i="2"/>
  <c r="T125" i="2"/>
  <c r="F125" i="2"/>
  <c r="E125" i="2"/>
  <c r="B125" i="2"/>
  <c r="V124" i="2"/>
  <c r="U124" i="2"/>
  <c r="T124" i="2"/>
  <c r="F124" i="2"/>
  <c r="E124" i="2"/>
  <c r="B124" i="2"/>
  <c r="V123" i="2"/>
  <c r="U123" i="2"/>
  <c r="T123" i="2"/>
  <c r="F123" i="2"/>
  <c r="E123" i="2"/>
  <c r="B123" i="2"/>
  <c r="V122" i="2"/>
  <c r="U122" i="2"/>
  <c r="T122" i="2"/>
  <c r="F122" i="2"/>
  <c r="E122" i="2"/>
  <c r="B122" i="2"/>
  <c r="V121" i="2"/>
  <c r="U121" i="2"/>
  <c r="T121" i="2"/>
  <c r="F121" i="2"/>
  <c r="E121" i="2"/>
  <c r="B121" i="2"/>
  <c r="V120" i="2"/>
  <c r="U120" i="2"/>
  <c r="T120" i="2"/>
  <c r="F120" i="2"/>
  <c r="E120" i="2"/>
  <c r="B120" i="2"/>
  <c r="V119" i="2"/>
  <c r="U119" i="2"/>
  <c r="T119" i="2"/>
  <c r="F119" i="2"/>
  <c r="E119" i="2"/>
  <c r="B119" i="2"/>
  <c r="V118" i="2"/>
  <c r="U118" i="2"/>
  <c r="T118" i="2"/>
  <c r="F118" i="2"/>
  <c r="E118" i="2"/>
  <c r="B118" i="2"/>
  <c r="V117" i="2"/>
  <c r="U117" i="2"/>
  <c r="T117" i="2"/>
  <c r="F117" i="2"/>
  <c r="E117" i="2"/>
  <c r="B117" i="2"/>
  <c r="V116" i="2"/>
  <c r="U116" i="2"/>
  <c r="T116" i="2"/>
  <c r="F116" i="2"/>
  <c r="E116" i="2"/>
  <c r="B116" i="2"/>
  <c r="V115" i="2"/>
  <c r="U115" i="2"/>
  <c r="T115" i="2"/>
  <c r="F115" i="2"/>
  <c r="E115" i="2"/>
  <c r="B115" i="2"/>
  <c r="V114" i="2"/>
  <c r="U114" i="2"/>
  <c r="T114" i="2"/>
  <c r="F114" i="2"/>
  <c r="E114" i="2"/>
  <c r="B114" i="2"/>
  <c r="V113" i="2"/>
  <c r="U113" i="2"/>
  <c r="T113" i="2"/>
  <c r="F113" i="2"/>
  <c r="E113" i="2"/>
  <c r="B113" i="2"/>
  <c r="V112" i="2"/>
  <c r="U112" i="2"/>
  <c r="T112" i="2"/>
  <c r="F112" i="2"/>
  <c r="E112" i="2"/>
  <c r="B112" i="2"/>
  <c r="V111" i="2"/>
  <c r="U111" i="2"/>
  <c r="T111" i="2"/>
  <c r="F111" i="2"/>
  <c r="E111" i="2"/>
  <c r="B111" i="2"/>
  <c r="V110" i="2"/>
  <c r="U110" i="2"/>
  <c r="T110" i="2"/>
  <c r="F110" i="2"/>
  <c r="E110" i="2"/>
  <c r="B110" i="2"/>
  <c r="V109" i="2"/>
  <c r="U109" i="2"/>
  <c r="T109" i="2"/>
  <c r="F109" i="2"/>
  <c r="E109" i="2"/>
  <c r="B109" i="2"/>
  <c r="V108" i="2"/>
  <c r="U108" i="2"/>
  <c r="T108" i="2"/>
  <c r="F108" i="2"/>
  <c r="E108" i="2"/>
  <c r="B108" i="2"/>
  <c r="V107" i="2"/>
  <c r="U107" i="2"/>
  <c r="T107" i="2"/>
  <c r="F107" i="2"/>
  <c r="E107" i="2"/>
  <c r="B107" i="2"/>
  <c r="V106" i="2"/>
  <c r="U106" i="2"/>
  <c r="T106" i="2"/>
  <c r="F106" i="2"/>
  <c r="E106" i="2"/>
  <c r="B106" i="2"/>
  <c r="V105" i="2"/>
  <c r="U105" i="2"/>
  <c r="T105" i="2"/>
  <c r="F105" i="2"/>
  <c r="E105" i="2"/>
  <c r="B105" i="2"/>
  <c r="V104" i="2"/>
  <c r="U104" i="2"/>
  <c r="T104" i="2"/>
  <c r="F104" i="2"/>
  <c r="E104" i="2"/>
  <c r="B104" i="2"/>
  <c r="V103" i="2"/>
  <c r="U103" i="2"/>
  <c r="T103" i="2"/>
  <c r="F103" i="2"/>
  <c r="E103" i="2"/>
  <c r="B103" i="2"/>
  <c r="V102" i="2"/>
  <c r="U102" i="2"/>
  <c r="T102" i="2"/>
  <c r="F102" i="2"/>
  <c r="E102" i="2"/>
  <c r="B102" i="2"/>
  <c r="V101" i="2"/>
  <c r="U101" i="2"/>
  <c r="T101" i="2"/>
  <c r="F101" i="2"/>
  <c r="E101" i="2"/>
  <c r="B101" i="2"/>
  <c r="V100" i="2"/>
  <c r="U100" i="2"/>
  <c r="T100" i="2"/>
  <c r="F100" i="2"/>
  <c r="E100" i="2"/>
  <c r="B100" i="2"/>
  <c r="V99" i="2"/>
  <c r="U99" i="2"/>
  <c r="T99" i="2"/>
  <c r="F99" i="2"/>
  <c r="E99" i="2"/>
  <c r="B99" i="2"/>
  <c r="V98" i="2"/>
  <c r="U98" i="2"/>
  <c r="T98" i="2"/>
  <c r="F98" i="2"/>
  <c r="E98" i="2"/>
  <c r="B98" i="2"/>
  <c r="V97" i="2"/>
  <c r="U97" i="2"/>
  <c r="T97" i="2"/>
  <c r="F97" i="2"/>
  <c r="E97" i="2"/>
  <c r="B97" i="2"/>
  <c r="V96" i="2"/>
  <c r="U96" i="2"/>
  <c r="T96" i="2"/>
  <c r="F96" i="2"/>
  <c r="E96" i="2"/>
  <c r="B96" i="2"/>
  <c r="V95" i="2"/>
  <c r="U95" i="2"/>
  <c r="T95" i="2"/>
  <c r="F95" i="2"/>
  <c r="E95" i="2"/>
  <c r="B95" i="2"/>
  <c r="V94" i="2"/>
  <c r="U94" i="2"/>
  <c r="T94" i="2"/>
  <c r="F94" i="2"/>
  <c r="E94" i="2"/>
  <c r="B94" i="2"/>
  <c r="V93" i="2"/>
  <c r="U93" i="2"/>
  <c r="T93" i="2"/>
  <c r="F93" i="2"/>
  <c r="E93" i="2"/>
  <c r="B93" i="2"/>
  <c r="V92" i="2"/>
  <c r="U92" i="2"/>
  <c r="T92" i="2"/>
  <c r="F92" i="2"/>
  <c r="E92" i="2"/>
  <c r="B92" i="2"/>
  <c r="V91" i="2"/>
  <c r="U91" i="2"/>
  <c r="T91" i="2"/>
  <c r="F91" i="2"/>
  <c r="E91" i="2"/>
  <c r="B91" i="2"/>
  <c r="V90" i="2"/>
  <c r="U90" i="2"/>
  <c r="T90" i="2"/>
  <c r="F90" i="2"/>
  <c r="E90" i="2"/>
  <c r="B90" i="2"/>
  <c r="V89" i="2"/>
  <c r="U89" i="2"/>
  <c r="T89" i="2"/>
  <c r="F89" i="2"/>
  <c r="E89" i="2"/>
  <c r="B89" i="2"/>
  <c r="V88" i="2"/>
  <c r="U88" i="2"/>
  <c r="T88" i="2"/>
  <c r="F88" i="2"/>
  <c r="E88" i="2"/>
  <c r="B88" i="2"/>
  <c r="V87" i="2"/>
  <c r="U87" i="2"/>
  <c r="T87" i="2"/>
  <c r="F87" i="2"/>
  <c r="E87" i="2"/>
  <c r="B87" i="2"/>
  <c r="V86" i="2"/>
  <c r="U86" i="2"/>
  <c r="T86" i="2"/>
  <c r="F86" i="2"/>
  <c r="E86" i="2"/>
  <c r="B86" i="2"/>
  <c r="V85" i="2"/>
  <c r="U85" i="2"/>
  <c r="T85" i="2"/>
  <c r="F85" i="2"/>
  <c r="E85" i="2"/>
  <c r="B85" i="2"/>
  <c r="V84" i="2"/>
  <c r="U84" i="2"/>
  <c r="T84" i="2"/>
  <c r="F84" i="2"/>
  <c r="E84" i="2"/>
  <c r="B84" i="2"/>
  <c r="V83" i="2"/>
  <c r="U83" i="2"/>
  <c r="T83" i="2"/>
  <c r="F83" i="2"/>
  <c r="E83" i="2"/>
  <c r="B83" i="2"/>
  <c r="V82" i="2"/>
  <c r="U82" i="2"/>
  <c r="T82" i="2"/>
  <c r="F82" i="2"/>
  <c r="E82" i="2"/>
  <c r="B82" i="2"/>
  <c r="V81" i="2"/>
  <c r="U81" i="2"/>
  <c r="T81" i="2"/>
  <c r="F81" i="2"/>
  <c r="E81" i="2"/>
  <c r="B81" i="2"/>
  <c r="V80" i="2"/>
  <c r="U80" i="2"/>
  <c r="T80" i="2"/>
  <c r="F80" i="2"/>
  <c r="E80" i="2"/>
  <c r="B80" i="2"/>
  <c r="V79" i="2"/>
  <c r="U79" i="2"/>
  <c r="T79" i="2"/>
  <c r="F79" i="2"/>
  <c r="E79" i="2"/>
  <c r="B79" i="2"/>
  <c r="V78" i="2"/>
  <c r="U78" i="2"/>
  <c r="T78" i="2"/>
  <c r="F78" i="2"/>
  <c r="E78" i="2"/>
  <c r="B78" i="2"/>
  <c r="V77" i="2"/>
  <c r="U77" i="2"/>
  <c r="T77" i="2"/>
  <c r="F77" i="2"/>
  <c r="E77" i="2"/>
  <c r="B77" i="2"/>
  <c r="V76" i="2"/>
  <c r="U76" i="2"/>
  <c r="T76" i="2"/>
  <c r="F76" i="2"/>
  <c r="E76" i="2"/>
  <c r="B76" i="2"/>
  <c r="V75" i="2"/>
  <c r="U75" i="2"/>
  <c r="T75" i="2"/>
  <c r="F75" i="2"/>
  <c r="E75" i="2"/>
  <c r="B75" i="2"/>
  <c r="V74" i="2"/>
  <c r="U74" i="2"/>
  <c r="T74" i="2"/>
  <c r="F74" i="2"/>
  <c r="E74" i="2"/>
  <c r="B74" i="2"/>
  <c r="V73" i="2"/>
  <c r="U73" i="2"/>
  <c r="T73" i="2"/>
  <c r="F73" i="2"/>
  <c r="E73" i="2"/>
  <c r="B73" i="2"/>
  <c r="V72" i="2"/>
  <c r="U72" i="2"/>
  <c r="T72" i="2"/>
  <c r="F72" i="2"/>
  <c r="E72" i="2"/>
  <c r="B72" i="2"/>
  <c r="V71" i="2"/>
  <c r="U71" i="2"/>
  <c r="T71" i="2"/>
  <c r="F71" i="2"/>
  <c r="E71" i="2"/>
  <c r="B71" i="2"/>
  <c r="V70" i="2"/>
  <c r="U70" i="2"/>
  <c r="T70" i="2"/>
  <c r="F70" i="2"/>
  <c r="E70" i="2"/>
  <c r="B70" i="2"/>
  <c r="V69" i="2"/>
  <c r="U69" i="2"/>
  <c r="T69" i="2"/>
  <c r="F69" i="2"/>
  <c r="E69" i="2"/>
  <c r="B69" i="2"/>
  <c r="V68" i="2"/>
  <c r="U68" i="2"/>
  <c r="T68" i="2"/>
  <c r="F68" i="2"/>
  <c r="E68" i="2"/>
  <c r="B68" i="2"/>
  <c r="V67" i="2"/>
  <c r="U67" i="2"/>
  <c r="T67" i="2"/>
  <c r="F67" i="2"/>
  <c r="E67" i="2"/>
  <c r="B67" i="2"/>
  <c r="V66" i="2"/>
  <c r="U66" i="2"/>
  <c r="T66" i="2"/>
  <c r="F66" i="2"/>
  <c r="E66" i="2"/>
  <c r="B66" i="2"/>
  <c r="V65" i="2"/>
  <c r="U65" i="2"/>
  <c r="T65" i="2"/>
  <c r="F65" i="2"/>
  <c r="E65" i="2"/>
  <c r="B65" i="2"/>
  <c r="V64" i="2"/>
  <c r="U64" i="2"/>
  <c r="T64" i="2"/>
  <c r="F64" i="2"/>
  <c r="E64" i="2"/>
  <c r="B64" i="2"/>
  <c r="V63" i="2"/>
  <c r="U63" i="2"/>
  <c r="T63" i="2"/>
  <c r="F63" i="2"/>
  <c r="E63" i="2"/>
  <c r="B63" i="2"/>
  <c r="V62" i="2"/>
  <c r="U62" i="2"/>
  <c r="T62" i="2"/>
  <c r="F62" i="2"/>
  <c r="E62" i="2"/>
  <c r="B62" i="2"/>
  <c r="V61" i="2"/>
  <c r="U61" i="2"/>
  <c r="T61" i="2"/>
  <c r="F61" i="2"/>
  <c r="E61" i="2"/>
  <c r="B61" i="2"/>
  <c r="V60" i="2"/>
  <c r="U60" i="2"/>
  <c r="T60" i="2"/>
  <c r="F60" i="2"/>
  <c r="E60" i="2"/>
  <c r="B60" i="2"/>
  <c r="V59" i="2"/>
  <c r="U59" i="2"/>
  <c r="T59" i="2"/>
  <c r="F59" i="2"/>
  <c r="E59" i="2"/>
  <c r="B59" i="2"/>
  <c r="V58" i="2"/>
  <c r="U58" i="2"/>
  <c r="T58" i="2"/>
  <c r="F58" i="2"/>
  <c r="E58" i="2"/>
  <c r="B58" i="2"/>
  <c r="V57" i="2"/>
  <c r="U57" i="2"/>
  <c r="T57" i="2"/>
  <c r="F57" i="2"/>
  <c r="E57" i="2"/>
  <c r="B57" i="2"/>
  <c r="V56" i="2"/>
  <c r="U56" i="2"/>
  <c r="T56" i="2"/>
  <c r="F56" i="2"/>
  <c r="E56" i="2"/>
  <c r="B56" i="2"/>
  <c r="V55" i="2"/>
  <c r="U55" i="2"/>
  <c r="T55" i="2"/>
  <c r="F55" i="2"/>
  <c r="E55" i="2"/>
  <c r="B55" i="2"/>
  <c r="V54" i="2"/>
  <c r="U54" i="2"/>
  <c r="T54" i="2"/>
  <c r="F54" i="2"/>
  <c r="E54" i="2"/>
  <c r="B54" i="2"/>
  <c r="V53" i="2"/>
  <c r="U53" i="2"/>
  <c r="T53" i="2"/>
  <c r="F53" i="2"/>
  <c r="E53" i="2"/>
  <c r="B53" i="2"/>
  <c r="V52" i="2"/>
  <c r="U52" i="2"/>
  <c r="T52" i="2"/>
  <c r="F52" i="2"/>
  <c r="E52" i="2"/>
  <c r="B52" i="2"/>
  <c r="V51" i="2"/>
  <c r="U51" i="2"/>
  <c r="T51" i="2"/>
  <c r="F51" i="2"/>
  <c r="E51" i="2"/>
  <c r="B51" i="2"/>
  <c r="V50" i="2"/>
  <c r="U50" i="2"/>
  <c r="T50" i="2"/>
  <c r="F50" i="2"/>
  <c r="E50" i="2"/>
  <c r="B50" i="2"/>
  <c r="V49" i="2"/>
  <c r="U49" i="2"/>
  <c r="T49" i="2"/>
  <c r="F49" i="2"/>
  <c r="E49" i="2"/>
  <c r="B49" i="2"/>
  <c r="V48" i="2"/>
  <c r="U48" i="2"/>
  <c r="T48" i="2"/>
  <c r="F48" i="2"/>
  <c r="E48" i="2"/>
  <c r="B48" i="2"/>
  <c r="V47" i="2"/>
  <c r="U47" i="2"/>
  <c r="T47" i="2"/>
  <c r="F47" i="2"/>
  <c r="E47" i="2"/>
  <c r="B47" i="2"/>
  <c r="V46" i="2"/>
  <c r="U46" i="2"/>
  <c r="T46" i="2"/>
  <c r="F46" i="2"/>
  <c r="E46" i="2"/>
  <c r="B46" i="2"/>
  <c r="V45" i="2"/>
  <c r="U45" i="2"/>
  <c r="T45" i="2"/>
  <c r="F45" i="2"/>
  <c r="E45" i="2"/>
  <c r="B45" i="2"/>
  <c r="V44" i="2"/>
  <c r="U44" i="2"/>
  <c r="T44" i="2"/>
  <c r="F44" i="2"/>
  <c r="E44" i="2"/>
  <c r="B44" i="2"/>
  <c r="V43" i="2"/>
  <c r="U43" i="2"/>
  <c r="T43" i="2"/>
  <c r="F43" i="2"/>
  <c r="E43" i="2"/>
  <c r="B43" i="2"/>
  <c r="V42" i="2"/>
  <c r="U42" i="2"/>
  <c r="T42" i="2"/>
  <c r="F42" i="2"/>
  <c r="E42" i="2"/>
  <c r="B42" i="2"/>
  <c r="V41" i="2"/>
  <c r="U41" i="2"/>
  <c r="T41" i="2"/>
  <c r="F41" i="2"/>
  <c r="E41" i="2"/>
  <c r="B41" i="2"/>
  <c r="V40" i="2"/>
  <c r="U40" i="2"/>
  <c r="T40" i="2"/>
  <c r="F40" i="2"/>
  <c r="E40" i="2"/>
  <c r="B40" i="2"/>
  <c r="V39" i="2"/>
  <c r="U39" i="2"/>
  <c r="T39" i="2"/>
  <c r="F39" i="2"/>
  <c r="E39" i="2"/>
  <c r="B39" i="2"/>
  <c r="V38" i="2"/>
  <c r="U38" i="2"/>
  <c r="T38" i="2"/>
  <c r="F38" i="2"/>
  <c r="E38" i="2"/>
  <c r="B38" i="2"/>
  <c r="V37" i="2"/>
  <c r="U37" i="2"/>
  <c r="T37" i="2"/>
  <c r="F37" i="2"/>
  <c r="E37" i="2"/>
  <c r="B37" i="2"/>
  <c r="V36" i="2"/>
  <c r="U36" i="2"/>
  <c r="T36" i="2"/>
  <c r="F36" i="2"/>
  <c r="E36" i="2"/>
  <c r="B36" i="2"/>
  <c r="V35" i="2"/>
  <c r="U35" i="2"/>
  <c r="T35" i="2"/>
  <c r="F35" i="2"/>
  <c r="E35" i="2"/>
  <c r="B35" i="2"/>
  <c r="V34" i="2"/>
  <c r="U34" i="2"/>
  <c r="T34" i="2"/>
  <c r="F34" i="2"/>
  <c r="E34" i="2"/>
  <c r="B34" i="2"/>
  <c r="V33" i="2"/>
  <c r="U33" i="2"/>
  <c r="T33" i="2"/>
  <c r="F33" i="2"/>
  <c r="E33" i="2"/>
  <c r="B33" i="2"/>
  <c r="V32" i="2"/>
  <c r="U32" i="2"/>
  <c r="T32" i="2"/>
  <c r="F32" i="2"/>
  <c r="E32" i="2"/>
  <c r="B32" i="2"/>
  <c r="V31" i="2"/>
  <c r="U31" i="2"/>
  <c r="T31" i="2"/>
  <c r="F31" i="2"/>
  <c r="E31" i="2"/>
  <c r="B31" i="2"/>
  <c r="V30" i="2"/>
  <c r="U30" i="2"/>
  <c r="T30" i="2"/>
  <c r="F30" i="2"/>
  <c r="E30" i="2"/>
  <c r="B30" i="2"/>
  <c r="V29" i="2"/>
  <c r="U29" i="2"/>
  <c r="T29" i="2"/>
  <c r="F29" i="2"/>
  <c r="E29" i="2"/>
  <c r="B29" i="2"/>
  <c r="V28" i="2"/>
  <c r="U28" i="2"/>
  <c r="T28" i="2"/>
  <c r="F28" i="2"/>
  <c r="E28" i="2"/>
  <c r="B28" i="2"/>
  <c r="V27" i="2"/>
  <c r="U27" i="2"/>
  <c r="T27" i="2"/>
  <c r="F27" i="2"/>
  <c r="E27" i="2"/>
  <c r="B27" i="2"/>
  <c r="V26" i="2"/>
  <c r="U26" i="2"/>
  <c r="T26" i="2"/>
  <c r="F26" i="2"/>
  <c r="E26" i="2"/>
  <c r="B26" i="2"/>
  <c r="V25" i="2"/>
  <c r="U25" i="2"/>
  <c r="T25" i="2"/>
  <c r="F25" i="2"/>
  <c r="E25" i="2"/>
  <c r="B25" i="2"/>
  <c r="V24" i="2"/>
  <c r="U24" i="2"/>
  <c r="T24" i="2"/>
  <c r="F24" i="2"/>
  <c r="E24" i="2"/>
  <c r="B24" i="2"/>
  <c r="V23" i="2"/>
  <c r="U23" i="2"/>
  <c r="T23" i="2"/>
  <c r="F23" i="2"/>
  <c r="E23" i="2"/>
  <c r="B23" i="2"/>
  <c r="V22" i="2"/>
  <c r="U22" i="2"/>
  <c r="T22" i="2"/>
  <c r="F22" i="2"/>
  <c r="E22" i="2"/>
  <c r="B22" i="2"/>
  <c r="V21" i="2"/>
  <c r="U21" i="2"/>
  <c r="T21" i="2"/>
  <c r="F21" i="2"/>
  <c r="E21" i="2"/>
  <c r="B21" i="2"/>
  <c r="V20" i="2"/>
  <c r="U20" i="2"/>
  <c r="T20" i="2"/>
  <c r="F20" i="2"/>
  <c r="E20" i="2"/>
  <c r="B20" i="2"/>
  <c r="V19" i="2"/>
  <c r="U19" i="2"/>
  <c r="T19" i="2"/>
  <c r="F19" i="2"/>
  <c r="E19" i="2"/>
  <c r="B19" i="2"/>
  <c r="V18" i="2"/>
  <c r="U18" i="2"/>
  <c r="T18" i="2"/>
  <c r="F18" i="2"/>
  <c r="E18" i="2"/>
  <c r="B18" i="2"/>
  <c r="V17" i="2"/>
  <c r="U17" i="2"/>
  <c r="T17" i="2"/>
  <c r="F17" i="2"/>
  <c r="E17" i="2"/>
  <c r="B17" i="2"/>
  <c r="V16" i="2"/>
  <c r="U16" i="2"/>
  <c r="T16" i="2"/>
  <c r="F16" i="2"/>
  <c r="E16" i="2"/>
  <c r="B16" i="2"/>
  <c r="V15" i="2"/>
  <c r="U15" i="2"/>
  <c r="T15" i="2"/>
  <c r="F15" i="2"/>
  <c r="E15" i="2"/>
  <c r="B15" i="2"/>
  <c r="V14" i="2"/>
  <c r="U14" i="2"/>
  <c r="T14" i="2"/>
  <c r="F14" i="2"/>
  <c r="E14" i="2"/>
  <c r="B14" i="2"/>
  <c r="V13" i="2"/>
  <c r="U13" i="2"/>
  <c r="T13" i="2"/>
  <c r="F13" i="2"/>
  <c r="E13" i="2"/>
  <c r="B13" i="2"/>
  <c r="V12" i="2"/>
  <c r="T12" i="2"/>
  <c r="F12" i="2"/>
  <c r="E12" i="2"/>
  <c r="B12" i="2"/>
  <c r="V11" i="2"/>
  <c r="T11" i="2"/>
  <c r="F11" i="2"/>
  <c r="E11" i="2"/>
  <c r="B11" i="2"/>
  <c r="V10" i="2"/>
  <c r="T10" i="2"/>
  <c r="F10" i="2"/>
  <c r="E10" i="2"/>
  <c r="B10" i="2"/>
  <c r="V9" i="2"/>
  <c r="T9" i="2"/>
  <c r="F9" i="2"/>
  <c r="E9" i="2"/>
  <c r="B9" i="2"/>
  <c r="V8" i="2"/>
  <c r="T8" i="2"/>
  <c r="F8" i="2"/>
  <c r="E8" i="2"/>
  <c r="B8" i="2"/>
  <c r="V7" i="2"/>
  <c r="T7" i="2"/>
  <c r="F7" i="2"/>
  <c r="E7" i="2"/>
  <c r="B7" i="2"/>
  <c r="R6" i="2"/>
  <c r="Q6" i="2"/>
  <c r="P6" i="2"/>
  <c r="O6" i="2"/>
  <c r="N6" i="2"/>
  <c r="M6" i="2"/>
  <c r="L6" i="2"/>
  <c r="K6" i="2"/>
  <c r="J6" i="2"/>
  <c r="I6" i="2"/>
  <c r="H6" i="2"/>
  <c r="G6" i="2"/>
  <c r="R5" i="2"/>
  <c r="Q5" i="2"/>
  <c r="P5" i="2"/>
  <c r="O5" i="2"/>
  <c r="N5" i="2"/>
  <c r="M5" i="2"/>
  <c r="L5" i="2"/>
  <c r="K5" i="2"/>
  <c r="J5" i="2"/>
  <c r="I5" i="2"/>
  <c r="H5" i="2"/>
  <c r="G5" i="2"/>
  <c r="D4" i="2"/>
  <c r="C4" i="2"/>
  <c r="U8" i="2" l="1"/>
  <c r="U9" i="2"/>
  <c r="U7" i="10"/>
  <c r="E9" i="6"/>
  <c r="E13" i="6"/>
  <c r="E19" i="6"/>
  <c r="D28" i="6"/>
  <c r="B40" i="6"/>
  <c r="C53" i="6"/>
  <c r="G9" i="6"/>
  <c r="H9" i="6" s="1"/>
  <c r="G19" i="6"/>
  <c r="H19" i="6" s="1"/>
  <c r="E28" i="6"/>
  <c r="C40" i="6"/>
  <c r="D53" i="6"/>
  <c r="E14" i="6"/>
  <c r="G24" i="6"/>
  <c r="H24" i="6" s="1"/>
  <c r="G28" i="6"/>
  <c r="H28" i="6" s="1"/>
  <c r="C37" i="6"/>
  <c r="D40" i="6"/>
  <c r="C49" i="6"/>
  <c r="E53" i="6"/>
  <c r="E58" i="6"/>
  <c r="C20" i="6"/>
  <c r="E37" i="6"/>
  <c r="E40" i="6"/>
  <c r="E49" i="6"/>
  <c r="D26" i="6"/>
  <c r="D22" i="6"/>
  <c r="E26" i="6"/>
  <c r="C38" i="6"/>
  <c r="E50" i="6"/>
  <c r="C17" i="6"/>
  <c r="E22" i="6"/>
  <c r="F26" i="6"/>
  <c r="F50" i="6"/>
  <c r="G22" i="6"/>
  <c r="H22" i="6" s="1"/>
  <c r="D35" i="6"/>
  <c r="B13" i="6"/>
  <c r="C19" i="6"/>
  <c r="C23" i="6"/>
  <c r="B28" i="6"/>
  <c r="L33" i="11"/>
  <c r="L32" i="11"/>
  <c r="L31" i="11"/>
  <c r="L30" i="11"/>
  <c r="N8" i="11"/>
  <c r="N7" i="11"/>
  <c r="B4" i="11"/>
  <c r="F17" i="4"/>
  <c r="J21" i="4"/>
  <c r="U53" i="10"/>
  <c r="U41" i="10"/>
  <c r="U29" i="10"/>
  <c r="U17" i="10"/>
  <c r="G17" i="4"/>
  <c r="K21" i="4"/>
  <c r="U52" i="10"/>
  <c r="U40" i="10"/>
  <c r="U28" i="10"/>
  <c r="U16" i="10"/>
  <c r="K327" i="3"/>
  <c r="K677" i="3"/>
  <c r="K843" i="3"/>
  <c r="K957" i="3"/>
  <c r="L14" i="4"/>
  <c r="H17" i="4"/>
  <c r="L21" i="4"/>
  <c r="D15" i="6"/>
  <c r="C46" i="6"/>
  <c r="B50" i="6"/>
  <c r="D50" i="6"/>
  <c r="D60" i="6"/>
  <c r="U51" i="10"/>
  <c r="U39" i="10"/>
  <c r="U27" i="10"/>
  <c r="U15" i="10"/>
  <c r="L202" i="3"/>
  <c r="L339" i="3"/>
  <c r="K849" i="3"/>
  <c r="I17" i="4"/>
  <c r="C26" i="6"/>
  <c r="C32" i="6"/>
  <c r="C35" i="6"/>
  <c r="B47" i="6"/>
  <c r="D47" i="6"/>
  <c r="C50" i="6"/>
  <c r="U50" i="10"/>
  <c r="U38" i="10"/>
  <c r="U26" i="10"/>
  <c r="U14" i="10"/>
  <c r="J17" i="4"/>
  <c r="B38" i="6"/>
  <c r="F38" i="6"/>
  <c r="U49" i="10"/>
  <c r="U37" i="10"/>
  <c r="U25" i="10"/>
  <c r="U13" i="10"/>
  <c r="K17" i="4"/>
  <c r="N21" i="4"/>
  <c r="M21" i="4"/>
  <c r="B41" i="6"/>
  <c r="D41" i="6"/>
  <c r="B44" i="6"/>
  <c r="C44" i="6"/>
  <c r="U48" i="10"/>
  <c r="U36" i="10"/>
  <c r="U24" i="10"/>
  <c r="U12" i="10"/>
  <c r="U11" i="2"/>
  <c r="L17" i="4"/>
  <c r="W12" i="2" a="1"/>
  <c r="W12" i="2" s="1"/>
  <c r="U59" i="10"/>
  <c r="U47" i="10"/>
  <c r="U35" i="10"/>
  <c r="U23" i="10"/>
  <c r="U11" i="10"/>
  <c r="L90" i="3"/>
  <c r="K891" i="3"/>
  <c r="M17" i="4"/>
  <c r="D21" i="4"/>
  <c r="G13" i="6"/>
  <c r="H13" i="6" s="1"/>
  <c r="D17" i="6"/>
  <c r="D20" i="6"/>
  <c r="E23" i="6"/>
  <c r="G26" i="6"/>
  <c r="H26" i="6" s="1"/>
  <c r="E29" i="6"/>
  <c r="G32" i="6"/>
  <c r="H32" i="6" s="1"/>
  <c r="G35" i="6"/>
  <c r="H35" i="6" s="1"/>
  <c r="E38" i="6"/>
  <c r="E41" i="6"/>
  <c r="E44" i="6"/>
  <c r="G47" i="6"/>
  <c r="H47" i="6" s="1"/>
  <c r="C55" i="6"/>
  <c r="G58" i="6"/>
  <c r="H58" i="6" s="1"/>
  <c r="U58" i="10"/>
  <c r="U46" i="10"/>
  <c r="U34" i="10"/>
  <c r="U22" i="10"/>
  <c r="U10" i="10"/>
  <c r="K406" i="3"/>
  <c r="K794" i="3"/>
  <c r="F21" i="4"/>
  <c r="M23" i="4"/>
  <c r="C10" i="6"/>
  <c r="B14" i="6"/>
  <c r="G14" i="6"/>
  <c r="H14" i="6" s="1"/>
  <c r="E17" i="6"/>
  <c r="E20" i="6"/>
  <c r="F23" i="6"/>
  <c r="F29" i="6"/>
  <c r="G38" i="6"/>
  <c r="H38" i="6" s="1"/>
  <c r="F41" i="6"/>
  <c r="F44" i="6"/>
  <c r="D51" i="6"/>
  <c r="D55" i="6"/>
  <c r="B59" i="6"/>
  <c r="G59" i="6"/>
  <c r="H59" i="6" s="1"/>
  <c r="W10" i="2" a="1"/>
  <c r="W10" i="2" s="1"/>
  <c r="U57" i="10"/>
  <c r="U45" i="10"/>
  <c r="U33" i="10"/>
  <c r="U21" i="10"/>
  <c r="U9" i="10"/>
  <c r="C19" i="5"/>
  <c r="B11" i="6"/>
  <c r="G11" i="6"/>
  <c r="H11" i="6" s="1"/>
  <c r="C14" i="6"/>
  <c r="F17" i="6"/>
  <c r="F20" i="6"/>
  <c r="G23" i="6"/>
  <c r="H23" i="6" s="1"/>
  <c r="G29" i="6"/>
  <c r="H29" i="6" s="1"/>
  <c r="C33" i="6"/>
  <c r="D36" i="6"/>
  <c r="G41" i="6"/>
  <c r="H41" i="6" s="1"/>
  <c r="G44" i="6"/>
  <c r="H44" i="6" s="1"/>
  <c r="E55" i="6"/>
  <c r="C59" i="6"/>
  <c r="U56" i="10"/>
  <c r="U44" i="10"/>
  <c r="U32" i="10"/>
  <c r="U20" i="10"/>
  <c r="U8" i="10"/>
  <c r="K747" i="3"/>
  <c r="L874" i="3"/>
  <c r="I12" i="4"/>
  <c r="C17" i="4"/>
  <c r="D20" i="4"/>
  <c r="H21" i="4"/>
  <c r="D14" i="6"/>
  <c r="G17" i="6"/>
  <c r="H17" i="6" s="1"/>
  <c r="G20" i="6"/>
  <c r="H20" i="6" s="1"/>
  <c r="G36" i="6"/>
  <c r="H36" i="6" s="1"/>
  <c r="G55" i="6"/>
  <c r="H55" i="6" s="1"/>
  <c r="D59" i="6"/>
  <c r="U55" i="10"/>
  <c r="U43" i="10"/>
  <c r="U31" i="10"/>
  <c r="U19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L7" i="10"/>
  <c r="F30" i="11" s="1" a="1"/>
  <c r="F30" i="11" s="1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M7" i="10"/>
  <c r="F31" i="11" s="1" a="1"/>
  <c r="F31" i="11" s="1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N7" i="10"/>
  <c r="F32" i="11" s="1" a="1"/>
  <c r="F32" i="11" s="1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O7" i="10"/>
  <c r="F33" i="11" s="1" a="1"/>
  <c r="F33" i="11" s="1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U12" i="2"/>
  <c r="K771" i="3"/>
  <c r="D17" i="4"/>
  <c r="I21" i="4"/>
  <c r="B53" i="6"/>
  <c r="F53" i="6"/>
  <c r="B56" i="6"/>
  <c r="E56" i="6"/>
  <c r="E59" i="6"/>
  <c r="U54" i="10"/>
  <c r="U42" i="10"/>
  <c r="U30" i="10"/>
  <c r="U18" i="10"/>
  <c r="W11" i="2" a="1"/>
  <c r="W11" i="2" s="1"/>
  <c r="W9" i="2" a="1"/>
  <c r="W9" i="2" s="1"/>
  <c r="W8" i="2" a="1"/>
  <c r="W8" i="2" s="1"/>
  <c r="W7" i="2" a="1"/>
  <c r="W7" i="2" s="1"/>
  <c r="C9" i="9" s="1"/>
  <c r="I14" i="11" s="1"/>
  <c r="U10" i="2"/>
  <c r="E4" i="2"/>
  <c r="F4" i="2"/>
  <c r="U7" i="2"/>
  <c r="K117" i="3"/>
  <c r="L395" i="3"/>
  <c r="L721" i="3"/>
  <c r="K783" i="3"/>
  <c r="L97" i="3"/>
  <c r="K221" i="3"/>
  <c r="L363" i="3"/>
  <c r="K428" i="3"/>
  <c r="K443" i="3"/>
  <c r="K607" i="3"/>
  <c r="K795" i="3"/>
  <c r="K867" i="3"/>
  <c r="K195" i="3"/>
  <c r="L340" i="3"/>
  <c r="L631" i="3"/>
  <c r="L807" i="3"/>
  <c r="K870" i="3"/>
  <c r="K878" i="3"/>
  <c r="K965" i="3"/>
  <c r="L346" i="3"/>
  <c r="L467" i="3"/>
  <c r="L667" i="3"/>
  <c r="K681" i="3"/>
  <c r="L743" i="3"/>
  <c r="K862" i="3"/>
  <c r="L951" i="3"/>
  <c r="L133" i="3"/>
  <c r="K533" i="3"/>
  <c r="L831" i="3"/>
  <c r="K865" i="3"/>
  <c r="K873" i="3"/>
  <c r="K231" i="3"/>
  <c r="L382" i="3"/>
  <c r="L837" i="3"/>
  <c r="K854" i="3"/>
  <c r="L893" i="3"/>
  <c r="L60" i="3"/>
  <c r="L171" i="3"/>
  <c r="K243" i="3"/>
  <c r="K357" i="3"/>
  <c r="L417" i="3"/>
  <c r="L805" i="3"/>
  <c r="L98" i="3"/>
  <c r="L316" i="3"/>
  <c r="L341" i="3"/>
  <c r="K772" i="3"/>
  <c r="K808" i="3"/>
  <c r="L850" i="3"/>
  <c r="L1001" i="3"/>
  <c r="L75" i="3"/>
  <c r="L232" i="3"/>
  <c r="K293" i="3"/>
  <c r="L352" i="3"/>
  <c r="K700" i="3"/>
  <c r="K778" i="3"/>
  <c r="K789" i="3"/>
  <c r="K921" i="3"/>
  <c r="L1004" i="3"/>
  <c r="L781" i="3"/>
  <c r="L817" i="3"/>
  <c r="K876" i="3"/>
  <c r="L884" i="3"/>
  <c r="L907" i="3"/>
  <c r="K987" i="3"/>
  <c r="K61" i="3"/>
  <c r="K227" i="3"/>
  <c r="L247" i="3"/>
  <c r="K279" i="3"/>
  <c r="K361" i="3"/>
  <c r="K652" i="3"/>
  <c r="K993" i="3"/>
  <c r="L181" i="3"/>
  <c r="L204" i="3"/>
  <c r="L250" i="3"/>
  <c r="L282" i="3"/>
  <c r="L334" i="3"/>
  <c r="L347" i="3"/>
  <c r="K390" i="3"/>
  <c r="K413" i="3"/>
  <c r="K655" i="3"/>
  <c r="K207" i="3"/>
  <c r="L256" i="3"/>
  <c r="L342" i="3"/>
  <c r="L567" i="3"/>
  <c r="K661" i="3"/>
  <c r="K733" i="3"/>
  <c r="K753" i="3"/>
  <c r="L809" i="3"/>
  <c r="K846" i="3"/>
  <c r="K851" i="3"/>
  <c r="K859" i="3"/>
  <c r="L864" i="3"/>
  <c r="K899" i="3"/>
  <c r="L956" i="3"/>
  <c r="L979" i="3"/>
  <c r="L274" i="3"/>
  <c r="K303" i="3"/>
  <c r="L345" i="3"/>
  <c r="L379" i="3"/>
  <c r="K591" i="3"/>
  <c r="K872" i="3"/>
  <c r="C14" i="4"/>
  <c r="I14" i="4"/>
  <c r="K54" i="3"/>
  <c r="L194" i="3"/>
  <c r="L321" i="3"/>
  <c r="L615" i="3"/>
  <c r="K875" i="3"/>
  <c r="K883" i="3"/>
  <c r="L937" i="3"/>
  <c r="L813" i="3"/>
  <c r="L829" i="3"/>
  <c r="K842" i="3"/>
  <c r="K853" i="3"/>
  <c r="L866" i="3"/>
  <c r="K877" i="3"/>
  <c r="L959" i="3"/>
  <c r="K56" i="3"/>
  <c r="L64" i="3"/>
  <c r="K123" i="3"/>
  <c r="K147" i="3"/>
  <c r="L226" i="3"/>
  <c r="L253" i="3"/>
  <c r="K329" i="3"/>
  <c r="K388" i="3"/>
  <c r="K409" i="3"/>
  <c r="K456" i="3"/>
  <c r="K476" i="3"/>
  <c r="L545" i="3"/>
  <c r="L593" i="3"/>
  <c r="L641" i="3"/>
  <c r="K687" i="3"/>
  <c r="K695" i="3"/>
  <c r="L719" i="3"/>
  <c r="K727" i="3"/>
  <c r="K764" i="3"/>
  <c r="L769" i="3"/>
  <c r="L84" i="3"/>
  <c r="K95" i="3"/>
  <c r="L156" i="3"/>
  <c r="L218" i="3"/>
  <c r="L245" i="3"/>
  <c r="K287" i="3"/>
  <c r="K309" i="3"/>
  <c r="K337" i="3"/>
  <c r="K386" i="3"/>
  <c r="K404" i="3"/>
  <c r="K426" i="3"/>
  <c r="K440" i="3"/>
  <c r="L459" i="3"/>
  <c r="K488" i="3"/>
  <c r="K520" i="3"/>
  <c r="L531" i="3"/>
  <c r="K548" i="3"/>
  <c r="K714" i="3"/>
  <c r="L751" i="3"/>
  <c r="K790" i="3"/>
  <c r="K819" i="3"/>
  <c r="K832" i="3"/>
  <c r="K847" i="3"/>
  <c r="K858" i="3"/>
  <c r="K871" i="3"/>
  <c r="K882" i="3"/>
  <c r="K895" i="3"/>
  <c r="K971" i="3"/>
  <c r="L376" i="3"/>
  <c r="K384" i="3"/>
  <c r="L451" i="3"/>
  <c r="K523" i="3"/>
  <c r="K596" i="3"/>
  <c r="K639" i="3"/>
  <c r="K669" i="3"/>
  <c r="K674" i="3"/>
  <c r="K717" i="3"/>
  <c r="K741" i="3"/>
  <c r="K749" i="3"/>
  <c r="K767" i="3"/>
  <c r="L785" i="3"/>
  <c r="L793" i="3"/>
  <c r="K845" i="3"/>
  <c r="K856" i="3"/>
  <c r="K869" i="3"/>
  <c r="K880" i="3"/>
  <c r="L950" i="3"/>
  <c r="L955" i="3"/>
  <c r="K977" i="3"/>
  <c r="L999" i="3"/>
  <c r="K93" i="3"/>
  <c r="L199" i="3"/>
  <c r="K285" i="3"/>
  <c r="L304" i="3"/>
  <c r="L317" i="3"/>
  <c r="L335" i="3"/>
  <c r="L350" i="3"/>
  <c r="L358" i="3"/>
  <c r="L374" i="3"/>
  <c r="K512" i="3"/>
  <c r="L765" i="3"/>
  <c r="K770" i="3"/>
  <c r="K796" i="3"/>
  <c r="L841" i="3"/>
  <c r="K863" i="3"/>
  <c r="L885" i="3"/>
  <c r="K915" i="3"/>
  <c r="L929" i="3"/>
  <c r="L958" i="3"/>
  <c r="K983" i="3"/>
  <c r="L74" i="3"/>
  <c r="L85" i="3"/>
  <c r="L124" i="3"/>
  <c r="L143" i="3"/>
  <c r="L302" i="3"/>
  <c r="L310" i="3"/>
  <c r="K333" i="3"/>
  <c r="K369" i="3"/>
  <c r="K427" i="3"/>
  <c r="L441" i="3"/>
  <c r="K489" i="3"/>
  <c r="L555" i="3"/>
  <c r="L583" i="3"/>
  <c r="L659" i="3"/>
  <c r="K691" i="3"/>
  <c r="K707" i="3"/>
  <c r="L731" i="3"/>
  <c r="K763" i="3"/>
  <c r="K802" i="3"/>
  <c r="K820" i="3"/>
  <c r="L833" i="3"/>
  <c r="K848" i="3"/>
  <c r="K861" i="3"/>
  <c r="L122" i="3"/>
  <c r="L146" i="3"/>
  <c r="L186" i="3"/>
  <c r="L197" i="3"/>
  <c r="K263" i="3"/>
  <c r="K313" i="3"/>
  <c r="L328" i="3"/>
  <c r="K387" i="3"/>
  <c r="K403" i="3"/>
  <c r="K408" i="3"/>
  <c r="K452" i="3"/>
  <c r="K475" i="3"/>
  <c r="K495" i="3"/>
  <c r="K561" i="3"/>
  <c r="K569" i="3"/>
  <c r="K620" i="3"/>
  <c r="L683" i="3"/>
  <c r="K726" i="3"/>
  <c r="K77" i="3"/>
  <c r="L108" i="3"/>
  <c r="L130" i="3"/>
  <c r="K135" i="3"/>
  <c r="L175" i="3"/>
  <c r="K189" i="3"/>
  <c r="L208" i="3"/>
  <c r="K239" i="3"/>
  <c r="L244" i="3"/>
  <c r="K297" i="3"/>
  <c r="L323" i="3"/>
  <c r="K385" i="3"/>
  <c r="K392" i="3"/>
  <c r="K430" i="3"/>
  <c r="K524" i="3"/>
  <c r="K657" i="3"/>
  <c r="K713" i="3"/>
  <c r="K750" i="3"/>
  <c r="K761" i="3"/>
  <c r="K818" i="3"/>
  <c r="K826" i="3"/>
  <c r="K844" i="3"/>
  <c r="K857" i="3"/>
  <c r="K868" i="3"/>
  <c r="K881" i="3"/>
  <c r="K905" i="3"/>
  <c r="L927" i="3"/>
  <c r="K949" i="3"/>
  <c r="L66" i="3"/>
  <c r="L114" i="3"/>
  <c r="L138" i="3"/>
  <c r="L242" i="3"/>
  <c r="K255" i="3"/>
  <c r="L326" i="3"/>
  <c r="K351" i="3"/>
  <c r="L364" i="3"/>
  <c r="K375" i="3"/>
  <c r="K450" i="3"/>
  <c r="K578" i="3"/>
  <c r="K595" i="3"/>
  <c r="L643" i="3"/>
  <c r="L673" i="3"/>
  <c r="K678" i="3"/>
  <c r="L697" i="3"/>
  <c r="L705" i="3"/>
  <c r="L729" i="3"/>
  <c r="K740" i="3"/>
  <c r="K784" i="3"/>
  <c r="K855" i="3"/>
  <c r="K879" i="3"/>
  <c r="K314" i="3"/>
  <c r="L314" i="3"/>
  <c r="L103" i="3"/>
  <c r="L121" i="3"/>
  <c r="K141" i="3"/>
  <c r="L151" i="3"/>
  <c r="K159" i="3"/>
  <c r="K167" i="3"/>
  <c r="K170" i="3"/>
  <c r="L170" i="3"/>
  <c r="L172" i="3"/>
  <c r="L269" i="3"/>
  <c r="K277" i="3"/>
  <c r="L295" i="3"/>
  <c r="L319" i="3"/>
  <c r="K319" i="3"/>
  <c r="K338" i="3"/>
  <c r="L338" i="3"/>
  <c r="K360" i="3"/>
  <c r="L360" i="3"/>
  <c r="K377" i="3"/>
  <c r="L393" i="3"/>
  <c r="K431" i="3"/>
  <c r="L431" i="3"/>
  <c r="K439" i="3"/>
  <c r="L464" i="3"/>
  <c r="K464" i="3"/>
  <c r="K534" i="3"/>
  <c r="L685" i="3"/>
  <c r="L693" i="3"/>
  <c r="K693" i="3"/>
  <c r="K711" i="3"/>
  <c r="L745" i="3"/>
  <c r="L804" i="3"/>
  <c r="K804" i="3"/>
  <c r="L814" i="3"/>
  <c r="K814" i="3"/>
  <c r="L963" i="3"/>
  <c r="K963" i="3"/>
  <c r="C12" i="4"/>
  <c r="L106" i="3"/>
  <c r="L724" i="3"/>
  <c r="K724" i="3"/>
  <c r="L825" i="3"/>
  <c r="K825" i="3"/>
  <c r="K926" i="3"/>
  <c r="L926" i="3"/>
  <c r="L991" i="3"/>
  <c r="K991" i="3"/>
  <c r="L58" i="3"/>
  <c r="K63" i="3"/>
  <c r="K101" i="3"/>
  <c r="L111" i="3"/>
  <c r="K119" i="3"/>
  <c r="L136" i="3"/>
  <c r="K149" i="3"/>
  <c r="K183" i="3"/>
  <c r="L191" i="3"/>
  <c r="L220" i="3"/>
  <c r="L267" i="3"/>
  <c r="L300" i="3"/>
  <c r="L312" i="3"/>
  <c r="L331" i="3"/>
  <c r="K391" i="3"/>
  <c r="K437" i="3"/>
  <c r="L568" i="3"/>
  <c r="K568" i="3"/>
  <c r="L701" i="3"/>
  <c r="L709" i="3"/>
  <c r="K709" i="3"/>
  <c r="L791" i="3"/>
  <c r="K791" i="3"/>
  <c r="L828" i="3"/>
  <c r="K828" i="3"/>
  <c r="L838" i="3"/>
  <c r="K838" i="3"/>
  <c r="K912" i="3"/>
  <c r="L912" i="3"/>
  <c r="L1005" i="3"/>
  <c r="K1005" i="3"/>
  <c r="L716" i="3"/>
  <c r="K716" i="3"/>
  <c r="L521" i="3"/>
  <c r="K71" i="3"/>
  <c r="L76" i="3"/>
  <c r="K99" i="3"/>
  <c r="K109" i="3"/>
  <c r="K157" i="3"/>
  <c r="K165" i="3"/>
  <c r="L178" i="3"/>
  <c r="K215" i="3"/>
  <c r="K223" i="3"/>
  <c r="L223" i="3"/>
  <c r="L228" i="3"/>
  <c r="K252" i="3"/>
  <c r="L252" i="3"/>
  <c r="K291" i="3"/>
  <c r="L298" i="3"/>
  <c r="K305" i="3"/>
  <c r="L324" i="3"/>
  <c r="L336" i="3"/>
  <c r="L348" i="3"/>
  <c r="K353" i="3"/>
  <c r="L365" i="3"/>
  <c r="L370" i="3"/>
  <c r="L373" i="3"/>
  <c r="K373" i="3"/>
  <c r="K389" i="3"/>
  <c r="K519" i="3"/>
  <c r="L535" i="3"/>
  <c r="K535" i="3"/>
  <c r="K549" i="3"/>
  <c r="L549" i="3"/>
  <c r="L613" i="3"/>
  <c r="K665" i="3"/>
  <c r="L738" i="3"/>
  <c r="K738" i="3"/>
  <c r="L746" i="3"/>
  <c r="K746" i="3"/>
  <c r="L773" i="3"/>
  <c r="L786" i="3"/>
  <c r="K786" i="3"/>
  <c r="L975" i="3"/>
  <c r="K975" i="3"/>
  <c r="K372" i="3"/>
  <c r="L372" i="3"/>
  <c r="L498" i="3"/>
  <c r="K498" i="3"/>
  <c r="K162" i="3"/>
  <c r="L162" i="3"/>
  <c r="K565" i="3"/>
  <c r="L630" i="3"/>
  <c r="K630" i="3"/>
  <c r="K308" i="3"/>
  <c r="L308" i="3"/>
  <c r="K320" i="3"/>
  <c r="L320" i="3"/>
  <c r="K378" i="3"/>
  <c r="L378" i="3"/>
  <c r="L432" i="3"/>
  <c r="K432" i="3"/>
  <c r="K435" i="3"/>
  <c r="L435" i="3"/>
  <c r="K465" i="3"/>
  <c r="L465" i="3"/>
  <c r="L566" i="3"/>
  <c r="K566" i="3"/>
  <c r="K619" i="3"/>
  <c r="L619" i="3"/>
  <c r="L644" i="3"/>
  <c r="K644" i="3"/>
  <c r="K699" i="3"/>
  <c r="L815" i="3"/>
  <c r="K815" i="3"/>
  <c r="K896" i="3"/>
  <c r="L896" i="3"/>
  <c r="K332" i="3"/>
  <c r="L332" i="3"/>
  <c r="K344" i="3"/>
  <c r="L344" i="3"/>
  <c r="L580" i="3"/>
  <c r="K580" i="3"/>
  <c r="L663" i="3"/>
  <c r="K663" i="3"/>
  <c r="L702" i="3"/>
  <c r="K702" i="3"/>
  <c r="L1003" i="3"/>
  <c r="K1003" i="3"/>
  <c r="L604" i="3"/>
  <c r="K604" i="3"/>
  <c r="L801" i="3"/>
  <c r="K801" i="3"/>
  <c r="L931" i="3"/>
  <c r="K931" i="3"/>
  <c r="L307" i="3"/>
  <c r="L355" i="3"/>
  <c r="K407" i="3"/>
  <c r="L407" i="3"/>
  <c r="L213" i="3"/>
  <c r="K213" i="3"/>
  <c r="K234" i="3"/>
  <c r="L234" i="3"/>
  <c r="K69" i="3"/>
  <c r="L79" i="3"/>
  <c r="L160" i="3"/>
  <c r="L210" i="3"/>
  <c r="L289" i="3"/>
  <c r="L349" i="3"/>
  <c r="K349" i="3"/>
  <c r="K383" i="3"/>
  <c r="L454" i="3"/>
  <c r="K454" i="3"/>
  <c r="K558" i="3"/>
  <c r="L589" i="3"/>
  <c r="K589" i="3"/>
  <c r="L611" i="3"/>
  <c r="K650" i="3"/>
  <c r="K722" i="3"/>
  <c r="K759" i="3"/>
  <c r="L779" i="3"/>
  <c r="L792" i="3"/>
  <c r="K792" i="3"/>
  <c r="L839" i="3"/>
  <c r="K839" i="3"/>
  <c r="K180" i="3"/>
  <c r="L180" i="3"/>
  <c r="K455" i="3"/>
  <c r="L455" i="3"/>
  <c r="L827" i="3"/>
  <c r="K827" i="3"/>
  <c r="L127" i="3"/>
  <c r="L184" i="3"/>
  <c r="K205" i="3"/>
  <c r="K237" i="3"/>
  <c r="L268" i="3"/>
  <c r="L276" i="3"/>
  <c r="L301" i="3"/>
  <c r="K306" i="3"/>
  <c r="L306" i="3"/>
  <c r="K354" i="3"/>
  <c r="L354" i="3"/>
  <c r="K381" i="3"/>
  <c r="L483" i="3"/>
  <c r="K483" i="3"/>
  <c r="L536" i="3"/>
  <c r="K536" i="3"/>
  <c r="K547" i="3"/>
  <c r="L889" i="3"/>
  <c r="K889" i="3"/>
  <c r="L919" i="3"/>
  <c r="K919" i="3"/>
  <c r="K998" i="3"/>
  <c r="L998" i="3"/>
  <c r="K362" i="3"/>
  <c r="L362" i="3"/>
  <c r="L88" i="3"/>
  <c r="L154" i="3"/>
  <c r="L196" i="3"/>
  <c r="K280" i="3"/>
  <c r="L280" i="3"/>
  <c r="L82" i="3"/>
  <c r="K87" i="3"/>
  <c r="L229" i="3"/>
  <c r="L261" i="3"/>
  <c r="K261" i="3"/>
  <c r="L266" i="3"/>
  <c r="K299" i="3"/>
  <c r="K311" i="3"/>
  <c r="L325" i="3"/>
  <c r="K330" i="3"/>
  <c r="L330" i="3"/>
  <c r="K359" i="3"/>
  <c r="L366" i="3"/>
  <c r="L371" i="3"/>
  <c r="L419" i="3"/>
  <c r="K419" i="3"/>
  <c r="L463" i="3"/>
  <c r="K463" i="3"/>
  <c r="K497" i="3"/>
  <c r="L509" i="3"/>
  <c r="K509" i="3"/>
  <c r="L556" i="3"/>
  <c r="K556" i="3"/>
  <c r="L609" i="3"/>
  <c r="K609" i="3"/>
  <c r="K653" i="3"/>
  <c r="L679" i="3"/>
  <c r="K679" i="3"/>
  <c r="L715" i="3"/>
  <c r="K777" i="3"/>
  <c r="L797" i="3"/>
  <c r="L803" i="3"/>
  <c r="K803" i="3"/>
  <c r="L816" i="3"/>
  <c r="K816" i="3"/>
  <c r="L897" i="3"/>
  <c r="K897" i="3"/>
  <c r="L933" i="3"/>
  <c r="K933" i="3"/>
  <c r="K984" i="3"/>
  <c r="L984" i="3"/>
  <c r="L840" i="3"/>
  <c r="K840" i="3"/>
  <c r="L537" i="3"/>
  <c r="K537" i="3"/>
  <c r="L737" i="3"/>
  <c r="K737" i="3"/>
  <c r="L402" i="3"/>
  <c r="K402" i="3"/>
  <c r="L513" i="3"/>
  <c r="K513" i="3"/>
  <c r="L112" i="3"/>
  <c r="L100" i="3"/>
  <c r="L148" i="3"/>
  <c r="K219" i="3"/>
  <c r="L258" i="3"/>
  <c r="L271" i="3"/>
  <c r="L292" i="3"/>
  <c r="L318" i="3"/>
  <c r="L398" i="3"/>
  <c r="K398" i="3"/>
  <c r="L411" i="3"/>
  <c r="K500" i="3"/>
  <c r="L626" i="3"/>
  <c r="K626" i="3"/>
  <c r="K637" i="3"/>
  <c r="K692" i="3"/>
  <c r="L723" i="3"/>
  <c r="K723" i="3"/>
  <c r="L757" i="3"/>
  <c r="L780" i="3"/>
  <c r="K780" i="3"/>
  <c r="L903" i="3"/>
  <c r="K903" i="3"/>
  <c r="L947" i="3"/>
  <c r="K947" i="3"/>
  <c r="C8" i="9"/>
  <c r="L368" i="3"/>
  <c r="K416" i="3"/>
  <c r="K542" i="3"/>
  <c r="K560" i="3"/>
  <c r="K572" i="3"/>
  <c r="K606" i="3"/>
  <c r="K676" i="3"/>
  <c r="K690" i="3"/>
  <c r="K775" i="3"/>
  <c r="K788" i="3"/>
  <c r="K799" i="3"/>
  <c r="K812" i="3"/>
  <c r="K823" i="3"/>
  <c r="K836" i="3"/>
  <c r="K887" i="3"/>
  <c r="K901" i="3"/>
  <c r="L910" i="3"/>
  <c r="K917" i="3"/>
  <c r="K945" i="3"/>
  <c r="K961" i="3"/>
  <c r="K973" i="3"/>
  <c r="L982" i="3"/>
  <c r="K989" i="3"/>
  <c r="K810" i="3"/>
  <c r="K834" i="3"/>
  <c r="L908" i="3"/>
  <c r="L980" i="3"/>
  <c r="K725" i="3"/>
  <c r="K739" i="3"/>
  <c r="K748" i="3"/>
  <c r="K755" i="3"/>
  <c r="K762" i="3"/>
  <c r="K782" i="3"/>
  <c r="K806" i="3"/>
  <c r="K830" i="3"/>
  <c r="L936" i="3"/>
  <c r="K913" i="3"/>
  <c r="K925" i="3"/>
  <c r="L934" i="3"/>
  <c r="K941" i="3"/>
  <c r="K969" i="3"/>
  <c r="K985" i="3"/>
  <c r="K997" i="3"/>
  <c r="L1006" i="3"/>
  <c r="K343" i="3"/>
  <c r="L356" i="3"/>
  <c r="K367" i="3"/>
  <c r="L380" i="3"/>
  <c r="K415" i="3"/>
  <c r="K461" i="3"/>
  <c r="K474" i="3"/>
  <c r="K501" i="3"/>
  <c r="K559" i="3"/>
  <c r="K571" i="3"/>
  <c r="K584" i="3"/>
  <c r="K594" i="3"/>
  <c r="K602" i="3"/>
  <c r="K617" i="3"/>
  <c r="K654" i="3"/>
  <c r="K668" i="3"/>
  <c r="K675" i="3"/>
  <c r="K689" i="3"/>
  <c r="K698" i="3"/>
  <c r="K735" i="3"/>
  <c r="K776" i="3"/>
  <c r="K787" i="3"/>
  <c r="K800" i="3"/>
  <c r="K811" i="3"/>
  <c r="K824" i="3"/>
  <c r="K835" i="3"/>
  <c r="L888" i="3"/>
  <c r="L902" i="3"/>
  <c r="K909" i="3"/>
  <c r="K923" i="3"/>
  <c r="K939" i="3"/>
  <c r="K967" i="3"/>
  <c r="L974" i="3"/>
  <c r="K981" i="3"/>
  <c r="K995" i="3"/>
  <c r="K485" i="3"/>
  <c r="K507" i="3"/>
  <c r="K582" i="3"/>
  <c r="L587" i="3"/>
  <c r="K628" i="3"/>
  <c r="K666" i="3"/>
  <c r="K774" i="3"/>
  <c r="K798" i="3"/>
  <c r="K822" i="3"/>
  <c r="L886" i="3"/>
  <c r="L960" i="3"/>
  <c r="U4" i="2"/>
  <c r="L10" i="3"/>
  <c r="K10" i="3"/>
  <c r="L16" i="3"/>
  <c r="K16" i="3"/>
  <c r="L22" i="3"/>
  <c r="K22" i="3"/>
  <c r="L28" i="3"/>
  <c r="K28" i="3"/>
  <c r="L34" i="3"/>
  <c r="K34" i="3"/>
  <c r="L40" i="3"/>
  <c r="K40" i="3"/>
  <c r="L46" i="3"/>
  <c r="K46" i="3"/>
  <c r="K248" i="3"/>
  <c r="L248" i="3"/>
  <c r="K241" i="3"/>
  <c r="L241" i="3"/>
  <c r="D58" i="10"/>
  <c r="F57" i="10"/>
  <c r="H56" i="10"/>
  <c r="D52" i="10"/>
  <c r="F51" i="10"/>
  <c r="H50" i="10"/>
  <c r="D46" i="10"/>
  <c r="F45" i="10"/>
  <c r="H44" i="10"/>
  <c r="D40" i="10"/>
  <c r="F39" i="10"/>
  <c r="H38" i="10"/>
  <c r="D34" i="10"/>
  <c r="F33" i="10"/>
  <c r="C58" i="10"/>
  <c r="I58" i="10" s="1"/>
  <c r="E57" i="10"/>
  <c r="G56" i="10"/>
  <c r="C52" i="10"/>
  <c r="I52" i="10" s="1"/>
  <c r="E51" i="10"/>
  <c r="G50" i="10"/>
  <c r="C46" i="10"/>
  <c r="I46" i="10" s="1"/>
  <c r="E45" i="10"/>
  <c r="G44" i="10"/>
  <c r="C40" i="10"/>
  <c r="I40" i="10" s="1"/>
  <c r="E39" i="10"/>
  <c r="G38" i="10"/>
  <c r="C34" i="10"/>
  <c r="I34" i="10" s="1"/>
  <c r="D57" i="10"/>
  <c r="F56" i="10"/>
  <c r="H55" i="10"/>
  <c r="D51" i="10"/>
  <c r="F50" i="10"/>
  <c r="H49" i="10"/>
  <c r="D45" i="10"/>
  <c r="F44" i="10"/>
  <c r="H43" i="10"/>
  <c r="D39" i="10"/>
  <c r="F38" i="10"/>
  <c r="H37" i="10"/>
  <c r="C57" i="10"/>
  <c r="I57" i="10" s="1"/>
  <c r="E56" i="10"/>
  <c r="G55" i="10"/>
  <c r="C51" i="10"/>
  <c r="I51" i="10" s="1"/>
  <c r="E50" i="10"/>
  <c r="G49" i="10"/>
  <c r="C45" i="10"/>
  <c r="I45" i="10" s="1"/>
  <c r="E44" i="10"/>
  <c r="G43" i="10"/>
  <c r="C39" i="10"/>
  <c r="I39" i="10" s="1"/>
  <c r="E38" i="10"/>
  <c r="G37" i="10"/>
  <c r="C56" i="10"/>
  <c r="I56" i="10" s="1"/>
  <c r="E55" i="10"/>
  <c r="G54" i="10"/>
  <c r="C50" i="10"/>
  <c r="I50" i="10" s="1"/>
  <c r="E49" i="10"/>
  <c r="G48" i="10"/>
  <c r="C44" i="10"/>
  <c r="I44" i="10" s="1"/>
  <c r="E43" i="10"/>
  <c r="G42" i="10"/>
  <c r="C38" i="10"/>
  <c r="I38" i="10" s="1"/>
  <c r="E37" i="10"/>
  <c r="G36" i="10"/>
  <c r="H59" i="10"/>
  <c r="D55" i="10"/>
  <c r="F54" i="10"/>
  <c r="H53" i="10"/>
  <c r="D49" i="10"/>
  <c r="F48" i="10"/>
  <c r="H47" i="10"/>
  <c r="D43" i="10"/>
  <c r="F42" i="10"/>
  <c r="H41" i="10"/>
  <c r="D37" i="10"/>
  <c r="F36" i="10"/>
  <c r="H35" i="10"/>
  <c r="G59" i="10"/>
  <c r="C55" i="10"/>
  <c r="I55" i="10" s="1"/>
  <c r="E54" i="10"/>
  <c r="G53" i="10"/>
  <c r="C49" i="10"/>
  <c r="I49" i="10" s="1"/>
  <c r="E48" i="10"/>
  <c r="G47" i="10"/>
  <c r="C43" i="10"/>
  <c r="I43" i="10" s="1"/>
  <c r="E42" i="10"/>
  <c r="G41" i="10"/>
  <c r="C37" i="10"/>
  <c r="I37" i="10" s="1"/>
  <c r="E36" i="10"/>
  <c r="G35" i="10"/>
  <c r="F59" i="10"/>
  <c r="H58" i="10"/>
  <c r="D54" i="10"/>
  <c r="F53" i="10"/>
  <c r="H52" i="10"/>
  <c r="D48" i="10"/>
  <c r="F47" i="10"/>
  <c r="H46" i="10"/>
  <c r="D42" i="10"/>
  <c r="F41" i="10"/>
  <c r="H40" i="10"/>
  <c r="D36" i="10"/>
  <c r="F35" i="10"/>
  <c r="H34" i="10"/>
  <c r="E59" i="10"/>
  <c r="G58" i="10"/>
  <c r="C54" i="10"/>
  <c r="I54" i="10" s="1"/>
  <c r="E53" i="10"/>
  <c r="G52" i="10"/>
  <c r="C48" i="10"/>
  <c r="I48" i="10" s="1"/>
  <c r="E47" i="10"/>
  <c r="G46" i="10"/>
  <c r="C42" i="10"/>
  <c r="I42" i="10" s="1"/>
  <c r="E41" i="10"/>
  <c r="G40" i="10"/>
  <c r="C36" i="10"/>
  <c r="I36" i="10" s="1"/>
  <c r="E35" i="10"/>
  <c r="G34" i="10"/>
  <c r="D59" i="10"/>
  <c r="F58" i="10"/>
  <c r="H57" i="10"/>
  <c r="D53" i="10"/>
  <c r="F52" i="10"/>
  <c r="H51" i="10"/>
  <c r="D47" i="10"/>
  <c r="F46" i="10"/>
  <c r="H45" i="10"/>
  <c r="D41" i="10"/>
  <c r="F40" i="10"/>
  <c r="H39" i="10"/>
  <c r="D35" i="10"/>
  <c r="F34" i="10"/>
  <c r="H33" i="10"/>
  <c r="H54" i="10"/>
  <c r="F49" i="10"/>
  <c r="D44" i="10"/>
  <c r="G39" i="10"/>
  <c r="E34" i="10"/>
  <c r="D29" i="10"/>
  <c r="F28" i="10"/>
  <c r="H27" i="10"/>
  <c r="D23" i="10"/>
  <c r="F22" i="10"/>
  <c r="H21" i="10"/>
  <c r="D17" i="10"/>
  <c r="F16" i="10"/>
  <c r="H15" i="10"/>
  <c r="D11" i="10"/>
  <c r="C59" i="10"/>
  <c r="I59" i="10" s="1"/>
  <c r="C29" i="10"/>
  <c r="I29" i="10" s="1"/>
  <c r="E28" i="10"/>
  <c r="G27" i="10"/>
  <c r="C23" i="10"/>
  <c r="I23" i="10" s="1"/>
  <c r="E22" i="10"/>
  <c r="G21" i="10"/>
  <c r="C17" i="10"/>
  <c r="I17" i="10" s="1"/>
  <c r="E16" i="10"/>
  <c r="G15" i="10"/>
  <c r="C11" i="10"/>
  <c r="I11" i="10" s="1"/>
  <c r="H42" i="10"/>
  <c r="F37" i="10"/>
  <c r="G33" i="10"/>
  <c r="H32" i="10"/>
  <c r="D28" i="10"/>
  <c r="F27" i="10"/>
  <c r="H26" i="10"/>
  <c r="D22" i="10"/>
  <c r="F21" i="10"/>
  <c r="H20" i="10"/>
  <c r="D16" i="10"/>
  <c r="F15" i="10"/>
  <c r="H14" i="10"/>
  <c r="G57" i="10"/>
  <c r="K57" i="10" s="1"/>
  <c r="E52" i="10"/>
  <c r="C47" i="10"/>
  <c r="I47" i="10" s="1"/>
  <c r="E33" i="10"/>
  <c r="G32" i="10"/>
  <c r="C28" i="10"/>
  <c r="I28" i="10" s="1"/>
  <c r="E27" i="10"/>
  <c r="G26" i="10"/>
  <c r="C22" i="10"/>
  <c r="I22" i="10" s="1"/>
  <c r="E21" i="10"/>
  <c r="G20" i="10"/>
  <c r="C16" i="10"/>
  <c r="I16" i="10" s="1"/>
  <c r="E15" i="10"/>
  <c r="G14" i="10"/>
  <c r="D33" i="10"/>
  <c r="F32" i="10"/>
  <c r="H31" i="10"/>
  <c r="D27" i="10"/>
  <c r="F26" i="10"/>
  <c r="H25" i="10"/>
  <c r="D21" i="10"/>
  <c r="F20" i="10"/>
  <c r="H19" i="10"/>
  <c r="F55" i="10"/>
  <c r="D50" i="10"/>
  <c r="G45" i="10"/>
  <c r="E40" i="10"/>
  <c r="C35" i="10"/>
  <c r="I35" i="10" s="1"/>
  <c r="C33" i="10"/>
  <c r="I33" i="10" s="1"/>
  <c r="E32" i="10"/>
  <c r="G31" i="10"/>
  <c r="C27" i="10"/>
  <c r="I27" i="10" s="1"/>
  <c r="E26" i="10"/>
  <c r="G25" i="10"/>
  <c r="C21" i="10"/>
  <c r="I21" i="10" s="1"/>
  <c r="E20" i="10"/>
  <c r="G19" i="10"/>
  <c r="C15" i="10"/>
  <c r="I15" i="10" s="1"/>
  <c r="E14" i="10"/>
  <c r="G13" i="10"/>
  <c r="D32" i="10"/>
  <c r="F31" i="10"/>
  <c r="H30" i="10"/>
  <c r="D26" i="10"/>
  <c r="F25" i="10"/>
  <c r="H24" i="10"/>
  <c r="D20" i="10"/>
  <c r="F19" i="10"/>
  <c r="H18" i="10"/>
  <c r="H48" i="10"/>
  <c r="F43" i="10"/>
  <c r="D38" i="10"/>
  <c r="C32" i="10"/>
  <c r="I32" i="10" s="1"/>
  <c r="E31" i="10"/>
  <c r="G30" i="10"/>
  <c r="C26" i="10"/>
  <c r="I26" i="10" s="1"/>
  <c r="E25" i="10"/>
  <c r="G24" i="10"/>
  <c r="C20" i="10"/>
  <c r="I20" i="10" s="1"/>
  <c r="E19" i="10"/>
  <c r="G18" i="10"/>
  <c r="E58" i="10"/>
  <c r="C53" i="10"/>
  <c r="I53" i="10" s="1"/>
  <c r="D31" i="10"/>
  <c r="F30" i="10"/>
  <c r="H29" i="10"/>
  <c r="D25" i="10"/>
  <c r="F24" i="10"/>
  <c r="H23" i="10"/>
  <c r="D19" i="10"/>
  <c r="F18" i="10"/>
  <c r="H17" i="10"/>
  <c r="H36" i="10"/>
  <c r="C31" i="10"/>
  <c r="I31" i="10" s="1"/>
  <c r="E30" i="10"/>
  <c r="G29" i="10"/>
  <c r="C25" i="10"/>
  <c r="I25" i="10" s="1"/>
  <c r="E24" i="10"/>
  <c r="G23" i="10"/>
  <c r="C19" i="10"/>
  <c r="I19" i="10" s="1"/>
  <c r="E18" i="10"/>
  <c r="G17" i="10"/>
  <c r="D13" i="10"/>
  <c r="F12" i="10"/>
  <c r="D7" i="10"/>
  <c r="E46" i="10"/>
  <c r="D30" i="10"/>
  <c r="F17" i="10"/>
  <c r="C13" i="10"/>
  <c r="I13" i="10" s="1"/>
  <c r="E12" i="10"/>
  <c r="D13" i="4"/>
  <c r="C7" i="10"/>
  <c r="B8" i="11" s="1" a="1"/>
  <c r="B8" i="11" s="1"/>
  <c r="C30" i="10"/>
  <c r="I30" i="10" s="1"/>
  <c r="E17" i="10"/>
  <c r="H16" i="10"/>
  <c r="D12" i="10"/>
  <c r="H11" i="10"/>
  <c r="H10" i="10"/>
  <c r="D12" i="4"/>
  <c r="G51" i="10"/>
  <c r="K51" i="10" s="1"/>
  <c r="H28" i="10"/>
  <c r="F23" i="10"/>
  <c r="D18" i="10"/>
  <c r="G16" i="10"/>
  <c r="C12" i="10"/>
  <c r="I12" i="10" s="1"/>
  <c r="G11" i="10"/>
  <c r="G10" i="10"/>
  <c r="G28" i="10"/>
  <c r="E23" i="10"/>
  <c r="C18" i="10"/>
  <c r="I18" i="10" s="1"/>
  <c r="F11" i="10"/>
  <c r="F10" i="10"/>
  <c r="H9" i="10"/>
  <c r="D56" i="10"/>
  <c r="E11" i="10"/>
  <c r="E10" i="10"/>
  <c r="G9" i="10"/>
  <c r="D15" i="10"/>
  <c r="D10" i="10"/>
  <c r="F9" i="10"/>
  <c r="H8" i="10"/>
  <c r="C10" i="10"/>
  <c r="I10" i="10" s="1"/>
  <c r="E9" i="10"/>
  <c r="G8" i="10"/>
  <c r="F29" i="10"/>
  <c r="D24" i="10"/>
  <c r="D9" i="10"/>
  <c r="F8" i="10"/>
  <c r="H7" i="10"/>
  <c r="H7" i="11" s="1" a="1"/>
  <c r="H7" i="11" s="1"/>
  <c r="E29" i="10"/>
  <c r="C24" i="10"/>
  <c r="I24" i="10" s="1"/>
  <c r="F14" i="10"/>
  <c r="H13" i="10"/>
  <c r="C9" i="10"/>
  <c r="I9" i="10" s="1"/>
  <c r="E8" i="10"/>
  <c r="G7" i="10"/>
  <c r="H22" i="10"/>
  <c r="D14" i="10"/>
  <c r="F13" i="10"/>
  <c r="H12" i="10"/>
  <c r="D8" i="10"/>
  <c r="F7" i="10"/>
  <c r="C41" i="10"/>
  <c r="I41" i="10" s="1"/>
  <c r="G22" i="10"/>
  <c r="C14" i="10"/>
  <c r="I14" i="10" s="1"/>
  <c r="E13" i="10"/>
  <c r="G12" i="10"/>
  <c r="C8" i="10"/>
  <c r="I8" i="10" s="1"/>
  <c r="D15" i="4"/>
  <c r="E7" i="10"/>
  <c r="B7" i="11" s="1" a="1"/>
  <c r="B7" i="11" s="1"/>
  <c r="K182" i="3"/>
  <c r="L182" i="3"/>
  <c r="L187" i="3"/>
  <c r="K187" i="3"/>
  <c r="L235" i="3"/>
  <c r="K235" i="3"/>
  <c r="K278" i="3"/>
  <c r="L278" i="3"/>
  <c r="L446" i="3"/>
  <c r="K446" i="3"/>
  <c r="L12" i="3"/>
  <c r="K12" i="3"/>
  <c r="L18" i="3"/>
  <c r="K18" i="3"/>
  <c r="L24" i="3"/>
  <c r="K24" i="3"/>
  <c r="L30" i="3"/>
  <c r="K30" i="3"/>
  <c r="L36" i="3"/>
  <c r="K36" i="3"/>
  <c r="L42" i="3"/>
  <c r="K42" i="3"/>
  <c r="L48" i="3"/>
  <c r="K48" i="3"/>
  <c r="K152" i="3"/>
  <c r="L152" i="3"/>
  <c r="K230" i="3"/>
  <c r="L230" i="3"/>
  <c r="K62" i="3"/>
  <c r="L62" i="3"/>
  <c r="L67" i="3"/>
  <c r="K67" i="3"/>
  <c r="K110" i="3"/>
  <c r="L110" i="3"/>
  <c r="L115" i="3"/>
  <c r="K115" i="3"/>
  <c r="L145" i="3"/>
  <c r="K200" i="3"/>
  <c r="L200" i="3"/>
  <c r="K296" i="3"/>
  <c r="L296" i="3"/>
  <c r="L720" i="3"/>
  <c r="K720" i="3"/>
  <c r="K80" i="3"/>
  <c r="L80" i="3"/>
  <c r="K158" i="3"/>
  <c r="L158" i="3"/>
  <c r="L163" i="3"/>
  <c r="K163" i="3"/>
  <c r="L193" i="3"/>
  <c r="L259" i="3"/>
  <c r="K259" i="3"/>
  <c r="L550" i="3"/>
  <c r="K550" i="3"/>
  <c r="K128" i="3"/>
  <c r="L128" i="3"/>
  <c r="L211" i="3"/>
  <c r="K211" i="3"/>
  <c r="K254" i="3"/>
  <c r="L254" i="3"/>
  <c r="L73" i="3"/>
  <c r="K206" i="3"/>
  <c r="L206" i="3"/>
  <c r="K176" i="3"/>
  <c r="L176" i="3"/>
  <c r="K224" i="3"/>
  <c r="L224" i="3"/>
  <c r="K272" i="3"/>
  <c r="L272" i="3"/>
  <c r="K8" i="3"/>
  <c r="L14" i="3"/>
  <c r="K14" i="3"/>
  <c r="L20" i="3"/>
  <c r="K20" i="3"/>
  <c r="L26" i="3"/>
  <c r="K26" i="3"/>
  <c r="L32" i="3"/>
  <c r="K32" i="3"/>
  <c r="L38" i="3"/>
  <c r="K38" i="3"/>
  <c r="L44" i="3"/>
  <c r="K44" i="3"/>
  <c r="L50" i="3"/>
  <c r="K50" i="3"/>
  <c r="K86" i="3"/>
  <c r="L86" i="3"/>
  <c r="L91" i="3"/>
  <c r="K91" i="3"/>
  <c r="K134" i="3"/>
  <c r="L134" i="3"/>
  <c r="L139" i="3"/>
  <c r="K139" i="3"/>
  <c r="L169" i="3"/>
  <c r="L217" i="3"/>
  <c r="L265" i="3"/>
  <c r="L466" i="3"/>
  <c r="K466" i="3"/>
  <c r="K104" i="3"/>
  <c r="L104" i="3"/>
  <c r="L283" i="3"/>
  <c r="K283" i="3"/>
  <c r="L453" i="3"/>
  <c r="K453" i="3"/>
  <c r="L662" i="3"/>
  <c r="K662" i="3"/>
  <c r="L768" i="3"/>
  <c r="K768" i="3"/>
  <c r="L418" i="3"/>
  <c r="K418" i="3"/>
  <c r="K433" i="3"/>
  <c r="L522" i="3"/>
  <c r="K522" i="3"/>
  <c r="K585" i="3"/>
  <c r="K52" i="3"/>
  <c r="L496" i="3"/>
  <c r="K496" i="3"/>
  <c r="L581" i="3"/>
  <c r="K581" i="3"/>
  <c r="L429" i="3"/>
  <c r="K429" i="3"/>
  <c r="K635" i="3"/>
  <c r="L635" i="3"/>
  <c r="K65" i="3"/>
  <c r="L78" i="3"/>
  <c r="K89" i="3"/>
  <c r="L102" i="3"/>
  <c r="K113" i="3"/>
  <c r="L126" i="3"/>
  <c r="K137" i="3"/>
  <c r="L150" i="3"/>
  <c r="K161" i="3"/>
  <c r="L174" i="3"/>
  <c r="K185" i="3"/>
  <c r="L198" i="3"/>
  <c r="K209" i="3"/>
  <c r="L222" i="3"/>
  <c r="K233" i="3"/>
  <c r="L246" i="3"/>
  <c r="K257" i="3"/>
  <c r="L270" i="3"/>
  <c r="K281" i="3"/>
  <c r="L294" i="3"/>
  <c r="L477" i="3"/>
  <c r="K477" i="3"/>
  <c r="K543" i="3"/>
  <c r="L573" i="3"/>
  <c r="K573" i="3"/>
  <c r="L394" i="3"/>
  <c r="K394" i="3"/>
  <c r="L541" i="3"/>
  <c r="K541" i="3"/>
  <c r="L290" i="3"/>
  <c r="K510" i="3"/>
  <c r="L625" i="3"/>
  <c r="K625" i="3"/>
  <c r="K59" i="3"/>
  <c r="L72" i="3"/>
  <c r="K83" i="3"/>
  <c r="L96" i="3"/>
  <c r="K107" i="3"/>
  <c r="L120" i="3"/>
  <c r="K131" i="3"/>
  <c r="L144" i="3"/>
  <c r="K155" i="3"/>
  <c r="L168" i="3"/>
  <c r="K179" i="3"/>
  <c r="L192" i="3"/>
  <c r="K203" i="3"/>
  <c r="L216" i="3"/>
  <c r="L240" i="3"/>
  <c r="K251" i="3"/>
  <c r="L264" i="3"/>
  <c r="K275" i="3"/>
  <c r="L288" i="3"/>
  <c r="L442" i="3"/>
  <c r="K442" i="3"/>
  <c r="K457" i="3"/>
  <c r="L508" i="3"/>
  <c r="K508" i="3"/>
  <c r="K7" i="3"/>
  <c r="K9" i="3"/>
  <c r="K11" i="3"/>
  <c r="K13" i="3"/>
  <c r="K15" i="3"/>
  <c r="K17" i="3"/>
  <c r="K19" i="3"/>
  <c r="K21" i="3"/>
  <c r="K23" i="3"/>
  <c r="K25" i="3"/>
  <c r="K27" i="3"/>
  <c r="K29" i="3"/>
  <c r="K31" i="3"/>
  <c r="K33" i="3"/>
  <c r="K35" i="3"/>
  <c r="K37" i="3"/>
  <c r="K39" i="3"/>
  <c r="K41" i="3"/>
  <c r="K43" i="3"/>
  <c r="K45" i="3"/>
  <c r="K47" i="3"/>
  <c r="K49" i="3"/>
  <c r="K51" i="3"/>
  <c r="K53" i="3"/>
  <c r="K55" i="3"/>
  <c r="K57" i="3"/>
  <c r="L70" i="3"/>
  <c r="K81" i="3"/>
  <c r="L94" i="3"/>
  <c r="K105" i="3"/>
  <c r="L118" i="3"/>
  <c r="K129" i="3"/>
  <c r="L142" i="3"/>
  <c r="K153" i="3"/>
  <c r="L166" i="3"/>
  <c r="K177" i="3"/>
  <c r="L190" i="3"/>
  <c r="K201" i="3"/>
  <c r="L214" i="3"/>
  <c r="K225" i="3"/>
  <c r="L238" i="3"/>
  <c r="K249" i="3"/>
  <c r="L262" i="3"/>
  <c r="K273" i="3"/>
  <c r="L286" i="3"/>
  <c r="L405" i="3"/>
  <c r="K405" i="3"/>
  <c r="K422" i="3"/>
  <c r="K486" i="3"/>
  <c r="L68" i="3"/>
  <c r="L92" i="3"/>
  <c r="L116" i="3"/>
  <c r="L140" i="3"/>
  <c r="L164" i="3"/>
  <c r="L188" i="3"/>
  <c r="L212" i="3"/>
  <c r="L236" i="3"/>
  <c r="L260" i="3"/>
  <c r="L284" i="3"/>
  <c r="K470" i="3"/>
  <c r="L484" i="3"/>
  <c r="K484" i="3"/>
  <c r="K529" i="3"/>
  <c r="K557" i="3"/>
  <c r="L552" i="3"/>
  <c r="K552" i="3"/>
  <c r="L627" i="3"/>
  <c r="K627" i="3"/>
  <c r="L694" i="3"/>
  <c r="K694" i="3"/>
  <c r="K898" i="3"/>
  <c r="L898" i="3"/>
  <c r="K970" i="3"/>
  <c r="L970" i="3"/>
  <c r="K400" i="3"/>
  <c r="K424" i="3"/>
  <c r="K448" i="3"/>
  <c r="K472" i="3"/>
  <c r="K481" i="3"/>
  <c r="K493" i="3"/>
  <c r="K505" i="3"/>
  <c r="K517" i="3"/>
  <c r="K526" i="3"/>
  <c r="L538" i="3"/>
  <c r="K538" i="3"/>
  <c r="L564" i="3"/>
  <c r="K564" i="3"/>
  <c r="L576" i="3"/>
  <c r="K576" i="3"/>
  <c r="L590" i="3"/>
  <c r="K590" i="3"/>
  <c r="K592" i="3"/>
  <c r="K396" i="3"/>
  <c r="K420" i="3"/>
  <c r="K444" i="3"/>
  <c r="K468" i="3"/>
  <c r="K479" i="3"/>
  <c r="K491" i="3"/>
  <c r="K503" i="3"/>
  <c r="K515" i="3"/>
  <c r="L588" i="3"/>
  <c r="K588" i="3"/>
  <c r="L600" i="3"/>
  <c r="K600" i="3"/>
  <c r="K605" i="3"/>
  <c r="K622" i="3"/>
  <c r="L640" i="3"/>
  <c r="K640" i="3"/>
  <c r="K642" i="3"/>
  <c r="L734" i="3"/>
  <c r="K734" i="3"/>
  <c r="L527" i="3"/>
  <c r="K527" i="3"/>
  <c r="L562" i="3"/>
  <c r="K562" i="3"/>
  <c r="L603" i="3"/>
  <c r="K603" i="3"/>
  <c r="L648" i="3"/>
  <c r="K648" i="3"/>
  <c r="L672" i="3"/>
  <c r="K672" i="3"/>
  <c r="L718" i="3"/>
  <c r="K718" i="3"/>
  <c r="K553" i="3"/>
  <c r="K579" i="3"/>
  <c r="L638" i="3"/>
  <c r="K638" i="3"/>
  <c r="L651" i="3"/>
  <c r="K651" i="3"/>
  <c r="L686" i="3"/>
  <c r="K686" i="3"/>
  <c r="K401" i="3"/>
  <c r="K414" i="3"/>
  <c r="K425" i="3"/>
  <c r="K438" i="3"/>
  <c r="K449" i="3"/>
  <c r="K462" i="3"/>
  <c r="K473" i="3"/>
  <c r="K482" i="3"/>
  <c r="K494" i="3"/>
  <c r="K506" i="3"/>
  <c r="K518" i="3"/>
  <c r="K532" i="3"/>
  <c r="K574" i="3"/>
  <c r="K633" i="3"/>
  <c r="L670" i="3"/>
  <c r="K670" i="3"/>
  <c r="K399" i="3"/>
  <c r="K412" i="3"/>
  <c r="K423" i="3"/>
  <c r="K436" i="3"/>
  <c r="K447" i="3"/>
  <c r="K460" i="3"/>
  <c r="K471" i="3"/>
  <c r="K487" i="3"/>
  <c r="K499" i="3"/>
  <c r="K511" i="3"/>
  <c r="K530" i="3"/>
  <c r="L539" i="3"/>
  <c r="K546" i="3"/>
  <c r="L551" i="3"/>
  <c r="K551" i="3"/>
  <c r="K577" i="3"/>
  <c r="L601" i="3"/>
  <c r="K601" i="3"/>
  <c r="L744" i="3"/>
  <c r="K744" i="3"/>
  <c r="K397" i="3"/>
  <c r="K410" i="3"/>
  <c r="K421" i="3"/>
  <c r="K434" i="3"/>
  <c r="K445" i="3"/>
  <c r="K458" i="3"/>
  <c r="K469" i="3"/>
  <c r="K480" i="3"/>
  <c r="K492" i="3"/>
  <c r="K504" i="3"/>
  <c r="K516" i="3"/>
  <c r="L525" i="3"/>
  <c r="L528" i="3"/>
  <c r="K528" i="3"/>
  <c r="K544" i="3"/>
  <c r="K598" i="3"/>
  <c r="L616" i="3"/>
  <c r="K616" i="3"/>
  <c r="K618" i="3"/>
  <c r="L646" i="3"/>
  <c r="K646" i="3"/>
  <c r="L649" i="3"/>
  <c r="K649" i="3"/>
  <c r="L758" i="3"/>
  <c r="K758" i="3"/>
  <c r="L575" i="3"/>
  <c r="K575" i="3"/>
  <c r="L696" i="3"/>
  <c r="K696" i="3"/>
  <c r="K478" i="3"/>
  <c r="K490" i="3"/>
  <c r="K502" i="3"/>
  <c r="K514" i="3"/>
  <c r="L540" i="3"/>
  <c r="K540" i="3"/>
  <c r="K554" i="3"/>
  <c r="L563" i="3"/>
  <c r="K570" i="3"/>
  <c r="L614" i="3"/>
  <c r="K614" i="3"/>
  <c r="L624" i="3"/>
  <c r="K624" i="3"/>
  <c r="K629" i="3"/>
  <c r="L710" i="3"/>
  <c r="K710" i="3"/>
  <c r="K742" i="3"/>
  <c r="K766" i="3"/>
  <c r="K922" i="3"/>
  <c r="L922" i="3"/>
  <c r="K994" i="3"/>
  <c r="L994" i="3"/>
  <c r="K664" i="3"/>
  <c r="K688" i="3"/>
  <c r="K712" i="3"/>
  <c r="K736" i="3"/>
  <c r="K760" i="3"/>
  <c r="K599" i="3"/>
  <c r="K612" i="3"/>
  <c r="K623" i="3"/>
  <c r="K636" i="3"/>
  <c r="K647" i="3"/>
  <c r="K660" i="3"/>
  <c r="K684" i="3"/>
  <c r="K708" i="3"/>
  <c r="K732" i="3"/>
  <c r="K756" i="3"/>
  <c r="K946" i="3"/>
  <c r="L946" i="3"/>
  <c r="K586" i="3"/>
  <c r="K597" i="3"/>
  <c r="K610" i="3"/>
  <c r="K621" i="3"/>
  <c r="K634" i="3"/>
  <c r="K645" i="3"/>
  <c r="K658" i="3"/>
  <c r="K682" i="3"/>
  <c r="K706" i="3"/>
  <c r="K730" i="3"/>
  <c r="K754" i="3"/>
  <c r="K608" i="3"/>
  <c r="K632" i="3"/>
  <c r="K656" i="3"/>
  <c r="K680" i="3"/>
  <c r="K704" i="3"/>
  <c r="K728" i="3"/>
  <c r="K752" i="3"/>
  <c r="K16" i="4"/>
  <c r="J16" i="4"/>
  <c r="I16" i="4"/>
  <c r="H16" i="4"/>
  <c r="G16" i="4"/>
  <c r="F16" i="4"/>
  <c r="D16" i="4"/>
  <c r="C16" i="4"/>
  <c r="N16" i="4"/>
  <c r="M16" i="4"/>
  <c r="L16" i="4"/>
  <c r="L906" i="3"/>
  <c r="L930" i="3"/>
  <c r="L954" i="3"/>
  <c r="L978" i="3"/>
  <c r="L1002" i="3"/>
  <c r="L904" i="3"/>
  <c r="L928" i="3"/>
  <c r="L952" i="3"/>
  <c r="L976" i="3"/>
  <c r="L1000" i="3"/>
  <c r="L900" i="3"/>
  <c r="L924" i="3"/>
  <c r="L948" i="3"/>
  <c r="L972" i="3"/>
  <c r="L996" i="3"/>
  <c r="L920" i="3"/>
  <c r="L944" i="3"/>
  <c r="L968" i="3"/>
  <c r="L992" i="3"/>
  <c r="L894" i="3"/>
  <c r="L918" i="3"/>
  <c r="L942" i="3"/>
  <c r="L966" i="3"/>
  <c r="L990" i="3"/>
  <c r="L13" i="4"/>
  <c r="I13" i="4"/>
  <c r="H13" i="4"/>
  <c r="L892" i="3"/>
  <c r="L916" i="3"/>
  <c r="L940" i="3"/>
  <c r="L964" i="3"/>
  <c r="L988" i="3"/>
  <c r="L890" i="3"/>
  <c r="L914" i="3"/>
  <c r="L938" i="3"/>
  <c r="L962" i="3"/>
  <c r="L986" i="3"/>
  <c r="L22" i="4"/>
  <c r="J23" i="4"/>
  <c r="F30" i="6"/>
  <c r="E30" i="6"/>
  <c r="B30" i="6"/>
  <c r="H15" i="4"/>
  <c r="M22" i="4"/>
  <c r="K23" i="4"/>
  <c r="F15" i="6"/>
  <c r="E15" i="6"/>
  <c r="B15" i="6"/>
  <c r="C30" i="6"/>
  <c r="B34" i="6"/>
  <c r="F51" i="6"/>
  <c r="E51" i="6"/>
  <c r="B51" i="6"/>
  <c r="L12" i="4"/>
  <c r="C15" i="4"/>
  <c r="F20" i="4"/>
  <c r="N22" i="4"/>
  <c r="L23" i="4"/>
  <c r="C14" i="5"/>
  <c r="D13" i="6"/>
  <c r="C15" i="6"/>
  <c r="B19" i="6"/>
  <c r="D30" i="6"/>
  <c r="C34" i="6"/>
  <c r="F36" i="6"/>
  <c r="E36" i="6"/>
  <c r="B36" i="6"/>
  <c r="D49" i="6"/>
  <c r="C51" i="6"/>
  <c r="B55" i="6"/>
  <c r="B8" i="6"/>
  <c r="F21" i="6"/>
  <c r="E21" i="6"/>
  <c r="B21" i="6"/>
  <c r="F57" i="6"/>
  <c r="E57" i="6"/>
  <c r="B57" i="6"/>
  <c r="C22" i="4"/>
  <c r="N23" i="4"/>
  <c r="C21" i="6"/>
  <c r="B25" i="6"/>
  <c r="F42" i="6"/>
  <c r="E42" i="6"/>
  <c r="B42" i="6"/>
  <c r="C57" i="6"/>
  <c r="D22" i="4"/>
  <c r="D8" i="6"/>
  <c r="B10" i="6"/>
  <c r="D21" i="6"/>
  <c r="C25" i="6"/>
  <c r="F27" i="6"/>
  <c r="E27" i="6"/>
  <c r="B27" i="6"/>
  <c r="C42" i="6"/>
  <c r="B46" i="6"/>
  <c r="D57" i="6"/>
  <c r="C23" i="4"/>
  <c r="E8" i="6"/>
  <c r="F12" i="6"/>
  <c r="E12" i="6"/>
  <c r="B12" i="6"/>
  <c r="G21" i="6"/>
  <c r="H21" i="6" s="1"/>
  <c r="D25" i="6"/>
  <c r="F48" i="6"/>
  <c r="E48" i="6"/>
  <c r="B48" i="6"/>
  <c r="G57" i="6"/>
  <c r="H57" i="6" s="1"/>
  <c r="I15" i="4"/>
  <c r="M19" i="4"/>
  <c r="K20" i="4"/>
  <c r="F22" i="4"/>
  <c r="D23" i="4"/>
  <c r="F8" i="6"/>
  <c r="D10" i="6"/>
  <c r="C12" i="6"/>
  <c r="B16" i="6"/>
  <c r="E25" i="6"/>
  <c r="D27" i="6"/>
  <c r="C31" i="6"/>
  <c r="F33" i="6"/>
  <c r="E33" i="6"/>
  <c r="B33" i="6"/>
  <c r="G40" i="6"/>
  <c r="H40" i="6" s="1"/>
  <c r="G42" i="6"/>
  <c r="H42" i="6" s="1"/>
  <c r="D46" i="6"/>
  <c r="C48" i="6"/>
  <c r="B52" i="6"/>
  <c r="G22" i="4"/>
  <c r="B39" i="5"/>
  <c r="C20" i="5"/>
  <c r="E10" i="6"/>
  <c r="D12" i="6"/>
  <c r="C16" i="6"/>
  <c r="F18" i="6"/>
  <c r="E18" i="6"/>
  <c r="B18" i="6"/>
  <c r="G25" i="6"/>
  <c r="H25" i="6" s="1"/>
  <c r="G27" i="6"/>
  <c r="H27" i="6" s="1"/>
  <c r="D31" i="6"/>
  <c r="E46" i="6"/>
  <c r="D48" i="6"/>
  <c r="C52" i="6"/>
  <c r="F54" i="6"/>
  <c r="E54" i="6"/>
  <c r="B54" i="6"/>
  <c r="M20" i="4"/>
  <c r="H22" i="4"/>
  <c r="F23" i="4"/>
  <c r="B9" i="5"/>
  <c r="C24" i="5"/>
  <c r="G10" i="6"/>
  <c r="H10" i="6" s="1"/>
  <c r="G12" i="6"/>
  <c r="H12" i="6" s="1"/>
  <c r="D16" i="6"/>
  <c r="C18" i="6"/>
  <c r="B22" i="6"/>
  <c r="E31" i="6"/>
  <c r="F39" i="6"/>
  <c r="E39" i="6"/>
  <c r="B39" i="6"/>
  <c r="G46" i="6"/>
  <c r="H46" i="6" s="1"/>
  <c r="G48" i="6"/>
  <c r="H48" i="6" s="1"/>
  <c r="D52" i="6"/>
  <c r="C54" i="6"/>
  <c r="B58" i="6"/>
  <c r="H12" i="4"/>
  <c r="L15" i="4"/>
  <c r="C19" i="4"/>
  <c r="I22" i="4"/>
  <c r="G23" i="4"/>
  <c r="F9" i="6"/>
  <c r="B9" i="6"/>
  <c r="E16" i="6"/>
  <c r="D18" i="6"/>
  <c r="C22" i="6"/>
  <c r="F24" i="6"/>
  <c r="E24" i="6"/>
  <c r="B24" i="6"/>
  <c r="G31" i="6"/>
  <c r="H31" i="6" s="1"/>
  <c r="G33" i="6"/>
  <c r="H33" i="6" s="1"/>
  <c r="D37" i="6"/>
  <c r="C39" i="6"/>
  <c r="B43" i="6"/>
  <c r="E52" i="6"/>
  <c r="D54" i="6"/>
  <c r="C58" i="6"/>
  <c r="F60" i="6"/>
  <c r="E60" i="6"/>
  <c r="B60" i="6"/>
  <c r="J22" i="4"/>
  <c r="I23" i="4"/>
  <c r="G16" i="6"/>
  <c r="H16" i="6" s="1"/>
  <c r="F45" i="6"/>
  <c r="E45" i="6"/>
  <c r="B45" i="6"/>
  <c r="G52" i="6"/>
  <c r="H52" i="6" s="1"/>
  <c r="D58" i="6"/>
  <c r="C60" i="6"/>
  <c r="K34" i="10" l="1"/>
  <c r="K58" i="10"/>
  <c r="K40" i="10"/>
  <c r="D14" i="4"/>
  <c r="K45" i="10"/>
  <c r="K54" i="10"/>
  <c r="K33" i="10"/>
  <c r="K35" i="10"/>
  <c r="K59" i="10"/>
  <c r="K56" i="10"/>
  <c r="K19" i="10"/>
  <c r="K17" i="10"/>
  <c r="K25" i="10"/>
  <c r="H8" i="11"/>
  <c r="K55" i="10"/>
  <c r="K39" i="10"/>
  <c r="K10" i="10"/>
  <c r="K46" i="10"/>
  <c r="K36" i="10"/>
  <c r="K37" i="10"/>
  <c r="K11" i="10"/>
  <c r="K20" i="10"/>
  <c r="K41" i="10"/>
  <c r="K38" i="10"/>
  <c r="K28" i="10"/>
  <c r="K9" i="10"/>
  <c r="K24" i="10"/>
  <c r="K15" i="10"/>
  <c r="K16" i="10"/>
  <c r="K52" i="10"/>
  <c r="K42" i="10"/>
  <c r="K43" i="10"/>
  <c r="K18" i="10"/>
  <c r="K26" i="10"/>
  <c r="K47" i="10"/>
  <c r="K44" i="10"/>
  <c r="K14" i="10"/>
  <c r="K22" i="10"/>
  <c r="K23" i="10"/>
  <c r="K30" i="10"/>
  <c r="K31" i="10"/>
  <c r="K21" i="10"/>
  <c r="K48" i="10"/>
  <c r="K49" i="10"/>
  <c r="K8" i="10"/>
  <c r="K32" i="10"/>
  <c r="K53" i="10"/>
  <c r="K50" i="10"/>
  <c r="K7" i="10"/>
  <c r="K12" i="10"/>
  <c r="K29" i="10"/>
  <c r="K13" i="10"/>
  <c r="K27" i="10"/>
  <c r="E7" i="11" a="1"/>
  <c r="E7" i="11" s="1"/>
  <c r="I7" i="10"/>
  <c r="B30" i="5"/>
  <c r="I24" i="4"/>
  <c r="B29" i="5"/>
  <c r="D34" i="5"/>
  <c r="L24" i="4"/>
  <c r="X47" i="10"/>
  <c r="AI47" i="10"/>
  <c r="AH47" i="10"/>
  <c r="AG47" i="10"/>
  <c r="AE47" i="10"/>
  <c r="AD47" i="10"/>
  <c r="AC47" i="10"/>
  <c r="AB47" i="10"/>
  <c r="AA47" i="10"/>
  <c r="Z47" i="10"/>
  <c r="J47" i="10"/>
  <c r="AF47" i="10"/>
  <c r="Y47" i="10"/>
  <c r="AD50" i="10"/>
  <c r="AC50" i="10"/>
  <c r="AB50" i="10"/>
  <c r="AA50" i="10"/>
  <c r="Y50" i="10"/>
  <c r="X50" i="10"/>
  <c r="AI50" i="10"/>
  <c r="AH50" i="10"/>
  <c r="AG50" i="10"/>
  <c r="AF50" i="10"/>
  <c r="J50" i="10"/>
  <c r="AE50" i="10"/>
  <c r="Z50" i="10"/>
  <c r="AH9" i="10"/>
  <c r="AG9" i="10"/>
  <c r="AF9" i="10"/>
  <c r="J9" i="10"/>
  <c r="AE9" i="10"/>
  <c r="AD9" i="10"/>
  <c r="AC9" i="10"/>
  <c r="AB9" i="10"/>
  <c r="AA9" i="10"/>
  <c r="Z9" i="10"/>
  <c r="Y9" i="10"/>
  <c r="X9" i="10"/>
  <c r="AI9" i="10"/>
  <c r="Z29" i="10"/>
  <c r="Y29" i="10"/>
  <c r="X29" i="10"/>
  <c r="AI29" i="10"/>
  <c r="AH29" i="10"/>
  <c r="AG29" i="10"/>
  <c r="AF29" i="10"/>
  <c r="J29" i="10"/>
  <c r="AE29" i="10"/>
  <c r="AD29" i="10"/>
  <c r="AC29" i="10"/>
  <c r="AB29" i="10"/>
  <c r="AA29" i="10"/>
  <c r="AH19" i="10"/>
  <c r="AG19" i="10"/>
  <c r="AF19" i="10"/>
  <c r="J19" i="10"/>
  <c r="AE19" i="10"/>
  <c r="AD19" i="10"/>
  <c r="AC19" i="10"/>
  <c r="AB19" i="10"/>
  <c r="AA19" i="10"/>
  <c r="Z19" i="10"/>
  <c r="Y19" i="10"/>
  <c r="AI19" i="10"/>
  <c r="X19" i="10"/>
  <c r="AF14" i="10"/>
  <c r="J14" i="10"/>
  <c r="AE14" i="10"/>
  <c r="AD14" i="10"/>
  <c r="AC14" i="10"/>
  <c r="AA14" i="10"/>
  <c r="Y14" i="10"/>
  <c r="X14" i="10"/>
  <c r="Z14" i="10"/>
  <c r="AI14" i="10"/>
  <c r="AH14" i="10"/>
  <c r="AG14" i="10"/>
  <c r="AB14" i="10"/>
  <c r="AB33" i="10"/>
  <c r="AA33" i="10"/>
  <c r="Y33" i="10"/>
  <c r="AI33" i="10"/>
  <c r="AH33" i="10"/>
  <c r="AG33" i="10"/>
  <c r="AF33" i="10"/>
  <c r="J33" i="10"/>
  <c r="AE33" i="10"/>
  <c r="AD33" i="10"/>
  <c r="AC33" i="10"/>
  <c r="Z33" i="10"/>
  <c r="X33" i="10"/>
  <c r="AB57" i="10"/>
  <c r="AA57" i="10"/>
  <c r="Z57" i="10"/>
  <c r="Y57" i="10"/>
  <c r="AI57" i="10"/>
  <c r="AH57" i="10"/>
  <c r="AG57" i="10"/>
  <c r="AF57" i="10"/>
  <c r="J57" i="10"/>
  <c r="AE57" i="10"/>
  <c r="AD57" i="10"/>
  <c r="X57" i="10"/>
  <c r="AC57" i="10"/>
  <c r="Z40" i="10"/>
  <c r="Y40" i="10"/>
  <c r="X40" i="10"/>
  <c r="AI40" i="10"/>
  <c r="AG40" i="10"/>
  <c r="AF40" i="10"/>
  <c r="J40" i="10"/>
  <c r="AE40" i="10"/>
  <c r="AD40" i="10"/>
  <c r="AC40" i="10"/>
  <c r="AB40" i="10"/>
  <c r="AH40" i="10"/>
  <c r="AA40" i="10"/>
  <c r="AF43" i="10"/>
  <c r="J43" i="10"/>
  <c r="AE43" i="10"/>
  <c r="AD43" i="10"/>
  <c r="AC43" i="10"/>
  <c r="AA43" i="10"/>
  <c r="Z43" i="10"/>
  <c r="Y43" i="10"/>
  <c r="X43" i="10"/>
  <c r="AI43" i="10"/>
  <c r="AH43" i="10"/>
  <c r="AG43" i="10"/>
  <c r="AB43" i="10"/>
  <c r="C37" i="5"/>
  <c r="D24" i="4"/>
  <c r="AB16" i="10"/>
  <c r="AA16" i="10"/>
  <c r="Z16" i="10"/>
  <c r="Y16" i="10"/>
  <c r="X16" i="10"/>
  <c r="AI16" i="10"/>
  <c r="AG16" i="10"/>
  <c r="AF16" i="10"/>
  <c r="J16" i="10"/>
  <c r="AH16" i="10"/>
  <c r="AE16" i="10"/>
  <c r="AD16" i="10"/>
  <c r="AC16" i="10"/>
  <c r="C38" i="5"/>
  <c r="D32" i="5"/>
  <c r="C34" i="5"/>
  <c r="D36" i="5"/>
  <c r="D31" i="5"/>
  <c r="B36" i="5"/>
  <c r="C31" i="5"/>
  <c r="D35" i="5"/>
  <c r="D30" i="5"/>
  <c r="C35" i="5"/>
  <c r="C30" i="5"/>
  <c r="D38" i="5"/>
  <c r="B34" i="5"/>
  <c r="C29" i="5"/>
  <c r="C11" i="5"/>
  <c r="D8" i="4"/>
  <c r="X24" i="10"/>
  <c r="AI24" i="10"/>
  <c r="AH24" i="10"/>
  <c r="AG24" i="10"/>
  <c r="AF24" i="10"/>
  <c r="J24" i="10"/>
  <c r="AE24" i="10"/>
  <c r="AD24" i="10"/>
  <c r="AC24" i="10"/>
  <c r="AB24" i="10"/>
  <c r="AA24" i="10"/>
  <c r="Z24" i="10"/>
  <c r="Y24" i="10"/>
  <c r="X41" i="10"/>
  <c r="AI41" i="10"/>
  <c r="AH41" i="10"/>
  <c r="AG41" i="10"/>
  <c r="AE41" i="10"/>
  <c r="AD41" i="10"/>
  <c r="AC41" i="10"/>
  <c r="AB41" i="10"/>
  <c r="AA41" i="10"/>
  <c r="Z41" i="10"/>
  <c r="AF41" i="10"/>
  <c r="Y41" i="10"/>
  <c r="J41" i="10"/>
  <c r="AD44" i="10"/>
  <c r="AC44" i="10"/>
  <c r="AB44" i="10"/>
  <c r="AA44" i="10"/>
  <c r="Y44" i="10"/>
  <c r="X44" i="10"/>
  <c r="AI44" i="10"/>
  <c r="AH44" i="10"/>
  <c r="AG44" i="10"/>
  <c r="AF44" i="10"/>
  <c r="J44" i="10"/>
  <c r="AE44" i="10"/>
  <c r="Z44" i="10"/>
  <c r="AD15" i="10"/>
  <c r="AC15" i="10"/>
  <c r="AB15" i="10"/>
  <c r="AA15" i="10"/>
  <c r="Z15" i="10"/>
  <c r="Y15" i="10"/>
  <c r="AI15" i="10"/>
  <c r="AH15" i="10"/>
  <c r="J15" i="10"/>
  <c r="AG15" i="10"/>
  <c r="AF15" i="10"/>
  <c r="AE15" i="10"/>
  <c r="X15" i="10"/>
  <c r="D33" i="5"/>
  <c r="H24" i="4"/>
  <c r="D29" i="5"/>
  <c r="AB22" i="10"/>
  <c r="AA22" i="10"/>
  <c r="Z22" i="10"/>
  <c r="Y22" i="10"/>
  <c r="X22" i="10"/>
  <c r="AI22" i="10"/>
  <c r="AH22" i="10"/>
  <c r="AG22" i="10"/>
  <c r="AF22" i="10"/>
  <c r="J22" i="10"/>
  <c r="AE22" i="10"/>
  <c r="AD22" i="10"/>
  <c r="AC22" i="10"/>
  <c r="Z23" i="10"/>
  <c r="Y23" i="10"/>
  <c r="X23" i="10"/>
  <c r="AI23" i="10"/>
  <c r="AH23" i="10"/>
  <c r="AG23" i="10"/>
  <c r="AF23" i="10"/>
  <c r="J23" i="10"/>
  <c r="AE23" i="10"/>
  <c r="AD23" i="10"/>
  <c r="AC23" i="10"/>
  <c r="AA23" i="10"/>
  <c r="AB23" i="10"/>
  <c r="AH48" i="10"/>
  <c r="AG48" i="10"/>
  <c r="AF48" i="10"/>
  <c r="J48" i="10"/>
  <c r="AE48" i="10"/>
  <c r="AC48" i="10"/>
  <c r="AB48" i="10"/>
  <c r="AA48" i="10"/>
  <c r="Z48" i="10"/>
  <c r="Y48" i="10"/>
  <c r="X48" i="10"/>
  <c r="AI48" i="10"/>
  <c r="AD48" i="10"/>
  <c r="AF32" i="10"/>
  <c r="J32" i="10"/>
  <c r="AE32" i="10"/>
  <c r="AD32" i="10"/>
  <c r="AC32" i="10"/>
  <c r="AB32" i="10"/>
  <c r="AA32" i="10"/>
  <c r="Z32" i="10"/>
  <c r="Y32" i="10"/>
  <c r="X32" i="10"/>
  <c r="AI32" i="10"/>
  <c r="AH32" i="10"/>
  <c r="AG32" i="10"/>
  <c r="AB51" i="10"/>
  <c r="AA51" i="10"/>
  <c r="Z51" i="10"/>
  <c r="Y51" i="10"/>
  <c r="AI51" i="10"/>
  <c r="AH51" i="10"/>
  <c r="AG51" i="10"/>
  <c r="AF51" i="10"/>
  <c r="J51" i="10"/>
  <c r="AE51" i="10"/>
  <c r="AD51" i="10"/>
  <c r="AC51" i="10"/>
  <c r="X51" i="10"/>
  <c r="Z34" i="10"/>
  <c r="Y34" i="10"/>
  <c r="X34" i="10"/>
  <c r="AI34" i="10"/>
  <c r="AG34" i="10"/>
  <c r="AF34" i="10"/>
  <c r="J34" i="10"/>
  <c r="AE34" i="10"/>
  <c r="AD34" i="10"/>
  <c r="AC34" i="10"/>
  <c r="AB34" i="10"/>
  <c r="AH34" i="10"/>
  <c r="AA34" i="10"/>
  <c r="Z58" i="10"/>
  <c r="Y58" i="10"/>
  <c r="X58" i="10"/>
  <c r="AI58" i="10"/>
  <c r="AG58" i="10"/>
  <c r="AF58" i="10"/>
  <c r="J58" i="10"/>
  <c r="AE58" i="10"/>
  <c r="AD58" i="10"/>
  <c r="AC58" i="10"/>
  <c r="AB58" i="10"/>
  <c r="AH58" i="10"/>
  <c r="AA58" i="10"/>
  <c r="AF37" i="10"/>
  <c r="J37" i="10"/>
  <c r="AE37" i="10"/>
  <c r="AD37" i="10"/>
  <c r="AC37" i="10"/>
  <c r="AA37" i="10"/>
  <c r="Z37" i="10"/>
  <c r="Y37" i="10"/>
  <c r="X37" i="10"/>
  <c r="AI37" i="10"/>
  <c r="AH37" i="10"/>
  <c r="AG37" i="10"/>
  <c r="AB37" i="10"/>
  <c r="F8" i="4"/>
  <c r="C12" i="5"/>
  <c r="AF10" i="10"/>
  <c r="J10" i="10"/>
  <c r="AE10" i="10"/>
  <c r="AD10" i="10"/>
  <c r="AC10" i="10"/>
  <c r="AB10" i="10"/>
  <c r="AA10" i="10"/>
  <c r="Z10" i="10"/>
  <c r="Y10" i="10"/>
  <c r="X10" i="10"/>
  <c r="AI10" i="10"/>
  <c r="AH10" i="10"/>
  <c r="AG10" i="10"/>
  <c r="X18" i="10"/>
  <c r="AI18" i="10"/>
  <c r="AH18" i="10"/>
  <c r="AG18" i="10"/>
  <c r="AF18" i="10"/>
  <c r="J18" i="10"/>
  <c r="AE18" i="10"/>
  <c r="AD18" i="10"/>
  <c r="AC18" i="10"/>
  <c r="AB18" i="10"/>
  <c r="AA18" i="10"/>
  <c r="Y18" i="10"/>
  <c r="Z18" i="10"/>
  <c r="X35" i="10"/>
  <c r="AI35" i="10"/>
  <c r="AH35" i="10"/>
  <c r="AG35" i="10"/>
  <c r="AE35" i="10"/>
  <c r="AD35" i="10"/>
  <c r="AC35" i="10"/>
  <c r="AB35" i="10"/>
  <c r="AA35" i="10"/>
  <c r="Z35" i="10"/>
  <c r="AF35" i="10"/>
  <c r="Y35" i="10"/>
  <c r="J35" i="10"/>
  <c r="Y59" i="10"/>
  <c r="X59" i="10"/>
  <c r="AI59" i="10"/>
  <c r="AH59" i="10"/>
  <c r="AG59" i="10"/>
  <c r="AF59" i="10"/>
  <c r="AE59" i="10"/>
  <c r="AD59" i="10"/>
  <c r="AC59" i="10"/>
  <c r="AB59" i="10"/>
  <c r="AA59" i="10"/>
  <c r="Z59" i="10"/>
  <c r="J59" i="10"/>
  <c r="AD38" i="10"/>
  <c r="AC38" i="10"/>
  <c r="AB38" i="10"/>
  <c r="AA38" i="10"/>
  <c r="Y38" i="10"/>
  <c r="X38" i="10"/>
  <c r="AI38" i="10"/>
  <c r="AH38" i="10"/>
  <c r="AG38" i="10"/>
  <c r="AF38" i="10"/>
  <c r="J38" i="10"/>
  <c r="AE38" i="10"/>
  <c r="Z38" i="10"/>
  <c r="B8" i="4"/>
  <c r="Z11" i="10"/>
  <c r="Y11" i="10"/>
  <c r="X11" i="10"/>
  <c r="AG11" i="10"/>
  <c r="AA11" i="10"/>
  <c r="J11" i="10"/>
  <c r="AI11" i="10"/>
  <c r="AH11" i="10"/>
  <c r="AF11" i="10"/>
  <c r="AE11" i="10"/>
  <c r="AD11" i="10"/>
  <c r="AC11" i="10"/>
  <c r="AB11" i="10"/>
  <c r="Z17" i="10"/>
  <c r="Y17" i="10"/>
  <c r="X17" i="10"/>
  <c r="AI17" i="10"/>
  <c r="AH17" i="10"/>
  <c r="AG17" i="10"/>
  <c r="AE17" i="10"/>
  <c r="AD17" i="10"/>
  <c r="AC17" i="10"/>
  <c r="J17" i="10"/>
  <c r="AF17" i="10"/>
  <c r="AB17" i="10"/>
  <c r="AA17" i="10"/>
  <c r="AH31" i="10"/>
  <c r="AG31" i="10"/>
  <c r="AF31" i="10"/>
  <c r="J31" i="10"/>
  <c r="AE31" i="10"/>
  <c r="AD31" i="10"/>
  <c r="AC31" i="10"/>
  <c r="AB31" i="10"/>
  <c r="AA31" i="10"/>
  <c r="Z31" i="10"/>
  <c r="Y31" i="10"/>
  <c r="AI31" i="10"/>
  <c r="X31" i="10"/>
  <c r="AF26" i="10"/>
  <c r="J26" i="10"/>
  <c r="AE26" i="10"/>
  <c r="AD26" i="10"/>
  <c r="AC26" i="10"/>
  <c r="AB26" i="10"/>
  <c r="AA26" i="10"/>
  <c r="Z26" i="10"/>
  <c r="Y26" i="10"/>
  <c r="X26" i="10"/>
  <c r="AI26" i="10"/>
  <c r="AH26" i="10"/>
  <c r="AG26" i="10"/>
  <c r="AB45" i="10"/>
  <c r="AA45" i="10"/>
  <c r="Z45" i="10"/>
  <c r="Y45" i="10"/>
  <c r="AI45" i="10"/>
  <c r="AH45" i="10"/>
  <c r="AG45" i="10"/>
  <c r="AF45" i="10"/>
  <c r="J45" i="10"/>
  <c r="AE45" i="10"/>
  <c r="AD45" i="10"/>
  <c r="AC45" i="10"/>
  <c r="X45" i="10"/>
  <c r="Z52" i="10"/>
  <c r="Y52" i="10"/>
  <c r="X52" i="10"/>
  <c r="AI52" i="10"/>
  <c r="AG52" i="10"/>
  <c r="AF52" i="10"/>
  <c r="J52" i="10"/>
  <c r="AE52" i="10"/>
  <c r="AD52" i="10"/>
  <c r="AC52" i="10"/>
  <c r="AB52" i="10"/>
  <c r="AH52" i="10"/>
  <c r="AA52" i="10"/>
  <c r="AF55" i="10"/>
  <c r="J55" i="10"/>
  <c r="AE55" i="10"/>
  <c r="AD55" i="10"/>
  <c r="AC55" i="10"/>
  <c r="AA55" i="10"/>
  <c r="Z55" i="10"/>
  <c r="Y55" i="10"/>
  <c r="X55" i="10"/>
  <c r="AI55" i="10"/>
  <c r="AH55" i="10"/>
  <c r="AG55" i="10"/>
  <c r="AB55" i="10"/>
  <c r="AH54" i="10"/>
  <c r="AG54" i="10"/>
  <c r="AF54" i="10"/>
  <c r="J54" i="10"/>
  <c r="AE54" i="10"/>
  <c r="AC54" i="10"/>
  <c r="AB54" i="10"/>
  <c r="AA54" i="10"/>
  <c r="Z54" i="10"/>
  <c r="Y54" i="10"/>
  <c r="X54" i="10"/>
  <c r="AI54" i="10"/>
  <c r="AD54" i="10"/>
  <c r="B31" i="5"/>
  <c r="B32" i="5"/>
  <c r="B37" i="5"/>
  <c r="AD27" i="10"/>
  <c r="AC27" i="10"/>
  <c r="AB27" i="10"/>
  <c r="AA27" i="10"/>
  <c r="Z27" i="10"/>
  <c r="Y27" i="10"/>
  <c r="X27" i="10"/>
  <c r="AI27" i="10"/>
  <c r="AH27" i="10"/>
  <c r="AG27" i="10"/>
  <c r="AF27" i="10"/>
  <c r="AE27" i="10"/>
  <c r="J27" i="10"/>
  <c r="C32" i="5"/>
  <c r="B38" i="5"/>
  <c r="C36" i="5"/>
  <c r="X12" i="10"/>
  <c r="AI12" i="10"/>
  <c r="AH12" i="10"/>
  <c r="AE12" i="10"/>
  <c r="AG12" i="10"/>
  <c r="AF12" i="10"/>
  <c r="AD12" i="10"/>
  <c r="AC12" i="10"/>
  <c r="AB12" i="10"/>
  <c r="AA12" i="10"/>
  <c r="J12" i="10"/>
  <c r="Z12" i="10"/>
  <c r="Y12" i="10"/>
  <c r="AD21" i="10"/>
  <c r="AC21" i="10"/>
  <c r="AB21" i="10"/>
  <c r="AA21" i="10"/>
  <c r="Z21" i="10"/>
  <c r="Y21" i="10"/>
  <c r="X21" i="10"/>
  <c r="AI21" i="10"/>
  <c r="AH21" i="10"/>
  <c r="AG21" i="10"/>
  <c r="AF21" i="10"/>
  <c r="AE21" i="10"/>
  <c r="J21" i="10"/>
  <c r="X53" i="10"/>
  <c r="AI53" i="10"/>
  <c r="AH53" i="10"/>
  <c r="AG53" i="10"/>
  <c r="AE53" i="10"/>
  <c r="AD53" i="10"/>
  <c r="AC53" i="10"/>
  <c r="AB53" i="10"/>
  <c r="AA53" i="10"/>
  <c r="Z53" i="10"/>
  <c r="AF53" i="10"/>
  <c r="Y53" i="10"/>
  <c r="J53" i="10"/>
  <c r="AD56" i="10"/>
  <c r="AC56" i="10"/>
  <c r="AB56" i="10"/>
  <c r="AA56" i="10"/>
  <c r="Y56" i="10"/>
  <c r="X56" i="10"/>
  <c r="AI56" i="10"/>
  <c r="AH56" i="10"/>
  <c r="AG56" i="10"/>
  <c r="AF56" i="10"/>
  <c r="J56" i="10"/>
  <c r="AE56" i="10"/>
  <c r="Z56" i="10"/>
  <c r="B35" i="5"/>
  <c r="C33" i="5"/>
  <c r="Z7" i="10"/>
  <c r="Y7" i="10"/>
  <c r="X7" i="10"/>
  <c r="AI7" i="10"/>
  <c r="AH7" i="10"/>
  <c r="AG7" i="10"/>
  <c r="AF7" i="10"/>
  <c r="J7" i="10"/>
  <c r="AE7" i="10"/>
  <c r="AD7" i="10"/>
  <c r="AC7" i="10"/>
  <c r="AB7" i="10"/>
  <c r="AA7" i="10"/>
  <c r="C13" i="5"/>
  <c r="C15" i="5" s="1"/>
  <c r="H8" i="4"/>
  <c r="AH25" i="10"/>
  <c r="AG25" i="10"/>
  <c r="AF25" i="10"/>
  <c r="J25" i="10"/>
  <c r="AE25" i="10"/>
  <c r="AD25" i="10"/>
  <c r="AC25" i="10"/>
  <c r="AB25" i="10"/>
  <c r="AA25" i="10"/>
  <c r="Z25" i="10"/>
  <c r="Y25" i="10"/>
  <c r="AI25" i="10"/>
  <c r="X25" i="10"/>
  <c r="AF20" i="10"/>
  <c r="J20" i="10"/>
  <c r="AE20" i="10"/>
  <c r="AD20" i="10"/>
  <c r="AC20" i="10"/>
  <c r="AB20" i="10"/>
  <c r="AA20" i="10"/>
  <c r="Z20" i="10"/>
  <c r="Y20" i="10"/>
  <c r="X20" i="10"/>
  <c r="AI20" i="10"/>
  <c r="AH20" i="10"/>
  <c r="AG20" i="10"/>
  <c r="AH42" i="10"/>
  <c r="AG42" i="10"/>
  <c r="AF42" i="10"/>
  <c r="J42" i="10"/>
  <c r="AE42" i="10"/>
  <c r="AC42" i="10"/>
  <c r="AB42" i="10"/>
  <c r="AA42" i="10"/>
  <c r="Z42" i="10"/>
  <c r="Y42" i="10"/>
  <c r="X42" i="10"/>
  <c r="AI42" i="10"/>
  <c r="AD42" i="10"/>
  <c r="AB39" i="10"/>
  <c r="AA39" i="10"/>
  <c r="Z39" i="10"/>
  <c r="Y39" i="10"/>
  <c r="AI39" i="10"/>
  <c r="AH39" i="10"/>
  <c r="AG39" i="10"/>
  <c r="AF39" i="10"/>
  <c r="J39" i="10"/>
  <c r="AE39" i="10"/>
  <c r="AD39" i="10"/>
  <c r="AC39" i="10"/>
  <c r="X39" i="10"/>
  <c r="Z46" i="10"/>
  <c r="Y46" i="10"/>
  <c r="X46" i="10"/>
  <c r="AI46" i="10"/>
  <c r="AG46" i="10"/>
  <c r="AF46" i="10"/>
  <c r="J46" i="10"/>
  <c r="AE46" i="10"/>
  <c r="AD46" i="10"/>
  <c r="AC46" i="10"/>
  <c r="AB46" i="10"/>
  <c r="AH46" i="10"/>
  <c r="AA46" i="10"/>
  <c r="AF49" i="10"/>
  <c r="J49" i="10"/>
  <c r="AE49" i="10"/>
  <c r="AD49" i="10"/>
  <c r="AC49" i="10"/>
  <c r="AA49" i="10"/>
  <c r="Z49" i="10"/>
  <c r="Y49" i="10"/>
  <c r="X49" i="10"/>
  <c r="AI49" i="10"/>
  <c r="AH49" i="10"/>
  <c r="AG49" i="10"/>
  <c r="AB49" i="10"/>
  <c r="AH13" i="10"/>
  <c r="AG13" i="10"/>
  <c r="AF13" i="10"/>
  <c r="J13" i="10"/>
  <c r="AC13" i="10"/>
  <c r="AI13" i="10"/>
  <c r="AE13" i="10"/>
  <c r="AD13" i="10"/>
  <c r="AB13" i="10"/>
  <c r="AA13" i="10"/>
  <c r="Z13" i="10"/>
  <c r="Y13" i="10"/>
  <c r="X13" i="10"/>
  <c r="X30" i="10"/>
  <c r="AI30" i="10"/>
  <c r="AH30" i="10"/>
  <c r="AG30" i="10"/>
  <c r="AF30" i="10"/>
  <c r="J30" i="10"/>
  <c r="AE30" i="10"/>
  <c r="AD30" i="10"/>
  <c r="AC30" i="10"/>
  <c r="AB30" i="10"/>
  <c r="AA30" i="10"/>
  <c r="Z30" i="10"/>
  <c r="Y30" i="10"/>
  <c r="X8" i="10"/>
  <c r="AI8" i="10"/>
  <c r="AH8" i="10"/>
  <c r="AG8" i="10"/>
  <c r="AF8" i="10"/>
  <c r="J8" i="10"/>
  <c r="AE8" i="10"/>
  <c r="AD8" i="10"/>
  <c r="AC8" i="10"/>
  <c r="AB8" i="10"/>
  <c r="AA8" i="10"/>
  <c r="Z8" i="10"/>
  <c r="Y8" i="10"/>
  <c r="D37" i="5"/>
  <c r="B33" i="5"/>
  <c r="AB28" i="10"/>
  <c r="AA28" i="10"/>
  <c r="Z28" i="10"/>
  <c r="Y28" i="10"/>
  <c r="X28" i="10"/>
  <c r="AI28" i="10"/>
  <c r="AH28" i="10"/>
  <c r="AG28" i="10"/>
  <c r="AF28" i="10"/>
  <c r="J28" i="10"/>
  <c r="AE28" i="10"/>
  <c r="AC28" i="10"/>
  <c r="AD28" i="10"/>
  <c r="AH36" i="10"/>
  <c r="AG36" i="10"/>
  <c r="AF36" i="10"/>
  <c r="J36" i="10"/>
  <c r="AE36" i="10"/>
  <c r="AC36" i="10"/>
  <c r="AB36" i="10"/>
  <c r="AA36" i="10"/>
  <c r="Z36" i="10"/>
  <c r="Y36" i="10"/>
  <c r="X36" i="10"/>
  <c r="AI36" i="10"/>
  <c r="AD36" i="10"/>
  <c r="J8" i="4" l="1"/>
  <c r="K7" i="11" a="1"/>
  <c r="K7" i="11" s="1"/>
  <c r="K8" i="11" s="1"/>
  <c r="O31" i="11" a="1"/>
  <c r="O31" i="11" s="1"/>
  <c r="R31" i="11" s="1"/>
  <c r="O33" i="11" a="1"/>
  <c r="O33" i="11" s="1"/>
  <c r="R33" i="11" s="1"/>
  <c r="O30" i="11" a="1"/>
  <c r="O30" i="11" s="1"/>
  <c r="I30" i="11" a="1"/>
  <c r="I30" i="11" s="1"/>
  <c r="O32" i="11" a="1"/>
  <c r="O32" i="11" s="1"/>
  <c r="R32" i="11" s="1"/>
  <c r="F13" i="4"/>
  <c r="I31" i="11" a="1"/>
  <c r="I31" i="11" s="1"/>
  <c r="F15" i="4"/>
  <c r="I33" i="11" a="1"/>
  <c r="I33" i="11" s="1"/>
  <c r="F14" i="4"/>
  <c r="I32" i="11" a="1"/>
  <c r="I32" i="11" s="1"/>
  <c r="L8" i="3"/>
  <c r="M8" i="3" s="1"/>
  <c r="L7" i="3"/>
  <c r="M7" i="3" s="1"/>
  <c r="AJ51" i="10"/>
  <c r="AK51" i="10" s="1"/>
  <c r="AJ21" i="10"/>
  <c r="AK21" i="10" s="1"/>
  <c r="AJ41" i="10"/>
  <c r="AK41" i="10" s="1"/>
  <c r="AJ45" i="10"/>
  <c r="AK45" i="10" s="1"/>
  <c r="C20" i="9"/>
  <c r="I23" i="11" s="1"/>
  <c r="C11" i="9"/>
  <c r="I16" i="11" s="1"/>
  <c r="AJ10" i="10"/>
  <c r="AK10" i="10" s="1"/>
  <c r="AJ32" i="10"/>
  <c r="AK32" i="10" s="1"/>
  <c r="AJ43" i="10"/>
  <c r="AK43" i="10" s="1"/>
  <c r="AJ53" i="10"/>
  <c r="AK53" i="10" s="1"/>
  <c r="AJ28" i="10"/>
  <c r="AK28" i="10" s="1"/>
  <c r="AJ42" i="10"/>
  <c r="AK42" i="10" s="1"/>
  <c r="AJ25" i="10"/>
  <c r="AK25" i="10" s="1"/>
  <c r="AJ27" i="10"/>
  <c r="AK27" i="10" s="1"/>
  <c r="AJ59" i="10"/>
  <c r="AK59" i="10" s="1"/>
  <c r="AJ48" i="10"/>
  <c r="AK48" i="10" s="1"/>
  <c r="AJ22" i="10"/>
  <c r="AK22" i="10" s="1"/>
  <c r="AJ19" i="10"/>
  <c r="AK19" i="10" s="1"/>
  <c r="AJ49" i="10"/>
  <c r="AK49" i="10" s="1"/>
  <c r="AJ39" i="10"/>
  <c r="AK39" i="10" s="1"/>
  <c r="E17" i="4"/>
  <c r="E21" i="4"/>
  <c r="E15" i="4"/>
  <c r="E14" i="4"/>
  <c r="E19" i="4"/>
  <c r="E13" i="4"/>
  <c r="E23" i="4"/>
  <c r="E20" i="4"/>
  <c r="E22" i="4"/>
  <c r="E12" i="4"/>
  <c r="E18" i="4"/>
  <c r="E16" i="4"/>
  <c r="AJ7" i="10"/>
  <c r="AK7" i="10" s="1"/>
  <c r="G15" i="4"/>
  <c r="C18" i="5"/>
  <c r="C17" i="5"/>
  <c r="G14" i="4"/>
  <c r="C8" i="6"/>
  <c r="G12" i="4"/>
  <c r="G13" i="4"/>
  <c r="F12" i="4"/>
  <c r="G8" i="6"/>
  <c r="H8" i="6" s="1"/>
  <c r="AJ20" i="10"/>
  <c r="AK20" i="10" s="1"/>
  <c r="AJ56" i="10"/>
  <c r="AK56" i="10" s="1"/>
  <c r="AJ12" i="10"/>
  <c r="AK12" i="10" s="1"/>
  <c r="AJ52" i="10"/>
  <c r="AK52" i="10" s="1"/>
  <c r="AJ38" i="10"/>
  <c r="AK38" i="10" s="1"/>
  <c r="AJ35" i="10"/>
  <c r="AK35" i="10" s="1"/>
  <c r="AJ58" i="10"/>
  <c r="AK58" i="10" s="1"/>
  <c r="F28" i="4"/>
  <c r="AJ29" i="10"/>
  <c r="AK29" i="10" s="1"/>
  <c r="AJ50" i="10"/>
  <c r="AK50" i="10" s="1"/>
  <c r="AJ34" i="10"/>
  <c r="AK34" i="10" s="1"/>
  <c r="AJ54" i="10"/>
  <c r="AK54" i="10" s="1"/>
  <c r="AJ18" i="10"/>
  <c r="AK18" i="10" s="1"/>
  <c r="AJ14" i="10"/>
  <c r="AK14" i="10" s="1"/>
  <c r="AJ37" i="10"/>
  <c r="AK37" i="10" s="1"/>
  <c r="AJ44" i="10"/>
  <c r="AK44" i="10" s="1"/>
  <c r="AJ24" i="10"/>
  <c r="AK24" i="10" s="1"/>
  <c r="AJ40" i="10"/>
  <c r="AK40" i="10" s="1"/>
  <c r="AJ36" i="10"/>
  <c r="AK36" i="10" s="1"/>
  <c r="AJ55" i="10"/>
  <c r="AK55" i="10" s="1"/>
  <c r="AJ9" i="10"/>
  <c r="AK9" i="10" s="1"/>
  <c r="AJ46" i="10"/>
  <c r="AK46" i="10" s="1"/>
  <c r="AJ30" i="10"/>
  <c r="AK30" i="10" s="1"/>
  <c r="AJ31" i="10"/>
  <c r="AK31" i="10" s="1"/>
  <c r="AJ17" i="10"/>
  <c r="AK17" i="10" s="1"/>
  <c r="AJ15" i="10"/>
  <c r="AK15" i="10" s="1"/>
  <c r="AJ16" i="10"/>
  <c r="AK16" i="10" s="1"/>
  <c r="AJ47" i="10"/>
  <c r="AK47" i="10" s="1"/>
  <c r="AJ8" i="10"/>
  <c r="AK8" i="10" s="1"/>
  <c r="AJ13" i="10"/>
  <c r="AK13" i="10" s="1"/>
  <c r="AJ26" i="10"/>
  <c r="AK26" i="10" s="1"/>
  <c r="AJ11" i="10"/>
  <c r="AK11" i="10" s="1"/>
  <c r="F30" i="4"/>
  <c r="F29" i="4"/>
  <c r="AJ23" i="10"/>
  <c r="AK23" i="10" s="1"/>
  <c r="AJ57" i="10"/>
  <c r="AK57" i="10" s="1"/>
  <c r="AJ33" i="10"/>
  <c r="AK33" i="10" s="1"/>
  <c r="F24" i="4" l="1"/>
  <c r="F27" i="4" s="1"/>
  <c r="Q7" i="11"/>
  <c r="R30" i="11"/>
  <c r="C19" i="9"/>
  <c r="I22" i="11" s="1"/>
  <c r="C10" i="9"/>
  <c r="I15" i="11" s="1"/>
  <c r="J13" i="4"/>
  <c r="N13" i="4" s="1"/>
  <c r="G24" i="4"/>
  <c r="J12" i="4"/>
  <c r="C21" i="5"/>
  <c r="C25" i="5" s="1"/>
  <c r="D25" i="5" s="1"/>
  <c r="J14" i="4"/>
  <c r="N14" i="4" s="1"/>
  <c r="C12" i="9"/>
  <c r="I17" i="11" s="1"/>
  <c r="J15" i="4"/>
  <c r="N15" i="4" s="1"/>
  <c r="C5" i="9" l="1"/>
  <c r="C23" i="5"/>
  <c r="J24" i="4"/>
  <c r="N12" i="4"/>
  <c r="K15" i="4"/>
  <c r="M15" i="4" s="1"/>
  <c r="O15" i="4" s="1"/>
  <c r="K14" i="4"/>
  <c r="M14" i="4" s="1"/>
  <c r="O14" i="4" s="1"/>
  <c r="K12" i="4"/>
  <c r="K13" i="4"/>
  <c r="M13" i="4" s="1"/>
  <c r="O13" i="4" s="1"/>
  <c r="C5" i="1" l="1"/>
  <c r="B12" i="11"/>
  <c r="L8" i="4"/>
  <c r="K24" i="4"/>
  <c r="M12" i="4"/>
  <c r="O12" i="4" s="1"/>
  <c r="N24" i="4"/>
  <c r="M24" i="4" l="1"/>
  <c r="F31" i="4" s="1"/>
  <c r="U23" i="4" a="1"/>
  <c r="U23" i="4" s="1"/>
  <c r="U12" i="4" a="1"/>
  <c r="U12" i="4" s="1"/>
  <c r="U13" i="4" a="1"/>
  <c r="U13" i="4" s="1"/>
  <c r="U14" i="4" a="1"/>
  <c r="U14" i="4" s="1"/>
  <c r="U15" i="4" a="1"/>
  <c r="U15" i="4" s="1"/>
  <c r="U16" i="4" a="1"/>
  <c r="U16" i="4" s="1"/>
  <c r="U17" i="4" a="1"/>
  <c r="U17" i="4" s="1"/>
  <c r="U18" i="4" a="1"/>
  <c r="U18" i="4" s="1"/>
  <c r="U19" i="4" a="1"/>
  <c r="U19" i="4" s="1"/>
  <c r="U20" i="4" a="1"/>
  <c r="U20" i="4" s="1"/>
  <c r="U22" i="4" a="1"/>
  <c r="U22" i="4" s="1"/>
  <c r="U21" i="4" a="1"/>
  <c r="U21" i="4" s="1"/>
  <c r="Q20" i="4" l="1"/>
  <c r="R20" i="4" a="1"/>
  <c r="R20" i="4" s="1"/>
  <c r="S20" i="4"/>
  <c r="T20" i="4" a="1"/>
  <c r="T20" i="4" s="1"/>
  <c r="Q19" i="4"/>
  <c r="R19" i="4" a="1"/>
  <c r="R19" i="4" s="1"/>
  <c r="S19" i="4"/>
  <c r="T19" i="4" a="1"/>
  <c r="T19" i="4" s="1"/>
  <c r="Q16" i="4"/>
  <c r="R16" i="4" a="1"/>
  <c r="R16" i="4" s="1"/>
  <c r="S16" i="4"/>
  <c r="T16" i="4" a="1"/>
  <c r="T16" i="4" s="1"/>
  <c r="Q15" i="4"/>
  <c r="R15" i="4" a="1"/>
  <c r="R15" i="4" s="1"/>
  <c r="S15" i="4"/>
  <c r="T15" i="4" a="1"/>
  <c r="T15" i="4" s="1"/>
  <c r="Q14" i="4"/>
  <c r="R14" i="4" a="1"/>
  <c r="R14" i="4" s="1"/>
  <c r="S14" i="4"/>
  <c r="T14" i="4" a="1"/>
  <c r="T14" i="4" s="1"/>
  <c r="Q13" i="4"/>
  <c r="R13" i="4" a="1"/>
  <c r="R13" i="4" s="1"/>
  <c r="S13" i="4"/>
  <c r="T13" i="4" a="1"/>
  <c r="T13" i="4" s="1"/>
  <c r="Q17" i="4"/>
  <c r="R17" i="4" a="1"/>
  <c r="R17" i="4" s="1"/>
  <c r="S17" i="4"/>
  <c r="T17" i="4" a="1"/>
  <c r="T17" i="4" s="1"/>
  <c r="Q24" i="4"/>
  <c r="Q12" i="4"/>
  <c r="R12" i="4" a="1"/>
  <c r="R12" i="4" s="1"/>
  <c r="S12" i="4"/>
  <c r="T12" i="4" a="1"/>
  <c r="T12" i="4" s="1"/>
  <c r="T22" i="4" a="1"/>
  <c r="T22" i="4" s="1"/>
  <c r="Q22" i="4"/>
  <c r="R22" i="4" a="1"/>
  <c r="R22" i="4" s="1"/>
  <c r="S22" i="4"/>
  <c r="Q23" i="4"/>
  <c r="R23" i="4" a="1"/>
  <c r="R23" i="4" s="1"/>
  <c r="S23" i="4"/>
  <c r="T23" i="4" a="1"/>
  <c r="T23" i="4" s="1"/>
  <c r="Q18" i="4"/>
  <c r="R18" i="4" a="1"/>
  <c r="R18" i="4" s="1"/>
  <c r="S18" i="4"/>
  <c r="T18" i="4" a="1"/>
  <c r="T18" i="4" s="1"/>
  <c r="R21" i="4" a="1"/>
  <c r="R21" i="4" s="1"/>
  <c r="S21" i="4"/>
  <c r="T21" i="4" a="1"/>
  <c r="T21" i="4" s="1"/>
  <c r="Q2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600-000001000000}">
      <text>
        <r>
          <rPr>
            <sz val="10"/>
            <rFont val="Arial"/>
            <family val="2"/>
          </rPr>
          <t>Placeholder names - type the real ones over them. Everything else in the workbook follows the ID, so renaming here updates every sheet.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3" authorId="0" shapeId="0" xr:uid="{00000000-0006-0000-0700-000001000000}">
      <text>
        <r>
          <rPr>
            <sz val="10"/>
            <rFont val="Arial"/>
            <family val="2"/>
          </rPr>
          <t>Type YOUR rate next to this date. To change the rate later, add a new row below with the date the new rate starts - never overwrite an old row, or past weeks get recalculated at the new rate. Keep the dates in order, oldest first.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<sst xmlns="http://schemas.openxmlformats.org/spreadsheetml/2006/main" count="554" uniqueCount="332">
  <si>
    <t>Donabay</t>
  </si>
  <si>
    <t>Filler-block production and weekly crew pay. No macros, no add-ins - just type.</t>
  </si>
  <si>
    <t>Workbook status</t>
  </si>
  <si>
    <t>FIRST TIME</t>
  </si>
  <si>
    <t>1. Settings</t>
  </si>
  <si>
    <t>Type your pay rate per block next to the start date.</t>
  </si>
  <si>
    <t>2. Workers</t>
  </si>
  <si>
    <t>Replace 'Worker 1..4' with real names. Leave them Active.</t>
  </si>
  <si>
    <t>EVERY DAY  (1 minute)</t>
  </si>
  <si>
    <t>Daily Log</t>
  </si>
  <si>
    <t>On today's row: blocks moulded, blocks broken, and 1 under each worker who came (0.5 for half a day, leave empty if absent). Broken blocks can be filled in later, once you know them.</t>
  </si>
  <si>
    <t>WHEN SOMEONE ASKS FOR MONEY</t>
  </si>
  <si>
    <t>Cash Ledger</t>
  </si>
  <si>
    <t>New row: date, worker, type 'Advance', amount, reason. That's it - it is subtracted on payday automatically.</t>
  </si>
  <si>
    <t>PAYDAY</t>
  </si>
  <si>
    <t>1. Weekly Pay</t>
  </si>
  <si>
    <t>Pick the week. Check 'Before you pay' says OK. Pay each worker the green TO PAY amount.</t>
  </si>
  <si>
    <t>2. Cash Ledger</t>
  </si>
  <si>
    <t>3. Payslip</t>
  </si>
  <si>
    <t>Print one per worker and have them sign. It lists every advance they took that week.</t>
  </si>
  <si>
    <t>PEOPLE CHANGE</t>
  </si>
  <si>
    <t>Someone joins</t>
  </si>
  <si>
    <t>Workers: type the name in the next empty slot, status Active, joined date.</t>
  </si>
  <si>
    <t>Someone leaves</t>
  </si>
  <si>
    <t>Workers: set status Left. Do not delete the row - their history stays.</t>
  </si>
  <si>
    <t>Rate changes</t>
  </si>
  <si>
    <t>Settings: add a NEW row with the date the new rate starts. Old weeks keep the old rate.</t>
  </si>
  <si>
    <t>MISTAKES</t>
  </si>
  <si>
    <t>Wrong ledger entry</t>
  </si>
  <si>
    <t>Do not delete it. Add a 'Correction' row with the opposite amount (e.g. -100000) and say why.</t>
  </si>
  <si>
    <t>RULES THIS FILE FOLLOWS</t>
  </si>
  <si>
    <t>Pay base</t>
  </si>
  <si>
    <t>Only good blocks are paid (moulded minus broken). Settings can add a breakage allowance.</t>
  </si>
  <si>
    <t>Split</t>
  </si>
  <si>
    <t>The week's pot is shared by days worked: pot x your days / everyone's days.</t>
  </si>
  <si>
    <t>Debts</t>
  </si>
  <si>
    <t>Advances bigger than earnings never make pay negative - pay is 0 and the rest carries forward, visible on every payslip until it is paid back.</t>
  </si>
  <si>
    <t>Colours</t>
  </si>
  <si>
    <t>One row per day. Fill: blocks moulded, blocks broken, and who worked (1 = full day, 0.5 = half day, empty = absent).</t>
  </si>
  <si>
    <t>All time</t>
  </si>
  <si>
    <t>Attendance: 1 full day, 0.5 half day, empty = absent</t>
  </si>
  <si>
    <t>Date</t>
  </si>
  <si>
    <t>Day</t>
  </si>
  <si>
    <t>Moulded</t>
  </si>
  <si>
    <t>Broken</t>
  </si>
  <si>
    <t>Good</t>
  </si>
  <si>
    <t>Paid blocks</t>
  </si>
  <si>
    <t>Crew-days</t>
  </si>
  <si>
    <t>Rate</t>
  </si>
  <si>
    <t>Pay value</t>
  </si>
  <si>
    <t>Week of</t>
  </si>
  <si>
    <t>Check</t>
  </si>
  <si>
    <t>Notes</t>
  </si>
  <si>
    <t>Every som you hand a worker goes here - one row each time. Never delete a row: fix a mistake with a Correction.</t>
  </si>
  <si>
    <t>Advances</t>
  </si>
  <si>
    <t>Weekly pay</t>
  </si>
  <si>
    <t>Corrections</t>
  </si>
  <si>
    <t>#</t>
  </si>
  <si>
    <t>Worker</t>
  </si>
  <si>
    <t>Type</t>
  </si>
  <si>
    <t>Amount (so'm)</t>
  </si>
  <si>
    <t>Reason</t>
  </si>
  <si>
    <t>Given by</t>
  </si>
  <si>
    <t>Signed?</t>
  </si>
  <si>
    <t>ID</t>
  </si>
  <si>
    <t>key</t>
  </si>
  <si>
    <t>Worker balance after</t>
  </si>
  <si>
    <t>Weekly Pay</t>
  </si>
  <si>
    <t>Week starting (Monday):</t>
  </si>
  <si>
    <t>Good blocks</t>
  </si>
  <si>
    <t>Pot (so'm)</t>
  </si>
  <si>
    <t>Reject rate</t>
  </si>
  <si>
    <t>Workbook checks</t>
  </si>
  <si>
    <t>Status</t>
  </si>
  <si>
    <t>Days</t>
  </si>
  <si>
    <t>Share</t>
  </si>
  <si>
    <t>Earned this week</t>
  </si>
  <si>
    <t>Brought forward</t>
  </si>
  <si>
    <t>Due</t>
  </si>
  <si>
    <t>TO PAY</t>
  </si>
  <si>
    <t>Paid (in ledger)</t>
  </si>
  <si>
    <t>Still to pay</t>
  </si>
  <si>
    <t>Carried forward</t>
  </si>
  <si>
    <t>Note</t>
  </si>
  <si>
    <t>Crew total</t>
  </si>
  <si>
    <t>Before you pay</t>
  </si>
  <si>
    <t>Shares add up to the pot</t>
  </si>
  <si>
    <t>Everyone's days match the crew total</t>
  </si>
  <si>
    <t>Pot is shared out</t>
  </si>
  <si>
    <t>Cash needed for payday</t>
  </si>
  <si>
    <t>Brought forward: positive = you still owe the worker from earlier weeks; negative = the worker owes you.</t>
  </si>
  <si>
    <t>TO PAY is never below zero. If advances were bigger than earnings, pay is 0 and the rest carries to next week.</t>
  </si>
  <si>
    <t>After paying, record each payment in the Cash Ledger as 'Weekly pay' with a date inside this week - 'Still to pay' then drops to 0.</t>
  </si>
  <si>
    <t>Payslip</t>
  </si>
  <si>
    <t>Pick a week and a worker, print, and have the worker sign when paid.</t>
  </si>
  <si>
    <t>Week starting (Monday)</t>
  </si>
  <si>
    <t>DONABAY - PAYSLIP</t>
  </si>
  <si>
    <t>Crew paid blocks this week</t>
  </si>
  <si>
    <t>Crew pot</t>
  </si>
  <si>
    <t>Crew-days worked</t>
  </si>
  <si>
    <t>Your days</t>
  </si>
  <si>
    <t>Your share</t>
  </si>
  <si>
    <t>Brought forward from earlier weeks</t>
  </si>
  <si>
    <t>Advances this week (listed below)</t>
  </si>
  <si>
    <t>Corrections this week</t>
  </si>
  <si>
    <t>TO PAY NOW</t>
  </si>
  <si>
    <t>Already paid this week (ledger)</t>
  </si>
  <si>
    <t>Carried to next week</t>
  </si>
  <si>
    <t>Advances taken this week</t>
  </si>
  <si>
    <t>Worker's signature</t>
  </si>
  <si>
    <t>Paid by</t>
  </si>
  <si>
    <t>Date paid</t>
  </si>
  <si>
    <t>Worker History</t>
  </si>
  <si>
    <t>One worker's whole account, week by week: earned, taken, paid, and where the balance stands.</t>
  </si>
  <si>
    <t>+ you owe them / - they owe you</t>
  </si>
  <si>
    <t>Earned</t>
  </si>
  <si>
    <t>Balance after the week</t>
  </si>
  <si>
    <t>Meaning</t>
  </si>
  <si>
    <t>Workers</t>
  </si>
  <si>
    <t>Add a worker: fill the next empty slot and set Active. Remove one: set Left. Never delete or reuse a slot - that keeps each person's history intact.</t>
  </si>
  <si>
    <t>Name</t>
  </si>
  <si>
    <t>Joined</t>
  </si>
  <si>
    <t>Left on</t>
  </si>
  <si>
    <t>Phone</t>
  </si>
  <si>
    <t>W01</t>
  </si>
  <si>
    <t>Active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</si>
  <si>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</si>
  <si>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</si>
  <si>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</si>
  <si>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</si>
  <si>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</si>
  <si>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</si>
  <si>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</si>
  <si>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</si>
  <si>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</si>
  <si>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</si>
  <si>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</si>
  <si>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Settings</t>
  </si>
  <si>
    <t>Rules</t>
  </si>
  <si>
    <t>Lists (used by dropdowns)</t>
  </si>
  <si>
    <t>Breakage allowance</t>
  </si>
  <si>
    <t>Broken blocks up to this share of what was moulded are still paid. 0% = pay only good blocks (your rule). Block plants commonly break 2-5%; set e.g. 3% if you want to absorb normal breakage yourself.</t>
  </si>
  <si>
    <t>Advance</t>
  </si>
  <si>
    <t>Yes</t>
  </si>
  <si>
    <t>Old debt taken back per week, max</t>
  </si>
  <si>
    <t>When a worker owes you from earlier weeks, at most this share of a week's earnings goes to paying it back. 100% = take back everything you can (your rule). For formally employed workers Uzbek labour law caps wage deductions at 50% - check the Labour Code on lex.uz before relying on this.</t>
  </si>
  <si>
    <t>Left</t>
  </si>
  <si>
    <t>No</t>
  </si>
  <si>
    <t>Reject rate that raises a warning</t>
  </si>
  <si>
    <t>Normal breakage in block plants is 2-5%; above about 8% usually means a curing or handling problem worth looking at.</t>
  </si>
  <si>
    <t>Correction</t>
  </si>
  <si>
    <t>Pay rate per paid block</t>
  </si>
  <si>
    <t>Starts from (date)</t>
  </si>
  <si>
    <t>Rate (so'm per block)</t>
  </si>
  <si>
    <t>&lt;- type your rate here. Add a row below when it changes; old weeks keep the old rate.</t>
  </si>
  <si>
    <t>Checks</t>
  </si>
  <si>
    <t>The workbook checking itself. Everything should say OK before payday.</t>
  </si>
  <si>
    <t>Overall</t>
  </si>
  <si>
    <t>Result</t>
  </si>
  <si>
    <t>Where to look</t>
  </si>
  <si>
    <t>Worker list is clean (names unique, status set)</t>
  </si>
  <si>
    <t>Daily Log rows without problems</t>
  </si>
  <si>
    <t>Daily Log - Check column</t>
  </si>
  <si>
    <t>Cash Ledger entries are complete and valid</t>
  </si>
  <si>
    <t>Cash Ledger - Check column</t>
  </si>
  <si>
    <t>Every week's pot is shared out</t>
  </si>
  <si>
    <t>Weeks</t>
  </si>
  <si>
    <t>Worker shares add up to each week's pot</t>
  </si>
  <si>
    <t>A pay rate is set</t>
  </si>
  <si>
    <t>Rate dates are in order, oldest first</t>
  </si>
  <si>
    <t>Cash Ledger has room left</t>
  </si>
  <si>
    <t>Cash Ledger - nearly full, ask for a rebuild</t>
  </si>
  <si>
    <t>Worker slots left</t>
  </si>
  <si>
    <t>Workers - all slots used, ask for a rebuild</t>
  </si>
  <si>
    <t>Warnings (not errors)</t>
  </si>
  <si>
    <t>Advances bigger than what the worker had earned so far</t>
  </si>
  <si>
    <t>Allowed - just so you know. Shows as debt carried forward.</t>
  </si>
  <si>
    <t>Calculation engine - nothing to type here. Every other sheet reads from it.</t>
  </si>
  <si>
    <t>Days worked</t>
  </si>
  <si>
    <t>Earned (so'm)</t>
  </si>
  <si>
    <t>to</t>
  </si>
  <si>
    <t>Reject %</t>
  </si>
  <si>
    <t>Good per crew-day</t>
  </si>
  <si>
    <t>Shares total</t>
  </si>
  <si>
    <t>Shares - pot</t>
  </si>
  <si>
    <t>Davlatbek</t>
  </si>
  <si>
    <t>Xusanboy</t>
  </si>
  <si>
    <t>Oybek</t>
  </si>
  <si>
    <t>Abdurashid</t>
  </si>
  <si>
    <t>Karta</t>
  </si>
  <si>
    <t>Karta+Naqd</t>
  </si>
  <si>
    <t>Ready for the Cash Ledger</t>
  </si>
  <si>
    <t>After paying: select the filled rows below, copy, go to the next empty row in the Cash Ledger (column B) and Paste Values (Ctrl+Shift+V, or Paste ▸ Values).</t>
  </si>
  <si>
    <t>slot</t>
  </si>
  <si>
    <t>Today's row is green · Ctrl+↓ jumps down</t>
  </si>
  <si>
    <t>Payday. Pick the week, pay each worker the green TO PAY column, then copy the 'Ready for the Cash Ledger' list on the right into the Cash Ledger (Paste Values).</t>
  </si>
  <si>
    <t>◆ Donabay</t>
  </si>
  <si>
    <t>Home</t>
  </si>
  <si>
    <t>Guide</t>
  </si>
  <si>
    <t>·</t>
  </si>
  <si>
    <t>History</t>
  </si>
  <si>
    <t>Dashboard</t>
  </si>
  <si>
    <t>row</t>
  </si>
  <si>
    <t>GOOD BLOCKS</t>
  </si>
  <si>
    <t>CREW EARNED (SO'M)</t>
  </si>
  <si>
    <t>CREW-DAYS</t>
  </si>
  <si>
    <t>REJECT RATE</t>
  </si>
  <si>
    <t>ADVANCES THIS WEEK</t>
  </si>
  <si>
    <t>OWED TO CREW NOW</t>
  </si>
  <si>
    <t>Crew this week</t>
  </si>
  <si>
    <t>WORKER</t>
  </si>
  <si>
    <t>DAYS</t>
  </si>
  <si>
    <t>EARNED THIS WEEK</t>
  </si>
  <si>
    <t>OWED NOW</t>
  </si>
  <si>
    <t>STATUS</t>
  </si>
  <si>
    <t>Workbook health</t>
  </si>
  <si>
    <t>Quick actions</t>
  </si>
  <si>
    <t>›  Log today's production</t>
  </si>
  <si>
    <t>Blocks moulded, broken, who came</t>
  </si>
  <si>
    <t>›  Record an advance</t>
  </si>
  <si>
    <t>Date, worker, 'Advance', amount</t>
  </si>
  <si>
    <t>›  Run payday</t>
  </si>
  <si>
    <t>Pay the TO PAY column, copy the list</t>
  </si>
  <si>
    <t>›  Print a payslip</t>
  </si>
  <si>
    <t>Pick week + worker, print, sign</t>
  </si>
  <si>
    <t>›  See one worker's history</t>
  </si>
  <si>
    <t>Week-by-week earnings and cash</t>
  </si>
  <si>
    <t>›  Add or remove a worker</t>
  </si>
  <si>
    <t>Fill a slot, or set status to Left</t>
  </si>
  <si>
    <t>›  Change the pay rate</t>
  </si>
  <si>
    <t>Add a new row with a start date</t>
  </si>
  <si>
    <t>›  How this works</t>
  </si>
  <si>
    <t>Step-by-step instructions</t>
  </si>
  <si>
    <t>Donabay · block plant payroll · type only in the tinted cells on each page</t>
  </si>
  <si>
    <t>Totals</t>
  </si>
  <si>
    <t>Tips: Ctrl+; types today's date · click B7 then Ctrl+↓ to jump to the last entry</t>
  </si>
  <si>
    <t>Change these rarely. Tinted (light blue) cells are yours to edit.</t>
  </si>
  <si>
    <t>Copy the green 'Ready for the Cash Ledger' list on Weekly Pay and Paste Values into the next empty row.</t>
  </si>
  <si>
    <t>Light blue = you type here.  White = calculated, leave alone.  Red = needs a look.</t>
  </si>
  <si>
    <t>Weeks with a high reject rate</t>
  </si>
  <si>
    <t># Donabay – Project Notes (handover)</t>
  </si>
  <si>
    <t>_Last updated: 24 Sep 2026. File: **Donabay.xlsx**_</t>
  </si>
  <si>
    <t>Weekly pay workbook for a filler-block plant. The crew is paid **per good block** and the weekly pot is **shared by days worked**. Advances are logged in a cash ledger and taken off the next pay. Plain Excel only: no macros, no add-ins.</t>
  </si>
  <si>
    <t>---</t>
  </si>
  <si>
    <t>## 1. How the business rules work</t>
  </si>
  <si>
    <t>| Rule | How it works |</t>
  </si>
  <si>
    <t>|---|---|</t>
  </si>
  <si>
    <t>| Pay base | Only good blocks are paid: `Good = Moulded − Broken`. `Paid blocks = Moulded − MAX(0, Broken − BreakAllow × Moulded)`. BreakAllow is currently 0%, so paid = good. |</t>
  </si>
  <si>
    <t>| Pay rate | Settings rate table: so'm per paid block, each rate with a start date. The rate in force on each day is looked up, so old weeks keep their old rate. Current rate: **500 so'm from 2026-09-21**. |</t>
  </si>
  <si>
    <t>| Weekly pot | Sum of the week's daily pay values (paid blocks × rate). |</t>
  </si>
  <si>
    <t>| Split | Worker share = pot × (worker's days ÷ total crew-days). Attendance: `1` = full day, `0.5` = half day, empty = absent. |</t>
  </si>
  <si>
    <t>| Advances | Logged in the Cash Ledger as type **Advance** and taken off that week's pay. |</t>
  </si>
  <si>
    <t>| Debt | Pay never goes negative. If a worker owes money, TO PAY is 0 and the debt carries forward. At most **DebtCap** of a week's earnings (currently 100%) goes to paying back old debt. Note: Uzbek labour law caps wage deductions at 50% for formally employed staff. |</t>
  </si>
  <si>
    <t>| Weeks | Monday to Sunday. The first week starts **2026-09-21**. |</t>
  </si>
  <si>
    <t>| Mistakes | Never delete a ledger row. Add a **Correction** row with the opposite amount. |</t>
  </si>
  <si>
    <t>## 2. Sheets (in tab order)</t>
  </si>
  <si>
    <t>| # | Sheet | Purpose | Frozen | Notes |</t>
  </si>
  <si>
    <t>|---|---|---|---|---|</t>
  </si>
  <si>
    <t>| 1 | **Home** | Dashboard, the file opens here | – | KPI cards (rows 6–8), Workbook health (B11:I23), Quick actions (K11:R19), Crew table (rows 29–41). Hidden helper T3 = row of the current week in Weeks. The week shown is the current calendar week (the Monday of today). |</t>
  </si>
  <si>
    <t>| 2 | **Daily Log** | One row per day (rows 7:377) | A1:B6 | A Date · B Day · C Moulded · D Broken · E Good · F Paid blocks · **G:R attendance for worker slots W01–W12** · S Crew-days · T Rate · U Pay value · V Week of · W Check · X Notes. Today's row is highlighted green. Attendance only accepts values from 0 to 1. Some columns are grouped (collapsed). |</t>
  </si>
  <si>
    <t>| 3 | **Cash Ledger** | Every so'm handed out (rows 7:1006) | rows 1:6 | A # · B Date · C Worker · D Type (Advance / Weekly pay / Correction) · E Amount · F Reason · G Given by · H Signed? · I ID · J Week of · K key · L Worker balance after · M Check. The totals row is row 4. I:K are grouped helper columns. |</t>
  </si>
  <si>
    <t>| 4 | **Weekly Pay** | Payday screen | A1:B11 | Week picker in **C5**. Worker rows 12:23 (slots W01–W12), crew total in row 24. F Earned · G Brought forward · H Advances · I Corrections · J Due · **K TO PAY** · L Paid (in ledger) · M Still to pay · N Carried forward · O Note. **Q:T "Ready for the Cash Ledger"** lists the rows to copy and Paste Values into the ledger. U is a hidden helper column. |</t>
  </si>
  <si>
    <t>| 5 | **Payslip** | Printable slip | row 1 | Week in C5, worker in C6. Lists that week's advances and has signature lines. |</t>
  </si>
  <si>
    <t>| 6 | Worker History | One worker's account week by week | rows 1:7 | Worker picker in row 5. |</t>
  </si>
  <si>
    <t>| 7 | Workers | 12 fixed slots W01–W12 (rows 6:17) | rows 1:5 | ID · Name · Status (Active/Left) · Joined · Left on · Phone · Notes · Check. Never delete or reuse a slot. |</t>
  </si>
  <si>
    <t>| 8 | Settings | Rules and pay rates | row 1 | C6 BreakAllow · C7 DebtCap · C8 RejectAlarm (8%). Rate table B13:C32. Dropdown lists F6:H8. |</t>
  </si>
  <si>
    <t>| 9 | Guide | User instructions (was "Start here") | row 1 | |</t>
  </si>
  <si>
    <t>| 10 | Weeks | Calculation engine, one row per week (rows 7:59) | A1:B6 | A Week of … J Good per crew-day · K Check · **L:W days per worker** · **X:AI share per worker** · AJ Shares total · AK Shares − pot. Worker IDs are in row 5 and matched by Weekly Pay, Payslip and Worker History. |</t>
  </si>
  <si>
    <t>| 11 | Checks | Self-checks | row 1 | C5 overall result ("ALL CHECKS OK"), 9 checks in B8:C16, warnings B19:C20. |</t>
  </si>
  <si>
    <t>| 12 | Project Notes | These notes | – | |</t>
  </si>
  <si>
    <t>### Named ranges</t>
  </si>
  <si>
    <t>`BreakAllow=Settings!C6` · `DebtCap=Settings!C7` · `RejectAlarm=Settings!C8` · `RateDates=Settings!B13:B32` · `RateValues=Settings!C13:C32` · `EntryTypes=Settings!F6:F8` · `StatusList=Settings!G6:G7` · `YesNo=Settings!H6:H7` · `WeekStarts=Weeks!A7:A59` · `WorkerIDs=Workers!A6:A17` · `WorkerNames=Workers!B6:B17`</t>
  </si>
  <si>
    <t>## 3. Current data (at handover)</t>
  </si>
  <si>
    <t>- **Workers:** W01 Davlatbek, W02 Xusanboy, W03 Oybek, W04 Abdurashid. All Active, joined 2026-09-21. W05–W12 are empty.</t>
  </si>
  <si>
    <t>- **Week of 2026-09-21** (as of 23 Sep): moulded 11,978, broken 121, good 11,857, pot 5,928,500 so'm, 24 crew-days, reject rate 1.0%.</t>
  </si>
  <si>
    <t>- **Advances:** Davlatbek 150,000 (21 Sep) and Xusanboy 500,000 (22 Sep), 650,000 in total. TO PAY for the crew was 5,278,500.</t>
  </si>
  <si>
    <t>- Checks: **ALL CHECKS OK**.</t>
  </si>
  <si>
    <t>- More Daily Log rows were entered after this; check the file for the latest figures.</t>
  </si>
  <si>
    <t>## 4. Design system (Light &amp; clean)</t>
  </si>
  <si>
    <t>- Font **Segoe UI**. White background, no gridlines.</t>
  </si>
  <si>
    <t>- Colours:</t>
  </si>
  <si>
    <t xml:space="preserve">  - ink `#0F172A`, text `#334155`, muted `#64748B`, border `#E2E8F0`, surface `#F8FAFC`</t>
  </si>
  <si>
    <t xml:space="preserve">  - accent `#4F46E5` / `#4338CA`, accent soft `#EEF2FF`</t>
  </si>
  <si>
    <t xml:space="preserve">  - success `#16A34A` / `#DCFCE7`, warning `#B45309` / `#FEF3C7`, danger `#B91C1C` / `#FEE2E2`</t>
  </si>
  <si>
    <t>- **Input cells:** fill `#EEF2FF`, text `#3730A3` (light blue = you type here). Calculated cells are white.</t>
  </si>
  <si>
    <t>- Table headers: fill `#F8FAFC`, bold 9pt `#475569`, bottom border `#CBD5E1`. Rows have thin horizontal lines only.</t>
  </si>
  <si>
    <t>- Number format `#,##0` (the old `# ##0` displayed wrongly, e.g. "5928 500"). Zeros show as `–`. Percentages `0.0%`.</t>
  </si>
  <si>
    <t>- **Nav bar (row 1, every sheet):** "◆ Donabay" brand, then links Home · Daily Log · Cash Ledger · Weekly Pay · Payslip · Workers · Settings · Guide, with History · Weeks · Checks in lighter grey. The current page has fill `#EEF2FF`, text `#4338CA` and a thick indigo bottom border. Row height 30. Some nav cells are **merged**.</t>
  </si>
  <si>
    <t>- Tab colours: indigo for Home, Daily Log, Cash Ledger, Weekly Pay and Payslip. Grey for the rest.</t>
  </si>
  <si>
    <t>## 5. Change log</t>
  </si>
  <si>
    <t>1. Built the core workbook: Daily Log, Cash Ledger, Weekly Pay, Payslip, Workers, Settings, Weeks, Checks and Start here.</t>
  </si>
  <si>
    <t>2. Tried checkboxes for attendance. The user couldn't tick them, so this was **rolled back** to 1 / 0.5 / empty.</t>
  </si>
  <si>
    <t>3. Speed-ups:</t>
  </si>
  <si>
    <t xml:space="preserve">   - Weekly Pay "Ready for the Cash Ledger" copy block.</t>
  </si>
  <si>
    <t xml:space="preserve">   - Green highlight on today's row in the Daily Log.</t>
  </si>
  <si>
    <t xml:space="preserve">   - Grouped helper columns.</t>
  </si>
  <si>
    <t xml:space="preserve">   - Tips lines.</t>
  </si>
  <si>
    <t>4. Redesign:</t>
  </si>
  <si>
    <t xml:space="preserve">   - Inserted nav row 1 on all sheets, which moved every row down by 1.</t>
  </si>
  <si>
    <t xml:space="preserve">   - New Home dashboard.</t>
  </si>
  <si>
    <t xml:space="preserve">   - Restyled every sheet.</t>
  </si>
  <si>
    <t xml:space="preserve">   - Renamed Start here to Guide.</t>
  </si>
  <si>
    <t xml:space="preserve">   - Fixed the Cash Ledger # numbering.</t>
  </si>
  <si>
    <t xml:space="preserve">   - Moved the Corrections total.</t>
  </si>
  <si>
    <t xml:space="preserve">   - Amounts inside message text now show as `#,##0`.</t>
  </si>
  <si>
    <t>5. **Removed cement tracking.** The plant uses batching weight controls, so these were dropped:</t>
  </si>
  <si>
    <t xml:space="preserve">   - Daily Log Cement column.</t>
  </si>
  <si>
    <t xml:space="preserve">   - Weeks Cement bags and Bags per 1000 columns.</t>
  </si>
  <si>
    <t xml:space="preserve">   - The cement check in the Weeks Check column.</t>
  </si>
  <si>
    <t xml:space="preserve">   - The Settings "expected bags" row and the `CementNorm` name.</t>
  </si>
  <si>
    <t xml:space="preserve">   - The cement wording in the Checks warning.</t>
  </si>
  <si>
    <t>6. Added this Project Notes tab (24 Sep 2026).</t>
  </si>
  <si>
    <t>## 6. Known quirks and lessons</t>
  </si>
  <si>
    <t>- Link formulas are **blocked** in this environment. Nav links are static cell links (Insert → Link → Place in this document).</t>
  </si>
  <si>
    <t>- Nav bar cells can be merged. Unmerge them before inserting or deleting columns near the nav links, then rebuild.</t>
  </si>
  <si>
    <t>- Inserting or deleting columns on Daily Log or Weeks moves the nav bar links. Check row 1 afterwards.</t>
  </si>
  <si>
    <t>- Payslip printing has **not been test-printed** since the redesign.</t>
  </si>
  <si>
    <t>- Capacity: Daily Log runs to row 377 (about 1 year), the Cash Ledger has 1,000 rows, Weeks has 53 rows, and there are 12 worker slots. Checks warns when these are nearly full.</t>
  </si>
  <si>
    <t>- These notes are kept on this tab so they travel with the workbook.</t>
  </si>
  <si>
    <t>## 7. Daily use (quick reference)</t>
  </si>
  <si>
    <t>- **Every day (Daily Log):** enter moulded, broken, and 1 / 0.5 / empty for each worker.</t>
  </si>
  <si>
    <t xml:space="preserve">  - Fast fill: select the cells, type `1`, then press **Ctrl+Enter** (Mac: Control+Return).</t>
  </si>
  <si>
    <t xml:space="preserve">  - Ctrl+D fills down and Ctrl+R fills right.</t>
  </si>
  <si>
    <t>- **Advance:** add a Cash Ledger row with date, worker, `Advance`, amount and reason. Ctrl+; enters today's date.</t>
  </si>
  <si>
    <t>- **Payday:** on Weekly Pay, pick the week, check Checks says OK, and pay the **TO PAY** amounts. Then copy the "Ready for the Cash Ledger" list and Paste Values into the next empty ledger row. Print the Payslips and have each worker sign.</t>
  </si>
  <si>
    <t>- **New worker:** fill the next empty slot on Workers and set it Active. **Leaver:** set Left and never delete the row.</t>
  </si>
  <si>
    <t>- **Rate change:** add a new row to the Settings rate table with the start date.</t>
  </si>
  <si>
    <t>## 8. Possible next steps</t>
  </si>
  <si>
    <t>- Test-print the Payslip and set the print area and page setup.</t>
  </si>
  <si>
    <t>- Optional: monthly summary or chart on Home.</t>
  </si>
  <si>
    <t>- Optional: extend capacity (more worker slots or ledger rows) when Checks warns.</t>
  </si>
  <si>
    <t>Project Notes: to make a .md file, copy A3 to the last line into Notepad and save as Donabay_project_notes.md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</si>
</sst>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"/>
    <numFmt numFmtId="165" formatCode="0.0%"/>
    <numFmt numFmtId="166" formatCode="d\ mmm\ yyyy"/>
    <numFmt numFmtId="167" formatCode="#,##0;\-#,##0;\–"/>
    <numFmt numFmtId="168" formatCode="#,##0;[Color10]\-#,##0;\–"/>
    <numFmt numFmtId="169" formatCode="#,##0;\-#,##0;\-"/>
    <numFmt numFmtId="170" formatCode="#,##0;[Red]\-#,##0;\-"/>
    <numFmt numFmtId="171" formatCode="&quot;→ &quot;d\ mmm"/>
    <numFmt numFmtId="172" formatCode="&quot;to &quot;d\ mmm\ yyyy"/>
  </numFmts>
  <fonts count="4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Segoe UI"/>
      <family val="2"/>
    </font>
    <font>
      <b/>
      <sz val="12"/>
      <color rgb="FF4F46E5"/>
      <name val="Segoe UI"/>
      <family val="2"/>
    </font>
    <font>
      <sz val="10"/>
      <color rgb="FFCBD5E1"/>
      <name val="Segoe UI"/>
      <family val="2"/>
    </font>
    <font>
      <b/>
      <sz val="11"/>
      <color rgb="FF4338CA"/>
      <name val="Segoe UI"/>
      <family val="2"/>
    </font>
    <font>
      <sz val="11"/>
      <color rgb="FF475569"/>
      <name val="Segoe UI"/>
      <family val="2"/>
    </font>
    <font>
      <sz val="11"/>
      <color rgb="FF94A3B8"/>
      <name val="Segoe UI"/>
      <family val="2"/>
    </font>
    <font>
      <sz val="11"/>
      <color rgb="FFCBD5E1"/>
      <name val="Segoe UI"/>
      <family val="2"/>
    </font>
    <font>
      <sz val="11"/>
      <color rgb="FF334155"/>
      <name val="Segoe UI"/>
      <family val="2"/>
    </font>
    <font>
      <b/>
      <sz val="20"/>
      <color rgb="FF0F172A"/>
      <name val="Segoe UI"/>
      <family val="2"/>
    </font>
    <font>
      <sz val="9"/>
      <color rgb="FF64748B"/>
      <name val="Segoe UI"/>
      <family val="2"/>
    </font>
    <font>
      <sz val="8"/>
      <color rgb="FF64748B"/>
      <name val="Calibri"/>
      <family val="2"/>
      <charset val="1"/>
    </font>
    <font>
      <b/>
      <sz val="8"/>
      <color rgb="FF64748B"/>
      <name val="Calibri"/>
      <family val="2"/>
      <charset val="1"/>
    </font>
    <font>
      <b/>
      <sz val="18"/>
      <color rgb="FF0F172A"/>
      <name val="Calibri"/>
      <family val="2"/>
      <charset val="1"/>
    </font>
    <font>
      <b/>
      <sz val="12"/>
      <color rgb="FF0F172A"/>
      <name val="Segoe UI"/>
      <family val="2"/>
    </font>
    <font>
      <sz val="8"/>
      <color rgb="FF64748B"/>
      <name val="Segoe UI"/>
      <family val="2"/>
    </font>
    <font>
      <b/>
      <sz val="8"/>
      <color rgb="FF64748B"/>
      <name val="Segoe UI"/>
      <family val="2"/>
    </font>
    <font>
      <sz val="10"/>
      <color rgb="FF334155"/>
      <name val="Segoe UI"/>
      <family val="2"/>
    </font>
    <font>
      <b/>
      <sz val="10"/>
      <color rgb="FF0F172A"/>
      <name val="Segoe UI"/>
      <family val="2"/>
    </font>
    <font>
      <b/>
      <sz val="10"/>
      <color rgb="FF334155"/>
      <name val="Segoe UI"/>
      <family val="2"/>
    </font>
    <font>
      <b/>
      <sz val="9"/>
      <color rgb="FF334155"/>
      <name val="Segoe UI"/>
      <family val="2"/>
    </font>
    <font>
      <sz val="9"/>
      <color rgb="FF475569"/>
      <name val="Segoe UI"/>
      <family val="2"/>
    </font>
    <font>
      <b/>
      <sz val="9"/>
      <color rgb="FF475569"/>
      <name val="Segoe UI"/>
      <family val="2"/>
    </font>
    <font>
      <i/>
      <sz val="9"/>
      <color rgb="FF475569"/>
      <name val="Segoe UI"/>
      <family val="2"/>
    </font>
    <font>
      <b/>
      <sz val="10"/>
      <color rgb="FF4338CA"/>
      <name val="Segoe UI"/>
      <family val="2"/>
    </font>
    <font>
      <sz val="8"/>
      <color rgb="FF94A3B8"/>
      <name val="Segoe UI"/>
      <family val="2"/>
    </font>
    <font>
      <i/>
      <sz val="8"/>
      <color rgb="FF94A3B8"/>
      <name val="Segoe UI"/>
      <family val="2"/>
    </font>
    <font>
      <b/>
      <sz val="18"/>
      <color rgb="FF0F172A"/>
      <name val="Segoe UI"/>
      <family val="2"/>
    </font>
    <font>
      <i/>
      <sz val="9"/>
      <color rgb="FF64748B"/>
      <name val="Segoe UI"/>
      <family val="2"/>
    </font>
    <font>
      <sz val="10"/>
      <color rgb="FF3730A3"/>
      <name val="Segoe UI"/>
      <family val="2"/>
    </font>
    <font>
      <b/>
      <sz val="12"/>
      <color rgb="FF3730A3"/>
      <name val="Segoe UI"/>
      <family val="2"/>
    </font>
    <font>
      <b/>
      <sz val="13"/>
      <color rgb="FF0F172A"/>
      <name val="Segoe UI"/>
      <family val="2"/>
    </font>
    <font>
      <b/>
      <sz val="10"/>
      <color rgb="FFFFFFFF"/>
      <name val="Segoe UI"/>
      <family val="2"/>
    </font>
    <font>
      <i/>
      <sz val="9"/>
      <color rgb="FF94A3B8"/>
      <name val="Segoe UI"/>
      <family val="2"/>
    </font>
    <font>
      <sz val="10"/>
      <color rgb="FF15803D"/>
      <name val="Segoe UI"/>
      <family val="2"/>
    </font>
    <font>
      <b/>
      <sz val="11"/>
      <color rgb="FF047857"/>
      <name val="Segoe UI"/>
      <family val="2"/>
    </font>
    <font>
      <b/>
      <sz val="14"/>
      <color rgb="FF0F172A"/>
      <name val="Segoe UI"/>
      <family val="2"/>
    </font>
    <font>
      <b/>
      <sz val="12"/>
      <color rgb="FF047857"/>
      <name val="Segoe UI"/>
      <family val="2"/>
    </font>
    <font>
      <b/>
      <sz val="12"/>
      <color rgb="FF334155"/>
      <name val="Segoe UI"/>
      <family val="2"/>
    </font>
    <font>
      <b/>
      <sz val="9"/>
      <color rgb="FF64748B"/>
      <name val="Segoe UI"/>
      <family val="2"/>
    </font>
    <font>
      <sz val="10"/>
      <color rgb="FF64748B"/>
      <name val="Segoe UI"/>
      <family val="2"/>
    </font>
    <font>
      <sz val="10"/>
      <color theme="1"/>
      <name val="Consolas"/>
    </font>
    <font>
      <b/>
      <sz val="11"/>
      <color rgb="FF4338CA"/>
      <name val="Segoe UI"/>
    </font>
    <font>
      <sz val="10"/>
      <color rgb="FF334155"/>
      <name val="Consolas"/>
    </font>
    <font>
      <b/>
      <sz val="10"/>
      <color rgb="FF0F172A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ECFDF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thick">
        <color rgb="FF4F46E5"/>
      </bottom>
      <diagonal/>
    </border>
    <border>
      <left/>
      <right/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 style="thick">
        <color rgb="FF4F46E5"/>
      </top>
      <bottom/>
      <diagonal/>
    </border>
    <border>
      <left/>
      <right style="thin">
        <color rgb="FFE2E8F0"/>
      </right>
      <top style="thick">
        <color rgb="FF4F46E5"/>
      </top>
      <bottom/>
      <diagonal/>
    </border>
    <border>
      <left/>
      <right/>
      <top/>
      <bottom style="thin">
        <color rgb="FFCBD5E1"/>
      </bottom>
      <diagonal/>
    </border>
    <border>
      <left/>
      <right/>
      <top/>
      <bottom style="thin">
        <color rgb="FFF1F5F9"/>
      </bottom>
      <diagonal/>
    </border>
    <border>
      <left/>
      <right/>
      <top style="thin">
        <color rgb="FFF1F5F9"/>
      </top>
      <bottom style="thin">
        <color rgb="FFF1F5F9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ck">
        <color rgb="FF4F46E5"/>
      </top>
      <bottom style="thin">
        <color rgb="FFE2E8F0"/>
      </bottom>
      <diagonal/>
    </border>
    <border>
      <left/>
      <right/>
      <top style="thin">
        <color rgb="FFCBD5E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9">
    <xf numFmtId="0" fontId="0" fillId="0" borderId="0" xfId="0"/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right"/>
    </xf>
    <xf numFmtId="166" fontId="7" fillId="0" borderId="0" xfId="0" applyNumberFormat="1" applyFont="1" applyAlignment="1">
      <alignment horizontal="right"/>
    </xf>
    <xf numFmtId="0" fontId="13" fillId="0" borderId="0" xfId="0" applyFont="1"/>
    <xf numFmtId="0" fontId="17" fillId="0" borderId="0" xfId="0" applyFont="1"/>
    <xf numFmtId="0" fontId="18" fillId="0" borderId="0" xfId="0" applyFont="1"/>
    <xf numFmtId="0" fontId="19" fillId="4" borderId="12" xfId="0" applyFont="1" applyFill="1" applyBorder="1"/>
    <xf numFmtId="0" fontId="19" fillId="4" borderId="12" xfId="0" applyFont="1" applyFill="1" applyBorder="1" applyAlignment="1">
      <alignment horizontal="left"/>
    </xf>
    <xf numFmtId="0" fontId="19" fillId="4" borderId="12" xfId="0" applyFont="1" applyFill="1" applyBorder="1" applyAlignment="1">
      <alignment horizontal="right"/>
    </xf>
    <xf numFmtId="0" fontId="19" fillId="4" borderId="12" xfId="0" applyFont="1" applyFill="1" applyBorder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 indent="1"/>
    </xf>
    <xf numFmtId="167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168" fontId="22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4" fillId="0" borderId="13" xfId="0" applyFont="1" applyBorder="1" applyAlignment="1">
      <alignment vertical="center" indent="1"/>
    </xf>
    <xf numFmtId="0" fontId="24" fillId="0" borderId="13" xfId="0" applyFont="1" applyBorder="1" applyAlignment="1">
      <alignment vertical="center"/>
    </xf>
    <xf numFmtId="0" fontId="25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vertical="center" indent="1"/>
    </xf>
    <xf numFmtId="0" fontId="24" fillId="0" borderId="14" xfId="0" applyFont="1" applyBorder="1" applyAlignment="1">
      <alignment vertical="center"/>
    </xf>
    <xf numFmtId="0" fontId="25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vertical="center" indent="1"/>
    </xf>
    <xf numFmtId="0" fontId="28" fillId="0" borderId="0" xfId="0" applyFont="1"/>
    <xf numFmtId="0" fontId="29" fillId="0" borderId="0" xfId="0" applyFont="1" applyAlignment="1">
      <alignment indent="1"/>
    </xf>
    <xf numFmtId="0" fontId="8" fillId="2" borderId="0" xfId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0" borderId="4" xfId="0" applyFont="1" applyBorder="1"/>
    <xf numFmtId="0" fontId="11" fillId="0" borderId="16" xfId="0" applyFont="1" applyBorder="1"/>
    <xf numFmtId="0" fontId="31" fillId="0" borderId="0" xfId="0" applyFont="1"/>
    <xf numFmtId="0" fontId="11" fillId="0" borderId="3" xfId="0" applyFont="1" applyBorder="1"/>
    <xf numFmtId="0" fontId="22" fillId="0" borderId="4" xfId="0" applyFont="1" applyBorder="1"/>
    <xf numFmtId="0" fontId="22" fillId="0" borderId="3" xfId="0" applyFont="1" applyBorder="1"/>
    <xf numFmtId="0" fontId="22" fillId="0" borderId="0" xfId="0" applyFont="1" applyAlignment="1">
      <alignment vertical="top"/>
    </xf>
    <xf numFmtId="0" fontId="20" fillId="0" borderId="0" xfId="0" applyFont="1" applyAlignment="1">
      <alignment vertical="top" wrapText="1"/>
    </xf>
    <xf numFmtId="164" fontId="20" fillId="0" borderId="17" xfId="0" applyNumberFormat="1" applyFont="1" applyBorder="1" applyAlignment="1">
      <alignment horizontal="center" vertical="center"/>
    </xf>
    <xf numFmtId="164" fontId="20" fillId="0" borderId="4" xfId="0" applyNumberFormat="1" applyFont="1" applyBorder="1" applyAlignment="1">
      <alignment horizontal="center" vertical="center"/>
    </xf>
    <xf numFmtId="0" fontId="32" fillId="3" borderId="17" xfId="0" applyFont="1" applyFill="1" applyBorder="1" applyAlignment="1">
      <alignment horizontal="center" vertical="center"/>
    </xf>
    <xf numFmtId="0" fontId="32" fillId="3" borderId="4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164" fontId="20" fillId="2" borderId="17" xfId="0" applyNumberFormat="1" applyFont="1" applyFill="1" applyBorder="1" applyAlignment="1">
      <alignment horizontal="center" vertical="center"/>
    </xf>
    <xf numFmtId="164" fontId="20" fillId="2" borderId="4" xfId="0" applyNumberFormat="1" applyFont="1" applyFill="1" applyBorder="1" applyAlignment="1">
      <alignment horizontal="center" vertical="center"/>
    </xf>
    <xf numFmtId="164" fontId="20" fillId="0" borderId="3" xfId="0" applyNumberFormat="1" applyFont="1" applyBorder="1" applyAlignment="1">
      <alignment horizontal="center" vertical="center"/>
    </xf>
    <xf numFmtId="0" fontId="32" fillId="3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164" fontId="20" fillId="2" borderId="3" xfId="0" applyNumberFormat="1" applyFont="1" applyFill="1" applyBorder="1" applyAlignment="1">
      <alignment horizontal="center" vertical="center"/>
    </xf>
    <xf numFmtId="164" fontId="20" fillId="4" borderId="4" xfId="0" applyNumberFormat="1" applyFont="1" applyFill="1" applyBorder="1" applyAlignment="1">
      <alignment horizontal="center" vertical="center"/>
    </xf>
    <xf numFmtId="164" fontId="20" fillId="4" borderId="3" xfId="0" applyNumberFormat="1" applyFont="1" applyFill="1" applyBorder="1" applyAlignment="1">
      <alignment horizontal="center" vertical="center"/>
    </xf>
    <xf numFmtId="0" fontId="22" fillId="0" borderId="0" xfId="0" applyFont="1"/>
    <xf numFmtId="169" fontId="22" fillId="0" borderId="0" xfId="0" applyNumberFormat="1" applyFont="1"/>
    <xf numFmtId="0" fontId="31" fillId="0" borderId="3" xfId="0" applyFont="1" applyBorder="1"/>
    <xf numFmtId="0" fontId="25" fillId="4" borderId="3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3" fontId="32" fillId="3" borderId="17" xfId="0" applyNumberFormat="1" applyFont="1" applyFill="1" applyBorder="1" applyAlignment="1">
      <alignment horizontal="center" vertical="center"/>
    </xf>
    <xf numFmtId="3" fontId="20" fillId="2" borderId="17" xfId="0" applyNumberFormat="1" applyFont="1" applyFill="1" applyBorder="1" applyAlignment="1">
      <alignment horizontal="center" vertical="center"/>
    </xf>
    <xf numFmtId="169" fontId="20" fillId="2" borderId="17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3" fontId="32" fillId="3" borderId="3" xfId="0" applyNumberFormat="1" applyFont="1" applyFill="1" applyBorder="1" applyAlignment="1">
      <alignment horizontal="center" vertical="center"/>
    </xf>
    <xf numFmtId="3" fontId="20" fillId="2" borderId="3" xfId="0" applyNumberFormat="1" applyFont="1" applyFill="1" applyBorder="1" applyAlignment="1">
      <alignment horizontal="center" vertical="center"/>
    </xf>
    <xf numFmtId="169" fontId="20" fillId="2" borderId="3" xfId="0" applyNumberFormat="1" applyFont="1" applyFill="1" applyBorder="1" applyAlignment="1">
      <alignment horizontal="center" vertical="center"/>
    </xf>
    <xf numFmtId="169" fontId="20" fillId="2" borderId="3" xfId="0" applyNumberFormat="1" applyFont="1" applyFill="1" applyBorder="1"/>
    <xf numFmtId="0" fontId="20" fillId="2" borderId="3" xfId="0" applyFont="1" applyFill="1" applyBorder="1"/>
    <xf numFmtId="0" fontId="32" fillId="3" borderId="3" xfId="0" applyFont="1" applyFill="1" applyBorder="1"/>
    <xf numFmtId="0" fontId="20" fillId="4" borderId="3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3" fontId="32" fillId="3" borderId="4" xfId="0" applyNumberFormat="1" applyFont="1" applyFill="1" applyBorder="1" applyAlignment="1">
      <alignment horizontal="center" vertical="center"/>
    </xf>
    <xf numFmtId="3" fontId="20" fillId="2" borderId="4" xfId="0" applyNumberFormat="1" applyFont="1" applyFill="1" applyBorder="1" applyAlignment="1">
      <alignment horizontal="center" vertical="center"/>
    </xf>
    <xf numFmtId="169" fontId="20" fillId="2" borderId="4" xfId="0" applyNumberFormat="1" applyFont="1" applyFill="1" applyBorder="1" applyAlignment="1">
      <alignment horizontal="center" vertical="center"/>
    </xf>
    <xf numFmtId="164" fontId="32" fillId="3" borderId="17" xfId="0" applyNumberFormat="1" applyFont="1" applyFill="1" applyBorder="1" applyAlignment="1">
      <alignment horizontal="center" vertical="center"/>
    </xf>
    <xf numFmtId="164" fontId="32" fillId="3" borderId="4" xfId="0" applyNumberFormat="1" applyFont="1" applyFill="1" applyBorder="1" applyAlignment="1">
      <alignment horizontal="center" vertical="center"/>
    </xf>
    <xf numFmtId="164" fontId="32" fillId="3" borderId="3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right"/>
    </xf>
    <xf numFmtId="170" fontId="20" fillId="2" borderId="3" xfId="0" applyNumberFormat="1" applyFont="1" applyFill="1" applyBorder="1"/>
    <xf numFmtId="164" fontId="33" fillId="3" borderId="3" xfId="0" applyNumberFormat="1" applyFont="1" applyFill="1" applyBorder="1" applyAlignment="1">
      <alignment horizontal="center" vertical="center"/>
    </xf>
    <xf numFmtId="165" fontId="20" fillId="2" borderId="17" xfId="0" applyNumberFormat="1" applyFont="1" applyFill="1" applyBorder="1" applyAlignment="1">
      <alignment horizontal="center" vertical="center"/>
    </xf>
    <xf numFmtId="165" fontId="20" fillId="2" borderId="4" xfId="0" applyNumberFormat="1" applyFont="1" applyFill="1" applyBorder="1" applyAlignment="1">
      <alignment horizontal="center" vertical="center"/>
    </xf>
    <xf numFmtId="165" fontId="20" fillId="2" borderId="3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right"/>
    </xf>
    <xf numFmtId="0" fontId="3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20" fillId="0" borderId="0" xfId="0" applyFont="1"/>
    <xf numFmtId="0" fontId="20" fillId="0" borderId="3" xfId="0" applyFont="1" applyBorder="1"/>
    <xf numFmtId="0" fontId="20" fillId="0" borderId="4" xfId="0" applyFont="1" applyBorder="1"/>
    <xf numFmtId="164" fontId="20" fillId="0" borderId="0" xfId="0" applyNumberFormat="1" applyFont="1"/>
    <xf numFmtId="165" fontId="20" fillId="2" borderId="3" xfId="0" applyNumberFormat="1" applyFont="1" applyFill="1" applyBorder="1"/>
    <xf numFmtId="164" fontId="20" fillId="0" borderId="17" xfId="0" applyNumberFormat="1" applyFont="1" applyBorder="1"/>
    <xf numFmtId="164" fontId="20" fillId="0" borderId="3" xfId="0" applyNumberFormat="1" applyFont="1" applyBorder="1"/>
    <xf numFmtId="0" fontId="31" fillId="0" borderId="4" xfId="0" applyFont="1" applyBorder="1"/>
    <xf numFmtId="0" fontId="39" fillId="0" borderId="0" xfId="0" applyFont="1"/>
    <xf numFmtId="3" fontId="20" fillId="2" borderId="3" xfId="0" applyNumberFormat="1" applyFont="1" applyFill="1" applyBorder="1"/>
    <xf numFmtId="170" fontId="22" fillId="2" borderId="3" xfId="0" applyNumberFormat="1" applyFont="1" applyFill="1" applyBorder="1"/>
    <xf numFmtId="169" fontId="40" fillId="6" borderId="3" xfId="0" applyNumberFormat="1" applyFont="1" applyFill="1" applyBorder="1"/>
    <xf numFmtId="0" fontId="17" fillId="0" borderId="3" xfId="0" applyFont="1" applyBorder="1"/>
    <xf numFmtId="169" fontId="20" fillId="0" borderId="17" xfId="0" applyNumberFormat="1" applyFont="1" applyBorder="1"/>
    <xf numFmtId="0" fontId="20" fillId="0" borderId="17" xfId="0" applyFont="1" applyBorder="1"/>
    <xf numFmtId="169" fontId="20" fillId="0" borderId="3" xfId="0" applyNumberFormat="1" applyFont="1" applyBorder="1"/>
    <xf numFmtId="0" fontId="22" fillId="2" borderId="17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165" fontId="32" fillId="3" borderId="3" xfId="0" applyNumberFormat="1" applyFont="1" applyFill="1" applyBorder="1" applyAlignment="1">
      <alignment horizontal="center" vertical="center"/>
    </xf>
    <xf numFmtId="0" fontId="31" fillId="0" borderId="3" xfId="0" applyFont="1" applyBorder="1" applyAlignment="1">
      <alignment vertical="top" wrapText="1"/>
    </xf>
    <xf numFmtId="169" fontId="32" fillId="3" borderId="17" xfId="0" applyNumberFormat="1" applyFont="1" applyFill="1" applyBorder="1" applyAlignment="1">
      <alignment horizontal="center" vertical="center"/>
    </xf>
    <xf numFmtId="169" fontId="32" fillId="3" borderId="3" xfId="0" applyNumberFormat="1" applyFont="1" applyFill="1" applyBorder="1" applyAlignment="1">
      <alignment horizontal="center" vertical="center"/>
    </xf>
    <xf numFmtId="169" fontId="32" fillId="3" borderId="4" xfId="0" applyNumberFormat="1" applyFont="1" applyFill="1" applyBorder="1" applyAlignment="1">
      <alignment horizontal="center" vertical="center"/>
    </xf>
    <xf numFmtId="164" fontId="22" fillId="0" borderId="17" xfId="0" applyNumberFormat="1" applyFont="1" applyBorder="1" applyAlignment="1">
      <alignment horizontal="center" vertical="center"/>
    </xf>
    <xf numFmtId="164" fontId="22" fillId="0" borderId="4" xfId="0" applyNumberFormat="1" applyFont="1" applyBorder="1" applyAlignment="1">
      <alignment horizontal="center" vertical="center"/>
    </xf>
    <xf numFmtId="164" fontId="22" fillId="0" borderId="3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31" fillId="0" borderId="17" xfId="0" applyFont="1" applyBorder="1"/>
    <xf numFmtId="0" fontId="22" fillId="0" borderId="4" xfId="0" applyFont="1" applyBorder="1" applyAlignment="1">
      <alignment horizontal="center" vertical="center"/>
    </xf>
    <xf numFmtId="167" fontId="21" fillId="0" borderId="0" xfId="0" applyNumberFormat="1" applyFont="1" applyAlignment="1">
      <alignment horizontal="left" indent="1"/>
    </xf>
    <xf numFmtId="0" fontId="42" fillId="0" borderId="0" xfId="0" applyFont="1"/>
    <xf numFmtId="171" fontId="43" fillId="0" borderId="4" xfId="0" applyNumberFormat="1" applyFont="1" applyBorder="1" applyAlignment="1">
      <alignment shrinkToFit="1"/>
    </xf>
    <xf numFmtId="172" fontId="20" fillId="0" borderId="0" xfId="0" applyNumberFormat="1" applyFont="1" applyAlignment="1">
      <alignment shrinkToFit="1"/>
    </xf>
    <xf numFmtId="0" fontId="11" fillId="0" borderId="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169" fontId="20" fillId="2" borderId="17" xfId="0" applyNumberFormat="1" applyFont="1" applyFill="1" applyBorder="1" applyAlignment="1">
      <alignment vertical="center"/>
    </xf>
    <xf numFmtId="0" fontId="20" fillId="2" borderId="17" xfId="0" applyFont="1" applyFill="1" applyBorder="1" applyAlignment="1">
      <alignment vertical="center"/>
    </xf>
    <xf numFmtId="0" fontId="32" fillId="3" borderId="17" xfId="0" applyFont="1" applyFill="1" applyBorder="1" applyAlignment="1">
      <alignment vertical="center"/>
    </xf>
    <xf numFmtId="169" fontId="20" fillId="2" borderId="3" xfId="0" applyNumberFormat="1" applyFont="1" applyFill="1" applyBorder="1" applyAlignment="1">
      <alignment vertical="center"/>
    </xf>
    <xf numFmtId="0" fontId="20" fillId="2" borderId="3" xfId="0" applyFont="1" applyFill="1" applyBorder="1" applyAlignment="1">
      <alignment vertical="center"/>
    </xf>
    <xf numFmtId="0" fontId="32" fillId="3" borderId="3" xfId="0" applyFont="1" applyFill="1" applyBorder="1" applyAlignment="1">
      <alignment vertical="center"/>
    </xf>
    <xf numFmtId="169" fontId="20" fillId="2" borderId="4" xfId="0" applyNumberFormat="1" applyFont="1" applyFill="1" applyBorder="1" applyAlignment="1">
      <alignment vertical="center"/>
    </xf>
    <xf numFmtId="0" fontId="20" fillId="2" borderId="4" xfId="0" applyFont="1" applyFill="1" applyBorder="1" applyAlignment="1">
      <alignment vertical="center"/>
    </xf>
    <xf numFmtId="0" fontId="32" fillId="3" borderId="4" xfId="0" applyFont="1" applyFill="1" applyBorder="1" applyAlignment="1">
      <alignment vertical="center"/>
    </xf>
    <xf numFmtId="0" fontId="11" fillId="0" borderId="4" xfId="0" applyFont="1" applyBorder="1" applyAlignment="1">
      <alignment vertical="center"/>
    </xf>
    <xf numFmtId="169" fontId="32" fillId="3" borderId="17" xfId="0" applyNumberFormat="1" applyFont="1" applyFill="1" applyBorder="1" applyAlignment="1">
      <alignment vertical="center"/>
    </xf>
    <xf numFmtId="0" fontId="31" fillId="2" borderId="17" xfId="0" applyFont="1" applyFill="1" applyBorder="1" applyAlignment="1">
      <alignment vertical="center"/>
    </xf>
    <xf numFmtId="170" fontId="20" fillId="2" borderId="17" xfId="0" applyNumberFormat="1" applyFont="1" applyFill="1" applyBorder="1" applyAlignment="1">
      <alignment vertical="center"/>
    </xf>
    <xf numFmtId="169" fontId="32" fillId="3" borderId="3" xfId="0" applyNumberFormat="1" applyFont="1" applyFill="1" applyBorder="1" applyAlignment="1">
      <alignment vertical="center"/>
    </xf>
    <xf numFmtId="0" fontId="31" fillId="2" borderId="3" xfId="0" applyFont="1" applyFill="1" applyBorder="1" applyAlignment="1">
      <alignment vertical="center"/>
    </xf>
    <xf numFmtId="170" fontId="20" fillId="2" borderId="3" xfId="0" applyNumberFormat="1" applyFont="1" applyFill="1" applyBorder="1" applyAlignment="1">
      <alignment vertical="center"/>
    </xf>
    <xf numFmtId="169" fontId="32" fillId="3" borderId="4" xfId="0" applyNumberFormat="1" applyFont="1" applyFill="1" applyBorder="1" applyAlignment="1">
      <alignment vertical="center"/>
    </xf>
    <xf numFmtId="0" fontId="31" fillId="2" borderId="4" xfId="0" applyFont="1" applyFill="1" applyBorder="1" applyAlignment="1">
      <alignment vertical="center"/>
    </xf>
    <xf numFmtId="170" fontId="20" fillId="2" borderId="4" xfId="0" applyNumberFormat="1" applyFont="1" applyFill="1" applyBorder="1" applyAlignment="1">
      <alignment vertical="center"/>
    </xf>
    <xf numFmtId="0" fontId="25" fillId="4" borderId="3" xfId="0" applyFont="1" applyFill="1" applyBorder="1" applyAlignment="1">
      <alignment horizontal="center" vertical="center"/>
    </xf>
    <xf numFmtId="0" fontId="36" fillId="0" borderId="3" xfId="0" applyFont="1" applyBorder="1" applyAlignment="1">
      <alignment vertical="center"/>
    </xf>
    <xf numFmtId="0" fontId="37" fillId="0" borderId="17" xfId="0" applyFont="1" applyBorder="1" applyAlignment="1">
      <alignment vertical="center"/>
    </xf>
    <xf numFmtId="169" fontId="38" fillId="6" borderId="3" xfId="0" applyNumberFormat="1" applyFont="1" applyFill="1" applyBorder="1" applyAlignment="1">
      <alignment vertical="center"/>
    </xf>
    <xf numFmtId="164" fontId="20" fillId="6" borderId="17" xfId="0" applyNumberFormat="1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vertical="center"/>
    </xf>
    <xf numFmtId="0" fontId="20" fillId="6" borderId="17" xfId="0" applyFont="1" applyFill="1" applyBorder="1" applyAlignment="1">
      <alignment horizontal="center" vertical="center"/>
    </xf>
    <xf numFmtId="169" fontId="20" fillId="6" borderId="17" xfId="0" applyNumberFormat="1" applyFont="1" applyFill="1" applyBorder="1" applyAlignment="1">
      <alignment vertical="center"/>
    </xf>
    <xf numFmtId="0" fontId="37" fillId="0" borderId="3" xfId="0" applyFont="1" applyBorder="1" applyAlignment="1">
      <alignment vertical="center"/>
    </xf>
    <xf numFmtId="164" fontId="20" fillId="6" borderId="3" xfId="0" applyNumberFormat="1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vertical="center"/>
    </xf>
    <xf numFmtId="0" fontId="20" fillId="6" borderId="3" xfId="0" applyFont="1" applyFill="1" applyBorder="1" applyAlignment="1">
      <alignment horizontal="center" vertical="center"/>
    </xf>
    <xf numFmtId="169" fontId="20" fillId="6" borderId="3" xfId="0" applyNumberFormat="1" applyFont="1" applyFill="1" applyBorder="1" applyAlignment="1">
      <alignment vertical="center"/>
    </xf>
    <xf numFmtId="0" fontId="36" fillId="0" borderId="4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4" borderId="3" xfId="0" applyFont="1" applyFill="1" applyBorder="1" applyAlignment="1">
      <alignment vertical="center"/>
    </xf>
    <xf numFmtId="169" fontId="22" fillId="4" borderId="3" xfId="0" applyNumberFormat="1" applyFont="1" applyFill="1" applyBorder="1" applyAlignment="1">
      <alignment vertical="center"/>
    </xf>
    <xf numFmtId="170" fontId="22" fillId="4" borderId="3" xfId="0" applyNumberFormat="1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170" fontId="22" fillId="2" borderId="17" xfId="0" applyNumberFormat="1" applyFont="1" applyFill="1" applyBorder="1" applyAlignment="1">
      <alignment vertical="center"/>
    </xf>
    <xf numFmtId="170" fontId="22" fillId="2" borderId="3" xfId="0" applyNumberFormat="1" applyFont="1" applyFill="1" applyBorder="1" applyAlignment="1">
      <alignment vertical="center"/>
    </xf>
    <xf numFmtId="170" fontId="22" fillId="2" borderId="4" xfId="0" applyNumberFormat="1" applyFont="1" applyFill="1" applyBorder="1" applyAlignment="1">
      <alignment vertical="center"/>
    </xf>
    <xf numFmtId="49" fontId="32" fillId="3" borderId="17" xfId="0" applyNumberFormat="1" applyFont="1" applyFill="1" applyBorder="1" applyAlignment="1">
      <alignment vertical="center"/>
    </xf>
    <xf numFmtId="49" fontId="32" fillId="3" borderId="3" xfId="0" applyNumberFormat="1" applyFont="1" applyFill="1" applyBorder="1" applyAlignment="1">
      <alignment vertical="center"/>
    </xf>
    <xf numFmtId="49" fontId="32" fillId="3" borderId="4" xfId="0" applyNumberFormat="1" applyFont="1" applyFill="1" applyBorder="1" applyAlignment="1">
      <alignment vertical="center"/>
    </xf>
    <xf numFmtId="0" fontId="30" fillId="0" borderId="4" xfId="0" applyFont="1" applyBorder="1"/>
    <xf numFmtId="0" fontId="20" fillId="0" borderId="3" xfId="0" applyFont="1" applyBorder="1" applyAlignment="1">
      <alignment vertical="center"/>
    </xf>
    <xf numFmtId="0" fontId="31" fillId="0" borderId="3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8" fillId="2" borderId="0" xfId="1" applyNumberFormat="1" applyFont="1" applyFill="1" applyBorder="1" applyAlignment="1">
      <alignment horizontal="center" vertical="center"/>
    </xf>
    <xf numFmtId="0" fontId="8" fillId="0" borderId="0" xfId="1" applyNumberFormat="1" applyFont="1" applyBorder="1" applyAlignment="1">
      <alignment horizontal="center" vertical="center"/>
    </xf>
    <xf numFmtId="3" fontId="20" fillId="2" borderId="17" xfId="0" applyNumberFormat="1" applyFont="1" applyFill="1" applyBorder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3" fontId="20" fillId="2" borderId="4" xfId="0" applyNumberFormat="1" applyFont="1" applyFill="1" applyBorder="1" applyAlignment="1">
      <alignment vertical="center"/>
    </xf>
    <xf numFmtId="0" fontId="8" fillId="0" borderId="0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27" fillId="2" borderId="5" xfId="1" applyFont="1" applyFill="1" applyBorder="1" applyAlignment="1">
      <alignment vertical="center" indent="1"/>
    </xf>
    <xf numFmtId="0" fontId="0" fillId="2" borderId="4" xfId="0" applyFill="1" applyBorder="1" applyAlignment="1">
      <alignment vertical="center"/>
    </xf>
    <xf numFmtId="0" fontId="18" fillId="2" borderId="4" xfId="0" applyFont="1" applyFill="1" applyBorder="1" applyAlignment="1">
      <alignment horizontal="right" vertical="center" indent="1"/>
    </xf>
    <xf numFmtId="0" fontId="0" fillId="2" borderId="15" xfId="0" applyFill="1" applyBorder="1" applyAlignment="1">
      <alignment vertical="center"/>
    </xf>
    <xf numFmtId="0" fontId="3" fillId="0" borderId="0" xfId="0" applyFont="1" applyAlignment="1">
      <alignment vertical="center" indent="1"/>
    </xf>
    <xf numFmtId="0" fontId="15" fillId="4" borderId="10" xfId="0" applyFont="1" applyFill="1" applyBorder="1" applyAlignment="1">
      <alignment horizontal="left" indent="1"/>
    </xf>
    <xf numFmtId="0" fontId="0" fillId="4" borderId="11" xfId="0" applyFill="1" applyBorder="1" applyAlignment="1">
      <alignment horizontal="left" indent="1"/>
    </xf>
    <xf numFmtId="3" fontId="16" fillId="4" borderId="6" xfId="0" applyNumberFormat="1" applyFont="1" applyFill="1" applyBorder="1" applyAlignment="1">
      <alignment horizontal="left" indent="1"/>
    </xf>
    <xf numFmtId="0" fontId="0" fillId="4" borderId="8" xfId="0" applyFill="1" applyBorder="1" applyAlignment="1">
      <alignment horizontal="left" indent="1"/>
    </xf>
    <xf numFmtId="0" fontId="14" fillId="4" borderId="7" xfId="0" applyFont="1" applyFill="1" applyBorder="1" applyAlignment="1">
      <alignment horizontal="left" indent="1"/>
    </xf>
    <xf numFmtId="0" fontId="0" fillId="4" borderId="9" xfId="0" applyFill="1" applyBorder="1" applyAlignment="1">
      <alignment horizontal="left" indent="1"/>
    </xf>
    <xf numFmtId="0" fontId="16" fillId="4" borderId="6" xfId="0" applyFont="1" applyFill="1" applyBorder="1" applyAlignment="1">
      <alignment horizontal="left" indent="1"/>
    </xf>
    <xf numFmtId="165" fontId="16" fillId="4" borderId="6" xfId="0" applyNumberFormat="1" applyFont="1" applyFill="1" applyBorder="1" applyAlignment="1">
      <alignment horizontal="left" indent="1"/>
    </xf>
    <xf numFmtId="0" fontId="8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7" fillId="3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0" fillId="0" borderId="0" xfId="0" applyFont="1"/>
    <xf numFmtId="0" fontId="20" fillId="0" borderId="3" xfId="0" applyFont="1" applyBorder="1"/>
    <xf numFmtId="0" fontId="22" fillId="0" borderId="3" xfId="0" applyFont="1" applyBorder="1"/>
    <xf numFmtId="0" fontId="20" fillId="0" borderId="4" xfId="0" applyFont="1" applyBorder="1"/>
    <xf numFmtId="169" fontId="22" fillId="0" borderId="3" xfId="0" applyNumberFormat="1" applyFont="1" applyBorder="1"/>
    <xf numFmtId="0" fontId="31" fillId="0" borderId="3" xfId="0" applyFont="1" applyBorder="1" applyAlignment="1">
      <alignment horizontal="center" vertical="center"/>
    </xf>
    <xf numFmtId="3" fontId="34" fillId="4" borderId="3" xfId="0" applyNumberFormat="1" applyFont="1" applyFill="1" applyBorder="1" applyAlignment="1">
      <alignment horizontal="center" vertical="center"/>
    </xf>
    <xf numFmtId="169" fontId="34" fillId="4" borderId="3" xfId="0" applyNumberFormat="1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165" fontId="34" fillId="4" borderId="3" xfId="0" applyNumberFormat="1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20" fillId="0" borderId="17" xfId="0" applyFont="1" applyBorder="1"/>
    <xf numFmtId="0" fontId="8" fillId="0" borderId="0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41" fillId="0" borderId="3" xfId="0" applyFont="1" applyBorder="1"/>
    <xf numFmtId="49" fontId="44" fillId="0" borderId="0" xfId="0" applyNumberFormat="1" applyFont="1" applyAlignment="1">
      <alignment wrapText="1"/>
    </xf>
    <xf numFmtId="49" fontId="45" fillId="0" borderId="0" xfId="0" applyNumberFormat="1" applyFont="1" applyAlignment="1">
      <alignment wrapText="1"/>
    </xf>
    <xf numFmtId="49" fontId="46" fillId="0" borderId="0" xfId="0" applyNumberFormat="1" applyFont="1" applyAlignment="1">
      <alignment wrapText="1"/>
    </xf>
    <xf numFmtId="49" fontId="47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24">
    <dxf>
      <font>
        <color rgb="FF15803D"/>
      </font>
      <fill>
        <patternFill patternType="solid">
          <fgColor indexed="64"/>
          <bgColor rgb="FFDCFCE7"/>
        </patternFill>
      </fill>
    </dxf>
    <dxf>
      <font>
        <color rgb="FFB91C1C"/>
      </font>
      <fill>
        <patternFill patternType="solid">
          <fgColor indexed="64"/>
          <bgColor rgb="FFFEE2E2"/>
        </patternFill>
      </fill>
    </dxf>
    <dxf>
      <font>
        <color rgb="FFB91C1C"/>
      </font>
      <fill>
        <patternFill patternType="solid">
          <fgColor indexed="64"/>
          <bgColor rgb="FFFEE2E2"/>
        </patternFill>
      </fill>
    </dxf>
    <dxf>
      <font>
        <color rgb="FF15803D"/>
      </font>
      <fill>
        <patternFill patternType="solid">
          <fgColor indexed="64"/>
          <bgColor rgb="FFDCFCE7"/>
        </patternFill>
      </fill>
    </dxf>
    <dxf>
      <font>
        <color rgb="FFB91C1C"/>
      </font>
      <fill>
        <patternFill patternType="solid">
          <fgColor indexed="64"/>
          <bgColor rgb="FFFEE2E2"/>
        </patternFill>
      </fill>
    </dxf>
    <dxf>
      <font>
        <color rgb="FFB91C1C"/>
      </font>
      <fill>
        <patternFill patternType="solid">
          <fgColor indexed="64"/>
          <bgColor rgb="FFFEE2E2"/>
        </patternFill>
      </fill>
    </dxf>
    <dxf>
      <font>
        <b/>
        <i val="0"/>
        <color rgb="FF15803D"/>
      </font>
      <fill>
        <patternFill patternType="solid">
          <fgColor indexed="64"/>
          <bgColor rgb="FFDCFCE7"/>
        </patternFill>
      </fill>
    </dxf>
    <dxf>
      <font>
        <color rgb="FFB91C1C"/>
      </font>
      <fill>
        <patternFill patternType="solid">
          <fgColor indexed="64"/>
          <bgColor rgb="FFFEE2E2"/>
        </patternFill>
      </fill>
    </dxf>
    <dxf>
      <font>
        <color rgb="FF15803D"/>
      </font>
      <fill>
        <patternFill patternType="solid">
          <fgColor indexed="64"/>
          <bgColor rgb="FFDCFCE7"/>
        </patternFill>
      </fill>
    </dxf>
    <dxf>
      <font>
        <color rgb="FFB91C1C"/>
      </font>
      <fill>
        <patternFill patternType="solid">
          <fgColor indexed="64"/>
          <bgColor rgb="FFFEE2E2"/>
        </patternFill>
      </fill>
    </dxf>
    <dxf>
      <font>
        <color rgb="FFB91C1C"/>
      </font>
      <fill>
        <patternFill patternType="solid">
          <fgColor indexed="64"/>
          <bgColor rgb="FFFEE2E2"/>
        </patternFill>
      </fill>
    </dxf>
    <dxf>
      <font>
        <color rgb="FFB91C1C"/>
      </font>
      <fill>
        <patternFill patternType="solid">
          <fgColor indexed="64"/>
          <bgColor rgb="FFFEE2E2"/>
        </patternFill>
      </fill>
    </dxf>
    <dxf>
      <font>
        <color rgb="FFB91C1C"/>
      </font>
      <fill>
        <patternFill patternType="solid">
          <fgColor indexed="64"/>
          <bgColor rgb="FFFEE2E2"/>
        </patternFill>
      </fill>
    </dxf>
    <dxf>
      <font>
        <b/>
        <i val="0"/>
        <color rgb="FF15803D"/>
      </font>
      <fill>
        <patternFill patternType="solid">
          <fgColor indexed="64"/>
          <bgColor rgb="FFDCFCE7"/>
        </patternFill>
      </fill>
    </dxf>
    <dxf>
      <font>
        <color rgb="FF64748B"/>
      </font>
      <fill>
        <patternFill patternType="solid">
          <fgColor indexed="64"/>
          <bgColor rgb="FFF1F5F9"/>
        </patternFill>
      </fill>
    </dxf>
    <dxf>
      <font>
        <color rgb="FF15803D"/>
      </font>
      <fill>
        <patternFill patternType="solid">
          <fgColor indexed="64"/>
          <bgColor rgb="FFDCFCE7"/>
        </patternFill>
      </fill>
    </dxf>
    <dxf>
      <font>
        <color rgb="FFB91C1C"/>
      </font>
      <fill>
        <patternFill patternType="solid">
          <fgColor indexed="64"/>
          <bgColor rgb="FFFEE2E2"/>
        </patternFill>
      </fill>
    </dxf>
    <dxf>
      <font>
        <color rgb="FF4338CA"/>
      </font>
      <fill>
        <patternFill patternType="solid">
          <fgColor indexed="64"/>
          <bgColor rgb="FFEEF2FF"/>
        </patternFill>
      </fill>
    </dxf>
    <dxf>
      <font>
        <color rgb="FFB45309"/>
      </font>
      <fill>
        <patternFill patternType="solid">
          <fgColor indexed="64"/>
          <bgColor rgb="FFFEF3C7"/>
        </patternFill>
      </fill>
    </dxf>
    <dxf>
      <font>
        <color rgb="FFB91C1C"/>
      </font>
      <fill>
        <patternFill patternType="solid">
          <fgColor indexed="64"/>
          <bgColor rgb="FFFEE2E2"/>
        </patternFill>
      </fill>
    </dxf>
    <dxf>
      <font>
        <color rgb="FF16A34A"/>
      </font>
    </dxf>
    <dxf>
      <border>
        <bottom style="thin">
          <color rgb="FFE2E8F0"/>
        </bottom>
      </border>
    </dxf>
    <dxf>
      <font>
        <color rgb="FFB91C1C"/>
      </font>
      <fill>
        <patternFill patternType="solid">
          <fgColor indexed="64"/>
          <bgColor rgb="FFFEE2E2"/>
        </patternFill>
      </fill>
    </dxf>
    <dxf>
      <font>
        <color rgb="FF15803D"/>
      </font>
      <fill>
        <patternFill patternType="solid">
          <fgColor indexed="64"/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CEB8152-9592-45B2-8288-FF08832C3267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kH_u8wPaCNZH8bfkz8oq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A014AF1-D860-49DC-B74E-F63D37EB5B4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7a3393d-b7cb-4951-9e6e-b763a872b88a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D48F-2B4B-40E5-BDC5-0A7343CDE044}">
  <sheetPr>
    <tabColor rgb="FF4F46E5"/>
  </sheetPr>
  <dimension ref="A1:AA60"/>
  <sheetViews>
    <sheetView showGridLines="0" workbookViewId="0">
      <selection activeCell="E1" sqref="E1:F1"/>
    </sheetView>
  </sheetViews>
  <sheetFormatPr defaultRowHeight="15" outlineLevelCol="1" x14ac:dyDescent="0.25"/>
  <cols>
    <col min="1" max="1" width="3" customWidth="1"/>
    <col min="2" max="3" width="16.42578125" customWidth="1"/>
    <col min="4" max="4" width="2.7109375" customWidth="1"/>
    <col min="5" max="6" width="16.42578125" customWidth="1"/>
    <col min="7" max="7" width="2.7109375" customWidth="1"/>
    <col min="8" max="9" width="16.42578125" customWidth="1"/>
    <col min="10" max="10" width="2.7109375" customWidth="1"/>
    <col min="11" max="12" width="16.42578125" customWidth="1"/>
    <col min="13" max="13" width="2.7109375" customWidth="1"/>
    <col min="14" max="15" width="16.42578125" customWidth="1"/>
    <col min="16" max="16" width="2.7109375" customWidth="1"/>
    <col min="17" max="18" width="16.42578125" customWidth="1"/>
    <col min="19" max="19" width="3" customWidth="1"/>
    <col min="20" max="20" width="0" hidden="1" customWidth="1" outlineLevel="1"/>
    <col min="21" max="21" width="9.140625" collapsed="1"/>
  </cols>
  <sheetData>
    <row r="1" spans="1:27" s="1" customFormat="1" ht="30" customHeight="1" thickBot="1" x14ac:dyDescent="0.3">
      <c r="A1" s="203" t="s">
        <v>196</v>
      </c>
      <c r="B1" s="203"/>
      <c r="C1" s="204" t="s">
        <v>197</v>
      </c>
      <c r="D1" s="204"/>
      <c r="E1" s="199" t="s">
        <v>9</v>
      </c>
      <c r="F1" s="200"/>
      <c r="G1" s="199" t="s">
        <v>12</v>
      </c>
      <c r="H1" s="200"/>
      <c r="I1" s="200"/>
      <c r="J1" s="199" t="s">
        <v>67</v>
      </c>
      <c r="K1" s="200"/>
      <c r="L1" s="200"/>
      <c r="M1" s="199" t="s">
        <v>93</v>
      </c>
      <c r="N1" s="200"/>
      <c r="O1" s="199" t="s">
        <v>118</v>
      </c>
      <c r="P1" s="200"/>
      <c r="Q1" s="199" t="s">
        <v>137</v>
      </c>
      <c r="R1" s="200"/>
      <c r="S1" s="199" t="s">
        <v>198</v>
      </c>
      <c r="T1" s="200"/>
      <c r="U1" s="2" t="s">
        <v>199</v>
      </c>
      <c r="V1" s="201" t="s">
        <v>200</v>
      </c>
      <c r="W1" s="202"/>
      <c r="X1" s="201" t="s">
        <v>166</v>
      </c>
      <c r="Y1" s="202"/>
      <c r="Z1" s="201" t="s">
        <v>155</v>
      </c>
      <c r="AA1" s="202"/>
    </row>
    <row r="2" spans="1:27" ht="17.25" thickTop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t="s">
        <v>202</v>
      </c>
    </row>
    <row r="3" spans="1:27" ht="33.950000000000003" customHeight="1" x14ac:dyDescent="0.55000000000000004">
      <c r="A3" s="3"/>
      <c r="B3" s="4" t="s">
        <v>201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5" t="s">
        <v>50</v>
      </c>
      <c r="R3" s="6">
        <f ca="1">TODAY()-WEEKDAY(TODAY(),2)+1</f>
        <v>46286</v>
      </c>
      <c r="S3" s="3"/>
      <c r="T3">
        <f ca="1">IFERROR(MATCH($R$3,Weeks!$A$7:$A$59,0),0)</f>
        <v>1</v>
      </c>
    </row>
    <row r="4" spans="1:27" ht="16.5" x14ac:dyDescent="0.3">
      <c r="A4" s="3"/>
      <c r="B4" s="7" t="str">
        <f ca="1">"This week · "&amp;TEXT($R$3,"d mmm")&amp;" – "&amp;TEXT($R$3+6,"d mmm yyyy")&amp;" · updates automatically every Monday"</f>
        <v>This week · 21 Sep – 27 Sep 2026 · updates automatically every Monday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7" ht="17.25" thickBo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7" ht="24" customHeight="1" thickTop="1" x14ac:dyDescent="0.3">
      <c r="A6" s="3"/>
      <c r="B6" s="191" t="s">
        <v>203</v>
      </c>
      <c r="C6" s="192"/>
      <c r="D6" s="3"/>
      <c r="E6" s="191" t="s">
        <v>204</v>
      </c>
      <c r="F6" s="192"/>
      <c r="G6" s="3"/>
      <c r="H6" s="191" t="s">
        <v>205</v>
      </c>
      <c r="I6" s="192"/>
      <c r="J6" s="3"/>
      <c r="K6" s="191" t="s">
        <v>206</v>
      </c>
      <c r="L6" s="192"/>
      <c r="M6" s="3"/>
      <c r="N6" s="191" t="s">
        <v>207</v>
      </c>
      <c r="O6" s="192"/>
      <c r="P6" s="3"/>
      <c r="Q6" s="191" t="s">
        <v>208</v>
      </c>
      <c r="R6" s="192"/>
      <c r="S6" s="3"/>
    </row>
    <row r="7" spans="1:27" ht="32.1" customHeight="1" x14ac:dyDescent="0.35">
      <c r="A7" s="3"/>
      <c r="B7" s="193" cm="1">
        <f t="array" aca="1" ref="B7" ca="1">IF($T$3=0,0,INDEX(Weeks!$E$7:$E$59,$T$3))</f>
        <v>11857</v>
      </c>
      <c r="C7" s="194"/>
      <c r="D7" s="3"/>
      <c r="E7" s="193" cm="1">
        <f t="array" aca="1" ref="E7" ca="1">IF($T$3=0,0,INDEX(Weeks!$G$7:$G$59,$T$3))</f>
        <v>5928500</v>
      </c>
      <c r="F7" s="194"/>
      <c r="G7" s="3"/>
      <c r="H7" s="197" cm="1">
        <f t="array" aca="1" ref="H7" ca="1">IF($T$3=0,0,INDEX(Weeks!$H$7:$H$59,$T$3))</f>
        <v>24</v>
      </c>
      <c r="I7" s="194"/>
      <c r="J7" s="3"/>
      <c r="K7" s="198" cm="1">
        <f t="array" aca="1" ref="K7" ca="1">IF($T$3=0,"",INDEX(Weeks!$I$7:$I$59,$T$3))</f>
        <v>1.0101853397896142E-2</v>
      </c>
      <c r="L7" s="194"/>
      <c r="M7" s="3"/>
      <c r="N7" s="193">
        <f ca="1">SUMIFS('Cash Ledger'!$E$7:$E$1006,'Cash Ledger'!$D$7:$D$1006,"Advance",'Cash Ledger'!$B$7:$B$1006,"&gt;="&amp;$R$3,'Cash Ledger'!$B$7:$B$1006,"&lt;="&amp;($R$3+6))</f>
        <v>650000</v>
      </c>
      <c r="O7" s="194"/>
      <c r="P7" s="3"/>
      <c r="Q7" s="193">
        <f ca="1">SUMIF($O$30:$O$41,"&gt;0")</f>
        <v>5278500</v>
      </c>
      <c r="R7" s="194"/>
      <c r="S7" s="3"/>
    </row>
    <row r="8" spans="1:27" ht="20.100000000000001" customHeight="1" x14ac:dyDescent="0.3">
      <c r="A8" s="3"/>
      <c r="B8" s="195" t="str" cm="1">
        <f t="array" aca="1" ref="B8" ca="1">"of "&amp;TEXT(IF($T$3=0,0,INDEX(Weeks!$C$7:$C$59,$T$3)),"#,##0")&amp;" moulded"</f>
        <v>of 11,978 moulded</v>
      </c>
      <c r="C8" s="196"/>
      <c r="D8" s="3"/>
      <c r="E8" s="195" t="str">
        <f>"the week's pot, shared by days"</f>
        <v>the week's pot, shared by days</v>
      </c>
      <c r="F8" s="196"/>
      <c r="G8" s="3"/>
      <c r="H8" s="195" t="str">
        <f ca="1">IF(N(H7)=0,"no days logged yet",TEXT(B7/H7,"#,##0")&amp;" good blocks per crew-day")</f>
        <v>494 good blocks per crew-day</v>
      </c>
      <c r="I8" s="196"/>
      <c r="J8" s="3"/>
      <c r="K8" s="195" t="str">
        <f ca="1">IF(N(K7)=0,"no production yet",IF(K7&gt;RejectAlarm,"⚠ above the "&amp;TEXT(RejectAlarm,"0%")&amp;" alarm","normal · alarm at "&amp;TEXT(RejectAlarm,"0%")))</f>
        <v>normal · alarm at 8%</v>
      </c>
      <c r="L8" s="196"/>
      <c r="M8" s="3"/>
      <c r="N8" s="195" t="str">
        <f ca="1">COUNTIFS('Cash Ledger'!$D$7:$D$1006,"Advance",'Cash Ledger'!$B$7:$B$1006,"&gt;="&amp;$R$3,'Cash Ledger'!$B$7:$B$1006,"&lt;="&amp;($R$3+6))&amp;" advance(s) given"</f>
        <v>2 advance(s) given</v>
      </c>
      <c r="O8" s="196"/>
      <c r="P8" s="3"/>
      <c r="Q8" s="195" t="str">
        <f>"earned so far minus cash given"</f>
        <v>earned so far minus cash given</v>
      </c>
      <c r="R8" s="196"/>
      <c r="S8" s="3"/>
    </row>
    <row r="9" spans="1:27" ht="16.5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27" ht="20.100000000000001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27" ht="26.1" customHeight="1" x14ac:dyDescent="0.3">
      <c r="A11" s="3"/>
      <c r="B11" s="8" t="s">
        <v>215</v>
      </c>
      <c r="C11" s="8"/>
      <c r="D11" s="8"/>
      <c r="E11" s="8"/>
      <c r="F11" s="8"/>
      <c r="G11" s="8"/>
      <c r="H11" s="8"/>
      <c r="I11" s="8"/>
      <c r="J11" s="8"/>
      <c r="K11" s="8" t="s">
        <v>216</v>
      </c>
      <c r="L11" s="8"/>
      <c r="M11" s="8"/>
      <c r="N11" s="8"/>
      <c r="O11" s="8"/>
      <c r="P11" s="8"/>
      <c r="Q11" s="8"/>
      <c r="R11" s="8"/>
      <c r="S11" s="3"/>
    </row>
    <row r="12" spans="1:27" ht="26.1" customHeight="1" x14ac:dyDescent="0.3">
      <c r="A12" s="3"/>
      <c r="B12" s="190" t="str">
        <f>Checks!C5</f>
        <v>ALL CHECKS OK</v>
      </c>
      <c r="C12" s="190"/>
      <c r="D12" s="190"/>
      <c r="E12" s="190"/>
      <c r="F12" s="190"/>
      <c r="G12" s="190"/>
      <c r="H12" s="190"/>
      <c r="I12" s="190"/>
      <c r="J12" s="3"/>
      <c r="K12" s="186" t="s">
        <v>217</v>
      </c>
      <c r="L12" s="187"/>
      <c r="M12" s="187"/>
      <c r="N12" s="187"/>
      <c r="O12" s="188" t="s">
        <v>218</v>
      </c>
      <c r="P12" s="187"/>
      <c r="Q12" s="187"/>
      <c r="R12" s="189"/>
      <c r="S12" s="3"/>
    </row>
    <row r="13" spans="1:27" ht="26.1" customHeight="1" x14ac:dyDescent="0.3">
      <c r="A13" s="3"/>
      <c r="B13" s="20" t="str">
        <f>Checks!B8</f>
        <v>Worker list is clean (names unique, status set)</v>
      </c>
      <c r="C13" s="21"/>
      <c r="D13" s="21"/>
      <c r="E13" s="21"/>
      <c r="F13" s="21"/>
      <c r="G13" s="21"/>
      <c r="H13" s="21"/>
      <c r="I13" s="22" t="str">
        <f>IF(Checks!C8="OK","✓ OK",Checks!C8)</f>
        <v>✓ OK</v>
      </c>
      <c r="J13" s="3"/>
      <c r="K13" s="186" t="s">
        <v>219</v>
      </c>
      <c r="L13" s="187"/>
      <c r="M13" s="187"/>
      <c r="N13" s="187"/>
      <c r="O13" s="188" t="s">
        <v>220</v>
      </c>
      <c r="P13" s="187"/>
      <c r="Q13" s="187"/>
      <c r="R13" s="189"/>
      <c r="S13" s="3"/>
    </row>
    <row r="14" spans="1:27" ht="26.1" customHeight="1" x14ac:dyDescent="0.3">
      <c r="A14" s="3"/>
      <c r="B14" s="23" t="str">
        <f>Checks!B9</f>
        <v>Daily Log rows without problems</v>
      </c>
      <c r="C14" s="24"/>
      <c r="D14" s="24"/>
      <c r="E14" s="24"/>
      <c r="F14" s="24"/>
      <c r="G14" s="24"/>
      <c r="H14" s="24"/>
      <c r="I14" s="25" t="str">
        <f>IF(Checks!C9="OK","✓ OK",Checks!C9)</f>
        <v>✓ OK</v>
      </c>
      <c r="J14" s="3"/>
      <c r="K14" s="186" t="s">
        <v>221</v>
      </c>
      <c r="L14" s="187"/>
      <c r="M14" s="187"/>
      <c r="N14" s="187"/>
      <c r="O14" s="188" t="s">
        <v>222</v>
      </c>
      <c r="P14" s="187"/>
      <c r="Q14" s="187"/>
      <c r="R14" s="189"/>
      <c r="S14" s="3"/>
    </row>
    <row r="15" spans="1:27" ht="26.1" customHeight="1" x14ac:dyDescent="0.3">
      <c r="A15" s="3"/>
      <c r="B15" s="23" t="str">
        <f>Checks!B10</f>
        <v>Cash Ledger entries are complete and valid</v>
      </c>
      <c r="C15" s="24"/>
      <c r="D15" s="24"/>
      <c r="E15" s="24"/>
      <c r="F15" s="24"/>
      <c r="G15" s="24"/>
      <c r="H15" s="24"/>
      <c r="I15" s="25" t="str">
        <f>IF(Checks!C10="OK","✓ OK",Checks!C10)</f>
        <v>✓ OK</v>
      </c>
      <c r="J15" s="3"/>
      <c r="K15" s="186" t="s">
        <v>223</v>
      </c>
      <c r="L15" s="187"/>
      <c r="M15" s="187"/>
      <c r="N15" s="187"/>
      <c r="O15" s="188" t="s">
        <v>224</v>
      </c>
      <c r="P15" s="187"/>
      <c r="Q15" s="187"/>
      <c r="R15" s="189"/>
      <c r="S15" s="3"/>
    </row>
    <row r="16" spans="1:27" ht="26.1" customHeight="1" x14ac:dyDescent="0.3">
      <c r="A16" s="3"/>
      <c r="B16" s="23" t="str">
        <f>Checks!B11</f>
        <v>Every week's pot is shared out</v>
      </c>
      <c r="C16" s="24"/>
      <c r="D16" s="24"/>
      <c r="E16" s="24"/>
      <c r="F16" s="24"/>
      <c r="G16" s="24"/>
      <c r="H16" s="24"/>
      <c r="I16" s="25" t="str">
        <f>IF(Checks!C11="OK","✓ OK",Checks!C11)</f>
        <v>✓ OK</v>
      </c>
      <c r="J16" s="3"/>
      <c r="K16" s="186" t="s">
        <v>225</v>
      </c>
      <c r="L16" s="187"/>
      <c r="M16" s="187"/>
      <c r="N16" s="187"/>
      <c r="O16" s="188" t="s">
        <v>226</v>
      </c>
      <c r="P16" s="187"/>
      <c r="Q16" s="187"/>
      <c r="R16" s="189"/>
      <c r="S16" s="3"/>
    </row>
    <row r="17" spans="1:19" ht="26.1" customHeight="1" x14ac:dyDescent="0.3">
      <c r="A17" s="3"/>
      <c r="B17" s="23" t="str">
        <f>Checks!B12</f>
        <v>Worker shares add up to each week's pot</v>
      </c>
      <c r="C17" s="24"/>
      <c r="D17" s="24"/>
      <c r="E17" s="24"/>
      <c r="F17" s="24"/>
      <c r="G17" s="24"/>
      <c r="H17" s="24"/>
      <c r="I17" s="25" t="str">
        <f>IF(Checks!C12="OK","✓ OK",Checks!C12)</f>
        <v>✓ OK</v>
      </c>
      <c r="J17" s="3"/>
      <c r="K17" s="186" t="s">
        <v>227</v>
      </c>
      <c r="L17" s="187"/>
      <c r="M17" s="187"/>
      <c r="N17" s="187"/>
      <c r="O17" s="188" t="s">
        <v>228</v>
      </c>
      <c r="P17" s="187"/>
      <c r="Q17" s="187"/>
      <c r="R17" s="189"/>
      <c r="S17" s="3"/>
    </row>
    <row r="18" spans="1:19" ht="26.1" customHeight="1" x14ac:dyDescent="0.3">
      <c r="A18" s="3"/>
      <c r="B18" s="23" t="str">
        <f>Checks!B13</f>
        <v>A pay rate is set</v>
      </c>
      <c r="C18" s="24"/>
      <c r="D18" s="24"/>
      <c r="E18" s="24"/>
      <c r="F18" s="24"/>
      <c r="G18" s="24"/>
      <c r="H18" s="24"/>
      <c r="I18" s="25" t="str">
        <f>IF(Checks!C13="OK","✓ OK",Checks!C13)</f>
        <v>✓ OK</v>
      </c>
      <c r="J18" s="3"/>
      <c r="K18" s="186" t="s">
        <v>229</v>
      </c>
      <c r="L18" s="187"/>
      <c r="M18" s="187"/>
      <c r="N18" s="187"/>
      <c r="O18" s="188" t="s">
        <v>230</v>
      </c>
      <c r="P18" s="187"/>
      <c r="Q18" s="187"/>
      <c r="R18" s="189"/>
      <c r="S18" s="3"/>
    </row>
    <row r="19" spans="1:19" ht="26.1" customHeight="1" x14ac:dyDescent="0.3">
      <c r="A19" s="3"/>
      <c r="B19" s="23" t="str">
        <f>Checks!B14</f>
        <v>Rate dates are in order, oldest first</v>
      </c>
      <c r="C19" s="24"/>
      <c r="D19" s="24"/>
      <c r="E19" s="24"/>
      <c r="F19" s="24"/>
      <c r="G19" s="24"/>
      <c r="H19" s="24"/>
      <c r="I19" s="25" t="str">
        <f>IF(Checks!C14="OK","✓ OK",Checks!C14)</f>
        <v>✓ OK</v>
      </c>
      <c r="J19" s="3"/>
      <c r="K19" s="186" t="s">
        <v>231</v>
      </c>
      <c r="L19" s="187"/>
      <c r="M19" s="187"/>
      <c r="N19" s="187"/>
      <c r="O19" s="188" t="s">
        <v>232</v>
      </c>
      <c r="P19" s="187"/>
      <c r="Q19" s="187"/>
      <c r="R19" s="189"/>
      <c r="S19" s="3"/>
    </row>
    <row r="20" spans="1:19" ht="26.1" customHeight="1" x14ac:dyDescent="0.3">
      <c r="A20" s="3"/>
      <c r="B20" s="23" t="str">
        <f>Checks!B15</f>
        <v>Cash Ledger has room left</v>
      </c>
      <c r="C20" s="24"/>
      <c r="D20" s="24"/>
      <c r="E20" s="24"/>
      <c r="F20" s="24"/>
      <c r="G20" s="24"/>
      <c r="H20" s="24"/>
      <c r="I20" s="25" t="str">
        <f>IF(Checks!C15="OK","✓ OK",Checks!C15)</f>
        <v>✓ OK</v>
      </c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26.1" customHeight="1" x14ac:dyDescent="0.3">
      <c r="A21" s="3"/>
      <c r="B21" s="23" t="str">
        <f>Checks!B16</f>
        <v>Worker slots left</v>
      </c>
      <c r="C21" s="24"/>
      <c r="D21" s="24"/>
      <c r="E21" s="24"/>
      <c r="F21" s="24"/>
      <c r="G21" s="24"/>
      <c r="H21" s="24"/>
      <c r="I21" s="25" t="str">
        <f>IF(Checks!C16="OK","✓ OK",Checks!C16)</f>
        <v>✓ OK</v>
      </c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26.1" customHeight="1" x14ac:dyDescent="0.3">
      <c r="A22" s="3"/>
      <c r="B22" s="26" t="str">
        <f>Checks!B19</f>
        <v>Advances bigger than what the worker had earned so far</v>
      </c>
      <c r="C22" s="24"/>
      <c r="D22" s="24"/>
      <c r="E22" s="24"/>
      <c r="F22" s="24"/>
      <c r="G22" s="24"/>
      <c r="H22" s="24"/>
      <c r="I22" s="25">
        <f>Checks!C19</f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26.1" customHeight="1" x14ac:dyDescent="0.3">
      <c r="A23" s="3"/>
      <c r="B23" s="26" t="str">
        <f>Checks!B20</f>
        <v>Weeks with a high reject rate</v>
      </c>
      <c r="C23" s="24"/>
      <c r="D23" s="24"/>
      <c r="E23" s="24"/>
      <c r="F23" s="24"/>
      <c r="G23" s="24"/>
      <c r="H23" s="24"/>
      <c r="I23" s="25">
        <f>Checks!C20</f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20.100000000000001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20.100000000000001" customHeight="1" x14ac:dyDescent="0.3">
      <c r="A25" s="3"/>
      <c r="B25" s="2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20.100000000000001" customHeight="1" x14ac:dyDescent="0.25"/>
    <row r="27" spans="1:19" ht="26.1" customHeight="1" x14ac:dyDescent="0.3">
      <c r="A27" s="3"/>
      <c r="B27" s="8" t="s">
        <v>209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20.100000000000001" customHeight="1" x14ac:dyDescent="0.3">
      <c r="A28" s="3"/>
      <c r="B28" s="9" t="str">
        <f>"Owed now = everything earned up to this week, minus all cash given. Positive = you owe the worker."</f>
        <v>Owed now = everything earned up to this week, minus all cash given. Positive = you owe the worker.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24" customHeight="1" x14ac:dyDescent="0.3">
      <c r="A29" s="3"/>
      <c r="B29" s="11" t="s">
        <v>210</v>
      </c>
      <c r="C29" s="10"/>
      <c r="D29" s="10"/>
      <c r="E29" s="10"/>
      <c r="F29" s="12" t="s">
        <v>211</v>
      </c>
      <c r="G29" s="10"/>
      <c r="H29" s="10"/>
      <c r="I29" s="12" t="s">
        <v>212</v>
      </c>
      <c r="J29" s="10"/>
      <c r="K29" s="10"/>
      <c r="L29" s="12" t="s">
        <v>207</v>
      </c>
      <c r="M29" s="10"/>
      <c r="N29" s="10"/>
      <c r="O29" s="12" t="s">
        <v>213</v>
      </c>
      <c r="P29" s="10"/>
      <c r="Q29" s="10"/>
      <c r="R29" s="13" t="s">
        <v>214</v>
      </c>
      <c r="S29" s="3"/>
    </row>
    <row r="30" spans="1:19" ht="24" customHeight="1" x14ac:dyDescent="0.3">
      <c r="A30" s="3"/>
      <c r="B30" s="15" t="str">
        <f>IF(Workers!$B$6&lt;&gt;"",Workers!$B$6,"")</f>
        <v>Davlatbek</v>
      </c>
      <c r="C30" s="14"/>
      <c r="D30" s="14"/>
      <c r="E30" s="14"/>
      <c r="F30" s="17" cm="1">
        <f t="array" aca="1" ref="F30" ca="1">IF($B30="","",IF($T$3=0,0,INDEX(Weeks!$L$7:$W$59,$T$3,1)))</f>
        <v>6</v>
      </c>
      <c r="G30" s="14"/>
      <c r="H30" s="14"/>
      <c r="I30" s="16" cm="1">
        <f t="array" aca="1" ref="I30" ca="1">IF($B30="","",IF($T$3=0,0,INDEX(Weeks!$X$7:$AI$59,$T$3,1)))</f>
        <v>1482125</v>
      </c>
      <c r="J30" s="14"/>
      <c r="K30" s="14"/>
      <c r="L30" s="16">
        <f ca="1">IF($B30="","",SUMIFS('Cash Ledger'!$E$7:$E$1006,'Cash Ledger'!$I$7:$I$1006,Workers!$A$6,'Cash Ledger'!$D$7:$D$1006,"Advance",'Cash Ledger'!$B$7:$B$1006,"&gt;="&amp;$R$3,'Cash Ledger'!$B$7:$B$1006,"&lt;="&amp;($R$3+6)))</f>
        <v>150000</v>
      </c>
      <c r="M30" s="14"/>
      <c r="N30" s="14"/>
      <c r="O30" s="18" cm="1">
        <f t="array" aca="1" ref="O30" ca="1">IF($B30="","",SUMPRODUCT((Weeks!$A$7:$A$59&lt;=$R$3)*(Weeks!$X$5:$AI$5=Workers!$A$6)*Weeks!$X$7:$AI$59)-SUMIFS('Cash Ledger'!$E$7:$E$1006,'Cash Ledger'!$I$7:$I$1006,Workers!$A$6))</f>
        <v>1332125</v>
      </c>
      <c r="P30" s="14"/>
      <c r="Q30" s="14"/>
      <c r="R30" s="19" t="str">
        <f ca="1">IF($B30="","",IF(Workers!$C$6="Left","Left",IF(ROUND($O30,0)&gt;0,"To pay",IF(ROUND($O30,0)&lt;0,"Owes you","Settled"))))</f>
        <v>To pay</v>
      </c>
      <c r="S30" s="3"/>
    </row>
    <row r="31" spans="1:19" ht="24" customHeight="1" x14ac:dyDescent="0.3">
      <c r="A31" s="3"/>
      <c r="B31" s="15" t="str">
        <f>IF(Workers!$B$7&lt;&gt;"",Workers!$B$7,"")</f>
        <v>Xusanboy</v>
      </c>
      <c r="C31" s="14"/>
      <c r="D31" s="14"/>
      <c r="E31" s="14"/>
      <c r="F31" s="17" cm="1">
        <f t="array" aca="1" ref="F31" ca="1">IF($B31="","",IF($T$3=0,0,INDEX(Weeks!$L$7:$W$59,$T$3,2)))</f>
        <v>6</v>
      </c>
      <c r="G31" s="14"/>
      <c r="H31" s="14"/>
      <c r="I31" s="16" cm="1">
        <f t="array" aca="1" ref="I31" ca="1">IF($B31="","",IF($T$3=0,0,INDEX(Weeks!$X$7:$AI$59,$T$3,2)))</f>
        <v>1482125</v>
      </c>
      <c r="J31" s="14"/>
      <c r="K31" s="14"/>
      <c r="L31" s="16">
        <f ca="1">IF($B31="","",SUMIFS('Cash Ledger'!$E$7:$E$1006,'Cash Ledger'!$I$7:$I$1006,Workers!$A$7,'Cash Ledger'!$D$7:$D$1006,"Advance",'Cash Ledger'!$B$7:$B$1006,"&gt;="&amp;$R$3,'Cash Ledger'!$B$7:$B$1006,"&lt;="&amp;($R$3+6)))</f>
        <v>500000</v>
      </c>
      <c r="M31" s="14"/>
      <c r="N31" s="14"/>
      <c r="O31" s="18" cm="1">
        <f t="array" aca="1" ref="O31" ca="1">IF($B31="","",SUMPRODUCT((Weeks!$A$7:$A$59&lt;=$R$3)*(Weeks!$X$5:$AI$5=Workers!$A$7)*Weeks!$X$7:$AI$59)-SUMIFS('Cash Ledger'!$E$7:$E$1006,'Cash Ledger'!$I$7:$I$1006,Workers!$A$7))</f>
        <v>982125</v>
      </c>
      <c r="P31" s="14"/>
      <c r="Q31" s="14"/>
      <c r="R31" s="19" t="str">
        <f ca="1">IF($B31="","",IF(Workers!$C$7="Left","Left",IF(ROUND($O31,0)&gt;0,"To pay",IF(ROUND($O31,0)&lt;0,"Owes you","Settled"))))</f>
        <v>To pay</v>
      </c>
      <c r="S31" s="3"/>
    </row>
    <row r="32" spans="1:19" ht="24" customHeight="1" x14ac:dyDescent="0.3">
      <c r="A32" s="3"/>
      <c r="B32" s="15" t="str">
        <f>IF(Workers!$B$8&lt;&gt;"",Workers!$B$8,"")</f>
        <v>Oybek</v>
      </c>
      <c r="C32" s="14"/>
      <c r="D32" s="14"/>
      <c r="E32" s="14"/>
      <c r="F32" s="17" cm="1">
        <f t="array" aca="1" ref="F32" ca="1">IF($B32="","",IF($T$3=0,0,INDEX(Weeks!$L$7:$W$59,$T$3,3)))</f>
        <v>6</v>
      </c>
      <c r="G32" s="14"/>
      <c r="H32" s="14"/>
      <c r="I32" s="16" cm="1">
        <f t="array" aca="1" ref="I32" ca="1">IF($B32="","",IF($T$3=0,0,INDEX(Weeks!$X$7:$AI$59,$T$3,3)))</f>
        <v>1482125</v>
      </c>
      <c r="J32" s="14"/>
      <c r="K32" s="14"/>
      <c r="L32" s="16">
        <f ca="1">IF($B32="","",SUMIFS('Cash Ledger'!$E$7:$E$1006,'Cash Ledger'!$I$7:$I$1006,Workers!$A$8,'Cash Ledger'!$D$7:$D$1006,"Advance",'Cash Ledger'!$B$7:$B$1006,"&gt;="&amp;$R$3,'Cash Ledger'!$B$7:$B$1006,"&lt;="&amp;($R$3+6)))</f>
        <v>0</v>
      </c>
      <c r="M32" s="14"/>
      <c r="N32" s="14"/>
      <c r="O32" s="18" cm="1">
        <f t="array" aca="1" ref="O32" ca="1">IF($B32="","",SUMPRODUCT((Weeks!$A$7:$A$59&lt;=$R$3)*(Weeks!$X$5:$AI$5=Workers!$A$8)*Weeks!$X$7:$AI$59)-SUMIFS('Cash Ledger'!$E$7:$E$1006,'Cash Ledger'!$I$7:$I$1006,Workers!$A$8))</f>
        <v>1482125</v>
      </c>
      <c r="P32" s="14"/>
      <c r="Q32" s="14"/>
      <c r="R32" s="19" t="str">
        <f ca="1">IF($B32="","",IF(Workers!$C$8="Left","Left",IF(ROUND($O32,0)&gt;0,"To pay",IF(ROUND($O32,0)&lt;0,"Owes you","Settled"))))</f>
        <v>To pay</v>
      </c>
      <c r="S32" s="3"/>
    </row>
    <row r="33" spans="1:19" ht="24" customHeight="1" x14ac:dyDescent="0.3">
      <c r="A33" s="3"/>
      <c r="B33" s="15" t="str">
        <f>IF(Workers!$B$9&lt;&gt;"",Workers!$B$9,"")</f>
        <v>Abdurashid</v>
      </c>
      <c r="C33" s="14"/>
      <c r="D33" s="14"/>
      <c r="E33" s="14"/>
      <c r="F33" s="17" cm="1">
        <f t="array" aca="1" ref="F33" ca="1">IF($B33="","",IF($T$3=0,0,INDEX(Weeks!$L$7:$W$59,$T$3,4)))</f>
        <v>6</v>
      </c>
      <c r="G33" s="14"/>
      <c r="H33" s="14"/>
      <c r="I33" s="16" cm="1">
        <f t="array" aca="1" ref="I33" ca="1">IF($B33="","",IF($T$3=0,0,INDEX(Weeks!$X$7:$AI$59,$T$3,4)))</f>
        <v>1482125</v>
      </c>
      <c r="J33" s="14"/>
      <c r="K33" s="14"/>
      <c r="L33" s="16">
        <f ca="1">IF($B33="","",SUMIFS('Cash Ledger'!$E$7:$E$1006,'Cash Ledger'!$I$7:$I$1006,Workers!$A$9,'Cash Ledger'!$D$7:$D$1006,"Advance",'Cash Ledger'!$B$7:$B$1006,"&gt;="&amp;$R$3,'Cash Ledger'!$B$7:$B$1006,"&lt;="&amp;($R$3+6)))</f>
        <v>0</v>
      </c>
      <c r="M33" s="14"/>
      <c r="N33" s="14"/>
      <c r="O33" s="18" cm="1">
        <f t="array" aca="1" ref="O33" ca="1">IF($B33="","",SUMPRODUCT((Weeks!$A$7:$A$59&lt;=$R$3)*(Weeks!$X$5:$AI$5=Workers!$A$9)*Weeks!$X$7:$AI$59)-SUMIFS('Cash Ledger'!$E$7:$E$1006,'Cash Ledger'!$I$7:$I$1006,Workers!$A$9))</f>
        <v>1482125</v>
      </c>
      <c r="P33" s="14"/>
      <c r="Q33" s="14"/>
      <c r="R33" s="19" t="str">
        <f ca="1">IF($B33="","",IF(Workers!$C$9="Left","Left",IF(ROUND($O33,0)&gt;0,"To pay",IF(ROUND($O33,0)&lt;0,"Owes you","Settled"))))</f>
        <v>To pay</v>
      </c>
      <c r="S33" s="3"/>
    </row>
    <row r="34" spans="1:19" ht="24" customHeight="1" x14ac:dyDescent="0.3">
      <c r="A34" s="3"/>
      <c r="B34" s="15" t="str">
        <f>IF(Workers!$B$10&lt;&gt;"",Workers!$B$10,"")</f>
        <v/>
      </c>
      <c r="C34" s="14"/>
      <c r="D34" s="14"/>
      <c r="E34" s="14"/>
      <c r="F34" s="17" t="str" cm="1">
        <f t="array" ref="F34">IF($B34="","",IF($T$3=0,0,INDEX(Weeks!$L$7:$W$59,$T$3,5)))</f>
        <v/>
      </c>
      <c r="G34" s="14"/>
      <c r="H34" s="14"/>
      <c r="I34" s="16" t="str" cm="1">
        <f t="array" ref="I34">IF($B34="","",IF($T$3=0,0,INDEX(Weeks!$X$7:$AI$59,$T$3,5)))</f>
        <v/>
      </c>
      <c r="J34" s="14"/>
      <c r="K34" s="14"/>
      <c r="L34" s="16" t="str">
        <f>IF($B34="","",SUMIFS('Cash Ledger'!$E$7:$E$1006,'Cash Ledger'!$I$7:$I$1006,Workers!$A$10,'Cash Ledger'!$D$7:$D$1006,"Advance",'Cash Ledger'!$B$7:$B$1006,"&gt;="&amp;$R$3,'Cash Ledger'!$B$7:$B$1006,"&lt;="&amp;($R$3+6)))</f>
        <v/>
      </c>
      <c r="M34" s="14"/>
      <c r="N34" s="14"/>
      <c r="O34" s="18" t="str" cm="1">
        <f t="array" ref="O34">IF($B34="","",SUMPRODUCT((Weeks!$A$7:$A$59&lt;=$R$3)*(Weeks!$X$5:$AI$5=Workers!$A$10)*Weeks!$X$7:$AI$59)-SUMIFS('Cash Ledger'!$E$7:$E$1006,'Cash Ledger'!$I$7:$I$1006,Workers!$A$10))</f>
        <v/>
      </c>
      <c r="P34" s="14"/>
      <c r="Q34" s="14"/>
      <c r="R34" s="19" t="str">
        <f>IF($B34="","",IF(Workers!$C$10="Left","Left",IF(ROUND($O34,0)&gt;0,"To pay",IF(ROUND($O34,0)&lt;0,"Owes you","Settled"))))</f>
        <v/>
      </c>
      <c r="S34" s="3"/>
    </row>
    <row r="35" spans="1:19" ht="24" customHeight="1" x14ac:dyDescent="0.3">
      <c r="A35" s="3"/>
      <c r="B35" s="15" t="str">
        <f>IF(Workers!$B$11&lt;&gt;"",Workers!$B$11,"")</f>
        <v/>
      </c>
      <c r="C35" s="14"/>
      <c r="D35" s="14"/>
      <c r="E35" s="14"/>
      <c r="F35" s="17" t="str" cm="1">
        <f t="array" ref="F35">IF($B35="","",IF($T$3=0,0,INDEX(Weeks!$L$7:$W$59,$T$3,6)))</f>
        <v/>
      </c>
      <c r="G35" s="14"/>
      <c r="H35" s="14"/>
      <c r="I35" s="16" t="str" cm="1">
        <f t="array" ref="I35">IF($B35="","",IF($T$3=0,0,INDEX(Weeks!$X$7:$AI$59,$T$3,6)))</f>
        <v/>
      </c>
      <c r="J35" s="14"/>
      <c r="K35" s="14"/>
      <c r="L35" s="16" t="str">
        <f>IF($B35="","",SUMIFS('Cash Ledger'!$E$7:$E$1006,'Cash Ledger'!$I$7:$I$1006,Workers!$A$11,'Cash Ledger'!$D$7:$D$1006,"Advance",'Cash Ledger'!$B$7:$B$1006,"&gt;="&amp;$R$3,'Cash Ledger'!$B$7:$B$1006,"&lt;="&amp;($R$3+6)))</f>
        <v/>
      </c>
      <c r="M35" s="14"/>
      <c r="N35" s="14"/>
      <c r="O35" s="18" t="str" cm="1">
        <f t="array" ref="O35">IF($B35="","",SUMPRODUCT((Weeks!$A$7:$A$59&lt;=$R$3)*(Weeks!$X$5:$AI$5=Workers!$A$11)*Weeks!$X$7:$AI$59)-SUMIFS('Cash Ledger'!$E$7:$E$1006,'Cash Ledger'!$I$7:$I$1006,Workers!$A$11))</f>
        <v/>
      </c>
      <c r="P35" s="14"/>
      <c r="Q35" s="14"/>
      <c r="R35" s="19" t="str">
        <f>IF($B35="","",IF(Workers!$C$11="Left","Left",IF(ROUND($O35,0)&gt;0,"To pay",IF(ROUND($O35,0)&lt;0,"Owes you","Settled"))))</f>
        <v/>
      </c>
      <c r="S35" s="3"/>
    </row>
    <row r="36" spans="1:19" ht="24" customHeight="1" x14ac:dyDescent="0.3">
      <c r="A36" s="3"/>
      <c r="B36" s="15" t="str">
        <f>IF(Workers!$B$12&lt;&gt;"",Workers!$B$12,"")</f>
        <v/>
      </c>
      <c r="C36" s="14"/>
      <c r="D36" s="14"/>
      <c r="E36" s="14"/>
      <c r="F36" s="17" t="str" cm="1">
        <f t="array" ref="F36">IF($B36="","",IF($T$3=0,0,INDEX(Weeks!$L$7:$W$59,$T$3,7)))</f>
        <v/>
      </c>
      <c r="G36" s="14"/>
      <c r="H36" s="14"/>
      <c r="I36" s="16" t="str" cm="1">
        <f t="array" ref="I36">IF($B36="","",IF($T$3=0,0,INDEX(Weeks!$X$7:$AI$59,$T$3,7)))</f>
        <v/>
      </c>
      <c r="J36" s="14"/>
      <c r="K36" s="14"/>
      <c r="L36" s="16" t="str">
        <f>IF($B36="","",SUMIFS('Cash Ledger'!$E$7:$E$1006,'Cash Ledger'!$I$7:$I$1006,Workers!$A$12,'Cash Ledger'!$D$7:$D$1006,"Advance",'Cash Ledger'!$B$7:$B$1006,"&gt;="&amp;$R$3,'Cash Ledger'!$B$7:$B$1006,"&lt;="&amp;($R$3+6)))</f>
        <v/>
      </c>
      <c r="M36" s="14"/>
      <c r="N36" s="14"/>
      <c r="O36" s="18" t="str" cm="1">
        <f t="array" ref="O36">IF($B36="","",SUMPRODUCT((Weeks!$A$7:$A$59&lt;=$R$3)*(Weeks!$X$5:$AI$5=Workers!$A$12)*Weeks!$X$7:$AI$59)-SUMIFS('Cash Ledger'!$E$7:$E$1006,'Cash Ledger'!$I$7:$I$1006,Workers!$A$12))</f>
        <v/>
      </c>
      <c r="P36" s="14"/>
      <c r="Q36" s="14"/>
      <c r="R36" s="19" t="str">
        <f>IF($B36="","",IF(Workers!$C$12="Left","Left",IF(ROUND($O36,0)&gt;0,"To pay",IF(ROUND($O36,0)&lt;0,"Owes you","Settled"))))</f>
        <v/>
      </c>
      <c r="S36" s="3"/>
    </row>
    <row r="37" spans="1:19" ht="24" customHeight="1" x14ac:dyDescent="0.3">
      <c r="A37" s="3"/>
      <c r="B37" s="15" t="str">
        <f>IF(Workers!$B$13&lt;&gt;"",Workers!$B$13,"")</f>
        <v/>
      </c>
      <c r="C37" s="14"/>
      <c r="D37" s="14"/>
      <c r="E37" s="14"/>
      <c r="F37" s="17" t="str" cm="1">
        <f t="array" ref="F37">IF($B37="","",IF($T$3=0,0,INDEX(Weeks!$L$7:$W$59,$T$3,8)))</f>
        <v/>
      </c>
      <c r="G37" s="14"/>
      <c r="H37" s="14"/>
      <c r="I37" s="16" t="str" cm="1">
        <f t="array" ref="I37">IF($B37="","",IF($T$3=0,0,INDEX(Weeks!$X$7:$AI$59,$T$3,8)))</f>
        <v/>
      </c>
      <c r="J37" s="14"/>
      <c r="K37" s="14"/>
      <c r="L37" s="16" t="str">
        <f>IF($B37="","",SUMIFS('Cash Ledger'!$E$7:$E$1006,'Cash Ledger'!$I$7:$I$1006,Workers!$A$13,'Cash Ledger'!$D$7:$D$1006,"Advance",'Cash Ledger'!$B$7:$B$1006,"&gt;="&amp;$R$3,'Cash Ledger'!$B$7:$B$1006,"&lt;="&amp;($R$3+6)))</f>
        <v/>
      </c>
      <c r="M37" s="14"/>
      <c r="N37" s="14"/>
      <c r="O37" s="18" t="str" cm="1">
        <f t="array" ref="O37">IF($B37="","",SUMPRODUCT((Weeks!$A$7:$A$59&lt;=$R$3)*(Weeks!$X$5:$AI$5=Workers!$A$13)*Weeks!$X$7:$AI$59)-SUMIFS('Cash Ledger'!$E$7:$E$1006,'Cash Ledger'!$I$7:$I$1006,Workers!$A$13))</f>
        <v/>
      </c>
      <c r="P37" s="14"/>
      <c r="Q37" s="14"/>
      <c r="R37" s="19" t="str">
        <f>IF($B37="","",IF(Workers!$C$13="Left","Left",IF(ROUND($O37,0)&gt;0,"To pay",IF(ROUND($O37,0)&lt;0,"Owes you","Settled"))))</f>
        <v/>
      </c>
      <c r="S37" s="3"/>
    </row>
    <row r="38" spans="1:19" ht="24" customHeight="1" x14ac:dyDescent="0.3">
      <c r="A38" s="3"/>
      <c r="B38" s="15" t="str">
        <f>IF(Workers!$B$14&lt;&gt;"",Workers!$B$14,"")</f>
        <v/>
      </c>
      <c r="C38" s="14"/>
      <c r="D38" s="14"/>
      <c r="E38" s="14"/>
      <c r="F38" s="17" t="str" cm="1">
        <f t="array" ref="F38">IF($B38="","",IF($T$3=0,0,INDEX(Weeks!$L$7:$W$59,$T$3,9)))</f>
        <v/>
      </c>
      <c r="G38" s="14"/>
      <c r="H38" s="14"/>
      <c r="I38" s="16" t="str" cm="1">
        <f t="array" ref="I38">IF($B38="","",IF($T$3=0,0,INDEX(Weeks!$X$7:$AI$59,$T$3,9)))</f>
        <v/>
      </c>
      <c r="J38" s="14"/>
      <c r="K38" s="14"/>
      <c r="L38" s="16" t="str">
        <f>IF($B38="","",SUMIFS('Cash Ledger'!$E$7:$E$1006,'Cash Ledger'!$I$7:$I$1006,Workers!$A$14,'Cash Ledger'!$D$7:$D$1006,"Advance",'Cash Ledger'!$B$7:$B$1006,"&gt;="&amp;$R$3,'Cash Ledger'!$B$7:$B$1006,"&lt;="&amp;($R$3+6)))</f>
        <v/>
      </c>
      <c r="M38" s="14"/>
      <c r="N38" s="14"/>
      <c r="O38" s="18" t="str" cm="1">
        <f t="array" ref="O38">IF($B38="","",SUMPRODUCT((Weeks!$A$7:$A$59&lt;=$R$3)*(Weeks!$X$5:$AI$5=Workers!$A$14)*Weeks!$X$7:$AI$59)-SUMIFS('Cash Ledger'!$E$7:$E$1006,'Cash Ledger'!$I$7:$I$1006,Workers!$A$14))</f>
        <v/>
      </c>
      <c r="P38" s="14"/>
      <c r="Q38" s="14"/>
      <c r="R38" s="19" t="str">
        <f>IF($B38="","",IF(Workers!$C$14="Left","Left",IF(ROUND($O38,0)&gt;0,"To pay",IF(ROUND($O38,0)&lt;0,"Owes you","Settled"))))</f>
        <v/>
      </c>
      <c r="S38" s="3"/>
    </row>
    <row r="39" spans="1:19" ht="24" customHeight="1" x14ac:dyDescent="0.3">
      <c r="A39" s="3"/>
      <c r="B39" s="15" t="str">
        <f>IF(Workers!$B$15&lt;&gt;"",Workers!$B$15,"")</f>
        <v/>
      </c>
      <c r="C39" s="14"/>
      <c r="D39" s="14"/>
      <c r="E39" s="14"/>
      <c r="F39" s="17" t="str" cm="1">
        <f t="array" ref="F39">IF($B39="","",IF($T$3=0,0,INDEX(Weeks!$L$7:$W$59,$T$3,10)))</f>
        <v/>
      </c>
      <c r="G39" s="14"/>
      <c r="H39" s="14"/>
      <c r="I39" s="16" t="str" cm="1">
        <f t="array" ref="I39">IF($B39="","",IF($T$3=0,0,INDEX(Weeks!$X$7:$AI$59,$T$3,10)))</f>
        <v/>
      </c>
      <c r="J39" s="14"/>
      <c r="K39" s="14"/>
      <c r="L39" s="16" t="str">
        <f>IF($B39="","",SUMIFS('Cash Ledger'!$E$7:$E$1006,'Cash Ledger'!$I$7:$I$1006,Workers!$A$15,'Cash Ledger'!$D$7:$D$1006,"Advance",'Cash Ledger'!$B$7:$B$1006,"&gt;="&amp;$R$3,'Cash Ledger'!$B$7:$B$1006,"&lt;="&amp;($R$3+6)))</f>
        <v/>
      </c>
      <c r="M39" s="14"/>
      <c r="N39" s="14"/>
      <c r="O39" s="18" t="str" cm="1">
        <f t="array" ref="O39">IF($B39="","",SUMPRODUCT((Weeks!$A$7:$A$59&lt;=$R$3)*(Weeks!$X$5:$AI$5=Workers!$A$15)*Weeks!$X$7:$AI$59)-SUMIFS('Cash Ledger'!$E$7:$E$1006,'Cash Ledger'!$I$7:$I$1006,Workers!$A$15))</f>
        <v/>
      </c>
      <c r="P39" s="14"/>
      <c r="Q39" s="14"/>
      <c r="R39" s="19" t="str">
        <f>IF($B39="","",IF(Workers!$C$15="Left","Left",IF(ROUND($O39,0)&gt;0,"To pay",IF(ROUND($O39,0)&lt;0,"Owes you","Settled"))))</f>
        <v/>
      </c>
      <c r="S39" s="3"/>
    </row>
    <row r="40" spans="1:19" ht="24" customHeight="1" x14ac:dyDescent="0.3">
      <c r="A40" s="3"/>
      <c r="B40" s="15" t="str">
        <f>IF(Workers!$B$16&lt;&gt;"",Workers!$B$16,"")</f>
        <v/>
      </c>
      <c r="C40" s="14"/>
      <c r="D40" s="14"/>
      <c r="E40" s="14"/>
      <c r="F40" s="17" t="str" cm="1">
        <f t="array" ref="F40">IF($B40="","",IF($T$3=0,0,INDEX(Weeks!$L$7:$W$59,$T$3,11)))</f>
        <v/>
      </c>
      <c r="G40" s="14"/>
      <c r="H40" s="14"/>
      <c r="I40" s="16" t="str" cm="1">
        <f t="array" ref="I40">IF($B40="","",IF($T$3=0,0,INDEX(Weeks!$X$7:$AI$59,$T$3,11)))</f>
        <v/>
      </c>
      <c r="J40" s="14"/>
      <c r="K40" s="14"/>
      <c r="L40" s="16" t="str">
        <f>IF($B40="","",SUMIFS('Cash Ledger'!$E$7:$E$1006,'Cash Ledger'!$I$7:$I$1006,Workers!$A$16,'Cash Ledger'!$D$7:$D$1006,"Advance",'Cash Ledger'!$B$7:$B$1006,"&gt;="&amp;$R$3,'Cash Ledger'!$B$7:$B$1006,"&lt;="&amp;($R$3+6)))</f>
        <v/>
      </c>
      <c r="M40" s="14"/>
      <c r="N40" s="14"/>
      <c r="O40" s="18" t="str" cm="1">
        <f t="array" ref="O40">IF($B40="","",SUMPRODUCT((Weeks!$A$7:$A$59&lt;=$R$3)*(Weeks!$X$5:$AI$5=Workers!$A$16)*Weeks!$X$7:$AI$59)-SUMIFS('Cash Ledger'!$E$7:$E$1006,'Cash Ledger'!$I$7:$I$1006,Workers!$A$16))</f>
        <v/>
      </c>
      <c r="P40" s="14"/>
      <c r="Q40" s="14"/>
      <c r="R40" s="19" t="str">
        <f>IF($B40="","",IF(Workers!$C$16="Left","Left",IF(ROUND($O40,0)&gt;0,"To pay",IF(ROUND($O40,0)&lt;0,"Owes you","Settled"))))</f>
        <v/>
      </c>
      <c r="S40" s="3"/>
    </row>
    <row r="41" spans="1:19" ht="24" customHeight="1" x14ac:dyDescent="0.3">
      <c r="A41" s="3"/>
      <c r="B41" s="15" t="str">
        <f>IF(Workers!$B$17&lt;&gt;"",Workers!$B$17,"")</f>
        <v/>
      </c>
      <c r="C41" s="14"/>
      <c r="D41" s="14"/>
      <c r="E41" s="14"/>
      <c r="F41" s="17" t="str" cm="1">
        <f t="array" ref="F41">IF($B41="","",IF($T$3=0,0,INDEX(Weeks!$L$7:$W$59,$T$3,12)))</f>
        <v/>
      </c>
      <c r="G41" s="14"/>
      <c r="H41" s="14"/>
      <c r="I41" s="16" t="str" cm="1">
        <f t="array" ref="I41">IF($B41="","",IF($T$3=0,0,INDEX(Weeks!$X$7:$AI$59,$T$3,12)))</f>
        <v/>
      </c>
      <c r="J41" s="14"/>
      <c r="K41" s="14"/>
      <c r="L41" s="16" t="str">
        <f>IF($B41="","",SUMIFS('Cash Ledger'!$E$7:$E$1006,'Cash Ledger'!$I$7:$I$1006,Workers!$A$17,'Cash Ledger'!$D$7:$D$1006,"Advance",'Cash Ledger'!$B$7:$B$1006,"&gt;="&amp;$R$3,'Cash Ledger'!$B$7:$B$1006,"&lt;="&amp;($R$3+6)))</f>
        <v/>
      </c>
      <c r="M41" s="14"/>
      <c r="N41" s="14"/>
      <c r="O41" s="18" t="str" cm="1">
        <f t="array" ref="O41">IF($B41="","",SUMPRODUCT((Weeks!$A$7:$A$59&lt;=$R$3)*(Weeks!$X$5:$AI$5=Workers!$A$17)*Weeks!$X$7:$AI$59)-SUMIFS('Cash Ledger'!$E$7:$E$1006,'Cash Ledger'!$I$7:$I$1006,Workers!$A$17))</f>
        <v/>
      </c>
      <c r="P41" s="14"/>
      <c r="Q41" s="14"/>
      <c r="R41" s="19" t="str">
        <f>IF($B41="","",IF(Workers!$C$17="Left","Left",IF(ROUND($O41,0)&gt;0,"To pay",IF(ROUND($O41,0)&lt;0,"Owes you","Settled"))))</f>
        <v/>
      </c>
      <c r="S41" s="3"/>
    </row>
    <row r="42" spans="1:19" ht="20.100000000000001" customHeight="1" x14ac:dyDescent="0.3">
      <c r="A42" s="3"/>
      <c r="B42" s="28" t="str">
        <f>IF(COUNTA(Workers!$B$6:$B$17)&lt;12,"+ add another worker on the Workers page","")</f>
        <v>+ add another worker on the Workers page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20.100000000000001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20.100000000000001" customHeight="1" x14ac:dyDescent="0.3">
      <c r="A44" s="3"/>
      <c r="B44" s="27" t="s">
        <v>233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20.100000000000001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20.100000000000001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20.100000000000001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20.100000000000001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20.100000000000001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20.100000000000001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20.100000000000001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20.100000000000001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20.100000000000001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20.100000000000001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20.100000000000001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20.100000000000001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20.100000000000001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20.100000000000001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20.100000000000001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20.100000000000001" customHeight="1" x14ac:dyDescent="0.25"/>
  </sheetData>
  <mergeCells count="47">
    <mergeCell ref="Z1:AA1"/>
    <mergeCell ref="A1:B1"/>
    <mergeCell ref="C1:D1"/>
    <mergeCell ref="E1:F1"/>
    <mergeCell ref="G1:I1"/>
    <mergeCell ref="J1:L1"/>
    <mergeCell ref="M1:N1"/>
    <mergeCell ref="O1:P1"/>
    <mergeCell ref="Q1:R1"/>
    <mergeCell ref="S1:T1"/>
    <mergeCell ref="V1:W1"/>
    <mergeCell ref="X1:Y1"/>
    <mergeCell ref="B6:C6"/>
    <mergeCell ref="B7:C7"/>
    <mergeCell ref="B8:C8"/>
    <mergeCell ref="E6:F6"/>
    <mergeCell ref="E7:F7"/>
    <mergeCell ref="E8:F8"/>
    <mergeCell ref="H6:I6"/>
    <mergeCell ref="H7:I7"/>
    <mergeCell ref="H8:I8"/>
    <mergeCell ref="K6:L6"/>
    <mergeCell ref="K7:L7"/>
    <mergeCell ref="K8:L8"/>
    <mergeCell ref="K14:N14"/>
    <mergeCell ref="O14:R14"/>
    <mergeCell ref="N6:O6"/>
    <mergeCell ref="N7:O7"/>
    <mergeCell ref="N8:O8"/>
    <mergeCell ref="Q6:R6"/>
    <mergeCell ref="Q7:R7"/>
    <mergeCell ref="Q8:R8"/>
    <mergeCell ref="B12:I12"/>
    <mergeCell ref="K12:N12"/>
    <mergeCell ref="O12:R12"/>
    <mergeCell ref="K13:N13"/>
    <mergeCell ref="O13:R13"/>
    <mergeCell ref="K18:N18"/>
    <mergeCell ref="O18:R18"/>
    <mergeCell ref="K19:N19"/>
    <mergeCell ref="O19:R19"/>
    <mergeCell ref="K15:N15"/>
    <mergeCell ref="O15:R15"/>
    <mergeCell ref="K16:N16"/>
    <mergeCell ref="O16:R16"/>
    <mergeCell ref="K17:N17"/>
    <mergeCell ref="O17:R17"/>
  </mergeCells>
  <conditionalFormatting sqref="B12:I12">
    <cfRule type="expression" dxfId="23" priority="6">
      <formula>$B$12="ALL CHECKS OK"</formula>
    </cfRule>
    <cfRule type="expression" dxfId="22" priority="7">
      <formula>$B$12&lt;&gt;"ALL CHECKS OK"</formula>
    </cfRule>
  </conditionalFormatting>
  <conditionalFormatting sqref="B30:R41">
    <cfRule type="expression" dxfId="21" priority="1">
      <formula>$B30&lt;&gt;""</formula>
    </cfRule>
  </conditionalFormatting>
  <conditionalFormatting sqref="I13:I21">
    <cfRule type="expression" dxfId="20" priority="11">
      <formula>I13="✓ OK"</formula>
    </cfRule>
    <cfRule type="expression" dxfId="19" priority="12">
      <formula>AND(I13&lt;&gt;"✓ OK",I13&lt;&gt;"")</formula>
    </cfRule>
  </conditionalFormatting>
  <conditionalFormatting sqref="I22:I23">
    <cfRule type="expression" dxfId="18" priority="10">
      <formula>N(I22)&gt;0</formula>
    </cfRule>
  </conditionalFormatting>
  <conditionalFormatting sqref="R30:R41">
    <cfRule type="expression" dxfId="17" priority="2">
      <formula>$R30="To pay"</formula>
    </cfRule>
    <cfRule type="expression" dxfId="16" priority="3">
      <formula>$R30="Owes you"</formula>
    </cfRule>
    <cfRule type="expression" dxfId="15" priority="4">
      <formula>$R30="Settled"</formula>
    </cfRule>
    <cfRule type="expression" dxfId="14" priority="5">
      <formula>$R30="Left"</formula>
    </cfRule>
  </conditionalFormatting>
  <hyperlinks>
    <hyperlink ref="E1" location="'Daily Log'!A1" tooltip="Go to Daily Log" display="Daily Log" xr:uid="{BE5CF7F7-439F-4FAF-BCB5-418B6C71929C}"/>
    <hyperlink ref="G1" location="'Cash Ledger'!A1" tooltip="Go to Cash Ledger" display="Cash Ledger" xr:uid="{A732DAC3-33BB-40B4-A9A6-C2DA600D9B95}"/>
    <hyperlink ref="J1" location="'Weekly Pay'!A1" tooltip="Go to Weekly Pay" display="Weekly Pay" xr:uid="{D843474B-F9F8-4084-B442-FC057A92DECE}"/>
    <hyperlink ref="M1" location="'Payslip'!A1" tooltip="Go to Payslip" display="Payslip" xr:uid="{6F5AFEB5-865F-4019-BE63-270B40678A1B}"/>
    <hyperlink ref="O1" location="'Workers'!A1" tooltip="Go to Workers" display="Workers" xr:uid="{7B3F37E4-7A92-4ABF-B011-0ECA480E9B47}"/>
    <hyperlink ref="Q1" location="'Settings'!A1" tooltip="Go to Settings" display="Settings" xr:uid="{9096278E-8A1B-4ADE-815B-853D3271994A}"/>
    <hyperlink ref="S1" location="'Guide'!A1" tooltip="Go to Guide" display="Guide" xr:uid="{69D9728B-EFFC-4A8A-8956-1FEF95F82E65}"/>
    <hyperlink ref="V1" location="'Worker History'!A1" tooltip="Go to Worker History" display="History" xr:uid="{60F3B06A-FB77-4C39-8517-41013646D8E0}"/>
    <hyperlink ref="X1" location="'Weeks'!A1" tooltip="Go to Weeks" display="Weeks" xr:uid="{42C4EF75-FD65-45A9-A61B-1850F684EEB1}"/>
    <hyperlink ref="Z1" location="'Checks'!A1" tooltip="Go to Checks" display="Checks" xr:uid="{07295CCC-7F45-4405-8C10-466220192675}"/>
    <hyperlink ref="K12" location="'Daily Log'!A1" tooltip="Open Daily Log" display="›  Log today's production" xr:uid="{248CF1A4-5D21-48D9-8A16-060B7E4C6F0A}"/>
    <hyperlink ref="K13" location="'Cash Ledger'!A1" tooltip="Open Cash Ledger" display="›  Record an advance" xr:uid="{6EB16BBD-63F8-4C7A-9E1D-4DEB0779942C}"/>
    <hyperlink ref="K14" location="'Weekly Pay'!A1" tooltip="Open Weekly Pay" display="›  Run payday" xr:uid="{2F428E69-E5B9-479B-8358-1F626F8555B1}"/>
    <hyperlink ref="K15" location="'Payslip'!A1" tooltip="Open Payslip" display="›  Print a payslip" xr:uid="{6E7EF191-A79D-4BE7-801F-CB7506452D31}"/>
    <hyperlink ref="K16" location="'Worker History'!A1" tooltip="Open Worker History" display="›  See one worker's history" xr:uid="{8888435D-516C-4C0C-878C-045AAC212743}"/>
    <hyperlink ref="K17" location="'Workers'!A1" tooltip="Open Workers" display="›  Add or remove a worker" xr:uid="{7F673551-BB75-449A-BD81-FC511C8AD7FD}"/>
    <hyperlink ref="K18" location="'Settings'!A1" tooltip="Open Settings" display="›  Change the pay rate" xr:uid="{9432C1BD-B438-437D-AF33-FCB28A936917}"/>
    <hyperlink ref="K19" location="'Guide'!A1" tooltip="Open Guide" display="›  How this works" xr:uid="{A50007AB-B85F-40BE-9892-AD8730713A9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46E5"/>
  </sheetPr>
  <dimension ref="A1:AM37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1" sqref="H11"/>
    </sheetView>
  </sheetViews>
  <sheetFormatPr defaultColWidth="8.5703125" defaultRowHeight="15" outlineLevelCol="1" x14ac:dyDescent="0.25"/>
  <cols>
    <col min="1" max="1" width="11" customWidth="1"/>
    <col min="2" max="2" width="5" customWidth="1"/>
    <col min="3" max="3" width="10" customWidth="1"/>
    <col min="4" max="5" width="9" customWidth="1"/>
    <col min="6" max="6" width="10" customWidth="1"/>
    <col min="7" max="10" width="13" customWidth="1"/>
    <col min="11" max="18" width="9" hidden="1" customWidth="1" outlineLevel="1"/>
    <col min="19" max="19" width="9" customWidth="1" collapsed="1"/>
    <col min="20" max="20" width="8" hidden="1" customWidth="1" outlineLevel="1"/>
    <col min="21" max="21" width="12" hidden="1" customWidth="1" outlineLevel="1"/>
    <col min="22" max="22" width="11" hidden="1" customWidth="1" outlineLevel="1"/>
    <col min="23" max="23" width="30" customWidth="1" collapsed="1"/>
    <col min="24" max="24" width="26" customWidth="1"/>
  </cols>
  <sheetData>
    <row r="1" spans="1:39" s="1" customFormat="1" ht="30" customHeight="1" thickBot="1" x14ac:dyDescent="0.3">
      <c r="A1" s="185" t="s">
        <v>196</v>
      </c>
      <c r="B1" s="185"/>
      <c r="C1" s="185"/>
      <c r="D1" s="181" t="s">
        <v>197</v>
      </c>
      <c r="E1" s="182"/>
      <c r="F1" s="30" t="s">
        <v>9</v>
      </c>
      <c r="G1" s="181" t="s">
        <v>12</v>
      </c>
      <c r="H1" s="182"/>
      <c r="I1" s="181" t="s">
        <v>67</v>
      </c>
      <c r="J1" s="182"/>
      <c r="K1" s="181" t="s">
        <v>93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29" t="s">
        <v>118</v>
      </c>
      <c r="Y1" s="181" t="s">
        <v>137</v>
      </c>
      <c r="Z1" s="182"/>
      <c r="AA1" s="181" t="s">
        <v>198</v>
      </c>
      <c r="AB1" s="182"/>
      <c r="AC1" s="31" t="s">
        <v>199</v>
      </c>
      <c r="AD1" s="183" t="s">
        <v>200</v>
      </c>
      <c r="AE1" s="184"/>
      <c r="AF1" s="183" t="s">
        <v>166</v>
      </c>
      <c r="AG1" s="184"/>
      <c r="AH1" s="183" t="s">
        <v>155</v>
      </c>
      <c r="AI1" s="184"/>
      <c r="AJ1" s="32"/>
      <c r="AK1" s="32"/>
      <c r="AL1" s="32"/>
      <c r="AM1" s="32"/>
    </row>
    <row r="2" spans="1:39" ht="36" customHeight="1" thickTop="1" x14ac:dyDescent="0.45">
      <c r="A2" s="172" t="s">
        <v>9</v>
      </c>
      <c r="B2" s="33"/>
      <c r="C2" s="33"/>
      <c r="D2" s="33"/>
      <c r="E2" s="33"/>
      <c r="F2" s="34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spans="1:39" ht="16.5" x14ac:dyDescent="0.3">
      <c r="A3" s="35" t="s">
        <v>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6.5" x14ac:dyDescent="0.3">
      <c r="A4" s="55" t="s">
        <v>39</v>
      </c>
      <c r="B4" s="3"/>
      <c r="C4" s="56">
        <f>SUM(C7:C377)</f>
        <v>11978</v>
      </c>
      <c r="D4" s="56">
        <f>SUM(D7:D377)</f>
        <v>121</v>
      </c>
      <c r="E4" s="56">
        <f>SUM(E7:E377)</f>
        <v>11857</v>
      </c>
      <c r="F4" s="56">
        <f>SUM(F7:F377)</f>
        <v>11857</v>
      </c>
      <c r="G4" s="35" t="s">
        <v>40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56">
        <f>SUM(U7:U377)</f>
        <v>5928500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6.5" x14ac:dyDescent="0.3">
      <c r="A5" s="57" t="s">
        <v>194</v>
      </c>
      <c r="B5" s="36"/>
      <c r="C5" s="36"/>
      <c r="D5" s="36"/>
      <c r="E5" s="36"/>
      <c r="F5" s="36"/>
      <c r="G5" s="57" t="str">
        <f>IF(Workers!$B$6="","",Workers!$B$6)</f>
        <v>Davlatbek</v>
      </c>
      <c r="H5" s="57" t="str">
        <f>IF(Workers!$B$7="","",Workers!$B$7)</f>
        <v>Xusanboy</v>
      </c>
      <c r="I5" s="57" t="str">
        <f>IF(Workers!$B$8="","",Workers!$B$8)</f>
        <v>Oybek</v>
      </c>
      <c r="J5" s="57" t="str">
        <f>IF(Workers!$B$9="","",Workers!$B$9)</f>
        <v>Abdurashid</v>
      </c>
      <c r="K5" s="57" t="str">
        <f>IF(Workers!$B$10="","",Workers!$B$10)</f>
        <v/>
      </c>
      <c r="L5" s="57" t="str">
        <f>IF(Workers!$B$11="","",Workers!$B$11)</f>
        <v/>
      </c>
      <c r="M5" s="57" t="str">
        <f>IF(Workers!$B$12="","",Workers!$B$12)</f>
        <v/>
      </c>
      <c r="N5" s="57" t="str">
        <f>IF(Workers!$B$13="","",Workers!$B$13)</f>
        <v/>
      </c>
      <c r="O5" s="57" t="str">
        <f>IF(Workers!$B$14="","",Workers!$B$14)</f>
        <v/>
      </c>
      <c r="P5" s="57" t="str">
        <f>IF(Workers!$B$15="","",Workers!$B$15)</f>
        <v/>
      </c>
      <c r="Q5" s="57" t="str">
        <f>IF(Workers!$B$16="","",Workers!$B$16)</f>
        <v/>
      </c>
      <c r="R5" s="57" t="str">
        <f>IF(Workers!$B$17="","",Workers!$B$17)</f>
        <v/>
      </c>
      <c r="S5" s="36"/>
      <c r="T5" s="36"/>
      <c r="U5" s="36"/>
      <c r="V5" s="36"/>
      <c r="W5" s="36"/>
      <c r="X5" s="36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s="127" customFormat="1" ht="32.1" customHeight="1" x14ac:dyDescent="0.25">
      <c r="A6" s="58" t="s">
        <v>41</v>
      </c>
      <c r="B6" s="58" t="s">
        <v>42</v>
      </c>
      <c r="C6" s="58" t="s">
        <v>43</v>
      </c>
      <c r="D6" s="58" t="s">
        <v>44</v>
      </c>
      <c r="E6" s="58" t="s">
        <v>45</v>
      </c>
      <c r="F6" s="58" t="s">
        <v>46</v>
      </c>
      <c r="G6" s="58" t="str">
        <f>IF(Workers!$B$6="",Workers!$A$6,Workers!$B$6)</f>
        <v>Davlatbek</v>
      </c>
      <c r="H6" s="58" t="str">
        <f>IF(Workers!$B$7="",Workers!$A$7,Workers!$B$7)</f>
        <v>Xusanboy</v>
      </c>
      <c r="I6" s="58" t="str">
        <f>IF(Workers!$B$8="",Workers!$A$8,Workers!$B$8)</f>
        <v>Oybek</v>
      </c>
      <c r="J6" s="58" t="str">
        <f>IF(Workers!$B$9="",Workers!$A$9,Workers!$B$9)</f>
        <v>Abdurashid</v>
      </c>
      <c r="K6" s="58" t="str">
        <f>IF(Workers!$B$10="",Workers!$A$10,Workers!$B$10)</f>
        <v>W05</v>
      </c>
      <c r="L6" s="58" t="str">
        <f>IF(Workers!$B$11="",Workers!$A$11,Workers!$B$11)</f>
        <v>W06</v>
      </c>
      <c r="M6" s="58" t="str">
        <f>IF(Workers!$B$12="",Workers!$A$12,Workers!$B$12)</f>
        <v>W07</v>
      </c>
      <c r="N6" s="58" t="str">
        <f>IF(Workers!$B$13="",Workers!$A$13,Workers!$B$13)</f>
        <v>W08</v>
      </c>
      <c r="O6" s="58" t="str">
        <f>IF(Workers!$B$14="",Workers!$A$14,Workers!$B$14)</f>
        <v>W09</v>
      </c>
      <c r="P6" s="58" t="str">
        <f>IF(Workers!$B$15="",Workers!$A$15,Workers!$B$15)</f>
        <v>W10</v>
      </c>
      <c r="Q6" s="58" t="str">
        <f>IF(Workers!$B$16="",Workers!$A$16,Workers!$B$16)</f>
        <v>W11</v>
      </c>
      <c r="R6" s="58" t="str">
        <f>IF(Workers!$B$17="",Workers!$A$17,Workers!$B$17)</f>
        <v>W12</v>
      </c>
      <c r="S6" s="58" t="s">
        <v>47</v>
      </c>
      <c r="T6" s="58" t="s">
        <v>48</v>
      </c>
      <c r="U6" s="58" t="s">
        <v>49</v>
      </c>
      <c r="V6" s="58" t="s">
        <v>50</v>
      </c>
      <c r="W6" s="58" t="s">
        <v>51</v>
      </c>
      <c r="X6" s="58" t="s">
        <v>52</v>
      </c>
      <c r="Y6" s="125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</row>
    <row r="7" spans="1:39" s="127" customFormat="1" ht="21" customHeight="1" x14ac:dyDescent="0.25">
      <c r="A7" s="41">
        <v>46286</v>
      </c>
      <c r="B7" s="59" t="str">
        <f t="shared" ref="B7:B70" si="0">CHOOSE(WEEKDAY($A7,2),"Mon","Tue","Wed","Thu","Fri","Sat","Sun")</f>
        <v>Mon</v>
      </c>
      <c r="C7" s="60">
        <v>1500</v>
      </c>
      <c r="D7" s="60">
        <v>10</v>
      </c>
      <c r="E7" s="61">
        <f t="shared" ref="E7:E70" si="1">IF($C7="","",$C7-N($D7))</f>
        <v>1490</v>
      </c>
      <c r="F7" s="61">
        <f t="shared" ref="F7:F70" si="2">IF($C7="","",$C7-MAX(0,N($D7)-BreakAllow*$C7))</f>
        <v>1490</v>
      </c>
      <c r="G7" s="43">
        <v>1</v>
      </c>
      <c r="H7" s="43">
        <v>1</v>
      </c>
      <c r="I7" s="43">
        <v>1</v>
      </c>
      <c r="J7" s="43">
        <v>1</v>
      </c>
      <c r="K7" s="43"/>
      <c r="L7" s="43"/>
      <c r="M7" s="43"/>
      <c r="N7" s="43"/>
      <c r="O7" s="43"/>
      <c r="P7" s="43"/>
      <c r="Q7" s="43"/>
      <c r="R7" s="43"/>
      <c r="S7" s="45">
        <f t="shared" ref="S7:S70" si="3">IF(COUNT(G7:R7)=0,"",SUM(G7:R7))</f>
        <v>4</v>
      </c>
      <c r="T7" s="62">
        <f t="shared" ref="T7:T70" si="4">IF($C7="","",IFERROR(INDEX(RateValues,MATCH(SUMPRODUCT(MAX((RateDates&lt;=$A7)*RateDates)),RateDates,0)),0))</f>
        <v>500</v>
      </c>
      <c r="U7" s="128">
        <f t="shared" ref="U7:U70" si="5">IF($C7="","",$F7*$T7)</f>
        <v>745000</v>
      </c>
      <c r="V7" s="47">
        <f t="shared" ref="V7:V70" si="6">$A7-WEEKDAY($A7,2)+1</f>
        <v>46286</v>
      </c>
      <c r="W7" s="129" t="str" cm="1">
        <f t="array" ref="W7">IF(AND($C7="",S7=""),"",IF(AND(N($C7)&gt;0,N(S7)=0),"nobody marked present",IF(N($D7)&gt;N($C7),"more broken than moulded",IF(AND($C7="",N(S7)&gt;0),"attendance marked but no blocks entered",IF(AND(N($C7)&gt;0,N(T7)=0),"no pay rate for this date - see Settings",IF(SUMPRODUCT((G7:R7&lt;&gt;"")*(G$5:R$5=""))&gt;0,"attendance in an empty worker slot",""))))))</f>
        <v/>
      </c>
      <c r="X7" s="130"/>
      <c r="Y7" s="125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</row>
    <row r="8" spans="1:39" s="127" customFormat="1" ht="21" customHeight="1" x14ac:dyDescent="0.25">
      <c r="A8" s="49">
        <v>46287</v>
      </c>
      <c r="B8" s="63" t="str">
        <f t="shared" si="0"/>
        <v>Tue</v>
      </c>
      <c r="C8" s="64">
        <v>2000</v>
      </c>
      <c r="D8" s="64">
        <v>21</v>
      </c>
      <c r="E8" s="65">
        <f t="shared" si="1"/>
        <v>1979</v>
      </c>
      <c r="F8" s="65">
        <f t="shared" si="2"/>
        <v>1979</v>
      </c>
      <c r="G8" s="50">
        <v>1</v>
      </c>
      <c r="H8" s="50">
        <v>1</v>
      </c>
      <c r="I8" s="50">
        <v>1</v>
      </c>
      <c r="J8" s="50">
        <v>1</v>
      </c>
      <c r="K8" s="50"/>
      <c r="L8" s="50"/>
      <c r="M8" s="50"/>
      <c r="N8" s="50"/>
      <c r="O8" s="50"/>
      <c r="P8" s="50"/>
      <c r="Q8" s="50"/>
      <c r="R8" s="50"/>
      <c r="S8" s="51">
        <f t="shared" si="3"/>
        <v>4</v>
      </c>
      <c r="T8" s="66">
        <f t="shared" si="4"/>
        <v>500</v>
      </c>
      <c r="U8" s="131">
        <f t="shared" si="5"/>
        <v>989500</v>
      </c>
      <c r="V8" s="52">
        <f t="shared" si="6"/>
        <v>46286</v>
      </c>
      <c r="W8" s="132" t="str" cm="1">
        <f t="array" ref="W8">IF(AND($C8="",S8=""),"",IF(AND(N($C8)&gt;0,N(S8)=0),"nobody marked present",IF(N($D8)&gt;N($C8),"more broken than moulded",IF(AND($C8="",N(S8)&gt;0),"attendance marked but no blocks entered",IF(AND(N($C8)&gt;0,N(T8)=0),"no pay rate for this date - see Settings",IF(SUMPRODUCT((G8:R8&lt;&gt;"")*(G$5:R$5=""))&gt;0,"attendance in an empty worker slot",""))))))</f>
        <v/>
      </c>
      <c r="X8" s="133"/>
      <c r="Y8" s="125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</row>
    <row r="9" spans="1:39" s="127" customFormat="1" ht="21" customHeight="1" x14ac:dyDescent="0.25">
      <c r="A9" s="49">
        <v>46288</v>
      </c>
      <c r="B9" s="63" t="str">
        <f t="shared" si="0"/>
        <v>Wed</v>
      </c>
      <c r="C9" s="64">
        <v>2300</v>
      </c>
      <c r="D9" s="64">
        <v>25</v>
      </c>
      <c r="E9" s="65">
        <f t="shared" si="1"/>
        <v>2275</v>
      </c>
      <c r="F9" s="65">
        <f t="shared" si="2"/>
        <v>2275</v>
      </c>
      <c r="G9" s="50">
        <v>1</v>
      </c>
      <c r="H9" s="50">
        <v>1</v>
      </c>
      <c r="I9" s="50">
        <v>1</v>
      </c>
      <c r="J9" s="50">
        <v>1</v>
      </c>
      <c r="K9" s="50"/>
      <c r="L9" s="50"/>
      <c r="M9" s="50"/>
      <c r="N9" s="50"/>
      <c r="O9" s="50"/>
      <c r="P9" s="50"/>
      <c r="Q9" s="50"/>
      <c r="R9" s="50"/>
      <c r="S9" s="51">
        <f t="shared" si="3"/>
        <v>4</v>
      </c>
      <c r="T9" s="66">
        <f t="shared" si="4"/>
        <v>500</v>
      </c>
      <c r="U9" s="131">
        <f t="shared" si="5"/>
        <v>1137500</v>
      </c>
      <c r="V9" s="52">
        <f t="shared" si="6"/>
        <v>46286</v>
      </c>
      <c r="W9" s="132" t="str" cm="1">
        <f t="array" ref="W9">IF(AND($C9="",S9=""),"",IF(AND(N($C9)&gt;0,N(S9)=0),"nobody marked present",IF(N($D9)&gt;N($C9),"more broken than moulded",IF(AND($C9="",N(S9)&gt;0),"attendance marked but no blocks entered",IF(AND(N($C9)&gt;0,N(T9)=0),"no pay rate for this date - see Settings",IF(SUMPRODUCT((G9:R9&lt;&gt;"")*(G$5:R$5=""))&gt;0,"attendance in an empty worker slot",""))))))</f>
        <v/>
      </c>
      <c r="X9" s="133"/>
      <c r="Y9" s="125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</row>
    <row r="10" spans="1:39" s="127" customFormat="1" ht="21" customHeight="1" x14ac:dyDescent="0.25">
      <c r="A10" s="49">
        <v>46289</v>
      </c>
      <c r="B10" s="63" t="str">
        <f t="shared" si="0"/>
        <v>Thu</v>
      </c>
      <c r="C10" s="64">
        <v>1900</v>
      </c>
      <c r="D10" s="64">
        <v>20</v>
      </c>
      <c r="E10" s="65">
        <f t="shared" si="1"/>
        <v>1880</v>
      </c>
      <c r="F10" s="65">
        <f t="shared" si="2"/>
        <v>1880</v>
      </c>
      <c r="G10" s="50">
        <v>1</v>
      </c>
      <c r="H10" s="50">
        <v>1</v>
      </c>
      <c r="I10" s="50">
        <v>1</v>
      </c>
      <c r="J10" s="50">
        <v>1</v>
      </c>
      <c r="K10" s="50"/>
      <c r="L10" s="50"/>
      <c r="M10" s="50"/>
      <c r="N10" s="50"/>
      <c r="O10" s="50"/>
      <c r="P10" s="50"/>
      <c r="Q10" s="50"/>
      <c r="R10" s="50"/>
      <c r="S10" s="51">
        <f t="shared" si="3"/>
        <v>4</v>
      </c>
      <c r="T10" s="66">
        <f t="shared" si="4"/>
        <v>500</v>
      </c>
      <c r="U10" s="131">
        <f t="shared" si="5"/>
        <v>940000</v>
      </c>
      <c r="V10" s="52">
        <f t="shared" si="6"/>
        <v>46286</v>
      </c>
      <c r="W10" s="132" t="str" cm="1">
        <f t="array" ref="W10">IF(AND($C10="",S10=""),"",IF(AND(N($C10)&gt;0,N(S10)=0),"nobody marked present",IF(N($D10)&gt;N($C10),"more broken than moulded",IF(AND($C10="",N(S10)&gt;0),"attendance marked but no blocks entered",IF(AND(N($C10)&gt;0,N(T10)=0),"no pay rate for this date - see Settings",IF(SUMPRODUCT((G10:R10&lt;&gt;"")*(G$5:R$5=""))&gt;0,"attendance in an empty worker slot",""))))))</f>
        <v/>
      </c>
      <c r="X10" s="133"/>
      <c r="Y10" s="125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</row>
    <row r="11" spans="1:39" s="127" customFormat="1" ht="21" customHeight="1" x14ac:dyDescent="0.25">
      <c r="A11" s="49">
        <v>46290</v>
      </c>
      <c r="B11" s="63" t="str">
        <f t="shared" si="0"/>
        <v>Fri</v>
      </c>
      <c r="C11" s="64">
        <v>2278</v>
      </c>
      <c r="D11" s="64">
        <v>25</v>
      </c>
      <c r="E11" s="65">
        <f t="shared" si="1"/>
        <v>2253</v>
      </c>
      <c r="F11" s="65">
        <f t="shared" si="2"/>
        <v>2253</v>
      </c>
      <c r="G11" s="50">
        <v>1</v>
      </c>
      <c r="H11" s="50">
        <v>1</v>
      </c>
      <c r="I11" s="50">
        <v>1</v>
      </c>
      <c r="J11" s="50">
        <v>1</v>
      </c>
      <c r="K11" s="50"/>
      <c r="L11" s="50"/>
      <c r="M11" s="50"/>
      <c r="N11" s="50"/>
      <c r="O11" s="50"/>
      <c r="P11" s="50"/>
      <c r="Q11" s="50"/>
      <c r="R11" s="50"/>
      <c r="S11" s="51">
        <f t="shared" si="3"/>
        <v>4</v>
      </c>
      <c r="T11" s="66">
        <f t="shared" si="4"/>
        <v>500</v>
      </c>
      <c r="U11" s="131">
        <f t="shared" si="5"/>
        <v>1126500</v>
      </c>
      <c r="V11" s="52">
        <f t="shared" si="6"/>
        <v>46286</v>
      </c>
      <c r="W11" s="132" t="str" cm="1">
        <f t="array" ref="W11">IF(AND($C11="",S11=""),"",IF(AND(N($C11)&gt;0,N(S11)=0),"nobody marked present",IF(N($D11)&gt;N($C11),"more broken than moulded",IF(AND($C11="",N(S11)&gt;0),"attendance marked but no blocks entered",IF(AND(N($C11)&gt;0,N(T11)=0),"no pay rate for this date - see Settings",IF(SUMPRODUCT((G11:R11&lt;&gt;"")*(G$5:R$5=""))&gt;0,"attendance in an empty worker slot",""))))))</f>
        <v/>
      </c>
      <c r="X11" s="133"/>
      <c r="Y11" s="125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</row>
    <row r="12" spans="1:39" s="127" customFormat="1" ht="21" customHeight="1" x14ac:dyDescent="0.25">
      <c r="A12" s="49">
        <v>46291</v>
      </c>
      <c r="B12" s="63" t="str">
        <f t="shared" si="0"/>
        <v>Sat</v>
      </c>
      <c r="C12" s="64">
        <v>2000</v>
      </c>
      <c r="D12" s="64">
        <v>20</v>
      </c>
      <c r="E12" s="65">
        <f t="shared" si="1"/>
        <v>1980</v>
      </c>
      <c r="F12" s="65">
        <f t="shared" si="2"/>
        <v>1980</v>
      </c>
      <c r="G12" s="50">
        <v>1</v>
      </c>
      <c r="H12" s="50">
        <v>1</v>
      </c>
      <c r="I12" s="50">
        <v>1</v>
      </c>
      <c r="J12" s="50">
        <v>1</v>
      </c>
      <c r="K12" s="50"/>
      <c r="L12" s="50"/>
      <c r="M12" s="50"/>
      <c r="N12" s="50"/>
      <c r="O12" s="50"/>
      <c r="P12" s="50"/>
      <c r="Q12" s="50"/>
      <c r="R12" s="50"/>
      <c r="S12" s="51">
        <f t="shared" si="3"/>
        <v>4</v>
      </c>
      <c r="T12" s="66">
        <f t="shared" si="4"/>
        <v>500</v>
      </c>
      <c r="U12" s="131">
        <f t="shared" si="5"/>
        <v>990000</v>
      </c>
      <c r="V12" s="52">
        <f t="shared" si="6"/>
        <v>46286</v>
      </c>
      <c r="W12" s="132" t="str" cm="1">
        <f t="array" ref="W12">IF(AND($C12="",S12=""),"",IF(AND(N($C12)&gt;0,N(S12)=0),"nobody marked present",IF(N($D12)&gt;N($C12),"more broken than moulded",IF(AND($C12="",N(S12)&gt;0),"attendance marked but no blocks entered",IF(AND(N($C12)&gt;0,N(T12)=0),"no pay rate for this date - see Settings",IF(SUMPRODUCT((G12:R12&lt;&gt;"")*(G$5:R$5=""))&gt;0,"attendance in an empty worker slot",""))))))</f>
        <v/>
      </c>
      <c r="X12" s="133"/>
      <c r="Y12" s="125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</row>
    <row r="13" spans="1:39" s="127" customFormat="1" ht="21" customHeight="1" x14ac:dyDescent="0.25">
      <c r="A13" s="54">
        <v>46292</v>
      </c>
      <c r="B13" s="70" t="str">
        <f t="shared" si="0"/>
        <v>Sun</v>
      </c>
      <c r="C13" s="64"/>
      <c r="D13" s="64"/>
      <c r="E13" s="65" t="str">
        <f t="shared" si="1"/>
        <v/>
      </c>
      <c r="F13" s="65" t="str">
        <f t="shared" si="2"/>
        <v/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1" t="str">
        <f t="shared" si="3"/>
        <v/>
      </c>
      <c r="T13" s="66" t="str">
        <f t="shared" si="4"/>
        <v/>
      </c>
      <c r="U13" s="131" t="str">
        <f t="shared" si="5"/>
        <v/>
      </c>
      <c r="V13" s="52">
        <f t="shared" si="6"/>
        <v>46286</v>
      </c>
      <c r="W13" s="132" t="str" cm="1">
        <f t="array" ref="W13">IF(AND($C13="",S13=""),"",IF(AND(N($C13)&gt;0,N(S13)=0),"nobody marked present",IF(N($D13)&gt;N($C13),"more broken than moulded",IF(AND($C13="",N(S13)&gt;0),"attendance marked but no blocks entered",IF(AND(N($C13)&gt;0,N(T13)=0),"no pay rate for this date - see Settings",IF(SUMPRODUCT((G13:R13&lt;&gt;"")*(G$5:R$5=""))&gt;0,"attendance in an empty worker slot",""))))))</f>
        <v/>
      </c>
      <c r="X13" s="133"/>
      <c r="Y13" s="125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</row>
    <row r="14" spans="1:39" s="127" customFormat="1" ht="21" customHeight="1" x14ac:dyDescent="0.25">
      <c r="A14" s="49">
        <v>46293</v>
      </c>
      <c r="B14" s="63" t="str">
        <f t="shared" si="0"/>
        <v>Mon</v>
      </c>
      <c r="C14" s="64"/>
      <c r="D14" s="64"/>
      <c r="E14" s="65" t="str">
        <f t="shared" si="1"/>
        <v/>
      </c>
      <c r="F14" s="65" t="str">
        <f t="shared" si="2"/>
        <v/>
      </c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1" t="str">
        <f t="shared" si="3"/>
        <v/>
      </c>
      <c r="T14" s="66" t="str">
        <f t="shared" si="4"/>
        <v/>
      </c>
      <c r="U14" s="131" t="str">
        <f t="shared" si="5"/>
        <v/>
      </c>
      <c r="V14" s="52">
        <f t="shared" si="6"/>
        <v>46293</v>
      </c>
      <c r="W14" s="132" t="str" cm="1">
        <f t="array" ref="W14">IF(AND($C14="",S14=""),"",IF(AND(N($C14)&gt;0,N(S14)=0),"nobody marked present",IF(N($D14)&gt;N($C14),"more broken than moulded",IF(AND($C14="",N(S14)&gt;0),"attendance marked but no blocks entered",IF(AND(N($C14)&gt;0,N(T14)=0),"no pay rate for this date - see Settings",IF(SUMPRODUCT((G14:R14&lt;&gt;"")*(G$5:R$5=""))&gt;0,"attendance in an empty worker slot",""))))))</f>
        <v/>
      </c>
      <c r="X14" s="133"/>
      <c r="Y14" s="125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</row>
    <row r="15" spans="1:39" s="127" customFormat="1" ht="21" customHeight="1" x14ac:dyDescent="0.25">
      <c r="A15" s="49">
        <v>46294</v>
      </c>
      <c r="B15" s="63" t="str">
        <f t="shared" si="0"/>
        <v>Tue</v>
      </c>
      <c r="C15" s="64"/>
      <c r="D15" s="64"/>
      <c r="E15" s="65" t="str">
        <f t="shared" si="1"/>
        <v/>
      </c>
      <c r="F15" s="65" t="str">
        <f t="shared" si="2"/>
        <v/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1" t="str">
        <f t="shared" si="3"/>
        <v/>
      </c>
      <c r="T15" s="66" t="str">
        <f t="shared" si="4"/>
        <v/>
      </c>
      <c r="U15" s="131" t="str">
        <f t="shared" si="5"/>
        <v/>
      </c>
      <c r="V15" s="52">
        <f t="shared" si="6"/>
        <v>46293</v>
      </c>
      <c r="W15" s="132" t="str" cm="1">
        <f t="array" ref="W15">IF(AND($C15="",S15=""),"",IF(AND(N($C15)&gt;0,N(S15)=0),"nobody marked present",IF(N($D15)&gt;N($C15),"more broken than moulded",IF(AND($C15="",N(S15)&gt;0),"attendance marked but no blocks entered",IF(AND(N($C15)&gt;0,N(T15)=0),"no pay rate for this date - see Settings",IF(SUMPRODUCT((G15:R15&lt;&gt;"")*(G$5:R$5=""))&gt;0,"attendance in an empty worker slot",""))))))</f>
        <v/>
      </c>
      <c r="X15" s="133"/>
      <c r="Y15" s="125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</row>
    <row r="16" spans="1:39" s="127" customFormat="1" ht="21" customHeight="1" x14ac:dyDescent="0.25">
      <c r="A16" s="49">
        <v>46295</v>
      </c>
      <c r="B16" s="63" t="str">
        <f t="shared" si="0"/>
        <v>Wed</v>
      </c>
      <c r="C16" s="64"/>
      <c r="D16" s="64"/>
      <c r="E16" s="65" t="str">
        <f t="shared" si="1"/>
        <v/>
      </c>
      <c r="F16" s="65" t="str">
        <f t="shared" si="2"/>
        <v/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1" t="str">
        <f t="shared" si="3"/>
        <v/>
      </c>
      <c r="T16" s="66" t="str">
        <f t="shared" si="4"/>
        <v/>
      </c>
      <c r="U16" s="131" t="str">
        <f t="shared" si="5"/>
        <v/>
      </c>
      <c r="V16" s="52">
        <f t="shared" si="6"/>
        <v>46293</v>
      </c>
      <c r="W16" s="132" t="str" cm="1">
        <f t="array" ref="W16">IF(AND($C16="",S16=""),"",IF(AND(N($C16)&gt;0,N(S16)=0),"nobody marked present",IF(N($D16)&gt;N($C16),"more broken than moulded",IF(AND($C16="",N(S16)&gt;0),"attendance marked but no blocks entered",IF(AND(N($C16)&gt;0,N(T16)=0),"no pay rate for this date - see Settings",IF(SUMPRODUCT((G16:R16&lt;&gt;"")*(G$5:R$5=""))&gt;0,"attendance in an empty worker slot",""))))))</f>
        <v/>
      </c>
      <c r="X16" s="133"/>
      <c r="Y16" s="125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</row>
    <row r="17" spans="1:39" s="127" customFormat="1" ht="21" customHeight="1" x14ac:dyDescent="0.25">
      <c r="A17" s="49">
        <v>46296</v>
      </c>
      <c r="B17" s="63" t="str">
        <f t="shared" si="0"/>
        <v>Thu</v>
      </c>
      <c r="C17" s="64"/>
      <c r="D17" s="64"/>
      <c r="E17" s="65" t="str">
        <f t="shared" si="1"/>
        <v/>
      </c>
      <c r="F17" s="65" t="str">
        <f t="shared" si="2"/>
        <v/>
      </c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1" t="str">
        <f t="shared" si="3"/>
        <v/>
      </c>
      <c r="T17" s="66" t="str">
        <f t="shared" si="4"/>
        <v/>
      </c>
      <c r="U17" s="131" t="str">
        <f t="shared" si="5"/>
        <v/>
      </c>
      <c r="V17" s="52">
        <f t="shared" si="6"/>
        <v>46293</v>
      </c>
      <c r="W17" s="132" t="str" cm="1">
        <f t="array" ref="W17">IF(AND($C17="",S17=""),"",IF(AND(N($C17)&gt;0,N(S17)=0),"nobody marked present",IF(N($D17)&gt;N($C17),"more broken than moulded",IF(AND($C17="",N(S17)&gt;0),"attendance marked but no blocks entered",IF(AND(N($C17)&gt;0,N(T17)=0),"no pay rate for this date - see Settings",IF(SUMPRODUCT((G17:R17&lt;&gt;"")*(G$5:R$5=""))&gt;0,"attendance in an empty worker slot",""))))))</f>
        <v/>
      </c>
      <c r="X17" s="133"/>
      <c r="Y17" s="125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</row>
    <row r="18" spans="1:39" s="127" customFormat="1" ht="21" customHeight="1" x14ac:dyDescent="0.25">
      <c r="A18" s="49">
        <v>46297</v>
      </c>
      <c r="B18" s="63" t="str">
        <f t="shared" si="0"/>
        <v>Fri</v>
      </c>
      <c r="C18" s="64"/>
      <c r="D18" s="64"/>
      <c r="E18" s="65" t="str">
        <f t="shared" si="1"/>
        <v/>
      </c>
      <c r="F18" s="65" t="str">
        <f t="shared" si="2"/>
        <v/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1" t="str">
        <f t="shared" si="3"/>
        <v/>
      </c>
      <c r="T18" s="66" t="str">
        <f t="shared" si="4"/>
        <v/>
      </c>
      <c r="U18" s="131" t="str">
        <f t="shared" si="5"/>
        <v/>
      </c>
      <c r="V18" s="52">
        <f t="shared" si="6"/>
        <v>46293</v>
      </c>
      <c r="W18" s="132" t="str" cm="1">
        <f t="array" ref="W18">IF(AND($C18="",S18=""),"",IF(AND(N($C18)&gt;0,N(S18)=0),"nobody marked present",IF(N($D18)&gt;N($C18),"more broken than moulded",IF(AND($C18="",N(S18)&gt;0),"attendance marked but no blocks entered",IF(AND(N($C18)&gt;0,N(T18)=0),"no pay rate for this date - see Settings",IF(SUMPRODUCT((G18:R18&lt;&gt;"")*(G$5:R$5=""))&gt;0,"attendance in an empty worker slot",""))))))</f>
        <v/>
      </c>
      <c r="X18" s="133"/>
      <c r="Y18" s="125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</row>
    <row r="19" spans="1:39" s="127" customFormat="1" ht="21" customHeight="1" x14ac:dyDescent="0.25">
      <c r="A19" s="49">
        <v>46298</v>
      </c>
      <c r="B19" s="63" t="str">
        <f t="shared" si="0"/>
        <v>Sat</v>
      </c>
      <c r="C19" s="64"/>
      <c r="D19" s="64"/>
      <c r="E19" s="65" t="str">
        <f t="shared" si="1"/>
        <v/>
      </c>
      <c r="F19" s="65" t="str">
        <f t="shared" si="2"/>
        <v/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1" t="str">
        <f t="shared" si="3"/>
        <v/>
      </c>
      <c r="T19" s="66" t="str">
        <f t="shared" si="4"/>
        <v/>
      </c>
      <c r="U19" s="131" t="str">
        <f t="shared" si="5"/>
        <v/>
      </c>
      <c r="V19" s="52">
        <f t="shared" si="6"/>
        <v>46293</v>
      </c>
      <c r="W19" s="132" t="str" cm="1">
        <f t="array" ref="W19">IF(AND($C19="",S19=""),"",IF(AND(N($C19)&gt;0,N(S19)=0),"nobody marked present",IF(N($D19)&gt;N($C19),"more broken than moulded",IF(AND($C19="",N(S19)&gt;0),"attendance marked but no blocks entered",IF(AND(N($C19)&gt;0,N(T19)=0),"no pay rate for this date - see Settings",IF(SUMPRODUCT((G19:R19&lt;&gt;"")*(G$5:R$5=""))&gt;0,"attendance in an empty worker slot",""))))))</f>
        <v/>
      </c>
      <c r="X19" s="133"/>
      <c r="Y19" s="125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</row>
    <row r="20" spans="1:39" s="127" customFormat="1" ht="21" customHeight="1" x14ac:dyDescent="0.25">
      <c r="A20" s="54">
        <v>46299</v>
      </c>
      <c r="B20" s="70" t="str">
        <f t="shared" si="0"/>
        <v>Sun</v>
      </c>
      <c r="C20" s="64"/>
      <c r="D20" s="64"/>
      <c r="E20" s="65" t="str">
        <f t="shared" si="1"/>
        <v/>
      </c>
      <c r="F20" s="65" t="str">
        <f t="shared" si="2"/>
        <v/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1" t="str">
        <f t="shared" si="3"/>
        <v/>
      </c>
      <c r="T20" s="66" t="str">
        <f t="shared" si="4"/>
        <v/>
      </c>
      <c r="U20" s="131" t="str">
        <f t="shared" si="5"/>
        <v/>
      </c>
      <c r="V20" s="52">
        <f t="shared" si="6"/>
        <v>46293</v>
      </c>
      <c r="W20" s="132" t="str" cm="1">
        <f t="array" ref="W20">IF(AND($C20="",S20=""),"",IF(AND(N($C20)&gt;0,N(S20)=0),"nobody marked present",IF(N($D20)&gt;N($C20),"more broken than moulded",IF(AND($C20="",N(S20)&gt;0),"attendance marked but no blocks entered",IF(AND(N($C20)&gt;0,N(T20)=0),"no pay rate for this date - see Settings",IF(SUMPRODUCT((G20:R20&lt;&gt;"")*(G$5:R$5=""))&gt;0,"attendance in an empty worker slot",""))))))</f>
        <v/>
      </c>
      <c r="X20" s="133"/>
      <c r="Y20" s="125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</row>
    <row r="21" spans="1:39" s="127" customFormat="1" ht="21" customHeight="1" x14ac:dyDescent="0.25">
      <c r="A21" s="49">
        <v>46300</v>
      </c>
      <c r="B21" s="63" t="str">
        <f t="shared" si="0"/>
        <v>Mon</v>
      </c>
      <c r="C21" s="64"/>
      <c r="D21" s="64"/>
      <c r="E21" s="65" t="str">
        <f t="shared" si="1"/>
        <v/>
      </c>
      <c r="F21" s="65" t="str">
        <f t="shared" si="2"/>
        <v/>
      </c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1" t="str">
        <f t="shared" si="3"/>
        <v/>
      </c>
      <c r="T21" s="66" t="str">
        <f t="shared" si="4"/>
        <v/>
      </c>
      <c r="U21" s="131" t="str">
        <f t="shared" si="5"/>
        <v/>
      </c>
      <c r="V21" s="52">
        <f t="shared" si="6"/>
        <v>46300</v>
      </c>
      <c r="W21" s="132" t="str" cm="1">
        <f t="array" ref="W21">IF(AND($C21="",S21=""),"",IF(AND(N($C21)&gt;0,N(S21)=0),"nobody marked present",IF(N($D21)&gt;N($C21),"more broken than moulded",IF(AND($C21="",N(S21)&gt;0),"attendance marked but no blocks entered",IF(AND(N($C21)&gt;0,N(T21)=0),"no pay rate for this date - see Settings",IF(SUMPRODUCT((G21:R21&lt;&gt;"")*(G$5:R$5=""))&gt;0,"attendance in an empty worker slot",""))))))</f>
        <v/>
      </c>
      <c r="X21" s="133"/>
      <c r="Y21" s="125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</row>
    <row r="22" spans="1:39" s="127" customFormat="1" ht="21" customHeight="1" x14ac:dyDescent="0.25">
      <c r="A22" s="49">
        <v>46301</v>
      </c>
      <c r="B22" s="63" t="str">
        <f t="shared" si="0"/>
        <v>Tue</v>
      </c>
      <c r="C22" s="64"/>
      <c r="D22" s="64"/>
      <c r="E22" s="65" t="str">
        <f t="shared" si="1"/>
        <v/>
      </c>
      <c r="F22" s="65" t="str">
        <f t="shared" si="2"/>
        <v/>
      </c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1" t="str">
        <f t="shared" si="3"/>
        <v/>
      </c>
      <c r="T22" s="66" t="str">
        <f t="shared" si="4"/>
        <v/>
      </c>
      <c r="U22" s="131" t="str">
        <f t="shared" si="5"/>
        <v/>
      </c>
      <c r="V22" s="52">
        <f t="shared" si="6"/>
        <v>46300</v>
      </c>
      <c r="W22" s="132" t="str" cm="1">
        <f t="array" ref="W22">IF(AND($C22="",S22=""),"",IF(AND(N($C22)&gt;0,N(S22)=0),"nobody marked present",IF(N($D22)&gt;N($C22),"more broken than moulded",IF(AND($C22="",N(S22)&gt;0),"attendance marked but no blocks entered",IF(AND(N($C22)&gt;0,N(T22)=0),"no pay rate for this date - see Settings",IF(SUMPRODUCT((G22:R22&lt;&gt;"")*(G$5:R$5=""))&gt;0,"attendance in an empty worker slot",""))))))</f>
        <v/>
      </c>
      <c r="X22" s="133"/>
      <c r="Y22" s="125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</row>
    <row r="23" spans="1:39" s="127" customFormat="1" ht="21" customHeight="1" x14ac:dyDescent="0.25">
      <c r="A23" s="49">
        <v>46302</v>
      </c>
      <c r="B23" s="63" t="str">
        <f t="shared" si="0"/>
        <v>Wed</v>
      </c>
      <c r="C23" s="64"/>
      <c r="D23" s="64"/>
      <c r="E23" s="65" t="str">
        <f t="shared" si="1"/>
        <v/>
      </c>
      <c r="F23" s="65" t="str">
        <f t="shared" si="2"/>
        <v/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 t="str">
        <f t="shared" si="3"/>
        <v/>
      </c>
      <c r="T23" s="66" t="str">
        <f t="shared" si="4"/>
        <v/>
      </c>
      <c r="U23" s="131" t="str">
        <f t="shared" si="5"/>
        <v/>
      </c>
      <c r="V23" s="52">
        <f t="shared" si="6"/>
        <v>46300</v>
      </c>
      <c r="W23" s="132" t="str" cm="1">
        <f t="array" ref="W23">IF(AND($C23="",S23=""),"",IF(AND(N($C23)&gt;0,N(S23)=0),"nobody marked present",IF(N($D23)&gt;N($C23),"more broken than moulded",IF(AND($C23="",N(S23)&gt;0),"attendance marked but no blocks entered",IF(AND(N($C23)&gt;0,N(T23)=0),"no pay rate for this date - see Settings",IF(SUMPRODUCT((G23:R23&lt;&gt;"")*(G$5:R$5=""))&gt;0,"attendance in an empty worker slot",""))))))</f>
        <v/>
      </c>
      <c r="X23" s="133"/>
      <c r="Y23" s="125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</row>
    <row r="24" spans="1:39" s="127" customFormat="1" ht="21" customHeight="1" x14ac:dyDescent="0.25">
      <c r="A24" s="49">
        <v>46303</v>
      </c>
      <c r="B24" s="63" t="str">
        <f t="shared" si="0"/>
        <v>Thu</v>
      </c>
      <c r="C24" s="64"/>
      <c r="D24" s="64"/>
      <c r="E24" s="65" t="str">
        <f t="shared" si="1"/>
        <v/>
      </c>
      <c r="F24" s="65" t="str">
        <f t="shared" si="2"/>
        <v/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1" t="str">
        <f t="shared" si="3"/>
        <v/>
      </c>
      <c r="T24" s="66" t="str">
        <f t="shared" si="4"/>
        <v/>
      </c>
      <c r="U24" s="131" t="str">
        <f t="shared" si="5"/>
        <v/>
      </c>
      <c r="V24" s="52">
        <f t="shared" si="6"/>
        <v>46300</v>
      </c>
      <c r="W24" s="132" t="str" cm="1">
        <f t="array" ref="W24">IF(AND($C24="",S24=""),"",IF(AND(N($C24)&gt;0,N(S24)=0),"nobody marked present",IF(N($D24)&gt;N($C24),"more broken than moulded",IF(AND($C24="",N(S24)&gt;0),"attendance marked but no blocks entered",IF(AND(N($C24)&gt;0,N(T24)=0),"no pay rate for this date - see Settings",IF(SUMPRODUCT((G24:R24&lt;&gt;"")*(G$5:R$5=""))&gt;0,"attendance in an empty worker slot",""))))))</f>
        <v/>
      </c>
      <c r="X24" s="133"/>
      <c r="Y24" s="125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</row>
    <row r="25" spans="1:39" s="127" customFormat="1" ht="21" customHeight="1" x14ac:dyDescent="0.25">
      <c r="A25" s="49">
        <v>46304</v>
      </c>
      <c r="B25" s="63" t="str">
        <f t="shared" si="0"/>
        <v>Fri</v>
      </c>
      <c r="C25" s="64"/>
      <c r="D25" s="64"/>
      <c r="E25" s="65" t="str">
        <f t="shared" si="1"/>
        <v/>
      </c>
      <c r="F25" s="65" t="str">
        <f t="shared" si="2"/>
        <v/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1" t="str">
        <f t="shared" si="3"/>
        <v/>
      </c>
      <c r="T25" s="66" t="str">
        <f t="shared" si="4"/>
        <v/>
      </c>
      <c r="U25" s="131" t="str">
        <f t="shared" si="5"/>
        <v/>
      </c>
      <c r="V25" s="52">
        <f t="shared" si="6"/>
        <v>46300</v>
      </c>
      <c r="W25" s="132" t="str" cm="1">
        <f t="array" ref="W25">IF(AND($C25="",S25=""),"",IF(AND(N($C25)&gt;0,N(S25)=0),"nobody marked present",IF(N($D25)&gt;N($C25),"more broken than moulded",IF(AND($C25="",N(S25)&gt;0),"attendance marked but no blocks entered",IF(AND(N($C25)&gt;0,N(T25)=0),"no pay rate for this date - see Settings",IF(SUMPRODUCT((G25:R25&lt;&gt;"")*(G$5:R$5=""))&gt;0,"attendance in an empty worker slot",""))))))</f>
        <v/>
      </c>
      <c r="X25" s="133"/>
      <c r="Y25" s="125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</row>
    <row r="26" spans="1:39" s="127" customFormat="1" ht="21" customHeight="1" x14ac:dyDescent="0.25">
      <c r="A26" s="49">
        <v>46305</v>
      </c>
      <c r="B26" s="63" t="str">
        <f t="shared" si="0"/>
        <v>Sat</v>
      </c>
      <c r="C26" s="64"/>
      <c r="D26" s="64"/>
      <c r="E26" s="65" t="str">
        <f t="shared" si="1"/>
        <v/>
      </c>
      <c r="F26" s="65" t="str">
        <f t="shared" si="2"/>
        <v/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1" t="str">
        <f t="shared" si="3"/>
        <v/>
      </c>
      <c r="T26" s="66" t="str">
        <f t="shared" si="4"/>
        <v/>
      </c>
      <c r="U26" s="131" t="str">
        <f t="shared" si="5"/>
        <v/>
      </c>
      <c r="V26" s="52">
        <f t="shared" si="6"/>
        <v>46300</v>
      </c>
      <c r="W26" s="132" t="str" cm="1">
        <f t="array" ref="W26">IF(AND($C26="",S26=""),"",IF(AND(N($C26)&gt;0,N(S26)=0),"nobody marked present",IF(N($D26)&gt;N($C26),"more broken than moulded",IF(AND($C26="",N(S26)&gt;0),"attendance marked but no blocks entered",IF(AND(N($C26)&gt;0,N(T26)=0),"no pay rate for this date - see Settings",IF(SUMPRODUCT((G26:R26&lt;&gt;"")*(G$5:R$5=""))&gt;0,"attendance in an empty worker slot",""))))))</f>
        <v/>
      </c>
      <c r="X26" s="133"/>
      <c r="Y26" s="125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</row>
    <row r="27" spans="1:39" s="127" customFormat="1" ht="21" customHeight="1" x14ac:dyDescent="0.25">
      <c r="A27" s="54">
        <v>46306</v>
      </c>
      <c r="B27" s="70" t="str">
        <f t="shared" si="0"/>
        <v>Sun</v>
      </c>
      <c r="C27" s="64"/>
      <c r="D27" s="64"/>
      <c r="E27" s="65" t="str">
        <f t="shared" si="1"/>
        <v/>
      </c>
      <c r="F27" s="65" t="str">
        <f t="shared" si="2"/>
        <v/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1" t="str">
        <f t="shared" si="3"/>
        <v/>
      </c>
      <c r="T27" s="66" t="str">
        <f t="shared" si="4"/>
        <v/>
      </c>
      <c r="U27" s="131" t="str">
        <f t="shared" si="5"/>
        <v/>
      </c>
      <c r="V27" s="52">
        <f t="shared" si="6"/>
        <v>46300</v>
      </c>
      <c r="W27" s="132" t="str" cm="1">
        <f t="array" ref="W27">IF(AND($C27="",S27=""),"",IF(AND(N($C27)&gt;0,N(S27)=0),"nobody marked present",IF(N($D27)&gt;N($C27),"more broken than moulded",IF(AND($C27="",N(S27)&gt;0),"attendance marked but no blocks entered",IF(AND(N($C27)&gt;0,N(T27)=0),"no pay rate for this date - see Settings",IF(SUMPRODUCT((G27:R27&lt;&gt;"")*(G$5:R$5=""))&gt;0,"attendance in an empty worker slot",""))))))</f>
        <v/>
      </c>
      <c r="X27" s="133"/>
      <c r="Y27" s="125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</row>
    <row r="28" spans="1:39" s="127" customFormat="1" ht="21" customHeight="1" x14ac:dyDescent="0.25">
      <c r="A28" s="49">
        <v>46307</v>
      </c>
      <c r="B28" s="63" t="str">
        <f t="shared" si="0"/>
        <v>Mon</v>
      </c>
      <c r="C28" s="64"/>
      <c r="D28" s="64"/>
      <c r="E28" s="65" t="str">
        <f t="shared" si="1"/>
        <v/>
      </c>
      <c r="F28" s="65" t="str">
        <f t="shared" si="2"/>
        <v/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1" t="str">
        <f t="shared" si="3"/>
        <v/>
      </c>
      <c r="T28" s="66" t="str">
        <f t="shared" si="4"/>
        <v/>
      </c>
      <c r="U28" s="131" t="str">
        <f t="shared" si="5"/>
        <v/>
      </c>
      <c r="V28" s="52">
        <f t="shared" si="6"/>
        <v>46307</v>
      </c>
      <c r="W28" s="132" t="str" cm="1">
        <f t="array" ref="W28">IF(AND($C28="",S28=""),"",IF(AND(N($C28)&gt;0,N(S28)=0),"nobody marked present",IF(N($D28)&gt;N($C28),"more broken than moulded",IF(AND($C28="",N(S28)&gt;0),"attendance marked but no blocks entered",IF(AND(N($C28)&gt;0,N(T28)=0),"no pay rate for this date - see Settings",IF(SUMPRODUCT((G28:R28&lt;&gt;"")*(G$5:R$5=""))&gt;0,"attendance in an empty worker slot",""))))))</f>
        <v/>
      </c>
      <c r="X28" s="133"/>
      <c r="Y28" s="125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</row>
    <row r="29" spans="1:39" s="127" customFormat="1" ht="21" customHeight="1" x14ac:dyDescent="0.25">
      <c r="A29" s="49">
        <v>46308</v>
      </c>
      <c r="B29" s="63" t="str">
        <f t="shared" si="0"/>
        <v>Tue</v>
      </c>
      <c r="C29" s="64"/>
      <c r="D29" s="64"/>
      <c r="E29" s="65" t="str">
        <f t="shared" si="1"/>
        <v/>
      </c>
      <c r="F29" s="65" t="str">
        <f t="shared" si="2"/>
        <v/>
      </c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1" t="str">
        <f t="shared" si="3"/>
        <v/>
      </c>
      <c r="T29" s="66" t="str">
        <f t="shared" si="4"/>
        <v/>
      </c>
      <c r="U29" s="131" t="str">
        <f t="shared" si="5"/>
        <v/>
      </c>
      <c r="V29" s="52">
        <f t="shared" si="6"/>
        <v>46307</v>
      </c>
      <c r="W29" s="132" t="str" cm="1">
        <f t="array" ref="W29">IF(AND($C29="",S29=""),"",IF(AND(N($C29)&gt;0,N(S29)=0),"nobody marked present",IF(N($D29)&gt;N($C29),"more broken than moulded",IF(AND($C29="",N(S29)&gt;0),"attendance marked but no blocks entered",IF(AND(N($C29)&gt;0,N(T29)=0),"no pay rate for this date - see Settings",IF(SUMPRODUCT((G29:R29&lt;&gt;"")*(G$5:R$5=""))&gt;0,"attendance in an empty worker slot",""))))))</f>
        <v/>
      </c>
      <c r="X29" s="133"/>
      <c r="Y29" s="125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</row>
    <row r="30" spans="1:39" s="127" customFormat="1" ht="21" customHeight="1" x14ac:dyDescent="0.25">
      <c r="A30" s="49">
        <v>46309</v>
      </c>
      <c r="B30" s="63" t="str">
        <f t="shared" si="0"/>
        <v>Wed</v>
      </c>
      <c r="C30" s="64"/>
      <c r="D30" s="64"/>
      <c r="E30" s="65" t="str">
        <f t="shared" si="1"/>
        <v/>
      </c>
      <c r="F30" s="65" t="str">
        <f t="shared" si="2"/>
        <v/>
      </c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1" t="str">
        <f t="shared" si="3"/>
        <v/>
      </c>
      <c r="T30" s="66" t="str">
        <f t="shared" si="4"/>
        <v/>
      </c>
      <c r="U30" s="131" t="str">
        <f t="shared" si="5"/>
        <v/>
      </c>
      <c r="V30" s="52">
        <f t="shared" si="6"/>
        <v>46307</v>
      </c>
      <c r="W30" s="132" t="str" cm="1">
        <f t="array" ref="W30">IF(AND($C30="",S30=""),"",IF(AND(N($C30)&gt;0,N(S30)=0),"nobody marked present",IF(N($D30)&gt;N($C30),"more broken than moulded",IF(AND($C30="",N(S30)&gt;0),"attendance marked but no blocks entered",IF(AND(N($C30)&gt;0,N(T30)=0),"no pay rate for this date - see Settings",IF(SUMPRODUCT((G30:R30&lt;&gt;"")*(G$5:R$5=""))&gt;0,"attendance in an empty worker slot",""))))))</f>
        <v/>
      </c>
      <c r="X30" s="133"/>
      <c r="Y30" s="125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</row>
    <row r="31" spans="1:39" s="127" customFormat="1" ht="21" customHeight="1" x14ac:dyDescent="0.25">
      <c r="A31" s="49">
        <v>46310</v>
      </c>
      <c r="B31" s="63" t="str">
        <f t="shared" si="0"/>
        <v>Thu</v>
      </c>
      <c r="C31" s="64"/>
      <c r="D31" s="64"/>
      <c r="E31" s="65" t="str">
        <f t="shared" si="1"/>
        <v/>
      </c>
      <c r="F31" s="65" t="str">
        <f t="shared" si="2"/>
        <v/>
      </c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1" t="str">
        <f t="shared" si="3"/>
        <v/>
      </c>
      <c r="T31" s="66" t="str">
        <f t="shared" si="4"/>
        <v/>
      </c>
      <c r="U31" s="131" t="str">
        <f t="shared" si="5"/>
        <v/>
      </c>
      <c r="V31" s="52">
        <f t="shared" si="6"/>
        <v>46307</v>
      </c>
      <c r="W31" s="132" t="str" cm="1">
        <f t="array" ref="W31">IF(AND($C31="",S31=""),"",IF(AND(N($C31)&gt;0,N(S31)=0),"nobody marked present",IF(N($D31)&gt;N($C31),"more broken than moulded",IF(AND($C31="",N(S31)&gt;0),"attendance marked but no blocks entered",IF(AND(N($C31)&gt;0,N(T31)=0),"no pay rate for this date - see Settings",IF(SUMPRODUCT((G31:R31&lt;&gt;"")*(G$5:R$5=""))&gt;0,"attendance in an empty worker slot",""))))))</f>
        <v/>
      </c>
      <c r="X31" s="133"/>
      <c r="Y31" s="125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</row>
    <row r="32" spans="1:39" s="127" customFormat="1" ht="21" customHeight="1" x14ac:dyDescent="0.25">
      <c r="A32" s="49">
        <v>46311</v>
      </c>
      <c r="B32" s="63" t="str">
        <f t="shared" si="0"/>
        <v>Fri</v>
      </c>
      <c r="C32" s="64"/>
      <c r="D32" s="64"/>
      <c r="E32" s="65" t="str">
        <f t="shared" si="1"/>
        <v/>
      </c>
      <c r="F32" s="65" t="str">
        <f t="shared" si="2"/>
        <v/>
      </c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1" t="str">
        <f t="shared" si="3"/>
        <v/>
      </c>
      <c r="T32" s="66" t="str">
        <f t="shared" si="4"/>
        <v/>
      </c>
      <c r="U32" s="131" t="str">
        <f t="shared" si="5"/>
        <v/>
      </c>
      <c r="V32" s="52">
        <f t="shared" si="6"/>
        <v>46307</v>
      </c>
      <c r="W32" s="132" t="str" cm="1">
        <f t="array" ref="W32">IF(AND($C32="",S32=""),"",IF(AND(N($C32)&gt;0,N(S32)=0),"nobody marked present",IF(N($D32)&gt;N($C32),"more broken than moulded",IF(AND($C32="",N(S32)&gt;0),"attendance marked but no blocks entered",IF(AND(N($C32)&gt;0,N(T32)=0),"no pay rate for this date - see Settings",IF(SUMPRODUCT((G32:R32&lt;&gt;"")*(G$5:R$5=""))&gt;0,"attendance in an empty worker slot",""))))))</f>
        <v/>
      </c>
      <c r="X32" s="133"/>
      <c r="Y32" s="125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</row>
    <row r="33" spans="1:39" s="127" customFormat="1" ht="21" customHeight="1" x14ac:dyDescent="0.25">
      <c r="A33" s="49">
        <v>46312</v>
      </c>
      <c r="B33" s="63" t="str">
        <f t="shared" si="0"/>
        <v>Sat</v>
      </c>
      <c r="C33" s="64"/>
      <c r="D33" s="64"/>
      <c r="E33" s="65" t="str">
        <f t="shared" si="1"/>
        <v/>
      </c>
      <c r="F33" s="65" t="str">
        <f t="shared" si="2"/>
        <v/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 t="str">
        <f t="shared" si="3"/>
        <v/>
      </c>
      <c r="T33" s="66" t="str">
        <f t="shared" si="4"/>
        <v/>
      </c>
      <c r="U33" s="131" t="str">
        <f t="shared" si="5"/>
        <v/>
      </c>
      <c r="V33" s="52">
        <f t="shared" si="6"/>
        <v>46307</v>
      </c>
      <c r="W33" s="132" t="str" cm="1">
        <f t="array" ref="W33">IF(AND($C33="",S33=""),"",IF(AND(N($C33)&gt;0,N(S33)=0),"nobody marked present",IF(N($D33)&gt;N($C33),"more broken than moulded",IF(AND($C33="",N(S33)&gt;0),"attendance marked but no blocks entered",IF(AND(N($C33)&gt;0,N(T33)=0),"no pay rate for this date - see Settings",IF(SUMPRODUCT((G33:R33&lt;&gt;"")*(G$5:R$5=""))&gt;0,"attendance in an empty worker slot",""))))))</f>
        <v/>
      </c>
      <c r="X33" s="133"/>
      <c r="Y33" s="125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</row>
    <row r="34" spans="1:39" s="127" customFormat="1" ht="21" customHeight="1" x14ac:dyDescent="0.25">
      <c r="A34" s="54">
        <v>46313</v>
      </c>
      <c r="B34" s="70" t="str">
        <f t="shared" si="0"/>
        <v>Sun</v>
      </c>
      <c r="C34" s="64"/>
      <c r="D34" s="64"/>
      <c r="E34" s="65" t="str">
        <f t="shared" si="1"/>
        <v/>
      </c>
      <c r="F34" s="65" t="str">
        <f t="shared" si="2"/>
        <v/>
      </c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1" t="str">
        <f t="shared" si="3"/>
        <v/>
      </c>
      <c r="T34" s="66" t="str">
        <f t="shared" si="4"/>
        <v/>
      </c>
      <c r="U34" s="131" t="str">
        <f t="shared" si="5"/>
        <v/>
      </c>
      <c r="V34" s="52">
        <f t="shared" si="6"/>
        <v>46307</v>
      </c>
      <c r="W34" s="132" t="str" cm="1">
        <f t="array" ref="W34">IF(AND($C34="",S34=""),"",IF(AND(N($C34)&gt;0,N(S34)=0),"nobody marked present",IF(N($D34)&gt;N($C34),"more broken than moulded",IF(AND($C34="",N(S34)&gt;0),"attendance marked but no blocks entered",IF(AND(N($C34)&gt;0,N(T34)=0),"no pay rate for this date - see Settings",IF(SUMPRODUCT((G34:R34&lt;&gt;"")*(G$5:R$5=""))&gt;0,"attendance in an empty worker slot",""))))))</f>
        <v/>
      </c>
      <c r="X34" s="133"/>
      <c r="Y34" s="125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</row>
    <row r="35" spans="1:39" s="127" customFormat="1" ht="21" customHeight="1" x14ac:dyDescent="0.25">
      <c r="A35" s="49">
        <v>46314</v>
      </c>
      <c r="B35" s="63" t="str">
        <f t="shared" si="0"/>
        <v>Mon</v>
      </c>
      <c r="C35" s="64"/>
      <c r="D35" s="64"/>
      <c r="E35" s="65" t="str">
        <f t="shared" si="1"/>
        <v/>
      </c>
      <c r="F35" s="65" t="str">
        <f t="shared" si="2"/>
        <v/>
      </c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1" t="str">
        <f t="shared" si="3"/>
        <v/>
      </c>
      <c r="T35" s="66" t="str">
        <f t="shared" si="4"/>
        <v/>
      </c>
      <c r="U35" s="131" t="str">
        <f t="shared" si="5"/>
        <v/>
      </c>
      <c r="V35" s="52">
        <f t="shared" si="6"/>
        <v>46314</v>
      </c>
      <c r="W35" s="132" t="str" cm="1">
        <f t="array" ref="W35">IF(AND($C35="",S35=""),"",IF(AND(N($C35)&gt;0,N(S35)=0),"nobody marked present",IF(N($D35)&gt;N($C35),"more broken than moulded",IF(AND($C35="",N(S35)&gt;0),"attendance marked but no blocks entered",IF(AND(N($C35)&gt;0,N(T35)=0),"no pay rate for this date - see Settings",IF(SUMPRODUCT((G35:R35&lt;&gt;"")*(G$5:R$5=""))&gt;0,"attendance in an empty worker slot",""))))))</f>
        <v/>
      </c>
      <c r="X35" s="133"/>
      <c r="Y35" s="125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</row>
    <row r="36" spans="1:39" s="127" customFormat="1" ht="21" customHeight="1" x14ac:dyDescent="0.25">
      <c r="A36" s="49">
        <v>46315</v>
      </c>
      <c r="B36" s="63" t="str">
        <f t="shared" si="0"/>
        <v>Tue</v>
      </c>
      <c r="C36" s="64"/>
      <c r="D36" s="64"/>
      <c r="E36" s="65" t="str">
        <f t="shared" si="1"/>
        <v/>
      </c>
      <c r="F36" s="65" t="str">
        <f t="shared" si="2"/>
        <v/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1" t="str">
        <f t="shared" si="3"/>
        <v/>
      </c>
      <c r="T36" s="66" t="str">
        <f t="shared" si="4"/>
        <v/>
      </c>
      <c r="U36" s="131" t="str">
        <f t="shared" si="5"/>
        <v/>
      </c>
      <c r="V36" s="52">
        <f t="shared" si="6"/>
        <v>46314</v>
      </c>
      <c r="W36" s="132" t="str" cm="1">
        <f t="array" ref="W36">IF(AND($C36="",S36=""),"",IF(AND(N($C36)&gt;0,N(S36)=0),"nobody marked present",IF(N($D36)&gt;N($C36),"more broken than moulded",IF(AND($C36="",N(S36)&gt;0),"attendance marked but no blocks entered",IF(AND(N($C36)&gt;0,N(T36)=0),"no pay rate for this date - see Settings",IF(SUMPRODUCT((G36:R36&lt;&gt;"")*(G$5:R$5=""))&gt;0,"attendance in an empty worker slot",""))))))</f>
        <v/>
      </c>
      <c r="X36" s="133"/>
      <c r="Y36" s="125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</row>
    <row r="37" spans="1:39" s="127" customFormat="1" ht="21" customHeight="1" x14ac:dyDescent="0.25">
      <c r="A37" s="49">
        <v>46316</v>
      </c>
      <c r="B37" s="63" t="str">
        <f t="shared" si="0"/>
        <v>Wed</v>
      </c>
      <c r="C37" s="64"/>
      <c r="D37" s="64"/>
      <c r="E37" s="65" t="str">
        <f t="shared" si="1"/>
        <v/>
      </c>
      <c r="F37" s="65" t="str">
        <f t="shared" si="2"/>
        <v/>
      </c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1" t="str">
        <f t="shared" si="3"/>
        <v/>
      </c>
      <c r="T37" s="66" t="str">
        <f t="shared" si="4"/>
        <v/>
      </c>
      <c r="U37" s="131" t="str">
        <f t="shared" si="5"/>
        <v/>
      </c>
      <c r="V37" s="52">
        <f t="shared" si="6"/>
        <v>46314</v>
      </c>
      <c r="W37" s="132" t="str" cm="1">
        <f t="array" ref="W37">IF(AND($C37="",S37=""),"",IF(AND(N($C37)&gt;0,N(S37)=0),"nobody marked present",IF(N($D37)&gt;N($C37),"more broken than moulded",IF(AND($C37="",N(S37)&gt;0),"attendance marked but no blocks entered",IF(AND(N($C37)&gt;0,N(T37)=0),"no pay rate for this date - see Settings",IF(SUMPRODUCT((G37:R37&lt;&gt;"")*(G$5:R$5=""))&gt;0,"attendance in an empty worker slot",""))))))</f>
        <v/>
      </c>
      <c r="X37" s="133"/>
      <c r="Y37" s="125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</row>
    <row r="38" spans="1:39" s="127" customFormat="1" ht="21" customHeight="1" x14ac:dyDescent="0.25">
      <c r="A38" s="49">
        <v>46317</v>
      </c>
      <c r="B38" s="63" t="str">
        <f t="shared" si="0"/>
        <v>Thu</v>
      </c>
      <c r="C38" s="64"/>
      <c r="D38" s="64"/>
      <c r="E38" s="65" t="str">
        <f t="shared" si="1"/>
        <v/>
      </c>
      <c r="F38" s="65" t="str">
        <f t="shared" si="2"/>
        <v/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1" t="str">
        <f t="shared" si="3"/>
        <v/>
      </c>
      <c r="T38" s="66" t="str">
        <f t="shared" si="4"/>
        <v/>
      </c>
      <c r="U38" s="131" t="str">
        <f t="shared" si="5"/>
        <v/>
      </c>
      <c r="V38" s="52">
        <f t="shared" si="6"/>
        <v>46314</v>
      </c>
      <c r="W38" s="132" t="str" cm="1">
        <f t="array" ref="W38">IF(AND($C38="",S38=""),"",IF(AND(N($C38)&gt;0,N(S38)=0),"nobody marked present",IF(N($D38)&gt;N($C38),"more broken than moulded",IF(AND($C38="",N(S38)&gt;0),"attendance marked but no blocks entered",IF(AND(N($C38)&gt;0,N(T38)=0),"no pay rate for this date - see Settings",IF(SUMPRODUCT((G38:R38&lt;&gt;"")*(G$5:R$5=""))&gt;0,"attendance in an empty worker slot",""))))))</f>
        <v/>
      </c>
      <c r="X38" s="133"/>
      <c r="Y38" s="125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</row>
    <row r="39" spans="1:39" s="127" customFormat="1" ht="21" customHeight="1" x14ac:dyDescent="0.25">
      <c r="A39" s="49">
        <v>46318</v>
      </c>
      <c r="B39" s="63" t="str">
        <f t="shared" si="0"/>
        <v>Fri</v>
      </c>
      <c r="C39" s="64"/>
      <c r="D39" s="64"/>
      <c r="E39" s="65" t="str">
        <f t="shared" si="1"/>
        <v/>
      </c>
      <c r="F39" s="65" t="str">
        <f t="shared" si="2"/>
        <v/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1" t="str">
        <f t="shared" si="3"/>
        <v/>
      </c>
      <c r="T39" s="66" t="str">
        <f t="shared" si="4"/>
        <v/>
      </c>
      <c r="U39" s="131" t="str">
        <f t="shared" si="5"/>
        <v/>
      </c>
      <c r="V39" s="52">
        <f t="shared" si="6"/>
        <v>46314</v>
      </c>
      <c r="W39" s="132" t="str" cm="1">
        <f t="array" ref="W39">IF(AND($C39="",S39=""),"",IF(AND(N($C39)&gt;0,N(S39)=0),"nobody marked present",IF(N($D39)&gt;N($C39),"more broken than moulded",IF(AND($C39="",N(S39)&gt;0),"attendance marked but no blocks entered",IF(AND(N($C39)&gt;0,N(T39)=0),"no pay rate for this date - see Settings",IF(SUMPRODUCT((G39:R39&lt;&gt;"")*(G$5:R$5=""))&gt;0,"attendance in an empty worker slot",""))))))</f>
        <v/>
      </c>
      <c r="X39" s="133"/>
      <c r="Y39" s="125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</row>
    <row r="40" spans="1:39" s="127" customFormat="1" ht="21" customHeight="1" x14ac:dyDescent="0.25">
      <c r="A40" s="49">
        <v>46319</v>
      </c>
      <c r="B40" s="63" t="str">
        <f t="shared" si="0"/>
        <v>Sat</v>
      </c>
      <c r="C40" s="64"/>
      <c r="D40" s="64"/>
      <c r="E40" s="65" t="str">
        <f t="shared" si="1"/>
        <v/>
      </c>
      <c r="F40" s="65" t="str">
        <f t="shared" si="2"/>
        <v/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1" t="str">
        <f t="shared" si="3"/>
        <v/>
      </c>
      <c r="T40" s="66" t="str">
        <f t="shared" si="4"/>
        <v/>
      </c>
      <c r="U40" s="131" t="str">
        <f t="shared" si="5"/>
        <v/>
      </c>
      <c r="V40" s="52">
        <f t="shared" si="6"/>
        <v>46314</v>
      </c>
      <c r="W40" s="132" t="str" cm="1">
        <f t="array" ref="W40">IF(AND($C40="",S40=""),"",IF(AND(N($C40)&gt;0,N(S40)=0),"nobody marked present",IF(N($D40)&gt;N($C40),"more broken than moulded",IF(AND($C40="",N(S40)&gt;0),"attendance marked but no blocks entered",IF(AND(N($C40)&gt;0,N(T40)=0),"no pay rate for this date - see Settings",IF(SUMPRODUCT((G40:R40&lt;&gt;"")*(G$5:R$5=""))&gt;0,"attendance in an empty worker slot",""))))))</f>
        <v/>
      </c>
      <c r="X40" s="133"/>
      <c r="Y40" s="125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</row>
    <row r="41" spans="1:39" s="127" customFormat="1" ht="21" customHeight="1" x14ac:dyDescent="0.25">
      <c r="A41" s="54">
        <v>46320</v>
      </c>
      <c r="B41" s="70" t="str">
        <f t="shared" si="0"/>
        <v>Sun</v>
      </c>
      <c r="C41" s="64"/>
      <c r="D41" s="64"/>
      <c r="E41" s="65" t="str">
        <f t="shared" si="1"/>
        <v/>
      </c>
      <c r="F41" s="65" t="str">
        <f t="shared" si="2"/>
        <v/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1" t="str">
        <f t="shared" si="3"/>
        <v/>
      </c>
      <c r="T41" s="66" t="str">
        <f t="shared" si="4"/>
        <v/>
      </c>
      <c r="U41" s="131" t="str">
        <f t="shared" si="5"/>
        <v/>
      </c>
      <c r="V41" s="52">
        <f t="shared" si="6"/>
        <v>46314</v>
      </c>
      <c r="W41" s="132" t="str" cm="1">
        <f t="array" ref="W41">IF(AND($C41="",S41=""),"",IF(AND(N($C41)&gt;0,N(S41)=0),"nobody marked present",IF(N($D41)&gt;N($C41),"more broken than moulded",IF(AND($C41="",N(S41)&gt;0),"attendance marked but no blocks entered",IF(AND(N($C41)&gt;0,N(T41)=0),"no pay rate for this date - see Settings",IF(SUMPRODUCT((G41:R41&lt;&gt;"")*(G$5:R$5=""))&gt;0,"attendance in an empty worker slot",""))))))</f>
        <v/>
      </c>
      <c r="X41" s="133"/>
      <c r="Y41" s="125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</row>
    <row r="42" spans="1:39" s="127" customFormat="1" ht="21" customHeight="1" x14ac:dyDescent="0.25">
      <c r="A42" s="49">
        <v>46321</v>
      </c>
      <c r="B42" s="63" t="str">
        <f t="shared" si="0"/>
        <v>Mon</v>
      </c>
      <c r="C42" s="64"/>
      <c r="D42" s="64"/>
      <c r="E42" s="65" t="str">
        <f t="shared" si="1"/>
        <v/>
      </c>
      <c r="F42" s="65" t="str">
        <f t="shared" si="2"/>
        <v/>
      </c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1" t="str">
        <f t="shared" si="3"/>
        <v/>
      </c>
      <c r="T42" s="66" t="str">
        <f t="shared" si="4"/>
        <v/>
      </c>
      <c r="U42" s="131" t="str">
        <f t="shared" si="5"/>
        <v/>
      </c>
      <c r="V42" s="52">
        <f t="shared" si="6"/>
        <v>46321</v>
      </c>
      <c r="W42" s="132" t="str" cm="1">
        <f t="array" ref="W42">IF(AND($C42="",S42=""),"",IF(AND(N($C42)&gt;0,N(S42)=0),"nobody marked present",IF(N($D42)&gt;N($C42),"more broken than moulded",IF(AND($C42="",N(S42)&gt;0),"attendance marked but no blocks entered",IF(AND(N($C42)&gt;0,N(T42)=0),"no pay rate for this date - see Settings",IF(SUMPRODUCT((G42:R42&lt;&gt;"")*(G$5:R$5=""))&gt;0,"attendance in an empty worker slot",""))))))</f>
        <v/>
      </c>
      <c r="X42" s="133"/>
      <c r="Y42" s="125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</row>
    <row r="43" spans="1:39" s="127" customFormat="1" ht="21" customHeight="1" x14ac:dyDescent="0.25">
      <c r="A43" s="49">
        <v>46322</v>
      </c>
      <c r="B43" s="63" t="str">
        <f t="shared" si="0"/>
        <v>Tue</v>
      </c>
      <c r="C43" s="64"/>
      <c r="D43" s="64"/>
      <c r="E43" s="65" t="str">
        <f t="shared" si="1"/>
        <v/>
      </c>
      <c r="F43" s="65" t="str">
        <f t="shared" si="2"/>
        <v/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1" t="str">
        <f t="shared" si="3"/>
        <v/>
      </c>
      <c r="T43" s="66" t="str">
        <f t="shared" si="4"/>
        <v/>
      </c>
      <c r="U43" s="131" t="str">
        <f t="shared" si="5"/>
        <v/>
      </c>
      <c r="V43" s="52">
        <f t="shared" si="6"/>
        <v>46321</v>
      </c>
      <c r="W43" s="132" t="str" cm="1">
        <f t="array" ref="W43">IF(AND($C43="",S43=""),"",IF(AND(N($C43)&gt;0,N(S43)=0),"nobody marked present",IF(N($D43)&gt;N($C43),"more broken than moulded",IF(AND($C43="",N(S43)&gt;0),"attendance marked but no blocks entered",IF(AND(N($C43)&gt;0,N(T43)=0),"no pay rate for this date - see Settings",IF(SUMPRODUCT((G43:R43&lt;&gt;"")*(G$5:R$5=""))&gt;0,"attendance in an empty worker slot",""))))))</f>
        <v/>
      </c>
      <c r="X43" s="133"/>
      <c r="Y43" s="125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</row>
    <row r="44" spans="1:39" s="127" customFormat="1" ht="21" customHeight="1" x14ac:dyDescent="0.25">
      <c r="A44" s="49">
        <v>46323</v>
      </c>
      <c r="B44" s="63" t="str">
        <f t="shared" si="0"/>
        <v>Wed</v>
      </c>
      <c r="C44" s="64"/>
      <c r="D44" s="64"/>
      <c r="E44" s="65" t="str">
        <f t="shared" si="1"/>
        <v/>
      </c>
      <c r="F44" s="65" t="str">
        <f t="shared" si="2"/>
        <v/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1" t="str">
        <f t="shared" si="3"/>
        <v/>
      </c>
      <c r="T44" s="66" t="str">
        <f t="shared" si="4"/>
        <v/>
      </c>
      <c r="U44" s="131" t="str">
        <f t="shared" si="5"/>
        <v/>
      </c>
      <c r="V44" s="52">
        <f t="shared" si="6"/>
        <v>46321</v>
      </c>
      <c r="W44" s="132" t="str" cm="1">
        <f t="array" ref="W44">IF(AND($C44="",S44=""),"",IF(AND(N($C44)&gt;0,N(S44)=0),"nobody marked present",IF(N($D44)&gt;N($C44),"more broken than moulded",IF(AND($C44="",N(S44)&gt;0),"attendance marked but no blocks entered",IF(AND(N($C44)&gt;0,N(T44)=0),"no pay rate for this date - see Settings",IF(SUMPRODUCT((G44:R44&lt;&gt;"")*(G$5:R$5=""))&gt;0,"attendance in an empty worker slot",""))))))</f>
        <v/>
      </c>
      <c r="X44" s="133"/>
      <c r="Y44" s="125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</row>
    <row r="45" spans="1:39" s="127" customFormat="1" ht="21" customHeight="1" x14ac:dyDescent="0.25">
      <c r="A45" s="49">
        <v>46324</v>
      </c>
      <c r="B45" s="63" t="str">
        <f t="shared" si="0"/>
        <v>Thu</v>
      </c>
      <c r="C45" s="64"/>
      <c r="D45" s="64"/>
      <c r="E45" s="65" t="str">
        <f t="shared" si="1"/>
        <v/>
      </c>
      <c r="F45" s="65" t="str">
        <f t="shared" si="2"/>
        <v/>
      </c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1" t="str">
        <f t="shared" si="3"/>
        <v/>
      </c>
      <c r="T45" s="66" t="str">
        <f t="shared" si="4"/>
        <v/>
      </c>
      <c r="U45" s="131" t="str">
        <f t="shared" si="5"/>
        <v/>
      </c>
      <c r="V45" s="52">
        <f t="shared" si="6"/>
        <v>46321</v>
      </c>
      <c r="W45" s="132" t="str" cm="1">
        <f t="array" ref="W45">IF(AND($C45="",S45=""),"",IF(AND(N($C45)&gt;0,N(S45)=0),"nobody marked present",IF(N($D45)&gt;N($C45),"more broken than moulded",IF(AND($C45="",N(S45)&gt;0),"attendance marked but no blocks entered",IF(AND(N($C45)&gt;0,N(T45)=0),"no pay rate for this date - see Settings",IF(SUMPRODUCT((G45:R45&lt;&gt;"")*(G$5:R$5=""))&gt;0,"attendance in an empty worker slot",""))))))</f>
        <v/>
      </c>
      <c r="X45" s="133"/>
      <c r="Y45" s="125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</row>
    <row r="46" spans="1:39" s="127" customFormat="1" ht="21" customHeight="1" x14ac:dyDescent="0.25">
      <c r="A46" s="49">
        <v>46325</v>
      </c>
      <c r="B46" s="63" t="str">
        <f t="shared" si="0"/>
        <v>Fri</v>
      </c>
      <c r="C46" s="64"/>
      <c r="D46" s="64"/>
      <c r="E46" s="65" t="str">
        <f t="shared" si="1"/>
        <v/>
      </c>
      <c r="F46" s="65" t="str">
        <f t="shared" si="2"/>
        <v/>
      </c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1" t="str">
        <f t="shared" si="3"/>
        <v/>
      </c>
      <c r="T46" s="66" t="str">
        <f t="shared" si="4"/>
        <v/>
      </c>
      <c r="U46" s="131" t="str">
        <f t="shared" si="5"/>
        <v/>
      </c>
      <c r="V46" s="52">
        <f t="shared" si="6"/>
        <v>46321</v>
      </c>
      <c r="W46" s="132" t="str" cm="1">
        <f t="array" ref="W46">IF(AND($C46="",S46=""),"",IF(AND(N($C46)&gt;0,N(S46)=0),"nobody marked present",IF(N($D46)&gt;N($C46),"more broken than moulded",IF(AND($C46="",N(S46)&gt;0),"attendance marked but no blocks entered",IF(AND(N($C46)&gt;0,N(T46)=0),"no pay rate for this date - see Settings",IF(SUMPRODUCT((G46:R46&lt;&gt;"")*(G$5:R$5=""))&gt;0,"attendance in an empty worker slot",""))))))</f>
        <v/>
      </c>
      <c r="X46" s="133"/>
      <c r="Y46" s="125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</row>
    <row r="47" spans="1:39" s="127" customFormat="1" ht="21" customHeight="1" x14ac:dyDescent="0.25">
      <c r="A47" s="49">
        <v>46326</v>
      </c>
      <c r="B47" s="63" t="str">
        <f t="shared" si="0"/>
        <v>Sat</v>
      </c>
      <c r="C47" s="64"/>
      <c r="D47" s="64"/>
      <c r="E47" s="65" t="str">
        <f t="shared" si="1"/>
        <v/>
      </c>
      <c r="F47" s="65" t="str">
        <f t="shared" si="2"/>
        <v/>
      </c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1" t="str">
        <f t="shared" si="3"/>
        <v/>
      </c>
      <c r="T47" s="66" t="str">
        <f t="shared" si="4"/>
        <v/>
      </c>
      <c r="U47" s="131" t="str">
        <f t="shared" si="5"/>
        <v/>
      </c>
      <c r="V47" s="52">
        <f t="shared" si="6"/>
        <v>46321</v>
      </c>
      <c r="W47" s="132" t="str" cm="1">
        <f t="array" ref="W47">IF(AND($C47="",S47=""),"",IF(AND(N($C47)&gt;0,N(S47)=0),"nobody marked present",IF(N($D47)&gt;N($C47),"more broken than moulded",IF(AND($C47="",N(S47)&gt;0),"attendance marked but no blocks entered",IF(AND(N($C47)&gt;0,N(T47)=0),"no pay rate for this date - see Settings",IF(SUMPRODUCT((G47:R47&lt;&gt;"")*(G$5:R$5=""))&gt;0,"attendance in an empty worker slot",""))))))</f>
        <v/>
      </c>
      <c r="X47" s="133"/>
      <c r="Y47" s="125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</row>
    <row r="48" spans="1:39" s="127" customFormat="1" ht="21" customHeight="1" x14ac:dyDescent="0.25">
      <c r="A48" s="54">
        <v>46327</v>
      </c>
      <c r="B48" s="70" t="str">
        <f t="shared" si="0"/>
        <v>Sun</v>
      </c>
      <c r="C48" s="64"/>
      <c r="D48" s="64"/>
      <c r="E48" s="65" t="str">
        <f t="shared" si="1"/>
        <v/>
      </c>
      <c r="F48" s="65" t="str">
        <f t="shared" si="2"/>
        <v/>
      </c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1" t="str">
        <f t="shared" si="3"/>
        <v/>
      </c>
      <c r="T48" s="66" t="str">
        <f t="shared" si="4"/>
        <v/>
      </c>
      <c r="U48" s="131" t="str">
        <f t="shared" si="5"/>
        <v/>
      </c>
      <c r="V48" s="52">
        <f t="shared" si="6"/>
        <v>46321</v>
      </c>
      <c r="W48" s="132" t="str" cm="1">
        <f t="array" ref="W48">IF(AND($C48="",S48=""),"",IF(AND(N($C48)&gt;0,N(S48)=0),"nobody marked present",IF(N($D48)&gt;N($C48),"more broken than moulded",IF(AND($C48="",N(S48)&gt;0),"attendance marked but no blocks entered",IF(AND(N($C48)&gt;0,N(T48)=0),"no pay rate for this date - see Settings",IF(SUMPRODUCT((G48:R48&lt;&gt;"")*(G$5:R$5=""))&gt;0,"attendance in an empty worker slot",""))))))</f>
        <v/>
      </c>
      <c r="X48" s="133"/>
      <c r="Y48" s="125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</row>
    <row r="49" spans="1:39" s="127" customFormat="1" ht="21" customHeight="1" x14ac:dyDescent="0.25">
      <c r="A49" s="49">
        <v>46328</v>
      </c>
      <c r="B49" s="63" t="str">
        <f t="shared" si="0"/>
        <v>Mon</v>
      </c>
      <c r="C49" s="64"/>
      <c r="D49" s="64"/>
      <c r="E49" s="65" t="str">
        <f t="shared" si="1"/>
        <v/>
      </c>
      <c r="F49" s="65" t="str">
        <f t="shared" si="2"/>
        <v/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1" t="str">
        <f t="shared" si="3"/>
        <v/>
      </c>
      <c r="T49" s="66" t="str">
        <f t="shared" si="4"/>
        <v/>
      </c>
      <c r="U49" s="131" t="str">
        <f t="shared" si="5"/>
        <v/>
      </c>
      <c r="V49" s="52">
        <f t="shared" si="6"/>
        <v>46328</v>
      </c>
      <c r="W49" s="132" t="str" cm="1">
        <f t="array" ref="W49">IF(AND($C49="",S49=""),"",IF(AND(N($C49)&gt;0,N(S49)=0),"nobody marked present",IF(N($D49)&gt;N($C49),"more broken than moulded",IF(AND($C49="",N(S49)&gt;0),"attendance marked but no blocks entered",IF(AND(N($C49)&gt;0,N(T49)=0),"no pay rate for this date - see Settings",IF(SUMPRODUCT((G49:R49&lt;&gt;"")*(G$5:R$5=""))&gt;0,"attendance in an empty worker slot",""))))))</f>
        <v/>
      </c>
      <c r="X49" s="133"/>
      <c r="Y49" s="125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</row>
    <row r="50" spans="1:39" s="127" customFormat="1" ht="21" customHeight="1" x14ac:dyDescent="0.25">
      <c r="A50" s="49">
        <v>46329</v>
      </c>
      <c r="B50" s="63" t="str">
        <f t="shared" si="0"/>
        <v>Tue</v>
      </c>
      <c r="C50" s="64"/>
      <c r="D50" s="64"/>
      <c r="E50" s="65" t="str">
        <f t="shared" si="1"/>
        <v/>
      </c>
      <c r="F50" s="65" t="str">
        <f t="shared" si="2"/>
        <v/>
      </c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1" t="str">
        <f t="shared" si="3"/>
        <v/>
      </c>
      <c r="T50" s="66" t="str">
        <f t="shared" si="4"/>
        <v/>
      </c>
      <c r="U50" s="131" t="str">
        <f t="shared" si="5"/>
        <v/>
      </c>
      <c r="V50" s="52">
        <f t="shared" si="6"/>
        <v>46328</v>
      </c>
      <c r="W50" s="132" t="str" cm="1">
        <f t="array" ref="W50">IF(AND($C50="",S50=""),"",IF(AND(N($C50)&gt;0,N(S50)=0),"nobody marked present",IF(N($D50)&gt;N($C50),"more broken than moulded",IF(AND($C50="",N(S50)&gt;0),"attendance marked but no blocks entered",IF(AND(N($C50)&gt;0,N(T50)=0),"no pay rate for this date - see Settings",IF(SUMPRODUCT((G50:R50&lt;&gt;"")*(G$5:R$5=""))&gt;0,"attendance in an empty worker slot",""))))))</f>
        <v/>
      </c>
      <c r="X50" s="133"/>
      <c r="Y50" s="125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</row>
    <row r="51" spans="1:39" s="127" customFormat="1" ht="21" customHeight="1" x14ac:dyDescent="0.25">
      <c r="A51" s="49">
        <v>46330</v>
      </c>
      <c r="B51" s="63" t="str">
        <f t="shared" si="0"/>
        <v>Wed</v>
      </c>
      <c r="C51" s="64"/>
      <c r="D51" s="64"/>
      <c r="E51" s="65" t="str">
        <f t="shared" si="1"/>
        <v/>
      </c>
      <c r="F51" s="65" t="str">
        <f t="shared" si="2"/>
        <v/>
      </c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1" t="str">
        <f t="shared" si="3"/>
        <v/>
      </c>
      <c r="T51" s="66" t="str">
        <f t="shared" si="4"/>
        <v/>
      </c>
      <c r="U51" s="131" t="str">
        <f t="shared" si="5"/>
        <v/>
      </c>
      <c r="V51" s="52">
        <f t="shared" si="6"/>
        <v>46328</v>
      </c>
      <c r="W51" s="132" t="str" cm="1">
        <f t="array" ref="W51">IF(AND($C51="",S51=""),"",IF(AND(N($C51)&gt;0,N(S51)=0),"nobody marked present",IF(N($D51)&gt;N($C51),"more broken than moulded",IF(AND($C51="",N(S51)&gt;0),"attendance marked but no blocks entered",IF(AND(N($C51)&gt;0,N(T51)=0),"no pay rate for this date - see Settings",IF(SUMPRODUCT((G51:R51&lt;&gt;"")*(G$5:R$5=""))&gt;0,"attendance in an empty worker slot",""))))))</f>
        <v/>
      </c>
      <c r="X51" s="133"/>
      <c r="Y51" s="125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</row>
    <row r="52" spans="1:39" s="127" customFormat="1" ht="21" customHeight="1" x14ac:dyDescent="0.25">
      <c r="A52" s="49">
        <v>46331</v>
      </c>
      <c r="B52" s="63" t="str">
        <f t="shared" si="0"/>
        <v>Thu</v>
      </c>
      <c r="C52" s="64"/>
      <c r="D52" s="64"/>
      <c r="E52" s="65" t="str">
        <f t="shared" si="1"/>
        <v/>
      </c>
      <c r="F52" s="65" t="str">
        <f t="shared" si="2"/>
        <v/>
      </c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1" t="str">
        <f t="shared" si="3"/>
        <v/>
      </c>
      <c r="T52" s="66" t="str">
        <f t="shared" si="4"/>
        <v/>
      </c>
      <c r="U52" s="131" t="str">
        <f t="shared" si="5"/>
        <v/>
      </c>
      <c r="V52" s="52">
        <f t="shared" si="6"/>
        <v>46328</v>
      </c>
      <c r="W52" s="132" t="str" cm="1">
        <f t="array" ref="W52">IF(AND($C52="",S52=""),"",IF(AND(N($C52)&gt;0,N(S52)=0),"nobody marked present",IF(N($D52)&gt;N($C52),"more broken than moulded",IF(AND($C52="",N(S52)&gt;0),"attendance marked but no blocks entered",IF(AND(N($C52)&gt;0,N(T52)=0),"no pay rate for this date - see Settings",IF(SUMPRODUCT((G52:R52&lt;&gt;"")*(G$5:R$5=""))&gt;0,"attendance in an empty worker slot",""))))))</f>
        <v/>
      </c>
      <c r="X52" s="133"/>
      <c r="Y52" s="125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</row>
    <row r="53" spans="1:39" s="127" customFormat="1" ht="21" customHeight="1" x14ac:dyDescent="0.25">
      <c r="A53" s="49">
        <v>46332</v>
      </c>
      <c r="B53" s="63" t="str">
        <f t="shared" si="0"/>
        <v>Fri</v>
      </c>
      <c r="C53" s="64"/>
      <c r="D53" s="64"/>
      <c r="E53" s="65" t="str">
        <f t="shared" si="1"/>
        <v/>
      </c>
      <c r="F53" s="65" t="str">
        <f t="shared" si="2"/>
        <v/>
      </c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1" t="str">
        <f t="shared" si="3"/>
        <v/>
      </c>
      <c r="T53" s="66" t="str">
        <f t="shared" si="4"/>
        <v/>
      </c>
      <c r="U53" s="131" t="str">
        <f t="shared" si="5"/>
        <v/>
      </c>
      <c r="V53" s="52">
        <f t="shared" si="6"/>
        <v>46328</v>
      </c>
      <c r="W53" s="132" t="str" cm="1">
        <f t="array" ref="W53">IF(AND($C53="",S53=""),"",IF(AND(N($C53)&gt;0,N(S53)=0),"nobody marked present",IF(N($D53)&gt;N($C53),"more broken than moulded",IF(AND($C53="",N(S53)&gt;0),"attendance marked but no blocks entered",IF(AND(N($C53)&gt;0,N(T53)=0),"no pay rate for this date - see Settings",IF(SUMPRODUCT((G53:R53&lt;&gt;"")*(G$5:R$5=""))&gt;0,"attendance in an empty worker slot",""))))))</f>
        <v/>
      </c>
      <c r="X53" s="133"/>
      <c r="Y53" s="125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</row>
    <row r="54" spans="1:39" s="127" customFormat="1" ht="21" customHeight="1" x14ac:dyDescent="0.25">
      <c r="A54" s="49">
        <v>46333</v>
      </c>
      <c r="B54" s="63" t="str">
        <f t="shared" si="0"/>
        <v>Sat</v>
      </c>
      <c r="C54" s="64"/>
      <c r="D54" s="64"/>
      <c r="E54" s="65" t="str">
        <f t="shared" si="1"/>
        <v/>
      </c>
      <c r="F54" s="65" t="str">
        <f t="shared" si="2"/>
        <v/>
      </c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1" t="str">
        <f t="shared" si="3"/>
        <v/>
      </c>
      <c r="T54" s="66" t="str">
        <f t="shared" si="4"/>
        <v/>
      </c>
      <c r="U54" s="131" t="str">
        <f t="shared" si="5"/>
        <v/>
      </c>
      <c r="V54" s="52">
        <f t="shared" si="6"/>
        <v>46328</v>
      </c>
      <c r="W54" s="132" t="str" cm="1">
        <f t="array" ref="W54">IF(AND($C54="",S54=""),"",IF(AND(N($C54)&gt;0,N(S54)=0),"nobody marked present",IF(N($D54)&gt;N($C54),"more broken than moulded",IF(AND($C54="",N(S54)&gt;0),"attendance marked but no blocks entered",IF(AND(N($C54)&gt;0,N(T54)=0),"no pay rate for this date - see Settings",IF(SUMPRODUCT((G54:R54&lt;&gt;"")*(G$5:R$5=""))&gt;0,"attendance in an empty worker slot",""))))))</f>
        <v/>
      </c>
      <c r="X54" s="133"/>
      <c r="Y54" s="125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</row>
    <row r="55" spans="1:39" s="127" customFormat="1" ht="21" customHeight="1" x14ac:dyDescent="0.25">
      <c r="A55" s="54">
        <v>46334</v>
      </c>
      <c r="B55" s="70" t="str">
        <f t="shared" si="0"/>
        <v>Sun</v>
      </c>
      <c r="C55" s="64"/>
      <c r="D55" s="64"/>
      <c r="E55" s="65" t="str">
        <f t="shared" si="1"/>
        <v/>
      </c>
      <c r="F55" s="65" t="str">
        <f t="shared" si="2"/>
        <v/>
      </c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1" t="str">
        <f t="shared" si="3"/>
        <v/>
      </c>
      <c r="T55" s="66" t="str">
        <f t="shared" si="4"/>
        <v/>
      </c>
      <c r="U55" s="131" t="str">
        <f t="shared" si="5"/>
        <v/>
      </c>
      <c r="V55" s="52">
        <f t="shared" si="6"/>
        <v>46328</v>
      </c>
      <c r="W55" s="132" t="str" cm="1">
        <f t="array" ref="W55">IF(AND($C55="",S55=""),"",IF(AND(N($C55)&gt;0,N(S55)=0),"nobody marked present",IF(N($D55)&gt;N($C55),"more broken than moulded",IF(AND($C55="",N(S55)&gt;0),"attendance marked but no blocks entered",IF(AND(N($C55)&gt;0,N(T55)=0),"no pay rate for this date - see Settings",IF(SUMPRODUCT((G55:R55&lt;&gt;"")*(G$5:R$5=""))&gt;0,"attendance in an empty worker slot",""))))))</f>
        <v/>
      </c>
      <c r="X55" s="133"/>
      <c r="Y55" s="125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</row>
    <row r="56" spans="1:39" s="127" customFormat="1" ht="21" customHeight="1" x14ac:dyDescent="0.25">
      <c r="A56" s="49">
        <v>46335</v>
      </c>
      <c r="B56" s="63" t="str">
        <f t="shared" si="0"/>
        <v>Mon</v>
      </c>
      <c r="C56" s="64"/>
      <c r="D56" s="64"/>
      <c r="E56" s="65" t="str">
        <f t="shared" si="1"/>
        <v/>
      </c>
      <c r="F56" s="65" t="str">
        <f t="shared" si="2"/>
        <v/>
      </c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1" t="str">
        <f t="shared" si="3"/>
        <v/>
      </c>
      <c r="T56" s="66" t="str">
        <f t="shared" si="4"/>
        <v/>
      </c>
      <c r="U56" s="131" t="str">
        <f t="shared" si="5"/>
        <v/>
      </c>
      <c r="V56" s="52">
        <f t="shared" si="6"/>
        <v>46335</v>
      </c>
      <c r="W56" s="132" t="str" cm="1">
        <f t="array" ref="W56">IF(AND($C56="",S56=""),"",IF(AND(N($C56)&gt;0,N(S56)=0),"nobody marked present",IF(N($D56)&gt;N($C56),"more broken than moulded",IF(AND($C56="",N(S56)&gt;0),"attendance marked but no blocks entered",IF(AND(N($C56)&gt;0,N(T56)=0),"no pay rate for this date - see Settings",IF(SUMPRODUCT((G56:R56&lt;&gt;"")*(G$5:R$5=""))&gt;0,"attendance in an empty worker slot",""))))))</f>
        <v/>
      </c>
      <c r="X56" s="133"/>
      <c r="Y56" s="125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</row>
    <row r="57" spans="1:39" s="127" customFormat="1" ht="21" customHeight="1" x14ac:dyDescent="0.25">
      <c r="A57" s="49">
        <v>46336</v>
      </c>
      <c r="B57" s="63" t="str">
        <f t="shared" si="0"/>
        <v>Tue</v>
      </c>
      <c r="C57" s="64"/>
      <c r="D57" s="64"/>
      <c r="E57" s="65" t="str">
        <f t="shared" si="1"/>
        <v/>
      </c>
      <c r="F57" s="65" t="str">
        <f t="shared" si="2"/>
        <v/>
      </c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1" t="str">
        <f t="shared" si="3"/>
        <v/>
      </c>
      <c r="T57" s="66" t="str">
        <f t="shared" si="4"/>
        <v/>
      </c>
      <c r="U57" s="131" t="str">
        <f t="shared" si="5"/>
        <v/>
      </c>
      <c r="V57" s="52">
        <f t="shared" si="6"/>
        <v>46335</v>
      </c>
      <c r="W57" s="132" t="str" cm="1">
        <f t="array" ref="W57">IF(AND($C57="",S57=""),"",IF(AND(N($C57)&gt;0,N(S57)=0),"nobody marked present",IF(N($D57)&gt;N($C57),"more broken than moulded",IF(AND($C57="",N(S57)&gt;0),"attendance marked but no blocks entered",IF(AND(N($C57)&gt;0,N(T57)=0),"no pay rate for this date - see Settings",IF(SUMPRODUCT((G57:R57&lt;&gt;"")*(G$5:R$5=""))&gt;0,"attendance in an empty worker slot",""))))))</f>
        <v/>
      </c>
      <c r="X57" s="133"/>
      <c r="Y57" s="125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</row>
    <row r="58" spans="1:39" s="127" customFormat="1" ht="21" customHeight="1" x14ac:dyDescent="0.25">
      <c r="A58" s="49">
        <v>46337</v>
      </c>
      <c r="B58" s="63" t="str">
        <f t="shared" si="0"/>
        <v>Wed</v>
      </c>
      <c r="C58" s="64"/>
      <c r="D58" s="64"/>
      <c r="E58" s="65" t="str">
        <f t="shared" si="1"/>
        <v/>
      </c>
      <c r="F58" s="65" t="str">
        <f t="shared" si="2"/>
        <v/>
      </c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1" t="str">
        <f t="shared" si="3"/>
        <v/>
      </c>
      <c r="T58" s="66" t="str">
        <f t="shared" si="4"/>
        <v/>
      </c>
      <c r="U58" s="131" t="str">
        <f t="shared" si="5"/>
        <v/>
      </c>
      <c r="V58" s="52">
        <f t="shared" si="6"/>
        <v>46335</v>
      </c>
      <c r="W58" s="132" t="str" cm="1">
        <f t="array" ref="W58">IF(AND($C58="",S58=""),"",IF(AND(N($C58)&gt;0,N(S58)=0),"nobody marked present",IF(N($D58)&gt;N($C58),"more broken than moulded",IF(AND($C58="",N(S58)&gt;0),"attendance marked but no blocks entered",IF(AND(N($C58)&gt;0,N(T58)=0),"no pay rate for this date - see Settings",IF(SUMPRODUCT((G58:R58&lt;&gt;"")*(G$5:R$5=""))&gt;0,"attendance in an empty worker slot",""))))))</f>
        <v/>
      </c>
      <c r="X58" s="133"/>
      <c r="Y58" s="125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</row>
    <row r="59" spans="1:39" s="127" customFormat="1" ht="21" customHeight="1" x14ac:dyDescent="0.25">
      <c r="A59" s="49">
        <v>46338</v>
      </c>
      <c r="B59" s="63" t="str">
        <f t="shared" si="0"/>
        <v>Thu</v>
      </c>
      <c r="C59" s="64"/>
      <c r="D59" s="64"/>
      <c r="E59" s="65" t="str">
        <f t="shared" si="1"/>
        <v/>
      </c>
      <c r="F59" s="65" t="str">
        <f t="shared" si="2"/>
        <v/>
      </c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1" t="str">
        <f t="shared" si="3"/>
        <v/>
      </c>
      <c r="T59" s="66" t="str">
        <f t="shared" si="4"/>
        <v/>
      </c>
      <c r="U59" s="131" t="str">
        <f t="shared" si="5"/>
        <v/>
      </c>
      <c r="V59" s="52">
        <f t="shared" si="6"/>
        <v>46335</v>
      </c>
      <c r="W59" s="132" t="str" cm="1">
        <f t="array" ref="W59">IF(AND($C59="",S59=""),"",IF(AND(N($C59)&gt;0,N(S59)=0),"nobody marked present",IF(N($D59)&gt;N($C59),"more broken than moulded",IF(AND($C59="",N(S59)&gt;0),"attendance marked but no blocks entered",IF(AND(N($C59)&gt;0,N(T59)=0),"no pay rate for this date - see Settings",IF(SUMPRODUCT((G59:R59&lt;&gt;"")*(G$5:R$5=""))&gt;0,"attendance in an empty worker slot",""))))))</f>
        <v/>
      </c>
      <c r="X59" s="133"/>
      <c r="Y59" s="125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</row>
    <row r="60" spans="1:39" s="127" customFormat="1" ht="21" customHeight="1" x14ac:dyDescent="0.25">
      <c r="A60" s="49">
        <v>46339</v>
      </c>
      <c r="B60" s="63" t="str">
        <f t="shared" si="0"/>
        <v>Fri</v>
      </c>
      <c r="C60" s="64"/>
      <c r="D60" s="64"/>
      <c r="E60" s="65" t="str">
        <f t="shared" si="1"/>
        <v/>
      </c>
      <c r="F60" s="65" t="str">
        <f t="shared" si="2"/>
        <v/>
      </c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1" t="str">
        <f t="shared" si="3"/>
        <v/>
      </c>
      <c r="T60" s="66" t="str">
        <f t="shared" si="4"/>
        <v/>
      </c>
      <c r="U60" s="131" t="str">
        <f t="shared" si="5"/>
        <v/>
      </c>
      <c r="V60" s="52">
        <f t="shared" si="6"/>
        <v>46335</v>
      </c>
      <c r="W60" s="132" t="str" cm="1">
        <f t="array" ref="W60">IF(AND($C60="",S60=""),"",IF(AND(N($C60)&gt;0,N(S60)=0),"nobody marked present",IF(N($D60)&gt;N($C60),"more broken than moulded",IF(AND($C60="",N(S60)&gt;0),"attendance marked but no blocks entered",IF(AND(N($C60)&gt;0,N(T60)=0),"no pay rate for this date - see Settings",IF(SUMPRODUCT((G60:R60&lt;&gt;"")*(G$5:R$5=""))&gt;0,"attendance in an empty worker slot",""))))))</f>
        <v/>
      </c>
      <c r="X60" s="133"/>
      <c r="Y60" s="125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</row>
    <row r="61" spans="1:39" s="127" customFormat="1" ht="21" customHeight="1" x14ac:dyDescent="0.25">
      <c r="A61" s="49">
        <v>46340</v>
      </c>
      <c r="B61" s="63" t="str">
        <f t="shared" si="0"/>
        <v>Sat</v>
      </c>
      <c r="C61" s="64"/>
      <c r="D61" s="64"/>
      <c r="E61" s="65" t="str">
        <f t="shared" si="1"/>
        <v/>
      </c>
      <c r="F61" s="65" t="str">
        <f t="shared" si="2"/>
        <v/>
      </c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1" t="str">
        <f t="shared" si="3"/>
        <v/>
      </c>
      <c r="T61" s="66" t="str">
        <f t="shared" si="4"/>
        <v/>
      </c>
      <c r="U61" s="131" t="str">
        <f t="shared" si="5"/>
        <v/>
      </c>
      <c r="V61" s="52">
        <f t="shared" si="6"/>
        <v>46335</v>
      </c>
      <c r="W61" s="132" t="str" cm="1">
        <f t="array" ref="W61">IF(AND($C61="",S61=""),"",IF(AND(N($C61)&gt;0,N(S61)=0),"nobody marked present",IF(N($D61)&gt;N($C61),"more broken than moulded",IF(AND($C61="",N(S61)&gt;0),"attendance marked but no blocks entered",IF(AND(N($C61)&gt;0,N(T61)=0),"no pay rate for this date - see Settings",IF(SUMPRODUCT((G61:R61&lt;&gt;"")*(G$5:R$5=""))&gt;0,"attendance in an empty worker slot",""))))))</f>
        <v/>
      </c>
      <c r="X61" s="133"/>
      <c r="Y61" s="125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</row>
    <row r="62" spans="1:39" s="127" customFormat="1" ht="21" customHeight="1" x14ac:dyDescent="0.25">
      <c r="A62" s="54">
        <v>46341</v>
      </c>
      <c r="B62" s="70" t="str">
        <f t="shared" si="0"/>
        <v>Sun</v>
      </c>
      <c r="C62" s="64"/>
      <c r="D62" s="64"/>
      <c r="E62" s="65" t="str">
        <f t="shared" si="1"/>
        <v/>
      </c>
      <c r="F62" s="65" t="str">
        <f t="shared" si="2"/>
        <v/>
      </c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1" t="str">
        <f t="shared" si="3"/>
        <v/>
      </c>
      <c r="T62" s="66" t="str">
        <f t="shared" si="4"/>
        <v/>
      </c>
      <c r="U62" s="131" t="str">
        <f t="shared" si="5"/>
        <v/>
      </c>
      <c r="V62" s="52">
        <f t="shared" si="6"/>
        <v>46335</v>
      </c>
      <c r="W62" s="132" t="str" cm="1">
        <f t="array" ref="W62">IF(AND($C62="",S62=""),"",IF(AND(N($C62)&gt;0,N(S62)=0),"nobody marked present",IF(N($D62)&gt;N($C62),"more broken than moulded",IF(AND($C62="",N(S62)&gt;0),"attendance marked but no blocks entered",IF(AND(N($C62)&gt;0,N(T62)=0),"no pay rate for this date - see Settings",IF(SUMPRODUCT((G62:R62&lt;&gt;"")*(G$5:R$5=""))&gt;0,"attendance in an empty worker slot",""))))))</f>
        <v/>
      </c>
      <c r="X62" s="133"/>
      <c r="Y62" s="125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</row>
    <row r="63" spans="1:39" s="127" customFormat="1" ht="21" customHeight="1" x14ac:dyDescent="0.25">
      <c r="A63" s="49">
        <v>46342</v>
      </c>
      <c r="B63" s="63" t="str">
        <f t="shared" si="0"/>
        <v>Mon</v>
      </c>
      <c r="C63" s="64"/>
      <c r="D63" s="64"/>
      <c r="E63" s="65" t="str">
        <f t="shared" si="1"/>
        <v/>
      </c>
      <c r="F63" s="65" t="str">
        <f t="shared" si="2"/>
        <v/>
      </c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1" t="str">
        <f t="shared" si="3"/>
        <v/>
      </c>
      <c r="T63" s="66" t="str">
        <f t="shared" si="4"/>
        <v/>
      </c>
      <c r="U63" s="131" t="str">
        <f t="shared" si="5"/>
        <v/>
      </c>
      <c r="V63" s="52">
        <f t="shared" si="6"/>
        <v>46342</v>
      </c>
      <c r="W63" s="132" t="str" cm="1">
        <f t="array" ref="W63">IF(AND($C63="",S63=""),"",IF(AND(N($C63)&gt;0,N(S63)=0),"nobody marked present",IF(N($D63)&gt;N($C63),"more broken than moulded",IF(AND($C63="",N(S63)&gt;0),"attendance marked but no blocks entered",IF(AND(N($C63)&gt;0,N(T63)=0),"no pay rate for this date - see Settings",IF(SUMPRODUCT((G63:R63&lt;&gt;"")*(G$5:R$5=""))&gt;0,"attendance in an empty worker slot",""))))))</f>
        <v/>
      </c>
      <c r="X63" s="133"/>
      <c r="Y63" s="125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</row>
    <row r="64" spans="1:39" s="127" customFormat="1" ht="21" customHeight="1" x14ac:dyDescent="0.25">
      <c r="A64" s="49">
        <v>46343</v>
      </c>
      <c r="B64" s="63" t="str">
        <f t="shared" si="0"/>
        <v>Tue</v>
      </c>
      <c r="C64" s="64"/>
      <c r="D64" s="64"/>
      <c r="E64" s="65" t="str">
        <f t="shared" si="1"/>
        <v/>
      </c>
      <c r="F64" s="65" t="str">
        <f t="shared" si="2"/>
        <v/>
      </c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1" t="str">
        <f t="shared" si="3"/>
        <v/>
      </c>
      <c r="T64" s="66" t="str">
        <f t="shared" si="4"/>
        <v/>
      </c>
      <c r="U64" s="131" t="str">
        <f t="shared" si="5"/>
        <v/>
      </c>
      <c r="V64" s="52">
        <f t="shared" si="6"/>
        <v>46342</v>
      </c>
      <c r="W64" s="132" t="str" cm="1">
        <f t="array" ref="W64">IF(AND($C64="",S64=""),"",IF(AND(N($C64)&gt;0,N(S64)=0),"nobody marked present",IF(N($D64)&gt;N($C64),"more broken than moulded",IF(AND($C64="",N(S64)&gt;0),"attendance marked but no blocks entered",IF(AND(N($C64)&gt;0,N(T64)=0),"no pay rate for this date - see Settings",IF(SUMPRODUCT((G64:R64&lt;&gt;"")*(G$5:R$5=""))&gt;0,"attendance in an empty worker slot",""))))))</f>
        <v/>
      </c>
      <c r="X64" s="133"/>
      <c r="Y64" s="125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</row>
    <row r="65" spans="1:39" s="127" customFormat="1" ht="21" customHeight="1" x14ac:dyDescent="0.25">
      <c r="A65" s="49">
        <v>46344</v>
      </c>
      <c r="B65" s="63" t="str">
        <f t="shared" si="0"/>
        <v>Wed</v>
      </c>
      <c r="C65" s="64"/>
      <c r="D65" s="64"/>
      <c r="E65" s="65" t="str">
        <f t="shared" si="1"/>
        <v/>
      </c>
      <c r="F65" s="65" t="str">
        <f t="shared" si="2"/>
        <v/>
      </c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1" t="str">
        <f t="shared" si="3"/>
        <v/>
      </c>
      <c r="T65" s="66" t="str">
        <f t="shared" si="4"/>
        <v/>
      </c>
      <c r="U65" s="131" t="str">
        <f t="shared" si="5"/>
        <v/>
      </c>
      <c r="V65" s="52">
        <f t="shared" si="6"/>
        <v>46342</v>
      </c>
      <c r="W65" s="132" t="str" cm="1">
        <f t="array" ref="W65">IF(AND($C65="",S65=""),"",IF(AND(N($C65)&gt;0,N(S65)=0),"nobody marked present",IF(N($D65)&gt;N($C65),"more broken than moulded",IF(AND($C65="",N(S65)&gt;0),"attendance marked but no blocks entered",IF(AND(N($C65)&gt;0,N(T65)=0),"no pay rate for this date - see Settings",IF(SUMPRODUCT((G65:R65&lt;&gt;"")*(G$5:R$5=""))&gt;0,"attendance in an empty worker slot",""))))))</f>
        <v/>
      </c>
      <c r="X65" s="133"/>
      <c r="Y65" s="125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</row>
    <row r="66" spans="1:39" s="127" customFormat="1" ht="21" customHeight="1" x14ac:dyDescent="0.25">
      <c r="A66" s="49">
        <v>46345</v>
      </c>
      <c r="B66" s="63" t="str">
        <f t="shared" si="0"/>
        <v>Thu</v>
      </c>
      <c r="C66" s="64"/>
      <c r="D66" s="64"/>
      <c r="E66" s="65" t="str">
        <f t="shared" si="1"/>
        <v/>
      </c>
      <c r="F66" s="65" t="str">
        <f t="shared" si="2"/>
        <v/>
      </c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1" t="str">
        <f t="shared" si="3"/>
        <v/>
      </c>
      <c r="T66" s="66" t="str">
        <f t="shared" si="4"/>
        <v/>
      </c>
      <c r="U66" s="131" t="str">
        <f t="shared" si="5"/>
        <v/>
      </c>
      <c r="V66" s="52">
        <f t="shared" si="6"/>
        <v>46342</v>
      </c>
      <c r="W66" s="132" t="str" cm="1">
        <f t="array" ref="W66">IF(AND($C66="",S66=""),"",IF(AND(N($C66)&gt;0,N(S66)=0),"nobody marked present",IF(N($D66)&gt;N($C66),"more broken than moulded",IF(AND($C66="",N(S66)&gt;0),"attendance marked but no blocks entered",IF(AND(N($C66)&gt;0,N(T66)=0),"no pay rate for this date - see Settings",IF(SUMPRODUCT((G66:R66&lt;&gt;"")*(G$5:R$5=""))&gt;0,"attendance in an empty worker slot",""))))))</f>
        <v/>
      </c>
      <c r="X66" s="133"/>
      <c r="Y66" s="125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</row>
    <row r="67" spans="1:39" s="127" customFormat="1" ht="21" customHeight="1" x14ac:dyDescent="0.25">
      <c r="A67" s="49">
        <v>46346</v>
      </c>
      <c r="B67" s="63" t="str">
        <f t="shared" si="0"/>
        <v>Fri</v>
      </c>
      <c r="C67" s="64"/>
      <c r="D67" s="64"/>
      <c r="E67" s="65" t="str">
        <f t="shared" si="1"/>
        <v/>
      </c>
      <c r="F67" s="65" t="str">
        <f t="shared" si="2"/>
        <v/>
      </c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1" t="str">
        <f t="shared" si="3"/>
        <v/>
      </c>
      <c r="T67" s="66" t="str">
        <f t="shared" si="4"/>
        <v/>
      </c>
      <c r="U67" s="131" t="str">
        <f t="shared" si="5"/>
        <v/>
      </c>
      <c r="V67" s="52">
        <f t="shared" si="6"/>
        <v>46342</v>
      </c>
      <c r="W67" s="132" t="str" cm="1">
        <f t="array" ref="W67">IF(AND($C67="",S67=""),"",IF(AND(N($C67)&gt;0,N(S67)=0),"nobody marked present",IF(N($D67)&gt;N($C67),"more broken than moulded",IF(AND($C67="",N(S67)&gt;0),"attendance marked but no blocks entered",IF(AND(N($C67)&gt;0,N(T67)=0),"no pay rate for this date - see Settings",IF(SUMPRODUCT((G67:R67&lt;&gt;"")*(G$5:R$5=""))&gt;0,"attendance in an empty worker slot",""))))))</f>
        <v/>
      </c>
      <c r="X67" s="133"/>
      <c r="Y67" s="125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</row>
    <row r="68" spans="1:39" s="127" customFormat="1" ht="21" customHeight="1" x14ac:dyDescent="0.25">
      <c r="A68" s="49">
        <v>46347</v>
      </c>
      <c r="B68" s="63" t="str">
        <f t="shared" si="0"/>
        <v>Sat</v>
      </c>
      <c r="C68" s="64"/>
      <c r="D68" s="64"/>
      <c r="E68" s="65" t="str">
        <f t="shared" si="1"/>
        <v/>
      </c>
      <c r="F68" s="65" t="str">
        <f t="shared" si="2"/>
        <v/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1" t="str">
        <f t="shared" si="3"/>
        <v/>
      </c>
      <c r="T68" s="66" t="str">
        <f t="shared" si="4"/>
        <v/>
      </c>
      <c r="U68" s="131" t="str">
        <f t="shared" si="5"/>
        <v/>
      </c>
      <c r="V68" s="52">
        <f t="shared" si="6"/>
        <v>46342</v>
      </c>
      <c r="W68" s="132" t="str" cm="1">
        <f t="array" ref="W68">IF(AND($C68="",S68=""),"",IF(AND(N($C68)&gt;0,N(S68)=0),"nobody marked present",IF(N($D68)&gt;N($C68),"more broken than moulded",IF(AND($C68="",N(S68)&gt;0),"attendance marked but no blocks entered",IF(AND(N($C68)&gt;0,N(T68)=0),"no pay rate for this date - see Settings",IF(SUMPRODUCT((G68:R68&lt;&gt;"")*(G$5:R$5=""))&gt;0,"attendance in an empty worker slot",""))))))</f>
        <v/>
      </c>
      <c r="X68" s="133"/>
      <c r="Y68" s="125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</row>
    <row r="69" spans="1:39" s="127" customFormat="1" ht="21" customHeight="1" x14ac:dyDescent="0.25">
      <c r="A69" s="54">
        <v>46348</v>
      </c>
      <c r="B69" s="70" t="str">
        <f t="shared" si="0"/>
        <v>Sun</v>
      </c>
      <c r="C69" s="64"/>
      <c r="D69" s="64"/>
      <c r="E69" s="65" t="str">
        <f t="shared" si="1"/>
        <v/>
      </c>
      <c r="F69" s="65" t="str">
        <f t="shared" si="2"/>
        <v/>
      </c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1" t="str">
        <f t="shared" si="3"/>
        <v/>
      </c>
      <c r="T69" s="66" t="str">
        <f t="shared" si="4"/>
        <v/>
      </c>
      <c r="U69" s="131" t="str">
        <f t="shared" si="5"/>
        <v/>
      </c>
      <c r="V69" s="52">
        <f t="shared" si="6"/>
        <v>46342</v>
      </c>
      <c r="W69" s="132" t="str" cm="1">
        <f t="array" ref="W69">IF(AND($C69="",S69=""),"",IF(AND(N($C69)&gt;0,N(S69)=0),"nobody marked present",IF(N($D69)&gt;N($C69),"more broken than moulded",IF(AND($C69="",N(S69)&gt;0),"attendance marked but no blocks entered",IF(AND(N($C69)&gt;0,N(T69)=0),"no pay rate for this date - see Settings",IF(SUMPRODUCT((G69:R69&lt;&gt;"")*(G$5:R$5=""))&gt;0,"attendance in an empty worker slot",""))))))</f>
        <v/>
      </c>
      <c r="X69" s="133"/>
      <c r="Y69" s="125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</row>
    <row r="70" spans="1:39" s="127" customFormat="1" ht="21" customHeight="1" x14ac:dyDescent="0.25">
      <c r="A70" s="49">
        <v>46349</v>
      </c>
      <c r="B70" s="63" t="str">
        <f t="shared" si="0"/>
        <v>Mon</v>
      </c>
      <c r="C70" s="64"/>
      <c r="D70" s="64"/>
      <c r="E70" s="65" t="str">
        <f t="shared" si="1"/>
        <v/>
      </c>
      <c r="F70" s="65" t="str">
        <f t="shared" si="2"/>
        <v/>
      </c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1" t="str">
        <f t="shared" si="3"/>
        <v/>
      </c>
      <c r="T70" s="66" t="str">
        <f t="shared" si="4"/>
        <v/>
      </c>
      <c r="U70" s="131" t="str">
        <f t="shared" si="5"/>
        <v/>
      </c>
      <c r="V70" s="52">
        <f t="shared" si="6"/>
        <v>46349</v>
      </c>
      <c r="W70" s="132" t="str" cm="1">
        <f t="array" ref="W70">IF(AND($C70="",S70=""),"",IF(AND(N($C70)&gt;0,N(S70)=0),"nobody marked present",IF(N($D70)&gt;N($C70),"more broken than moulded",IF(AND($C70="",N(S70)&gt;0),"attendance marked but no blocks entered",IF(AND(N($C70)&gt;0,N(T70)=0),"no pay rate for this date - see Settings",IF(SUMPRODUCT((G70:R70&lt;&gt;"")*(G$5:R$5=""))&gt;0,"attendance in an empty worker slot",""))))))</f>
        <v/>
      </c>
      <c r="X70" s="133"/>
      <c r="Y70" s="125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</row>
    <row r="71" spans="1:39" s="127" customFormat="1" ht="21" customHeight="1" x14ac:dyDescent="0.25">
      <c r="A71" s="49">
        <v>46350</v>
      </c>
      <c r="B71" s="63" t="str">
        <f t="shared" ref="B71:B134" si="7">CHOOSE(WEEKDAY($A71,2),"Mon","Tue","Wed","Thu","Fri","Sat","Sun")</f>
        <v>Tue</v>
      </c>
      <c r="C71" s="64"/>
      <c r="D71" s="64"/>
      <c r="E71" s="65" t="str">
        <f t="shared" ref="E71:E134" si="8">IF($C71="","",$C71-N($D71))</f>
        <v/>
      </c>
      <c r="F71" s="65" t="str">
        <f t="shared" ref="F71:F134" si="9">IF($C71="","",$C71-MAX(0,N($D71)-BreakAllow*$C71))</f>
        <v/>
      </c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1" t="str">
        <f t="shared" ref="S71:S134" si="10">IF(COUNT(G71:R71)=0,"",SUM(G71:R71))</f>
        <v/>
      </c>
      <c r="T71" s="66" t="str">
        <f t="shared" ref="T71:T134" si="11">IF($C71="","",IFERROR(INDEX(RateValues,MATCH(SUMPRODUCT(MAX((RateDates&lt;=$A71)*RateDates)),RateDates,0)),0))</f>
        <v/>
      </c>
      <c r="U71" s="131" t="str">
        <f t="shared" ref="U71:U134" si="12">IF($C71="","",$F71*$T71)</f>
        <v/>
      </c>
      <c r="V71" s="52">
        <f t="shared" ref="V71:V134" si="13">$A71-WEEKDAY($A71,2)+1</f>
        <v>46349</v>
      </c>
      <c r="W71" s="132" t="str" cm="1">
        <f t="array" ref="W71">IF(AND($C71="",S71=""),"",IF(AND(N($C71)&gt;0,N(S71)=0),"nobody marked present",IF(N($D71)&gt;N($C71),"more broken than moulded",IF(AND($C71="",N(S71)&gt;0),"attendance marked but no blocks entered",IF(AND(N($C71)&gt;0,N(T71)=0),"no pay rate for this date - see Settings",IF(SUMPRODUCT((G71:R71&lt;&gt;"")*(G$5:R$5=""))&gt;0,"attendance in an empty worker slot",""))))))</f>
        <v/>
      </c>
      <c r="X71" s="133"/>
      <c r="Y71" s="125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</row>
    <row r="72" spans="1:39" s="127" customFormat="1" ht="21" customHeight="1" x14ac:dyDescent="0.25">
      <c r="A72" s="49">
        <v>46351</v>
      </c>
      <c r="B72" s="63" t="str">
        <f t="shared" si="7"/>
        <v>Wed</v>
      </c>
      <c r="C72" s="64"/>
      <c r="D72" s="64"/>
      <c r="E72" s="65" t="str">
        <f t="shared" si="8"/>
        <v/>
      </c>
      <c r="F72" s="65" t="str">
        <f t="shared" si="9"/>
        <v/>
      </c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1" t="str">
        <f t="shared" si="10"/>
        <v/>
      </c>
      <c r="T72" s="66" t="str">
        <f t="shared" si="11"/>
        <v/>
      </c>
      <c r="U72" s="131" t="str">
        <f t="shared" si="12"/>
        <v/>
      </c>
      <c r="V72" s="52">
        <f t="shared" si="13"/>
        <v>46349</v>
      </c>
      <c r="W72" s="132" t="str" cm="1">
        <f t="array" ref="W72">IF(AND($C72="",S72=""),"",IF(AND(N($C72)&gt;0,N(S72)=0),"nobody marked present",IF(N($D72)&gt;N($C72),"more broken than moulded",IF(AND($C72="",N(S72)&gt;0),"attendance marked but no blocks entered",IF(AND(N($C72)&gt;0,N(T72)=0),"no pay rate for this date - see Settings",IF(SUMPRODUCT((G72:R72&lt;&gt;"")*(G$5:R$5=""))&gt;0,"attendance in an empty worker slot",""))))))</f>
        <v/>
      </c>
      <c r="X72" s="133"/>
      <c r="Y72" s="125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</row>
    <row r="73" spans="1:39" s="127" customFormat="1" ht="21" customHeight="1" x14ac:dyDescent="0.25">
      <c r="A73" s="49">
        <v>46352</v>
      </c>
      <c r="B73" s="63" t="str">
        <f t="shared" si="7"/>
        <v>Thu</v>
      </c>
      <c r="C73" s="64"/>
      <c r="D73" s="64"/>
      <c r="E73" s="65" t="str">
        <f t="shared" si="8"/>
        <v/>
      </c>
      <c r="F73" s="65" t="str">
        <f t="shared" si="9"/>
        <v/>
      </c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1" t="str">
        <f t="shared" si="10"/>
        <v/>
      </c>
      <c r="T73" s="66" t="str">
        <f t="shared" si="11"/>
        <v/>
      </c>
      <c r="U73" s="131" t="str">
        <f t="shared" si="12"/>
        <v/>
      </c>
      <c r="V73" s="52">
        <f t="shared" si="13"/>
        <v>46349</v>
      </c>
      <c r="W73" s="132" t="str" cm="1">
        <f t="array" ref="W73">IF(AND($C73="",S73=""),"",IF(AND(N($C73)&gt;0,N(S73)=0),"nobody marked present",IF(N($D73)&gt;N($C73),"more broken than moulded",IF(AND($C73="",N(S73)&gt;0),"attendance marked but no blocks entered",IF(AND(N($C73)&gt;0,N(T73)=0),"no pay rate for this date - see Settings",IF(SUMPRODUCT((G73:R73&lt;&gt;"")*(G$5:R$5=""))&gt;0,"attendance in an empty worker slot",""))))))</f>
        <v/>
      </c>
      <c r="X73" s="133"/>
      <c r="Y73" s="125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</row>
    <row r="74" spans="1:39" s="127" customFormat="1" ht="21" customHeight="1" x14ac:dyDescent="0.25">
      <c r="A74" s="49">
        <v>46353</v>
      </c>
      <c r="B74" s="63" t="str">
        <f t="shared" si="7"/>
        <v>Fri</v>
      </c>
      <c r="C74" s="64"/>
      <c r="D74" s="64"/>
      <c r="E74" s="65" t="str">
        <f t="shared" si="8"/>
        <v/>
      </c>
      <c r="F74" s="65" t="str">
        <f t="shared" si="9"/>
        <v/>
      </c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1" t="str">
        <f t="shared" si="10"/>
        <v/>
      </c>
      <c r="T74" s="66" t="str">
        <f t="shared" si="11"/>
        <v/>
      </c>
      <c r="U74" s="131" t="str">
        <f t="shared" si="12"/>
        <v/>
      </c>
      <c r="V74" s="52">
        <f t="shared" si="13"/>
        <v>46349</v>
      </c>
      <c r="W74" s="132" t="str" cm="1">
        <f t="array" ref="W74">IF(AND($C74="",S74=""),"",IF(AND(N($C74)&gt;0,N(S74)=0),"nobody marked present",IF(N($D74)&gt;N($C74),"more broken than moulded",IF(AND($C74="",N(S74)&gt;0),"attendance marked but no blocks entered",IF(AND(N($C74)&gt;0,N(T74)=0),"no pay rate for this date - see Settings",IF(SUMPRODUCT((G74:R74&lt;&gt;"")*(G$5:R$5=""))&gt;0,"attendance in an empty worker slot",""))))))</f>
        <v/>
      </c>
      <c r="X74" s="133"/>
      <c r="Y74" s="125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</row>
    <row r="75" spans="1:39" s="127" customFormat="1" ht="21" customHeight="1" x14ac:dyDescent="0.25">
      <c r="A75" s="49">
        <v>46354</v>
      </c>
      <c r="B75" s="63" t="str">
        <f t="shared" si="7"/>
        <v>Sat</v>
      </c>
      <c r="C75" s="64"/>
      <c r="D75" s="64"/>
      <c r="E75" s="65" t="str">
        <f t="shared" si="8"/>
        <v/>
      </c>
      <c r="F75" s="65" t="str">
        <f t="shared" si="9"/>
        <v/>
      </c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1" t="str">
        <f t="shared" si="10"/>
        <v/>
      </c>
      <c r="T75" s="66" t="str">
        <f t="shared" si="11"/>
        <v/>
      </c>
      <c r="U75" s="131" t="str">
        <f t="shared" si="12"/>
        <v/>
      </c>
      <c r="V75" s="52">
        <f t="shared" si="13"/>
        <v>46349</v>
      </c>
      <c r="W75" s="132" t="str" cm="1">
        <f t="array" ref="W75">IF(AND($C75="",S75=""),"",IF(AND(N($C75)&gt;0,N(S75)=0),"nobody marked present",IF(N($D75)&gt;N($C75),"more broken than moulded",IF(AND($C75="",N(S75)&gt;0),"attendance marked but no blocks entered",IF(AND(N($C75)&gt;0,N(T75)=0),"no pay rate for this date - see Settings",IF(SUMPRODUCT((G75:R75&lt;&gt;"")*(G$5:R$5=""))&gt;0,"attendance in an empty worker slot",""))))))</f>
        <v/>
      </c>
      <c r="X75" s="133"/>
      <c r="Y75" s="125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</row>
    <row r="76" spans="1:39" s="127" customFormat="1" ht="21" customHeight="1" x14ac:dyDescent="0.25">
      <c r="A76" s="54">
        <v>46355</v>
      </c>
      <c r="B76" s="70" t="str">
        <f t="shared" si="7"/>
        <v>Sun</v>
      </c>
      <c r="C76" s="64"/>
      <c r="D76" s="64"/>
      <c r="E76" s="65" t="str">
        <f t="shared" si="8"/>
        <v/>
      </c>
      <c r="F76" s="65" t="str">
        <f t="shared" si="9"/>
        <v/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1" t="str">
        <f t="shared" si="10"/>
        <v/>
      </c>
      <c r="T76" s="66" t="str">
        <f t="shared" si="11"/>
        <v/>
      </c>
      <c r="U76" s="131" t="str">
        <f t="shared" si="12"/>
        <v/>
      </c>
      <c r="V76" s="52">
        <f t="shared" si="13"/>
        <v>46349</v>
      </c>
      <c r="W76" s="132" t="str" cm="1">
        <f t="array" ref="W76">IF(AND($C76="",S76=""),"",IF(AND(N($C76)&gt;0,N(S76)=0),"nobody marked present",IF(N($D76)&gt;N($C76),"more broken than moulded",IF(AND($C76="",N(S76)&gt;0),"attendance marked but no blocks entered",IF(AND(N($C76)&gt;0,N(T76)=0),"no pay rate for this date - see Settings",IF(SUMPRODUCT((G76:R76&lt;&gt;"")*(G$5:R$5=""))&gt;0,"attendance in an empty worker slot",""))))))</f>
        <v/>
      </c>
      <c r="X76" s="133"/>
      <c r="Y76" s="125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</row>
    <row r="77" spans="1:39" s="127" customFormat="1" ht="21" customHeight="1" x14ac:dyDescent="0.25">
      <c r="A77" s="49">
        <v>46356</v>
      </c>
      <c r="B77" s="63" t="str">
        <f t="shared" si="7"/>
        <v>Mon</v>
      </c>
      <c r="C77" s="64"/>
      <c r="D77" s="64"/>
      <c r="E77" s="65" t="str">
        <f t="shared" si="8"/>
        <v/>
      </c>
      <c r="F77" s="65" t="str">
        <f t="shared" si="9"/>
        <v/>
      </c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1" t="str">
        <f t="shared" si="10"/>
        <v/>
      </c>
      <c r="T77" s="66" t="str">
        <f t="shared" si="11"/>
        <v/>
      </c>
      <c r="U77" s="131" t="str">
        <f t="shared" si="12"/>
        <v/>
      </c>
      <c r="V77" s="52">
        <f t="shared" si="13"/>
        <v>46356</v>
      </c>
      <c r="W77" s="132" t="str" cm="1">
        <f t="array" ref="W77">IF(AND($C77="",S77=""),"",IF(AND(N($C77)&gt;0,N(S77)=0),"nobody marked present",IF(N($D77)&gt;N($C77),"more broken than moulded",IF(AND($C77="",N(S77)&gt;0),"attendance marked but no blocks entered",IF(AND(N($C77)&gt;0,N(T77)=0),"no pay rate for this date - see Settings",IF(SUMPRODUCT((G77:R77&lt;&gt;"")*(G$5:R$5=""))&gt;0,"attendance in an empty worker slot",""))))))</f>
        <v/>
      </c>
      <c r="X77" s="133"/>
      <c r="Y77" s="125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</row>
    <row r="78" spans="1:39" s="127" customFormat="1" ht="21" customHeight="1" x14ac:dyDescent="0.25">
      <c r="A78" s="49">
        <v>46357</v>
      </c>
      <c r="B78" s="63" t="str">
        <f t="shared" si="7"/>
        <v>Tue</v>
      </c>
      <c r="C78" s="64"/>
      <c r="D78" s="64"/>
      <c r="E78" s="65" t="str">
        <f t="shared" si="8"/>
        <v/>
      </c>
      <c r="F78" s="65" t="str">
        <f t="shared" si="9"/>
        <v/>
      </c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1" t="str">
        <f t="shared" si="10"/>
        <v/>
      </c>
      <c r="T78" s="66" t="str">
        <f t="shared" si="11"/>
        <v/>
      </c>
      <c r="U78" s="131" t="str">
        <f t="shared" si="12"/>
        <v/>
      </c>
      <c r="V78" s="52">
        <f t="shared" si="13"/>
        <v>46356</v>
      </c>
      <c r="W78" s="132" t="str" cm="1">
        <f t="array" ref="W78">IF(AND($C78="",S78=""),"",IF(AND(N($C78)&gt;0,N(S78)=0),"nobody marked present",IF(N($D78)&gt;N($C78),"more broken than moulded",IF(AND($C78="",N(S78)&gt;0),"attendance marked but no blocks entered",IF(AND(N($C78)&gt;0,N(T78)=0),"no pay rate for this date - see Settings",IF(SUMPRODUCT((G78:R78&lt;&gt;"")*(G$5:R$5=""))&gt;0,"attendance in an empty worker slot",""))))))</f>
        <v/>
      </c>
      <c r="X78" s="133"/>
      <c r="Y78" s="125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</row>
    <row r="79" spans="1:39" s="127" customFormat="1" ht="21" customHeight="1" x14ac:dyDescent="0.25">
      <c r="A79" s="49">
        <v>46358</v>
      </c>
      <c r="B79" s="63" t="str">
        <f t="shared" si="7"/>
        <v>Wed</v>
      </c>
      <c r="C79" s="64"/>
      <c r="D79" s="64"/>
      <c r="E79" s="65" t="str">
        <f t="shared" si="8"/>
        <v/>
      </c>
      <c r="F79" s="65" t="str">
        <f t="shared" si="9"/>
        <v/>
      </c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1" t="str">
        <f t="shared" si="10"/>
        <v/>
      </c>
      <c r="T79" s="66" t="str">
        <f t="shared" si="11"/>
        <v/>
      </c>
      <c r="U79" s="131" t="str">
        <f t="shared" si="12"/>
        <v/>
      </c>
      <c r="V79" s="52">
        <f t="shared" si="13"/>
        <v>46356</v>
      </c>
      <c r="W79" s="132" t="str" cm="1">
        <f t="array" ref="W79">IF(AND($C79="",S79=""),"",IF(AND(N($C79)&gt;0,N(S79)=0),"nobody marked present",IF(N($D79)&gt;N($C79),"more broken than moulded",IF(AND($C79="",N(S79)&gt;0),"attendance marked but no blocks entered",IF(AND(N($C79)&gt;0,N(T79)=0),"no pay rate for this date - see Settings",IF(SUMPRODUCT((G79:R79&lt;&gt;"")*(G$5:R$5=""))&gt;0,"attendance in an empty worker slot",""))))))</f>
        <v/>
      </c>
      <c r="X79" s="133"/>
      <c r="Y79" s="125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</row>
    <row r="80" spans="1:39" s="127" customFormat="1" ht="21" customHeight="1" x14ac:dyDescent="0.25">
      <c r="A80" s="49">
        <v>46359</v>
      </c>
      <c r="B80" s="63" t="str">
        <f t="shared" si="7"/>
        <v>Thu</v>
      </c>
      <c r="C80" s="64"/>
      <c r="D80" s="64"/>
      <c r="E80" s="65" t="str">
        <f t="shared" si="8"/>
        <v/>
      </c>
      <c r="F80" s="65" t="str">
        <f t="shared" si="9"/>
        <v/>
      </c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1" t="str">
        <f t="shared" si="10"/>
        <v/>
      </c>
      <c r="T80" s="66" t="str">
        <f t="shared" si="11"/>
        <v/>
      </c>
      <c r="U80" s="131" t="str">
        <f t="shared" si="12"/>
        <v/>
      </c>
      <c r="V80" s="52">
        <f t="shared" si="13"/>
        <v>46356</v>
      </c>
      <c r="W80" s="132" t="str" cm="1">
        <f t="array" ref="W80">IF(AND($C80="",S80=""),"",IF(AND(N($C80)&gt;0,N(S80)=0),"nobody marked present",IF(N($D80)&gt;N($C80),"more broken than moulded",IF(AND($C80="",N(S80)&gt;0),"attendance marked but no blocks entered",IF(AND(N($C80)&gt;0,N(T80)=0),"no pay rate for this date - see Settings",IF(SUMPRODUCT((G80:R80&lt;&gt;"")*(G$5:R$5=""))&gt;0,"attendance in an empty worker slot",""))))))</f>
        <v/>
      </c>
      <c r="X80" s="133"/>
      <c r="Y80" s="125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</row>
    <row r="81" spans="1:39" s="127" customFormat="1" ht="21" customHeight="1" x14ac:dyDescent="0.25">
      <c r="A81" s="49">
        <v>46360</v>
      </c>
      <c r="B81" s="63" t="str">
        <f t="shared" si="7"/>
        <v>Fri</v>
      </c>
      <c r="C81" s="64"/>
      <c r="D81" s="64"/>
      <c r="E81" s="65" t="str">
        <f t="shared" si="8"/>
        <v/>
      </c>
      <c r="F81" s="65" t="str">
        <f t="shared" si="9"/>
        <v/>
      </c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1" t="str">
        <f t="shared" si="10"/>
        <v/>
      </c>
      <c r="T81" s="66" t="str">
        <f t="shared" si="11"/>
        <v/>
      </c>
      <c r="U81" s="131" t="str">
        <f t="shared" si="12"/>
        <v/>
      </c>
      <c r="V81" s="52">
        <f t="shared" si="13"/>
        <v>46356</v>
      </c>
      <c r="W81" s="132" t="str" cm="1">
        <f t="array" ref="W81">IF(AND($C81="",S81=""),"",IF(AND(N($C81)&gt;0,N(S81)=0),"nobody marked present",IF(N($D81)&gt;N($C81),"more broken than moulded",IF(AND($C81="",N(S81)&gt;0),"attendance marked but no blocks entered",IF(AND(N($C81)&gt;0,N(T81)=0),"no pay rate for this date - see Settings",IF(SUMPRODUCT((G81:R81&lt;&gt;"")*(G$5:R$5=""))&gt;0,"attendance in an empty worker slot",""))))))</f>
        <v/>
      </c>
      <c r="X81" s="133"/>
      <c r="Y81" s="125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</row>
    <row r="82" spans="1:39" s="127" customFormat="1" ht="21" customHeight="1" x14ac:dyDescent="0.25">
      <c r="A82" s="49">
        <v>46361</v>
      </c>
      <c r="B82" s="63" t="str">
        <f t="shared" si="7"/>
        <v>Sat</v>
      </c>
      <c r="C82" s="64"/>
      <c r="D82" s="64"/>
      <c r="E82" s="65" t="str">
        <f t="shared" si="8"/>
        <v/>
      </c>
      <c r="F82" s="65" t="str">
        <f t="shared" si="9"/>
        <v/>
      </c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1" t="str">
        <f t="shared" si="10"/>
        <v/>
      </c>
      <c r="T82" s="66" t="str">
        <f t="shared" si="11"/>
        <v/>
      </c>
      <c r="U82" s="131" t="str">
        <f t="shared" si="12"/>
        <v/>
      </c>
      <c r="V82" s="52">
        <f t="shared" si="13"/>
        <v>46356</v>
      </c>
      <c r="W82" s="132" t="str" cm="1">
        <f t="array" ref="W82">IF(AND($C82="",S82=""),"",IF(AND(N($C82)&gt;0,N(S82)=0),"nobody marked present",IF(N($D82)&gt;N($C82),"more broken than moulded",IF(AND($C82="",N(S82)&gt;0),"attendance marked but no blocks entered",IF(AND(N($C82)&gt;0,N(T82)=0),"no pay rate for this date - see Settings",IF(SUMPRODUCT((G82:R82&lt;&gt;"")*(G$5:R$5=""))&gt;0,"attendance in an empty worker slot",""))))))</f>
        <v/>
      </c>
      <c r="X82" s="133"/>
      <c r="Y82" s="125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</row>
    <row r="83" spans="1:39" s="127" customFormat="1" ht="21" customHeight="1" x14ac:dyDescent="0.25">
      <c r="A83" s="54">
        <v>46362</v>
      </c>
      <c r="B83" s="70" t="str">
        <f t="shared" si="7"/>
        <v>Sun</v>
      </c>
      <c r="C83" s="64"/>
      <c r="D83" s="64"/>
      <c r="E83" s="65" t="str">
        <f t="shared" si="8"/>
        <v/>
      </c>
      <c r="F83" s="65" t="str">
        <f t="shared" si="9"/>
        <v/>
      </c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1" t="str">
        <f t="shared" si="10"/>
        <v/>
      </c>
      <c r="T83" s="66" t="str">
        <f t="shared" si="11"/>
        <v/>
      </c>
      <c r="U83" s="131" t="str">
        <f t="shared" si="12"/>
        <v/>
      </c>
      <c r="V83" s="52">
        <f t="shared" si="13"/>
        <v>46356</v>
      </c>
      <c r="W83" s="132" t="str" cm="1">
        <f t="array" ref="W83">IF(AND($C83="",S83=""),"",IF(AND(N($C83)&gt;0,N(S83)=0),"nobody marked present",IF(N($D83)&gt;N($C83),"more broken than moulded",IF(AND($C83="",N(S83)&gt;0),"attendance marked but no blocks entered",IF(AND(N($C83)&gt;0,N(T83)=0),"no pay rate for this date - see Settings",IF(SUMPRODUCT((G83:R83&lt;&gt;"")*(G$5:R$5=""))&gt;0,"attendance in an empty worker slot",""))))))</f>
        <v/>
      </c>
      <c r="X83" s="133"/>
      <c r="Y83" s="125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</row>
    <row r="84" spans="1:39" s="127" customFormat="1" ht="21" customHeight="1" x14ac:dyDescent="0.25">
      <c r="A84" s="49">
        <v>46363</v>
      </c>
      <c r="B84" s="63" t="str">
        <f t="shared" si="7"/>
        <v>Mon</v>
      </c>
      <c r="C84" s="64"/>
      <c r="D84" s="64"/>
      <c r="E84" s="65" t="str">
        <f t="shared" si="8"/>
        <v/>
      </c>
      <c r="F84" s="65" t="str">
        <f t="shared" si="9"/>
        <v/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1" t="str">
        <f t="shared" si="10"/>
        <v/>
      </c>
      <c r="T84" s="66" t="str">
        <f t="shared" si="11"/>
        <v/>
      </c>
      <c r="U84" s="131" t="str">
        <f t="shared" si="12"/>
        <v/>
      </c>
      <c r="V84" s="52">
        <f t="shared" si="13"/>
        <v>46363</v>
      </c>
      <c r="W84" s="132" t="str" cm="1">
        <f t="array" ref="W84">IF(AND($C84="",S84=""),"",IF(AND(N($C84)&gt;0,N(S84)=0),"nobody marked present",IF(N($D84)&gt;N($C84),"more broken than moulded",IF(AND($C84="",N(S84)&gt;0),"attendance marked but no blocks entered",IF(AND(N($C84)&gt;0,N(T84)=0),"no pay rate for this date - see Settings",IF(SUMPRODUCT((G84:R84&lt;&gt;"")*(G$5:R$5=""))&gt;0,"attendance in an empty worker slot",""))))))</f>
        <v/>
      </c>
      <c r="X84" s="133"/>
      <c r="Y84" s="125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</row>
    <row r="85" spans="1:39" s="127" customFormat="1" ht="21" customHeight="1" x14ac:dyDescent="0.25">
      <c r="A85" s="49">
        <v>46364</v>
      </c>
      <c r="B85" s="63" t="str">
        <f t="shared" si="7"/>
        <v>Tue</v>
      </c>
      <c r="C85" s="64"/>
      <c r="D85" s="64"/>
      <c r="E85" s="65" t="str">
        <f t="shared" si="8"/>
        <v/>
      </c>
      <c r="F85" s="65" t="str">
        <f t="shared" si="9"/>
        <v/>
      </c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1" t="str">
        <f t="shared" si="10"/>
        <v/>
      </c>
      <c r="T85" s="66" t="str">
        <f t="shared" si="11"/>
        <v/>
      </c>
      <c r="U85" s="131" t="str">
        <f t="shared" si="12"/>
        <v/>
      </c>
      <c r="V85" s="52">
        <f t="shared" si="13"/>
        <v>46363</v>
      </c>
      <c r="W85" s="132" t="str" cm="1">
        <f t="array" ref="W85">IF(AND($C85="",S85=""),"",IF(AND(N($C85)&gt;0,N(S85)=0),"nobody marked present",IF(N($D85)&gt;N($C85),"more broken than moulded",IF(AND($C85="",N(S85)&gt;0),"attendance marked but no blocks entered",IF(AND(N($C85)&gt;0,N(T85)=0),"no pay rate for this date - see Settings",IF(SUMPRODUCT((G85:R85&lt;&gt;"")*(G$5:R$5=""))&gt;0,"attendance in an empty worker slot",""))))))</f>
        <v/>
      </c>
      <c r="X85" s="133"/>
      <c r="Y85" s="125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</row>
    <row r="86" spans="1:39" s="127" customFormat="1" ht="21" customHeight="1" x14ac:dyDescent="0.25">
      <c r="A86" s="49">
        <v>46365</v>
      </c>
      <c r="B86" s="63" t="str">
        <f t="shared" si="7"/>
        <v>Wed</v>
      </c>
      <c r="C86" s="64"/>
      <c r="D86" s="64"/>
      <c r="E86" s="65" t="str">
        <f t="shared" si="8"/>
        <v/>
      </c>
      <c r="F86" s="65" t="str">
        <f t="shared" si="9"/>
        <v/>
      </c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1" t="str">
        <f t="shared" si="10"/>
        <v/>
      </c>
      <c r="T86" s="66" t="str">
        <f t="shared" si="11"/>
        <v/>
      </c>
      <c r="U86" s="131" t="str">
        <f t="shared" si="12"/>
        <v/>
      </c>
      <c r="V86" s="52">
        <f t="shared" si="13"/>
        <v>46363</v>
      </c>
      <c r="W86" s="132" t="str" cm="1">
        <f t="array" ref="W86">IF(AND($C86="",S86=""),"",IF(AND(N($C86)&gt;0,N(S86)=0),"nobody marked present",IF(N($D86)&gt;N($C86),"more broken than moulded",IF(AND($C86="",N(S86)&gt;0),"attendance marked but no blocks entered",IF(AND(N($C86)&gt;0,N(T86)=0),"no pay rate for this date - see Settings",IF(SUMPRODUCT((G86:R86&lt;&gt;"")*(G$5:R$5=""))&gt;0,"attendance in an empty worker slot",""))))))</f>
        <v/>
      </c>
      <c r="X86" s="133"/>
      <c r="Y86" s="125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</row>
    <row r="87" spans="1:39" s="127" customFormat="1" ht="21" customHeight="1" x14ac:dyDescent="0.25">
      <c r="A87" s="49">
        <v>46366</v>
      </c>
      <c r="B87" s="63" t="str">
        <f t="shared" si="7"/>
        <v>Thu</v>
      </c>
      <c r="C87" s="64"/>
      <c r="D87" s="64"/>
      <c r="E87" s="65" t="str">
        <f t="shared" si="8"/>
        <v/>
      </c>
      <c r="F87" s="65" t="str">
        <f t="shared" si="9"/>
        <v/>
      </c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1" t="str">
        <f t="shared" si="10"/>
        <v/>
      </c>
      <c r="T87" s="66" t="str">
        <f t="shared" si="11"/>
        <v/>
      </c>
      <c r="U87" s="131" t="str">
        <f t="shared" si="12"/>
        <v/>
      </c>
      <c r="V87" s="52">
        <f t="shared" si="13"/>
        <v>46363</v>
      </c>
      <c r="W87" s="132" t="str" cm="1">
        <f t="array" ref="W87">IF(AND($C87="",S87=""),"",IF(AND(N($C87)&gt;0,N(S87)=0),"nobody marked present",IF(N($D87)&gt;N($C87),"more broken than moulded",IF(AND($C87="",N(S87)&gt;0),"attendance marked but no blocks entered",IF(AND(N($C87)&gt;0,N(T87)=0),"no pay rate for this date - see Settings",IF(SUMPRODUCT((G87:R87&lt;&gt;"")*(G$5:R$5=""))&gt;0,"attendance in an empty worker slot",""))))))</f>
        <v/>
      </c>
      <c r="X87" s="133"/>
      <c r="Y87" s="125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</row>
    <row r="88" spans="1:39" s="127" customFormat="1" ht="21" customHeight="1" x14ac:dyDescent="0.25">
      <c r="A88" s="49">
        <v>46367</v>
      </c>
      <c r="B88" s="63" t="str">
        <f t="shared" si="7"/>
        <v>Fri</v>
      </c>
      <c r="C88" s="64"/>
      <c r="D88" s="64"/>
      <c r="E88" s="65" t="str">
        <f t="shared" si="8"/>
        <v/>
      </c>
      <c r="F88" s="65" t="str">
        <f t="shared" si="9"/>
        <v/>
      </c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1" t="str">
        <f t="shared" si="10"/>
        <v/>
      </c>
      <c r="T88" s="66" t="str">
        <f t="shared" si="11"/>
        <v/>
      </c>
      <c r="U88" s="131" t="str">
        <f t="shared" si="12"/>
        <v/>
      </c>
      <c r="V88" s="52">
        <f t="shared" si="13"/>
        <v>46363</v>
      </c>
      <c r="W88" s="132" t="str" cm="1">
        <f t="array" ref="W88">IF(AND($C88="",S88=""),"",IF(AND(N($C88)&gt;0,N(S88)=0),"nobody marked present",IF(N($D88)&gt;N($C88),"more broken than moulded",IF(AND($C88="",N(S88)&gt;0),"attendance marked but no blocks entered",IF(AND(N($C88)&gt;0,N(T88)=0),"no pay rate for this date - see Settings",IF(SUMPRODUCT((G88:R88&lt;&gt;"")*(G$5:R$5=""))&gt;0,"attendance in an empty worker slot",""))))))</f>
        <v/>
      </c>
      <c r="X88" s="133"/>
      <c r="Y88" s="125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</row>
    <row r="89" spans="1:39" s="127" customFormat="1" ht="21" customHeight="1" x14ac:dyDescent="0.25">
      <c r="A89" s="49">
        <v>46368</v>
      </c>
      <c r="B89" s="63" t="str">
        <f t="shared" si="7"/>
        <v>Sat</v>
      </c>
      <c r="C89" s="64"/>
      <c r="D89" s="64"/>
      <c r="E89" s="65" t="str">
        <f t="shared" si="8"/>
        <v/>
      </c>
      <c r="F89" s="65" t="str">
        <f t="shared" si="9"/>
        <v/>
      </c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1" t="str">
        <f t="shared" si="10"/>
        <v/>
      </c>
      <c r="T89" s="66" t="str">
        <f t="shared" si="11"/>
        <v/>
      </c>
      <c r="U89" s="131" t="str">
        <f t="shared" si="12"/>
        <v/>
      </c>
      <c r="V89" s="52">
        <f t="shared" si="13"/>
        <v>46363</v>
      </c>
      <c r="W89" s="132" t="str" cm="1">
        <f t="array" ref="W89">IF(AND($C89="",S89=""),"",IF(AND(N($C89)&gt;0,N(S89)=0),"nobody marked present",IF(N($D89)&gt;N($C89),"more broken than moulded",IF(AND($C89="",N(S89)&gt;0),"attendance marked but no blocks entered",IF(AND(N($C89)&gt;0,N(T89)=0),"no pay rate for this date - see Settings",IF(SUMPRODUCT((G89:R89&lt;&gt;"")*(G$5:R$5=""))&gt;0,"attendance in an empty worker slot",""))))))</f>
        <v/>
      </c>
      <c r="X89" s="133"/>
      <c r="Y89" s="125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</row>
    <row r="90" spans="1:39" s="127" customFormat="1" ht="21" customHeight="1" x14ac:dyDescent="0.25">
      <c r="A90" s="54">
        <v>46369</v>
      </c>
      <c r="B90" s="70" t="str">
        <f t="shared" si="7"/>
        <v>Sun</v>
      </c>
      <c r="C90" s="64"/>
      <c r="D90" s="64"/>
      <c r="E90" s="65" t="str">
        <f t="shared" si="8"/>
        <v/>
      </c>
      <c r="F90" s="65" t="str">
        <f t="shared" si="9"/>
        <v/>
      </c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1" t="str">
        <f t="shared" si="10"/>
        <v/>
      </c>
      <c r="T90" s="66" t="str">
        <f t="shared" si="11"/>
        <v/>
      </c>
      <c r="U90" s="131" t="str">
        <f t="shared" si="12"/>
        <v/>
      </c>
      <c r="V90" s="52">
        <f t="shared" si="13"/>
        <v>46363</v>
      </c>
      <c r="W90" s="132" t="str" cm="1">
        <f t="array" ref="W90">IF(AND($C90="",S90=""),"",IF(AND(N($C90)&gt;0,N(S90)=0),"nobody marked present",IF(N($D90)&gt;N($C90),"more broken than moulded",IF(AND($C90="",N(S90)&gt;0),"attendance marked but no blocks entered",IF(AND(N($C90)&gt;0,N(T90)=0),"no pay rate for this date - see Settings",IF(SUMPRODUCT((G90:R90&lt;&gt;"")*(G$5:R$5=""))&gt;0,"attendance in an empty worker slot",""))))))</f>
        <v/>
      </c>
      <c r="X90" s="133"/>
      <c r="Y90" s="125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</row>
    <row r="91" spans="1:39" s="127" customFormat="1" ht="21" customHeight="1" x14ac:dyDescent="0.25">
      <c r="A91" s="49">
        <v>46370</v>
      </c>
      <c r="B91" s="63" t="str">
        <f t="shared" si="7"/>
        <v>Mon</v>
      </c>
      <c r="C91" s="64"/>
      <c r="D91" s="64"/>
      <c r="E91" s="65" t="str">
        <f t="shared" si="8"/>
        <v/>
      </c>
      <c r="F91" s="65" t="str">
        <f t="shared" si="9"/>
        <v/>
      </c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1" t="str">
        <f t="shared" si="10"/>
        <v/>
      </c>
      <c r="T91" s="66" t="str">
        <f t="shared" si="11"/>
        <v/>
      </c>
      <c r="U91" s="131" t="str">
        <f t="shared" si="12"/>
        <v/>
      </c>
      <c r="V91" s="52">
        <f t="shared" si="13"/>
        <v>46370</v>
      </c>
      <c r="W91" s="132" t="str" cm="1">
        <f t="array" ref="W91">IF(AND($C91="",S91=""),"",IF(AND(N($C91)&gt;0,N(S91)=0),"nobody marked present",IF(N($D91)&gt;N($C91),"more broken than moulded",IF(AND($C91="",N(S91)&gt;0),"attendance marked but no blocks entered",IF(AND(N($C91)&gt;0,N(T91)=0),"no pay rate for this date - see Settings",IF(SUMPRODUCT((G91:R91&lt;&gt;"")*(G$5:R$5=""))&gt;0,"attendance in an empty worker slot",""))))))</f>
        <v/>
      </c>
      <c r="X91" s="133"/>
      <c r="Y91" s="125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</row>
    <row r="92" spans="1:39" s="127" customFormat="1" ht="21" customHeight="1" x14ac:dyDescent="0.25">
      <c r="A92" s="49">
        <v>46371</v>
      </c>
      <c r="B92" s="63" t="str">
        <f t="shared" si="7"/>
        <v>Tue</v>
      </c>
      <c r="C92" s="64"/>
      <c r="D92" s="64"/>
      <c r="E92" s="65" t="str">
        <f t="shared" si="8"/>
        <v/>
      </c>
      <c r="F92" s="65" t="str">
        <f t="shared" si="9"/>
        <v/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1" t="str">
        <f t="shared" si="10"/>
        <v/>
      </c>
      <c r="T92" s="66" t="str">
        <f t="shared" si="11"/>
        <v/>
      </c>
      <c r="U92" s="131" t="str">
        <f t="shared" si="12"/>
        <v/>
      </c>
      <c r="V92" s="52">
        <f t="shared" si="13"/>
        <v>46370</v>
      </c>
      <c r="W92" s="132" t="str" cm="1">
        <f t="array" ref="W92">IF(AND($C92="",S92=""),"",IF(AND(N($C92)&gt;0,N(S92)=0),"nobody marked present",IF(N($D92)&gt;N($C92),"more broken than moulded",IF(AND($C92="",N(S92)&gt;0),"attendance marked but no blocks entered",IF(AND(N($C92)&gt;0,N(T92)=0),"no pay rate for this date - see Settings",IF(SUMPRODUCT((G92:R92&lt;&gt;"")*(G$5:R$5=""))&gt;0,"attendance in an empty worker slot",""))))))</f>
        <v/>
      </c>
      <c r="X92" s="133"/>
      <c r="Y92" s="125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</row>
    <row r="93" spans="1:39" s="127" customFormat="1" ht="21" customHeight="1" x14ac:dyDescent="0.25">
      <c r="A93" s="49">
        <v>46372</v>
      </c>
      <c r="B93" s="63" t="str">
        <f t="shared" si="7"/>
        <v>Wed</v>
      </c>
      <c r="C93" s="64"/>
      <c r="D93" s="64"/>
      <c r="E93" s="65" t="str">
        <f t="shared" si="8"/>
        <v/>
      </c>
      <c r="F93" s="65" t="str">
        <f t="shared" si="9"/>
        <v/>
      </c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1" t="str">
        <f t="shared" si="10"/>
        <v/>
      </c>
      <c r="T93" s="66" t="str">
        <f t="shared" si="11"/>
        <v/>
      </c>
      <c r="U93" s="131" t="str">
        <f t="shared" si="12"/>
        <v/>
      </c>
      <c r="V93" s="52">
        <f t="shared" si="13"/>
        <v>46370</v>
      </c>
      <c r="W93" s="132" t="str" cm="1">
        <f t="array" ref="W93">IF(AND($C93="",S93=""),"",IF(AND(N($C93)&gt;0,N(S93)=0),"nobody marked present",IF(N($D93)&gt;N($C93),"more broken than moulded",IF(AND($C93="",N(S93)&gt;0),"attendance marked but no blocks entered",IF(AND(N($C93)&gt;0,N(T93)=0),"no pay rate for this date - see Settings",IF(SUMPRODUCT((G93:R93&lt;&gt;"")*(G$5:R$5=""))&gt;0,"attendance in an empty worker slot",""))))))</f>
        <v/>
      </c>
      <c r="X93" s="133"/>
      <c r="Y93" s="125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</row>
    <row r="94" spans="1:39" s="127" customFormat="1" ht="21" customHeight="1" x14ac:dyDescent="0.25">
      <c r="A94" s="49">
        <v>46373</v>
      </c>
      <c r="B94" s="63" t="str">
        <f t="shared" si="7"/>
        <v>Thu</v>
      </c>
      <c r="C94" s="64"/>
      <c r="D94" s="64"/>
      <c r="E94" s="65" t="str">
        <f t="shared" si="8"/>
        <v/>
      </c>
      <c r="F94" s="65" t="str">
        <f t="shared" si="9"/>
        <v/>
      </c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1" t="str">
        <f t="shared" si="10"/>
        <v/>
      </c>
      <c r="T94" s="66" t="str">
        <f t="shared" si="11"/>
        <v/>
      </c>
      <c r="U94" s="131" t="str">
        <f t="shared" si="12"/>
        <v/>
      </c>
      <c r="V94" s="52">
        <f t="shared" si="13"/>
        <v>46370</v>
      </c>
      <c r="W94" s="132" t="str" cm="1">
        <f t="array" ref="W94">IF(AND($C94="",S94=""),"",IF(AND(N($C94)&gt;0,N(S94)=0),"nobody marked present",IF(N($D94)&gt;N($C94),"more broken than moulded",IF(AND($C94="",N(S94)&gt;0),"attendance marked but no blocks entered",IF(AND(N($C94)&gt;0,N(T94)=0),"no pay rate for this date - see Settings",IF(SUMPRODUCT((G94:R94&lt;&gt;"")*(G$5:R$5=""))&gt;0,"attendance in an empty worker slot",""))))))</f>
        <v/>
      </c>
      <c r="X94" s="133"/>
      <c r="Y94" s="125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</row>
    <row r="95" spans="1:39" s="127" customFormat="1" ht="21" customHeight="1" x14ac:dyDescent="0.25">
      <c r="A95" s="49">
        <v>46374</v>
      </c>
      <c r="B95" s="63" t="str">
        <f t="shared" si="7"/>
        <v>Fri</v>
      </c>
      <c r="C95" s="64"/>
      <c r="D95" s="64"/>
      <c r="E95" s="65" t="str">
        <f t="shared" si="8"/>
        <v/>
      </c>
      <c r="F95" s="65" t="str">
        <f t="shared" si="9"/>
        <v/>
      </c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1" t="str">
        <f t="shared" si="10"/>
        <v/>
      </c>
      <c r="T95" s="66" t="str">
        <f t="shared" si="11"/>
        <v/>
      </c>
      <c r="U95" s="131" t="str">
        <f t="shared" si="12"/>
        <v/>
      </c>
      <c r="V95" s="52">
        <f t="shared" si="13"/>
        <v>46370</v>
      </c>
      <c r="W95" s="132" t="str" cm="1">
        <f t="array" ref="W95">IF(AND($C95="",S95=""),"",IF(AND(N($C95)&gt;0,N(S95)=0),"nobody marked present",IF(N($D95)&gt;N($C95),"more broken than moulded",IF(AND($C95="",N(S95)&gt;0),"attendance marked but no blocks entered",IF(AND(N($C95)&gt;0,N(T95)=0),"no pay rate for this date - see Settings",IF(SUMPRODUCT((G95:R95&lt;&gt;"")*(G$5:R$5=""))&gt;0,"attendance in an empty worker slot",""))))))</f>
        <v/>
      </c>
      <c r="X95" s="133"/>
      <c r="Y95" s="125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</row>
    <row r="96" spans="1:39" s="127" customFormat="1" ht="21" customHeight="1" x14ac:dyDescent="0.25">
      <c r="A96" s="49">
        <v>46375</v>
      </c>
      <c r="B96" s="63" t="str">
        <f t="shared" si="7"/>
        <v>Sat</v>
      </c>
      <c r="C96" s="64"/>
      <c r="D96" s="64"/>
      <c r="E96" s="65" t="str">
        <f t="shared" si="8"/>
        <v/>
      </c>
      <c r="F96" s="65" t="str">
        <f t="shared" si="9"/>
        <v/>
      </c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1" t="str">
        <f t="shared" si="10"/>
        <v/>
      </c>
      <c r="T96" s="66" t="str">
        <f t="shared" si="11"/>
        <v/>
      </c>
      <c r="U96" s="131" t="str">
        <f t="shared" si="12"/>
        <v/>
      </c>
      <c r="V96" s="52">
        <f t="shared" si="13"/>
        <v>46370</v>
      </c>
      <c r="W96" s="132" t="str" cm="1">
        <f t="array" ref="W96">IF(AND($C96="",S96=""),"",IF(AND(N($C96)&gt;0,N(S96)=0),"nobody marked present",IF(N($D96)&gt;N($C96),"more broken than moulded",IF(AND($C96="",N(S96)&gt;0),"attendance marked but no blocks entered",IF(AND(N($C96)&gt;0,N(T96)=0),"no pay rate for this date - see Settings",IF(SUMPRODUCT((G96:R96&lt;&gt;"")*(G$5:R$5=""))&gt;0,"attendance in an empty worker slot",""))))))</f>
        <v/>
      </c>
      <c r="X96" s="133"/>
      <c r="Y96" s="125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</row>
    <row r="97" spans="1:39" s="127" customFormat="1" ht="21" customHeight="1" x14ac:dyDescent="0.25">
      <c r="A97" s="54">
        <v>46376</v>
      </c>
      <c r="B97" s="70" t="str">
        <f t="shared" si="7"/>
        <v>Sun</v>
      </c>
      <c r="C97" s="64"/>
      <c r="D97" s="64"/>
      <c r="E97" s="65" t="str">
        <f t="shared" si="8"/>
        <v/>
      </c>
      <c r="F97" s="65" t="str">
        <f t="shared" si="9"/>
        <v/>
      </c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1" t="str">
        <f t="shared" si="10"/>
        <v/>
      </c>
      <c r="T97" s="66" t="str">
        <f t="shared" si="11"/>
        <v/>
      </c>
      <c r="U97" s="131" t="str">
        <f t="shared" si="12"/>
        <v/>
      </c>
      <c r="V97" s="52">
        <f t="shared" si="13"/>
        <v>46370</v>
      </c>
      <c r="W97" s="132" t="str" cm="1">
        <f t="array" ref="W97">IF(AND($C97="",S97=""),"",IF(AND(N($C97)&gt;0,N(S97)=0),"nobody marked present",IF(N($D97)&gt;N($C97),"more broken than moulded",IF(AND($C97="",N(S97)&gt;0),"attendance marked but no blocks entered",IF(AND(N($C97)&gt;0,N(T97)=0),"no pay rate for this date - see Settings",IF(SUMPRODUCT((G97:R97&lt;&gt;"")*(G$5:R$5=""))&gt;0,"attendance in an empty worker slot",""))))))</f>
        <v/>
      </c>
      <c r="X97" s="133"/>
      <c r="Y97" s="125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</row>
    <row r="98" spans="1:39" s="127" customFormat="1" ht="21" customHeight="1" x14ac:dyDescent="0.25">
      <c r="A98" s="49">
        <v>46377</v>
      </c>
      <c r="B98" s="63" t="str">
        <f t="shared" si="7"/>
        <v>Mon</v>
      </c>
      <c r="C98" s="64"/>
      <c r="D98" s="64"/>
      <c r="E98" s="65" t="str">
        <f t="shared" si="8"/>
        <v/>
      </c>
      <c r="F98" s="65" t="str">
        <f t="shared" si="9"/>
        <v/>
      </c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1" t="str">
        <f t="shared" si="10"/>
        <v/>
      </c>
      <c r="T98" s="66" t="str">
        <f t="shared" si="11"/>
        <v/>
      </c>
      <c r="U98" s="131" t="str">
        <f t="shared" si="12"/>
        <v/>
      </c>
      <c r="V98" s="52">
        <f t="shared" si="13"/>
        <v>46377</v>
      </c>
      <c r="W98" s="132" t="str" cm="1">
        <f t="array" ref="W98">IF(AND($C98="",S98=""),"",IF(AND(N($C98)&gt;0,N(S98)=0),"nobody marked present",IF(N($D98)&gt;N($C98),"more broken than moulded",IF(AND($C98="",N(S98)&gt;0),"attendance marked but no blocks entered",IF(AND(N($C98)&gt;0,N(T98)=0),"no pay rate for this date - see Settings",IF(SUMPRODUCT((G98:R98&lt;&gt;"")*(G$5:R$5=""))&gt;0,"attendance in an empty worker slot",""))))))</f>
        <v/>
      </c>
      <c r="X98" s="133"/>
      <c r="Y98" s="125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</row>
    <row r="99" spans="1:39" s="127" customFormat="1" ht="21" customHeight="1" x14ac:dyDescent="0.25">
      <c r="A99" s="49">
        <v>46378</v>
      </c>
      <c r="B99" s="63" t="str">
        <f t="shared" si="7"/>
        <v>Tue</v>
      </c>
      <c r="C99" s="64"/>
      <c r="D99" s="64"/>
      <c r="E99" s="65" t="str">
        <f t="shared" si="8"/>
        <v/>
      </c>
      <c r="F99" s="65" t="str">
        <f t="shared" si="9"/>
        <v/>
      </c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1" t="str">
        <f t="shared" si="10"/>
        <v/>
      </c>
      <c r="T99" s="66" t="str">
        <f t="shared" si="11"/>
        <v/>
      </c>
      <c r="U99" s="131" t="str">
        <f t="shared" si="12"/>
        <v/>
      </c>
      <c r="V99" s="52">
        <f t="shared" si="13"/>
        <v>46377</v>
      </c>
      <c r="W99" s="132" t="str" cm="1">
        <f t="array" ref="W99">IF(AND($C99="",S99=""),"",IF(AND(N($C99)&gt;0,N(S99)=0),"nobody marked present",IF(N($D99)&gt;N($C99),"more broken than moulded",IF(AND($C99="",N(S99)&gt;0),"attendance marked but no blocks entered",IF(AND(N($C99)&gt;0,N(T99)=0),"no pay rate for this date - see Settings",IF(SUMPRODUCT((G99:R99&lt;&gt;"")*(G$5:R$5=""))&gt;0,"attendance in an empty worker slot",""))))))</f>
        <v/>
      </c>
      <c r="X99" s="133"/>
      <c r="Y99" s="125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</row>
    <row r="100" spans="1:39" s="127" customFormat="1" ht="21" customHeight="1" x14ac:dyDescent="0.25">
      <c r="A100" s="49">
        <v>46379</v>
      </c>
      <c r="B100" s="63" t="str">
        <f t="shared" si="7"/>
        <v>Wed</v>
      </c>
      <c r="C100" s="64"/>
      <c r="D100" s="64"/>
      <c r="E100" s="65" t="str">
        <f t="shared" si="8"/>
        <v/>
      </c>
      <c r="F100" s="65" t="str">
        <f t="shared" si="9"/>
        <v/>
      </c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1" t="str">
        <f t="shared" si="10"/>
        <v/>
      </c>
      <c r="T100" s="66" t="str">
        <f t="shared" si="11"/>
        <v/>
      </c>
      <c r="U100" s="131" t="str">
        <f t="shared" si="12"/>
        <v/>
      </c>
      <c r="V100" s="52">
        <f t="shared" si="13"/>
        <v>46377</v>
      </c>
      <c r="W100" s="132" t="str" cm="1">
        <f t="array" ref="W100">IF(AND($C100="",S100=""),"",IF(AND(N($C100)&gt;0,N(S100)=0),"nobody marked present",IF(N($D100)&gt;N($C100),"more broken than moulded",IF(AND($C100="",N(S100)&gt;0),"attendance marked but no blocks entered",IF(AND(N($C100)&gt;0,N(T100)=0),"no pay rate for this date - see Settings",IF(SUMPRODUCT((G100:R100&lt;&gt;"")*(G$5:R$5=""))&gt;0,"attendance in an empty worker slot",""))))))</f>
        <v/>
      </c>
      <c r="X100" s="133"/>
      <c r="Y100" s="125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</row>
    <row r="101" spans="1:39" s="127" customFormat="1" ht="21" customHeight="1" x14ac:dyDescent="0.25">
      <c r="A101" s="49">
        <v>46380</v>
      </c>
      <c r="B101" s="63" t="str">
        <f t="shared" si="7"/>
        <v>Thu</v>
      </c>
      <c r="C101" s="64"/>
      <c r="D101" s="64"/>
      <c r="E101" s="65" t="str">
        <f t="shared" si="8"/>
        <v/>
      </c>
      <c r="F101" s="65" t="str">
        <f t="shared" si="9"/>
        <v/>
      </c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1" t="str">
        <f t="shared" si="10"/>
        <v/>
      </c>
      <c r="T101" s="66" t="str">
        <f t="shared" si="11"/>
        <v/>
      </c>
      <c r="U101" s="131" t="str">
        <f t="shared" si="12"/>
        <v/>
      </c>
      <c r="V101" s="52">
        <f t="shared" si="13"/>
        <v>46377</v>
      </c>
      <c r="W101" s="132" t="str" cm="1">
        <f t="array" ref="W101">IF(AND($C101="",S101=""),"",IF(AND(N($C101)&gt;0,N(S101)=0),"nobody marked present",IF(N($D101)&gt;N($C101),"more broken than moulded",IF(AND($C101="",N(S101)&gt;0),"attendance marked but no blocks entered",IF(AND(N($C101)&gt;0,N(T101)=0),"no pay rate for this date - see Settings",IF(SUMPRODUCT((G101:R101&lt;&gt;"")*(G$5:R$5=""))&gt;0,"attendance in an empty worker slot",""))))))</f>
        <v/>
      </c>
      <c r="X101" s="133"/>
      <c r="Y101" s="125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</row>
    <row r="102" spans="1:39" s="127" customFormat="1" ht="21" customHeight="1" x14ac:dyDescent="0.25">
      <c r="A102" s="49">
        <v>46381</v>
      </c>
      <c r="B102" s="63" t="str">
        <f t="shared" si="7"/>
        <v>Fri</v>
      </c>
      <c r="C102" s="64"/>
      <c r="D102" s="64"/>
      <c r="E102" s="65" t="str">
        <f t="shared" si="8"/>
        <v/>
      </c>
      <c r="F102" s="65" t="str">
        <f t="shared" si="9"/>
        <v/>
      </c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1" t="str">
        <f t="shared" si="10"/>
        <v/>
      </c>
      <c r="T102" s="66" t="str">
        <f t="shared" si="11"/>
        <v/>
      </c>
      <c r="U102" s="131" t="str">
        <f t="shared" si="12"/>
        <v/>
      </c>
      <c r="V102" s="52">
        <f t="shared" si="13"/>
        <v>46377</v>
      </c>
      <c r="W102" s="132" t="str" cm="1">
        <f t="array" ref="W102">IF(AND($C102="",S102=""),"",IF(AND(N($C102)&gt;0,N(S102)=0),"nobody marked present",IF(N($D102)&gt;N($C102),"more broken than moulded",IF(AND($C102="",N(S102)&gt;0),"attendance marked but no blocks entered",IF(AND(N($C102)&gt;0,N(T102)=0),"no pay rate for this date - see Settings",IF(SUMPRODUCT((G102:R102&lt;&gt;"")*(G$5:R$5=""))&gt;0,"attendance in an empty worker slot",""))))))</f>
        <v/>
      </c>
      <c r="X102" s="133"/>
      <c r="Y102" s="125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</row>
    <row r="103" spans="1:39" s="127" customFormat="1" ht="21" customHeight="1" x14ac:dyDescent="0.25">
      <c r="A103" s="49">
        <v>46382</v>
      </c>
      <c r="B103" s="63" t="str">
        <f t="shared" si="7"/>
        <v>Sat</v>
      </c>
      <c r="C103" s="64"/>
      <c r="D103" s="64"/>
      <c r="E103" s="65" t="str">
        <f t="shared" si="8"/>
        <v/>
      </c>
      <c r="F103" s="65" t="str">
        <f t="shared" si="9"/>
        <v/>
      </c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1" t="str">
        <f t="shared" si="10"/>
        <v/>
      </c>
      <c r="T103" s="66" t="str">
        <f t="shared" si="11"/>
        <v/>
      </c>
      <c r="U103" s="131" t="str">
        <f t="shared" si="12"/>
        <v/>
      </c>
      <c r="V103" s="52">
        <f t="shared" si="13"/>
        <v>46377</v>
      </c>
      <c r="W103" s="132" t="str" cm="1">
        <f t="array" ref="W103">IF(AND($C103="",S103=""),"",IF(AND(N($C103)&gt;0,N(S103)=0),"nobody marked present",IF(N($D103)&gt;N($C103),"more broken than moulded",IF(AND($C103="",N(S103)&gt;0),"attendance marked but no blocks entered",IF(AND(N($C103)&gt;0,N(T103)=0),"no pay rate for this date - see Settings",IF(SUMPRODUCT((G103:R103&lt;&gt;"")*(G$5:R$5=""))&gt;0,"attendance in an empty worker slot",""))))))</f>
        <v/>
      </c>
      <c r="X103" s="133"/>
      <c r="Y103" s="125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</row>
    <row r="104" spans="1:39" s="127" customFormat="1" ht="21" customHeight="1" x14ac:dyDescent="0.25">
      <c r="A104" s="54">
        <v>46383</v>
      </c>
      <c r="B104" s="70" t="str">
        <f t="shared" si="7"/>
        <v>Sun</v>
      </c>
      <c r="C104" s="64"/>
      <c r="D104" s="64"/>
      <c r="E104" s="65" t="str">
        <f t="shared" si="8"/>
        <v/>
      </c>
      <c r="F104" s="65" t="str">
        <f t="shared" si="9"/>
        <v/>
      </c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1" t="str">
        <f t="shared" si="10"/>
        <v/>
      </c>
      <c r="T104" s="66" t="str">
        <f t="shared" si="11"/>
        <v/>
      </c>
      <c r="U104" s="131" t="str">
        <f t="shared" si="12"/>
        <v/>
      </c>
      <c r="V104" s="52">
        <f t="shared" si="13"/>
        <v>46377</v>
      </c>
      <c r="W104" s="132" t="str" cm="1">
        <f t="array" ref="W104">IF(AND($C104="",S104=""),"",IF(AND(N($C104)&gt;0,N(S104)=0),"nobody marked present",IF(N($D104)&gt;N($C104),"more broken than moulded",IF(AND($C104="",N(S104)&gt;0),"attendance marked but no blocks entered",IF(AND(N($C104)&gt;0,N(T104)=0),"no pay rate for this date - see Settings",IF(SUMPRODUCT((G104:R104&lt;&gt;"")*(G$5:R$5=""))&gt;0,"attendance in an empty worker slot",""))))))</f>
        <v/>
      </c>
      <c r="X104" s="133"/>
      <c r="Y104" s="125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</row>
    <row r="105" spans="1:39" s="127" customFormat="1" ht="21" customHeight="1" x14ac:dyDescent="0.25">
      <c r="A105" s="49">
        <v>46384</v>
      </c>
      <c r="B105" s="63" t="str">
        <f t="shared" si="7"/>
        <v>Mon</v>
      </c>
      <c r="C105" s="64"/>
      <c r="D105" s="64"/>
      <c r="E105" s="65" t="str">
        <f t="shared" si="8"/>
        <v/>
      </c>
      <c r="F105" s="65" t="str">
        <f t="shared" si="9"/>
        <v/>
      </c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1" t="str">
        <f t="shared" si="10"/>
        <v/>
      </c>
      <c r="T105" s="66" t="str">
        <f t="shared" si="11"/>
        <v/>
      </c>
      <c r="U105" s="131" t="str">
        <f t="shared" si="12"/>
        <v/>
      </c>
      <c r="V105" s="52">
        <f t="shared" si="13"/>
        <v>46384</v>
      </c>
      <c r="W105" s="132" t="str" cm="1">
        <f t="array" ref="W105">IF(AND($C105="",S105=""),"",IF(AND(N($C105)&gt;0,N(S105)=0),"nobody marked present",IF(N($D105)&gt;N($C105),"more broken than moulded",IF(AND($C105="",N(S105)&gt;0),"attendance marked but no blocks entered",IF(AND(N($C105)&gt;0,N(T105)=0),"no pay rate for this date - see Settings",IF(SUMPRODUCT((G105:R105&lt;&gt;"")*(G$5:R$5=""))&gt;0,"attendance in an empty worker slot",""))))))</f>
        <v/>
      </c>
      <c r="X105" s="133"/>
      <c r="Y105" s="125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</row>
    <row r="106" spans="1:39" s="127" customFormat="1" ht="21" customHeight="1" x14ac:dyDescent="0.25">
      <c r="A106" s="49">
        <v>46385</v>
      </c>
      <c r="B106" s="63" t="str">
        <f t="shared" si="7"/>
        <v>Tue</v>
      </c>
      <c r="C106" s="64"/>
      <c r="D106" s="64"/>
      <c r="E106" s="65" t="str">
        <f t="shared" si="8"/>
        <v/>
      </c>
      <c r="F106" s="65" t="str">
        <f t="shared" si="9"/>
        <v/>
      </c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1" t="str">
        <f t="shared" si="10"/>
        <v/>
      </c>
      <c r="T106" s="66" t="str">
        <f t="shared" si="11"/>
        <v/>
      </c>
      <c r="U106" s="131" t="str">
        <f t="shared" si="12"/>
        <v/>
      </c>
      <c r="V106" s="52">
        <f t="shared" si="13"/>
        <v>46384</v>
      </c>
      <c r="W106" s="132" t="str" cm="1">
        <f t="array" ref="W106">IF(AND($C106="",S106=""),"",IF(AND(N($C106)&gt;0,N(S106)=0),"nobody marked present",IF(N($D106)&gt;N($C106),"more broken than moulded",IF(AND($C106="",N(S106)&gt;0),"attendance marked but no blocks entered",IF(AND(N($C106)&gt;0,N(T106)=0),"no pay rate for this date - see Settings",IF(SUMPRODUCT((G106:R106&lt;&gt;"")*(G$5:R$5=""))&gt;0,"attendance in an empty worker slot",""))))))</f>
        <v/>
      </c>
      <c r="X106" s="133"/>
      <c r="Y106" s="125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</row>
    <row r="107" spans="1:39" s="127" customFormat="1" ht="21" customHeight="1" x14ac:dyDescent="0.25">
      <c r="A107" s="49">
        <v>46386</v>
      </c>
      <c r="B107" s="63" t="str">
        <f t="shared" si="7"/>
        <v>Wed</v>
      </c>
      <c r="C107" s="64"/>
      <c r="D107" s="64"/>
      <c r="E107" s="65" t="str">
        <f t="shared" si="8"/>
        <v/>
      </c>
      <c r="F107" s="65" t="str">
        <f t="shared" si="9"/>
        <v/>
      </c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1" t="str">
        <f t="shared" si="10"/>
        <v/>
      </c>
      <c r="T107" s="66" t="str">
        <f t="shared" si="11"/>
        <v/>
      </c>
      <c r="U107" s="131" t="str">
        <f t="shared" si="12"/>
        <v/>
      </c>
      <c r="V107" s="52">
        <f t="shared" si="13"/>
        <v>46384</v>
      </c>
      <c r="W107" s="132" t="str" cm="1">
        <f t="array" ref="W107">IF(AND($C107="",S107=""),"",IF(AND(N($C107)&gt;0,N(S107)=0),"nobody marked present",IF(N($D107)&gt;N($C107),"more broken than moulded",IF(AND($C107="",N(S107)&gt;0),"attendance marked but no blocks entered",IF(AND(N($C107)&gt;0,N(T107)=0),"no pay rate for this date - see Settings",IF(SUMPRODUCT((G107:R107&lt;&gt;"")*(G$5:R$5=""))&gt;0,"attendance in an empty worker slot",""))))))</f>
        <v/>
      </c>
      <c r="X107" s="133"/>
      <c r="Y107" s="125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</row>
    <row r="108" spans="1:39" s="127" customFormat="1" ht="21" customHeight="1" x14ac:dyDescent="0.25">
      <c r="A108" s="49">
        <v>46387</v>
      </c>
      <c r="B108" s="63" t="str">
        <f t="shared" si="7"/>
        <v>Thu</v>
      </c>
      <c r="C108" s="64"/>
      <c r="D108" s="64"/>
      <c r="E108" s="65" t="str">
        <f t="shared" si="8"/>
        <v/>
      </c>
      <c r="F108" s="65" t="str">
        <f t="shared" si="9"/>
        <v/>
      </c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1" t="str">
        <f t="shared" si="10"/>
        <v/>
      </c>
      <c r="T108" s="66" t="str">
        <f t="shared" si="11"/>
        <v/>
      </c>
      <c r="U108" s="131" t="str">
        <f t="shared" si="12"/>
        <v/>
      </c>
      <c r="V108" s="52">
        <f t="shared" si="13"/>
        <v>46384</v>
      </c>
      <c r="W108" s="132" t="str" cm="1">
        <f t="array" ref="W108">IF(AND($C108="",S108=""),"",IF(AND(N($C108)&gt;0,N(S108)=0),"nobody marked present",IF(N($D108)&gt;N($C108),"more broken than moulded",IF(AND($C108="",N(S108)&gt;0),"attendance marked but no blocks entered",IF(AND(N($C108)&gt;0,N(T108)=0),"no pay rate for this date - see Settings",IF(SUMPRODUCT((G108:R108&lt;&gt;"")*(G$5:R$5=""))&gt;0,"attendance in an empty worker slot",""))))))</f>
        <v/>
      </c>
      <c r="X108" s="133"/>
      <c r="Y108" s="125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</row>
    <row r="109" spans="1:39" s="127" customFormat="1" ht="21" customHeight="1" x14ac:dyDescent="0.25">
      <c r="A109" s="49">
        <v>46388</v>
      </c>
      <c r="B109" s="63" t="str">
        <f t="shared" si="7"/>
        <v>Fri</v>
      </c>
      <c r="C109" s="64"/>
      <c r="D109" s="64"/>
      <c r="E109" s="65" t="str">
        <f t="shared" si="8"/>
        <v/>
      </c>
      <c r="F109" s="65" t="str">
        <f t="shared" si="9"/>
        <v/>
      </c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1" t="str">
        <f t="shared" si="10"/>
        <v/>
      </c>
      <c r="T109" s="66" t="str">
        <f t="shared" si="11"/>
        <v/>
      </c>
      <c r="U109" s="131" t="str">
        <f t="shared" si="12"/>
        <v/>
      </c>
      <c r="V109" s="52">
        <f t="shared" si="13"/>
        <v>46384</v>
      </c>
      <c r="W109" s="132" t="str" cm="1">
        <f t="array" ref="W109">IF(AND($C109="",S109=""),"",IF(AND(N($C109)&gt;0,N(S109)=0),"nobody marked present",IF(N($D109)&gt;N($C109),"more broken than moulded",IF(AND($C109="",N(S109)&gt;0),"attendance marked but no blocks entered",IF(AND(N($C109)&gt;0,N(T109)=0),"no pay rate for this date - see Settings",IF(SUMPRODUCT((G109:R109&lt;&gt;"")*(G$5:R$5=""))&gt;0,"attendance in an empty worker slot",""))))))</f>
        <v/>
      </c>
      <c r="X109" s="133"/>
      <c r="Y109" s="125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</row>
    <row r="110" spans="1:39" s="127" customFormat="1" ht="21" customHeight="1" x14ac:dyDescent="0.25">
      <c r="A110" s="49">
        <v>46389</v>
      </c>
      <c r="B110" s="63" t="str">
        <f t="shared" si="7"/>
        <v>Sat</v>
      </c>
      <c r="C110" s="64"/>
      <c r="D110" s="64"/>
      <c r="E110" s="65" t="str">
        <f t="shared" si="8"/>
        <v/>
      </c>
      <c r="F110" s="65" t="str">
        <f t="shared" si="9"/>
        <v/>
      </c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1" t="str">
        <f t="shared" si="10"/>
        <v/>
      </c>
      <c r="T110" s="66" t="str">
        <f t="shared" si="11"/>
        <v/>
      </c>
      <c r="U110" s="131" t="str">
        <f t="shared" si="12"/>
        <v/>
      </c>
      <c r="V110" s="52">
        <f t="shared" si="13"/>
        <v>46384</v>
      </c>
      <c r="W110" s="132" t="str" cm="1">
        <f t="array" ref="W110">IF(AND($C110="",S110=""),"",IF(AND(N($C110)&gt;0,N(S110)=0),"nobody marked present",IF(N($D110)&gt;N($C110),"more broken than moulded",IF(AND($C110="",N(S110)&gt;0),"attendance marked but no blocks entered",IF(AND(N($C110)&gt;0,N(T110)=0),"no pay rate for this date - see Settings",IF(SUMPRODUCT((G110:R110&lt;&gt;"")*(G$5:R$5=""))&gt;0,"attendance in an empty worker slot",""))))))</f>
        <v/>
      </c>
      <c r="X110" s="133"/>
      <c r="Y110" s="125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</row>
    <row r="111" spans="1:39" s="127" customFormat="1" ht="21" customHeight="1" x14ac:dyDescent="0.25">
      <c r="A111" s="54">
        <v>46390</v>
      </c>
      <c r="B111" s="70" t="str">
        <f t="shared" si="7"/>
        <v>Sun</v>
      </c>
      <c r="C111" s="64"/>
      <c r="D111" s="64"/>
      <c r="E111" s="65" t="str">
        <f t="shared" si="8"/>
        <v/>
      </c>
      <c r="F111" s="65" t="str">
        <f t="shared" si="9"/>
        <v/>
      </c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1" t="str">
        <f t="shared" si="10"/>
        <v/>
      </c>
      <c r="T111" s="66" t="str">
        <f t="shared" si="11"/>
        <v/>
      </c>
      <c r="U111" s="131" t="str">
        <f t="shared" si="12"/>
        <v/>
      </c>
      <c r="V111" s="52">
        <f t="shared" si="13"/>
        <v>46384</v>
      </c>
      <c r="W111" s="132" t="str" cm="1">
        <f t="array" ref="W111">IF(AND($C111="",S111=""),"",IF(AND(N($C111)&gt;0,N(S111)=0),"nobody marked present",IF(N($D111)&gt;N($C111),"more broken than moulded",IF(AND($C111="",N(S111)&gt;0),"attendance marked but no blocks entered",IF(AND(N($C111)&gt;0,N(T111)=0),"no pay rate for this date - see Settings",IF(SUMPRODUCT((G111:R111&lt;&gt;"")*(G$5:R$5=""))&gt;0,"attendance in an empty worker slot",""))))))</f>
        <v/>
      </c>
      <c r="X111" s="133"/>
      <c r="Y111" s="125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</row>
    <row r="112" spans="1:39" s="127" customFormat="1" ht="21" customHeight="1" x14ac:dyDescent="0.25">
      <c r="A112" s="49">
        <v>46391</v>
      </c>
      <c r="B112" s="63" t="str">
        <f t="shared" si="7"/>
        <v>Mon</v>
      </c>
      <c r="C112" s="64"/>
      <c r="D112" s="64"/>
      <c r="E112" s="65" t="str">
        <f t="shared" si="8"/>
        <v/>
      </c>
      <c r="F112" s="65" t="str">
        <f t="shared" si="9"/>
        <v/>
      </c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1" t="str">
        <f t="shared" si="10"/>
        <v/>
      </c>
      <c r="T112" s="66" t="str">
        <f t="shared" si="11"/>
        <v/>
      </c>
      <c r="U112" s="131" t="str">
        <f t="shared" si="12"/>
        <v/>
      </c>
      <c r="V112" s="52">
        <f t="shared" si="13"/>
        <v>46391</v>
      </c>
      <c r="W112" s="132" t="str" cm="1">
        <f t="array" ref="W112">IF(AND($C112="",S112=""),"",IF(AND(N($C112)&gt;0,N(S112)=0),"nobody marked present",IF(N($D112)&gt;N($C112),"more broken than moulded",IF(AND($C112="",N(S112)&gt;0),"attendance marked but no blocks entered",IF(AND(N($C112)&gt;0,N(T112)=0),"no pay rate for this date - see Settings",IF(SUMPRODUCT((G112:R112&lt;&gt;"")*(G$5:R$5=""))&gt;0,"attendance in an empty worker slot",""))))))</f>
        <v/>
      </c>
      <c r="X112" s="133"/>
      <c r="Y112" s="125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</row>
    <row r="113" spans="1:39" s="127" customFormat="1" ht="21" customHeight="1" x14ac:dyDescent="0.25">
      <c r="A113" s="49">
        <v>46392</v>
      </c>
      <c r="B113" s="63" t="str">
        <f t="shared" si="7"/>
        <v>Tue</v>
      </c>
      <c r="C113" s="64"/>
      <c r="D113" s="64"/>
      <c r="E113" s="65" t="str">
        <f t="shared" si="8"/>
        <v/>
      </c>
      <c r="F113" s="65" t="str">
        <f t="shared" si="9"/>
        <v/>
      </c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1" t="str">
        <f t="shared" si="10"/>
        <v/>
      </c>
      <c r="T113" s="66" t="str">
        <f t="shared" si="11"/>
        <v/>
      </c>
      <c r="U113" s="131" t="str">
        <f t="shared" si="12"/>
        <v/>
      </c>
      <c r="V113" s="52">
        <f t="shared" si="13"/>
        <v>46391</v>
      </c>
      <c r="W113" s="132" t="str" cm="1">
        <f t="array" ref="W113">IF(AND($C113="",S113=""),"",IF(AND(N($C113)&gt;0,N(S113)=0),"nobody marked present",IF(N($D113)&gt;N($C113),"more broken than moulded",IF(AND($C113="",N(S113)&gt;0),"attendance marked but no blocks entered",IF(AND(N($C113)&gt;0,N(T113)=0),"no pay rate for this date - see Settings",IF(SUMPRODUCT((G113:R113&lt;&gt;"")*(G$5:R$5=""))&gt;0,"attendance in an empty worker slot",""))))))</f>
        <v/>
      </c>
      <c r="X113" s="133"/>
      <c r="Y113" s="125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</row>
    <row r="114" spans="1:39" s="127" customFormat="1" ht="21" customHeight="1" x14ac:dyDescent="0.25">
      <c r="A114" s="49">
        <v>46393</v>
      </c>
      <c r="B114" s="63" t="str">
        <f t="shared" si="7"/>
        <v>Wed</v>
      </c>
      <c r="C114" s="64"/>
      <c r="D114" s="64"/>
      <c r="E114" s="65" t="str">
        <f t="shared" si="8"/>
        <v/>
      </c>
      <c r="F114" s="65" t="str">
        <f t="shared" si="9"/>
        <v/>
      </c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1" t="str">
        <f t="shared" si="10"/>
        <v/>
      </c>
      <c r="T114" s="66" t="str">
        <f t="shared" si="11"/>
        <v/>
      </c>
      <c r="U114" s="131" t="str">
        <f t="shared" si="12"/>
        <v/>
      </c>
      <c r="V114" s="52">
        <f t="shared" si="13"/>
        <v>46391</v>
      </c>
      <c r="W114" s="132" t="str" cm="1">
        <f t="array" ref="W114">IF(AND($C114="",S114=""),"",IF(AND(N($C114)&gt;0,N(S114)=0),"nobody marked present",IF(N($D114)&gt;N($C114),"more broken than moulded",IF(AND($C114="",N(S114)&gt;0),"attendance marked but no blocks entered",IF(AND(N($C114)&gt;0,N(T114)=0),"no pay rate for this date - see Settings",IF(SUMPRODUCT((G114:R114&lt;&gt;"")*(G$5:R$5=""))&gt;0,"attendance in an empty worker slot",""))))))</f>
        <v/>
      </c>
      <c r="X114" s="133"/>
      <c r="Y114" s="125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</row>
    <row r="115" spans="1:39" s="127" customFormat="1" ht="21" customHeight="1" x14ac:dyDescent="0.25">
      <c r="A115" s="49">
        <v>46394</v>
      </c>
      <c r="B115" s="63" t="str">
        <f t="shared" si="7"/>
        <v>Thu</v>
      </c>
      <c r="C115" s="64"/>
      <c r="D115" s="64"/>
      <c r="E115" s="65" t="str">
        <f t="shared" si="8"/>
        <v/>
      </c>
      <c r="F115" s="65" t="str">
        <f t="shared" si="9"/>
        <v/>
      </c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1" t="str">
        <f t="shared" si="10"/>
        <v/>
      </c>
      <c r="T115" s="66" t="str">
        <f t="shared" si="11"/>
        <v/>
      </c>
      <c r="U115" s="131" t="str">
        <f t="shared" si="12"/>
        <v/>
      </c>
      <c r="V115" s="52">
        <f t="shared" si="13"/>
        <v>46391</v>
      </c>
      <c r="W115" s="132" t="str" cm="1">
        <f t="array" ref="W115">IF(AND($C115="",S115=""),"",IF(AND(N($C115)&gt;0,N(S115)=0),"nobody marked present",IF(N($D115)&gt;N($C115),"more broken than moulded",IF(AND($C115="",N(S115)&gt;0),"attendance marked but no blocks entered",IF(AND(N($C115)&gt;0,N(T115)=0),"no pay rate for this date - see Settings",IF(SUMPRODUCT((G115:R115&lt;&gt;"")*(G$5:R$5=""))&gt;0,"attendance in an empty worker slot",""))))))</f>
        <v/>
      </c>
      <c r="X115" s="133"/>
      <c r="Y115" s="125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</row>
    <row r="116" spans="1:39" s="127" customFormat="1" ht="21" customHeight="1" x14ac:dyDescent="0.25">
      <c r="A116" s="49">
        <v>46395</v>
      </c>
      <c r="B116" s="63" t="str">
        <f t="shared" si="7"/>
        <v>Fri</v>
      </c>
      <c r="C116" s="64"/>
      <c r="D116" s="64"/>
      <c r="E116" s="65" t="str">
        <f t="shared" si="8"/>
        <v/>
      </c>
      <c r="F116" s="65" t="str">
        <f t="shared" si="9"/>
        <v/>
      </c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1" t="str">
        <f t="shared" si="10"/>
        <v/>
      </c>
      <c r="T116" s="66" t="str">
        <f t="shared" si="11"/>
        <v/>
      </c>
      <c r="U116" s="131" t="str">
        <f t="shared" si="12"/>
        <v/>
      </c>
      <c r="V116" s="52">
        <f t="shared" si="13"/>
        <v>46391</v>
      </c>
      <c r="W116" s="132" t="str" cm="1">
        <f t="array" ref="W116">IF(AND($C116="",S116=""),"",IF(AND(N($C116)&gt;0,N(S116)=0),"nobody marked present",IF(N($D116)&gt;N($C116),"more broken than moulded",IF(AND($C116="",N(S116)&gt;0),"attendance marked but no blocks entered",IF(AND(N($C116)&gt;0,N(T116)=0),"no pay rate for this date - see Settings",IF(SUMPRODUCT((G116:R116&lt;&gt;"")*(G$5:R$5=""))&gt;0,"attendance in an empty worker slot",""))))))</f>
        <v/>
      </c>
      <c r="X116" s="133"/>
      <c r="Y116" s="125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</row>
    <row r="117" spans="1:39" s="127" customFormat="1" ht="21" customHeight="1" x14ac:dyDescent="0.25">
      <c r="A117" s="49">
        <v>46396</v>
      </c>
      <c r="B117" s="63" t="str">
        <f t="shared" si="7"/>
        <v>Sat</v>
      </c>
      <c r="C117" s="64"/>
      <c r="D117" s="64"/>
      <c r="E117" s="65" t="str">
        <f t="shared" si="8"/>
        <v/>
      </c>
      <c r="F117" s="65" t="str">
        <f t="shared" si="9"/>
        <v/>
      </c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1" t="str">
        <f t="shared" si="10"/>
        <v/>
      </c>
      <c r="T117" s="66" t="str">
        <f t="shared" si="11"/>
        <v/>
      </c>
      <c r="U117" s="131" t="str">
        <f t="shared" si="12"/>
        <v/>
      </c>
      <c r="V117" s="52">
        <f t="shared" si="13"/>
        <v>46391</v>
      </c>
      <c r="W117" s="132" t="str" cm="1">
        <f t="array" ref="W117">IF(AND($C117="",S117=""),"",IF(AND(N($C117)&gt;0,N(S117)=0),"nobody marked present",IF(N($D117)&gt;N($C117),"more broken than moulded",IF(AND($C117="",N(S117)&gt;0),"attendance marked but no blocks entered",IF(AND(N($C117)&gt;0,N(T117)=0),"no pay rate for this date - see Settings",IF(SUMPRODUCT((G117:R117&lt;&gt;"")*(G$5:R$5=""))&gt;0,"attendance in an empty worker slot",""))))))</f>
        <v/>
      </c>
      <c r="X117" s="133"/>
      <c r="Y117" s="125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</row>
    <row r="118" spans="1:39" s="127" customFormat="1" ht="21" customHeight="1" x14ac:dyDescent="0.25">
      <c r="A118" s="54">
        <v>46397</v>
      </c>
      <c r="B118" s="70" t="str">
        <f t="shared" si="7"/>
        <v>Sun</v>
      </c>
      <c r="C118" s="64"/>
      <c r="D118" s="64"/>
      <c r="E118" s="65" t="str">
        <f t="shared" si="8"/>
        <v/>
      </c>
      <c r="F118" s="65" t="str">
        <f t="shared" si="9"/>
        <v/>
      </c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1" t="str">
        <f t="shared" si="10"/>
        <v/>
      </c>
      <c r="T118" s="66" t="str">
        <f t="shared" si="11"/>
        <v/>
      </c>
      <c r="U118" s="131" t="str">
        <f t="shared" si="12"/>
        <v/>
      </c>
      <c r="V118" s="52">
        <f t="shared" si="13"/>
        <v>46391</v>
      </c>
      <c r="W118" s="132" t="str" cm="1">
        <f t="array" ref="W118">IF(AND($C118="",S118=""),"",IF(AND(N($C118)&gt;0,N(S118)=0),"nobody marked present",IF(N($D118)&gt;N($C118),"more broken than moulded",IF(AND($C118="",N(S118)&gt;0),"attendance marked but no blocks entered",IF(AND(N($C118)&gt;0,N(T118)=0),"no pay rate for this date - see Settings",IF(SUMPRODUCT((G118:R118&lt;&gt;"")*(G$5:R$5=""))&gt;0,"attendance in an empty worker slot",""))))))</f>
        <v/>
      </c>
      <c r="X118" s="133"/>
      <c r="Y118" s="125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</row>
    <row r="119" spans="1:39" s="127" customFormat="1" ht="21" customHeight="1" x14ac:dyDescent="0.25">
      <c r="A119" s="49">
        <v>46398</v>
      </c>
      <c r="B119" s="63" t="str">
        <f t="shared" si="7"/>
        <v>Mon</v>
      </c>
      <c r="C119" s="64"/>
      <c r="D119" s="64"/>
      <c r="E119" s="65" t="str">
        <f t="shared" si="8"/>
        <v/>
      </c>
      <c r="F119" s="65" t="str">
        <f t="shared" si="9"/>
        <v/>
      </c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1" t="str">
        <f t="shared" si="10"/>
        <v/>
      </c>
      <c r="T119" s="66" t="str">
        <f t="shared" si="11"/>
        <v/>
      </c>
      <c r="U119" s="131" t="str">
        <f t="shared" si="12"/>
        <v/>
      </c>
      <c r="V119" s="52">
        <f t="shared" si="13"/>
        <v>46398</v>
      </c>
      <c r="W119" s="132" t="str" cm="1">
        <f t="array" ref="W119">IF(AND($C119="",S119=""),"",IF(AND(N($C119)&gt;0,N(S119)=0),"nobody marked present",IF(N($D119)&gt;N($C119),"more broken than moulded",IF(AND($C119="",N(S119)&gt;0),"attendance marked but no blocks entered",IF(AND(N($C119)&gt;0,N(T119)=0),"no pay rate for this date - see Settings",IF(SUMPRODUCT((G119:R119&lt;&gt;"")*(G$5:R$5=""))&gt;0,"attendance in an empty worker slot",""))))))</f>
        <v/>
      </c>
      <c r="X119" s="133"/>
      <c r="Y119" s="125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</row>
    <row r="120" spans="1:39" s="127" customFormat="1" ht="21" customHeight="1" x14ac:dyDescent="0.25">
      <c r="A120" s="49">
        <v>46399</v>
      </c>
      <c r="B120" s="63" t="str">
        <f t="shared" si="7"/>
        <v>Tue</v>
      </c>
      <c r="C120" s="64"/>
      <c r="D120" s="64"/>
      <c r="E120" s="65" t="str">
        <f t="shared" si="8"/>
        <v/>
      </c>
      <c r="F120" s="65" t="str">
        <f t="shared" si="9"/>
        <v/>
      </c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1" t="str">
        <f t="shared" si="10"/>
        <v/>
      </c>
      <c r="T120" s="66" t="str">
        <f t="shared" si="11"/>
        <v/>
      </c>
      <c r="U120" s="131" t="str">
        <f t="shared" si="12"/>
        <v/>
      </c>
      <c r="V120" s="52">
        <f t="shared" si="13"/>
        <v>46398</v>
      </c>
      <c r="W120" s="132" t="str" cm="1">
        <f t="array" ref="W120">IF(AND($C120="",S120=""),"",IF(AND(N($C120)&gt;0,N(S120)=0),"nobody marked present",IF(N($D120)&gt;N($C120),"more broken than moulded",IF(AND($C120="",N(S120)&gt;0),"attendance marked but no blocks entered",IF(AND(N($C120)&gt;0,N(T120)=0),"no pay rate for this date - see Settings",IF(SUMPRODUCT((G120:R120&lt;&gt;"")*(G$5:R$5=""))&gt;0,"attendance in an empty worker slot",""))))))</f>
        <v/>
      </c>
      <c r="X120" s="133"/>
      <c r="Y120" s="125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</row>
    <row r="121" spans="1:39" s="127" customFormat="1" ht="21" customHeight="1" x14ac:dyDescent="0.25">
      <c r="A121" s="49">
        <v>46400</v>
      </c>
      <c r="B121" s="63" t="str">
        <f t="shared" si="7"/>
        <v>Wed</v>
      </c>
      <c r="C121" s="64"/>
      <c r="D121" s="64"/>
      <c r="E121" s="65" t="str">
        <f t="shared" si="8"/>
        <v/>
      </c>
      <c r="F121" s="65" t="str">
        <f t="shared" si="9"/>
        <v/>
      </c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1" t="str">
        <f t="shared" si="10"/>
        <v/>
      </c>
      <c r="T121" s="66" t="str">
        <f t="shared" si="11"/>
        <v/>
      </c>
      <c r="U121" s="131" t="str">
        <f t="shared" si="12"/>
        <v/>
      </c>
      <c r="V121" s="52">
        <f t="shared" si="13"/>
        <v>46398</v>
      </c>
      <c r="W121" s="132" t="str" cm="1">
        <f t="array" ref="W121">IF(AND($C121="",S121=""),"",IF(AND(N($C121)&gt;0,N(S121)=0),"nobody marked present",IF(N($D121)&gt;N($C121),"more broken than moulded",IF(AND($C121="",N(S121)&gt;0),"attendance marked but no blocks entered",IF(AND(N($C121)&gt;0,N(T121)=0),"no pay rate for this date - see Settings",IF(SUMPRODUCT((G121:R121&lt;&gt;"")*(G$5:R$5=""))&gt;0,"attendance in an empty worker slot",""))))))</f>
        <v/>
      </c>
      <c r="X121" s="133"/>
      <c r="Y121" s="125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</row>
    <row r="122" spans="1:39" s="127" customFormat="1" ht="21" customHeight="1" x14ac:dyDescent="0.25">
      <c r="A122" s="49">
        <v>46401</v>
      </c>
      <c r="B122" s="63" t="str">
        <f t="shared" si="7"/>
        <v>Thu</v>
      </c>
      <c r="C122" s="64"/>
      <c r="D122" s="64"/>
      <c r="E122" s="65" t="str">
        <f t="shared" si="8"/>
        <v/>
      </c>
      <c r="F122" s="65" t="str">
        <f t="shared" si="9"/>
        <v/>
      </c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1" t="str">
        <f t="shared" si="10"/>
        <v/>
      </c>
      <c r="T122" s="66" t="str">
        <f t="shared" si="11"/>
        <v/>
      </c>
      <c r="U122" s="131" t="str">
        <f t="shared" si="12"/>
        <v/>
      </c>
      <c r="V122" s="52">
        <f t="shared" si="13"/>
        <v>46398</v>
      </c>
      <c r="W122" s="132" t="str" cm="1">
        <f t="array" ref="W122">IF(AND($C122="",S122=""),"",IF(AND(N($C122)&gt;0,N(S122)=0),"nobody marked present",IF(N($D122)&gt;N($C122),"more broken than moulded",IF(AND($C122="",N(S122)&gt;0),"attendance marked but no blocks entered",IF(AND(N($C122)&gt;0,N(T122)=0),"no pay rate for this date - see Settings",IF(SUMPRODUCT((G122:R122&lt;&gt;"")*(G$5:R$5=""))&gt;0,"attendance in an empty worker slot",""))))))</f>
        <v/>
      </c>
      <c r="X122" s="133"/>
      <c r="Y122" s="125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</row>
    <row r="123" spans="1:39" s="127" customFormat="1" ht="21" customHeight="1" x14ac:dyDescent="0.25">
      <c r="A123" s="49">
        <v>46402</v>
      </c>
      <c r="B123" s="63" t="str">
        <f t="shared" si="7"/>
        <v>Fri</v>
      </c>
      <c r="C123" s="64"/>
      <c r="D123" s="64"/>
      <c r="E123" s="65" t="str">
        <f t="shared" si="8"/>
        <v/>
      </c>
      <c r="F123" s="65" t="str">
        <f t="shared" si="9"/>
        <v/>
      </c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1" t="str">
        <f t="shared" si="10"/>
        <v/>
      </c>
      <c r="T123" s="66" t="str">
        <f t="shared" si="11"/>
        <v/>
      </c>
      <c r="U123" s="131" t="str">
        <f t="shared" si="12"/>
        <v/>
      </c>
      <c r="V123" s="52">
        <f t="shared" si="13"/>
        <v>46398</v>
      </c>
      <c r="W123" s="132" t="str" cm="1">
        <f t="array" ref="W123">IF(AND($C123="",S123=""),"",IF(AND(N($C123)&gt;0,N(S123)=0),"nobody marked present",IF(N($D123)&gt;N($C123),"more broken than moulded",IF(AND($C123="",N(S123)&gt;0),"attendance marked but no blocks entered",IF(AND(N($C123)&gt;0,N(T123)=0),"no pay rate for this date - see Settings",IF(SUMPRODUCT((G123:R123&lt;&gt;"")*(G$5:R$5=""))&gt;0,"attendance in an empty worker slot",""))))))</f>
        <v/>
      </c>
      <c r="X123" s="133"/>
      <c r="Y123" s="125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</row>
    <row r="124" spans="1:39" s="127" customFormat="1" ht="21" customHeight="1" x14ac:dyDescent="0.25">
      <c r="A124" s="49">
        <v>46403</v>
      </c>
      <c r="B124" s="63" t="str">
        <f t="shared" si="7"/>
        <v>Sat</v>
      </c>
      <c r="C124" s="64"/>
      <c r="D124" s="64"/>
      <c r="E124" s="65" t="str">
        <f t="shared" si="8"/>
        <v/>
      </c>
      <c r="F124" s="65" t="str">
        <f t="shared" si="9"/>
        <v/>
      </c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1" t="str">
        <f t="shared" si="10"/>
        <v/>
      </c>
      <c r="T124" s="66" t="str">
        <f t="shared" si="11"/>
        <v/>
      </c>
      <c r="U124" s="131" t="str">
        <f t="shared" si="12"/>
        <v/>
      </c>
      <c r="V124" s="52">
        <f t="shared" si="13"/>
        <v>46398</v>
      </c>
      <c r="W124" s="132" t="str" cm="1">
        <f t="array" ref="W124">IF(AND($C124="",S124=""),"",IF(AND(N($C124)&gt;0,N(S124)=0),"nobody marked present",IF(N($D124)&gt;N($C124),"more broken than moulded",IF(AND($C124="",N(S124)&gt;0),"attendance marked but no blocks entered",IF(AND(N($C124)&gt;0,N(T124)=0),"no pay rate for this date - see Settings",IF(SUMPRODUCT((G124:R124&lt;&gt;"")*(G$5:R$5=""))&gt;0,"attendance in an empty worker slot",""))))))</f>
        <v/>
      </c>
      <c r="X124" s="133"/>
      <c r="Y124" s="125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</row>
    <row r="125" spans="1:39" s="127" customFormat="1" ht="21" customHeight="1" x14ac:dyDescent="0.25">
      <c r="A125" s="54">
        <v>46404</v>
      </c>
      <c r="B125" s="70" t="str">
        <f t="shared" si="7"/>
        <v>Sun</v>
      </c>
      <c r="C125" s="64"/>
      <c r="D125" s="64"/>
      <c r="E125" s="65" t="str">
        <f t="shared" si="8"/>
        <v/>
      </c>
      <c r="F125" s="65" t="str">
        <f t="shared" si="9"/>
        <v/>
      </c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1" t="str">
        <f t="shared" si="10"/>
        <v/>
      </c>
      <c r="T125" s="66" t="str">
        <f t="shared" si="11"/>
        <v/>
      </c>
      <c r="U125" s="131" t="str">
        <f t="shared" si="12"/>
        <v/>
      </c>
      <c r="V125" s="52">
        <f t="shared" si="13"/>
        <v>46398</v>
      </c>
      <c r="W125" s="132" t="str" cm="1">
        <f t="array" ref="W125">IF(AND($C125="",S125=""),"",IF(AND(N($C125)&gt;0,N(S125)=0),"nobody marked present",IF(N($D125)&gt;N($C125),"more broken than moulded",IF(AND($C125="",N(S125)&gt;0),"attendance marked but no blocks entered",IF(AND(N($C125)&gt;0,N(T125)=0),"no pay rate for this date - see Settings",IF(SUMPRODUCT((G125:R125&lt;&gt;"")*(G$5:R$5=""))&gt;0,"attendance in an empty worker slot",""))))))</f>
        <v/>
      </c>
      <c r="X125" s="133"/>
      <c r="Y125" s="125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</row>
    <row r="126" spans="1:39" s="127" customFormat="1" ht="21" customHeight="1" x14ac:dyDescent="0.25">
      <c r="A126" s="49">
        <v>46405</v>
      </c>
      <c r="B126" s="63" t="str">
        <f t="shared" si="7"/>
        <v>Mon</v>
      </c>
      <c r="C126" s="64"/>
      <c r="D126" s="64"/>
      <c r="E126" s="65" t="str">
        <f t="shared" si="8"/>
        <v/>
      </c>
      <c r="F126" s="65" t="str">
        <f t="shared" si="9"/>
        <v/>
      </c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1" t="str">
        <f t="shared" si="10"/>
        <v/>
      </c>
      <c r="T126" s="66" t="str">
        <f t="shared" si="11"/>
        <v/>
      </c>
      <c r="U126" s="131" t="str">
        <f t="shared" si="12"/>
        <v/>
      </c>
      <c r="V126" s="52">
        <f t="shared" si="13"/>
        <v>46405</v>
      </c>
      <c r="W126" s="132" t="str" cm="1">
        <f t="array" ref="W126">IF(AND($C126="",S126=""),"",IF(AND(N($C126)&gt;0,N(S126)=0),"nobody marked present",IF(N($D126)&gt;N($C126),"more broken than moulded",IF(AND($C126="",N(S126)&gt;0),"attendance marked but no blocks entered",IF(AND(N($C126)&gt;0,N(T126)=0),"no pay rate for this date - see Settings",IF(SUMPRODUCT((G126:R126&lt;&gt;"")*(G$5:R$5=""))&gt;0,"attendance in an empty worker slot",""))))))</f>
        <v/>
      </c>
      <c r="X126" s="133"/>
      <c r="Y126" s="125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</row>
    <row r="127" spans="1:39" s="127" customFormat="1" ht="21" customHeight="1" x14ac:dyDescent="0.25">
      <c r="A127" s="49">
        <v>46406</v>
      </c>
      <c r="B127" s="63" t="str">
        <f t="shared" si="7"/>
        <v>Tue</v>
      </c>
      <c r="C127" s="64"/>
      <c r="D127" s="64"/>
      <c r="E127" s="65" t="str">
        <f t="shared" si="8"/>
        <v/>
      </c>
      <c r="F127" s="65" t="str">
        <f t="shared" si="9"/>
        <v/>
      </c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1" t="str">
        <f t="shared" si="10"/>
        <v/>
      </c>
      <c r="T127" s="66" t="str">
        <f t="shared" si="11"/>
        <v/>
      </c>
      <c r="U127" s="131" t="str">
        <f t="shared" si="12"/>
        <v/>
      </c>
      <c r="V127" s="52">
        <f t="shared" si="13"/>
        <v>46405</v>
      </c>
      <c r="W127" s="132" t="str" cm="1">
        <f t="array" ref="W127">IF(AND($C127="",S127=""),"",IF(AND(N($C127)&gt;0,N(S127)=0),"nobody marked present",IF(N($D127)&gt;N($C127),"more broken than moulded",IF(AND($C127="",N(S127)&gt;0),"attendance marked but no blocks entered",IF(AND(N($C127)&gt;0,N(T127)=0),"no pay rate for this date - see Settings",IF(SUMPRODUCT((G127:R127&lt;&gt;"")*(G$5:R$5=""))&gt;0,"attendance in an empty worker slot",""))))))</f>
        <v/>
      </c>
      <c r="X127" s="133"/>
      <c r="Y127" s="125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</row>
    <row r="128" spans="1:39" s="127" customFormat="1" ht="21" customHeight="1" x14ac:dyDescent="0.25">
      <c r="A128" s="49">
        <v>46407</v>
      </c>
      <c r="B128" s="63" t="str">
        <f t="shared" si="7"/>
        <v>Wed</v>
      </c>
      <c r="C128" s="64"/>
      <c r="D128" s="64"/>
      <c r="E128" s="65" t="str">
        <f t="shared" si="8"/>
        <v/>
      </c>
      <c r="F128" s="65" t="str">
        <f t="shared" si="9"/>
        <v/>
      </c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1" t="str">
        <f t="shared" si="10"/>
        <v/>
      </c>
      <c r="T128" s="66" t="str">
        <f t="shared" si="11"/>
        <v/>
      </c>
      <c r="U128" s="131" t="str">
        <f t="shared" si="12"/>
        <v/>
      </c>
      <c r="V128" s="52">
        <f t="shared" si="13"/>
        <v>46405</v>
      </c>
      <c r="W128" s="132" t="str" cm="1">
        <f t="array" ref="W128">IF(AND($C128="",S128=""),"",IF(AND(N($C128)&gt;0,N(S128)=0),"nobody marked present",IF(N($D128)&gt;N($C128),"more broken than moulded",IF(AND($C128="",N(S128)&gt;0),"attendance marked but no blocks entered",IF(AND(N($C128)&gt;0,N(T128)=0),"no pay rate for this date - see Settings",IF(SUMPRODUCT((G128:R128&lt;&gt;"")*(G$5:R$5=""))&gt;0,"attendance in an empty worker slot",""))))))</f>
        <v/>
      </c>
      <c r="X128" s="133"/>
      <c r="Y128" s="125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</row>
    <row r="129" spans="1:39" s="127" customFormat="1" ht="21" customHeight="1" x14ac:dyDescent="0.25">
      <c r="A129" s="49">
        <v>46408</v>
      </c>
      <c r="B129" s="63" t="str">
        <f t="shared" si="7"/>
        <v>Thu</v>
      </c>
      <c r="C129" s="64"/>
      <c r="D129" s="64"/>
      <c r="E129" s="65" t="str">
        <f t="shared" si="8"/>
        <v/>
      </c>
      <c r="F129" s="65" t="str">
        <f t="shared" si="9"/>
        <v/>
      </c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1" t="str">
        <f t="shared" si="10"/>
        <v/>
      </c>
      <c r="T129" s="66" t="str">
        <f t="shared" si="11"/>
        <v/>
      </c>
      <c r="U129" s="131" t="str">
        <f t="shared" si="12"/>
        <v/>
      </c>
      <c r="V129" s="52">
        <f t="shared" si="13"/>
        <v>46405</v>
      </c>
      <c r="W129" s="132" t="str" cm="1">
        <f t="array" ref="W129">IF(AND($C129="",S129=""),"",IF(AND(N($C129)&gt;0,N(S129)=0),"nobody marked present",IF(N($D129)&gt;N($C129),"more broken than moulded",IF(AND($C129="",N(S129)&gt;0),"attendance marked but no blocks entered",IF(AND(N($C129)&gt;0,N(T129)=0),"no pay rate for this date - see Settings",IF(SUMPRODUCT((G129:R129&lt;&gt;"")*(G$5:R$5=""))&gt;0,"attendance in an empty worker slot",""))))))</f>
        <v/>
      </c>
      <c r="X129" s="133"/>
      <c r="Y129" s="125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</row>
    <row r="130" spans="1:39" s="127" customFormat="1" ht="21" customHeight="1" x14ac:dyDescent="0.25">
      <c r="A130" s="49">
        <v>46409</v>
      </c>
      <c r="B130" s="63" t="str">
        <f t="shared" si="7"/>
        <v>Fri</v>
      </c>
      <c r="C130" s="64"/>
      <c r="D130" s="64"/>
      <c r="E130" s="65" t="str">
        <f t="shared" si="8"/>
        <v/>
      </c>
      <c r="F130" s="65" t="str">
        <f t="shared" si="9"/>
        <v/>
      </c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1" t="str">
        <f t="shared" si="10"/>
        <v/>
      </c>
      <c r="T130" s="66" t="str">
        <f t="shared" si="11"/>
        <v/>
      </c>
      <c r="U130" s="131" t="str">
        <f t="shared" si="12"/>
        <v/>
      </c>
      <c r="V130" s="52">
        <f t="shared" si="13"/>
        <v>46405</v>
      </c>
      <c r="W130" s="132" t="str" cm="1">
        <f t="array" ref="W130">IF(AND($C130="",S130=""),"",IF(AND(N($C130)&gt;0,N(S130)=0),"nobody marked present",IF(N($D130)&gt;N($C130),"more broken than moulded",IF(AND($C130="",N(S130)&gt;0),"attendance marked but no blocks entered",IF(AND(N($C130)&gt;0,N(T130)=0),"no pay rate for this date - see Settings",IF(SUMPRODUCT((G130:R130&lt;&gt;"")*(G$5:R$5=""))&gt;0,"attendance in an empty worker slot",""))))))</f>
        <v/>
      </c>
      <c r="X130" s="133"/>
      <c r="Y130" s="125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</row>
    <row r="131" spans="1:39" s="127" customFormat="1" ht="21" customHeight="1" x14ac:dyDescent="0.25">
      <c r="A131" s="49">
        <v>46410</v>
      </c>
      <c r="B131" s="63" t="str">
        <f t="shared" si="7"/>
        <v>Sat</v>
      </c>
      <c r="C131" s="64"/>
      <c r="D131" s="64"/>
      <c r="E131" s="65" t="str">
        <f t="shared" si="8"/>
        <v/>
      </c>
      <c r="F131" s="65" t="str">
        <f t="shared" si="9"/>
        <v/>
      </c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1" t="str">
        <f t="shared" si="10"/>
        <v/>
      </c>
      <c r="T131" s="66" t="str">
        <f t="shared" si="11"/>
        <v/>
      </c>
      <c r="U131" s="131" t="str">
        <f t="shared" si="12"/>
        <v/>
      </c>
      <c r="V131" s="52">
        <f t="shared" si="13"/>
        <v>46405</v>
      </c>
      <c r="W131" s="132" t="str" cm="1">
        <f t="array" ref="W131">IF(AND($C131="",S131=""),"",IF(AND(N($C131)&gt;0,N(S131)=0),"nobody marked present",IF(N($D131)&gt;N($C131),"more broken than moulded",IF(AND($C131="",N(S131)&gt;0),"attendance marked but no blocks entered",IF(AND(N($C131)&gt;0,N(T131)=0),"no pay rate for this date - see Settings",IF(SUMPRODUCT((G131:R131&lt;&gt;"")*(G$5:R$5=""))&gt;0,"attendance in an empty worker slot",""))))))</f>
        <v/>
      </c>
      <c r="X131" s="133"/>
      <c r="Y131" s="125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</row>
    <row r="132" spans="1:39" s="127" customFormat="1" ht="21" customHeight="1" x14ac:dyDescent="0.25">
      <c r="A132" s="54">
        <v>46411</v>
      </c>
      <c r="B132" s="70" t="str">
        <f t="shared" si="7"/>
        <v>Sun</v>
      </c>
      <c r="C132" s="64"/>
      <c r="D132" s="64"/>
      <c r="E132" s="65" t="str">
        <f t="shared" si="8"/>
        <v/>
      </c>
      <c r="F132" s="65" t="str">
        <f t="shared" si="9"/>
        <v/>
      </c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1" t="str">
        <f t="shared" si="10"/>
        <v/>
      </c>
      <c r="T132" s="66" t="str">
        <f t="shared" si="11"/>
        <v/>
      </c>
      <c r="U132" s="131" t="str">
        <f t="shared" si="12"/>
        <v/>
      </c>
      <c r="V132" s="52">
        <f t="shared" si="13"/>
        <v>46405</v>
      </c>
      <c r="W132" s="132" t="str" cm="1">
        <f t="array" ref="W132">IF(AND($C132="",S132=""),"",IF(AND(N($C132)&gt;0,N(S132)=0),"nobody marked present",IF(N($D132)&gt;N($C132),"more broken than moulded",IF(AND($C132="",N(S132)&gt;0),"attendance marked but no blocks entered",IF(AND(N($C132)&gt;0,N(T132)=0),"no pay rate for this date - see Settings",IF(SUMPRODUCT((G132:R132&lt;&gt;"")*(G$5:R$5=""))&gt;0,"attendance in an empty worker slot",""))))))</f>
        <v/>
      </c>
      <c r="X132" s="133"/>
      <c r="Y132" s="125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</row>
    <row r="133" spans="1:39" s="127" customFormat="1" ht="21" customHeight="1" x14ac:dyDescent="0.25">
      <c r="A133" s="49">
        <v>46412</v>
      </c>
      <c r="B133" s="63" t="str">
        <f t="shared" si="7"/>
        <v>Mon</v>
      </c>
      <c r="C133" s="64"/>
      <c r="D133" s="64"/>
      <c r="E133" s="65" t="str">
        <f t="shared" si="8"/>
        <v/>
      </c>
      <c r="F133" s="65" t="str">
        <f t="shared" si="9"/>
        <v/>
      </c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1" t="str">
        <f t="shared" si="10"/>
        <v/>
      </c>
      <c r="T133" s="66" t="str">
        <f t="shared" si="11"/>
        <v/>
      </c>
      <c r="U133" s="131" t="str">
        <f t="shared" si="12"/>
        <v/>
      </c>
      <c r="V133" s="52">
        <f t="shared" si="13"/>
        <v>46412</v>
      </c>
      <c r="W133" s="132" t="str" cm="1">
        <f t="array" ref="W133">IF(AND($C133="",S133=""),"",IF(AND(N($C133)&gt;0,N(S133)=0),"nobody marked present",IF(N($D133)&gt;N($C133),"more broken than moulded",IF(AND($C133="",N(S133)&gt;0),"attendance marked but no blocks entered",IF(AND(N($C133)&gt;0,N(T133)=0),"no pay rate for this date - see Settings",IF(SUMPRODUCT((G133:R133&lt;&gt;"")*(G$5:R$5=""))&gt;0,"attendance in an empty worker slot",""))))))</f>
        <v/>
      </c>
      <c r="X133" s="133"/>
      <c r="Y133" s="125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</row>
    <row r="134" spans="1:39" s="127" customFormat="1" ht="21" customHeight="1" x14ac:dyDescent="0.25">
      <c r="A134" s="49">
        <v>46413</v>
      </c>
      <c r="B134" s="63" t="str">
        <f t="shared" si="7"/>
        <v>Tue</v>
      </c>
      <c r="C134" s="64"/>
      <c r="D134" s="64"/>
      <c r="E134" s="65" t="str">
        <f t="shared" si="8"/>
        <v/>
      </c>
      <c r="F134" s="65" t="str">
        <f t="shared" si="9"/>
        <v/>
      </c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1" t="str">
        <f t="shared" si="10"/>
        <v/>
      </c>
      <c r="T134" s="66" t="str">
        <f t="shared" si="11"/>
        <v/>
      </c>
      <c r="U134" s="131" t="str">
        <f t="shared" si="12"/>
        <v/>
      </c>
      <c r="V134" s="52">
        <f t="shared" si="13"/>
        <v>46412</v>
      </c>
      <c r="W134" s="132" t="str" cm="1">
        <f t="array" ref="W134">IF(AND($C134="",S134=""),"",IF(AND(N($C134)&gt;0,N(S134)=0),"nobody marked present",IF(N($D134)&gt;N($C134),"more broken than moulded",IF(AND($C134="",N(S134)&gt;0),"attendance marked but no blocks entered",IF(AND(N($C134)&gt;0,N(T134)=0),"no pay rate for this date - see Settings",IF(SUMPRODUCT((G134:R134&lt;&gt;"")*(G$5:R$5=""))&gt;0,"attendance in an empty worker slot",""))))))</f>
        <v/>
      </c>
      <c r="X134" s="133"/>
      <c r="Y134" s="125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</row>
    <row r="135" spans="1:39" s="127" customFormat="1" ht="21" customHeight="1" x14ac:dyDescent="0.25">
      <c r="A135" s="49">
        <v>46414</v>
      </c>
      <c r="B135" s="63" t="str">
        <f t="shared" ref="B135:B198" si="14">CHOOSE(WEEKDAY($A135,2),"Mon","Tue","Wed","Thu","Fri","Sat","Sun")</f>
        <v>Wed</v>
      </c>
      <c r="C135" s="64"/>
      <c r="D135" s="64"/>
      <c r="E135" s="65" t="str">
        <f t="shared" ref="E135:E198" si="15">IF($C135="","",$C135-N($D135))</f>
        <v/>
      </c>
      <c r="F135" s="65" t="str">
        <f t="shared" ref="F135:F198" si="16">IF($C135="","",$C135-MAX(0,N($D135)-BreakAllow*$C135))</f>
        <v/>
      </c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1" t="str">
        <f t="shared" ref="S135:S198" si="17">IF(COUNT(G135:R135)=0,"",SUM(G135:R135))</f>
        <v/>
      </c>
      <c r="T135" s="66" t="str">
        <f t="shared" ref="T135:T198" si="18">IF($C135="","",IFERROR(INDEX(RateValues,MATCH(SUMPRODUCT(MAX((RateDates&lt;=$A135)*RateDates)),RateDates,0)),0))</f>
        <v/>
      </c>
      <c r="U135" s="131" t="str">
        <f t="shared" ref="U135:U198" si="19">IF($C135="","",$F135*$T135)</f>
        <v/>
      </c>
      <c r="V135" s="52">
        <f t="shared" ref="V135:V198" si="20">$A135-WEEKDAY($A135,2)+1</f>
        <v>46412</v>
      </c>
      <c r="W135" s="132" t="str" cm="1">
        <f t="array" ref="W135">IF(AND($C135="",S135=""),"",IF(AND(N($C135)&gt;0,N(S135)=0),"nobody marked present",IF(N($D135)&gt;N($C135),"more broken than moulded",IF(AND($C135="",N(S135)&gt;0),"attendance marked but no blocks entered",IF(AND(N($C135)&gt;0,N(T135)=0),"no pay rate for this date - see Settings",IF(SUMPRODUCT((G135:R135&lt;&gt;"")*(G$5:R$5=""))&gt;0,"attendance in an empty worker slot",""))))))</f>
        <v/>
      </c>
      <c r="X135" s="133"/>
      <c r="Y135" s="125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</row>
    <row r="136" spans="1:39" s="127" customFormat="1" ht="21" customHeight="1" x14ac:dyDescent="0.25">
      <c r="A136" s="49">
        <v>46415</v>
      </c>
      <c r="B136" s="63" t="str">
        <f t="shared" si="14"/>
        <v>Thu</v>
      </c>
      <c r="C136" s="64"/>
      <c r="D136" s="64"/>
      <c r="E136" s="65" t="str">
        <f t="shared" si="15"/>
        <v/>
      </c>
      <c r="F136" s="65" t="str">
        <f t="shared" si="16"/>
        <v/>
      </c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1" t="str">
        <f t="shared" si="17"/>
        <v/>
      </c>
      <c r="T136" s="66" t="str">
        <f t="shared" si="18"/>
        <v/>
      </c>
      <c r="U136" s="131" t="str">
        <f t="shared" si="19"/>
        <v/>
      </c>
      <c r="V136" s="52">
        <f t="shared" si="20"/>
        <v>46412</v>
      </c>
      <c r="W136" s="132" t="str" cm="1">
        <f t="array" ref="W136">IF(AND($C136="",S136=""),"",IF(AND(N($C136)&gt;0,N(S136)=0),"nobody marked present",IF(N($D136)&gt;N($C136),"more broken than moulded",IF(AND($C136="",N(S136)&gt;0),"attendance marked but no blocks entered",IF(AND(N($C136)&gt;0,N(T136)=0),"no pay rate for this date - see Settings",IF(SUMPRODUCT((G136:R136&lt;&gt;"")*(G$5:R$5=""))&gt;0,"attendance in an empty worker slot",""))))))</f>
        <v/>
      </c>
      <c r="X136" s="133"/>
      <c r="Y136" s="125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</row>
    <row r="137" spans="1:39" s="127" customFormat="1" ht="21" customHeight="1" x14ac:dyDescent="0.25">
      <c r="A137" s="49">
        <v>46416</v>
      </c>
      <c r="B137" s="63" t="str">
        <f t="shared" si="14"/>
        <v>Fri</v>
      </c>
      <c r="C137" s="64"/>
      <c r="D137" s="64"/>
      <c r="E137" s="65" t="str">
        <f t="shared" si="15"/>
        <v/>
      </c>
      <c r="F137" s="65" t="str">
        <f t="shared" si="16"/>
        <v/>
      </c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1" t="str">
        <f t="shared" si="17"/>
        <v/>
      </c>
      <c r="T137" s="66" t="str">
        <f t="shared" si="18"/>
        <v/>
      </c>
      <c r="U137" s="131" t="str">
        <f t="shared" si="19"/>
        <v/>
      </c>
      <c r="V137" s="52">
        <f t="shared" si="20"/>
        <v>46412</v>
      </c>
      <c r="W137" s="132" t="str" cm="1">
        <f t="array" ref="W137">IF(AND($C137="",S137=""),"",IF(AND(N($C137)&gt;0,N(S137)=0),"nobody marked present",IF(N($D137)&gt;N($C137),"more broken than moulded",IF(AND($C137="",N(S137)&gt;0),"attendance marked but no blocks entered",IF(AND(N($C137)&gt;0,N(T137)=0),"no pay rate for this date - see Settings",IF(SUMPRODUCT((G137:R137&lt;&gt;"")*(G$5:R$5=""))&gt;0,"attendance in an empty worker slot",""))))))</f>
        <v/>
      </c>
      <c r="X137" s="133"/>
      <c r="Y137" s="125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</row>
    <row r="138" spans="1:39" s="127" customFormat="1" ht="21" customHeight="1" x14ac:dyDescent="0.25">
      <c r="A138" s="49">
        <v>46417</v>
      </c>
      <c r="B138" s="63" t="str">
        <f t="shared" si="14"/>
        <v>Sat</v>
      </c>
      <c r="C138" s="64"/>
      <c r="D138" s="64"/>
      <c r="E138" s="65" t="str">
        <f t="shared" si="15"/>
        <v/>
      </c>
      <c r="F138" s="65" t="str">
        <f t="shared" si="16"/>
        <v/>
      </c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1" t="str">
        <f t="shared" si="17"/>
        <v/>
      </c>
      <c r="T138" s="66" t="str">
        <f t="shared" si="18"/>
        <v/>
      </c>
      <c r="U138" s="131" t="str">
        <f t="shared" si="19"/>
        <v/>
      </c>
      <c r="V138" s="52">
        <f t="shared" si="20"/>
        <v>46412</v>
      </c>
      <c r="W138" s="132" t="str" cm="1">
        <f t="array" ref="W138">IF(AND($C138="",S138=""),"",IF(AND(N($C138)&gt;0,N(S138)=0),"nobody marked present",IF(N($D138)&gt;N($C138),"more broken than moulded",IF(AND($C138="",N(S138)&gt;0),"attendance marked but no blocks entered",IF(AND(N($C138)&gt;0,N(T138)=0),"no pay rate for this date - see Settings",IF(SUMPRODUCT((G138:R138&lt;&gt;"")*(G$5:R$5=""))&gt;0,"attendance in an empty worker slot",""))))))</f>
        <v/>
      </c>
      <c r="X138" s="133"/>
      <c r="Y138" s="125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</row>
    <row r="139" spans="1:39" s="127" customFormat="1" ht="21" customHeight="1" x14ac:dyDescent="0.25">
      <c r="A139" s="54">
        <v>46418</v>
      </c>
      <c r="B139" s="70" t="str">
        <f t="shared" si="14"/>
        <v>Sun</v>
      </c>
      <c r="C139" s="64"/>
      <c r="D139" s="64"/>
      <c r="E139" s="65" t="str">
        <f t="shared" si="15"/>
        <v/>
      </c>
      <c r="F139" s="65" t="str">
        <f t="shared" si="16"/>
        <v/>
      </c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1" t="str">
        <f t="shared" si="17"/>
        <v/>
      </c>
      <c r="T139" s="66" t="str">
        <f t="shared" si="18"/>
        <v/>
      </c>
      <c r="U139" s="131" t="str">
        <f t="shared" si="19"/>
        <v/>
      </c>
      <c r="V139" s="52">
        <f t="shared" si="20"/>
        <v>46412</v>
      </c>
      <c r="W139" s="132" t="str" cm="1">
        <f t="array" ref="W139">IF(AND($C139="",S139=""),"",IF(AND(N($C139)&gt;0,N(S139)=0),"nobody marked present",IF(N($D139)&gt;N($C139),"more broken than moulded",IF(AND($C139="",N(S139)&gt;0),"attendance marked but no blocks entered",IF(AND(N($C139)&gt;0,N(T139)=0),"no pay rate for this date - see Settings",IF(SUMPRODUCT((G139:R139&lt;&gt;"")*(G$5:R$5=""))&gt;0,"attendance in an empty worker slot",""))))))</f>
        <v/>
      </c>
      <c r="X139" s="133"/>
      <c r="Y139" s="125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</row>
    <row r="140" spans="1:39" s="127" customFormat="1" ht="21" customHeight="1" x14ac:dyDescent="0.25">
      <c r="A140" s="49">
        <v>46419</v>
      </c>
      <c r="B140" s="63" t="str">
        <f t="shared" si="14"/>
        <v>Mon</v>
      </c>
      <c r="C140" s="64"/>
      <c r="D140" s="64"/>
      <c r="E140" s="65" t="str">
        <f t="shared" si="15"/>
        <v/>
      </c>
      <c r="F140" s="65" t="str">
        <f t="shared" si="16"/>
        <v/>
      </c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1" t="str">
        <f t="shared" si="17"/>
        <v/>
      </c>
      <c r="T140" s="66" t="str">
        <f t="shared" si="18"/>
        <v/>
      </c>
      <c r="U140" s="131" t="str">
        <f t="shared" si="19"/>
        <v/>
      </c>
      <c r="V140" s="52">
        <f t="shared" si="20"/>
        <v>46419</v>
      </c>
      <c r="W140" s="132" t="str" cm="1">
        <f t="array" ref="W140">IF(AND($C140="",S140=""),"",IF(AND(N($C140)&gt;0,N(S140)=0),"nobody marked present",IF(N($D140)&gt;N($C140),"more broken than moulded",IF(AND($C140="",N(S140)&gt;0),"attendance marked but no blocks entered",IF(AND(N($C140)&gt;0,N(T140)=0),"no pay rate for this date - see Settings",IF(SUMPRODUCT((G140:R140&lt;&gt;"")*(G$5:R$5=""))&gt;0,"attendance in an empty worker slot",""))))))</f>
        <v/>
      </c>
      <c r="X140" s="133"/>
      <c r="Y140" s="125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</row>
    <row r="141" spans="1:39" s="127" customFormat="1" ht="21" customHeight="1" x14ac:dyDescent="0.25">
      <c r="A141" s="49">
        <v>46420</v>
      </c>
      <c r="B141" s="63" t="str">
        <f t="shared" si="14"/>
        <v>Tue</v>
      </c>
      <c r="C141" s="64"/>
      <c r="D141" s="64"/>
      <c r="E141" s="65" t="str">
        <f t="shared" si="15"/>
        <v/>
      </c>
      <c r="F141" s="65" t="str">
        <f t="shared" si="16"/>
        <v/>
      </c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1" t="str">
        <f t="shared" si="17"/>
        <v/>
      </c>
      <c r="T141" s="66" t="str">
        <f t="shared" si="18"/>
        <v/>
      </c>
      <c r="U141" s="131" t="str">
        <f t="shared" si="19"/>
        <v/>
      </c>
      <c r="V141" s="52">
        <f t="shared" si="20"/>
        <v>46419</v>
      </c>
      <c r="W141" s="132" t="str" cm="1">
        <f t="array" ref="W141">IF(AND($C141="",S141=""),"",IF(AND(N($C141)&gt;0,N(S141)=0),"nobody marked present",IF(N($D141)&gt;N($C141),"more broken than moulded",IF(AND($C141="",N(S141)&gt;0),"attendance marked but no blocks entered",IF(AND(N($C141)&gt;0,N(T141)=0),"no pay rate for this date - see Settings",IF(SUMPRODUCT((G141:R141&lt;&gt;"")*(G$5:R$5=""))&gt;0,"attendance in an empty worker slot",""))))))</f>
        <v/>
      </c>
      <c r="X141" s="133"/>
      <c r="Y141" s="125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</row>
    <row r="142" spans="1:39" s="127" customFormat="1" ht="21" customHeight="1" x14ac:dyDescent="0.25">
      <c r="A142" s="49">
        <v>46421</v>
      </c>
      <c r="B142" s="63" t="str">
        <f t="shared" si="14"/>
        <v>Wed</v>
      </c>
      <c r="C142" s="64"/>
      <c r="D142" s="64"/>
      <c r="E142" s="65" t="str">
        <f t="shared" si="15"/>
        <v/>
      </c>
      <c r="F142" s="65" t="str">
        <f t="shared" si="16"/>
        <v/>
      </c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1" t="str">
        <f t="shared" si="17"/>
        <v/>
      </c>
      <c r="T142" s="66" t="str">
        <f t="shared" si="18"/>
        <v/>
      </c>
      <c r="U142" s="131" t="str">
        <f t="shared" si="19"/>
        <v/>
      </c>
      <c r="V142" s="52">
        <f t="shared" si="20"/>
        <v>46419</v>
      </c>
      <c r="W142" s="132" t="str" cm="1">
        <f t="array" ref="W142">IF(AND($C142="",S142=""),"",IF(AND(N($C142)&gt;0,N(S142)=0),"nobody marked present",IF(N($D142)&gt;N($C142),"more broken than moulded",IF(AND($C142="",N(S142)&gt;0),"attendance marked but no blocks entered",IF(AND(N($C142)&gt;0,N(T142)=0),"no pay rate for this date - see Settings",IF(SUMPRODUCT((G142:R142&lt;&gt;"")*(G$5:R$5=""))&gt;0,"attendance in an empty worker slot",""))))))</f>
        <v/>
      </c>
      <c r="X142" s="133"/>
      <c r="Y142" s="125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</row>
    <row r="143" spans="1:39" s="127" customFormat="1" ht="21" customHeight="1" x14ac:dyDescent="0.25">
      <c r="A143" s="49">
        <v>46422</v>
      </c>
      <c r="B143" s="63" t="str">
        <f t="shared" si="14"/>
        <v>Thu</v>
      </c>
      <c r="C143" s="64"/>
      <c r="D143" s="64"/>
      <c r="E143" s="65" t="str">
        <f t="shared" si="15"/>
        <v/>
      </c>
      <c r="F143" s="65" t="str">
        <f t="shared" si="16"/>
        <v/>
      </c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1" t="str">
        <f t="shared" si="17"/>
        <v/>
      </c>
      <c r="T143" s="66" t="str">
        <f t="shared" si="18"/>
        <v/>
      </c>
      <c r="U143" s="131" t="str">
        <f t="shared" si="19"/>
        <v/>
      </c>
      <c r="V143" s="52">
        <f t="shared" si="20"/>
        <v>46419</v>
      </c>
      <c r="W143" s="132" t="str" cm="1">
        <f t="array" ref="W143">IF(AND($C143="",S143=""),"",IF(AND(N($C143)&gt;0,N(S143)=0),"nobody marked present",IF(N($D143)&gt;N($C143),"more broken than moulded",IF(AND($C143="",N(S143)&gt;0),"attendance marked but no blocks entered",IF(AND(N($C143)&gt;0,N(T143)=0),"no pay rate for this date - see Settings",IF(SUMPRODUCT((G143:R143&lt;&gt;"")*(G$5:R$5=""))&gt;0,"attendance in an empty worker slot",""))))))</f>
        <v/>
      </c>
      <c r="X143" s="133"/>
      <c r="Y143" s="125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</row>
    <row r="144" spans="1:39" s="127" customFormat="1" ht="21" customHeight="1" x14ac:dyDescent="0.25">
      <c r="A144" s="49">
        <v>46423</v>
      </c>
      <c r="B144" s="63" t="str">
        <f t="shared" si="14"/>
        <v>Fri</v>
      </c>
      <c r="C144" s="64"/>
      <c r="D144" s="64"/>
      <c r="E144" s="65" t="str">
        <f t="shared" si="15"/>
        <v/>
      </c>
      <c r="F144" s="65" t="str">
        <f t="shared" si="16"/>
        <v/>
      </c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1" t="str">
        <f t="shared" si="17"/>
        <v/>
      </c>
      <c r="T144" s="66" t="str">
        <f t="shared" si="18"/>
        <v/>
      </c>
      <c r="U144" s="131" t="str">
        <f t="shared" si="19"/>
        <v/>
      </c>
      <c r="V144" s="52">
        <f t="shared" si="20"/>
        <v>46419</v>
      </c>
      <c r="W144" s="132" t="str" cm="1">
        <f t="array" ref="W144">IF(AND($C144="",S144=""),"",IF(AND(N($C144)&gt;0,N(S144)=0),"nobody marked present",IF(N($D144)&gt;N($C144),"more broken than moulded",IF(AND($C144="",N(S144)&gt;0),"attendance marked but no blocks entered",IF(AND(N($C144)&gt;0,N(T144)=0),"no pay rate for this date - see Settings",IF(SUMPRODUCT((G144:R144&lt;&gt;"")*(G$5:R$5=""))&gt;0,"attendance in an empty worker slot",""))))))</f>
        <v/>
      </c>
      <c r="X144" s="133"/>
      <c r="Y144" s="125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</row>
    <row r="145" spans="1:39" s="127" customFormat="1" ht="21" customHeight="1" x14ac:dyDescent="0.25">
      <c r="A145" s="49">
        <v>46424</v>
      </c>
      <c r="B145" s="63" t="str">
        <f t="shared" si="14"/>
        <v>Sat</v>
      </c>
      <c r="C145" s="64"/>
      <c r="D145" s="64"/>
      <c r="E145" s="65" t="str">
        <f t="shared" si="15"/>
        <v/>
      </c>
      <c r="F145" s="65" t="str">
        <f t="shared" si="16"/>
        <v/>
      </c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1" t="str">
        <f t="shared" si="17"/>
        <v/>
      </c>
      <c r="T145" s="66" t="str">
        <f t="shared" si="18"/>
        <v/>
      </c>
      <c r="U145" s="131" t="str">
        <f t="shared" si="19"/>
        <v/>
      </c>
      <c r="V145" s="52">
        <f t="shared" si="20"/>
        <v>46419</v>
      </c>
      <c r="W145" s="132" t="str" cm="1">
        <f t="array" ref="W145">IF(AND($C145="",S145=""),"",IF(AND(N($C145)&gt;0,N(S145)=0),"nobody marked present",IF(N($D145)&gt;N($C145),"more broken than moulded",IF(AND($C145="",N(S145)&gt;0),"attendance marked but no blocks entered",IF(AND(N($C145)&gt;0,N(T145)=0),"no pay rate for this date - see Settings",IF(SUMPRODUCT((G145:R145&lt;&gt;"")*(G$5:R$5=""))&gt;0,"attendance in an empty worker slot",""))))))</f>
        <v/>
      </c>
      <c r="X145" s="133"/>
      <c r="Y145" s="125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</row>
    <row r="146" spans="1:39" s="127" customFormat="1" ht="21" customHeight="1" x14ac:dyDescent="0.25">
      <c r="A146" s="54">
        <v>46425</v>
      </c>
      <c r="B146" s="70" t="str">
        <f t="shared" si="14"/>
        <v>Sun</v>
      </c>
      <c r="C146" s="64"/>
      <c r="D146" s="64"/>
      <c r="E146" s="65" t="str">
        <f t="shared" si="15"/>
        <v/>
      </c>
      <c r="F146" s="65" t="str">
        <f t="shared" si="16"/>
        <v/>
      </c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1" t="str">
        <f t="shared" si="17"/>
        <v/>
      </c>
      <c r="T146" s="66" t="str">
        <f t="shared" si="18"/>
        <v/>
      </c>
      <c r="U146" s="131" t="str">
        <f t="shared" si="19"/>
        <v/>
      </c>
      <c r="V146" s="52">
        <f t="shared" si="20"/>
        <v>46419</v>
      </c>
      <c r="W146" s="132" t="str" cm="1">
        <f t="array" ref="W146">IF(AND($C146="",S146=""),"",IF(AND(N($C146)&gt;0,N(S146)=0),"nobody marked present",IF(N($D146)&gt;N($C146),"more broken than moulded",IF(AND($C146="",N(S146)&gt;0),"attendance marked but no blocks entered",IF(AND(N($C146)&gt;0,N(T146)=0),"no pay rate for this date - see Settings",IF(SUMPRODUCT((G146:R146&lt;&gt;"")*(G$5:R$5=""))&gt;0,"attendance in an empty worker slot",""))))))</f>
        <v/>
      </c>
      <c r="X146" s="133"/>
      <c r="Y146" s="125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</row>
    <row r="147" spans="1:39" s="127" customFormat="1" ht="21" customHeight="1" x14ac:dyDescent="0.25">
      <c r="A147" s="49">
        <v>46426</v>
      </c>
      <c r="B147" s="63" t="str">
        <f t="shared" si="14"/>
        <v>Mon</v>
      </c>
      <c r="C147" s="64"/>
      <c r="D147" s="64"/>
      <c r="E147" s="65" t="str">
        <f t="shared" si="15"/>
        <v/>
      </c>
      <c r="F147" s="65" t="str">
        <f t="shared" si="16"/>
        <v/>
      </c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1" t="str">
        <f t="shared" si="17"/>
        <v/>
      </c>
      <c r="T147" s="66" t="str">
        <f t="shared" si="18"/>
        <v/>
      </c>
      <c r="U147" s="131" t="str">
        <f t="shared" si="19"/>
        <v/>
      </c>
      <c r="V147" s="52">
        <f t="shared" si="20"/>
        <v>46426</v>
      </c>
      <c r="W147" s="132" t="str" cm="1">
        <f t="array" ref="W147">IF(AND($C147="",S147=""),"",IF(AND(N($C147)&gt;0,N(S147)=0),"nobody marked present",IF(N($D147)&gt;N($C147),"more broken than moulded",IF(AND($C147="",N(S147)&gt;0),"attendance marked but no blocks entered",IF(AND(N($C147)&gt;0,N(T147)=0),"no pay rate for this date - see Settings",IF(SUMPRODUCT((G147:R147&lt;&gt;"")*(G$5:R$5=""))&gt;0,"attendance in an empty worker slot",""))))))</f>
        <v/>
      </c>
      <c r="X147" s="133"/>
      <c r="Y147" s="125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</row>
    <row r="148" spans="1:39" s="127" customFormat="1" ht="21" customHeight="1" x14ac:dyDescent="0.25">
      <c r="A148" s="49">
        <v>46427</v>
      </c>
      <c r="B148" s="63" t="str">
        <f t="shared" si="14"/>
        <v>Tue</v>
      </c>
      <c r="C148" s="64"/>
      <c r="D148" s="64"/>
      <c r="E148" s="65" t="str">
        <f t="shared" si="15"/>
        <v/>
      </c>
      <c r="F148" s="65" t="str">
        <f t="shared" si="16"/>
        <v/>
      </c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1" t="str">
        <f t="shared" si="17"/>
        <v/>
      </c>
      <c r="T148" s="66" t="str">
        <f t="shared" si="18"/>
        <v/>
      </c>
      <c r="U148" s="131" t="str">
        <f t="shared" si="19"/>
        <v/>
      </c>
      <c r="V148" s="52">
        <f t="shared" si="20"/>
        <v>46426</v>
      </c>
      <c r="W148" s="132" t="str" cm="1">
        <f t="array" ref="W148">IF(AND($C148="",S148=""),"",IF(AND(N($C148)&gt;0,N(S148)=0),"nobody marked present",IF(N($D148)&gt;N($C148),"more broken than moulded",IF(AND($C148="",N(S148)&gt;0),"attendance marked but no blocks entered",IF(AND(N($C148)&gt;0,N(T148)=0),"no pay rate for this date - see Settings",IF(SUMPRODUCT((G148:R148&lt;&gt;"")*(G$5:R$5=""))&gt;0,"attendance in an empty worker slot",""))))))</f>
        <v/>
      </c>
      <c r="X148" s="133"/>
      <c r="Y148" s="125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</row>
    <row r="149" spans="1:39" s="127" customFormat="1" ht="21" customHeight="1" x14ac:dyDescent="0.25">
      <c r="A149" s="49">
        <v>46428</v>
      </c>
      <c r="B149" s="63" t="str">
        <f t="shared" si="14"/>
        <v>Wed</v>
      </c>
      <c r="C149" s="64"/>
      <c r="D149" s="64"/>
      <c r="E149" s="65" t="str">
        <f t="shared" si="15"/>
        <v/>
      </c>
      <c r="F149" s="65" t="str">
        <f t="shared" si="16"/>
        <v/>
      </c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1" t="str">
        <f t="shared" si="17"/>
        <v/>
      </c>
      <c r="T149" s="66" t="str">
        <f t="shared" si="18"/>
        <v/>
      </c>
      <c r="U149" s="131" t="str">
        <f t="shared" si="19"/>
        <v/>
      </c>
      <c r="V149" s="52">
        <f t="shared" si="20"/>
        <v>46426</v>
      </c>
      <c r="W149" s="132" t="str" cm="1">
        <f t="array" ref="W149">IF(AND($C149="",S149=""),"",IF(AND(N($C149)&gt;0,N(S149)=0),"nobody marked present",IF(N($D149)&gt;N($C149),"more broken than moulded",IF(AND($C149="",N(S149)&gt;0),"attendance marked but no blocks entered",IF(AND(N($C149)&gt;0,N(T149)=0),"no pay rate for this date - see Settings",IF(SUMPRODUCT((G149:R149&lt;&gt;"")*(G$5:R$5=""))&gt;0,"attendance in an empty worker slot",""))))))</f>
        <v/>
      </c>
      <c r="X149" s="133"/>
      <c r="Y149" s="125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</row>
    <row r="150" spans="1:39" s="127" customFormat="1" ht="21" customHeight="1" x14ac:dyDescent="0.25">
      <c r="A150" s="49">
        <v>46429</v>
      </c>
      <c r="B150" s="63" t="str">
        <f t="shared" si="14"/>
        <v>Thu</v>
      </c>
      <c r="C150" s="64"/>
      <c r="D150" s="64"/>
      <c r="E150" s="65" t="str">
        <f t="shared" si="15"/>
        <v/>
      </c>
      <c r="F150" s="65" t="str">
        <f t="shared" si="16"/>
        <v/>
      </c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1" t="str">
        <f t="shared" si="17"/>
        <v/>
      </c>
      <c r="T150" s="66" t="str">
        <f t="shared" si="18"/>
        <v/>
      </c>
      <c r="U150" s="131" t="str">
        <f t="shared" si="19"/>
        <v/>
      </c>
      <c r="V150" s="52">
        <f t="shared" si="20"/>
        <v>46426</v>
      </c>
      <c r="W150" s="132" t="str" cm="1">
        <f t="array" ref="W150">IF(AND($C150="",S150=""),"",IF(AND(N($C150)&gt;0,N(S150)=0),"nobody marked present",IF(N($D150)&gt;N($C150),"more broken than moulded",IF(AND($C150="",N(S150)&gt;0),"attendance marked but no blocks entered",IF(AND(N($C150)&gt;0,N(T150)=0),"no pay rate for this date - see Settings",IF(SUMPRODUCT((G150:R150&lt;&gt;"")*(G$5:R$5=""))&gt;0,"attendance in an empty worker slot",""))))))</f>
        <v/>
      </c>
      <c r="X150" s="133"/>
      <c r="Y150" s="125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</row>
    <row r="151" spans="1:39" s="127" customFormat="1" ht="21" customHeight="1" x14ac:dyDescent="0.25">
      <c r="A151" s="49">
        <v>46430</v>
      </c>
      <c r="B151" s="63" t="str">
        <f t="shared" si="14"/>
        <v>Fri</v>
      </c>
      <c r="C151" s="64"/>
      <c r="D151" s="64"/>
      <c r="E151" s="65" t="str">
        <f t="shared" si="15"/>
        <v/>
      </c>
      <c r="F151" s="65" t="str">
        <f t="shared" si="16"/>
        <v/>
      </c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1" t="str">
        <f t="shared" si="17"/>
        <v/>
      </c>
      <c r="T151" s="66" t="str">
        <f t="shared" si="18"/>
        <v/>
      </c>
      <c r="U151" s="131" t="str">
        <f t="shared" si="19"/>
        <v/>
      </c>
      <c r="V151" s="52">
        <f t="shared" si="20"/>
        <v>46426</v>
      </c>
      <c r="W151" s="132" t="str" cm="1">
        <f t="array" ref="W151">IF(AND($C151="",S151=""),"",IF(AND(N($C151)&gt;0,N(S151)=0),"nobody marked present",IF(N($D151)&gt;N($C151),"more broken than moulded",IF(AND($C151="",N(S151)&gt;0),"attendance marked but no blocks entered",IF(AND(N($C151)&gt;0,N(T151)=0),"no pay rate for this date - see Settings",IF(SUMPRODUCT((G151:R151&lt;&gt;"")*(G$5:R$5=""))&gt;0,"attendance in an empty worker slot",""))))))</f>
        <v/>
      </c>
      <c r="X151" s="133"/>
      <c r="Y151" s="125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</row>
    <row r="152" spans="1:39" s="127" customFormat="1" ht="21" customHeight="1" x14ac:dyDescent="0.25">
      <c r="A152" s="49">
        <v>46431</v>
      </c>
      <c r="B152" s="63" t="str">
        <f t="shared" si="14"/>
        <v>Sat</v>
      </c>
      <c r="C152" s="64"/>
      <c r="D152" s="64"/>
      <c r="E152" s="65" t="str">
        <f t="shared" si="15"/>
        <v/>
      </c>
      <c r="F152" s="65" t="str">
        <f t="shared" si="16"/>
        <v/>
      </c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1" t="str">
        <f t="shared" si="17"/>
        <v/>
      </c>
      <c r="T152" s="66" t="str">
        <f t="shared" si="18"/>
        <v/>
      </c>
      <c r="U152" s="131" t="str">
        <f t="shared" si="19"/>
        <v/>
      </c>
      <c r="V152" s="52">
        <f t="shared" si="20"/>
        <v>46426</v>
      </c>
      <c r="W152" s="132" t="str" cm="1">
        <f t="array" ref="W152">IF(AND($C152="",S152=""),"",IF(AND(N($C152)&gt;0,N(S152)=0),"nobody marked present",IF(N($D152)&gt;N($C152),"more broken than moulded",IF(AND($C152="",N(S152)&gt;0),"attendance marked but no blocks entered",IF(AND(N($C152)&gt;0,N(T152)=0),"no pay rate for this date - see Settings",IF(SUMPRODUCT((G152:R152&lt;&gt;"")*(G$5:R$5=""))&gt;0,"attendance in an empty worker slot",""))))))</f>
        <v/>
      </c>
      <c r="X152" s="133"/>
      <c r="Y152" s="125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</row>
    <row r="153" spans="1:39" s="127" customFormat="1" ht="21" customHeight="1" x14ac:dyDescent="0.25">
      <c r="A153" s="54">
        <v>46432</v>
      </c>
      <c r="B153" s="70" t="str">
        <f t="shared" si="14"/>
        <v>Sun</v>
      </c>
      <c r="C153" s="64"/>
      <c r="D153" s="64"/>
      <c r="E153" s="65" t="str">
        <f t="shared" si="15"/>
        <v/>
      </c>
      <c r="F153" s="65" t="str">
        <f t="shared" si="16"/>
        <v/>
      </c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1" t="str">
        <f t="shared" si="17"/>
        <v/>
      </c>
      <c r="T153" s="66" t="str">
        <f t="shared" si="18"/>
        <v/>
      </c>
      <c r="U153" s="131" t="str">
        <f t="shared" si="19"/>
        <v/>
      </c>
      <c r="V153" s="52">
        <f t="shared" si="20"/>
        <v>46426</v>
      </c>
      <c r="W153" s="132" t="str" cm="1">
        <f t="array" ref="W153">IF(AND($C153="",S153=""),"",IF(AND(N($C153)&gt;0,N(S153)=0),"nobody marked present",IF(N($D153)&gt;N($C153),"more broken than moulded",IF(AND($C153="",N(S153)&gt;0),"attendance marked but no blocks entered",IF(AND(N($C153)&gt;0,N(T153)=0),"no pay rate for this date - see Settings",IF(SUMPRODUCT((G153:R153&lt;&gt;"")*(G$5:R$5=""))&gt;0,"attendance in an empty worker slot",""))))))</f>
        <v/>
      </c>
      <c r="X153" s="133"/>
      <c r="Y153" s="125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</row>
    <row r="154" spans="1:39" s="127" customFormat="1" ht="21" customHeight="1" x14ac:dyDescent="0.25">
      <c r="A154" s="49">
        <v>46433</v>
      </c>
      <c r="B154" s="63" t="str">
        <f t="shared" si="14"/>
        <v>Mon</v>
      </c>
      <c r="C154" s="64"/>
      <c r="D154" s="64"/>
      <c r="E154" s="65" t="str">
        <f t="shared" si="15"/>
        <v/>
      </c>
      <c r="F154" s="65" t="str">
        <f t="shared" si="16"/>
        <v/>
      </c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1" t="str">
        <f t="shared" si="17"/>
        <v/>
      </c>
      <c r="T154" s="66" t="str">
        <f t="shared" si="18"/>
        <v/>
      </c>
      <c r="U154" s="131" t="str">
        <f t="shared" si="19"/>
        <v/>
      </c>
      <c r="V154" s="52">
        <f t="shared" si="20"/>
        <v>46433</v>
      </c>
      <c r="W154" s="132" t="str" cm="1">
        <f t="array" ref="W154">IF(AND($C154="",S154=""),"",IF(AND(N($C154)&gt;0,N(S154)=0),"nobody marked present",IF(N($D154)&gt;N($C154),"more broken than moulded",IF(AND($C154="",N(S154)&gt;0),"attendance marked but no blocks entered",IF(AND(N($C154)&gt;0,N(T154)=0),"no pay rate for this date - see Settings",IF(SUMPRODUCT((G154:R154&lt;&gt;"")*(G$5:R$5=""))&gt;0,"attendance in an empty worker slot",""))))))</f>
        <v/>
      </c>
      <c r="X154" s="133"/>
      <c r="Y154" s="125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</row>
    <row r="155" spans="1:39" s="127" customFormat="1" ht="21" customHeight="1" x14ac:dyDescent="0.25">
      <c r="A155" s="49">
        <v>46434</v>
      </c>
      <c r="B155" s="63" t="str">
        <f t="shared" si="14"/>
        <v>Tue</v>
      </c>
      <c r="C155" s="64"/>
      <c r="D155" s="64"/>
      <c r="E155" s="65" t="str">
        <f t="shared" si="15"/>
        <v/>
      </c>
      <c r="F155" s="65" t="str">
        <f t="shared" si="16"/>
        <v/>
      </c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1" t="str">
        <f t="shared" si="17"/>
        <v/>
      </c>
      <c r="T155" s="66" t="str">
        <f t="shared" si="18"/>
        <v/>
      </c>
      <c r="U155" s="131" t="str">
        <f t="shared" si="19"/>
        <v/>
      </c>
      <c r="V155" s="52">
        <f t="shared" si="20"/>
        <v>46433</v>
      </c>
      <c r="W155" s="132" t="str" cm="1">
        <f t="array" ref="W155">IF(AND($C155="",S155=""),"",IF(AND(N($C155)&gt;0,N(S155)=0),"nobody marked present",IF(N($D155)&gt;N($C155),"more broken than moulded",IF(AND($C155="",N(S155)&gt;0),"attendance marked but no blocks entered",IF(AND(N($C155)&gt;0,N(T155)=0),"no pay rate for this date - see Settings",IF(SUMPRODUCT((G155:R155&lt;&gt;"")*(G$5:R$5=""))&gt;0,"attendance in an empty worker slot",""))))))</f>
        <v/>
      </c>
      <c r="X155" s="133"/>
      <c r="Y155" s="125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</row>
    <row r="156" spans="1:39" s="127" customFormat="1" ht="21" customHeight="1" x14ac:dyDescent="0.25">
      <c r="A156" s="49">
        <v>46435</v>
      </c>
      <c r="B156" s="63" t="str">
        <f t="shared" si="14"/>
        <v>Wed</v>
      </c>
      <c r="C156" s="64"/>
      <c r="D156" s="64"/>
      <c r="E156" s="65" t="str">
        <f t="shared" si="15"/>
        <v/>
      </c>
      <c r="F156" s="65" t="str">
        <f t="shared" si="16"/>
        <v/>
      </c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1" t="str">
        <f t="shared" si="17"/>
        <v/>
      </c>
      <c r="T156" s="66" t="str">
        <f t="shared" si="18"/>
        <v/>
      </c>
      <c r="U156" s="131" t="str">
        <f t="shared" si="19"/>
        <v/>
      </c>
      <c r="V156" s="52">
        <f t="shared" si="20"/>
        <v>46433</v>
      </c>
      <c r="W156" s="132" t="str" cm="1">
        <f t="array" ref="W156">IF(AND($C156="",S156=""),"",IF(AND(N($C156)&gt;0,N(S156)=0),"nobody marked present",IF(N($D156)&gt;N($C156),"more broken than moulded",IF(AND($C156="",N(S156)&gt;0),"attendance marked but no blocks entered",IF(AND(N($C156)&gt;0,N(T156)=0),"no pay rate for this date - see Settings",IF(SUMPRODUCT((G156:R156&lt;&gt;"")*(G$5:R$5=""))&gt;0,"attendance in an empty worker slot",""))))))</f>
        <v/>
      </c>
      <c r="X156" s="133"/>
      <c r="Y156" s="125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</row>
    <row r="157" spans="1:39" s="127" customFormat="1" ht="21" customHeight="1" x14ac:dyDescent="0.25">
      <c r="A157" s="49">
        <v>46436</v>
      </c>
      <c r="B157" s="63" t="str">
        <f t="shared" si="14"/>
        <v>Thu</v>
      </c>
      <c r="C157" s="64"/>
      <c r="D157" s="64"/>
      <c r="E157" s="65" t="str">
        <f t="shared" si="15"/>
        <v/>
      </c>
      <c r="F157" s="65" t="str">
        <f t="shared" si="16"/>
        <v/>
      </c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1" t="str">
        <f t="shared" si="17"/>
        <v/>
      </c>
      <c r="T157" s="66" t="str">
        <f t="shared" si="18"/>
        <v/>
      </c>
      <c r="U157" s="131" t="str">
        <f t="shared" si="19"/>
        <v/>
      </c>
      <c r="V157" s="52">
        <f t="shared" si="20"/>
        <v>46433</v>
      </c>
      <c r="W157" s="132" t="str" cm="1">
        <f t="array" ref="W157">IF(AND($C157="",S157=""),"",IF(AND(N($C157)&gt;0,N(S157)=0),"nobody marked present",IF(N($D157)&gt;N($C157),"more broken than moulded",IF(AND($C157="",N(S157)&gt;0),"attendance marked but no blocks entered",IF(AND(N($C157)&gt;0,N(T157)=0),"no pay rate for this date - see Settings",IF(SUMPRODUCT((G157:R157&lt;&gt;"")*(G$5:R$5=""))&gt;0,"attendance in an empty worker slot",""))))))</f>
        <v/>
      </c>
      <c r="X157" s="133"/>
      <c r="Y157" s="125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</row>
    <row r="158" spans="1:39" s="127" customFormat="1" ht="21" customHeight="1" x14ac:dyDescent="0.25">
      <c r="A158" s="49">
        <v>46437</v>
      </c>
      <c r="B158" s="63" t="str">
        <f t="shared" si="14"/>
        <v>Fri</v>
      </c>
      <c r="C158" s="64"/>
      <c r="D158" s="64"/>
      <c r="E158" s="65" t="str">
        <f t="shared" si="15"/>
        <v/>
      </c>
      <c r="F158" s="65" t="str">
        <f t="shared" si="16"/>
        <v/>
      </c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1" t="str">
        <f t="shared" si="17"/>
        <v/>
      </c>
      <c r="T158" s="66" t="str">
        <f t="shared" si="18"/>
        <v/>
      </c>
      <c r="U158" s="131" t="str">
        <f t="shared" si="19"/>
        <v/>
      </c>
      <c r="V158" s="52">
        <f t="shared" si="20"/>
        <v>46433</v>
      </c>
      <c r="W158" s="132" t="str" cm="1">
        <f t="array" ref="W158">IF(AND($C158="",S158=""),"",IF(AND(N($C158)&gt;0,N(S158)=0),"nobody marked present",IF(N($D158)&gt;N($C158),"more broken than moulded",IF(AND($C158="",N(S158)&gt;0),"attendance marked but no blocks entered",IF(AND(N($C158)&gt;0,N(T158)=0),"no pay rate for this date - see Settings",IF(SUMPRODUCT((G158:R158&lt;&gt;"")*(G$5:R$5=""))&gt;0,"attendance in an empty worker slot",""))))))</f>
        <v/>
      </c>
      <c r="X158" s="133"/>
      <c r="Y158" s="125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</row>
    <row r="159" spans="1:39" s="127" customFormat="1" ht="21" customHeight="1" x14ac:dyDescent="0.25">
      <c r="A159" s="49">
        <v>46438</v>
      </c>
      <c r="B159" s="63" t="str">
        <f t="shared" si="14"/>
        <v>Sat</v>
      </c>
      <c r="C159" s="64"/>
      <c r="D159" s="64"/>
      <c r="E159" s="65" t="str">
        <f t="shared" si="15"/>
        <v/>
      </c>
      <c r="F159" s="65" t="str">
        <f t="shared" si="16"/>
        <v/>
      </c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1" t="str">
        <f t="shared" si="17"/>
        <v/>
      </c>
      <c r="T159" s="66" t="str">
        <f t="shared" si="18"/>
        <v/>
      </c>
      <c r="U159" s="131" t="str">
        <f t="shared" si="19"/>
        <v/>
      </c>
      <c r="V159" s="52">
        <f t="shared" si="20"/>
        <v>46433</v>
      </c>
      <c r="W159" s="132" t="str" cm="1">
        <f t="array" ref="W159">IF(AND($C159="",S159=""),"",IF(AND(N($C159)&gt;0,N(S159)=0),"nobody marked present",IF(N($D159)&gt;N($C159),"more broken than moulded",IF(AND($C159="",N(S159)&gt;0),"attendance marked but no blocks entered",IF(AND(N($C159)&gt;0,N(T159)=0),"no pay rate for this date - see Settings",IF(SUMPRODUCT((G159:R159&lt;&gt;"")*(G$5:R$5=""))&gt;0,"attendance in an empty worker slot",""))))))</f>
        <v/>
      </c>
      <c r="X159" s="133"/>
      <c r="Y159" s="125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</row>
    <row r="160" spans="1:39" s="127" customFormat="1" ht="21" customHeight="1" x14ac:dyDescent="0.25">
      <c r="A160" s="54">
        <v>46439</v>
      </c>
      <c r="B160" s="70" t="str">
        <f t="shared" si="14"/>
        <v>Sun</v>
      </c>
      <c r="C160" s="64"/>
      <c r="D160" s="64"/>
      <c r="E160" s="65" t="str">
        <f t="shared" si="15"/>
        <v/>
      </c>
      <c r="F160" s="65" t="str">
        <f t="shared" si="16"/>
        <v/>
      </c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1" t="str">
        <f t="shared" si="17"/>
        <v/>
      </c>
      <c r="T160" s="66" t="str">
        <f t="shared" si="18"/>
        <v/>
      </c>
      <c r="U160" s="131" t="str">
        <f t="shared" si="19"/>
        <v/>
      </c>
      <c r="V160" s="52">
        <f t="shared" si="20"/>
        <v>46433</v>
      </c>
      <c r="W160" s="132" t="str" cm="1">
        <f t="array" ref="W160">IF(AND($C160="",S160=""),"",IF(AND(N($C160)&gt;0,N(S160)=0),"nobody marked present",IF(N($D160)&gt;N($C160),"more broken than moulded",IF(AND($C160="",N(S160)&gt;0),"attendance marked but no blocks entered",IF(AND(N($C160)&gt;0,N(T160)=0),"no pay rate for this date - see Settings",IF(SUMPRODUCT((G160:R160&lt;&gt;"")*(G$5:R$5=""))&gt;0,"attendance in an empty worker slot",""))))))</f>
        <v/>
      </c>
      <c r="X160" s="133"/>
      <c r="Y160" s="125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</row>
    <row r="161" spans="1:39" s="127" customFormat="1" ht="21" customHeight="1" x14ac:dyDescent="0.25">
      <c r="A161" s="49">
        <v>46440</v>
      </c>
      <c r="B161" s="63" t="str">
        <f t="shared" si="14"/>
        <v>Mon</v>
      </c>
      <c r="C161" s="64"/>
      <c r="D161" s="64"/>
      <c r="E161" s="65" t="str">
        <f t="shared" si="15"/>
        <v/>
      </c>
      <c r="F161" s="65" t="str">
        <f t="shared" si="16"/>
        <v/>
      </c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1" t="str">
        <f t="shared" si="17"/>
        <v/>
      </c>
      <c r="T161" s="66" t="str">
        <f t="shared" si="18"/>
        <v/>
      </c>
      <c r="U161" s="131" t="str">
        <f t="shared" si="19"/>
        <v/>
      </c>
      <c r="V161" s="52">
        <f t="shared" si="20"/>
        <v>46440</v>
      </c>
      <c r="W161" s="132" t="str" cm="1">
        <f t="array" ref="W161">IF(AND($C161="",S161=""),"",IF(AND(N($C161)&gt;0,N(S161)=0),"nobody marked present",IF(N($D161)&gt;N($C161),"more broken than moulded",IF(AND($C161="",N(S161)&gt;0),"attendance marked but no blocks entered",IF(AND(N($C161)&gt;0,N(T161)=0),"no pay rate for this date - see Settings",IF(SUMPRODUCT((G161:R161&lt;&gt;"")*(G$5:R$5=""))&gt;0,"attendance in an empty worker slot",""))))))</f>
        <v/>
      </c>
      <c r="X161" s="133"/>
      <c r="Y161" s="125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</row>
    <row r="162" spans="1:39" s="127" customFormat="1" ht="21" customHeight="1" x14ac:dyDescent="0.25">
      <c r="A162" s="49">
        <v>46441</v>
      </c>
      <c r="B162" s="63" t="str">
        <f t="shared" si="14"/>
        <v>Tue</v>
      </c>
      <c r="C162" s="64"/>
      <c r="D162" s="64"/>
      <c r="E162" s="65" t="str">
        <f t="shared" si="15"/>
        <v/>
      </c>
      <c r="F162" s="65" t="str">
        <f t="shared" si="16"/>
        <v/>
      </c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1" t="str">
        <f t="shared" si="17"/>
        <v/>
      </c>
      <c r="T162" s="66" t="str">
        <f t="shared" si="18"/>
        <v/>
      </c>
      <c r="U162" s="131" t="str">
        <f t="shared" si="19"/>
        <v/>
      </c>
      <c r="V162" s="52">
        <f t="shared" si="20"/>
        <v>46440</v>
      </c>
      <c r="W162" s="132" t="str" cm="1">
        <f t="array" ref="W162">IF(AND($C162="",S162=""),"",IF(AND(N($C162)&gt;0,N(S162)=0),"nobody marked present",IF(N($D162)&gt;N($C162),"more broken than moulded",IF(AND($C162="",N(S162)&gt;0),"attendance marked but no blocks entered",IF(AND(N($C162)&gt;0,N(T162)=0),"no pay rate for this date - see Settings",IF(SUMPRODUCT((G162:R162&lt;&gt;"")*(G$5:R$5=""))&gt;0,"attendance in an empty worker slot",""))))))</f>
        <v/>
      </c>
      <c r="X162" s="133"/>
      <c r="Y162" s="125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</row>
    <row r="163" spans="1:39" s="127" customFormat="1" ht="21" customHeight="1" x14ac:dyDescent="0.25">
      <c r="A163" s="49">
        <v>46442</v>
      </c>
      <c r="B163" s="63" t="str">
        <f t="shared" si="14"/>
        <v>Wed</v>
      </c>
      <c r="C163" s="64"/>
      <c r="D163" s="64"/>
      <c r="E163" s="65" t="str">
        <f t="shared" si="15"/>
        <v/>
      </c>
      <c r="F163" s="65" t="str">
        <f t="shared" si="16"/>
        <v/>
      </c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1" t="str">
        <f t="shared" si="17"/>
        <v/>
      </c>
      <c r="T163" s="66" t="str">
        <f t="shared" si="18"/>
        <v/>
      </c>
      <c r="U163" s="131" t="str">
        <f t="shared" si="19"/>
        <v/>
      </c>
      <c r="V163" s="52">
        <f t="shared" si="20"/>
        <v>46440</v>
      </c>
      <c r="W163" s="132" t="str" cm="1">
        <f t="array" ref="W163">IF(AND($C163="",S163=""),"",IF(AND(N($C163)&gt;0,N(S163)=0),"nobody marked present",IF(N($D163)&gt;N($C163),"more broken than moulded",IF(AND($C163="",N(S163)&gt;0),"attendance marked but no blocks entered",IF(AND(N($C163)&gt;0,N(T163)=0),"no pay rate for this date - see Settings",IF(SUMPRODUCT((G163:R163&lt;&gt;"")*(G$5:R$5=""))&gt;0,"attendance in an empty worker slot",""))))))</f>
        <v/>
      </c>
      <c r="X163" s="133"/>
      <c r="Y163" s="125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</row>
    <row r="164" spans="1:39" s="127" customFormat="1" ht="21" customHeight="1" x14ac:dyDescent="0.25">
      <c r="A164" s="49">
        <v>46443</v>
      </c>
      <c r="B164" s="63" t="str">
        <f t="shared" si="14"/>
        <v>Thu</v>
      </c>
      <c r="C164" s="64"/>
      <c r="D164" s="64"/>
      <c r="E164" s="65" t="str">
        <f t="shared" si="15"/>
        <v/>
      </c>
      <c r="F164" s="65" t="str">
        <f t="shared" si="16"/>
        <v/>
      </c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1" t="str">
        <f t="shared" si="17"/>
        <v/>
      </c>
      <c r="T164" s="66" t="str">
        <f t="shared" si="18"/>
        <v/>
      </c>
      <c r="U164" s="131" t="str">
        <f t="shared" si="19"/>
        <v/>
      </c>
      <c r="V164" s="52">
        <f t="shared" si="20"/>
        <v>46440</v>
      </c>
      <c r="W164" s="132" t="str" cm="1">
        <f t="array" ref="W164">IF(AND($C164="",S164=""),"",IF(AND(N($C164)&gt;0,N(S164)=0),"nobody marked present",IF(N($D164)&gt;N($C164),"more broken than moulded",IF(AND($C164="",N(S164)&gt;0),"attendance marked but no blocks entered",IF(AND(N($C164)&gt;0,N(T164)=0),"no pay rate for this date - see Settings",IF(SUMPRODUCT((G164:R164&lt;&gt;"")*(G$5:R$5=""))&gt;0,"attendance in an empty worker slot",""))))))</f>
        <v/>
      </c>
      <c r="X164" s="133"/>
      <c r="Y164" s="125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</row>
    <row r="165" spans="1:39" s="127" customFormat="1" ht="21" customHeight="1" x14ac:dyDescent="0.25">
      <c r="A165" s="49">
        <v>46444</v>
      </c>
      <c r="B165" s="63" t="str">
        <f t="shared" si="14"/>
        <v>Fri</v>
      </c>
      <c r="C165" s="64"/>
      <c r="D165" s="64"/>
      <c r="E165" s="65" t="str">
        <f t="shared" si="15"/>
        <v/>
      </c>
      <c r="F165" s="65" t="str">
        <f t="shared" si="16"/>
        <v/>
      </c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1" t="str">
        <f t="shared" si="17"/>
        <v/>
      </c>
      <c r="T165" s="66" t="str">
        <f t="shared" si="18"/>
        <v/>
      </c>
      <c r="U165" s="131" t="str">
        <f t="shared" si="19"/>
        <v/>
      </c>
      <c r="V165" s="52">
        <f t="shared" si="20"/>
        <v>46440</v>
      </c>
      <c r="W165" s="132" t="str" cm="1">
        <f t="array" ref="W165">IF(AND($C165="",S165=""),"",IF(AND(N($C165)&gt;0,N(S165)=0),"nobody marked present",IF(N($D165)&gt;N($C165),"more broken than moulded",IF(AND($C165="",N(S165)&gt;0),"attendance marked but no blocks entered",IF(AND(N($C165)&gt;0,N(T165)=0),"no pay rate for this date - see Settings",IF(SUMPRODUCT((G165:R165&lt;&gt;"")*(G$5:R$5=""))&gt;0,"attendance in an empty worker slot",""))))))</f>
        <v/>
      </c>
      <c r="X165" s="133"/>
      <c r="Y165" s="125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</row>
    <row r="166" spans="1:39" s="127" customFormat="1" ht="21" customHeight="1" x14ac:dyDescent="0.25">
      <c r="A166" s="49">
        <v>46445</v>
      </c>
      <c r="B166" s="63" t="str">
        <f t="shared" si="14"/>
        <v>Sat</v>
      </c>
      <c r="C166" s="64"/>
      <c r="D166" s="64"/>
      <c r="E166" s="65" t="str">
        <f t="shared" si="15"/>
        <v/>
      </c>
      <c r="F166" s="65" t="str">
        <f t="shared" si="16"/>
        <v/>
      </c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1" t="str">
        <f t="shared" si="17"/>
        <v/>
      </c>
      <c r="T166" s="66" t="str">
        <f t="shared" si="18"/>
        <v/>
      </c>
      <c r="U166" s="131" t="str">
        <f t="shared" si="19"/>
        <v/>
      </c>
      <c r="V166" s="52">
        <f t="shared" si="20"/>
        <v>46440</v>
      </c>
      <c r="W166" s="132" t="str" cm="1">
        <f t="array" ref="W166">IF(AND($C166="",S166=""),"",IF(AND(N($C166)&gt;0,N(S166)=0),"nobody marked present",IF(N($D166)&gt;N($C166),"more broken than moulded",IF(AND($C166="",N(S166)&gt;0),"attendance marked but no blocks entered",IF(AND(N($C166)&gt;0,N(T166)=0),"no pay rate for this date - see Settings",IF(SUMPRODUCT((G166:R166&lt;&gt;"")*(G$5:R$5=""))&gt;0,"attendance in an empty worker slot",""))))))</f>
        <v/>
      </c>
      <c r="X166" s="133"/>
      <c r="Y166" s="125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</row>
    <row r="167" spans="1:39" s="127" customFormat="1" ht="21" customHeight="1" x14ac:dyDescent="0.25">
      <c r="A167" s="54">
        <v>46446</v>
      </c>
      <c r="B167" s="70" t="str">
        <f t="shared" si="14"/>
        <v>Sun</v>
      </c>
      <c r="C167" s="64"/>
      <c r="D167" s="64"/>
      <c r="E167" s="65" t="str">
        <f t="shared" si="15"/>
        <v/>
      </c>
      <c r="F167" s="65" t="str">
        <f t="shared" si="16"/>
        <v/>
      </c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1" t="str">
        <f t="shared" si="17"/>
        <v/>
      </c>
      <c r="T167" s="66" t="str">
        <f t="shared" si="18"/>
        <v/>
      </c>
      <c r="U167" s="131" t="str">
        <f t="shared" si="19"/>
        <v/>
      </c>
      <c r="V167" s="52">
        <f t="shared" si="20"/>
        <v>46440</v>
      </c>
      <c r="W167" s="132" t="str" cm="1">
        <f t="array" ref="W167">IF(AND($C167="",S167=""),"",IF(AND(N($C167)&gt;0,N(S167)=0),"nobody marked present",IF(N($D167)&gt;N($C167),"more broken than moulded",IF(AND($C167="",N(S167)&gt;0),"attendance marked but no blocks entered",IF(AND(N($C167)&gt;0,N(T167)=0),"no pay rate for this date - see Settings",IF(SUMPRODUCT((G167:R167&lt;&gt;"")*(G$5:R$5=""))&gt;0,"attendance in an empty worker slot",""))))))</f>
        <v/>
      </c>
      <c r="X167" s="133"/>
      <c r="Y167" s="125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</row>
    <row r="168" spans="1:39" s="127" customFormat="1" ht="21" customHeight="1" x14ac:dyDescent="0.25">
      <c r="A168" s="49">
        <v>46447</v>
      </c>
      <c r="B168" s="63" t="str">
        <f t="shared" si="14"/>
        <v>Mon</v>
      </c>
      <c r="C168" s="64"/>
      <c r="D168" s="64"/>
      <c r="E168" s="65" t="str">
        <f t="shared" si="15"/>
        <v/>
      </c>
      <c r="F168" s="65" t="str">
        <f t="shared" si="16"/>
        <v/>
      </c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1" t="str">
        <f t="shared" si="17"/>
        <v/>
      </c>
      <c r="T168" s="66" t="str">
        <f t="shared" si="18"/>
        <v/>
      </c>
      <c r="U168" s="131" t="str">
        <f t="shared" si="19"/>
        <v/>
      </c>
      <c r="V168" s="52">
        <f t="shared" si="20"/>
        <v>46447</v>
      </c>
      <c r="W168" s="132" t="str" cm="1">
        <f t="array" ref="W168">IF(AND($C168="",S168=""),"",IF(AND(N($C168)&gt;0,N(S168)=0),"nobody marked present",IF(N($D168)&gt;N($C168),"more broken than moulded",IF(AND($C168="",N(S168)&gt;0),"attendance marked but no blocks entered",IF(AND(N($C168)&gt;0,N(T168)=0),"no pay rate for this date - see Settings",IF(SUMPRODUCT((G168:R168&lt;&gt;"")*(G$5:R$5=""))&gt;0,"attendance in an empty worker slot",""))))))</f>
        <v/>
      </c>
      <c r="X168" s="133"/>
      <c r="Y168" s="125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</row>
    <row r="169" spans="1:39" s="127" customFormat="1" ht="21" customHeight="1" x14ac:dyDescent="0.25">
      <c r="A169" s="49">
        <v>46448</v>
      </c>
      <c r="B169" s="63" t="str">
        <f t="shared" si="14"/>
        <v>Tue</v>
      </c>
      <c r="C169" s="64"/>
      <c r="D169" s="64"/>
      <c r="E169" s="65" t="str">
        <f t="shared" si="15"/>
        <v/>
      </c>
      <c r="F169" s="65" t="str">
        <f t="shared" si="16"/>
        <v/>
      </c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1" t="str">
        <f t="shared" si="17"/>
        <v/>
      </c>
      <c r="T169" s="66" t="str">
        <f t="shared" si="18"/>
        <v/>
      </c>
      <c r="U169" s="131" t="str">
        <f t="shared" si="19"/>
        <v/>
      </c>
      <c r="V169" s="52">
        <f t="shared" si="20"/>
        <v>46447</v>
      </c>
      <c r="W169" s="132" t="str" cm="1">
        <f t="array" ref="W169">IF(AND($C169="",S169=""),"",IF(AND(N($C169)&gt;0,N(S169)=0),"nobody marked present",IF(N($D169)&gt;N($C169),"more broken than moulded",IF(AND($C169="",N(S169)&gt;0),"attendance marked but no blocks entered",IF(AND(N($C169)&gt;0,N(T169)=0),"no pay rate for this date - see Settings",IF(SUMPRODUCT((G169:R169&lt;&gt;"")*(G$5:R$5=""))&gt;0,"attendance in an empty worker slot",""))))))</f>
        <v/>
      </c>
      <c r="X169" s="133"/>
      <c r="Y169" s="125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</row>
    <row r="170" spans="1:39" s="127" customFormat="1" ht="21" customHeight="1" x14ac:dyDescent="0.25">
      <c r="A170" s="49">
        <v>46449</v>
      </c>
      <c r="B170" s="63" t="str">
        <f t="shared" si="14"/>
        <v>Wed</v>
      </c>
      <c r="C170" s="64"/>
      <c r="D170" s="64"/>
      <c r="E170" s="65" t="str">
        <f t="shared" si="15"/>
        <v/>
      </c>
      <c r="F170" s="65" t="str">
        <f t="shared" si="16"/>
        <v/>
      </c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1" t="str">
        <f t="shared" si="17"/>
        <v/>
      </c>
      <c r="T170" s="66" t="str">
        <f t="shared" si="18"/>
        <v/>
      </c>
      <c r="U170" s="131" t="str">
        <f t="shared" si="19"/>
        <v/>
      </c>
      <c r="V170" s="52">
        <f t="shared" si="20"/>
        <v>46447</v>
      </c>
      <c r="W170" s="132" t="str" cm="1">
        <f t="array" ref="W170">IF(AND($C170="",S170=""),"",IF(AND(N($C170)&gt;0,N(S170)=0),"nobody marked present",IF(N($D170)&gt;N($C170),"more broken than moulded",IF(AND($C170="",N(S170)&gt;0),"attendance marked but no blocks entered",IF(AND(N($C170)&gt;0,N(T170)=0),"no pay rate for this date - see Settings",IF(SUMPRODUCT((G170:R170&lt;&gt;"")*(G$5:R$5=""))&gt;0,"attendance in an empty worker slot",""))))))</f>
        <v/>
      </c>
      <c r="X170" s="133"/>
      <c r="Y170" s="125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</row>
    <row r="171" spans="1:39" s="127" customFormat="1" ht="21" customHeight="1" x14ac:dyDescent="0.25">
      <c r="A171" s="49">
        <v>46450</v>
      </c>
      <c r="B171" s="63" t="str">
        <f t="shared" si="14"/>
        <v>Thu</v>
      </c>
      <c r="C171" s="64"/>
      <c r="D171" s="64"/>
      <c r="E171" s="65" t="str">
        <f t="shared" si="15"/>
        <v/>
      </c>
      <c r="F171" s="65" t="str">
        <f t="shared" si="16"/>
        <v/>
      </c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1" t="str">
        <f t="shared" si="17"/>
        <v/>
      </c>
      <c r="T171" s="66" t="str">
        <f t="shared" si="18"/>
        <v/>
      </c>
      <c r="U171" s="131" t="str">
        <f t="shared" si="19"/>
        <v/>
      </c>
      <c r="V171" s="52">
        <f t="shared" si="20"/>
        <v>46447</v>
      </c>
      <c r="W171" s="132" t="str" cm="1">
        <f t="array" ref="W171">IF(AND($C171="",S171=""),"",IF(AND(N($C171)&gt;0,N(S171)=0),"nobody marked present",IF(N($D171)&gt;N($C171),"more broken than moulded",IF(AND($C171="",N(S171)&gt;0),"attendance marked but no blocks entered",IF(AND(N($C171)&gt;0,N(T171)=0),"no pay rate for this date - see Settings",IF(SUMPRODUCT((G171:R171&lt;&gt;"")*(G$5:R$5=""))&gt;0,"attendance in an empty worker slot",""))))))</f>
        <v/>
      </c>
      <c r="X171" s="133"/>
      <c r="Y171" s="125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</row>
    <row r="172" spans="1:39" s="127" customFormat="1" ht="21" customHeight="1" x14ac:dyDescent="0.25">
      <c r="A172" s="49">
        <v>46451</v>
      </c>
      <c r="B172" s="63" t="str">
        <f t="shared" si="14"/>
        <v>Fri</v>
      </c>
      <c r="C172" s="64"/>
      <c r="D172" s="64"/>
      <c r="E172" s="65" t="str">
        <f t="shared" si="15"/>
        <v/>
      </c>
      <c r="F172" s="65" t="str">
        <f t="shared" si="16"/>
        <v/>
      </c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1" t="str">
        <f t="shared" si="17"/>
        <v/>
      </c>
      <c r="T172" s="66" t="str">
        <f t="shared" si="18"/>
        <v/>
      </c>
      <c r="U172" s="131" t="str">
        <f t="shared" si="19"/>
        <v/>
      </c>
      <c r="V172" s="52">
        <f t="shared" si="20"/>
        <v>46447</v>
      </c>
      <c r="W172" s="132" t="str" cm="1">
        <f t="array" ref="W172">IF(AND($C172="",S172=""),"",IF(AND(N($C172)&gt;0,N(S172)=0),"nobody marked present",IF(N($D172)&gt;N($C172),"more broken than moulded",IF(AND($C172="",N(S172)&gt;0),"attendance marked but no blocks entered",IF(AND(N($C172)&gt;0,N(T172)=0),"no pay rate for this date - see Settings",IF(SUMPRODUCT((G172:R172&lt;&gt;"")*(G$5:R$5=""))&gt;0,"attendance in an empty worker slot",""))))))</f>
        <v/>
      </c>
      <c r="X172" s="133"/>
      <c r="Y172" s="125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</row>
    <row r="173" spans="1:39" s="127" customFormat="1" ht="21" customHeight="1" x14ac:dyDescent="0.25">
      <c r="A173" s="49">
        <v>46452</v>
      </c>
      <c r="B173" s="63" t="str">
        <f t="shared" si="14"/>
        <v>Sat</v>
      </c>
      <c r="C173" s="64"/>
      <c r="D173" s="64"/>
      <c r="E173" s="65" t="str">
        <f t="shared" si="15"/>
        <v/>
      </c>
      <c r="F173" s="65" t="str">
        <f t="shared" si="16"/>
        <v/>
      </c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1" t="str">
        <f t="shared" si="17"/>
        <v/>
      </c>
      <c r="T173" s="66" t="str">
        <f t="shared" si="18"/>
        <v/>
      </c>
      <c r="U173" s="131" t="str">
        <f t="shared" si="19"/>
        <v/>
      </c>
      <c r="V173" s="52">
        <f t="shared" si="20"/>
        <v>46447</v>
      </c>
      <c r="W173" s="132" t="str" cm="1">
        <f t="array" ref="W173">IF(AND($C173="",S173=""),"",IF(AND(N($C173)&gt;0,N(S173)=0),"nobody marked present",IF(N($D173)&gt;N($C173),"more broken than moulded",IF(AND($C173="",N(S173)&gt;0),"attendance marked but no blocks entered",IF(AND(N($C173)&gt;0,N(T173)=0),"no pay rate for this date - see Settings",IF(SUMPRODUCT((G173:R173&lt;&gt;"")*(G$5:R$5=""))&gt;0,"attendance in an empty worker slot",""))))))</f>
        <v/>
      </c>
      <c r="X173" s="133"/>
      <c r="Y173" s="125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</row>
    <row r="174" spans="1:39" s="127" customFormat="1" ht="21" customHeight="1" x14ac:dyDescent="0.25">
      <c r="A174" s="54">
        <v>46453</v>
      </c>
      <c r="B174" s="70" t="str">
        <f t="shared" si="14"/>
        <v>Sun</v>
      </c>
      <c r="C174" s="64"/>
      <c r="D174" s="64"/>
      <c r="E174" s="65" t="str">
        <f t="shared" si="15"/>
        <v/>
      </c>
      <c r="F174" s="65" t="str">
        <f t="shared" si="16"/>
        <v/>
      </c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1" t="str">
        <f t="shared" si="17"/>
        <v/>
      </c>
      <c r="T174" s="66" t="str">
        <f t="shared" si="18"/>
        <v/>
      </c>
      <c r="U174" s="131" t="str">
        <f t="shared" si="19"/>
        <v/>
      </c>
      <c r="V174" s="52">
        <f t="shared" si="20"/>
        <v>46447</v>
      </c>
      <c r="W174" s="132" t="str" cm="1">
        <f t="array" ref="W174">IF(AND($C174="",S174=""),"",IF(AND(N($C174)&gt;0,N(S174)=0),"nobody marked present",IF(N($D174)&gt;N($C174),"more broken than moulded",IF(AND($C174="",N(S174)&gt;0),"attendance marked but no blocks entered",IF(AND(N($C174)&gt;0,N(T174)=0),"no pay rate for this date - see Settings",IF(SUMPRODUCT((G174:R174&lt;&gt;"")*(G$5:R$5=""))&gt;0,"attendance in an empty worker slot",""))))))</f>
        <v/>
      </c>
      <c r="X174" s="133"/>
      <c r="Y174" s="125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</row>
    <row r="175" spans="1:39" s="127" customFormat="1" ht="21" customHeight="1" x14ac:dyDescent="0.25">
      <c r="A175" s="49">
        <v>46454</v>
      </c>
      <c r="B175" s="63" t="str">
        <f t="shared" si="14"/>
        <v>Mon</v>
      </c>
      <c r="C175" s="64"/>
      <c r="D175" s="64"/>
      <c r="E175" s="65" t="str">
        <f t="shared" si="15"/>
        <v/>
      </c>
      <c r="F175" s="65" t="str">
        <f t="shared" si="16"/>
        <v/>
      </c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1" t="str">
        <f t="shared" si="17"/>
        <v/>
      </c>
      <c r="T175" s="66" t="str">
        <f t="shared" si="18"/>
        <v/>
      </c>
      <c r="U175" s="131" t="str">
        <f t="shared" si="19"/>
        <v/>
      </c>
      <c r="V175" s="52">
        <f t="shared" si="20"/>
        <v>46454</v>
      </c>
      <c r="W175" s="132" t="str" cm="1">
        <f t="array" ref="W175">IF(AND($C175="",S175=""),"",IF(AND(N($C175)&gt;0,N(S175)=0),"nobody marked present",IF(N($D175)&gt;N($C175),"more broken than moulded",IF(AND($C175="",N(S175)&gt;0),"attendance marked but no blocks entered",IF(AND(N($C175)&gt;0,N(T175)=0),"no pay rate for this date - see Settings",IF(SUMPRODUCT((G175:R175&lt;&gt;"")*(G$5:R$5=""))&gt;0,"attendance in an empty worker slot",""))))))</f>
        <v/>
      </c>
      <c r="X175" s="133"/>
      <c r="Y175" s="125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</row>
    <row r="176" spans="1:39" s="127" customFormat="1" ht="21" customHeight="1" x14ac:dyDescent="0.25">
      <c r="A176" s="49">
        <v>46455</v>
      </c>
      <c r="B176" s="63" t="str">
        <f t="shared" si="14"/>
        <v>Tue</v>
      </c>
      <c r="C176" s="64"/>
      <c r="D176" s="64"/>
      <c r="E176" s="65" t="str">
        <f t="shared" si="15"/>
        <v/>
      </c>
      <c r="F176" s="65" t="str">
        <f t="shared" si="16"/>
        <v/>
      </c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1" t="str">
        <f t="shared" si="17"/>
        <v/>
      </c>
      <c r="T176" s="66" t="str">
        <f t="shared" si="18"/>
        <v/>
      </c>
      <c r="U176" s="131" t="str">
        <f t="shared" si="19"/>
        <v/>
      </c>
      <c r="V176" s="52">
        <f t="shared" si="20"/>
        <v>46454</v>
      </c>
      <c r="W176" s="132" t="str" cm="1">
        <f t="array" ref="W176">IF(AND($C176="",S176=""),"",IF(AND(N($C176)&gt;0,N(S176)=0),"nobody marked present",IF(N($D176)&gt;N($C176),"more broken than moulded",IF(AND($C176="",N(S176)&gt;0),"attendance marked but no blocks entered",IF(AND(N($C176)&gt;0,N(T176)=0),"no pay rate for this date - see Settings",IF(SUMPRODUCT((G176:R176&lt;&gt;"")*(G$5:R$5=""))&gt;0,"attendance in an empty worker slot",""))))))</f>
        <v/>
      </c>
      <c r="X176" s="133"/>
      <c r="Y176" s="125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</row>
    <row r="177" spans="1:39" s="127" customFormat="1" ht="21" customHeight="1" x14ac:dyDescent="0.25">
      <c r="A177" s="49">
        <v>46456</v>
      </c>
      <c r="B177" s="63" t="str">
        <f t="shared" si="14"/>
        <v>Wed</v>
      </c>
      <c r="C177" s="64"/>
      <c r="D177" s="64"/>
      <c r="E177" s="65" t="str">
        <f t="shared" si="15"/>
        <v/>
      </c>
      <c r="F177" s="65" t="str">
        <f t="shared" si="16"/>
        <v/>
      </c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1" t="str">
        <f t="shared" si="17"/>
        <v/>
      </c>
      <c r="T177" s="66" t="str">
        <f t="shared" si="18"/>
        <v/>
      </c>
      <c r="U177" s="131" t="str">
        <f t="shared" si="19"/>
        <v/>
      </c>
      <c r="V177" s="52">
        <f t="shared" si="20"/>
        <v>46454</v>
      </c>
      <c r="W177" s="132" t="str" cm="1">
        <f t="array" ref="W177">IF(AND($C177="",S177=""),"",IF(AND(N($C177)&gt;0,N(S177)=0),"nobody marked present",IF(N($D177)&gt;N($C177),"more broken than moulded",IF(AND($C177="",N(S177)&gt;0),"attendance marked but no blocks entered",IF(AND(N($C177)&gt;0,N(T177)=0),"no pay rate for this date - see Settings",IF(SUMPRODUCT((G177:R177&lt;&gt;"")*(G$5:R$5=""))&gt;0,"attendance in an empty worker slot",""))))))</f>
        <v/>
      </c>
      <c r="X177" s="133"/>
      <c r="Y177" s="125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</row>
    <row r="178" spans="1:39" s="127" customFormat="1" ht="21" customHeight="1" x14ac:dyDescent="0.25">
      <c r="A178" s="49">
        <v>46457</v>
      </c>
      <c r="B178" s="63" t="str">
        <f t="shared" si="14"/>
        <v>Thu</v>
      </c>
      <c r="C178" s="64"/>
      <c r="D178" s="64"/>
      <c r="E178" s="65" t="str">
        <f t="shared" si="15"/>
        <v/>
      </c>
      <c r="F178" s="65" t="str">
        <f t="shared" si="16"/>
        <v/>
      </c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1" t="str">
        <f t="shared" si="17"/>
        <v/>
      </c>
      <c r="T178" s="66" t="str">
        <f t="shared" si="18"/>
        <v/>
      </c>
      <c r="U178" s="131" t="str">
        <f t="shared" si="19"/>
        <v/>
      </c>
      <c r="V178" s="52">
        <f t="shared" si="20"/>
        <v>46454</v>
      </c>
      <c r="W178" s="132" t="str" cm="1">
        <f t="array" ref="W178">IF(AND($C178="",S178=""),"",IF(AND(N($C178)&gt;0,N(S178)=0),"nobody marked present",IF(N($D178)&gt;N($C178),"more broken than moulded",IF(AND($C178="",N(S178)&gt;0),"attendance marked but no blocks entered",IF(AND(N($C178)&gt;0,N(T178)=0),"no pay rate for this date - see Settings",IF(SUMPRODUCT((G178:R178&lt;&gt;"")*(G$5:R$5=""))&gt;0,"attendance in an empty worker slot",""))))))</f>
        <v/>
      </c>
      <c r="X178" s="133"/>
      <c r="Y178" s="125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</row>
    <row r="179" spans="1:39" s="127" customFormat="1" ht="21" customHeight="1" x14ac:dyDescent="0.25">
      <c r="A179" s="49">
        <v>46458</v>
      </c>
      <c r="B179" s="63" t="str">
        <f t="shared" si="14"/>
        <v>Fri</v>
      </c>
      <c r="C179" s="64"/>
      <c r="D179" s="64"/>
      <c r="E179" s="65" t="str">
        <f t="shared" si="15"/>
        <v/>
      </c>
      <c r="F179" s="65" t="str">
        <f t="shared" si="16"/>
        <v/>
      </c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1" t="str">
        <f t="shared" si="17"/>
        <v/>
      </c>
      <c r="T179" s="66" t="str">
        <f t="shared" si="18"/>
        <v/>
      </c>
      <c r="U179" s="131" t="str">
        <f t="shared" si="19"/>
        <v/>
      </c>
      <c r="V179" s="52">
        <f t="shared" si="20"/>
        <v>46454</v>
      </c>
      <c r="W179" s="132" t="str" cm="1">
        <f t="array" ref="W179">IF(AND($C179="",S179=""),"",IF(AND(N($C179)&gt;0,N(S179)=0),"nobody marked present",IF(N($D179)&gt;N($C179),"more broken than moulded",IF(AND($C179="",N(S179)&gt;0),"attendance marked but no blocks entered",IF(AND(N($C179)&gt;0,N(T179)=0),"no pay rate for this date - see Settings",IF(SUMPRODUCT((G179:R179&lt;&gt;"")*(G$5:R$5=""))&gt;0,"attendance in an empty worker slot",""))))))</f>
        <v/>
      </c>
      <c r="X179" s="133"/>
      <c r="Y179" s="125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</row>
    <row r="180" spans="1:39" s="127" customFormat="1" ht="21" customHeight="1" x14ac:dyDescent="0.25">
      <c r="A180" s="49">
        <v>46459</v>
      </c>
      <c r="B180" s="63" t="str">
        <f t="shared" si="14"/>
        <v>Sat</v>
      </c>
      <c r="C180" s="64"/>
      <c r="D180" s="64"/>
      <c r="E180" s="65" t="str">
        <f t="shared" si="15"/>
        <v/>
      </c>
      <c r="F180" s="65" t="str">
        <f t="shared" si="16"/>
        <v/>
      </c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1" t="str">
        <f t="shared" si="17"/>
        <v/>
      </c>
      <c r="T180" s="66" t="str">
        <f t="shared" si="18"/>
        <v/>
      </c>
      <c r="U180" s="131" t="str">
        <f t="shared" si="19"/>
        <v/>
      </c>
      <c r="V180" s="52">
        <f t="shared" si="20"/>
        <v>46454</v>
      </c>
      <c r="W180" s="132" t="str" cm="1">
        <f t="array" ref="W180">IF(AND($C180="",S180=""),"",IF(AND(N($C180)&gt;0,N(S180)=0),"nobody marked present",IF(N($D180)&gt;N($C180),"more broken than moulded",IF(AND($C180="",N(S180)&gt;0),"attendance marked but no blocks entered",IF(AND(N($C180)&gt;0,N(T180)=0),"no pay rate for this date - see Settings",IF(SUMPRODUCT((G180:R180&lt;&gt;"")*(G$5:R$5=""))&gt;0,"attendance in an empty worker slot",""))))))</f>
        <v/>
      </c>
      <c r="X180" s="133"/>
      <c r="Y180" s="125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</row>
    <row r="181" spans="1:39" s="127" customFormat="1" ht="21" customHeight="1" x14ac:dyDescent="0.25">
      <c r="A181" s="54">
        <v>46460</v>
      </c>
      <c r="B181" s="70" t="str">
        <f t="shared" si="14"/>
        <v>Sun</v>
      </c>
      <c r="C181" s="64"/>
      <c r="D181" s="64"/>
      <c r="E181" s="65" t="str">
        <f t="shared" si="15"/>
        <v/>
      </c>
      <c r="F181" s="65" t="str">
        <f t="shared" si="16"/>
        <v/>
      </c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1" t="str">
        <f t="shared" si="17"/>
        <v/>
      </c>
      <c r="T181" s="66" t="str">
        <f t="shared" si="18"/>
        <v/>
      </c>
      <c r="U181" s="131" t="str">
        <f t="shared" si="19"/>
        <v/>
      </c>
      <c r="V181" s="52">
        <f t="shared" si="20"/>
        <v>46454</v>
      </c>
      <c r="W181" s="132" t="str" cm="1">
        <f t="array" ref="W181">IF(AND($C181="",S181=""),"",IF(AND(N($C181)&gt;0,N(S181)=0),"nobody marked present",IF(N($D181)&gt;N($C181),"more broken than moulded",IF(AND($C181="",N(S181)&gt;0),"attendance marked but no blocks entered",IF(AND(N($C181)&gt;0,N(T181)=0),"no pay rate for this date - see Settings",IF(SUMPRODUCT((G181:R181&lt;&gt;"")*(G$5:R$5=""))&gt;0,"attendance in an empty worker slot",""))))))</f>
        <v/>
      </c>
      <c r="X181" s="133"/>
      <c r="Y181" s="125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</row>
    <row r="182" spans="1:39" s="127" customFormat="1" ht="21" customHeight="1" x14ac:dyDescent="0.25">
      <c r="A182" s="49">
        <v>46461</v>
      </c>
      <c r="B182" s="63" t="str">
        <f t="shared" si="14"/>
        <v>Mon</v>
      </c>
      <c r="C182" s="64"/>
      <c r="D182" s="64"/>
      <c r="E182" s="65" t="str">
        <f t="shared" si="15"/>
        <v/>
      </c>
      <c r="F182" s="65" t="str">
        <f t="shared" si="16"/>
        <v/>
      </c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1" t="str">
        <f t="shared" si="17"/>
        <v/>
      </c>
      <c r="T182" s="66" t="str">
        <f t="shared" si="18"/>
        <v/>
      </c>
      <c r="U182" s="131" t="str">
        <f t="shared" si="19"/>
        <v/>
      </c>
      <c r="V182" s="52">
        <f t="shared" si="20"/>
        <v>46461</v>
      </c>
      <c r="W182" s="132" t="str" cm="1">
        <f t="array" ref="W182">IF(AND($C182="",S182=""),"",IF(AND(N($C182)&gt;0,N(S182)=0),"nobody marked present",IF(N($D182)&gt;N($C182),"more broken than moulded",IF(AND($C182="",N(S182)&gt;0),"attendance marked but no blocks entered",IF(AND(N($C182)&gt;0,N(T182)=0),"no pay rate for this date - see Settings",IF(SUMPRODUCT((G182:R182&lt;&gt;"")*(G$5:R$5=""))&gt;0,"attendance in an empty worker slot",""))))))</f>
        <v/>
      </c>
      <c r="X182" s="133"/>
      <c r="Y182" s="125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</row>
    <row r="183" spans="1:39" s="127" customFormat="1" ht="21" customHeight="1" x14ac:dyDescent="0.25">
      <c r="A183" s="49">
        <v>46462</v>
      </c>
      <c r="B183" s="63" t="str">
        <f t="shared" si="14"/>
        <v>Tue</v>
      </c>
      <c r="C183" s="64"/>
      <c r="D183" s="64"/>
      <c r="E183" s="65" t="str">
        <f t="shared" si="15"/>
        <v/>
      </c>
      <c r="F183" s="65" t="str">
        <f t="shared" si="16"/>
        <v/>
      </c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1" t="str">
        <f t="shared" si="17"/>
        <v/>
      </c>
      <c r="T183" s="66" t="str">
        <f t="shared" si="18"/>
        <v/>
      </c>
      <c r="U183" s="131" t="str">
        <f t="shared" si="19"/>
        <v/>
      </c>
      <c r="V183" s="52">
        <f t="shared" si="20"/>
        <v>46461</v>
      </c>
      <c r="W183" s="132" t="str" cm="1">
        <f t="array" ref="W183">IF(AND($C183="",S183=""),"",IF(AND(N($C183)&gt;0,N(S183)=0),"nobody marked present",IF(N($D183)&gt;N($C183),"more broken than moulded",IF(AND($C183="",N(S183)&gt;0),"attendance marked but no blocks entered",IF(AND(N($C183)&gt;0,N(T183)=0),"no pay rate for this date - see Settings",IF(SUMPRODUCT((G183:R183&lt;&gt;"")*(G$5:R$5=""))&gt;0,"attendance in an empty worker slot",""))))))</f>
        <v/>
      </c>
      <c r="X183" s="133"/>
      <c r="Y183" s="125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</row>
    <row r="184" spans="1:39" s="127" customFormat="1" ht="21" customHeight="1" x14ac:dyDescent="0.25">
      <c r="A184" s="49">
        <v>46463</v>
      </c>
      <c r="B184" s="63" t="str">
        <f t="shared" si="14"/>
        <v>Wed</v>
      </c>
      <c r="C184" s="64"/>
      <c r="D184" s="64"/>
      <c r="E184" s="65" t="str">
        <f t="shared" si="15"/>
        <v/>
      </c>
      <c r="F184" s="65" t="str">
        <f t="shared" si="16"/>
        <v/>
      </c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1" t="str">
        <f t="shared" si="17"/>
        <v/>
      </c>
      <c r="T184" s="66" t="str">
        <f t="shared" si="18"/>
        <v/>
      </c>
      <c r="U184" s="131" t="str">
        <f t="shared" si="19"/>
        <v/>
      </c>
      <c r="V184" s="52">
        <f t="shared" si="20"/>
        <v>46461</v>
      </c>
      <c r="W184" s="132" t="str" cm="1">
        <f t="array" ref="W184">IF(AND($C184="",S184=""),"",IF(AND(N($C184)&gt;0,N(S184)=0),"nobody marked present",IF(N($D184)&gt;N($C184),"more broken than moulded",IF(AND($C184="",N(S184)&gt;0),"attendance marked but no blocks entered",IF(AND(N($C184)&gt;0,N(T184)=0),"no pay rate for this date - see Settings",IF(SUMPRODUCT((G184:R184&lt;&gt;"")*(G$5:R$5=""))&gt;0,"attendance in an empty worker slot",""))))))</f>
        <v/>
      </c>
      <c r="X184" s="133"/>
      <c r="Y184" s="125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</row>
    <row r="185" spans="1:39" s="127" customFormat="1" ht="21" customHeight="1" x14ac:dyDescent="0.25">
      <c r="A185" s="49">
        <v>46464</v>
      </c>
      <c r="B185" s="63" t="str">
        <f t="shared" si="14"/>
        <v>Thu</v>
      </c>
      <c r="C185" s="64"/>
      <c r="D185" s="64"/>
      <c r="E185" s="65" t="str">
        <f t="shared" si="15"/>
        <v/>
      </c>
      <c r="F185" s="65" t="str">
        <f t="shared" si="16"/>
        <v/>
      </c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1" t="str">
        <f t="shared" si="17"/>
        <v/>
      </c>
      <c r="T185" s="66" t="str">
        <f t="shared" si="18"/>
        <v/>
      </c>
      <c r="U185" s="131" t="str">
        <f t="shared" si="19"/>
        <v/>
      </c>
      <c r="V185" s="52">
        <f t="shared" si="20"/>
        <v>46461</v>
      </c>
      <c r="W185" s="132" t="str" cm="1">
        <f t="array" ref="W185">IF(AND($C185="",S185=""),"",IF(AND(N($C185)&gt;0,N(S185)=0),"nobody marked present",IF(N($D185)&gt;N($C185),"more broken than moulded",IF(AND($C185="",N(S185)&gt;0),"attendance marked but no blocks entered",IF(AND(N($C185)&gt;0,N(T185)=0),"no pay rate for this date - see Settings",IF(SUMPRODUCT((G185:R185&lt;&gt;"")*(G$5:R$5=""))&gt;0,"attendance in an empty worker slot",""))))))</f>
        <v/>
      </c>
      <c r="X185" s="133"/>
      <c r="Y185" s="125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</row>
    <row r="186" spans="1:39" s="127" customFormat="1" ht="21" customHeight="1" x14ac:dyDescent="0.25">
      <c r="A186" s="49">
        <v>46465</v>
      </c>
      <c r="B186" s="63" t="str">
        <f t="shared" si="14"/>
        <v>Fri</v>
      </c>
      <c r="C186" s="64"/>
      <c r="D186" s="64"/>
      <c r="E186" s="65" t="str">
        <f t="shared" si="15"/>
        <v/>
      </c>
      <c r="F186" s="65" t="str">
        <f t="shared" si="16"/>
        <v/>
      </c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1" t="str">
        <f t="shared" si="17"/>
        <v/>
      </c>
      <c r="T186" s="66" t="str">
        <f t="shared" si="18"/>
        <v/>
      </c>
      <c r="U186" s="131" t="str">
        <f t="shared" si="19"/>
        <v/>
      </c>
      <c r="V186" s="52">
        <f t="shared" si="20"/>
        <v>46461</v>
      </c>
      <c r="W186" s="132" t="str" cm="1">
        <f t="array" ref="W186">IF(AND($C186="",S186=""),"",IF(AND(N($C186)&gt;0,N(S186)=0),"nobody marked present",IF(N($D186)&gt;N($C186),"more broken than moulded",IF(AND($C186="",N(S186)&gt;0),"attendance marked but no blocks entered",IF(AND(N($C186)&gt;0,N(T186)=0),"no pay rate for this date - see Settings",IF(SUMPRODUCT((G186:R186&lt;&gt;"")*(G$5:R$5=""))&gt;0,"attendance in an empty worker slot",""))))))</f>
        <v/>
      </c>
      <c r="X186" s="133"/>
      <c r="Y186" s="125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</row>
    <row r="187" spans="1:39" s="127" customFormat="1" ht="21" customHeight="1" x14ac:dyDescent="0.25">
      <c r="A187" s="49">
        <v>46466</v>
      </c>
      <c r="B187" s="63" t="str">
        <f t="shared" si="14"/>
        <v>Sat</v>
      </c>
      <c r="C187" s="64"/>
      <c r="D187" s="64"/>
      <c r="E187" s="65" t="str">
        <f t="shared" si="15"/>
        <v/>
      </c>
      <c r="F187" s="65" t="str">
        <f t="shared" si="16"/>
        <v/>
      </c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1" t="str">
        <f t="shared" si="17"/>
        <v/>
      </c>
      <c r="T187" s="66" t="str">
        <f t="shared" si="18"/>
        <v/>
      </c>
      <c r="U187" s="131" t="str">
        <f t="shared" si="19"/>
        <v/>
      </c>
      <c r="V187" s="52">
        <f t="shared" si="20"/>
        <v>46461</v>
      </c>
      <c r="W187" s="132" t="str" cm="1">
        <f t="array" ref="W187">IF(AND($C187="",S187=""),"",IF(AND(N($C187)&gt;0,N(S187)=0),"nobody marked present",IF(N($D187)&gt;N($C187),"more broken than moulded",IF(AND($C187="",N(S187)&gt;0),"attendance marked but no blocks entered",IF(AND(N($C187)&gt;0,N(T187)=0),"no pay rate for this date - see Settings",IF(SUMPRODUCT((G187:R187&lt;&gt;"")*(G$5:R$5=""))&gt;0,"attendance in an empty worker slot",""))))))</f>
        <v/>
      </c>
      <c r="X187" s="133"/>
      <c r="Y187" s="125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</row>
    <row r="188" spans="1:39" s="127" customFormat="1" ht="21" customHeight="1" x14ac:dyDescent="0.25">
      <c r="A188" s="54">
        <v>46467</v>
      </c>
      <c r="B188" s="70" t="str">
        <f t="shared" si="14"/>
        <v>Sun</v>
      </c>
      <c r="C188" s="64"/>
      <c r="D188" s="64"/>
      <c r="E188" s="65" t="str">
        <f t="shared" si="15"/>
        <v/>
      </c>
      <c r="F188" s="65" t="str">
        <f t="shared" si="16"/>
        <v/>
      </c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1" t="str">
        <f t="shared" si="17"/>
        <v/>
      </c>
      <c r="T188" s="66" t="str">
        <f t="shared" si="18"/>
        <v/>
      </c>
      <c r="U188" s="131" t="str">
        <f t="shared" si="19"/>
        <v/>
      </c>
      <c r="V188" s="52">
        <f t="shared" si="20"/>
        <v>46461</v>
      </c>
      <c r="W188" s="132" t="str" cm="1">
        <f t="array" ref="W188">IF(AND($C188="",S188=""),"",IF(AND(N($C188)&gt;0,N(S188)=0),"nobody marked present",IF(N($D188)&gt;N($C188),"more broken than moulded",IF(AND($C188="",N(S188)&gt;0),"attendance marked but no blocks entered",IF(AND(N($C188)&gt;0,N(T188)=0),"no pay rate for this date - see Settings",IF(SUMPRODUCT((G188:R188&lt;&gt;"")*(G$5:R$5=""))&gt;0,"attendance in an empty worker slot",""))))))</f>
        <v/>
      </c>
      <c r="X188" s="133"/>
      <c r="Y188" s="125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</row>
    <row r="189" spans="1:39" s="127" customFormat="1" ht="21" customHeight="1" x14ac:dyDescent="0.25">
      <c r="A189" s="49">
        <v>46468</v>
      </c>
      <c r="B189" s="63" t="str">
        <f t="shared" si="14"/>
        <v>Mon</v>
      </c>
      <c r="C189" s="64"/>
      <c r="D189" s="64"/>
      <c r="E189" s="65" t="str">
        <f t="shared" si="15"/>
        <v/>
      </c>
      <c r="F189" s="65" t="str">
        <f t="shared" si="16"/>
        <v/>
      </c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1" t="str">
        <f t="shared" si="17"/>
        <v/>
      </c>
      <c r="T189" s="66" t="str">
        <f t="shared" si="18"/>
        <v/>
      </c>
      <c r="U189" s="131" t="str">
        <f t="shared" si="19"/>
        <v/>
      </c>
      <c r="V189" s="52">
        <f t="shared" si="20"/>
        <v>46468</v>
      </c>
      <c r="W189" s="132" t="str" cm="1">
        <f t="array" ref="W189">IF(AND($C189="",S189=""),"",IF(AND(N($C189)&gt;0,N(S189)=0),"nobody marked present",IF(N($D189)&gt;N($C189),"more broken than moulded",IF(AND($C189="",N(S189)&gt;0),"attendance marked but no blocks entered",IF(AND(N($C189)&gt;0,N(T189)=0),"no pay rate for this date - see Settings",IF(SUMPRODUCT((G189:R189&lt;&gt;"")*(G$5:R$5=""))&gt;0,"attendance in an empty worker slot",""))))))</f>
        <v/>
      </c>
      <c r="X189" s="133"/>
      <c r="Y189" s="125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</row>
    <row r="190" spans="1:39" s="127" customFormat="1" ht="21" customHeight="1" x14ac:dyDescent="0.25">
      <c r="A190" s="49">
        <v>46469</v>
      </c>
      <c r="B190" s="63" t="str">
        <f t="shared" si="14"/>
        <v>Tue</v>
      </c>
      <c r="C190" s="64"/>
      <c r="D190" s="64"/>
      <c r="E190" s="65" t="str">
        <f t="shared" si="15"/>
        <v/>
      </c>
      <c r="F190" s="65" t="str">
        <f t="shared" si="16"/>
        <v/>
      </c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1" t="str">
        <f t="shared" si="17"/>
        <v/>
      </c>
      <c r="T190" s="66" t="str">
        <f t="shared" si="18"/>
        <v/>
      </c>
      <c r="U190" s="131" t="str">
        <f t="shared" si="19"/>
        <v/>
      </c>
      <c r="V190" s="52">
        <f t="shared" si="20"/>
        <v>46468</v>
      </c>
      <c r="W190" s="132" t="str" cm="1">
        <f t="array" ref="W190">IF(AND($C190="",S190=""),"",IF(AND(N($C190)&gt;0,N(S190)=0),"nobody marked present",IF(N($D190)&gt;N($C190),"more broken than moulded",IF(AND($C190="",N(S190)&gt;0),"attendance marked but no blocks entered",IF(AND(N($C190)&gt;0,N(T190)=0),"no pay rate for this date - see Settings",IF(SUMPRODUCT((G190:R190&lt;&gt;"")*(G$5:R$5=""))&gt;0,"attendance in an empty worker slot",""))))))</f>
        <v/>
      </c>
      <c r="X190" s="133"/>
      <c r="Y190" s="125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</row>
    <row r="191" spans="1:39" s="127" customFormat="1" ht="21" customHeight="1" x14ac:dyDescent="0.25">
      <c r="A191" s="49">
        <v>46470</v>
      </c>
      <c r="B191" s="63" t="str">
        <f t="shared" si="14"/>
        <v>Wed</v>
      </c>
      <c r="C191" s="64"/>
      <c r="D191" s="64"/>
      <c r="E191" s="65" t="str">
        <f t="shared" si="15"/>
        <v/>
      </c>
      <c r="F191" s="65" t="str">
        <f t="shared" si="16"/>
        <v/>
      </c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1" t="str">
        <f t="shared" si="17"/>
        <v/>
      </c>
      <c r="T191" s="66" t="str">
        <f t="shared" si="18"/>
        <v/>
      </c>
      <c r="U191" s="131" t="str">
        <f t="shared" si="19"/>
        <v/>
      </c>
      <c r="V191" s="52">
        <f t="shared" si="20"/>
        <v>46468</v>
      </c>
      <c r="W191" s="132" t="str" cm="1">
        <f t="array" ref="W191">IF(AND($C191="",S191=""),"",IF(AND(N($C191)&gt;0,N(S191)=0),"nobody marked present",IF(N($D191)&gt;N($C191),"more broken than moulded",IF(AND($C191="",N(S191)&gt;0),"attendance marked but no blocks entered",IF(AND(N($C191)&gt;0,N(T191)=0),"no pay rate for this date - see Settings",IF(SUMPRODUCT((G191:R191&lt;&gt;"")*(G$5:R$5=""))&gt;0,"attendance in an empty worker slot",""))))))</f>
        <v/>
      </c>
      <c r="X191" s="133"/>
      <c r="Y191" s="125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</row>
    <row r="192" spans="1:39" s="127" customFormat="1" ht="21" customHeight="1" x14ac:dyDescent="0.25">
      <c r="A192" s="49">
        <v>46471</v>
      </c>
      <c r="B192" s="63" t="str">
        <f t="shared" si="14"/>
        <v>Thu</v>
      </c>
      <c r="C192" s="64"/>
      <c r="D192" s="64"/>
      <c r="E192" s="65" t="str">
        <f t="shared" si="15"/>
        <v/>
      </c>
      <c r="F192" s="65" t="str">
        <f t="shared" si="16"/>
        <v/>
      </c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1" t="str">
        <f t="shared" si="17"/>
        <v/>
      </c>
      <c r="T192" s="66" t="str">
        <f t="shared" si="18"/>
        <v/>
      </c>
      <c r="U192" s="131" t="str">
        <f t="shared" si="19"/>
        <v/>
      </c>
      <c r="V192" s="52">
        <f t="shared" si="20"/>
        <v>46468</v>
      </c>
      <c r="W192" s="132" t="str" cm="1">
        <f t="array" ref="W192">IF(AND($C192="",S192=""),"",IF(AND(N($C192)&gt;0,N(S192)=0),"nobody marked present",IF(N($D192)&gt;N($C192),"more broken than moulded",IF(AND($C192="",N(S192)&gt;0),"attendance marked but no blocks entered",IF(AND(N($C192)&gt;0,N(T192)=0),"no pay rate for this date - see Settings",IF(SUMPRODUCT((G192:R192&lt;&gt;"")*(G$5:R$5=""))&gt;0,"attendance in an empty worker slot",""))))))</f>
        <v/>
      </c>
      <c r="X192" s="133"/>
      <c r="Y192" s="125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</row>
    <row r="193" spans="1:39" s="127" customFormat="1" ht="21" customHeight="1" x14ac:dyDescent="0.25">
      <c r="A193" s="49">
        <v>46472</v>
      </c>
      <c r="B193" s="63" t="str">
        <f t="shared" si="14"/>
        <v>Fri</v>
      </c>
      <c r="C193" s="64"/>
      <c r="D193" s="64"/>
      <c r="E193" s="65" t="str">
        <f t="shared" si="15"/>
        <v/>
      </c>
      <c r="F193" s="65" t="str">
        <f t="shared" si="16"/>
        <v/>
      </c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1" t="str">
        <f t="shared" si="17"/>
        <v/>
      </c>
      <c r="T193" s="66" t="str">
        <f t="shared" si="18"/>
        <v/>
      </c>
      <c r="U193" s="131" t="str">
        <f t="shared" si="19"/>
        <v/>
      </c>
      <c r="V193" s="52">
        <f t="shared" si="20"/>
        <v>46468</v>
      </c>
      <c r="W193" s="132" t="str" cm="1">
        <f t="array" ref="W193">IF(AND($C193="",S193=""),"",IF(AND(N($C193)&gt;0,N(S193)=0),"nobody marked present",IF(N($D193)&gt;N($C193),"more broken than moulded",IF(AND($C193="",N(S193)&gt;0),"attendance marked but no blocks entered",IF(AND(N($C193)&gt;0,N(T193)=0),"no pay rate for this date - see Settings",IF(SUMPRODUCT((G193:R193&lt;&gt;"")*(G$5:R$5=""))&gt;0,"attendance in an empty worker slot",""))))))</f>
        <v/>
      </c>
      <c r="X193" s="133"/>
      <c r="Y193" s="125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</row>
    <row r="194" spans="1:39" s="127" customFormat="1" ht="21" customHeight="1" x14ac:dyDescent="0.25">
      <c r="A194" s="49">
        <v>46473</v>
      </c>
      <c r="B194" s="63" t="str">
        <f t="shared" si="14"/>
        <v>Sat</v>
      </c>
      <c r="C194" s="64"/>
      <c r="D194" s="64"/>
      <c r="E194" s="65" t="str">
        <f t="shared" si="15"/>
        <v/>
      </c>
      <c r="F194" s="65" t="str">
        <f t="shared" si="16"/>
        <v/>
      </c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1" t="str">
        <f t="shared" si="17"/>
        <v/>
      </c>
      <c r="T194" s="66" t="str">
        <f t="shared" si="18"/>
        <v/>
      </c>
      <c r="U194" s="131" t="str">
        <f t="shared" si="19"/>
        <v/>
      </c>
      <c r="V194" s="52">
        <f t="shared" si="20"/>
        <v>46468</v>
      </c>
      <c r="W194" s="132" t="str" cm="1">
        <f t="array" ref="W194">IF(AND($C194="",S194=""),"",IF(AND(N($C194)&gt;0,N(S194)=0),"nobody marked present",IF(N($D194)&gt;N($C194),"more broken than moulded",IF(AND($C194="",N(S194)&gt;0),"attendance marked but no blocks entered",IF(AND(N($C194)&gt;0,N(T194)=0),"no pay rate for this date - see Settings",IF(SUMPRODUCT((G194:R194&lt;&gt;"")*(G$5:R$5=""))&gt;0,"attendance in an empty worker slot",""))))))</f>
        <v/>
      </c>
      <c r="X194" s="133"/>
      <c r="Y194" s="125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</row>
    <row r="195" spans="1:39" s="127" customFormat="1" ht="21" customHeight="1" x14ac:dyDescent="0.25">
      <c r="A195" s="54">
        <v>46474</v>
      </c>
      <c r="B195" s="70" t="str">
        <f t="shared" si="14"/>
        <v>Sun</v>
      </c>
      <c r="C195" s="64"/>
      <c r="D195" s="64"/>
      <c r="E195" s="65" t="str">
        <f t="shared" si="15"/>
        <v/>
      </c>
      <c r="F195" s="65" t="str">
        <f t="shared" si="16"/>
        <v/>
      </c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1" t="str">
        <f t="shared" si="17"/>
        <v/>
      </c>
      <c r="T195" s="66" t="str">
        <f t="shared" si="18"/>
        <v/>
      </c>
      <c r="U195" s="131" t="str">
        <f t="shared" si="19"/>
        <v/>
      </c>
      <c r="V195" s="52">
        <f t="shared" si="20"/>
        <v>46468</v>
      </c>
      <c r="W195" s="132" t="str" cm="1">
        <f t="array" ref="W195">IF(AND($C195="",S195=""),"",IF(AND(N($C195)&gt;0,N(S195)=0),"nobody marked present",IF(N($D195)&gt;N($C195),"more broken than moulded",IF(AND($C195="",N(S195)&gt;0),"attendance marked but no blocks entered",IF(AND(N($C195)&gt;0,N(T195)=0),"no pay rate for this date - see Settings",IF(SUMPRODUCT((G195:R195&lt;&gt;"")*(G$5:R$5=""))&gt;0,"attendance in an empty worker slot",""))))))</f>
        <v/>
      </c>
      <c r="X195" s="133"/>
      <c r="Y195" s="125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</row>
    <row r="196" spans="1:39" s="127" customFormat="1" ht="21" customHeight="1" x14ac:dyDescent="0.25">
      <c r="A196" s="49">
        <v>46475</v>
      </c>
      <c r="B196" s="63" t="str">
        <f t="shared" si="14"/>
        <v>Mon</v>
      </c>
      <c r="C196" s="64"/>
      <c r="D196" s="64"/>
      <c r="E196" s="65" t="str">
        <f t="shared" si="15"/>
        <v/>
      </c>
      <c r="F196" s="65" t="str">
        <f t="shared" si="16"/>
        <v/>
      </c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1" t="str">
        <f t="shared" si="17"/>
        <v/>
      </c>
      <c r="T196" s="66" t="str">
        <f t="shared" si="18"/>
        <v/>
      </c>
      <c r="U196" s="131" t="str">
        <f t="shared" si="19"/>
        <v/>
      </c>
      <c r="V196" s="52">
        <f t="shared" si="20"/>
        <v>46475</v>
      </c>
      <c r="W196" s="132" t="str" cm="1">
        <f t="array" ref="W196">IF(AND($C196="",S196=""),"",IF(AND(N($C196)&gt;0,N(S196)=0),"nobody marked present",IF(N($D196)&gt;N($C196),"more broken than moulded",IF(AND($C196="",N(S196)&gt;0),"attendance marked but no blocks entered",IF(AND(N($C196)&gt;0,N(T196)=0),"no pay rate for this date - see Settings",IF(SUMPRODUCT((G196:R196&lt;&gt;"")*(G$5:R$5=""))&gt;0,"attendance in an empty worker slot",""))))))</f>
        <v/>
      </c>
      <c r="X196" s="133"/>
      <c r="Y196" s="125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</row>
    <row r="197" spans="1:39" s="127" customFormat="1" ht="21" customHeight="1" x14ac:dyDescent="0.25">
      <c r="A197" s="49">
        <v>46476</v>
      </c>
      <c r="B197" s="63" t="str">
        <f t="shared" si="14"/>
        <v>Tue</v>
      </c>
      <c r="C197" s="64"/>
      <c r="D197" s="64"/>
      <c r="E197" s="65" t="str">
        <f t="shared" si="15"/>
        <v/>
      </c>
      <c r="F197" s="65" t="str">
        <f t="shared" si="16"/>
        <v/>
      </c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1" t="str">
        <f t="shared" si="17"/>
        <v/>
      </c>
      <c r="T197" s="66" t="str">
        <f t="shared" si="18"/>
        <v/>
      </c>
      <c r="U197" s="131" t="str">
        <f t="shared" si="19"/>
        <v/>
      </c>
      <c r="V197" s="52">
        <f t="shared" si="20"/>
        <v>46475</v>
      </c>
      <c r="W197" s="132" t="str" cm="1">
        <f t="array" ref="W197">IF(AND($C197="",S197=""),"",IF(AND(N($C197)&gt;0,N(S197)=0),"nobody marked present",IF(N($D197)&gt;N($C197),"more broken than moulded",IF(AND($C197="",N(S197)&gt;0),"attendance marked but no blocks entered",IF(AND(N($C197)&gt;0,N(T197)=0),"no pay rate for this date - see Settings",IF(SUMPRODUCT((G197:R197&lt;&gt;"")*(G$5:R$5=""))&gt;0,"attendance in an empty worker slot",""))))))</f>
        <v/>
      </c>
      <c r="X197" s="133"/>
      <c r="Y197" s="125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</row>
    <row r="198" spans="1:39" s="127" customFormat="1" ht="21" customHeight="1" x14ac:dyDescent="0.25">
      <c r="A198" s="49">
        <v>46477</v>
      </c>
      <c r="B198" s="63" t="str">
        <f t="shared" si="14"/>
        <v>Wed</v>
      </c>
      <c r="C198" s="64"/>
      <c r="D198" s="64"/>
      <c r="E198" s="65" t="str">
        <f t="shared" si="15"/>
        <v/>
      </c>
      <c r="F198" s="65" t="str">
        <f t="shared" si="16"/>
        <v/>
      </c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1" t="str">
        <f t="shared" si="17"/>
        <v/>
      </c>
      <c r="T198" s="66" t="str">
        <f t="shared" si="18"/>
        <v/>
      </c>
      <c r="U198" s="131" t="str">
        <f t="shared" si="19"/>
        <v/>
      </c>
      <c r="V198" s="52">
        <f t="shared" si="20"/>
        <v>46475</v>
      </c>
      <c r="W198" s="132" t="str" cm="1">
        <f t="array" ref="W198">IF(AND($C198="",S198=""),"",IF(AND(N($C198)&gt;0,N(S198)=0),"nobody marked present",IF(N($D198)&gt;N($C198),"more broken than moulded",IF(AND($C198="",N(S198)&gt;0),"attendance marked but no blocks entered",IF(AND(N($C198)&gt;0,N(T198)=0),"no pay rate for this date - see Settings",IF(SUMPRODUCT((G198:R198&lt;&gt;"")*(G$5:R$5=""))&gt;0,"attendance in an empty worker slot",""))))))</f>
        <v/>
      </c>
      <c r="X198" s="133"/>
      <c r="Y198" s="125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</row>
    <row r="199" spans="1:39" s="127" customFormat="1" ht="21" customHeight="1" x14ac:dyDescent="0.25">
      <c r="A199" s="49">
        <v>46478</v>
      </c>
      <c r="B199" s="63" t="str">
        <f t="shared" ref="B199:B262" si="21">CHOOSE(WEEKDAY($A199,2),"Mon","Tue","Wed","Thu","Fri","Sat","Sun")</f>
        <v>Thu</v>
      </c>
      <c r="C199" s="64"/>
      <c r="D199" s="64"/>
      <c r="E199" s="65" t="str">
        <f t="shared" ref="E199:E262" si="22">IF($C199="","",$C199-N($D199))</f>
        <v/>
      </c>
      <c r="F199" s="65" t="str">
        <f t="shared" ref="F199:F262" si="23">IF($C199="","",$C199-MAX(0,N($D199)-BreakAllow*$C199))</f>
        <v/>
      </c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1" t="str">
        <f t="shared" ref="S199:S262" si="24">IF(COUNT(G199:R199)=0,"",SUM(G199:R199))</f>
        <v/>
      </c>
      <c r="T199" s="66" t="str">
        <f t="shared" ref="T199:T262" si="25">IF($C199="","",IFERROR(INDEX(RateValues,MATCH(SUMPRODUCT(MAX((RateDates&lt;=$A199)*RateDates)),RateDates,0)),0))</f>
        <v/>
      </c>
      <c r="U199" s="131" t="str">
        <f t="shared" ref="U199:U262" si="26">IF($C199="","",$F199*$T199)</f>
        <v/>
      </c>
      <c r="V199" s="52">
        <f t="shared" ref="V199:V262" si="27">$A199-WEEKDAY($A199,2)+1</f>
        <v>46475</v>
      </c>
      <c r="W199" s="132" t="str" cm="1">
        <f t="array" ref="W199">IF(AND($C199="",S199=""),"",IF(AND(N($C199)&gt;0,N(S199)=0),"nobody marked present",IF(N($D199)&gt;N($C199),"more broken than moulded",IF(AND($C199="",N(S199)&gt;0),"attendance marked but no blocks entered",IF(AND(N($C199)&gt;0,N(T199)=0),"no pay rate for this date - see Settings",IF(SUMPRODUCT((G199:R199&lt;&gt;"")*(G$5:R$5=""))&gt;0,"attendance in an empty worker slot",""))))))</f>
        <v/>
      </c>
      <c r="X199" s="133"/>
      <c r="Y199" s="125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</row>
    <row r="200" spans="1:39" s="127" customFormat="1" ht="21" customHeight="1" x14ac:dyDescent="0.25">
      <c r="A200" s="49">
        <v>46479</v>
      </c>
      <c r="B200" s="63" t="str">
        <f t="shared" si="21"/>
        <v>Fri</v>
      </c>
      <c r="C200" s="64"/>
      <c r="D200" s="64"/>
      <c r="E200" s="65" t="str">
        <f t="shared" si="22"/>
        <v/>
      </c>
      <c r="F200" s="65" t="str">
        <f t="shared" si="23"/>
        <v/>
      </c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1" t="str">
        <f t="shared" si="24"/>
        <v/>
      </c>
      <c r="T200" s="66" t="str">
        <f t="shared" si="25"/>
        <v/>
      </c>
      <c r="U200" s="131" t="str">
        <f t="shared" si="26"/>
        <v/>
      </c>
      <c r="V200" s="52">
        <f t="shared" si="27"/>
        <v>46475</v>
      </c>
      <c r="W200" s="132" t="str" cm="1">
        <f t="array" ref="W200">IF(AND($C200="",S200=""),"",IF(AND(N($C200)&gt;0,N(S200)=0),"nobody marked present",IF(N($D200)&gt;N($C200),"more broken than moulded",IF(AND($C200="",N(S200)&gt;0),"attendance marked but no blocks entered",IF(AND(N($C200)&gt;0,N(T200)=0),"no pay rate for this date - see Settings",IF(SUMPRODUCT((G200:R200&lt;&gt;"")*(G$5:R$5=""))&gt;0,"attendance in an empty worker slot",""))))))</f>
        <v/>
      </c>
      <c r="X200" s="133"/>
      <c r="Y200" s="125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</row>
    <row r="201" spans="1:39" s="127" customFormat="1" ht="21" customHeight="1" x14ac:dyDescent="0.25">
      <c r="A201" s="49">
        <v>46480</v>
      </c>
      <c r="B201" s="63" t="str">
        <f t="shared" si="21"/>
        <v>Sat</v>
      </c>
      <c r="C201" s="64"/>
      <c r="D201" s="64"/>
      <c r="E201" s="65" t="str">
        <f t="shared" si="22"/>
        <v/>
      </c>
      <c r="F201" s="65" t="str">
        <f t="shared" si="23"/>
        <v/>
      </c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1" t="str">
        <f t="shared" si="24"/>
        <v/>
      </c>
      <c r="T201" s="66" t="str">
        <f t="shared" si="25"/>
        <v/>
      </c>
      <c r="U201" s="131" t="str">
        <f t="shared" si="26"/>
        <v/>
      </c>
      <c r="V201" s="52">
        <f t="shared" si="27"/>
        <v>46475</v>
      </c>
      <c r="W201" s="132" t="str" cm="1">
        <f t="array" ref="W201">IF(AND($C201="",S201=""),"",IF(AND(N($C201)&gt;0,N(S201)=0),"nobody marked present",IF(N($D201)&gt;N($C201),"more broken than moulded",IF(AND($C201="",N(S201)&gt;0),"attendance marked but no blocks entered",IF(AND(N($C201)&gt;0,N(T201)=0),"no pay rate for this date - see Settings",IF(SUMPRODUCT((G201:R201&lt;&gt;"")*(G$5:R$5=""))&gt;0,"attendance in an empty worker slot",""))))))</f>
        <v/>
      </c>
      <c r="X201" s="133"/>
      <c r="Y201" s="125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</row>
    <row r="202" spans="1:39" s="127" customFormat="1" ht="21" customHeight="1" x14ac:dyDescent="0.25">
      <c r="A202" s="54">
        <v>46481</v>
      </c>
      <c r="B202" s="70" t="str">
        <f t="shared" si="21"/>
        <v>Sun</v>
      </c>
      <c r="C202" s="64"/>
      <c r="D202" s="64"/>
      <c r="E202" s="65" t="str">
        <f t="shared" si="22"/>
        <v/>
      </c>
      <c r="F202" s="65" t="str">
        <f t="shared" si="23"/>
        <v/>
      </c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1" t="str">
        <f t="shared" si="24"/>
        <v/>
      </c>
      <c r="T202" s="66" t="str">
        <f t="shared" si="25"/>
        <v/>
      </c>
      <c r="U202" s="131" t="str">
        <f t="shared" si="26"/>
        <v/>
      </c>
      <c r="V202" s="52">
        <f t="shared" si="27"/>
        <v>46475</v>
      </c>
      <c r="W202" s="132" t="str" cm="1">
        <f t="array" ref="W202">IF(AND($C202="",S202=""),"",IF(AND(N($C202)&gt;0,N(S202)=0),"nobody marked present",IF(N($D202)&gt;N($C202),"more broken than moulded",IF(AND($C202="",N(S202)&gt;0),"attendance marked but no blocks entered",IF(AND(N($C202)&gt;0,N(T202)=0),"no pay rate for this date - see Settings",IF(SUMPRODUCT((G202:R202&lt;&gt;"")*(G$5:R$5=""))&gt;0,"attendance in an empty worker slot",""))))))</f>
        <v/>
      </c>
      <c r="X202" s="133"/>
      <c r="Y202" s="125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</row>
    <row r="203" spans="1:39" s="127" customFormat="1" ht="21" customHeight="1" x14ac:dyDescent="0.25">
      <c r="A203" s="49">
        <v>46482</v>
      </c>
      <c r="B203" s="63" t="str">
        <f t="shared" si="21"/>
        <v>Mon</v>
      </c>
      <c r="C203" s="64"/>
      <c r="D203" s="64"/>
      <c r="E203" s="65" t="str">
        <f t="shared" si="22"/>
        <v/>
      </c>
      <c r="F203" s="65" t="str">
        <f t="shared" si="23"/>
        <v/>
      </c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1" t="str">
        <f t="shared" si="24"/>
        <v/>
      </c>
      <c r="T203" s="66" t="str">
        <f t="shared" si="25"/>
        <v/>
      </c>
      <c r="U203" s="131" t="str">
        <f t="shared" si="26"/>
        <v/>
      </c>
      <c r="V203" s="52">
        <f t="shared" si="27"/>
        <v>46482</v>
      </c>
      <c r="W203" s="132" t="str" cm="1">
        <f t="array" ref="W203">IF(AND($C203="",S203=""),"",IF(AND(N($C203)&gt;0,N(S203)=0),"nobody marked present",IF(N($D203)&gt;N($C203),"more broken than moulded",IF(AND($C203="",N(S203)&gt;0),"attendance marked but no blocks entered",IF(AND(N($C203)&gt;0,N(T203)=0),"no pay rate for this date - see Settings",IF(SUMPRODUCT((G203:R203&lt;&gt;"")*(G$5:R$5=""))&gt;0,"attendance in an empty worker slot",""))))))</f>
        <v/>
      </c>
      <c r="X203" s="133"/>
      <c r="Y203" s="125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</row>
    <row r="204" spans="1:39" s="127" customFormat="1" ht="21" customHeight="1" x14ac:dyDescent="0.25">
      <c r="A204" s="49">
        <v>46483</v>
      </c>
      <c r="B204" s="63" t="str">
        <f t="shared" si="21"/>
        <v>Tue</v>
      </c>
      <c r="C204" s="64"/>
      <c r="D204" s="64"/>
      <c r="E204" s="65" t="str">
        <f t="shared" si="22"/>
        <v/>
      </c>
      <c r="F204" s="65" t="str">
        <f t="shared" si="23"/>
        <v/>
      </c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1" t="str">
        <f t="shared" si="24"/>
        <v/>
      </c>
      <c r="T204" s="66" t="str">
        <f t="shared" si="25"/>
        <v/>
      </c>
      <c r="U204" s="131" t="str">
        <f t="shared" si="26"/>
        <v/>
      </c>
      <c r="V204" s="52">
        <f t="shared" si="27"/>
        <v>46482</v>
      </c>
      <c r="W204" s="132" t="str" cm="1">
        <f t="array" ref="W204">IF(AND($C204="",S204=""),"",IF(AND(N($C204)&gt;0,N(S204)=0),"nobody marked present",IF(N($D204)&gt;N($C204),"more broken than moulded",IF(AND($C204="",N(S204)&gt;0),"attendance marked but no blocks entered",IF(AND(N($C204)&gt;0,N(T204)=0),"no pay rate for this date - see Settings",IF(SUMPRODUCT((G204:R204&lt;&gt;"")*(G$5:R$5=""))&gt;0,"attendance in an empty worker slot",""))))))</f>
        <v/>
      </c>
      <c r="X204" s="133"/>
      <c r="Y204" s="125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</row>
    <row r="205" spans="1:39" s="127" customFormat="1" ht="21" customHeight="1" x14ac:dyDescent="0.25">
      <c r="A205" s="49">
        <v>46484</v>
      </c>
      <c r="B205" s="63" t="str">
        <f t="shared" si="21"/>
        <v>Wed</v>
      </c>
      <c r="C205" s="64"/>
      <c r="D205" s="64"/>
      <c r="E205" s="65" t="str">
        <f t="shared" si="22"/>
        <v/>
      </c>
      <c r="F205" s="65" t="str">
        <f t="shared" si="23"/>
        <v/>
      </c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1" t="str">
        <f t="shared" si="24"/>
        <v/>
      </c>
      <c r="T205" s="66" t="str">
        <f t="shared" si="25"/>
        <v/>
      </c>
      <c r="U205" s="131" t="str">
        <f t="shared" si="26"/>
        <v/>
      </c>
      <c r="V205" s="52">
        <f t="shared" si="27"/>
        <v>46482</v>
      </c>
      <c r="W205" s="132" t="str" cm="1">
        <f t="array" ref="W205">IF(AND($C205="",S205=""),"",IF(AND(N($C205)&gt;0,N(S205)=0),"nobody marked present",IF(N($D205)&gt;N($C205),"more broken than moulded",IF(AND($C205="",N(S205)&gt;0),"attendance marked but no blocks entered",IF(AND(N($C205)&gt;0,N(T205)=0),"no pay rate for this date - see Settings",IF(SUMPRODUCT((G205:R205&lt;&gt;"")*(G$5:R$5=""))&gt;0,"attendance in an empty worker slot",""))))))</f>
        <v/>
      </c>
      <c r="X205" s="133"/>
      <c r="Y205" s="125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</row>
    <row r="206" spans="1:39" s="127" customFormat="1" ht="21" customHeight="1" x14ac:dyDescent="0.25">
      <c r="A206" s="49">
        <v>46485</v>
      </c>
      <c r="B206" s="63" t="str">
        <f t="shared" si="21"/>
        <v>Thu</v>
      </c>
      <c r="C206" s="64"/>
      <c r="D206" s="64"/>
      <c r="E206" s="65" t="str">
        <f t="shared" si="22"/>
        <v/>
      </c>
      <c r="F206" s="65" t="str">
        <f t="shared" si="23"/>
        <v/>
      </c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1" t="str">
        <f t="shared" si="24"/>
        <v/>
      </c>
      <c r="T206" s="66" t="str">
        <f t="shared" si="25"/>
        <v/>
      </c>
      <c r="U206" s="131" t="str">
        <f t="shared" si="26"/>
        <v/>
      </c>
      <c r="V206" s="52">
        <f t="shared" si="27"/>
        <v>46482</v>
      </c>
      <c r="W206" s="132" t="str" cm="1">
        <f t="array" ref="W206">IF(AND($C206="",S206=""),"",IF(AND(N($C206)&gt;0,N(S206)=0),"nobody marked present",IF(N($D206)&gt;N($C206),"more broken than moulded",IF(AND($C206="",N(S206)&gt;0),"attendance marked but no blocks entered",IF(AND(N($C206)&gt;0,N(T206)=0),"no pay rate for this date - see Settings",IF(SUMPRODUCT((G206:R206&lt;&gt;"")*(G$5:R$5=""))&gt;0,"attendance in an empty worker slot",""))))))</f>
        <v/>
      </c>
      <c r="X206" s="133"/>
      <c r="Y206" s="125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</row>
    <row r="207" spans="1:39" s="127" customFormat="1" ht="21" customHeight="1" x14ac:dyDescent="0.25">
      <c r="A207" s="49">
        <v>46486</v>
      </c>
      <c r="B207" s="63" t="str">
        <f t="shared" si="21"/>
        <v>Fri</v>
      </c>
      <c r="C207" s="64"/>
      <c r="D207" s="64"/>
      <c r="E207" s="65" t="str">
        <f t="shared" si="22"/>
        <v/>
      </c>
      <c r="F207" s="65" t="str">
        <f t="shared" si="23"/>
        <v/>
      </c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1" t="str">
        <f t="shared" si="24"/>
        <v/>
      </c>
      <c r="T207" s="66" t="str">
        <f t="shared" si="25"/>
        <v/>
      </c>
      <c r="U207" s="131" t="str">
        <f t="shared" si="26"/>
        <v/>
      </c>
      <c r="V207" s="52">
        <f t="shared" si="27"/>
        <v>46482</v>
      </c>
      <c r="W207" s="132" t="str" cm="1">
        <f t="array" ref="W207">IF(AND($C207="",S207=""),"",IF(AND(N($C207)&gt;0,N(S207)=0),"nobody marked present",IF(N($D207)&gt;N($C207),"more broken than moulded",IF(AND($C207="",N(S207)&gt;0),"attendance marked but no blocks entered",IF(AND(N($C207)&gt;0,N(T207)=0),"no pay rate for this date - see Settings",IF(SUMPRODUCT((G207:R207&lt;&gt;"")*(G$5:R$5=""))&gt;0,"attendance in an empty worker slot",""))))))</f>
        <v/>
      </c>
      <c r="X207" s="133"/>
      <c r="Y207" s="125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</row>
    <row r="208" spans="1:39" s="127" customFormat="1" ht="21" customHeight="1" x14ac:dyDescent="0.25">
      <c r="A208" s="49">
        <v>46487</v>
      </c>
      <c r="B208" s="63" t="str">
        <f t="shared" si="21"/>
        <v>Sat</v>
      </c>
      <c r="C208" s="64"/>
      <c r="D208" s="64"/>
      <c r="E208" s="65" t="str">
        <f t="shared" si="22"/>
        <v/>
      </c>
      <c r="F208" s="65" t="str">
        <f t="shared" si="23"/>
        <v/>
      </c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1" t="str">
        <f t="shared" si="24"/>
        <v/>
      </c>
      <c r="T208" s="66" t="str">
        <f t="shared" si="25"/>
        <v/>
      </c>
      <c r="U208" s="131" t="str">
        <f t="shared" si="26"/>
        <v/>
      </c>
      <c r="V208" s="52">
        <f t="shared" si="27"/>
        <v>46482</v>
      </c>
      <c r="W208" s="132" t="str" cm="1">
        <f t="array" ref="W208">IF(AND($C208="",S208=""),"",IF(AND(N($C208)&gt;0,N(S208)=0),"nobody marked present",IF(N($D208)&gt;N($C208),"more broken than moulded",IF(AND($C208="",N(S208)&gt;0),"attendance marked but no blocks entered",IF(AND(N($C208)&gt;0,N(T208)=0),"no pay rate for this date - see Settings",IF(SUMPRODUCT((G208:R208&lt;&gt;"")*(G$5:R$5=""))&gt;0,"attendance in an empty worker slot",""))))))</f>
        <v/>
      </c>
      <c r="X208" s="133"/>
      <c r="Y208" s="125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</row>
    <row r="209" spans="1:39" s="127" customFormat="1" ht="21" customHeight="1" x14ac:dyDescent="0.25">
      <c r="A209" s="54">
        <v>46488</v>
      </c>
      <c r="B209" s="70" t="str">
        <f t="shared" si="21"/>
        <v>Sun</v>
      </c>
      <c r="C209" s="64"/>
      <c r="D209" s="64"/>
      <c r="E209" s="65" t="str">
        <f t="shared" si="22"/>
        <v/>
      </c>
      <c r="F209" s="65" t="str">
        <f t="shared" si="23"/>
        <v/>
      </c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1" t="str">
        <f t="shared" si="24"/>
        <v/>
      </c>
      <c r="T209" s="66" t="str">
        <f t="shared" si="25"/>
        <v/>
      </c>
      <c r="U209" s="131" t="str">
        <f t="shared" si="26"/>
        <v/>
      </c>
      <c r="V209" s="52">
        <f t="shared" si="27"/>
        <v>46482</v>
      </c>
      <c r="W209" s="132" t="str" cm="1">
        <f t="array" ref="W209">IF(AND($C209="",S209=""),"",IF(AND(N($C209)&gt;0,N(S209)=0),"nobody marked present",IF(N($D209)&gt;N($C209),"more broken than moulded",IF(AND($C209="",N(S209)&gt;0),"attendance marked but no blocks entered",IF(AND(N($C209)&gt;0,N(T209)=0),"no pay rate for this date - see Settings",IF(SUMPRODUCT((G209:R209&lt;&gt;"")*(G$5:R$5=""))&gt;0,"attendance in an empty worker slot",""))))))</f>
        <v/>
      </c>
      <c r="X209" s="133"/>
      <c r="Y209" s="125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</row>
    <row r="210" spans="1:39" s="127" customFormat="1" ht="21" customHeight="1" x14ac:dyDescent="0.25">
      <c r="A210" s="49">
        <v>46489</v>
      </c>
      <c r="B210" s="63" t="str">
        <f t="shared" si="21"/>
        <v>Mon</v>
      </c>
      <c r="C210" s="64"/>
      <c r="D210" s="64"/>
      <c r="E210" s="65" t="str">
        <f t="shared" si="22"/>
        <v/>
      </c>
      <c r="F210" s="65" t="str">
        <f t="shared" si="23"/>
        <v/>
      </c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1" t="str">
        <f t="shared" si="24"/>
        <v/>
      </c>
      <c r="T210" s="66" t="str">
        <f t="shared" si="25"/>
        <v/>
      </c>
      <c r="U210" s="131" t="str">
        <f t="shared" si="26"/>
        <v/>
      </c>
      <c r="V210" s="52">
        <f t="shared" si="27"/>
        <v>46489</v>
      </c>
      <c r="W210" s="132" t="str" cm="1">
        <f t="array" ref="W210">IF(AND($C210="",S210=""),"",IF(AND(N($C210)&gt;0,N(S210)=0),"nobody marked present",IF(N($D210)&gt;N($C210),"more broken than moulded",IF(AND($C210="",N(S210)&gt;0),"attendance marked but no blocks entered",IF(AND(N($C210)&gt;0,N(T210)=0),"no pay rate for this date - see Settings",IF(SUMPRODUCT((G210:R210&lt;&gt;"")*(G$5:R$5=""))&gt;0,"attendance in an empty worker slot",""))))))</f>
        <v/>
      </c>
      <c r="X210" s="133"/>
      <c r="Y210" s="125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</row>
    <row r="211" spans="1:39" s="127" customFormat="1" ht="21" customHeight="1" x14ac:dyDescent="0.25">
      <c r="A211" s="49">
        <v>46490</v>
      </c>
      <c r="B211" s="63" t="str">
        <f t="shared" si="21"/>
        <v>Tue</v>
      </c>
      <c r="C211" s="64"/>
      <c r="D211" s="64"/>
      <c r="E211" s="65" t="str">
        <f t="shared" si="22"/>
        <v/>
      </c>
      <c r="F211" s="65" t="str">
        <f t="shared" si="23"/>
        <v/>
      </c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1" t="str">
        <f t="shared" si="24"/>
        <v/>
      </c>
      <c r="T211" s="66" t="str">
        <f t="shared" si="25"/>
        <v/>
      </c>
      <c r="U211" s="131" t="str">
        <f t="shared" si="26"/>
        <v/>
      </c>
      <c r="V211" s="52">
        <f t="shared" si="27"/>
        <v>46489</v>
      </c>
      <c r="W211" s="132" t="str" cm="1">
        <f t="array" ref="W211">IF(AND($C211="",S211=""),"",IF(AND(N($C211)&gt;0,N(S211)=0),"nobody marked present",IF(N($D211)&gt;N($C211),"more broken than moulded",IF(AND($C211="",N(S211)&gt;0),"attendance marked but no blocks entered",IF(AND(N($C211)&gt;0,N(T211)=0),"no pay rate for this date - see Settings",IF(SUMPRODUCT((G211:R211&lt;&gt;"")*(G$5:R$5=""))&gt;0,"attendance in an empty worker slot",""))))))</f>
        <v/>
      </c>
      <c r="X211" s="133"/>
      <c r="Y211" s="125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</row>
    <row r="212" spans="1:39" s="127" customFormat="1" ht="21" customHeight="1" x14ac:dyDescent="0.25">
      <c r="A212" s="49">
        <v>46491</v>
      </c>
      <c r="B212" s="63" t="str">
        <f t="shared" si="21"/>
        <v>Wed</v>
      </c>
      <c r="C212" s="64"/>
      <c r="D212" s="64"/>
      <c r="E212" s="65" t="str">
        <f t="shared" si="22"/>
        <v/>
      </c>
      <c r="F212" s="65" t="str">
        <f t="shared" si="23"/>
        <v/>
      </c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1" t="str">
        <f t="shared" si="24"/>
        <v/>
      </c>
      <c r="T212" s="66" t="str">
        <f t="shared" si="25"/>
        <v/>
      </c>
      <c r="U212" s="131" t="str">
        <f t="shared" si="26"/>
        <v/>
      </c>
      <c r="V212" s="52">
        <f t="shared" si="27"/>
        <v>46489</v>
      </c>
      <c r="W212" s="132" t="str" cm="1">
        <f t="array" ref="W212">IF(AND($C212="",S212=""),"",IF(AND(N($C212)&gt;0,N(S212)=0),"nobody marked present",IF(N($D212)&gt;N($C212),"more broken than moulded",IF(AND($C212="",N(S212)&gt;0),"attendance marked but no blocks entered",IF(AND(N($C212)&gt;0,N(T212)=0),"no pay rate for this date - see Settings",IF(SUMPRODUCT((G212:R212&lt;&gt;"")*(G$5:R$5=""))&gt;0,"attendance in an empty worker slot",""))))))</f>
        <v/>
      </c>
      <c r="X212" s="133"/>
      <c r="Y212" s="125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</row>
    <row r="213" spans="1:39" s="127" customFormat="1" ht="21" customHeight="1" x14ac:dyDescent="0.25">
      <c r="A213" s="49">
        <v>46492</v>
      </c>
      <c r="B213" s="63" t="str">
        <f t="shared" si="21"/>
        <v>Thu</v>
      </c>
      <c r="C213" s="64"/>
      <c r="D213" s="64"/>
      <c r="E213" s="65" t="str">
        <f t="shared" si="22"/>
        <v/>
      </c>
      <c r="F213" s="65" t="str">
        <f t="shared" si="23"/>
        <v/>
      </c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1" t="str">
        <f t="shared" si="24"/>
        <v/>
      </c>
      <c r="T213" s="66" t="str">
        <f t="shared" si="25"/>
        <v/>
      </c>
      <c r="U213" s="131" t="str">
        <f t="shared" si="26"/>
        <v/>
      </c>
      <c r="V213" s="52">
        <f t="shared" si="27"/>
        <v>46489</v>
      </c>
      <c r="W213" s="132" t="str" cm="1">
        <f t="array" ref="W213">IF(AND($C213="",S213=""),"",IF(AND(N($C213)&gt;0,N(S213)=0),"nobody marked present",IF(N($D213)&gt;N($C213),"more broken than moulded",IF(AND($C213="",N(S213)&gt;0),"attendance marked but no blocks entered",IF(AND(N($C213)&gt;0,N(T213)=0),"no pay rate for this date - see Settings",IF(SUMPRODUCT((G213:R213&lt;&gt;"")*(G$5:R$5=""))&gt;0,"attendance in an empty worker slot",""))))))</f>
        <v/>
      </c>
      <c r="X213" s="133"/>
      <c r="Y213" s="125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</row>
    <row r="214" spans="1:39" s="127" customFormat="1" ht="21" customHeight="1" x14ac:dyDescent="0.25">
      <c r="A214" s="49">
        <v>46493</v>
      </c>
      <c r="B214" s="63" t="str">
        <f t="shared" si="21"/>
        <v>Fri</v>
      </c>
      <c r="C214" s="64"/>
      <c r="D214" s="64"/>
      <c r="E214" s="65" t="str">
        <f t="shared" si="22"/>
        <v/>
      </c>
      <c r="F214" s="65" t="str">
        <f t="shared" si="23"/>
        <v/>
      </c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1" t="str">
        <f t="shared" si="24"/>
        <v/>
      </c>
      <c r="T214" s="66" t="str">
        <f t="shared" si="25"/>
        <v/>
      </c>
      <c r="U214" s="131" t="str">
        <f t="shared" si="26"/>
        <v/>
      </c>
      <c r="V214" s="52">
        <f t="shared" si="27"/>
        <v>46489</v>
      </c>
      <c r="W214" s="132" t="str" cm="1">
        <f t="array" ref="W214">IF(AND($C214="",S214=""),"",IF(AND(N($C214)&gt;0,N(S214)=0),"nobody marked present",IF(N($D214)&gt;N($C214),"more broken than moulded",IF(AND($C214="",N(S214)&gt;0),"attendance marked but no blocks entered",IF(AND(N($C214)&gt;0,N(T214)=0),"no pay rate for this date - see Settings",IF(SUMPRODUCT((G214:R214&lt;&gt;"")*(G$5:R$5=""))&gt;0,"attendance in an empty worker slot",""))))))</f>
        <v/>
      </c>
      <c r="X214" s="133"/>
      <c r="Y214" s="125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</row>
    <row r="215" spans="1:39" s="127" customFormat="1" ht="21" customHeight="1" x14ac:dyDescent="0.25">
      <c r="A215" s="49">
        <v>46494</v>
      </c>
      <c r="B215" s="63" t="str">
        <f t="shared" si="21"/>
        <v>Sat</v>
      </c>
      <c r="C215" s="64"/>
      <c r="D215" s="64"/>
      <c r="E215" s="65" t="str">
        <f t="shared" si="22"/>
        <v/>
      </c>
      <c r="F215" s="65" t="str">
        <f t="shared" si="23"/>
        <v/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1" t="str">
        <f t="shared" si="24"/>
        <v/>
      </c>
      <c r="T215" s="66" t="str">
        <f t="shared" si="25"/>
        <v/>
      </c>
      <c r="U215" s="131" t="str">
        <f t="shared" si="26"/>
        <v/>
      </c>
      <c r="V215" s="52">
        <f t="shared" si="27"/>
        <v>46489</v>
      </c>
      <c r="W215" s="132" t="str" cm="1">
        <f t="array" ref="W215">IF(AND($C215="",S215=""),"",IF(AND(N($C215)&gt;0,N(S215)=0),"nobody marked present",IF(N($D215)&gt;N($C215),"more broken than moulded",IF(AND($C215="",N(S215)&gt;0),"attendance marked but no blocks entered",IF(AND(N($C215)&gt;0,N(T215)=0),"no pay rate for this date - see Settings",IF(SUMPRODUCT((G215:R215&lt;&gt;"")*(G$5:R$5=""))&gt;0,"attendance in an empty worker slot",""))))))</f>
        <v/>
      </c>
      <c r="X215" s="133"/>
      <c r="Y215" s="125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</row>
    <row r="216" spans="1:39" s="127" customFormat="1" ht="21" customHeight="1" x14ac:dyDescent="0.25">
      <c r="A216" s="54">
        <v>46495</v>
      </c>
      <c r="B216" s="70" t="str">
        <f t="shared" si="21"/>
        <v>Sun</v>
      </c>
      <c r="C216" s="64"/>
      <c r="D216" s="64"/>
      <c r="E216" s="65" t="str">
        <f t="shared" si="22"/>
        <v/>
      </c>
      <c r="F216" s="65" t="str">
        <f t="shared" si="23"/>
        <v/>
      </c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1" t="str">
        <f t="shared" si="24"/>
        <v/>
      </c>
      <c r="T216" s="66" t="str">
        <f t="shared" si="25"/>
        <v/>
      </c>
      <c r="U216" s="131" t="str">
        <f t="shared" si="26"/>
        <v/>
      </c>
      <c r="V216" s="52">
        <f t="shared" si="27"/>
        <v>46489</v>
      </c>
      <c r="W216" s="132" t="str" cm="1">
        <f t="array" ref="W216">IF(AND($C216="",S216=""),"",IF(AND(N($C216)&gt;0,N(S216)=0),"nobody marked present",IF(N($D216)&gt;N($C216),"more broken than moulded",IF(AND($C216="",N(S216)&gt;0),"attendance marked but no blocks entered",IF(AND(N($C216)&gt;0,N(T216)=0),"no pay rate for this date - see Settings",IF(SUMPRODUCT((G216:R216&lt;&gt;"")*(G$5:R$5=""))&gt;0,"attendance in an empty worker slot",""))))))</f>
        <v/>
      </c>
      <c r="X216" s="133"/>
      <c r="Y216" s="125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</row>
    <row r="217" spans="1:39" s="127" customFormat="1" ht="21" customHeight="1" x14ac:dyDescent="0.25">
      <c r="A217" s="49">
        <v>46496</v>
      </c>
      <c r="B217" s="63" t="str">
        <f t="shared" si="21"/>
        <v>Mon</v>
      </c>
      <c r="C217" s="64"/>
      <c r="D217" s="64"/>
      <c r="E217" s="65" t="str">
        <f t="shared" si="22"/>
        <v/>
      </c>
      <c r="F217" s="65" t="str">
        <f t="shared" si="23"/>
        <v/>
      </c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1" t="str">
        <f t="shared" si="24"/>
        <v/>
      </c>
      <c r="T217" s="66" t="str">
        <f t="shared" si="25"/>
        <v/>
      </c>
      <c r="U217" s="131" t="str">
        <f t="shared" si="26"/>
        <v/>
      </c>
      <c r="V217" s="52">
        <f t="shared" si="27"/>
        <v>46496</v>
      </c>
      <c r="W217" s="132" t="str" cm="1">
        <f t="array" ref="W217">IF(AND($C217="",S217=""),"",IF(AND(N($C217)&gt;0,N(S217)=0),"nobody marked present",IF(N($D217)&gt;N($C217),"more broken than moulded",IF(AND($C217="",N(S217)&gt;0),"attendance marked but no blocks entered",IF(AND(N($C217)&gt;0,N(T217)=0),"no pay rate for this date - see Settings",IF(SUMPRODUCT((G217:R217&lt;&gt;"")*(G$5:R$5=""))&gt;0,"attendance in an empty worker slot",""))))))</f>
        <v/>
      </c>
      <c r="X217" s="133"/>
      <c r="Y217" s="125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</row>
    <row r="218" spans="1:39" s="127" customFormat="1" ht="21" customHeight="1" x14ac:dyDescent="0.25">
      <c r="A218" s="49">
        <v>46497</v>
      </c>
      <c r="B218" s="63" t="str">
        <f t="shared" si="21"/>
        <v>Tue</v>
      </c>
      <c r="C218" s="64"/>
      <c r="D218" s="64"/>
      <c r="E218" s="65" t="str">
        <f t="shared" si="22"/>
        <v/>
      </c>
      <c r="F218" s="65" t="str">
        <f t="shared" si="23"/>
        <v/>
      </c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1" t="str">
        <f t="shared" si="24"/>
        <v/>
      </c>
      <c r="T218" s="66" t="str">
        <f t="shared" si="25"/>
        <v/>
      </c>
      <c r="U218" s="131" t="str">
        <f t="shared" si="26"/>
        <v/>
      </c>
      <c r="V218" s="52">
        <f t="shared" si="27"/>
        <v>46496</v>
      </c>
      <c r="W218" s="132" t="str" cm="1">
        <f t="array" ref="W218">IF(AND($C218="",S218=""),"",IF(AND(N($C218)&gt;0,N(S218)=0),"nobody marked present",IF(N($D218)&gt;N($C218),"more broken than moulded",IF(AND($C218="",N(S218)&gt;0),"attendance marked but no blocks entered",IF(AND(N($C218)&gt;0,N(T218)=0),"no pay rate for this date - see Settings",IF(SUMPRODUCT((G218:R218&lt;&gt;"")*(G$5:R$5=""))&gt;0,"attendance in an empty worker slot",""))))))</f>
        <v/>
      </c>
      <c r="X218" s="133"/>
      <c r="Y218" s="125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</row>
    <row r="219" spans="1:39" s="127" customFormat="1" ht="21" customHeight="1" x14ac:dyDescent="0.25">
      <c r="A219" s="49">
        <v>46498</v>
      </c>
      <c r="B219" s="63" t="str">
        <f t="shared" si="21"/>
        <v>Wed</v>
      </c>
      <c r="C219" s="64"/>
      <c r="D219" s="64"/>
      <c r="E219" s="65" t="str">
        <f t="shared" si="22"/>
        <v/>
      </c>
      <c r="F219" s="65" t="str">
        <f t="shared" si="23"/>
        <v/>
      </c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1" t="str">
        <f t="shared" si="24"/>
        <v/>
      </c>
      <c r="T219" s="66" t="str">
        <f t="shared" si="25"/>
        <v/>
      </c>
      <c r="U219" s="131" t="str">
        <f t="shared" si="26"/>
        <v/>
      </c>
      <c r="V219" s="52">
        <f t="shared" si="27"/>
        <v>46496</v>
      </c>
      <c r="W219" s="132" t="str" cm="1">
        <f t="array" ref="W219">IF(AND($C219="",S219=""),"",IF(AND(N($C219)&gt;0,N(S219)=0),"nobody marked present",IF(N($D219)&gt;N($C219),"more broken than moulded",IF(AND($C219="",N(S219)&gt;0),"attendance marked but no blocks entered",IF(AND(N($C219)&gt;0,N(T219)=0),"no pay rate for this date - see Settings",IF(SUMPRODUCT((G219:R219&lt;&gt;"")*(G$5:R$5=""))&gt;0,"attendance in an empty worker slot",""))))))</f>
        <v/>
      </c>
      <c r="X219" s="133"/>
      <c r="Y219" s="125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</row>
    <row r="220" spans="1:39" s="127" customFormat="1" ht="21" customHeight="1" x14ac:dyDescent="0.25">
      <c r="A220" s="49">
        <v>46499</v>
      </c>
      <c r="B220" s="63" t="str">
        <f t="shared" si="21"/>
        <v>Thu</v>
      </c>
      <c r="C220" s="64"/>
      <c r="D220" s="64"/>
      <c r="E220" s="65" t="str">
        <f t="shared" si="22"/>
        <v/>
      </c>
      <c r="F220" s="65" t="str">
        <f t="shared" si="23"/>
        <v/>
      </c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1" t="str">
        <f t="shared" si="24"/>
        <v/>
      </c>
      <c r="T220" s="66" t="str">
        <f t="shared" si="25"/>
        <v/>
      </c>
      <c r="U220" s="131" t="str">
        <f t="shared" si="26"/>
        <v/>
      </c>
      <c r="V220" s="52">
        <f t="shared" si="27"/>
        <v>46496</v>
      </c>
      <c r="W220" s="132" t="str" cm="1">
        <f t="array" ref="W220">IF(AND($C220="",S220=""),"",IF(AND(N($C220)&gt;0,N(S220)=0),"nobody marked present",IF(N($D220)&gt;N($C220),"more broken than moulded",IF(AND($C220="",N(S220)&gt;0),"attendance marked but no blocks entered",IF(AND(N($C220)&gt;0,N(T220)=0),"no pay rate for this date - see Settings",IF(SUMPRODUCT((G220:R220&lt;&gt;"")*(G$5:R$5=""))&gt;0,"attendance in an empty worker slot",""))))))</f>
        <v/>
      </c>
      <c r="X220" s="133"/>
      <c r="Y220" s="125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</row>
    <row r="221" spans="1:39" s="127" customFormat="1" ht="21" customHeight="1" x14ac:dyDescent="0.25">
      <c r="A221" s="49">
        <v>46500</v>
      </c>
      <c r="B221" s="63" t="str">
        <f t="shared" si="21"/>
        <v>Fri</v>
      </c>
      <c r="C221" s="64"/>
      <c r="D221" s="64"/>
      <c r="E221" s="65" t="str">
        <f t="shared" si="22"/>
        <v/>
      </c>
      <c r="F221" s="65" t="str">
        <f t="shared" si="23"/>
        <v/>
      </c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1" t="str">
        <f t="shared" si="24"/>
        <v/>
      </c>
      <c r="T221" s="66" t="str">
        <f t="shared" si="25"/>
        <v/>
      </c>
      <c r="U221" s="131" t="str">
        <f t="shared" si="26"/>
        <v/>
      </c>
      <c r="V221" s="52">
        <f t="shared" si="27"/>
        <v>46496</v>
      </c>
      <c r="W221" s="132" t="str" cm="1">
        <f t="array" ref="W221">IF(AND($C221="",S221=""),"",IF(AND(N($C221)&gt;0,N(S221)=0),"nobody marked present",IF(N($D221)&gt;N($C221),"more broken than moulded",IF(AND($C221="",N(S221)&gt;0),"attendance marked but no blocks entered",IF(AND(N($C221)&gt;0,N(T221)=0),"no pay rate for this date - see Settings",IF(SUMPRODUCT((G221:R221&lt;&gt;"")*(G$5:R$5=""))&gt;0,"attendance in an empty worker slot",""))))))</f>
        <v/>
      </c>
      <c r="X221" s="133"/>
      <c r="Y221" s="125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</row>
    <row r="222" spans="1:39" s="127" customFormat="1" ht="21" customHeight="1" x14ac:dyDescent="0.25">
      <c r="A222" s="49">
        <v>46501</v>
      </c>
      <c r="B222" s="63" t="str">
        <f t="shared" si="21"/>
        <v>Sat</v>
      </c>
      <c r="C222" s="64"/>
      <c r="D222" s="64"/>
      <c r="E222" s="65" t="str">
        <f t="shared" si="22"/>
        <v/>
      </c>
      <c r="F222" s="65" t="str">
        <f t="shared" si="23"/>
        <v/>
      </c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1" t="str">
        <f t="shared" si="24"/>
        <v/>
      </c>
      <c r="T222" s="66" t="str">
        <f t="shared" si="25"/>
        <v/>
      </c>
      <c r="U222" s="131" t="str">
        <f t="shared" si="26"/>
        <v/>
      </c>
      <c r="V222" s="52">
        <f t="shared" si="27"/>
        <v>46496</v>
      </c>
      <c r="W222" s="132" t="str" cm="1">
        <f t="array" ref="W222">IF(AND($C222="",S222=""),"",IF(AND(N($C222)&gt;0,N(S222)=0),"nobody marked present",IF(N($D222)&gt;N($C222),"more broken than moulded",IF(AND($C222="",N(S222)&gt;0),"attendance marked but no blocks entered",IF(AND(N($C222)&gt;0,N(T222)=0),"no pay rate for this date - see Settings",IF(SUMPRODUCT((G222:R222&lt;&gt;"")*(G$5:R$5=""))&gt;0,"attendance in an empty worker slot",""))))))</f>
        <v/>
      </c>
      <c r="X222" s="133"/>
      <c r="Y222" s="125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</row>
    <row r="223" spans="1:39" s="127" customFormat="1" ht="21" customHeight="1" x14ac:dyDescent="0.25">
      <c r="A223" s="54">
        <v>46502</v>
      </c>
      <c r="B223" s="70" t="str">
        <f t="shared" si="21"/>
        <v>Sun</v>
      </c>
      <c r="C223" s="64"/>
      <c r="D223" s="64"/>
      <c r="E223" s="65" t="str">
        <f t="shared" si="22"/>
        <v/>
      </c>
      <c r="F223" s="65" t="str">
        <f t="shared" si="23"/>
        <v/>
      </c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1" t="str">
        <f t="shared" si="24"/>
        <v/>
      </c>
      <c r="T223" s="66" t="str">
        <f t="shared" si="25"/>
        <v/>
      </c>
      <c r="U223" s="131" t="str">
        <f t="shared" si="26"/>
        <v/>
      </c>
      <c r="V223" s="52">
        <f t="shared" si="27"/>
        <v>46496</v>
      </c>
      <c r="W223" s="132" t="str" cm="1">
        <f t="array" ref="W223">IF(AND($C223="",S223=""),"",IF(AND(N($C223)&gt;0,N(S223)=0),"nobody marked present",IF(N($D223)&gt;N($C223),"more broken than moulded",IF(AND($C223="",N(S223)&gt;0),"attendance marked but no blocks entered",IF(AND(N($C223)&gt;0,N(T223)=0),"no pay rate for this date - see Settings",IF(SUMPRODUCT((G223:R223&lt;&gt;"")*(G$5:R$5=""))&gt;0,"attendance in an empty worker slot",""))))))</f>
        <v/>
      </c>
      <c r="X223" s="133"/>
      <c r="Y223" s="125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</row>
    <row r="224" spans="1:39" s="127" customFormat="1" ht="21" customHeight="1" x14ac:dyDescent="0.25">
      <c r="A224" s="49">
        <v>46503</v>
      </c>
      <c r="B224" s="63" t="str">
        <f t="shared" si="21"/>
        <v>Mon</v>
      </c>
      <c r="C224" s="64"/>
      <c r="D224" s="64"/>
      <c r="E224" s="65" t="str">
        <f t="shared" si="22"/>
        <v/>
      </c>
      <c r="F224" s="65" t="str">
        <f t="shared" si="23"/>
        <v/>
      </c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1" t="str">
        <f t="shared" si="24"/>
        <v/>
      </c>
      <c r="T224" s="66" t="str">
        <f t="shared" si="25"/>
        <v/>
      </c>
      <c r="U224" s="131" t="str">
        <f t="shared" si="26"/>
        <v/>
      </c>
      <c r="V224" s="52">
        <f t="shared" si="27"/>
        <v>46503</v>
      </c>
      <c r="W224" s="132" t="str" cm="1">
        <f t="array" ref="W224">IF(AND($C224="",S224=""),"",IF(AND(N($C224)&gt;0,N(S224)=0),"nobody marked present",IF(N($D224)&gt;N($C224),"more broken than moulded",IF(AND($C224="",N(S224)&gt;0),"attendance marked but no blocks entered",IF(AND(N($C224)&gt;0,N(T224)=0),"no pay rate for this date - see Settings",IF(SUMPRODUCT((G224:R224&lt;&gt;"")*(G$5:R$5=""))&gt;0,"attendance in an empty worker slot",""))))))</f>
        <v/>
      </c>
      <c r="X224" s="133"/>
      <c r="Y224" s="125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</row>
    <row r="225" spans="1:39" s="127" customFormat="1" ht="21" customHeight="1" x14ac:dyDescent="0.25">
      <c r="A225" s="49">
        <v>46504</v>
      </c>
      <c r="B225" s="63" t="str">
        <f t="shared" si="21"/>
        <v>Tue</v>
      </c>
      <c r="C225" s="64"/>
      <c r="D225" s="64"/>
      <c r="E225" s="65" t="str">
        <f t="shared" si="22"/>
        <v/>
      </c>
      <c r="F225" s="65" t="str">
        <f t="shared" si="23"/>
        <v/>
      </c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1" t="str">
        <f t="shared" si="24"/>
        <v/>
      </c>
      <c r="T225" s="66" t="str">
        <f t="shared" si="25"/>
        <v/>
      </c>
      <c r="U225" s="131" t="str">
        <f t="shared" si="26"/>
        <v/>
      </c>
      <c r="V225" s="52">
        <f t="shared" si="27"/>
        <v>46503</v>
      </c>
      <c r="W225" s="132" t="str" cm="1">
        <f t="array" ref="W225">IF(AND($C225="",S225=""),"",IF(AND(N($C225)&gt;0,N(S225)=0),"nobody marked present",IF(N($D225)&gt;N($C225),"more broken than moulded",IF(AND($C225="",N(S225)&gt;0),"attendance marked but no blocks entered",IF(AND(N($C225)&gt;0,N(T225)=0),"no pay rate for this date - see Settings",IF(SUMPRODUCT((G225:R225&lt;&gt;"")*(G$5:R$5=""))&gt;0,"attendance in an empty worker slot",""))))))</f>
        <v/>
      </c>
      <c r="X225" s="133"/>
      <c r="Y225" s="125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</row>
    <row r="226" spans="1:39" s="127" customFormat="1" ht="21" customHeight="1" x14ac:dyDescent="0.25">
      <c r="A226" s="49">
        <v>46505</v>
      </c>
      <c r="B226" s="63" t="str">
        <f t="shared" si="21"/>
        <v>Wed</v>
      </c>
      <c r="C226" s="64"/>
      <c r="D226" s="64"/>
      <c r="E226" s="65" t="str">
        <f t="shared" si="22"/>
        <v/>
      </c>
      <c r="F226" s="65" t="str">
        <f t="shared" si="23"/>
        <v/>
      </c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1" t="str">
        <f t="shared" si="24"/>
        <v/>
      </c>
      <c r="T226" s="66" t="str">
        <f t="shared" si="25"/>
        <v/>
      </c>
      <c r="U226" s="131" t="str">
        <f t="shared" si="26"/>
        <v/>
      </c>
      <c r="V226" s="52">
        <f t="shared" si="27"/>
        <v>46503</v>
      </c>
      <c r="W226" s="132" t="str" cm="1">
        <f t="array" ref="W226">IF(AND($C226="",S226=""),"",IF(AND(N($C226)&gt;0,N(S226)=0),"nobody marked present",IF(N($D226)&gt;N($C226),"more broken than moulded",IF(AND($C226="",N(S226)&gt;0),"attendance marked but no blocks entered",IF(AND(N($C226)&gt;0,N(T226)=0),"no pay rate for this date - see Settings",IF(SUMPRODUCT((G226:R226&lt;&gt;"")*(G$5:R$5=""))&gt;0,"attendance in an empty worker slot",""))))))</f>
        <v/>
      </c>
      <c r="X226" s="133"/>
      <c r="Y226" s="125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</row>
    <row r="227" spans="1:39" s="127" customFormat="1" ht="21" customHeight="1" x14ac:dyDescent="0.25">
      <c r="A227" s="49">
        <v>46506</v>
      </c>
      <c r="B227" s="63" t="str">
        <f t="shared" si="21"/>
        <v>Thu</v>
      </c>
      <c r="C227" s="64"/>
      <c r="D227" s="64"/>
      <c r="E227" s="65" t="str">
        <f t="shared" si="22"/>
        <v/>
      </c>
      <c r="F227" s="65" t="str">
        <f t="shared" si="23"/>
        <v/>
      </c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1" t="str">
        <f t="shared" si="24"/>
        <v/>
      </c>
      <c r="T227" s="66" t="str">
        <f t="shared" si="25"/>
        <v/>
      </c>
      <c r="U227" s="131" t="str">
        <f t="shared" si="26"/>
        <v/>
      </c>
      <c r="V227" s="52">
        <f t="shared" si="27"/>
        <v>46503</v>
      </c>
      <c r="W227" s="132" t="str" cm="1">
        <f t="array" ref="W227">IF(AND($C227="",S227=""),"",IF(AND(N($C227)&gt;0,N(S227)=0),"nobody marked present",IF(N($D227)&gt;N($C227),"more broken than moulded",IF(AND($C227="",N(S227)&gt;0),"attendance marked but no blocks entered",IF(AND(N($C227)&gt;0,N(T227)=0),"no pay rate for this date - see Settings",IF(SUMPRODUCT((G227:R227&lt;&gt;"")*(G$5:R$5=""))&gt;0,"attendance in an empty worker slot",""))))))</f>
        <v/>
      </c>
      <c r="X227" s="133"/>
      <c r="Y227" s="125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</row>
    <row r="228" spans="1:39" s="127" customFormat="1" ht="21" customHeight="1" x14ac:dyDescent="0.25">
      <c r="A228" s="49">
        <v>46507</v>
      </c>
      <c r="B228" s="63" t="str">
        <f t="shared" si="21"/>
        <v>Fri</v>
      </c>
      <c r="C228" s="64"/>
      <c r="D228" s="64"/>
      <c r="E228" s="65" t="str">
        <f t="shared" si="22"/>
        <v/>
      </c>
      <c r="F228" s="65" t="str">
        <f t="shared" si="23"/>
        <v/>
      </c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1" t="str">
        <f t="shared" si="24"/>
        <v/>
      </c>
      <c r="T228" s="66" t="str">
        <f t="shared" si="25"/>
        <v/>
      </c>
      <c r="U228" s="131" t="str">
        <f t="shared" si="26"/>
        <v/>
      </c>
      <c r="V228" s="52">
        <f t="shared" si="27"/>
        <v>46503</v>
      </c>
      <c r="W228" s="132" t="str" cm="1">
        <f t="array" ref="W228">IF(AND($C228="",S228=""),"",IF(AND(N($C228)&gt;0,N(S228)=0),"nobody marked present",IF(N($D228)&gt;N($C228),"more broken than moulded",IF(AND($C228="",N(S228)&gt;0),"attendance marked but no blocks entered",IF(AND(N($C228)&gt;0,N(T228)=0),"no pay rate for this date - see Settings",IF(SUMPRODUCT((G228:R228&lt;&gt;"")*(G$5:R$5=""))&gt;0,"attendance in an empty worker slot",""))))))</f>
        <v/>
      </c>
      <c r="X228" s="133"/>
      <c r="Y228" s="125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</row>
    <row r="229" spans="1:39" s="127" customFormat="1" ht="21" customHeight="1" x14ac:dyDescent="0.25">
      <c r="A229" s="49">
        <v>46508</v>
      </c>
      <c r="B229" s="63" t="str">
        <f t="shared" si="21"/>
        <v>Sat</v>
      </c>
      <c r="C229" s="64"/>
      <c r="D229" s="64"/>
      <c r="E229" s="65" t="str">
        <f t="shared" si="22"/>
        <v/>
      </c>
      <c r="F229" s="65" t="str">
        <f t="shared" si="23"/>
        <v/>
      </c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1" t="str">
        <f t="shared" si="24"/>
        <v/>
      </c>
      <c r="T229" s="66" t="str">
        <f t="shared" si="25"/>
        <v/>
      </c>
      <c r="U229" s="131" t="str">
        <f t="shared" si="26"/>
        <v/>
      </c>
      <c r="V229" s="52">
        <f t="shared" si="27"/>
        <v>46503</v>
      </c>
      <c r="W229" s="132" t="str" cm="1">
        <f t="array" ref="W229">IF(AND($C229="",S229=""),"",IF(AND(N($C229)&gt;0,N(S229)=0),"nobody marked present",IF(N($D229)&gt;N($C229),"more broken than moulded",IF(AND($C229="",N(S229)&gt;0),"attendance marked but no blocks entered",IF(AND(N($C229)&gt;0,N(T229)=0),"no pay rate for this date - see Settings",IF(SUMPRODUCT((G229:R229&lt;&gt;"")*(G$5:R$5=""))&gt;0,"attendance in an empty worker slot",""))))))</f>
        <v/>
      </c>
      <c r="X229" s="133"/>
      <c r="Y229" s="125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</row>
    <row r="230" spans="1:39" s="127" customFormat="1" ht="21" customHeight="1" x14ac:dyDescent="0.25">
      <c r="A230" s="54">
        <v>46509</v>
      </c>
      <c r="B230" s="70" t="str">
        <f t="shared" si="21"/>
        <v>Sun</v>
      </c>
      <c r="C230" s="64"/>
      <c r="D230" s="64"/>
      <c r="E230" s="65" t="str">
        <f t="shared" si="22"/>
        <v/>
      </c>
      <c r="F230" s="65" t="str">
        <f t="shared" si="23"/>
        <v/>
      </c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1" t="str">
        <f t="shared" si="24"/>
        <v/>
      </c>
      <c r="T230" s="66" t="str">
        <f t="shared" si="25"/>
        <v/>
      </c>
      <c r="U230" s="131" t="str">
        <f t="shared" si="26"/>
        <v/>
      </c>
      <c r="V230" s="52">
        <f t="shared" si="27"/>
        <v>46503</v>
      </c>
      <c r="W230" s="132" t="str" cm="1">
        <f t="array" ref="W230">IF(AND($C230="",S230=""),"",IF(AND(N($C230)&gt;0,N(S230)=0),"nobody marked present",IF(N($D230)&gt;N($C230),"more broken than moulded",IF(AND($C230="",N(S230)&gt;0),"attendance marked but no blocks entered",IF(AND(N($C230)&gt;0,N(T230)=0),"no pay rate for this date - see Settings",IF(SUMPRODUCT((G230:R230&lt;&gt;"")*(G$5:R$5=""))&gt;0,"attendance in an empty worker slot",""))))))</f>
        <v/>
      </c>
      <c r="X230" s="133"/>
      <c r="Y230" s="125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</row>
    <row r="231" spans="1:39" s="127" customFormat="1" ht="21" customHeight="1" x14ac:dyDescent="0.25">
      <c r="A231" s="49">
        <v>46510</v>
      </c>
      <c r="B231" s="63" t="str">
        <f t="shared" si="21"/>
        <v>Mon</v>
      </c>
      <c r="C231" s="64"/>
      <c r="D231" s="64"/>
      <c r="E231" s="65" t="str">
        <f t="shared" si="22"/>
        <v/>
      </c>
      <c r="F231" s="65" t="str">
        <f t="shared" si="23"/>
        <v/>
      </c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1" t="str">
        <f t="shared" si="24"/>
        <v/>
      </c>
      <c r="T231" s="66" t="str">
        <f t="shared" si="25"/>
        <v/>
      </c>
      <c r="U231" s="131" t="str">
        <f t="shared" si="26"/>
        <v/>
      </c>
      <c r="V231" s="52">
        <f t="shared" si="27"/>
        <v>46510</v>
      </c>
      <c r="W231" s="132" t="str" cm="1">
        <f t="array" ref="W231">IF(AND($C231="",S231=""),"",IF(AND(N($C231)&gt;0,N(S231)=0),"nobody marked present",IF(N($D231)&gt;N($C231),"more broken than moulded",IF(AND($C231="",N(S231)&gt;0),"attendance marked but no blocks entered",IF(AND(N($C231)&gt;0,N(T231)=0),"no pay rate for this date - see Settings",IF(SUMPRODUCT((G231:R231&lt;&gt;"")*(G$5:R$5=""))&gt;0,"attendance in an empty worker slot",""))))))</f>
        <v/>
      </c>
      <c r="X231" s="133"/>
      <c r="Y231" s="125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</row>
    <row r="232" spans="1:39" s="127" customFormat="1" ht="21" customHeight="1" x14ac:dyDescent="0.25">
      <c r="A232" s="49">
        <v>46511</v>
      </c>
      <c r="B232" s="63" t="str">
        <f t="shared" si="21"/>
        <v>Tue</v>
      </c>
      <c r="C232" s="64"/>
      <c r="D232" s="64"/>
      <c r="E232" s="65" t="str">
        <f t="shared" si="22"/>
        <v/>
      </c>
      <c r="F232" s="65" t="str">
        <f t="shared" si="23"/>
        <v/>
      </c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1" t="str">
        <f t="shared" si="24"/>
        <v/>
      </c>
      <c r="T232" s="66" t="str">
        <f t="shared" si="25"/>
        <v/>
      </c>
      <c r="U232" s="131" t="str">
        <f t="shared" si="26"/>
        <v/>
      </c>
      <c r="V232" s="52">
        <f t="shared" si="27"/>
        <v>46510</v>
      </c>
      <c r="W232" s="132" t="str" cm="1">
        <f t="array" ref="W232">IF(AND($C232="",S232=""),"",IF(AND(N($C232)&gt;0,N(S232)=0),"nobody marked present",IF(N($D232)&gt;N($C232),"more broken than moulded",IF(AND($C232="",N(S232)&gt;0),"attendance marked but no blocks entered",IF(AND(N($C232)&gt;0,N(T232)=0),"no pay rate for this date - see Settings",IF(SUMPRODUCT((G232:R232&lt;&gt;"")*(G$5:R$5=""))&gt;0,"attendance in an empty worker slot",""))))))</f>
        <v/>
      </c>
      <c r="X232" s="133"/>
      <c r="Y232" s="125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</row>
    <row r="233" spans="1:39" s="127" customFormat="1" ht="21" customHeight="1" x14ac:dyDescent="0.25">
      <c r="A233" s="49">
        <v>46512</v>
      </c>
      <c r="B233" s="63" t="str">
        <f t="shared" si="21"/>
        <v>Wed</v>
      </c>
      <c r="C233" s="64"/>
      <c r="D233" s="64"/>
      <c r="E233" s="65" t="str">
        <f t="shared" si="22"/>
        <v/>
      </c>
      <c r="F233" s="65" t="str">
        <f t="shared" si="23"/>
        <v/>
      </c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1" t="str">
        <f t="shared" si="24"/>
        <v/>
      </c>
      <c r="T233" s="66" t="str">
        <f t="shared" si="25"/>
        <v/>
      </c>
      <c r="U233" s="131" t="str">
        <f t="shared" si="26"/>
        <v/>
      </c>
      <c r="V233" s="52">
        <f t="shared" si="27"/>
        <v>46510</v>
      </c>
      <c r="W233" s="132" t="str" cm="1">
        <f t="array" ref="W233">IF(AND($C233="",S233=""),"",IF(AND(N($C233)&gt;0,N(S233)=0),"nobody marked present",IF(N($D233)&gt;N($C233),"more broken than moulded",IF(AND($C233="",N(S233)&gt;0),"attendance marked but no blocks entered",IF(AND(N($C233)&gt;0,N(T233)=0),"no pay rate for this date - see Settings",IF(SUMPRODUCT((G233:R233&lt;&gt;"")*(G$5:R$5=""))&gt;0,"attendance in an empty worker slot",""))))))</f>
        <v/>
      </c>
      <c r="X233" s="133"/>
      <c r="Y233" s="125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</row>
    <row r="234" spans="1:39" s="127" customFormat="1" ht="21" customHeight="1" x14ac:dyDescent="0.25">
      <c r="A234" s="49">
        <v>46513</v>
      </c>
      <c r="B234" s="63" t="str">
        <f t="shared" si="21"/>
        <v>Thu</v>
      </c>
      <c r="C234" s="64"/>
      <c r="D234" s="64"/>
      <c r="E234" s="65" t="str">
        <f t="shared" si="22"/>
        <v/>
      </c>
      <c r="F234" s="65" t="str">
        <f t="shared" si="23"/>
        <v/>
      </c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1" t="str">
        <f t="shared" si="24"/>
        <v/>
      </c>
      <c r="T234" s="66" t="str">
        <f t="shared" si="25"/>
        <v/>
      </c>
      <c r="U234" s="131" t="str">
        <f t="shared" si="26"/>
        <v/>
      </c>
      <c r="V234" s="52">
        <f t="shared" si="27"/>
        <v>46510</v>
      </c>
      <c r="W234" s="132" t="str" cm="1">
        <f t="array" ref="W234">IF(AND($C234="",S234=""),"",IF(AND(N($C234)&gt;0,N(S234)=0),"nobody marked present",IF(N($D234)&gt;N($C234),"more broken than moulded",IF(AND($C234="",N(S234)&gt;0),"attendance marked but no blocks entered",IF(AND(N($C234)&gt;0,N(T234)=0),"no pay rate for this date - see Settings",IF(SUMPRODUCT((G234:R234&lt;&gt;"")*(G$5:R$5=""))&gt;0,"attendance in an empty worker slot",""))))))</f>
        <v/>
      </c>
      <c r="X234" s="133"/>
      <c r="Y234" s="125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</row>
    <row r="235" spans="1:39" s="127" customFormat="1" ht="21" customHeight="1" x14ac:dyDescent="0.25">
      <c r="A235" s="49">
        <v>46514</v>
      </c>
      <c r="B235" s="63" t="str">
        <f t="shared" si="21"/>
        <v>Fri</v>
      </c>
      <c r="C235" s="64"/>
      <c r="D235" s="64"/>
      <c r="E235" s="65" t="str">
        <f t="shared" si="22"/>
        <v/>
      </c>
      <c r="F235" s="65" t="str">
        <f t="shared" si="23"/>
        <v/>
      </c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1" t="str">
        <f t="shared" si="24"/>
        <v/>
      </c>
      <c r="T235" s="66" t="str">
        <f t="shared" si="25"/>
        <v/>
      </c>
      <c r="U235" s="131" t="str">
        <f t="shared" si="26"/>
        <v/>
      </c>
      <c r="V235" s="52">
        <f t="shared" si="27"/>
        <v>46510</v>
      </c>
      <c r="W235" s="132" t="str" cm="1">
        <f t="array" ref="W235">IF(AND($C235="",S235=""),"",IF(AND(N($C235)&gt;0,N(S235)=0),"nobody marked present",IF(N($D235)&gt;N($C235),"more broken than moulded",IF(AND($C235="",N(S235)&gt;0),"attendance marked but no blocks entered",IF(AND(N($C235)&gt;0,N(T235)=0),"no pay rate for this date - see Settings",IF(SUMPRODUCT((G235:R235&lt;&gt;"")*(G$5:R$5=""))&gt;0,"attendance in an empty worker slot",""))))))</f>
        <v/>
      </c>
      <c r="X235" s="133"/>
      <c r="Y235" s="125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</row>
    <row r="236" spans="1:39" s="127" customFormat="1" ht="21" customHeight="1" x14ac:dyDescent="0.25">
      <c r="A236" s="49">
        <v>46515</v>
      </c>
      <c r="B236" s="63" t="str">
        <f t="shared" si="21"/>
        <v>Sat</v>
      </c>
      <c r="C236" s="64"/>
      <c r="D236" s="64"/>
      <c r="E236" s="65" t="str">
        <f t="shared" si="22"/>
        <v/>
      </c>
      <c r="F236" s="65" t="str">
        <f t="shared" si="23"/>
        <v/>
      </c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1" t="str">
        <f t="shared" si="24"/>
        <v/>
      </c>
      <c r="T236" s="66" t="str">
        <f t="shared" si="25"/>
        <v/>
      </c>
      <c r="U236" s="131" t="str">
        <f t="shared" si="26"/>
        <v/>
      </c>
      <c r="V236" s="52">
        <f t="shared" si="27"/>
        <v>46510</v>
      </c>
      <c r="W236" s="132" t="str" cm="1">
        <f t="array" ref="W236">IF(AND($C236="",S236=""),"",IF(AND(N($C236)&gt;0,N(S236)=0),"nobody marked present",IF(N($D236)&gt;N($C236),"more broken than moulded",IF(AND($C236="",N(S236)&gt;0),"attendance marked but no blocks entered",IF(AND(N($C236)&gt;0,N(T236)=0),"no pay rate for this date - see Settings",IF(SUMPRODUCT((G236:R236&lt;&gt;"")*(G$5:R$5=""))&gt;0,"attendance in an empty worker slot",""))))))</f>
        <v/>
      </c>
      <c r="X236" s="133"/>
      <c r="Y236" s="125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</row>
    <row r="237" spans="1:39" s="127" customFormat="1" ht="21" customHeight="1" x14ac:dyDescent="0.25">
      <c r="A237" s="54">
        <v>46516</v>
      </c>
      <c r="B237" s="70" t="str">
        <f t="shared" si="21"/>
        <v>Sun</v>
      </c>
      <c r="C237" s="64"/>
      <c r="D237" s="64"/>
      <c r="E237" s="65" t="str">
        <f t="shared" si="22"/>
        <v/>
      </c>
      <c r="F237" s="65" t="str">
        <f t="shared" si="23"/>
        <v/>
      </c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1" t="str">
        <f t="shared" si="24"/>
        <v/>
      </c>
      <c r="T237" s="66" t="str">
        <f t="shared" si="25"/>
        <v/>
      </c>
      <c r="U237" s="131" t="str">
        <f t="shared" si="26"/>
        <v/>
      </c>
      <c r="V237" s="52">
        <f t="shared" si="27"/>
        <v>46510</v>
      </c>
      <c r="W237" s="132" t="str" cm="1">
        <f t="array" ref="W237">IF(AND($C237="",S237=""),"",IF(AND(N($C237)&gt;0,N(S237)=0),"nobody marked present",IF(N($D237)&gt;N($C237),"more broken than moulded",IF(AND($C237="",N(S237)&gt;0),"attendance marked but no blocks entered",IF(AND(N($C237)&gt;0,N(T237)=0),"no pay rate for this date - see Settings",IF(SUMPRODUCT((G237:R237&lt;&gt;"")*(G$5:R$5=""))&gt;0,"attendance in an empty worker slot",""))))))</f>
        <v/>
      </c>
      <c r="X237" s="133"/>
      <c r="Y237" s="125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</row>
    <row r="238" spans="1:39" s="127" customFormat="1" ht="21" customHeight="1" x14ac:dyDescent="0.25">
      <c r="A238" s="49">
        <v>46517</v>
      </c>
      <c r="B238" s="63" t="str">
        <f t="shared" si="21"/>
        <v>Mon</v>
      </c>
      <c r="C238" s="64"/>
      <c r="D238" s="64"/>
      <c r="E238" s="65" t="str">
        <f t="shared" si="22"/>
        <v/>
      </c>
      <c r="F238" s="65" t="str">
        <f t="shared" si="23"/>
        <v/>
      </c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1" t="str">
        <f t="shared" si="24"/>
        <v/>
      </c>
      <c r="T238" s="66" t="str">
        <f t="shared" si="25"/>
        <v/>
      </c>
      <c r="U238" s="131" t="str">
        <f t="shared" si="26"/>
        <v/>
      </c>
      <c r="V238" s="52">
        <f t="shared" si="27"/>
        <v>46517</v>
      </c>
      <c r="W238" s="132" t="str" cm="1">
        <f t="array" ref="W238">IF(AND($C238="",S238=""),"",IF(AND(N($C238)&gt;0,N(S238)=0),"nobody marked present",IF(N($D238)&gt;N($C238),"more broken than moulded",IF(AND($C238="",N(S238)&gt;0),"attendance marked but no blocks entered",IF(AND(N($C238)&gt;0,N(T238)=0),"no pay rate for this date - see Settings",IF(SUMPRODUCT((G238:R238&lt;&gt;"")*(G$5:R$5=""))&gt;0,"attendance in an empty worker slot",""))))))</f>
        <v/>
      </c>
      <c r="X238" s="133"/>
      <c r="Y238" s="125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</row>
    <row r="239" spans="1:39" s="127" customFormat="1" ht="21" customHeight="1" x14ac:dyDescent="0.25">
      <c r="A239" s="49">
        <v>46518</v>
      </c>
      <c r="B239" s="63" t="str">
        <f t="shared" si="21"/>
        <v>Tue</v>
      </c>
      <c r="C239" s="64"/>
      <c r="D239" s="64"/>
      <c r="E239" s="65" t="str">
        <f t="shared" si="22"/>
        <v/>
      </c>
      <c r="F239" s="65" t="str">
        <f t="shared" si="23"/>
        <v/>
      </c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1" t="str">
        <f t="shared" si="24"/>
        <v/>
      </c>
      <c r="T239" s="66" t="str">
        <f t="shared" si="25"/>
        <v/>
      </c>
      <c r="U239" s="131" t="str">
        <f t="shared" si="26"/>
        <v/>
      </c>
      <c r="V239" s="52">
        <f t="shared" si="27"/>
        <v>46517</v>
      </c>
      <c r="W239" s="132" t="str" cm="1">
        <f t="array" ref="W239">IF(AND($C239="",S239=""),"",IF(AND(N($C239)&gt;0,N(S239)=0),"nobody marked present",IF(N($D239)&gt;N($C239),"more broken than moulded",IF(AND($C239="",N(S239)&gt;0),"attendance marked but no blocks entered",IF(AND(N($C239)&gt;0,N(T239)=0),"no pay rate for this date - see Settings",IF(SUMPRODUCT((G239:R239&lt;&gt;"")*(G$5:R$5=""))&gt;0,"attendance in an empty worker slot",""))))))</f>
        <v/>
      </c>
      <c r="X239" s="133"/>
      <c r="Y239" s="125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</row>
    <row r="240" spans="1:39" s="127" customFormat="1" ht="21" customHeight="1" x14ac:dyDescent="0.25">
      <c r="A240" s="49">
        <v>46519</v>
      </c>
      <c r="B240" s="63" t="str">
        <f t="shared" si="21"/>
        <v>Wed</v>
      </c>
      <c r="C240" s="64"/>
      <c r="D240" s="64"/>
      <c r="E240" s="65" t="str">
        <f t="shared" si="22"/>
        <v/>
      </c>
      <c r="F240" s="65" t="str">
        <f t="shared" si="23"/>
        <v/>
      </c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1" t="str">
        <f t="shared" si="24"/>
        <v/>
      </c>
      <c r="T240" s="66" t="str">
        <f t="shared" si="25"/>
        <v/>
      </c>
      <c r="U240" s="131" t="str">
        <f t="shared" si="26"/>
        <v/>
      </c>
      <c r="V240" s="52">
        <f t="shared" si="27"/>
        <v>46517</v>
      </c>
      <c r="W240" s="132" t="str" cm="1">
        <f t="array" ref="W240">IF(AND($C240="",S240=""),"",IF(AND(N($C240)&gt;0,N(S240)=0),"nobody marked present",IF(N($D240)&gt;N($C240),"more broken than moulded",IF(AND($C240="",N(S240)&gt;0),"attendance marked but no blocks entered",IF(AND(N($C240)&gt;0,N(T240)=0),"no pay rate for this date - see Settings",IF(SUMPRODUCT((G240:R240&lt;&gt;"")*(G$5:R$5=""))&gt;0,"attendance in an empty worker slot",""))))))</f>
        <v/>
      </c>
      <c r="X240" s="133"/>
      <c r="Y240" s="125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</row>
    <row r="241" spans="1:39" s="127" customFormat="1" ht="21" customHeight="1" x14ac:dyDescent="0.25">
      <c r="A241" s="49">
        <v>46520</v>
      </c>
      <c r="B241" s="63" t="str">
        <f t="shared" si="21"/>
        <v>Thu</v>
      </c>
      <c r="C241" s="64"/>
      <c r="D241" s="64"/>
      <c r="E241" s="65" t="str">
        <f t="shared" si="22"/>
        <v/>
      </c>
      <c r="F241" s="65" t="str">
        <f t="shared" si="23"/>
        <v/>
      </c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1" t="str">
        <f t="shared" si="24"/>
        <v/>
      </c>
      <c r="T241" s="66" t="str">
        <f t="shared" si="25"/>
        <v/>
      </c>
      <c r="U241" s="131" t="str">
        <f t="shared" si="26"/>
        <v/>
      </c>
      <c r="V241" s="52">
        <f t="shared" si="27"/>
        <v>46517</v>
      </c>
      <c r="W241" s="132" t="str" cm="1">
        <f t="array" ref="W241">IF(AND($C241="",S241=""),"",IF(AND(N($C241)&gt;0,N(S241)=0),"nobody marked present",IF(N($D241)&gt;N($C241),"more broken than moulded",IF(AND($C241="",N(S241)&gt;0),"attendance marked but no blocks entered",IF(AND(N($C241)&gt;0,N(T241)=0),"no pay rate for this date - see Settings",IF(SUMPRODUCT((G241:R241&lt;&gt;"")*(G$5:R$5=""))&gt;0,"attendance in an empty worker slot",""))))))</f>
        <v/>
      </c>
      <c r="X241" s="133"/>
      <c r="Y241" s="125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</row>
    <row r="242" spans="1:39" s="127" customFormat="1" ht="21" customHeight="1" x14ac:dyDescent="0.25">
      <c r="A242" s="49">
        <v>46521</v>
      </c>
      <c r="B242" s="63" t="str">
        <f t="shared" si="21"/>
        <v>Fri</v>
      </c>
      <c r="C242" s="64"/>
      <c r="D242" s="64"/>
      <c r="E242" s="65" t="str">
        <f t="shared" si="22"/>
        <v/>
      </c>
      <c r="F242" s="65" t="str">
        <f t="shared" si="23"/>
        <v/>
      </c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1" t="str">
        <f t="shared" si="24"/>
        <v/>
      </c>
      <c r="T242" s="66" t="str">
        <f t="shared" si="25"/>
        <v/>
      </c>
      <c r="U242" s="131" t="str">
        <f t="shared" si="26"/>
        <v/>
      </c>
      <c r="V242" s="52">
        <f t="shared" si="27"/>
        <v>46517</v>
      </c>
      <c r="W242" s="132" t="str" cm="1">
        <f t="array" ref="W242">IF(AND($C242="",S242=""),"",IF(AND(N($C242)&gt;0,N(S242)=0),"nobody marked present",IF(N($D242)&gt;N($C242),"more broken than moulded",IF(AND($C242="",N(S242)&gt;0),"attendance marked but no blocks entered",IF(AND(N($C242)&gt;0,N(T242)=0),"no pay rate for this date - see Settings",IF(SUMPRODUCT((G242:R242&lt;&gt;"")*(G$5:R$5=""))&gt;0,"attendance in an empty worker slot",""))))))</f>
        <v/>
      </c>
      <c r="X242" s="133"/>
      <c r="Y242" s="125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</row>
    <row r="243" spans="1:39" s="127" customFormat="1" ht="21" customHeight="1" x14ac:dyDescent="0.25">
      <c r="A243" s="49">
        <v>46522</v>
      </c>
      <c r="B243" s="63" t="str">
        <f t="shared" si="21"/>
        <v>Sat</v>
      </c>
      <c r="C243" s="64"/>
      <c r="D243" s="64"/>
      <c r="E243" s="65" t="str">
        <f t="shared" si="22"/>
        <v/>
      </c>
      <c r="F243" s="65" t="str">
        <f t="shared" si="23"/>
        <v/>
      </c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1" t="str">
        <f t="shared" si="24"/>
        <v/>
      </c>
      <c r="T243" s="66" t="str">
        <f t="shared" si="25"/>
        <v/>
      </c>
      <c r="U243" s="131" t="str">
        <f t="shared" si="26"/>
        <v/>
      </c>
      <c r="V243" s="52">
        <f t="shared" si="27"/>
        <v>46517</v>
      </c>
      <c r="W243" s="132" t="str" cm="1">
        <f t="array" ref="W243">IF(AND($C243="",S243=""),"",IF(AND(N($C243)&gt;0,N(S243)=0),"nobody marked present",IF(N($D243)&gt;N($C243),"more broken than moulded",IF(AND($C243="",N(S243)&gt;0),"attendance marked but no blocks entered",IF(AND(N($C243)&gt;0,N(T243)=0),"no pay rate for this date - see Settings",IF(SUMPRODUCT((G243:R243&lt;&gt;"")*(G$5:R$5=""))&gt;0,"attendance in an empty worker slot",""))))))</f>
        <v/>
      </c>
      <c r="X243" s="133"/>
      <c r="Y243" s="125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</row>
    <row r="244" spans="1:39" s="127" customFormat="1" ht="21" customHeight="1" x14ac:dyDescent="0.25">
      <c r="A244" s="54">
        <v>46523</v>
      </c>
      <c r="B244" s="70" t="str">
        <f t="shared" si="21"/>
        <v>Sun</v>
      </c>
      <c r="C244" s="64"/>
      <c r="D244" s="64"/>
      <c r="E244" s="65" t="str">
        <f t="shared" si="22"/>
        <v/>
      </c>
      <c r="F244" s="65" t="str">
        <f t="shared" si="23"/>
        <v/>
      </c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1" t="str">
        <f t="shared" si="24"/>
        <v/>
      </c>
      <c r="T244" s="66" t="str">
        <f t="shared" si="25"/>
        <v/>
      </c>
      <c r="U244" s="131" t="str">
        <f t="shared" si="26"/>
        <v/>
      </c>
      <c r="V244" s="52">
        <f t="shared" si="27"/>
        <v>46517</v>
      </c>
      <c r="W244" s="132" t="str" cm="1">
        <f t="array" ref="W244">IF(AND($C244="",S244=""),"",IF(AND(N($C244)&gt;0,N(S244)=0),"nobody marked present",IF(N($D244)&gt;N($C244),"more broken than moulded",IF(AND($C244="",N(S244)&gt;0),"attendance marked but no blocks entered",IF(AND(N($C244)&gt;0,N(T244)=0),"no pay rate for this date - see Settings",IF(SUMPRODUCT((G244:R244&lt;&gt;"")*(G$5:R$5=""))&gt;0,"attendance in an empty worker slot",""))))))</f>
        <v/>
      </c>
      <c r="X244" s="133"/>
      <c r="Y244" s="125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</row>
    <row r="245" spans="1:39" s="127" customFormat="1" ht="21" customHeight="1" x14ac:dyDescent="0.25">
      <c r="A245" s="49">
        <v>46524</v>
      </c>
      <c r="B245" s="63" t="str">
        <f t="shared" si="21"/>
        <v>Mon</v>
      </c>
      <c r="C245" s="64"/>
      <c r="D245" s="64"/>
      <c r="E245" s="65" t="str">
        <f t="shared" si="22"/>
        <v/>
      </c>
      <c r="F245" s="65" t="str">
        <f t="shared" si="23"/>
        <v/>
      </c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1" t="str">
        <f t="shared" si="24"/>
        <v/>
      </c>
      <c r="T245" s="66" t="str">
        <f t="shared" si="25"/>
        <v/>
      </c>
      <c r="U245" s="131" t="str">
        <f t="shared" si="26"/>
        <v/>
      </c>
      <c r="V245" s="52">
        <f t="shared" si="27"/>
        <v>46524</v>
      </c>
      <c r="W245" s="132" t="str" cm="1">
        <f t="array" ref="W245">IF(AND($C245="",S245=""),"",IF(AND(N($C245)&gt;0,N(S245)=0),"nobody marked present",IF(N($D245)&gt;N($C245),"more broken than moulded",IF(AND($C245="",N(S245)&gt;0),"attendance marked but no blocks entered",IF(AND(N($C245)&gt;0,N(T245)=0),"no pay rate for this date - see Settings",IF(SUMPRODUCT((G245:R245&lt;&gt;"")*(G$5:R$5=""))&gt;0,"attendance in an empty worker slot",""))))))</f>
        <v/>
      </c>
      <c r="X245" s="133"/>
      <c r="Y245" s="125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</row>
    <row r="246" spans="1:39" s="127" customFormat="1" ht="21" customHeight="1" x14ac:dyDescent="0.25">
      <c r="A246" s="49">
        <v>46525</v>
      </c>
      <c r="B246" s="63" t="str">
        <f t="shared" si="21"/>
        <v>Tue</v>
      </c>
      <c r="C246" s="64"/>
      <c r="D246" s="64"/>
      <c r="E246" s="65" t="str">
        <f t="shared" si="22"/>
        <v/>
      </c>
      <c r="F246" s="65" t="str">
        <f t="shared" si="23"/>
        <v/>
      </c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1" t="str">
        <f t="shared" si="24"/>
        <v/>
      </c>
      <c r="T246" s="66" t="str">
        <f t="shared" si="25"/>
        <v/>
      </c>
      <c r="U246" s="131" t="str">
        <f t="shared" si="26"/>
        <v/>
      </c>
      <c r="V246" s="52">
        <f t="shared" si="27"/>
        <v>46524</v>
      </c>
      <c r="W246" s="132" t="str" cm="1">
        <f t="array" ref="W246">IF(AND($C246="",S246=""),"",IF(AND(N($C246)&gt;0,N(S246)=0),"nobody marked present",IF(N($D246)&gt;N($C246),"more broken than moulded",IF(AND($C246="",N(S246)&gt;0),"attendance marked but no blocks entered",IF(AND(N($C246)&gt;0,N(T246)=0),"no pay rate for this date - see Settings",IF(SUMPRODUCT((G246:R246&lt;&gt;"")*(G$5:R$5=""))&gt;0,"attendance in an empty worker slot",""))))))</f>
        <v/>
      </c>
      <c r="X246" s="133"/>
      <c r="Y246" s="125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</row>
    <row r="247" spans="1:39" s="127" customFormat="1" ht="21" customHeight="1" x14ac:dyDescent="0.25">
      <c r="A247" s="49">
        <v>46526</v>
      </c>
      <c r="B247" s="63" t="str">
        <f t="shared" si="21"/>
        <v>Wed</v>
      </c>
      <c r="C247" s="64"/>
      <c r="D247" s="64"/>
      <c r="E247" s="65" t="str">
        <f t="shared" si="22"/>
        <v/>
      </c>
      <c r="F247" s="65" t="str">
        <f t="shared" si="23"/>
        <v/>
      </c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1" t="str">
        <f t="shared" si="24"/>
        <v/>
      </c>
      <c r="T247" s="66" t="str">
        <f t="shared" si="25"/>
        <v/>
      </c>
      <c r="U247" s="131" t="str">
        <f t="shared" si="26"/>
        <v/>
      </c>
      <c r="V247" s="52">
        <f t="shared" si="27"/>
        <v>46524</v>
      </c>
      <c r="W247" s="132" t="str" cm="1">
        <f t="array" ref="W247">IF(AND($C247="",S247=""),"",IF(AND(N($C247)&gt;0,N(S247)=0),"nobody marked present",IF(N($D247)&gt;N($C247),"more broken than moulded",IF(AND($C247="",N(S247)&gt;0),"attendance marked but no blocks entered",IF(AND(N($C247)&gt;0,N(T247)=0),"no pay rate for this date - see Settings",IF(SUMPRODUCT((G247:R247&lt;&gt;"")*(G$5:R$5=""))&gt;0,"attendance in an empty worker slot",""))))))</f>
        <v/>
      </c>
      <c r="X247" s="133"/>
      <c r="Y247" s="125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</row>
    <row r="248" spans="1:39" s="127" customFormat="1" ht="21" customHeight="1" x14ac:dyDescent="0.25">
      <c r="A248" s="49">
        <v>46527</v>
      </c>
      <c r="B248" s="63" t="str">
        <f t="shared" si="21"/>
        <v>Thu</v>
      </c>
      <c r="C248" s="64"/>
      <c r="D248" s="64"/>
      <c r="E248" s="65" t="str">
        <f t="shared" si="22"/>
        <v/>
      </c>
      <c r="F248" s="65" t="str">
        <f t="shared" si="23"/>
        <v/>
      </c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1" t="str">
        <f t="shared" si="24"/>
        <v/>
      </c>
      <c r="T248" s="66" t="str">
        <f t="shared" si="25"/>
        <v/>
      </c>
      <c r="U248" s="131" t="str">
        <f t="shared" si="26"/>
        <v/>
      </c>
      <c r="V248" s="52">
        <f t="shared" si="27"/>
        <v>46524</v>
      </c>
      <c r="W248" s="132" t="str" cm="1">
        <f t="array" ref="W248">IF(AND($C248="",S248=""),"",IF(AND(N($C248)&gt;0,N(S248)=0),"nobody marked present",IF(N($D248)&gt;N($C248),"more broken than moulded",IF(AND($C248="",N(S248)&gt;0),"attendance marked but no blocks entered",IF(AND(N($C248)&gt;0,N(T248)=0),"no pay rate for this date - see Settings",IF(SUMPRODUCT((G248:R248&lt;&gt;"")*(G$5:R$5=""))&gt;0,"attendance in an empty worker slot",""))))))</f>
        <v/>
      </c>
      <c r="X248" s="133"/>
      <c r="Y248" s="125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</row>
    <row r="249" spans="1:39" s="127" customFormat="1" ht="21" customHeight="1" x14ac:dyDescent="0.25">
      <c r="A249" s="49">
        <v>46528</v>
      </c>
      <c r="B249" s="63" t="str">
        <f t="shared" si="21"/>
        <v>Fri</v>
      </c>
      <c r="C249" s="64"/>
      <c r="D249" s="64"/>
      <c r="E249" s="65" t="str">
        <f t="shared" si="22"/>
        <v/>
      </c>
      <c r="F249" s="65" t="str">
        <f t="shared" si="23"/>
        <v/>
      </c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1" t="str">
        <f t="shared" si="24"/>
        <v/>
      </c>
      <c r="T249" s="66" t="str">
        <f t="shared" si="25"/>
        <v/>
      </c>
      <c r="U249" s="131" t="str">
        <f t="shared" si="26"/>
        <v/>
      </c>
      <c r="V249" s="52">
        <f t="shared" si="27"/>
        <v>46524</v>
      </c>
      <c r="W249" s="132" t="str" cm="1">
        <f t="array" ref="W249">IF(AND($C249="",S249=""),"",IF(AND(N($C249)&gt;0,N(S249)=0),"nobody marked present",IF(N($D249)&gt;N($C249),"more broken than moulded",IF(AND($C249="",N(S249)&gt;0),"attendance marked but no blocks entered",IF(AND(N($C249)&gt;0,N(T249)=0),"no pay rate for this date - see Settings",IF(SUMPRODUCT((G249:R249&lt;&gt;"")*(G$5:R$5=""))&gt;0,"attendance in an empty worker slot",""))))))</f>
        <v/>
      </c>
      <c r="X249" s="133"/>
      <c r="Y249" s="125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</row>
    <row r="250" spans="1:39" s="127" customFormat="1" ht="21" customHeight="1" x14ac:dyDescent="0.25">
      <c r="A250" s="49">
        <v>46529</v>
      </c>
      <c r="B250" s="63" t="str">
        <f t="shared" si="21"/>
        <v>Sat</v>
      </c>
      <c r="C250" s="64"/>
      <c r="D250" s="64"/>
      <c r="E250" s="65" t="str">
        <f t="shared" si="22"/>
        <v/>
      </c>
      <c r="F250" s="65" t="str">
        <f t="shared" si="23"/>
        <v/>
      </c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1" t="str">
        <f t="shared" si="24"/>
        <v/>
      </c>
      <c r="T250" s="66" t="str">
        <f t="shared" si="25"/>
        <v/>
      </c>
      <c r="U250" s="131" t="str">
        <f t="shared" si="26"/>
        <v/>
      </c>
      <c r="V250" s="52">
        <f t="shared" si="27"/>
        <v>46524</v>
      </c>
      <c r="W250" s="132" t="str" cm="1">
        <f t="array" ref="W250">IF(AND($C250="",S250=""),"",IF(AND(N($C250)&gt;0,N(S250)=0),"nobody marked present",IF(N($D250)&gt;N($C250),"more broken than moulded",IF(AND($C250="",N(S250)&gt;0),"attendance marked but no blocks entered",IF(AND(N($C250)&gt;0,N(T250)=0),"no pay rate for this date - see Settings",IF(SUMPRODUCT((G250:R250&lt;&gt;"")*(G$5:R$5=""))&gt;0,"attendance in an empty worker slot",""))))))</f>
        <v/>
      </c>
      <c r="X250" s="133"/>
      <c r="Y250" s="125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</row>
    <row r="251" spans="1:39" s="127" customFormat="1" ht="21" customHeight="1" x14ac:dyDescent="0.25">
      <c r="A251" s="54">
        <v>46530</v>
      </c>
      <c r="B251" s="70" t="str">
        <f t="shared" si="21"/>
        <v>Sun</v>
      </c>
      <c r="C251" s="64"/>
      <c r="D251" s="64"/>
      <c r="E251" s="65" t="str">
        <f t="shared" si="22"/>
        <v/>
      </c>
      <c r="F251" s="65" t="str">
        <f t="shared" si="23"/>
        <v/>
      </c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1" t="str">
        <f t="shared" si="24"/>
        <v/>
      </c>
      <c r="T251" s="66" t="str">
        <f t="shared" si="25"/>
        <v/>
      </c>
      <c r="U251" s="131" t="str">
        <f t="shared" si="26"/>
        <v/>
      </c>
      <c r="V251" s="52">
        <f t="shared" si="27"/>
        <v>46524</v>
      </c>
      <c r="W251" s="132" t="str" cm="1">
        <f t="array" ref="W251">IF(AND($C251="",S251=""),"",IF(AND(N($C251)&gt;0,N(S251)=0),"nobody marked present",IF(N($D251)&gt;N($C251),"more broken than moulded",IF(AND($C251="",N(S251)&gt;0),"attendance marked but no blocks entered",IF(AND(N($C251)&gt;0,N(T251)=0),"no pay rate for this date - see Settings",IF(SUMPRODUCT((G251:R251&lt;&gt;"")*(G$5:R$5=""))&gt;0,"attendance in an empty worker slot",""))))))</f>
        <v/>
      </c>
      <c r="X251" s="133"/>
      <c r="Y251" s="125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</row>
    <row r="252" spans="1:39" s="127" customFormat="1" ht="21" customHeight="1" x14ac:dyDescent="0.25">
      <c r="A252" s="49">
        <v>46531</v>
      </c>
      <c r="B252" s="63" t="str">
        <f t="shared" si="21"/>
        <v>Mon</v>
      </c>
      <c r="C252" s="64"/>
      <c r="D252" s="64"/>
      <c r="E252" s="65" t="str">
        <f t="shared" si="22"/>
        <v/>
      </c>
      <c r="F252" s="65" t="str">
        <f t="shared" si="23"/>
        <v/>
      </c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1" t="str">
        <f t="shared" si="24"/>
        <v/>
      </c>
      <c r="T252" s="66" t="str">
        <f t="shared" si="25"/>
        <v/>
      </c>
      <c r="U252" s="131" t="str">
        <f t="shared" si="26"/>
        <v/>
      </c>
      <c r="V252" s="52">
        <f t="shared" si="27"/>
        <v>46531</v>
      </c>
      <c r="W252" s="132" t="str" cm="1">
        <f t="array" ref="W252">IF(AND($C252="",S252=""),"",IF(AND(N($C252)&gt;0,N(S252)=0),"nobody marked present",IF(N($D252)&gt;N($C252),"more broken than moulded",IF(AND($C252="",N(S252)&gt;0),"attendance marked but no blocks entered",IF(AND(N($C252)&gt;0,N(T252)=0),"no pay rate for this date - see Settings",IF(SUMPRODUCT((G252:R252&lt;&gt;"")*(G$5:R$5=""))&gt;0,"attendance in an empty worker slot",""))))))</f>
        <v/>
      </c>
      <c r="X252" s="133"/>
      <c r="Y252" s="125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</row>
    <row r="253" spans="1:39" s="127" customFormat="1" ht="21" customHeight="1" x14ac:dyDescent="0.25">
      <c r="A253" s="49">
        <v>46532</v>
      </c>
      <c r="B253" s="63" t="str">
        <f t="shared" si="21"/>
        <v>Tue</v>
      </c>
      <c r="C253" s="64"/>
      <c r="D253" s="64"/>
      <c r="E253" s="65" t="str">
        <f t="shared" si="22"/>
        <v/>
      </c>
      <c r="F253" s="65" t="str">
        <f t="shared" si="23"/>
        <v/>
      </c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1" t="str">
        <f t="shared" si="24"/>
        <v/>
      </c>
      <c r="T253" s="66" t="str">
        <f t="shared" si="25"/>
        <v/>
      </c>
      <c r="U253" s="131" t="str">
        <f t="shared" si="26"/>
        <v/>
      </c>
      <c r="V253" s="52">
        <f t="shared" si="27"/>
        <v>46531</v>
      </c>
      <c r="W253" s="132" t="str" cm="1">
        <f t="array" ref="W253">IF(AND($C253="",S253=""),"",IF(AND(N($C253)&gt;0,N(S253)=0),"nobody marked present",IF(N($D253)&gt;N($C253),"more broken than moulded",IF(AND($C253="",N(S253)&gt;0),"attendance marked but no blocks entered",IF(AND(N($C253)&gt;0,N(T253)=0),"no pay rate for this date - see Settings",IF(SUMPRODUCT((G253:R253&lt;&gt;"")*(G$5:R$5=""))&gt;0,"attendance in an empty worker slot",""))))))</f>
        <v/>
      </c>
      <c r="X253" s="133"/>
      <c r="Y253" s="125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</row>
    <row r="254" spans="1:39" s="127" customFormat="1" ht="21" customHeight="1" x14ac:dyDescent="0.25">
      <c r="A254" s="49">
        <v>46533</v>
      </c>
      <c r="B254" s="63" t="str">
        <f t="shared" si="21"/>
        <v>Wed</v>
      </c>
      <c r="C254" s="64"/>
      <c r="D254" s="64"/>
      <c r="E254" s="65" t="str">
        <f t="shared" si="22"/>
        <v/>
      </c>
      <c r="F254" s="65" t="str">
        <f t="shared" si="23"/>
        <v/>
      </c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1" t="str">
        <f t="shared" si="24"/>
        <v/>
      </c>
      <c r="T254" s="66" t="str">
        <f t="shared" si="25"/>
        <v/>
      </c>
      <c r="U254" s="131" t="str">
        <f t="shared" si="26"/>
        <v/>
      </c>
      <c r="V254" s="52">
        <f t="shared" si="27"/>
        <v>46531</v>
      </c>
      <c r="W254" s="132" t="str" cm="1">
        <f t="array" ref="W254">IF(AND($C254="",S254=""),"",IF(AND(N($C254)&gt;0,N(S254)=0),"nobody marked present",IF(N($D254)&gt;N($C254),"more broken than moulded",IF(AND($C254="",N(S254)&gt;0),"attendance marked but no blocks entered",IF(AND(N($C254)&gt;0,N(T254)=0),"no pay rate for this date - see Settings",IF(SUMPRODUCT((G254:R254&lt;&gt;"")*(G$5:R$5=""))&gt;0,"attendance in an empty worker slot",""))))))</f>
        <v/>
      </c>
      <c r="X254" s="133"/>
      <c r="Y254" s="125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</row>
    <row r="255" spans="1:39" s="127" customFormat="1" ht="21" customHeight="1" x14ac:dyDescent="0.25">
      <c r="A255" s="49">
        <v>46534</v>
      </c>
      <c r="B255" s="63" t="str">
        <f t="shared" si="21"/>
        <v>Thu</v>
      </c>
      <c r="C255" s="64"/>
      <c r="D255" s="64"/>
      <c r="E255" s="65" t="str">
        <f t="shared" si="22"/>
        <v/>
      </c>
      <c r="F255" s="65" t="str">
        <f t="shared" si="23"/>
        <v/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1" t="str">
        <f t="shared" si="24"/>
        <v/>
      </c>
      <c r="T255" s="66" t="str">
        <f t="shared" si="25"/>
        <v/>
      </c>
      <c r="U255" s="131" t="str">
        <f t="shared" si="26"/>
        <v/>
      </c>
      <c r="V255" s="52">
        <f t="shared" si="27"/>
        <v>46531</v>
      </c>
      <c r="W255" s="132" t="str" cm="1">
        <f t="array" ref="W255">IF(AND($C255="",S255=""),"",IF(AND(N($C255)&gt;0,N(S255)=0),"nobody marked present",IF(N($D255)&gt;N($C255),"more broken than moulded",IF(AND($C255="",N(S255)&gt;0),"attendance marked but no blocks entered",IF(AND(N($C255)&gt;0,N(T255)=0),"no pay rate for this date - see Settings",IF(SUMPRODUCT((G255:R255&lt;&gt;"")*(G$5:R$5=""))&gt;0,"attendance in an empty worker slot",""))))))</f>
        <v/>
      </c>
      <c r="X255" s="133"/>
      <c r="Y255" s="125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</row>
    <row r="256" spans="1:39" s="127" customFormat="1" ht="21" customHeight="1" x14ac:dyDescent="0.25">
      <c r="A256" s="49">
        <v>46535</v>
      </c>
      <c r="B256" s="63" t="str">
        <f t="shared" si="21"/>
        <v>Fri</v>
      </c>
      <c r="C256" s="64"/>
      <c r="D256" s="64"/>
      <c r="E256" s="65" t="str">
        <f t="shared" si="22"/>
        <v/>
      </c>
      <c r="F256" s="65" t="str">
        <f t="shared" si="23"/>
        <v/>
      </c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1" t="str">
        <f t="shared" si="24"/>
        <v/>
      </c>
      <c r="T256" s="66" t="str">
        <f t="shared" si="25"/>
        <v/>
      </c>
      <c r="U256" s="131" t="str">
        <f t="shared" si="26"/>
        <v/>
      </c>
      <c r="V256" s="52">
        <f t="shared" si="27"/>
        <v>46531</v>
      </c>
      <c r="W256" s="132" t="str" cm="1">
        <f t="array" ref="W256">IF(AND($C256="",S256=""),"",IF(AND(N($C256)&gt;0,N(S256)=0),"nobody marked present",IF(N($D256)&gt;N($C256),"more broken than moulded",IF(AND($C256="",N(S256)&gt;0),"attendance marked but no blocks entered",IF(AND(N($C256)&gt;0,N(T256)=0),"no pay rate for this date - see Settings",IF(SUMPRODUCT((G256:R256&lt;&gt;"")*(G$5:R$5=""))&gt;0,"attendance in an empty worker slot",""))))))</f>
        <v/>
      </c>
      <c r="X256" s="133"/>
      <c r="Y256" s="125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</row>
    <row r="257" spans="1:39" s="127" customFormat="1" ht="21" customHeight="1" x14ac:dyDescent="0.25">
      <c r="A257" s="49">
        <v>46536</v>
      </c>
      <c r="B257" s="63" t="str">
        <f t="shared" si="21"/>
        <v>Sat</v>
      </c>
      <c r="C257" s="64"/>
      <c r="D257" s="64"/>
      <c r="E257" s="65" t="str">
        <f t="shared" si="22"/>
        <v/>
      </c>
      <c r="F257" s="65" t="str">
        <f t="shared" si="23"/>
        <v/>
      </c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1" t="str">
        <f t="shared" si="24"/>
        <v/>
      </c>
      <c r="T257" s="66" t="str">
        <f t="shared" si="25"/>
        <v/>
      </c>
      <c r="U257" s="131" t="str">
        <f t="shared" si="26"/>
        <v/>
      </c>
      <c r="V257" s="52">
        <f t="shared" si="27"/>
        <v>46531</v>
      </c>
      <c r="W257" s="132" t="str" cm="1">
        <f t="array" ref="W257">IF(AND($C257="",S257=""),"",IF(AND(N($C257)&gt;0,N(S257)=0),"nobody marked present",IF(N($D257)&gt;N($C257),"more broken than moulded",IF(AND($C257="",N(S257)&gt;0),"attendance marked but no blocks entered",IF(AND(N($C257)&gt;0,N(T257)=0),"no pay rate for this date - see Settings",IF(SUMPRODUCT((G257:R257&lt;&gt;"")*(G$5:R$5=""))&gt;0,"attendance in an empty worker slot",""))))))</f>
        <v/>
      </c>
      <c r="X257" s="133"/>
      <c r="Y257" s="125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</row>
    <row r="258" spans="1:39" s="127" customFormat="1" ht="21" customHeight="1" x14ac:dyDescent="0.25">
      <c r="A258" s="54">
        <v>46537</v>
      </c>
      <c r="B258" s="70" t="str">
        <f t="shared" si="21"/>
        <v>Sun</v>
      </c>
      <c r="C258" s="64"/>
      <c r="D258" s="64"/>
      <c r="E258" s="65" t="str">
        <f t="shared" si="22"/>
        <v/>
      </c>
      <c r="F258" s="65" t="str">
        <f t="shared" si="23"/>
        <v/>
      </c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1" t="str">
        <f t="shared" si="24"/>
        <v/>
      </c>
      <c r="T258" s="66" t="str">
        <f t="shared" si="25"/>
        <v/>
      </c>
      <c r="U258" s="131" t="str">
        <f t="shared" si="26"/>
        <v/>
      </c>
      <c r="V258" s="52">
        <f t="shared" si="27"/>
        <v>46531</v>
      </c>
      <c r="W258" s="132" t="str" cm="1">
        <f t="array" ref="W258">IF(AND($C258="",S258=""),"",IF(AND(N($C258)&gt;0,N(S258)=0),"nobody marked present",IF(N($D258)&gt;N($C258),"more broken than moulded",IF(AND($C258="",N(S258)&gt;0),"attendance marked but no blocks entered",IF(AND(N($C258)&gt;0,N(T258)=0),"no pay rate for this date - see Settings",IF(SUMPRODUCT((G258:R258&lt;&gt;"")*(G$5:R$5=""))&gt;0,"attendance in an empty worker slot",""))))))</f>
        <v/>
      </c>
      <c r="X258" s="133"/>
      <c r="Y258" s="125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</row>
    <row r="259" spans="1:39" s="127" customFormat="1" ht="21" customHeight="1" x14ac:dyDescent="0.25">
      <c r="A259" s="49">
        <v>46538</v>
      </c>
      <c r="B259" s="63" t="str">
        <f t="shared" si="21"/>
        <v>Mon</v>
      </c>
      <c r="C259" s="64"/>
      <c r="D259" s="64"/>
      <c r="E259" s="65" t="str">
        <f t="shared" si="22"/>
        <v/>
      </c>
      <c r="F259" s="65" t="str">
        <f t="shared" si="23"/>
        <v/>
      </c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1" t="str">
        <f t="shared" si="24"/>
        <v/>
      </c>
      <c r="T259" s="66" t="str">
        <f t="shared" si="25"/>
        <v/>
      </c>
      <c r="U259" s="131" t="str">
        <f t="shared" si="26"/>
        <v/>
      </c>
      <c r="V259" s="52">
        <f t="shared" si="27"/>
        <v>46538</v>
      </c>
      <c r="W259" s="132" t="str" cm="1">
        <f t="array" ref="W259">IF(AND($C259="",S259=""),"",IF(AND(N($C259)&gt;0,N(S259)=0),"nobody marked present",IF(N($D259)&gt;N($C259),"more broken than moulded",IF(AND($C259="",N(S259)&gt;0),"attendance marked but no blocks entered",IF(AND(N($C259)&gt;0,N(T259)=0),"no pay rate for this date - see Settings",IF(SUMPRODUCT((G259:R259&lt;&gt;"")*(G$5:R$5=""))&gt;0,"attendance in an empty worker slot",""))))))</f>
        <v/>
      </c>
      <c r="X259" s="133"/>
      <c r="Y259" s="125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</row>
    <row r="260" spans="1:39" s="127" customFormat="1" ht="21" customHeight="1" x14ac:dyDescent="0.25">
      <c r="A260" s="49">
        <v>46539</v>
      </c>
      <c r="B260" s="63" t="str">
        <f t="shared" si="21"/>
        <v>Tue</v>
      </c>
      <c r="C260" s="64"/>
      <c r="D260" s="64"/>
      <c r="E260" s="65" t="str">
        <f t="shared" si="22"/>
        <v/>
      </c>
      <c r="F260" s="65" t="str">
        <f t="shared" si="23"/>
        <v/>
      </c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1" t="str">
        <f t="shared" si="24"/>
        <v/>
      </c>
      <c r="T260" s="66" t="str">
        <f t="shared" si="25"/>
        <v/>
      </c>
      <c r="U260" s="131" t="str">
        <f t="shared" si="26"/>
        <v/>
      </c>
      <c r="V260" s="52">
        <f t="shared" si="27"/>
        <v>46538</v>
      </c>
      <c r="W260" s="132" t="str" cm="1">
        <f t="array" ref="W260">IF(AND($C260="",S260=""),"",IF(AND(N($C260)&gt;0,N(S260)=0),"nobody marked present",IF(N($D260)&gt;N($C260),"more broken than moulded",IF(AND($C260="",N(S260)&gt;0),"attendance marked but no blocks entered",IF(AND(N($C260)&gt;0,N(T260)=0),"no pay rate for this date - see Settings",IF(SUMPRODUCT((G260:R260&lt;&gt;"")*(G$5:R$5=""))&gt;0,"attendance in an empty worker slot",""))))))</f>
        <v/>
      </c>
      <c r="X260" s="133"/>
      <c r="Y260" s="125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</row>
    <row r="261" spans="1:39" s="127" customFormat="1" ht="21" customHeight="1" x14ac:dyDescent="0.25">
      <c r="A261" s="49">
        <v>46540</v>
      </c>
      <c r="B261" s="63" t="str">
        <f t="shared" si="21"/>
        <v>Wed</v>
      </c>
      <c r="C261" s="64"/>
      <c r="D261" s="64"/>
      <c r="E261" s="65" t="str">
        <f t="shared" si="22"/>
        <v/>
      </c>
      <c r="F261" s="65" t="str">
        <f t="shared" si="23"/>
        <v/>
      </c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1" t="str">
        <f t="shared" si="24"/>
        <v/>
      </c>
      <c r="T261" s="66" t="str">
        <f t="shared" si="25"/>
        <v/>
      </c>
      <c r="U261" s="131" t="str">
        <f t="shared" si="26"/>
        <v/>
      </c>
      <c r="V261" s="52">
        <f t="shared" si="27"/>
        <v>46538</v>
      </c>
      <c r="W261" s="132" t="str" cm="1">
        <f t="array" ref="W261">IF(AND($C261="",S261=""),"",IF(AND(N($C261)&gt;0,N(S261)=0),"nobody marked present",IF(N($D261)&gt;N($C261),"more broken than moulded",IF(AND($C261="",N(S261)&gt;0),"attendance marked but no blocks entered",IF(AND(N($C261)&gt;0,N(T261)=0),"no pay rate for this date - see Settings",IF(SUMPRODUCT((G261:R261&lt;&gt;"")*(G$5:R$5=""))&gt;0,"attendance in an empty worker slot",""))))))</f>
        <v/>
      </c>
      <c r="X261" s="133"/>
      <c r="Y261" s="125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</row>
    <row r="262" spans="1:39" s="127" customFormat="1" ht="21" customHeight="1" x14ac:dyDescent="0.25">
      <c r="A262" s="49">
        <v>46541</v>
      </c>
      <c r="B262" s="63" t="str">
        <f t="shared" si="21"/>
        <v>Thu</v>
      </c>
      <c r="C262" s="64"/>
      <c r="D262" s="64"/>
      <c r="E262" s="65" t="str">
        <f t="shared" si="22"/>
        <v/>
      </c>
      <c r="F262" s="65" t="str">
        <f t="shared" si="23"/>
        <v/>
      </c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1" t="str">
        <f t="shared" si="24"/>
        <v/>
      </c>
      <c r="T262" s="66" t="str">
        <f t="shared" si="25"/>
        <v/>
      </c>
      <c r="U262" s="131" t="str">
        <f t="shared" si="26"/>
        <v/>
      </c>
      <c r="V262" s="52">
        <f t="shared" si="27"/>
        <v>46538</v>
      </c>
      <c r="W262" s="132" t="str" cm="1">
        <f t="array" ref="W262">IF(AND($C262="",S262=""),"",IF(AND(N($C262)&gt;0,N(S262)=0),"nobody marked present",IF(N($D262)&gt;N($C262),"more broken than moulded",IF(AND($C262="",N(S262)&gt;0),"attendance marked but no blocks entered",IF(AND(N($C262)&gt;0,N(T262)=0),"no pay rate for this date - see Settings",IF(SUMPRODUCT((G262:R262&lt;&gt;"")*(G$5:R$5=""))&gt;0,"attendance in an empty worker slot",""))))))</f>
        <v/>
      </c>
      <c r="X262" s="133"/>
      <c r="Y262" s="125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</row>
    <row r="263" spans="1:39" s="127" customFormat="1" ht="21" customHeight="1" x14ac:dyDescent="0.25">
      <c r="A263" s="49">
        <v>46542</v>
      </c>
      <c r="B263" s="63" t="str">
        <f t="shared" ref="B263:B326" si="28">CHOOSE(WEEKDAY($A263,2),"Mon","Tue","Wed","Thu","Fri","Sat","Sun")</f>
        <v>Fri</v>
      </c>
      <c r="C263" s="64"/>
      <c r="D263" s="64"/>
      <c r="E263" s="65" t="str">
        <f t="shared" ref="E263:E326" si="29">IF($C263="","",$C263-N($D263))</f>
        <v/>
      </c>
      <c r="F263" s="65" t="str">
        <f t="shared" ref="F263:F326" si="30">IF($C263="","",$C263-MAX(0,N($D263)-BreakAllow*$C263))</f>
        <v/>
      </c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1" t="str">
        <f t="shared" ref="S263:S326" si="31">IF(COUNT(G263:R263)=0,"",SUM(G263:R263))</f>
        <v/>
      </c>
      <c r="T263" s="66" t="str">
        <f t="shared" ref="T263:T326" si="32">IF($C263="","",IFERROR(INDEX(RateValues,MATCH(SUMPRODUCT(MAX((RateDates&lt;=$A263)*RateDates)),RateDates,0)),0))</f>
        <v/>
      </c>
      <c r="U263" s="131" t="str">
        <f t="shared" ref="U263:U326" si="33">IF($C263="","",$F263*$T263)</f>
        <v/>
      </c>
      <c r="V263" s="52">
        <f t="shared" ref="V263:V326" si="34">$A263-WEEKDAY($A263,2)+1</f>
        <v>46538</v>
      </c>
      <c r="W263" s="132" t="str" cm="1">
        <f t="array" ref="W263">IF(AND($C263="",S263=""),"",IF(AND(N($C263)&gt;0,N(S263)=0),"nobody marked present",IF(N($D263)&gt;N($C263),"more broken than moulded",IF(AND($C263="",N(S263)&gt;0),"attendance marked but no blocks entered",IF(AND(N($C263)&gt;0,N(T263)=0),"no pay rate for this date - see Settings",IF(SUMPRODUCT((G263:R263&lt;&gt;"")*(G$5:R$5=""))&gt;0,"attendance in an empty worker slot",""))))))</f>
        <v/>
      </c>
      <c r="X263" s="133"/>
      <c r="Y263" s="125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</row>
    <row r="264" spans="1:39" s="127" customFormat="1" ht="21" customHeight="1" x14ac:dyDescent="0.25">
      <c r="A264" s="49">
        <v>46543</v>
      </c>
      <c r="B264" s="63" t="str">
        <f t="shared" si="28"/>
        <v>Sat</v>
      </c>
      <c r="C264" s="64"/>
      <c r="D264" s="64"/>
      <c r="E264" s="65" t="str">
        <f t="shared" si="29"/>
        <v/>
      </c>
      <c r="F264" s="65" t="str">
        <f t="shared" si="30"/>
        <v/>
      </c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1" t="str">
        <f t="shared" si="31"/>
        <v/>
      </c>
      <c r="T264" s="66" t="str">
        <f t="shared" si="32"/>
        <v/>
      </c>
      <c r="U264" s="131" t="str">
        <f t="shared" si="33"/>
        <v/>
      </c>
      <c r="V264" s="52">
        <f t="shared" si="34"/>
        <v>46538</v>
      </c>
      <c r="W264" s="132" t="str" cm="1">
        <f t="array" ref="W264">IF(AND($C264="",S264=""),"",IF(AND(N($C264)&gt;0,N(S264)=0),"nobody marked present",IF(N($D264)&gt;N($C264),"more broken than moulded",IF(AND($C264="",N(S264)&gt;0),"attendance marked but no blocks entered",IF(AND(N($C264)&gt;0,N(T264)=0),"no pay rate for this date - see Settings",IF(SUMPRODUCT((G264:R264&lt;&gt;"")*(G$5:R$5=""))&gt;0,"attendance in an empty worker slot",""))))))</f>
        <v/>
      </c>
      <c r="X264" s="133"/>
      <c r="Y264" s="125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</row>
    <row r="265" spans="1:39" s="127" customFormat="1" ht="21" customHeight="1" x14ac:dyDescent="0.25">
      <c r="A265" s="54">
        <v>46544</v>
      </c>
      <c r="B265" s="70" t="str">
        <f t="shared" si="28"/>
        <v>Sun</v>
      </c>
      <c r="C265" s="64"/>
      <c r="D265" s="64"/>
      <c r="E265" s="65" t="str">
        <f t="shared" si="29"/>
        <v/>
      </c>
      <c r="F265" s="65" t="str">
        <f t="shared" si="30"/>
        <v/>
      </c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1" t="str">
        <f t="shared" si="31"/>
        <v/>
      </c>
      <c r="T265" s="66" t="str">
        <f t="shared" si="32"/>
        <v/>
      </c>
      <c r="U265" s="131" t="str">
        <f t="shared" si="33"/>
        <v/>
      </c>
      <c r="V265" s="52">
        <f t="shared" si="34"/>
        <v>46538</v>
      </c>
      <c r="W265" s="132" t="str" cm="1">
        <f t="array" ref="W265">IF(AND($C265="",S265=""),"",IF(AND(N($C265)&gt;0,N(S265)=0),"nobody marked present",IF(N($D265)&gt;N($C265),"more broken than moulded",IF(AND($C265="",N(S265)&gt;0),"attendance marked but no blocks entered",IF(AND(N($C265)&gt;0,N(T265)=0),"no pay rate for this date - see Settings",IF(SUMPRODUCT((G265:R265&lt;&gt;"")*(G$5:R$5=""))&gt;0,"attendance in an empty worker slot",""))))))</f>
        <v/>
      </c>
      <c r="X265" s="133"/>
      <c r="Y265" s="125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</row>
    <row r="266" spans="1:39" s="127" customFormat="1" ht="21" customHeight="1" x14ac:dyDescent="0.25">
      <c r="A266" s="49">
        <v>46545</v>
      </c>
      <c r="B266" s="63" t="str">
        <f t="shared" si="28"/>
        <v>Mon</v>
      </c>
      <c r="C266" s="64"/>
      <c r="D266" s="64"/>
      <c r="E266" s="65" t="str">
        <f t="shared" si="29"/>
        <v/>
      </c>
      <c r="F266" s="65" t="str">
        <f t="shared" si="30"/>
        <v/>
      </c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1" t="str">
        <f t="shared" si="31"/>
        <v/>
      </c>
      <c r="T266" s="66" t="str">
        <f t="shared" si="32"/>
        <v/>
      </c>
      <c r="U266" s="131" t="str">
        <f t="shared" si="33"/>
        <v/>
      </c>
      <c r="V266" s="52">
        <f t="shared" si="34"/>
        <v>46545</v>
      </c>
      <c r="W266" s="132" t="str" cm="1">
        <f t="array" ref="W266">IF(AND($C266="",S266=""),"",IF(AND(N($C266)&gt;0,N(S266)=0),"nobody marked present",IF(N($D266)&gt;N($C266),"more broken than moulded",IF(AND($C266="",N(S266)&gt;0),"attendance marked but no blocks entered",IF(AND(N($C266)&gt;0,N(T266)=0),"no pay rate for this date - see Settings",IF(SUMPRODUCT((G266:R266&lt;&gt;"")*(G$5:R$5=""))&gt;0,"attendance in an empty worker slot",""))))))</f>
        <v/>
      </c>
      <c r="X266" s="133"/>
      <c r="Y266" s="125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</row>
    <row r="267" spans="1:39" s="127" customFormat="1" ht="21" customHeight="1" x14ac:dyDescent="0.25">
      <c r="A267" s="49">
        <v>46546</v>
      </c>
      <c r="B267" s="63" t="str">
        <f t="shared" si="28"/>
        <v>Tue</v>
      </c>
      <c r="C267" s="64"/>
      <c r="D267" s="64"/>
      <c r="E267" s="65" t="str">
        <f t="shared" si="29"/>
        <v/>
      </c>
      <c r="F267" s="65" t="str">
        <f t="shared" si="30"/>
        <v/>
      </c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1" t="str">
        <f t="shared" si="31"/>
        <v/>
      </c>
      <c r="T267" s="66" t="str">
        <f t="shared" si="32"/>
        <v/>
      </c>
      <c r="U267" s="131" t="str">
        <f t="shared" si="33"/>
        <v/>
      </c>
      <c r="V267" s="52">
        <f t="shared" si="34"/>
        <v>46545</v>
      </c>
      <c r="W267" s="132" t="str" cm="1">
        <f t="array" ref="W267">IF(AND($C267="",S267=""),"",IF(AND(N($C267)&gt;0,N(S267)=0),"nobody marked present",IF(N($D267)&gt;N($C267),"more broken than moulded",IF(AND($C267="",N(S267)&gt;0),"attendance marked but no blocks entered",IF(AND(N($C267)&gt;0,N(T267)=0),"no pay rate for this date - see Settings",IF(SUMPRODUCT((G267:R267&lt;&gt;"")*(G$5:R$5=""))&gt;0,"attendance in an empty worker slot",""))))))</f>
        <v/>
      </c>
      <c r="X267" s="133"/>
      <c r="Y267" s="125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</row>
    <row r="268" spans="1:39" s="127" customFormat="1" ht="21" customHeight="1" x14ac:dyDescent="0.25">
      <c r="A268" s="49">
        <v>46547</v>
      </c>
      <c r="B268" s="63" t="str">
        <f t="shared" si="28"/>
        <v>Wed</v>
      </c>
      <c r="C268" s="64"/>
      <c r="D268" s="64"/>
      <c r="E268" s="65" t="str">
        <f t="shared" si="29"/>
        <v/>
      </c>
      <c r="F268" s="65" t="str">
        <f t="shared" si="30"/>
        <v/>
      </c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1" t="str">
        <f t="shared" si="31"/>
        <v/>
      </c>
      <c r="T268" s="66" t="str">
        <f t="shared" si="32"/>
        <v/>
      </c>
      <c r="U268" s="131" t="str">
        <f t="shared" si="33"/>
        <v/>
      </c>
      <c r="V268" s="52">
        <f t="shared" si="34"/>
        <v>46545</v>
      </c>
      <c r="W268" s="132" t="str" cm="1">
        <f t="array" ref="W268">IF(AND($C268="",S268=""),"",IF(AND(N($C268)&gt;0,N(S268)=0),"nobody marked present",IF(N($D268)&gt;N($C268),"more broken than moulded",IF(AND($C268="",N(S268)&gt;0),"attendance marked but no blocks entered",IF(AND(N($C268)&gt;0,N(T268)=0),"no pay rate for this date - see Settings",IF(SUMPRODUCT((G268:R268&lt;&gt;"")*(G$5:R$5=""))&gt;0,"attendance in an empty worker slot",""))))))</f>
        <v/>
      </c>
      <c r="X268" s="133"/>
      <c r="Y268" s="125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</row>
    <row r="269" spans="1:39" s="127" customFormat="1" ht="21" customHeight="1" x14ac:dyDescent="0.25">
      <c r="A269" s="49">
        <v>46548</v>
      </c>
      <c r="B269" s="63" t="str">
        <f t="shared" si="28"/>
        <v>Thu</v>
      </c>
      <c r="C269" s="64"/>
      <c r="D269" s="64"/>
      <c r="E269" s="65" t="str">
        <f t="shared" si="29"/>
        <v/>
      </c>
      <c r="F269" s="65" t="str">
        <f t="shared" si="30"/>
        <v/>
      </c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1" t="str">
        <f t="shared" si="31"/>
        <v/>
      </c>
      <c r="T269" s="66" t="str">
        <f t="shared" si="32"/>
        <v/>
      </c>
      <c r="U269" s="131" t="str">
        <f t="shared" si="33"/>
        <v/>
      </c>
      <c r="V269" s="52">
        <f t="shared" si="34"/>
        <v>46545</v>
      </c>
      <c r="W269" s="132" t="str" cm="1">
        <f t="array" ref="W269">IF(AND($C269="",S269=""),"",IF(AND(N($C269)&gt;0,N(S269)=0),"nobody marked present",IF(N($D269)&gt;N($C269),"more broken than moulded",IF(AND($C269="",N(S269)&gt;0),"attendance marked but no blocks entered",IF(AND(N($C269)&gt;0,N(T269)=0),"no pay rate for this date - see Settings",IF(SUMPRODUCT((G269:R269&lt;&gt;"")*(G$5:R$5=""))&gt;0,"attendance in an empty worker slot",""))))))</f>
        <v/>
      </c>
      <c r="X269" s="133"/>
      <c r="Y269" s="125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</row>
    <row r="270" spans="1:39" s="127" customFormat="1" ht="21" customHeight="1" x14ac:dyDescent="0.25">
      <c r="A270" s="49">
        <v>46549</v>
      </c>
      <c r="B270" s="63" t="str">
        <f t="shared" si="28"/>
        <v>Fri</v>
      </c>
      <c r="C270" s="64"/>
      <c r="D270" s="64"/>
      <c r="E270" s="65" t="str">
        <f t="shared" si="29"/>
        <v/>
      </c>
      <c r="F270" s="65" t="str">
        <f t="shared" si="30"/>
        <v/>
      </c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1" t="str">
        <f t="shared" si="31"/>
        <v/>
      </c>
      <c r="T270" s="66" t="str">
        <f t="shared" si="32"/>
        <v/>
      </c>
      <c r="U270" s="131" t="str">
        <f t="shared" si="33"/>
        <v/>
      </c>
      <c r="V270" s="52">
        <f t="shared" si="34"/>
        <v>46545</v>
      </c>
      <c r="W270" s="132" t="str" cm="1">
        <f t="array" ref="W270">IF(AND($C270="",S270=""),"",IF(AND(N($C270)&gt;0,N(S270)=0),"nobody marked present",IF(N($D270)&gt;N($C270),"more broken than moulded",IF(AND($C270="",N(S270)&gt;0),"attendance marked but no blocks entered",IF(AND(N($C270)&gt;0,N(T270)=0),"no pay rate for this date - see Settings",IF(SUMPRODUCT((G270:R270&lt;&gt;"")*(G$5:R$5=""))&gt;0,"attendance in an empty worker slot",""))))))</f>
        <v/>
      </c>
      <c r="X270" s="133"/>
      <c r="Y270" s="125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</row>
    <row r="271" spans="1:39" s="127" customFormat="1" ht="21" customHeight="1" x14ac:dyDescent="0.25">
      <c r="A271" s="49">
        <v>46550</v>
      </c>
      <c r="B271" s="63" t="str">
        <f t="shared" si="28"/>
        <v>Sat</v>
      </c>
      <c r="C271" s="64"/>
      <c r="D271" s="64"/>
      <c r="E271" s="65" t="str">
        <f t="shared" si="29"/>
        <v/>
      </c>
      <c r="F271" s="65" t="str">
        <f t="shared" si="30"/>
        <v/>
      </c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1" t="str">
        <f t="shared" si="31"/>
        <v/>
      </c>
      <c r="T271" s="66" t="str">
        <f t="shared" si="32"/>
        <v/>
      </c>
      <c r="U271" s="131" t="str">
        <f t="shared" si="33"/>
        <v/>
      </c>
      <c r="V271" s="52">
        <f t="shared" si="34"/>
        <v>46545</v>
      </c>
      <c r="W271" s="132" t="str" cm="1">
        <f t="array" ref="W271">IF(AND($C271="",S271=""),"",IF(AND(N($C271)&gt;0,N(S271)=0),"nobody marked present",IF(N($D271)&gt;N($C271),"more broken than moulded",IF(AND($C271="",N(S271)&gt;0),"attendance marked but no blocks entered",IF(AND(N($C271)&gt;0,N(T271)=0),"no pay rate for this date - see Settings",IF(SUMPRODUCT((G271:R271&lt;&gt;"")*(G$5:R$5=""))&gt;0,"attendance in an empty worker slot",""))))))</f>
        <v/>
      </c>
      <c r="X271" s="133"/>
      <c r="Y271" s="125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</row>
    <row r="272" spans="1:39" s="127" customFormat="1" ht="21" customHeight="1" x14ac:dyDescent="0.25">
      <c r="A272" s="54">
        <v>46551</v>
      </c>
      <c r="B272" s="70" t="str">
        <f t="shared" si="28"/>
        <v>Sun</v>
      </c>
      <c r="C272" s="64"/>
      <c r="D272" s="64"/>
      <c r="E272" s="65" t="str">
        <f t="shared" si="29"/>
        <v/>
      </c>
      <c r="F272" s="65" t="str">
        <f t="shared" si="30"/>
        <v/>
      </c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1" t="str">
        <f t="shared" si="31"/>
        <v/>
      </c>
      <c r="T272" s="66" t="str">
        <f t="shared" si="32"/>
        <v/>
      </c>
      <c r="U272" s="131" t="str">
        <f t="shared" si="33"/>
        <v/>
      </c>
      <c r="V272" s="52">
        <f t="shared" si="34"/>
        <v>46545</v>
      </c>
      <c r="W272" s="132" t="str" cm="1">
        <f t="array" ref="W272">IF(AND($C272="",S272=""),"",IF(AND(N($C272)&gt;0,N(S272)=0),"nobody marked present",IF(N($D272)&gt;N($C272),"more broken than moulded",IF(AND($C272="",N(S272)&gt;0),"attendance marked but no blocks entered",IF(AND(N($C272)&gt;0,N(T272)=0),"no pay rate for this date - see Settings",IF(SUMPRODUCT((G272:R272&lt;&gt;"")*(G$5:R$5=""))&gt;0,"attendance in an empty worker slot",""))))))</f>
        <v/>
      </c>
      <c r="X272" s="133"/>
      <c r="Y272" s="125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</row>
    <row r="273" spans="1:39" s="127" customFormat="1" ht="21" customHeight="1" x14ac:dyDescent="0.25">
      <c r="A273" s="49">
        <v>46552</v>
      </c>
      <c r="B273" s="63" t="str">
        <f t="shared" si="28"/>
        <v>Mon</v>
      </c>
      <c r="C273" s="64"/>
      <c r="D273" s="64"/>
      <c r="E273" s="65" t="str">
        <f t="shared" si="29"/>
        <v/>
      </c>
      <c r="F273" s="65" t="str">
        <f t="shared" si="30"/>
        <v/>
      </c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1" t="str">
        <f t="shared" si="31"/>
        <v/>
      </c>
      <c r="T273" s="66" t="str">
        <f t="shared" si="32"/>
        <v/>
      </c>
      <c r="U273" s="131" t="str">
        <f t="shared" si="33"/>
        <v/>
      </c>
      <c r="V273" s="52">
        <f t="shared" si="34"/>
        <v>46552</v>
      </c>
      <c r="W273" s="132" t="str" cm="1">
        <f t="array" ref="W273">IF(AND($C273="",S273=""),"",IF(AND(N($C273)&gt;0,N(S273)=0),"nobody marked present",IF(N($D273)&gt;N($C273),"more broken than moulded",IF(AND($C273="",N(S273)&gt;0),"attendance marked but no blocks entered",IF(AND(N($C273)&gt;0,N(T273)=0),"no pay rate for this date - see Settings",IF(SUMPRODUCT((G273:R273&lt;&gt;"")*(G$5:R$5=""))&gt;0,"attendance in an empty worker slot",""))))))</f>
        <v/>
      </c>
      <c r="X273" s="133"/>
      <c r="Y273" s="125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</row>
    <row r="274" spans="1:39" s="127" customFormat="1" ht="21" customHeight="1" x14ac:dyDescent="0.25">
      <c r="A274" s="49">
        <v>46553</v>
      </c>
      <c r="B274" s="63" t="str">
        <f t="shared" si="28"/>
        <v>Tue</v>
      </c>
      <c r="C274" s="64"/>
      <c r="D274" s="64"/>
      <c r="E274" s="65" t="str">
        <f t="shared" si="29"/>
        <v/>
      </c>
      <c r="F274" s="65" t="str">
        <f t="shared" si="30"/>
        <v/>
      </c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1" t="str">
        <f t="shared" si="31"/>
        <v/>
      </c>
      <c r="T274" s="66" t="str">
        <f t="shared" si="32"/>
        <v/>
      </c>
      <c r="U274" s="131" t="str">
        <f t="shared" si="33"/>
        <v/>
      </c>
      <c r="V274" s="52">
        <f t="shared" si="34"/>
        <v>46552</v>
      </c>
      <c r="W274" s="132" t="str" cm="1">
        <f t="array" ref="W274">IF(AND($C274="",S274=""),"",IF(AND(N($C274)&gt;0,N(S274)=0),"nobody marked present",IF(N($D274)&gt;N($C274),"more broken than moulded",IF(AND($C274="",N(S274)&gt;0),"attendance marked but no blocks entered",IF(AND(N($C274)&gt;0,N(T274)=0),"no pay rate for this date - see Settings",IF(SUMPRODUCT((G274:R274&lt;&gt;"")*(G$5:R$5=""))&gt;0,"attendance in an empty worker slot",""))))))</f>
        <v/>
      </c>
      <c r="X274" s="133"/>
      <c r="Y274" s="125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</row>
    <row r="275" spans="1:39" s="127" customFormat="1" ht="21" customHeight="1" x14ac:dyDescent="0.25">
      <c r="A275" s="49">
        <v>46554</v>
      </c>
      <c r="B275" s="63" t="str">
        <f t="shared" si="28"/>
        <v>Wed</v>
      </c>
      <c r="C275" s="64"/>
      <c r="D275" s="64"/>
      <c r="E275" s="65" t="str">
        <f t="shared" si="29"/>
        <v/>
      </c>
      <c r="F275" s="65" t="str">
        <f t="shared" si="30"/>
        <v/>
      </c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1" t="str">
        <f t="shared" si="31"/>
        <v/>
      </c>
      <c r="T275" s="66" t="str">
        <f t="shared" si="32"/>
        <v/>
      </c>
      <c r="U275" s="131" t="str">
        <f t="shared" si="33"/>
        <v/>
      </c>
      <c r="V275" s="52">
        <f t="shared" si="34"/>
        <v>46552</v>
      </c>
      <c r="W275" s="132" t="str" cm="1">
        <f t="array" ref="W275">IF(AND($C275="",S275=""),"",IF(AND(N($C275)&gt;0,N(S275)=0),"nobody marked present",IF(N($D275)&gt;N($C275),"more broken than moulded",IF(AND($C275="",N(S275)&gt;0),"attendance marked but no blocks entered",IF(AND(N($C275)&gt;0,N(T275)=0),"no pay rate for this date - see Settings",IF(SUMPRODUCT((G275:R275&lt;&gt;"")*(G$5:R$5=""))&gt;0,"attendance in an empty worker slot",""))))))</f>
        <v/>
      </c>
      <c r="X275" s="133"/>
      <c r="Y275" s="125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</row>
    <row r="276" spans="1:39" s="127" customFormat="1" ht="21" customHeight="1" x14ac:dyDescent="0.25">
      <c r="A276" s="49">
        <v>46555</v>
      </c>
      <c r="B276" s="63" t="str">
        <f t="shared" si="28"/>
        <v>Thu</v>
      </c>
      <c r="C276" s="64"/>
      <c r="D276" s="64"/>
      <c r="E276" s="65" t="str">
        <f t="shared" si="29"/>
        <v/>
      </c>
      <c r="F276" s="65" t="str">
        <f t="shared" si="30"/>
        <v/>
      </c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1" t="str">
        <f t="shared" si="31"/>
        <v/>
      </c>
      <c r="T276" s="66" t="str">
        <f t="shared" si="32"/>
        <v/>
      </c>
      <c r="U276" s="131" t="str">
        <f t="shared" si="33"/>
        <v/>
      </c>
      <c r="V276" s="52">
        <f t="shared" si="34"/>
        <v>46552</v>
      </c>
      <c r="W276" s="132" t="str" cm="1">
        <f t="array" ref="W276">IF(AND($C276="",S276=""),"",IF(AND(N($C276)&gt;0,N(S276)=0),"nobody marked present",IF(N($D276)&gt;N($C276),"more broken than moulded",IF(AND($C276="",N(S276)&gt;0),"attendance marked but no blocks entered",IF(AND(N($C276)&gt;0,N(T276)=0),"no pay rate for this date - see Settings",IF(SUMPRODUCT((G276:R276&lt;&gt;"")*(G$5:R$5=""))&gt;0,"attendance in an empty worker slot",""))))))</f>
        <v/>
      </c>
      <c r="X276" s="133"/>
      <c r="Y276" s="125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</row>
    <row r="277" spans="1:39" s="127" customFormat="1" ht="21" customHeight="1" x14ac:dyDescent="0.25">
      <c r="A277" s="49">
        <v>46556</v>
      </c>
      <c r="B277" s="63" t="str">
        <f t="shared" si="28"/>
        <v>Fri</v>
      </c>
      <c r="C277" s="64"/>
      <c r="D277" s="64"/>
      <c r="E277" s="65" t="str">
        <f t="shared" si="29"/>
        <v/>
      </c>
      <c r="F277" s="65" t="str">
        <f t="shared" si="30"/>
        <v/>
      </c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1" t="str">
        <f t="shared" si="31"/>
        <v/>
      </c>
      <c r="T277" s="66" t="str">
        <f t="shared" si="32"/>
        <v/>
      </c>
      <c r="U277" s="131" t="str">
        <f t="shared" si="33"/>
        <v/>
      </c>
      <c r="V277" s="52">
        <f t="shared" si="34"/>
        <v>46552</v>
      </c>
      <c r="W277" s="132" t="str" cm="1">
        <f t="array" ref="W277">IF(AND($C277="",S277=""),"",IF(AND(N($C277)&gt;0,N(S277)=0),"nobody marked present",IF(N($D277)&gt;N($C277),"more broken than moulded",IF(AND($C277="",N(S277)&gt;0),"attendance marked but no blocks entered",IF(AND(N($C277)&gt;0,N(T277)=0),"no pay rate for this date - see Settings",IF(SUMPRODUCT((G277:R277&lt;&gt;"")*(G$5:R$5=""))&gt;0,"attendance in an empty worker slot",""))))))</f>
        <v/>
      </c>
      <c r="X277" s="133"/>
      <c r="Y277" s="125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</row>
    <row r="278" spans="1:39" s="127" customFormat="1" ht="21" customHeight="1" x14ac:dyDescent="0.25">
      <c r="A278" s="49">
        <v>46557</v>
      </c>
      <c r="B278" s="63" t="str">
        <f t="shared" si="28"/>
        <v>Sat</v>
      </c>
      <c r="C278" s="64"/>
      <c r="D278" s="64"/>
      <c r="E278" s="65" t="str">
        <f t="shared" si="29"/>
        <v/>
      </c>
      <c r="F278" s="65" t="str">
        <f t="shared" si="30"/>
        <v/>
      </c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1" t="str">
        <f t="shared" si="31"/>
        <v/>
      </c>
      <c r="T278" s="66" t="str">
        <f t="shared" si="32"/>
        <v/>
      </c>
      <c r="U278" s="131" t="str">
        <f t="shared" si="33"/>
        <v/>
      </c>
      <c r="V278" s="52">
        <f t="shared" si="34"/>
        <v>46552</v>
      </c>
      <c r="W278" s="132" t="str" cm="1">
        <f t="array" ref="W278">IF(AND($C278="",S278=""),"",IF(AND(N($C278)&gt;0,N(S278)=0),"nobody marked present",IF(N($D278)&gt;N($C278),"more broken than moulded",IF(AND($C278="",N(S278)&gt;0),"attendance marked but no blocks entered",IF(AND(N($C278)&gt;0,N(T278)=0),"no pay rate for this date - see Settings",IF(SUMPRODUCT((G278:R278&lt;&gt;"")*(G$5:R$5=""))&gt;0,"attendance in an empty worker slot",""))))))</f>
        <v/>
      </c>
      <c r="X278" s="133"/>
      <c r="Y278" s="125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</row>
    <row r="279" spans="1:39" s="127" customFormat="1" ht="21" customHeight="1" x14ac:dyDescent="0.25">
      <c r="A279" s="54">
        <v>46558</v>
      </c>
      <c r="B279" s="70" t="str">
        <f t="shared" si="28"/>
        <v>Sun</v>
      </c>
      <c r="C279" s="64"/>
      <c r="D279" s="64"/>
      <c r="E279" s="65" t="str">
        <f t="shared" si="29"/>
        <v/>
      </c>
      <c r="F279" s="65" t="str">
        <f t="shared" si="30"/>
        <v/>
      </c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1" t="str">
        <f t="shared" si="31"/>
        <v/>
      </c>
      <c r="T279" s="66" t="str">
        <f t="shared" si="32"/>
        <v/>
      </c>
      <c r="U279" s="131" t="str">
        <f t="shared" si="33"/>
        <v/>
      </c>
      <c r="V279" s="52">
        <f t="shared" si="34"/>
        <v>46552</v>
      </c>
      <c r="W279" s="132" t="str" cm="1">
        <f t="array" ref="W279">IF(AND($C279="",S279=""),"",IF(AND(N($C279)&gt;0,N(S279)=0),"nobody marked present",IF(N($D279)&gt;N($C279),"more broken than moulded",IF(AND($C279="",N(S279)&gt;0),"attendance marked but no blocks entered",IF(AND(N($C279)&gt;0,N(T279)=0),"no pay rate for this date - see Settings",IF(SUMPRODUCT((G279:R279&lt;&gt;"")*(G$5:R$5=""))&gt;0,"attendance in an empty worker slot",""))))))</f>
        <v/>
      </c>
      <c r="X279" s="133"/>
      <c r="Y279" s="125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</row>
    <row r="280" spans="1:39" s="127" customFormat="1" ht="21" customHeight="1" x14ac:dyDescent="0.25">
      <c r="A280" s="49">
        <v>46559</v>
      </c>
      <c r="B280" s="63" t="str">
        <f t="shared" si="28"/>
        <v>Mon</v>
      </c>
      <c r="C280" s="64"/>
      <c r="D280" s="64"/>
      <c r="E280" s="65" t="str">
        <f t="shared" si="29"/>
        <v/>
      </c>
      <c r="F280" s="65" t="str">
        <f t="shared" si="30"/>
        <v/>
      </c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1" t="str">
        <f t="shared" si="31"/>
        <v/>
      </c>
      <c r="T280" s="66" t="str">
        <f t="shared" si="32"/>
        <v/>
      </c>
      <c r="U280" s="131" t="str">
        <f t="shared" si="33"/>
        <v/>
      </c>
      <c r="V280" s="52">
        <f t="shared" si="34"/>
        <v>46559</v>
      </c>
      <c r="W280" s="132" t="str" cm="1">
        <f t="array" ref="W280">IF(AND($C280="",S280=""),"",IF(AND(N($C280)&gt;0,N(S280)=0),"nobody marked present",IF(N($D280)&gt;N($C280),"more broken than moulded",IF(AND($C280="",N(S280)&gt;0),"attendance marked but no blocks entered",IF(AND(N($C280)&gt;0,N(T280)=0),"no pay rate for this date - see Settings",IF(SUMPRODUCT((G280:R280&lt;&gt;"")*(G$5:R$5=""))&gt;0,"attendance in an empty worker slot",""))))))</f>
        <v/>
      </c>
      <c r="X280" s="133"/>
      <c r="Y280" s="125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</row>
    <row r="281" spans="1:39" s="127" customFormat="1" ht="21" customHeight="1" x14ac:dyDescent="0.25">
      <c r="A281" s="49">
        <v>46560</v>
      </c>
      <c r="B281" s="63" t="str">
        <f t="shared" si="28"/>
        <v>Tue</v>
      </c>
      <c r="C281" s="64"/>
      <c r="D281" s="64"/>
      <c r="E281" s="65" t="str">
        <f t="shared" si="29"/>
        <v/>
      </c>
      <c r="F281" s="65" t="str">
        <f t="shared" si="30"/>
        <v/>
      </c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1" t="str">
        <f t="shared" si="31"/>
        <v/>
      </c>
      <c r="T281" s="66" t="str">
        <f t="shared" si="32"/>
        <v/>
      </c>
      <c r="U281" s="131" t="str">
        <f t="shared" si="33"/>
        <v/>
      </c>
      <c r="V281" s="52">
        <f t="shared" si="34"/>
        <v>46559</v>
      </c>
      <c r="W281" s="132" t="str" cm="1">
        <f t="array" ref="W281">IF(AND($C281="",S281=""),"",IF(AND(N($C281)&gt;0,N(S281)=0),"nobody marked present",IF(N($D281)&gt;N($C281),"more broken than moulded",IF(AND($C281="",N(S281)&gt;0),"attendance marked but no blocks entered",IF(AND(N($C281)&gt;0,N(T281)=0),"no pay rate for this date - see Settings",IF(SUMPRODUCT((G281:R281&lt;&gt;"")*(G$5:R$5=""))&gt;0,"attendance in an empty worker slot",""))))))</f>
        <v/>
      </c>
      <c r="X281" s="133"/>
      <c r="Y281" s="125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</row>
    <row r="282" spans="1:39" s="127" customFormat="1" ht="21" customHeight="1" x14ac:dyDescent="0.25">
      <c r="A282" s="49">
        <v>46561</v>
      </c>
      <c r="B282" s="63" t="str">
        <f t="shared" si="28"/>
        <v>Wed</v>
      </c>
      <c r="C282" s="64"/>
      <c r="D282" s="64"/>
      <c r="E282" s="65" t="str">
        <f t="shared" si="29"/>
        <v/>
      </c>
      <c r="F282" s="65" t="str">
        <f t="shared" si="30"/>
        <v/>
      </c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1" t="str">
        <f t="shared" si="31"/>
        <v/>
      </c>
      <c r="T282" s="66" t="str">
        <f t="shared" si="32"/>
        <v/>
      </c>
      <c r="U282" s="131" t="str">
        <f t="shared" si="33"/>
        <v/>
      </c>
      <c r="V282" s="52">
        <f t="shared" si="34"/>
        <v>46559</v>
      </c>
      <c r="W282" s="132" t="str" cm="1">
        <f t="array" ref="W282">IF(AND($C282="",S282=""),"",IF(AND(N($C282)&gt;0,N(S282)=0),"nobody marked present",IF(N($D282)&gt;N($C282),"more broken than moulded",IF(AND($C282="",N(S282)&gt;0),"attendance marked but no blocks entered",IF(AND(N($C282)&gt;0,N(T282)=0),"no pay rate for this date - see Settings",IF(SUMPRODUCT((G282:R282&lt;&gt;"")*(G$5:R$5=""))&gt;0,"attendance in an empty worker slot",""))))))</f>
        <v/>
      </c>
      <c r="X282" s="133"/>
      <c r="Y282" s="125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</row>
    <row r="283" spans="1:39" s="127" customFormat="1" ht="21" customHeight="1" x14ac:dyDescent="0.25">
      <c r="A283" s="49">
        <v>46562</v>
      </c>
      <c r="B283" s="63" t="str">
        <f t="shared" si="28"/>
        <v>Thu</v>
      </c>
      <c r="C283" s="64"/>
      <c r="D283" s="64"/>
      <c r="E283" s="65" t="str">
        <f t="shared" si="29"/>
        <v/>
      </c>
      <c r="F283" s="65" t="str">
        <f t="shared" si="30"/>
        <v/>
      </c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1" t="str">
        <f t="shared" si="31"/>
        <v/>
      </c>
      <c r="T283" s="66" t="str">
        <f t="shared" si="32"/>
        <v/>
      </c>
      <c r="U283" s="131" t="str">
        <f t="shared" si="33"/>
        <v/>
      </c>
      <c r="V283" s="52">
        <f t="shared" si="34"/>
        <v>46559</v>
      </c>
      <c r="W283" s="132" t="str" cm="1">
        <f t="array" ref="W283">IF(AND($C283="",S283=""),"",IF(AND(N($C283)&gt;0,N(S283)=0),"nobody marked present",IF(N($D283)&gt;N($C283),"more broken than moulded",IF(AND($C283="",N(S283)&gt;0),"attendance marked but no blocks entered",IF(AND(N($C283)&gt;0,N(T283)=0),"no pay rate for this date - see Settings",IF(SUMPRODUCT((G283:R283&lt;&gt;"")*(G$5:R$5=""))&gt;0,"attendance in an empty worker slot",""))))))</f>
        <v/>
      </c>
      <c r="X283" s="133"/>
      <c r="Y283" s="125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</row>
    <row r="284" spans="1:39" s="127" customFormat="1" ht="21" customHeight="1" x14ac:dyDescent="0.25">
      <c r="A284" s="49">
        <v>46563</v>
      </c>
      <c r="B284" s="63" t="str">
        <f t="shared" si="28"/>
        <v>Fri</v>
      </c>
      <c r="C284" s="64"/>
      <c r="D284" s="64"/>
      <c r="E284" s="65" t="str">
        <f t="shared" si="29"/>
        <v/>
      </c>
      <c r="F284" s="65" t="str">
        <f t="shared" si="30"/>
        <v/>
      </c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1" t="str">
        <f t="shared" si="31"/>
        <v/>
      </c>
      <c r="T284" s="66" t="str">
        <f t="shared" si="32"/>
        <v/>
      </c>
      <c r="U284" s="131" t="str">
        <f t="shared" si="33"/>
        <v/>
      </c>
      <c r="V284" s="52">
        <f t="shared" si="34"/>
        <v>46559</v>
      </c>
      <c r="W284" s="132" t="str" cm="1">
        <f t="array" ref="W284">IF(AND($C284="",S284=""),"",IF(AND(N($C284)&gt;0,N(S284)=0),"nobody marked present",IF(N($D284)&gt;N($C284),"more broken than moulded",IF(AND($C284="",N(S284)&gt;0),"attendance marked but no blocks entered",IF(AND(N($C284)&gt;0,N(T284)=0),"no pay rate for this date - see Settings",IF(SUMPRODUCT((G284:R284&lt;&gt;"")*(G$5:R$5=""))&gt;0,"attendance in an empty worker slot",""))))))</f>
        <v/>
      </c>
      <c r="X284" s="133"/>
      <c r="Y284" s="125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</row>
    <row r="285" spans="1:39" s="127" customFormat="1" ht="21" customHeight="1" x14ac:dyDescent="0.25">
      <c r="A285" s="49">
        <v>46564</v>
      </c>
      <c r="B285" s="63" t="str">
        <f t="shared" si="28"/>
        <v>Sat</v>
      </c>
      <c r="C285" s="64"/>
      <c r="D285" s="64"/>
      <c r="E285" s="65" t="str">
        <f t="shared" si="29"/>
        <v/>
      </c>
      <c r="F285" s="65" t="str">
        <f t="shared" si="30"/>
        <v/>
      </c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1" t="str">
        <f t="shared" si="31"/>
        <v/>
      </c>
      <c r="T285" s="66" t="str">
        <f t="shared" si="32"/>
        <v/>
      </c>
      <c r="U285" s="131" t="str">
        <f t="shared" si="33"/>
        <v/>
      </c>
      <c r="V285" s="52">
        <f t="shared" si="34"/>
        <v>46559</v>
      </c>
      <c r="W285" s="132" t="str" cm="1">
        <f t="array" ref="W285">IF(AND($C285="",S285=""),"",IF(AND(N($C285)&gt;0,N(S285)=0),"nobody marked present",IF(N($D285)&gt;N($C285),"more broken than moulded",IF(AND($C285="",N(S285)&gt;0),"attendance marked but no blocks entered",IF(AND(N($C285)&gt;0,N(T285)=0),"no pay rate for this date - see Settings",IF(SUMPRODUCT((G285:R285&lt;&gt;"")*(G$5:R$5=""))&gt;0,"attendance in an empty worker slot",""))))))</f>
        <v/>
      </c>
      <c r="X285" s="133"/>
      <c r="Y285" s="125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</row>
    <row r="286" spans="1:39" s="127" customFormat="1" ht="21" customHeight="1" x14ac:dyDescent="0.25">
      <c r="A286" s="54">
        <v>46565</v>
      </c>
      <c r="B286" s="70" t="str">
        <f t="shared" si="28"/>
        <v>Sun</v>
      </c>
      <c r="C286" s="64"/>
      <c r="D286" s="64"/>
      <c r="E286" s="65" t="str">
        <f t="shared" si="29"/>
        <v/>
      </c>
      <c r="F286" s="65" t="str">
        <f t="shared" si="30"/>
        <v/>
      </c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1" t="str">
        <f t="shared" si="31"/>
        <v/>
      </c>
      <c r="T286" s="66" t="str">
        <f t="shared" si="32"/>
        <v/>
      </c>
      <c r="U286" s="131" t="str">
        <f t="shared" si="33"/>
        <v/>
      </c>
      <c r="V286" s="52">
        <f t="shared" si="34"/>
        <v>46559</v>
      </c>
      <c r="W286" s="132" t="str" cm="1">
        <f t="array" ref="W286">IF(AND($C286="",S286=""),"",IF(AND(N($C286)&gt;0,N(S286)=0),"nobody marked present",IF(N($D286)&gt;N($C286),"more broken than moulded",IF(AND($C286="",N(S286)&gt;0),"attendance marked but no blocks entered",IF(AND(N($C286)&gt;0,N(T286)=0),"no pay rate for this date - see Settings",IF(SUMPRODUCT((G286:R286&lt;&gt;"")*(G$5:R$5=""))&gt;0,"attendance in an empty worker slot",""))))))</f>
        <v/>
      </c>
      <c r="X286" s="133"/>
      <c r="Y286" s="125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</row>
    <row r="287" spans="1:39" s="127" customFormat="1" ht="21" customHeight="1" x14ac:dyDescent="0.25">
      <c r="A287" s="49">
        <v>46566</v>
      </c>
      <c r="B287" s="63" t="str">
        <f t="shared" si="28"/>
        <v>Mon</v>
      </c>
      <c r="C287" s="64"/>
      <c r="D287" s="64"/>
      <c r="E287" s="65" t="str">
        <f t="shared" si="29"/>
        <v/>
      </c>
      <c r="F287" s="65" t="str">
        <f t="shared" si="30"/>
        <v/>
      </c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1" t="str">
        <f t="shared" si="31"/>
        <v/>
      </c>
      <c r="T287" s="66" t="str">
        <f t="shared" si="32"/>
        <v/>
      </c>
      <c r="U287" s="131" t="str">
        <f t="shared" si="33"/>
        <v/>
      </c>
      <c r="V287" s="52">
        <f t="shared" si="34"/>
        <v>46566</v>
      </c>
      <c r="W287" s="132" t="str" cm="1">
        <f t="array" ref="W287">IF(AND($C287="",S287=""),"",IF(AND(N($C287)&gt;0,N(S287)=0),"nobody marked present",IF(N($D287)&gt;N($C287),"more broken than moulded",IF(AND($C287="",N(S287)&gt;0),"attendance marked but no blocks entered",IF(AND(N($C287)&gt;0,N(T287)=0),"no pay rate for this date - see Settings",IF(SUMPRODUCT((G287:R287&lt;&gt;"")*(G$5:R$5=""))&gt;0,"attendance in an empty worker slot",""))))))</f>
        <v/>
      </c>
      <c r="X287" s="133"/>
      <c r="Y287" s="125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</row>
    <row r="288" spans="1:39" s="127" customFormat="1" ht="21" customHeight="1" x14ac:dyDescent="0.25">
      <c r="A288" s="49">
        <v>46567</v>
      </c>
      <c r="B288" s="63" t="str">
        <f t="shared" si="28"/>
        <v>Tue</v>
      </c>
      <c r="C288" s="64"/>
      <c r="D288" s="64"/>
      <c r="E288" s="65" t="str">
        <f t="shared" si="29"/>
        <v/>
      </c>
      <c r="F288" s="65" t="str">
        <f t="shared" si="30"/>
        <v/>
      </c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1" t="str">
        <f t="shared" si="31"/>
        <v/>
      </c>
      <c r="T288" s="66" t="str">
        <f t="shared" si="32"/>
        <v/>
      </c>
      <c r="U288" s="131" t="str">
        <f t="shared" si="33"/>
        <v/>
      </c>
      <c r="V288" s="52">
        <f t="shared" si="34"/>
        <v>46566</v>
      </c>
      <c r="W288" s="132" t="str" cm="1">
        <f t="array" ref="W288">IF(AND($C288="",S288=""),"",IF(AND(N($C288)&gt;0,N(S288)=0),"nobody marked present",IF(N($D288)&gt;N($C288),"more broken than moulded",IF(AND($C288="",N(S288)&gt;0),"attendance marked but no blocks entered",IF(AND(N($C288)&gt;0,N(T288)=0),"no pay rate for this date - see Settings",IF(SUMPRODUCT((G288:R288&lt;&gt;"")*(G$5:R$5=""))&gt;0,"attendance in an empty worker slot",""))))))</f>
        <v/>
      </c>
      <c r="X288" s="133"/>
      <c r="Y288" s="125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</row>
    <row r="289" spans="1:39" s="127" customFormat="1" ht="21" customHeight="1" x14ac:dyDescent="0.25">
      <c r="A289" s="49">
        <v>46568</v>
      </c>
      <c r="B289" s="63" t="str">
        <f t="shared" si="28"/>
        <v>Wed</v>
      </c>
      <c r="C289" s="64"/>
      <c r="D289" s="64"/>
      <c r="E289" s="65" t="str">
        <f t="shared" si="29"/>
        <v/>
      </c>
      <c r="F289" s="65" t="str">
        <f t="shared" si="30"/>
        <v/>
      </c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1" t="str">
        <f t="shared" si="31"/>
        <v/>
      </c>
      <c r="T289" s="66" t="str">
        <f t="shared" si="32"/>
        <v/>
      </c>
      <c r="U289" s="131" t="str">
        <f t="shared" si="33"/>
        <v/>
      </c>
      <c r="V289" s="52">
        <f t="shared" si="34"/>
        <v>46566</v>
      </c>
      <c r="W289" s="132" t="str" cm="1">
        <f t="array" ref="W289">IF(AND($C289="",S289=""),"",IF(AND(N($C289)&gt;0,N(S289)=0),"nobody marked present",IF(N($D289)&gt;N($C289),"more broken than moulded",IF(AND($C289="",N(S289)&gt;0),"attendance marked but no blocks entered",IF(AND(N($C289)&gt;0,N(T289)=0),"no pay rate for this date - see Settings",IF(SUMPRODUCT((G289:R289&lt;&gt;"")*(G$5:R$5=""))&gt;0,"attendance in an empty worker slot",""))))))</f>
        <v/>
      </c>
      <c r="X289" s="133"/>
      <c r="Y289" s="125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</row>
    <row r="290" spans="1:39" s="127" customFormat="1" ht="21" customHeight="1" x14ac:dyDescent="0.25">
      <c r="A290" s="49">
        <v>46569</v>
      </c>
      <c r="B290" s="63" t="str">
        <f t="shared" si="28"/>
        <v>Thu</v>
      </c>
      <c r="C290" s="64"/>
      <c r="D290" s="64"/>
      <c r="E290" s="65" t="str">
        <f t="shared" si="29"/>
        <v/>
      </c>
      <c r="F290" s="65" t="str">
        <f t="shared" si="30"/>
        <v/>
      </c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1" t="str">
        <f t="shared" si="31"/>
        <v/>
      </c>
      <c r="T290" s="66" t="str">
        <f t="shared" si="32"/>
        <v/>
      </c>
      <c r="U290" s="131" t="str">
        <f t="shared" si="33"/>
        <v/>
      </c>
      <c r="V290" s="52">
        <f t="shared" si="34"/>
        <v>46566</v>
      </c>
      <c r="W290" s="132" t="str" cm="1">
        <f t="array" ref="W290">IF(AND($C290="",S290=""),"",IF(AND(N($C290)&gt;0,N(S290)=0),"nobody marked present",IF(N($D290)&gt;N($C290),"more broken than moulded",IF(AND($C290="",N(S290)&gt;0),"attendance marked but no blocks entered",IF(AND(N($C290)&gt;0,N(T290)=0),"no pay rate for this date - see Settings",IF(SUMPRODUCT((G290:R290&lt;&gt;"")*(G$5:R$5=""))&gt;0,"attendance in an empty worker slot",""))))))</f>
        <v/>
      </c>
      <c r="X290" s="133"/>
      <c r="Y290" s="125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</row>
    <row r="291" spans="1:39" s="127" customFormat="1" ht="21" customHeight="1" x14ac:dyDescent="0.25">
      <c r="A291" s="49">
        <v>46570</v>
      </c>
      <c r="B291" s="63" t="str">
        <f t="shared" si="28"/>
        <v>Fri</v>
      </c>
      <c r="C291" s="64"/>
      <c r="D291" s="64"/>
      <c r="E291" s="65" t="str">
        <f t="shared" si="29"/>
        <v/>
      </c>
      <c r="F291" s="65" t="str">
        <f t="shared" si="30"/>
        <v/>
      </c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1" t="str">
        <f t="shared" si="31"/>
        <v/>
      </c>
      <c r="T291" s="66" t="str">
        <f t="shared" si="32"/>
        <v/>
      </c>
      <c r="U291" s="131" t="str">
        <f t="shared" si="33"/>
        <v/>
      </c>
      <c r="V291" s="52">
        <f t="shared" si="34"/>
        <v>46566</v>
      </c>
      <c r="W291" s="132" t="str" cm="1">
        <f t="array" ref="W291">IF(AND($C291="",S291=""),"",IF(AND(N($C291)&gt;0,N(S291)=0),"nobody marked present",IF(N($D291)&gt;N($C291),"more broken than moulded",IF(AND($C291="",N(S291)&gt;0),"attendance marked but no blocks entered",IF(AND(N($C291)&gt;0,N(T291)=0),"no pay rate for this date - see Settings",IF(SUMPRODUCT((G291:R291&lt;&gt;"")*(G$5:R$5=""))&gt;0,"attendance in an empty worker slot",""))))))</f>
        <v/>
      </c>
      <c r="X291" s="133"/>
      <c r="Y291" s="125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</row>
    <row r="292" spans="1:39" s="127" customFormat="1" ht="21" customHeight="1" x14ac:dyDescent="0.25">
      <c r="A292" s="49">
        <v>46571</v>
      </c>
      <c r="B292" s="63" t="str">
        <f t="shared" si="28"/>
        <v>Sat</v>
      </c>
      <c r="C292" s="64"/>
      <c r="D292" s="64"/>
      <c r="E292" s="65" t="str">
        <f t="shared" si="29"/>
        <v/>
      </c>
      <c r="F292" s="65" t="str">
        <f t="shared" si="30"/>
        <v/>
      </c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1" t="str">
        <f t="shared" si="31"/>
        <v/>
      </c>
      <c r="T292" s="66" t="str">
        <f t="shared" si="32"/>
        <v/>
      </c>
      <c r="U292" s="131" t="str">
        <f t="shared" si="33"/>
        <v/>
      </c>
      <c r="V292" s="52">
        <f t="shared" si="34"/>
        <v>46566</v>
      </c>
      <c r="W292" s="132" t="str" cm="1">
        <f t="array" ref="W292">IF(AND($C292="",S292=""),"",IF(AND(N($C292)&gt;0,N(S292)=0),"nobody marked present",IF(N($D292)&gt;N($C292),"more broken than moulded",IF(AND($C292="",N(S292)&gt;0),"attendance marked but no blocks entered",IF(AND(N($C292)&gt;0,N(T292)=0),"no pay rate for this date - see Settings",IF(SUMPRODUCT((G292:R292&lt;&gt;"")*(G$5:R$5=""))&gt;0,"attendance in an empty worker slot",""))))))</f>
        <v/>
      </c>
      <c r="X292" s="133"/>
      <c r="Y292" s="125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</row>
    <row r="293" spans="1:39" s="127" customFormat="1" ht="21" customHeight="1" x14ac:dyDescent="0.25">
      <c r="A293" s="54">
        <v>46572</v>
      </c>
      <c r="B293" s="70" t="str">
        <f t="shared" si="28"/>
        <v>Sun</v>
      </c>
      <c r="C293" s="64"/>
      <c r="D293" s="64"/>
      <c r="E293" s="65" t="str">
        <f t="shared" si="29"/>
        <v/>
      </c>
      <c r="F293" s="65" t="str">
        <f t="shared" si="30"/>
        <v/>
      </c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1" t="str">
        <f t="shared" si="31"/>
        <v/>
      </c>
      <c r="T293" s="66" t="str">
        <f t="shared" si="32"/>
        <v/>
      </c>
      <c r="U293" s="131" t="str">
        <f t="shared" si="33"/>
        <v/>
      </c>
      <c r="V293" s="52">
        <f t="shared" si="34"/>
        <v>46566</v>
      </c>
      <c r="W293" s="132" t="str" cm="1">
        <f t="array" ref="W293">IF(AND($C293="",S293=""),"",IF(AND(N($C293)&gt;0,N(S293)=0),"nobody marked present",IF(N($D293)&gt;N($C293),"more broken than moulded",IF(AND($C293="",N(S293)&gt;0),"attendance marked but no blocks entered",IF(AND(N($C293)&gt;0,N(T293)=0),"no pay rate for this date - see Settings",IF(SUMPRODUCT((G293:R293&lt;&gt;"")*(G$5:R$5=""))&gt;0,"attendance in an empty worker slot",""))))))</f>
        <v/>
      </c>
      <c r="X293" s="133"/>
      <c r="Y293" s="125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</row>
    <row r="294" spans="1:39" s="127" customFormat="1" ht="21" customHeight="1" x14ac:dyDescent="0.25">
      <c r="A294" s="49">
        <v>46573</v>
      </c>
      <c r="B294" s="63" t="str">
        <f t="shared" si="28"/>
        <v>Mon</v>
      </c>
      <c r="C294" s="64"/>
      <c r="D294" s="64"/>
      <c r="E294" s="65" t="str">
        <f t="shared" si="29"/>
        <v/>
      </c>
      <c r="F294" s="65" t="str">
        <f t="shared" si="30"/>
        <v/>
      </c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1" t="str">
        <f t="shared" si="31"/>
        <v/>
      </c>
      <c r="T294" s="66" t="str">
        <f t="shared" si="32"/>
        <v/>
      </c>
      <c r="U294" s="131" t="str">
        <f t="shared" si="33"/>
        <v/>
      </c>
      <c r="V294" s="52">
        <f t="shared" si="34"/>
        <v>46573</v>
      </c>
      <c r="W294" s="132" t="str" cm="1">
        <f t="array" ref="W294">IF(AND($C294="",S294=""),"",IF(AND(N($C294)&gt;0,N(S294)=0),"nobody marked present",IF(N($D294)&gt;N($C294),"more broken than moulded",IF(AND($C294="",N(S294)&gt;0),"attendance marked but no blocks entered",IF(AND(N($C294)&gt;0,N(T294)=0),"no pay rate for this date - see Settings",IF(SUMPRODUCT((G294:R294&lt;&gt;"")*(G$5:R$5=""))&gt;0,"attendance in an empty worker slot",""))))))</f>
        <v/>
      </c>
      <c r="X294" s="133"/>
      <c r="Y294" s="125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</row>
    <row r="295" spans="1:39" s="127" customFormat="1" ht="21" customHeight="1" x14ac:dyDescent="0.25">
      <c r="A295" s="49">
        <v>46574</v>
      </c>
      <c r="B295" s="63" t="str">
        <f t="shared" si="28"/>
        <v>Tue</v>
      </c>
      <c r="C295" s="64"/>
      <c r="D295" s="64"/>
      <c r="E295" s="65" t="str">
        <f t="shared" si="29"/>
        <v/>
      </c>
      <c r="F295" s="65" t="str">
        <f t="shared" si="30"/>
        <v/>
      </c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1" t="str">
        <f t="shared" si="31"/>
        <v/>
      </c>
      <c r="T295" s="66" t="str">
        <f t="shared" si="32"/>
        <v/>
      </c>
      <c r="U295" s="131" t="str">
        <f t="shared" si="33"/>
        <v/>
      </c>
      <c r="V295" s="52">
        <f t="shared" si="34"/>
        <v>46573</v>
      </c>
      <c r="W295" s="132" t="str" cm="1">
        <f t="array" ref="W295">IF(AND($C295="",S295=""),"",IF(AND(N($C295)&gt;0,N(S295)=0),"nobody marked present",IF(N($D295)&gt;N($C295),"more broken than moulded",IF(AND($C295="",N(S295)&gt;0),"attendance marked but no blocks entered",IF(AND(N($C295)&gt;0,N(T295)=0),"no pay rate for this date - see Settings",IF(SUMPRODUCT((G295:R295&lt;&gt;"")*(G$5:R$5=""))&gt;0,"attendance in an empty worker slot",""))))))</f>
        <v/>
      </c>
      <c r="X295" s="133"/>
      <c r="Y295" s="125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</row>
    <row r="296" spans="1:39" s="127" customFormat="1" ht="21" customHeight="1" x14ac:dyDescent="0.25">
      <c r="A296" s="49">
        <v>46575</v>
      </c>
      <c r="B296" s="63" t="str">
        <f t="shared" si="28"/>
        <v>Wed</v>
      </c>
      <c r="C296" s="64"/>
      <c r="D296" s="64"/>
      <c r="E296" s="65" t="str">
        <f t="shared" si="29"/>
        <v/>
      </c>
      <c r="F296" s="65" t="str">
        <f t="shared" si="30"/>
        <v/>
      </c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1" t="str">
        <f t="shared" si="31"/>
        <v/>
      </c>
      <c r="T296" s="66" t="str">
        <f t="shared" si="32"/>
        <v/>
      </c>
      <c r="U296" s="131" t="str">
        <f t="shared" si="33"/>
        <v/>
      </c>
      <c r="V296" s="52">
        <f t="shared" si="34"/>
        <v>46573</v>
      </c>
      <c r="W296" s="132" t="str" cm="1">
        <f t="array" ref="W296">IF(AND($C296="",S296=""),"",IF(AND(N($C296)&gt;0,N(S296)=0),"nobody marked present",IF(N($D296)&gt;N($C296),"more broken than moulded",IF(AND($C296="",N(S296)&gt;0),"attendance marked but no blocks entered",IF(AND(N($C296)&gt;0,N(T296)=0),"no pay rate for this date - see Settings",IF(SUMPRODUCT((G296:R296&lt;&gt;"")*(G$5:R$5=""))&gt;0,"attendance in an empty worker slot",""))))))</f>
        <v/>
      </c>
      <c r="X296" s="133"/>
      <c r="Y296" s="125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</row>
    <row r="297" spans="1:39" s="127" customFormat="1" ht="21" customHeight="1" x14ac:dyDescent="0.25">
      <c r="A297" s="49">
        <v>46576</v>
      </c>
      <c r="B297" s="63" t="str">
        <f t="shared" si="28"/>
        <v>Thu</v>
      </c>
      <c r="C297" s="64"/>
      <c r="D297" s="64"/>
      <c r="E297" s="65" t="str">
        <f t="shared" si="29"/>
        <v/>
      </c>
      <c r="F297" s="65" t="str">
        <f t="shared" si="30"/>
        <v/>
      </c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1" t="str">
        <f t="shared" si="31"/>
        <v/>
      </c>
      <c r="T297" s="66" t="str">
        <f t="shared" si="32"/>
        <v/>
      </c>
      <c r="U297" s="131" t="str">
        <f t="shared" si="33"/>
        <v/>
      </c>
      <c r="V297" s="52">
        <f t="shared" si="34"/>
        <v>46573</v>
      </c>
      <c r="W297" s="132" t="str" cm="1">
        <f t="array" ref="W297">IF(AND($C297="",S297=""),"",IF(AND(N($C297)&gt;0,N(S297)=0),"nobody marked present",IF(N($D297)&gt;N($C297),"more broken than moulded",IF(AND($C297="",N(S297)&gt;0),"attendance marked but no blocks entered",IF(AND(N($C297)&gt;0,N(T297)=0),"no pay rate for this date - see Settings",IF(SUMPRODUCT((G297:R297&lt;&gt;"")*(G$5:R$5=""))&gt;0,"attendance in an empty worker slot",""))))))</f>
        <v/>
      </c>
      <c r="X297" s="133"/>
      <c r="Y297" s="125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</row>
    <row r="298" spans="1:39" s="127" customFormat="1" ht="21" customHeight="1" x14ac:dyDescent="0.25">
      <c r="A298" s="49">
        <v>46577</v>
      </c>
      <c r="B298" s="63" t="str">
        <f t="shared" si="28"/>
        <v>Fri</v>
      </c>
      <c r="C298" s="64"/>
      <c r="D298" s="64"/>
      <c r="E298" s="65" t="str">
        <f t="shared" si="29"/>
        <v/>
      </c>
      <c r="F298" s="65" t="str">
        <f t="shared" si="30"/>
        <v/>
      </c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1" t="str">
        <f t="shared" si="31"/>
        <v/>
      </c>
      <c r="T298" s="66" t="str">
        <f t="shared" si="32"/>
        <v/>
      </c>
      <c r="U298" s="131" t="str">
        <f t="shared" si="33"/>
        <v/>
      </c>
      <c r="V298" s="52">
        <f t="shared" si="34"/>
        <v>46573</v>
      </c>
      <c r="W298" s="132" t="str" cm="1">
        <f t="array" ref="W298">IF(AND($C298="",S298=""),"",IF(AND(N($C298)&gt;0,N(S298)=0),"nobody marked present",IF(N($D298)&gt;N($C298),"more broken than moulded",IF(AND($C298="",N(S298)&gt;0),"attendance marked but no blocks entered",IF(AND(N($C298)&gt;0,N(T298)=0),"no pay rate for this date - see Settings",IF(SUMPRODUCT((G298:R298&lt;&gt;"")*(G$5:R$5=""))&gt;0,"attendance in an empty worker slot",""))))))</f>
        <v/>
      </c>
      <c r="X298" s="133"/>
      <c r="Y298" s="125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</row>
    <row r="299" spans="1:39" s="127" customFormat="1" ht="21" customHeight="1" x14ac:dyDescent="0.25">
      <c r="A299" s="49">
        <v>46578</v>
      </c>
      <c r="B299" s="63" t="str">
        <f t="shared" si="28"/>
        <v>Sat</v>
      </c>
      <c r="C299" s="64"/>
      <c r="D299" s="64"/>
      <c r="E299" s="65" t="str">
        <f t="shared" si="29"/>
        <v/>
      </c>
      <c r="F299" s="65" t="str">
        <f t="shared" si="30"/>
        <v/>
      </c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1" t="str">
        <f t="shared" si="31"/>
        <v/>
      </c>
      <c r="T299" s="66" t="str">
        <f t="shared" si="32"/>
        <v/>
      </c>
      <c r="U299" s="131" t="str">
        <f t="shared" si="33"/>
        <v/>
      </c>
      <c r="V299" s="52">
        <f t="shared" si="34"/>
        <v>46573</v>
      </c>
      <c r="W299" s="132" t="str" cm="1">
        <f t="array" ref="W299">IF(AND($C299="",S299=""),"",IF(AND(N($C299)&gt;0,N(S299)=0),"nobody marked present",IF(N($D299)&gt;N($C299),"more broken than moulded",IF(AND($C299="",N(S299)&gt;0),"attendance marked but no blocks entered",IF(AND(N($C299)&gt;0,N(T299)=0),"no pay rate for this date - see Settings",IF(SUMPRODUCT((G299:R299&lt;&gt;"")*(G$5:R$5=""))&gt;0,"attendance in an empty worker slot",""))))))</f>
        <v/>
      </c>
      <c r="X299" s="133"/>
      <c r="Y299" s="125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</row>
    <row r="300" spans="1:39" s="127" customFormat="1" ht="21" customHeight="1" x14ac:dyDescent="0.25">
      <c r="A300" s="54">
        <v>46579</v>
      </c>
      <c r="B300" s="70" t="str">
        <f t="shared" si="28"/>
        <v>Sun</v>
      </c>
      <c r="C300" s="64"/>
      <c r="D300" s="64"/>
      <c r="E300" s="65" t="str">
        <f t="shared" si="29"/>
        <v/>
      </c>
      <c r="F300" s="65" t="str">
        <f t="shared" si="30"/>
        <v/>
      </c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1" t="str">
        <f t="shared" si="31"/>
        <v/>
      </c>
      <c r="T300" s="66" t="str">
        <f t="shared" si="32"/>
        <v/>
      </c>
      <c r="U300" s="131" t="str">
        <f t="shared" si="33"/>
        <v/>
      </c>
      <c r="V300" s="52">
        <f t="shared" si="34"/>
        <v>46573</v>
      </c>
      <c r="W300" s="132" t="str" cm="1">
        <f t="array" ref="W300">IF(AND($C300="",S300=""),"",IF(AND(N($C300)&gt;0,N(S300)=0),"nobody marked present",IF(N($D300)&gt;N($C300),"more broken than moulded",IF(AND($C300="",N(S300)&gt;0),"attendance marked but no blocks entered",IF(AND(N($C300)&gt;0,N(T300)=0),"no pay rate for this date - see Settings",IF(SUMPRODUCT((G300:R300&lt;&gt;"")*(G$5:R$5=""))&gt;0,"attendance in an empty worker slot",""))))))</f>
        <v/>
      </c>
      <c r="X300" s="133"/>
      <c r="Y300" s="125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</row>
    <row r="301" spans="1:39" s="127" customFormat="1" ht="21" customHeight="1" x14ac:dyDescent="0.25">
      <c r="A301" s="49">
        <v>46580</v>
      </c>
      <c r="B301" s="63" t="str">
        <f t="shared" si="28"/>
        <v>Mon</v>
      </c>
      <c r="C301" s="64"/>
      <c r="D301" s="64"/>
      <c r="E301" s="65" t="str">
        <f t="shared" si="29"/>
        <v/>
      </c>
      <c r="F301" s="65" t="str">
        <f t="shared" si="30"/>
        <v/>
      </c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1" t="str">
        <f t="shared" si="31"/>
        <v/>
      </c>
      <c r="T301" s="66" t="str">
        <f t="shared" si="32"/>
        <v/>
      </c>
      <c r="U301" s="131" t="str">
        <f t="shared" si="33"/>
        <v/>
      </c>
      <c r="V301" s="52">
        <f t="shared" si="34"/>
        <v>46580</v>
      </c>
      <c r="W301" s="132" t="str" cm="1">
        <f t="array" ref="W301">IF(AND($C301="",S301=""),"",IF(AND(N($C301)&gt;0,N(S301)=0),"nobody marked present",IF(N($D301)&gt;N($C301),"more broken than moulded",IF(AND($C301="",N(S301)&gt;0),"attendance marked but no blocks entered",IF(AND(N($C301)&gt;0,N(T301)=0),"no pay rate for this date - see Settings",IF(SUMPRODUCT((G301:R301&lt;&gt;"")*(G$5:R$5=""))&gt;0,"attendance in an empty worker slot",""))))))</f>
        <v/>
      </c>
      <c r="X301" s="133"/>
      <c r="Y301" s="125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</row>
    <row r="302" spans="1:39" s="127" customFormat="1" ht="21" customHeight="1" x14ac:dyDescent="0.25">
      <c r="A302" s="49">
        <v>46581</v>
      </c>
      <c r="B302" s="63" t="str">
        <f t="shared" si="28"/>
        <v>Tue</v>
      </c>
      <c r="C302" s="64"/>
      <c r="D302" s="64"/>
      <c r="E302" s="65" t="str">
        <f t="shared" si="29"/>
        <v/>
      </c>
      <c r="F302" s="65" t="str">
        <f t="shared" si="30"/>
        <v/>
      </c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1" t="str">
        <f t="shared" si="31"/>
        <v/>
      </c>
      <c r="T302" s="66" t="str">
        <f t="shared" si="32"/>
        <v/>
      </c>
      <c r="U302" s="131" t="str">
        <f t="shared" si="33"/>
        <v/>
      </c>
      <c r="V302" s="52">
        <f t="shared" si="34"/>
        <v>46580</v>
      </c>
      <c r="W302" s="132" t="str" cm="1">
        <f t="array" ref="W302">IF(AND($C302="",S302=""),"",IF(AND(N($C302)&gt;0,N(S302)=0),"nobody marked present",IF(N($D302)&gt;N($C302),"more broken than moulded",IF(AND($C302="",N(S302)&gt;0),"attendance marked but no blocks entered",IF(AND(N($C302)&gt;0,N(T302)=0),"no pay rate for this date - see Settings",IF(SUMPRODUCT((G302:R302&lt;&gt;"")*(G$5:R$5=""))&gt;0,"attendance in an empty worker slot",""))))))</f>
        <v/>
      </c>
      <c r="X302" s="133"/>
      <c r="Y302" s="125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</row>
    <row r="303" spans="1:39" s="127" customFormat="1" ht="21" customHeight="1" x14ac:dyDescent="0.25">
      <c r="A303" s="49">
        <v>46582</v>
      </c>
      <c r="B303" s="63" t="str">
        <f t="shared" si="28"/>
        <v>Wed</v>
      </c>
      <c r="C303" s="64"/>
      <c r="D303" s="64"/>
      <c r="E303" s="65" t="str">
        <f t="shared" si="29"/>
        <v/>
      </c>
      <c r="F303" s="65" t="str">
        <f t="shared" si="30"/>
        <v/>
      </c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1" t="str">
        <f t="shared" si="31"/>
        <v/>
      </c>
      <c r="T303" s="66" t="str">
        <f t="shared" si="32"/>
        <v/>
      </c>
      <c r="U303" s="131" t="str">
        <f t="shared" si="33"/>
        <v/>
      </c>
      <c r="V303" s="52">
        <f t="shared" si="34"/>
        <v>46580</v>
      </c>
      <c r="W303" s="132" t="str" cm="1">
        <f t="array" ref="W303">IF(AND($C303="",S303=""),"",IF(AND(N($C303)&gt;0,N(S303)=0),"nobody marked present",IF(N($D303)&gt;N($C303),"more broken than moulded",IF(AND($C303="",N(S303)&gt;0),"attendance marked but no blocks entered",IF(AND(N($C303)&gt;0,N(T303)=0),"no pay rate for this date - see Settings",IF(SUMPRODUCT((G303:R303&lt;&gt;"")*(G$5:R$5=""))&gt;0,"attendance in an empty worker slot",""))))))</f>
        <v/>
      </c>
      <c r="X303" s="133"/>
      <c r="Y303" s="125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</row>
    <row r="304" spans="1:39" s="127" customFormat="1" ht="21" customHeight="1" x14ac:dyDescent="0.25">
      <c r="A304" s="49">
        <v>46583</v>
      </c>
      <c r="B304" s="63" t="str">
        <f t="shared" si="28"/>
        <v>Thu</v>
      </c>
      <c r="C304" s="64"/>
      <c r="D304" s="64"/>
      <c r="E304" s="65" t="str">
        <f t="shared" si="29"/>
        <v/>
      </c>
      <c r="F304" s="65" t="str">
        <f t="shared" si="30"/>
        <v/>
      </c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1" t="str">
        <f t="shared" si="31"/>
        <v/>
      </c>
      <c r="T304" s="66" t="str">
        <f t="shared" si="32"/>
        <v/>
      </c>
      <c r="U304" s="131" t="str">
        <f t="shared" si="33"/>
        <v/>
      </c>
      <c r="V304" s="52">
        <f t="shared" si="34"/>
        <v>46580</v>
      </c>
      <c r="W304" s="132" t="str" cm="1">
        <f t="array" ref="W304">IF(AND($C304="",S304=""),"",IF(AND(N($C304)&gt;0,N(S304)=0),"nobody marked present",IF(N($D304)&gt;N($C304),"more broken than moulded",IF(AND($C304="",N(S304)&gt;0),"attendance marked but no blocks entered",IF(AND(N($C304)&gt;0,N(T304)=0),"no pay rate for this date - see Settings",IF(SUMPRODUCT((G304:R304&lt;&gt;"")*(G$5:R$5=""))&gt;0,"attendance in an empty worker slot",""))))))</f>
        <v/>
      </c>
      <c r="X304" s="133"/>
      <c r="Y304" s="125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</row>
    <row r="305" spans="1:39" s="127" customFormat="1" ht="21" customHeight="1" x14ac:dyDescent="0.25">
      <c r="A305" s="49">
        <v>46584</v>
      </c>
      <c r="B305" s="63" t="str">
        <f t="shared" si="28"/>
        <v>Fri</v>
      </c>
      <c r="C305" s="64"/>
      <c r="D305" s="64"/>
      <c r="E305" s="65" t="str">
        <f t="shared" si="29"/>
        <v/>
      </c>
      <c r="F305" s="65" t="str">
        <f t="shared" si="30"/>
        <v/>
      </c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1" t="str">
        <f t="shared" si="31"/>
        <v/>
      </c>
      <c r="T305" s="66" t="str">
        <f t="shared" si="32"/>
        <v/>
      </c>
      <c r="U305" s="131" t="str">
        <f t="shared" si="33"/>
        <v/>
      </c>
      <c r="V305" s="52">
        <f t="shared" si="34"/>
        <v>46580</v>
      </c>
      <c r="W305" s="132" t="str" cm="1">
        <f t="array" ref="W305">IF(AND($C305="",S305=""),"",IF(AND(N($C305)&gt;0,N(S305)=0),"nobody marked present",IF(N($D305)&gt;N($C305),"more broken than moulded",IF(AND($C305="",N(S305)&gt;0),"attendance marked but no blocks entered",IF(AND(N($C305)&gt;0,N(T305)=0),"no pay rate for this date - see Settings",IF(SUMPRODUCT((G305:R305&lt;&gt;"")*(G$5:R$5=""))&gt;0,"attendance in an empty worker slot",""))))))</f>
        <v/>
      </c>
      <c r="X305" s="133"/>
      <c r="Y305" s="125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</row>
    <row r="306" spans="1:39" s="127" customFormat="1" ht="21" customHeight="1" x14ac:dyDescent="0.25">
      <c r="A306" s="49">
        <v>46585</v>
      </c>
      <c r="B306" s="63" t="str">
        <f t="shared" si="28"/>
        <v>Sat</v>
      </c>
      <c r="C306" s="64"/>
      <c r="D306" s="64"/>
      <c r="E306" s="65" t="str">
        <f t="shared" si="29"/>
        <v/>
      </c>
      <c r="F306" s="65" t="str">
        <f t="shared" si="30"/>
        <v/>
      </c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1" t="str">
        <f t="shared" si="31"/>
        <v/>
      </c>
      <c r="T306" s="66" t="str">
        <f t="shared" si="32"/>
        <v/>
      </c>
      <c r="U306" s="131" t="str">
        <f t="shared" si="33"/>
        <v/>
      </c>
      <c r="V306" s="52">
        <f t="shared" si="34"/>
        <v>46580</v>
      </c>
      <c r="W306" s="132" t="str" cm="1">
        <f t="array" ref="W306">IF(AND($C306="",S306=""),"",IF(AND(N($C306)&gt;0,N(S306)=0),"nobody marked present",IF(N($D306)&gt;N($C306),"more broken than moulded",IF(AND($C306="",N(S306)&gt;0),"attendance marked but no blocks entered",IF(AND(N($C306)&gt;0,N(T306)=0),"no pay rate for this date - see Settings",IF(SUMPRODUCT((G306:R306&lt;&gt;"")*(G$5:R$5=""))&gt;0,"attendance in an empty worker slot",""))))))</f>
        <v/>
      </c>
      <c r="X306" s="133"/>
      <c r="Y306" s="125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</row>
    <row r="307" spans="1:39" s="127" customFormat="1" ht="21" customHeight="1" x14ac:dyDescent="0.25">
      <c r="A307" s="54">
        <v>46586</v>
      </c>
      <c r="B307" s="70" t="str">
        <f t="shared" si="28"/>
        <v>Sun</v>
      </c>
      <c r="C307" s="64"/>
      <c r="D307" s="64"/>
      <c r="E307" s="65" t="str">
        <f t="shared" si="29"/>
        <v/>
      </c>
      <c r="F307" s="65" t="str">
        <f t="shared" si="30"/>
        <v/>
      </c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1" t="str">
        <f t="shared" si="31"/>
        <v/>
      </c>
      <c r="T307" s="66" t="str">
        <f t="shared" si="32"/>
        <v/>
      </c>
      <c r="U307" s="131" t="str">
        <f t="shared" si="33"/>
        <v/>
      </c>
      <c r="V307" s="52">
        <f t="shared" si="34"/>
        <v>46580</v>
      </c>
      <c r="W307" s="132" t="str" cm="1">
        <f t="array" ref="W307">IF(AND($C307="",S307=""),"",IF(AND(N($C307)&gt;0,N(S307)=0),"nobody marked present",IF(N($D307)&gt;N($C307),"more broken than moulded",IF(AND($C307="",N(S307)&gt;0),"attendance marked but no blocks entered",IF(AND(N($C307)&gt;0,N(T307)=0),"no pay rate for this date - see Settings",IF(SUMPRODUCT((G307:R307&lt;&gt;"")*(G$5:R$5=""))&gt;0,"attendance in an empty worker slot",""))))))</f>
        <v/>
      </c>
      <c r="X307" s="133"/>
      <c r="Y307" s="125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</row>
    <row r="308" spans="1:39" s="127" customFormat="1" ht="21" customHeight="1" x14ac:dyDescent="0.25">
      <c r="A308" s="49">
        <v>46587</v>
      </c>
      <c r="B308" s="63" t="str">
        <f t="shared" si="28"/>
        <v>Mon</v>
      </c>
      <c r="C308" s="64"/>
      <c r="D308" s="64"/>
      <c r="E308" s="65" t="str">
        <f t="shared" si="29"/>
        <v/>
      </c>
      <c r="F308" s="65" t="str">
        <f t="shared" si="30"/>
        <v/>
      </c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1" t="str">
        <f t="shared" si="31"/>
        <v/>
      </c>
      <c r="T308" s="66" t="str">
        <f t="shared" si="32"/>
        <v/>
      </c>
      <c r="U308" s="131" t="str">
        <f t="shared" si="33"/>
        <v/>
      </c>
      <c r="V308" s="52">
        <f t="shared" si="34"/>
        <v>46587</v>
      </c>
      <c r="W308" s="132" t="str" cm="1">
        <f t="array" ref="W308">IF(AND($C308="",S308=""),"",IF(AND(N($C308)&gt;0,N(S308)=0),"nobody marked present",IF(N($D308)&gt;N($C308),"more broken than moulded",IF(AND($C308="",N(S308)&gt;0),"attendance marked but no blocks entered",IF(AND(N($C308)&gt;0,N(T308)=0),"no pay rate for this date - see Settings",IF(SUMPRODUCT((G308:R308&lt;&gt;"")*(G$5:R$5=""))&gt;0,"attendance in an empty worker slot",""))))))</f>
        <v/>
      </c>
      <c r="X308" s="133"/>
      <c r="Y308" s="125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</row>
    <row r="309" spans="1:39" s="127" customFormat="1" ht="21" customHeight="1" x14ac:dyDescent="0.25">
      <c r="A309" s="49">
        <v>46588</v>
      </c>
      <c r="B309" s="63" t="str">
        <f t="shared" si="28"/>
        <v>Tue</v>
      </c>
      <c r="C309" s="64"/>
      <c r="D309" s="64"/>
      <c r="E309" s="65" t="str">
        <f t="shared" si="29"/>
        <v/>
      </c>
      <c r="F309" s="65" t="str">
        <f t="shared" si="30"/>
        <v/>
      </c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1" t="str">
        <f t="shared" si="31"/>
        <v/>
      </c>
      <c r="T309" s="66" t="str">
        <f t="shared" si="32"/>
        <v/>
      </c>
      <c r="U309" s="131" t="str">
        <f t="shared" si="33"/>
        <v/>
      </c>
      <c r="V309" s="52">
        <f t="shared" si="34"/>
        <v>46587</v>
      </c>
      <c r="W309" s="132" t="str" cm="1">
        <f t="array" ref="W309">IF(AND($C309="",S309=""),"",IF(AND(N($C309)&gt;0,N(S309)=0),"nobody marked present",IF(N($D309)&gt;N($C309),"more broken than moulded",IF(AND($C309="",N(S309)&gt;0),"attendance marked but no blocks entered",IF(AND(N($C309)&gt;0,N(T309)=0),"no pay rate for this date - see Settings",IF(SUMPRODUCT((G309:R309&lt;&gt;"")*(G$5:R$5=""))&gt;0,"attendance in an empty worker slot",""))))))</f>
        <v/>
      </c>
      <c r="X309" s="133"/>
      <c r="Y309" s="125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</row>
    <row r="310" spans="1:39" s="127" customFormat="1" ht="21" customHeight="1" x14ac:dyDescent="0.25">
      <c r="A310" s="49">
        <v>46589</v>
      </c>
      <c r="B310" s="63" t="str">
        <f t="shared" si="28"/>
        <v>Wed</v>
      </c>
      <c r="C310" s="64"/>
      <c r="D310" s="64"/>
      <c r="E310" s="65" t="str">
        <f t="shared" si="29"/>
        <v/>
      </c>
      <c r="F310" s="65" t="str">
        <f t="shared" si="30"/>
        <v/>
      </c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1" t="str">
        <f t="shared" si="31"/>
        <v/>
      </c>
      <c r="T310" s="66" t="str">
        <f t="shared" si="32"/>
        <v/>
      </c>
      <c r="U310" s="131" t="str">
        <f t="shared" si="33"/>
        <v/>
      </c>
      <c r="V310" s="52">
        <f t="shared" si="34"/>
        <v>46587</v>
      </c>
      <c r="W310" s="132" t="str" cm="1">
        <f t="array" ref="W310">IF(AND($C310="",S310=""),"",IF(AND(N($C310)&gt;0,N(S310)=0),"nobody marked present",IF(N($D310)&gt;N($C310),"more broken than moulded",IF(AND($C310="",N(S310)&gt;0),"attendance marked but no blocks entered",IF(AND(N($C310)&gt;0,N(T310)=0),"no pay rate for this date - see Settings",IF(SUMPRODUCT((G310:R310&lt;&gt;"")*(G$5:R$5=""))&gt;0,"attendance in an empty worker slot",""))))))</f>
        <v/>
      </c>
      <c r="X310" s="133"/>
      <c r="Y310" s="125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</row>
    <row r="311" spans="1:39" s="127" customFormat="1" ht="21" customHeight="1" x14ac:dyDescent="0.25">
      <c r="A311" s="49">
        <v>46590</v>
      </c>
      <c r="B311" s="63" t="str">
        <f t="shared" si="28"/>
        <v>Thu</v>
      </c>
      <c r="C311" s="64"/>
      <c r="D311" s="64"/>
      <c r="E311" s="65" t="str">
        <f t="shared" si="29"/>
        <v/>
      </c>
      <c r="F311" s="65" t="str">
        <f t="shared" si="30"/>
        <v/>
      </c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1" t="str">
        <f t="shared" si="31"/>
        <v/>
      </c>
      <c r="T311" s="66" t="str">
        <f t="shared" si="32"/>
        <v/>
      </c>
      <c r="U311" s="131" t="str">
        <f t="shared" si="33"/>
        <v/>
      </c>
      <c r="V311" s="52">
        <f t="shared" si="34"/>
        <v>46587</v>
      </c>
      <c r="W311" s="132" t="str" cm="1">
        <f t="array" ref="W311">IF(AND($C311="",S311=""),"",IF(AND(N($C311)&gt;0,N(S311)=0),"nobody marked present",IF(N($D311)&gt;N($C311),"more broken than moulded",IF(AND($C311="",N(S311)&gt;0),"attendance marked but no blocks entered",IF(AND(N($C311)&gt;0,N(T311)=0),"no pay rate for this date - see Settings",IF(SUMPRODUCT((G311:R311&lt;&gt;"")*(G$5:R$5=""))&gt;0,"attendance in an empty worker slot",""))))))</f>
        <v/>
      </c>
      <c r="X311" s="133"/>
      <c r="Y311" s="125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</row>
    <row r="312" spans="1:39" s="127" customFormat="1" ht="21" customHeight="1" x14ac:dyDescent="0.25">
      <c r="A312" s="49">
        <v>46591</v>
      </c>
      <c r="B312" s="63" t="str">
        <f t="shared" si="28"/>
        <v>Fri</v>
      </c>
      <c r="C312" s="64"/>
      <c r="D312" s="64"/>
      <c r="E312" s="65" t="str">
        <f t="shared" si="29"/>
        <v/>
      </c>
      <c r="F312" s="65" t="str">
        <f t="shared" si="30"/>
        <v/>
      </c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1" t="str">
        <f t="shared" si="31"/>
        <v/>
      </c>
      <c r="T312" s="66" t="str">
        <f t="shared" si="32"/>
        <v/>
      </c>
      <c r="U312" s="131" t="str">
        <f t="shared" si="33"/>
        <v/>
      </c>
      <c r="V312" s="52">
        <f t="shared" si="34"/>
        <v>46587</v>
      </c>
      <c r="W312" s="132" t="str" cm="1">
        <f t="array" ref="W312">IF(AND($C312="",S312=""),"",IF(AND(N($C312)&gt;0,N(S312)=0),"nobody marked present",IF(N($D312)&gt;N($C312),"more broken than moulded",IF(AND($C312="",N(S312)&gt;0),"attendance marked but no blocks entered",IF(AND(N($C312)&gt;0,N(T312)=0),"no pay rate for this date - see Settings",IF(SUMPRODUCT((G312:R312&lt;&gt;"")*(G$5:R$5=""))&gt;0,"attendance in an empty worker slot",""))))))</f>
        <v/>
      </c>
      <c r="X312" s="133"/>
      <c r="Y312" s="125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</row>
    <row r="313" spans="1:39" s="127" customFormat="1" ht="21" customHeight="1" x14ac:dyDescent="0.25">
      <c r="A313" s="49">
        <v>46592</v>
      </c>
      <c r="B313" s="63" t="str">
        <f t="shared" si="28"/>
        <v>Sat</v>
      </c>
      <c r="C313" s="64"/>
      <c r="D313" s="64"/>
      <c r="E313" s="65" t="str">
        <f t="shared" si="29"/>
        <v/>
      </c>
      <c r="F313" s="65" t="str">
        <f t="shared" si="30"/>
        <v/>
      </c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1" t="str">
        <f t="shared" si="31"/>
        <v/>
      </c>
      <c r="T313" s="66" t="str">
        <f t="shared" si="32"/>
        <v/>
      </c>
      <c r="U313" s="131" t="str">
        <f t="shared" si="33"/>
        <v/>
      </c>
      <c r="V313" s="52">
        <f t="shared" si="34"/>
        <v>46587</v>
      </c>
      <c r="W313" s="132" t="str" cm="1">
        <f t="array" ref="W313">IF(AND($C313="",S313=""),"",IF(AND(N($C313)&gt;0,N(S313)=0),"nobody marked present",IF(N($D313)&gt;N($C313),"more broken than moulded",IF(AND($C313="",N(S313)&gt;0),"attendance marked but no blocks entered",IF(AND(N($C313)&gt;0,N(T313)=0),"no pay rate for this date - see Settings",IF(SUMPRODUCT((G313:R313&lt;&gt;"")*(G$5:R$5=""))&gt;0,"attendance in an empty worker slot",""))))))</f>
        <v/>
      </c>
      <c r="X313" s="133"/>
      <c r="Y313" s="125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</row>
    <row r="314" spans="1:39" s="127" customFormat="1" ht="21" customHeight="1" x14ac:dyDescent="0.25">
      <c r="A314" s="54">
        <v>46593</v>
      </c>
      <c r="B314" s="70" t="str">
        <f t="shared" si="28"/>
        <v>Sun</v>
      </c>
      <c r="C314" s="64"/>
      <c r="D314" s="64"/>
      <c r="E314" s="65" t="str">
        <f t="shared" si="29"/>
        <v/>
      </c>
      <c r="F314" s="65" t="str">
        <f t="shared" si="30"/>
        <v/>
      </c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1" t="str">
        <f t="shared" si="31"/>
        <v/>
      </c>
      <c r="T314" s="66" t="str">
        <f t="shared" si="32"/>
        <v/>
      </c>
      <c r="U314" s="131" t="str">
        <f t="shared" si="33"/>
        <v/>
      </c>
      <c r="V314" s="52">
        <f t="shared" si="34"/>
        <v>46587</v>
      </c>
      <c r="W314" s="132" t="str" cm="1">
        <f t="array" ref="W314">IF(AND($C314="",S314=""),"",IF(AND(N($C314)&gt;0,N(S314)=0),"nobody marked present",IF(N($D314)&gt;N($C314),"more broken than moulded",IF(AND($C314="",N(S314)&gt;0),"attendance marked but no blocks entered",IF(AND(N($C314)&gt;0,N(T314)=0),"no pay rate for this date - see Settings",IF(SUMPRODUCT((G314:R314&lt;&gt;"")*(G$5:R$5=""))&gt;0,"attendance in an empty worker slot",""))))))</f>
        <v/>
      </c>
      <c r="X314" s="133"/>
      <c r="Y314" s="125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</row>
    <row r="315" spans="1:39" s="127" customFormat="1" ht="21" customHeight="1" x14ac:dyDescent="0.25">
      <c r="A315" s="49">
        <v>46594</v>
      </c>
      <c r="B315" s="63" t="str">
        <f t="shared" si="28"/>
        <v>Mon</v>
      </c>
      <c r="C315" s="64"/>
      <c r="D315" s="64"/>
      <c r="E315" s="65" t="str">
        <f t="shared" si="29"/>
        <v/>
      </c>
      <c r="F315" s="65" t="str">
        <f t="shared" si="30"/>
        <v/>
      </c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1" t="str">
        <f t="shared" si="31"/>
        <v/>
      </c>
      <c r="T315" s="66" t="str">
        <f t="shared" si="32"/>
        <v/>
      </c>
      <c r="U315" s="131" t="str">
        <f t="shared" si="33"/>
        <v/>
      </c>
      <c r="V315" s="52">
        <f t="shared" si="34"/>
        <v>46594</v>
      </c>
      <c r="W315" s="132" t="str" cm="1">
        <f t="array" ref="W315">IF(AND($C315="",S315=""),"",IF(AND(N($C315)&gt;0,N(S315)=0),"nobody marked present",IF(N($D315)&gt;N($C315),"more broken than moulded",IF(AND($C315="",N(S315)&gt;0),"attendance marked but no blocks entered",IF(AND(N($C315)&gt;0,N(T315)=0),"no pay rate for this date - see Settings",IF(SUMPRODUCT((G315:R315&lt;&gt;"")*(G$5:R$5=""))&gt;0,"attendance in an empty worker slot",""))))))</f>
        <v/>
      </c>
      <c r="X315" s="133"/>
      <c r="Y315" s="125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</row>
    <row r="316" spans="1:39" s="127" customFormat="1" ht="21" customHeight="1" x14ac:dyDescent="0.25">
      <c r="A316" s="49">
        <v>46595</v>
      </c>
      <c r="B316" s="63" t="str">
        <f t="shared" si="28"/>
        <v>Tue</v>
      </c>
      <c r="C316" s="64"/>
      <c r="D316" s="64"/>
      <c r="E316" s="65" t="str">
        <f t="shared" si="29"/>
        <v/>
      </c>
      <c r="F316" s="65" t="str">
        <f t="shared" si="30"/>
        <v/>
      </c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1" t="str">
        <f t="shared" si="31"/>
        <v/>
      </c>
      <c r="T316" s="66" t="str">
        <f t="shared" si="32"/>
        <v/>
      </c>
      <c r="U316" s="131" t="str">
        <f t="shared" si="33"/>
        <v/>
      </c>
      <c r="V316" s="52">
        <f t="shared" si="34"/>
        <v>46594</v>
      </c>
      <c r="W316" s="132" t="str" cm="1">
        <f t="array" ref="W316">IF(AND($C316="",S316=""),"",IF(AND(N($C316)&gt;0,N(S316)=0),"nobody marked present",IF(N($D316)&gt;N($C316),"more broken than moulded",IF(AND($C316="",N(S316)&gt;0),"attendance marked but no blocks entered",IF(AND(N($C316)&gt;0,N(T316)=0),"no pay rate for this date - see Settings",IF(SUMPRODUCT((G316:R316&lt;&gt;"")*(G$5:R$5=""))&gt;0,"attendance in an empty worker slot",""))))))</f>
        <v/>
      </c>
      <c r="X316" s="133"/>
      <c r="Y316" s="125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</row>
    <row r="317" spans="1:39" s="127" customFormat="1" ht="21" customHeight="1" x14ac:dyDescent="0.25">
      <c r="A317" s="49">
        <v>46596</v>
      </c>
      <c r="B317" s="63" t="str">
        <f t="shared" si="28"/>
        <v>Wed</v>
      </c>
      <c r="C317" s="64"/>
      <c r="D317" s="64"/>
      <c r="E317" s="65" t="str">
        <f t="shared" si="29"/>
        <v/>
      </c>
      <c r="F317" s="65" t="str">
        <f t="shared" si="30"/>
        <v/>
      </c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1" t="str">
        <f t="shared" si="31"/>
        <v/>
      </c>
      <c r="T317" s="66" t="str">
        <f t="shared" si="32"/>
        <v/>
      </c>
      <c r="U317" s="131" t="str">
        <f t="shared" si="33"/>
        <v/>
      </c>
      <c r="V317" s="52">
        <f t="shared" si="34"/>
        <v>46594</v>
      </c>
      <c r="W317" s="132" t="str" cm="1">
        <f t="array" ref="W317">IF(AND($C317="",S317=""),"",IF(AND(N($C317)&gt;0,N(S317)=0),"nobody marked present",IF(N($D317)&gt;N($C317),"more broken than moulded",IF(AND($C317="",N(S317)&gt;0),"attendance marked but no blocks entered",IF(AND(N($C317)&gt;0,N(T317)=0),"no pay rate for this date - see Settings",IF(SUMPRODUCT((G317:R317&lt;&gt;"")*(G$5:R$5=""))&gt;0,"attendance in an empty worker slot",""))))))</f>
        <v/>
      </c>
      <c r="X317" s="133"/>
      <c r="Y317" s="125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</row>
    <row r="318" spans="1:39" s="127" customFormat="1" ht="21" customHeight="1" x14ac:dyDescent="0.25">
      <c r="A318" s="49">
        <v>46597</v>
      </c>
      <c r="B318" s="63" t="str">
        <f t="shared" si="28"/>
        <v>Thu</v>
      </c>
      <c r="C318" s="64"/>
      <c r="D318" s="64"/>
      <c r="E318" s="65" t="str">
        <f t="shared" si="29"/>
        <v/>
      </c>
      <c r="F318" s="65" t="str">
        <f t="shared" si="30"/>
        <v/>
      </c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1" t="str">
        <f t="shared" si="31"/>
        <v/>
      </c>
      <c r="T318" s="66" t="str">
        <f t="shared" si="32"/>
        <v/>
      </c>
      <c r="U318" s="131" t="str">
        <f t="shared" si="33"/>
        <v/>
      </c>
      <c r="V318" s="52">
        <f t="shared" si="34"/>
        <v>46594</v>
      </c>
      <c r="W318" s="132" t="str" cm="1">
        <f t="array" ref="W318">IF(AND($C318="",S318=""),"",IF(AND(N($C318)&gt;0,N(S318)=0),"nobody marked present",IF(N($D318)&gt;N($C318),"more broken than moulded",IF(AND($C318="",N(S318)&gt;0),"attendance marked but no blocks entered",IF(AND(N($C318)&gt;0,N(T318)=0),"no pay rate for this date - see Settings",IF(SUMPRODUCT((G318:R318&lt;&gt;"")*(G$5:R$5=""))&gt;0,"attendance in an empty worker slot",""))))))</f>
        <v/>
      </c>
      <c r="X318" s="133"/>
      <c r="Y318" s="125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</row>
    <row r="319" spans="1:39" s="127" customFormat="1" ht="21" customHeight="1" x14ac:dyDescent="0.25">
      <c r="A319" s="49">
        <v>46598</v>
      </c>
      <c r="B319" s="63" t="str">
        <f t="shared" si="28"/>
        <v>Fri</v>
      </c>
      <c r="C319" s="64"/>
      <c r="D319" s="64"/>
      <c r="E319" s="65" t="str">
        <f t="shared" si="29"/>
        <v/>
      </c>
      <c r="F319" s="65" t="str">
        <f t="shared" si="30"/>
        <v/>
      </c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1" t="str">
        <f t="shared" si="31"/>
        <v/>
      </c>
      <c r="T319" s="66" t="str">
        <f t="shared" si="32"/>
        <v/>
      </c>
      <c r="U319" s="131" t="str">
        <f t="shared" si="33"/>
        <v/>
      </c>
      <c r="V319" s="52">
        <f t="shared" si="34"/>
        <v>46594</v>
      </c>
      <c r="W319" s="132" t="str" cm="1">
        <f t="array" ref="W319">IF(AND($C319="",S319=""),"",IF(AND(N($C319)&gt;0,N(S319)=0),"nobody marked present",IF(N($D319)&gt;N($C319),"more broken than moulded",IF(AND($C319="",N(S319)&gt;0),"attendance marked but no blocks entered",IF(AND(N($C319)&gt;0,N(T319)=0),"no pay rate for this date - see Settings",IF(SUMPRODUCT((G319:R319&lt;&gt;"")*(G$5:R$5=""))&gt;0,"attendance in an empty worker slot",""))))))</f>
        <v/>
      </c>
      <c r="X319" s="133"/>
      <c r="Y319" s="125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</row>
    <row r="320" spans="1:39" s="127" customFormat="1" ht="21" customHeight="1" x14ac:dyDescent="0.25">
      <c r="A320" s="49">
        <v>46599</v>
      </c>
      <c r="B320" s="63" t="str">
        <f t="shared" si="28"/>
        <v>Sat</v>
      </c>
      <c r="C320" s="64"/>
      <c r="D320" s="64"/>
      <c r="E320" s="65" t="str">
        <f t="shared" si="29"/>
        <v/>
      </c>
      <c r="F320" s="65" t="str">
        <f t="shared" si="30"/>
        <v/>
      </c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1" t="str">
        <f t="shared" si="31"/>
        <v/>
      </c>
      <c r="T320" s="66" t="str">
        <f t="shared" si="32"/>
        <v/>
      </c>
      <c r="U320" s="131" t="str">
        <f t="shared" si="33"/>
        <v/>
      </c>
      <c r="V320" s="52">
        <f t="shared" si="34"/>
        <v>46594</v>
      </c>
      <c r="W320" s="132" t="str" cm="1">
        <f t="array" ref="W320">IF(AND($C320="",S320=""),"",IF(AND(N($C320)&gt;0,N(S320)=0),"nobody marked present",IF(N($D320)&gt;N($C320),"more broken than moulded",IF(AND($C320="",N(S320)&gt;0),"attendance marked but no blocks entered",IF(AND(N($C320)&gt;0,N(T320)=0),"no pay rate for this date - see Settings",IF(SUMPRODUCT((G320:R320&lt;&gt;"")*(G$5:R$5=""))&gt;0,"attendance in an empty worker slot",""))))))</f>
        <v/>
      </c>
      <c r="X320" s="133"/>
      <c r="Y320" s="125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</row>
    <row r="321" spans="1:39" s="127" customFormat="1" ht="21" customHeight="1" x14ac:dyDescent="0.25">
      <c r="A321" s="54">
        <v>46600</v>
      </c>
      <c r="B321" s="70" t="str">
        <f t="shared" si="28"/>
        <v>Sun</v>
      </c>
      <c r="C321" s="64"/>
      <c r="D321" s="64"/>
      <c r="E321" s="65" t="str">
        <f t="shared" si="29"/>
        <v/>
      </c>
      <c r="F321" s="65" t="str">
        <f t="shared" si="30"/>
        <v/>
      </c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1" t="str">
        <f t="shared" si="31"/>
        <v/>
      </c>
      <c r="T321" s="66" t="str">
        <f t="shared" si="32"/>
        <v/>
      </c>
      <c r="U321" s="131" t="str">
        <f t="shared" si="33"/>
        <v/>
      </c>
      <c r="V321" s="52">
        <f t="shared" si="34"/>
        <v>46594</v>
      </c>
      <c r="W321" s="132" t="str" cm="1">
        <f t="array" ref="W321">IF(AND($C321="",S321=""),"",IF(AND(N($C321)&gt;0,N(S321)=0),"nobody marked present",IF(N($D321)&gt;N($C321),"more broken than moulded",IF(AND($C321="",N(S321)&gt;0),"attendance marked but no blocks entered",IF(AND(N($C321)&gt;0,N(T321)=0),"no pay rate for this date - see Settings",IF(SUMPRODUCT((G321:R321&lt;&gt;"")*(G$5:R$5=""))&gt;0,"attendance in an empty worker slot",""))))))</f>
        <v/>
      </c>
      <c r="X321" s="133"/>
      <c r="Y321" s="125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</row>
    <row r="322" spans="1:39" s="127" customFormat="1" ht="21" customHeight="1" x14ac:dyDescent="0.25">
      <c r="A322" s="49">
        <v>46601</v>
      </c>
      <c r="B322" s="63" t="str">
        <f t="shared" si="28"/>
        <v>Mon</v>
      </c>
      <c r="C322" s="64"/>
      <c r="D322" s="64"/>
      <c r="E322" s="65" t="str">
        <f t="shared" si="29"/>
        <v/>
      </c>
      <c r="F322" s="65" t="str">
        <f t="shared" si="30"/>
        <v/>
      </c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1" t="str">
        <f t="shared" si="31"/>
        <v/>
      </c>
      <c r="T322" s="66" t="str">
        <f t="shared" si="32"/>
        <v/>
      </c>
      <c r="U322" s="131" t="str">
        <f t="shared" si="33"/>
        <v/>
      </c>
      <c r="V322" s="52">
        <f t="shared" si="34"/>
        <v>46601</v>
      </c>
      <c r="W322" s="132" t="str" cm="1">
        <f t="array" ref="W322">IF(AND($C322="",S322=""),"",IF(AND(N($C322)&gt;0,N(S322)=0),"nobody marked present",IF(N($D322)&gt;N($C322),"more broken than moulded",IF(AND($C322="",N(S322)&gt;0),"attendance marked but no blocks entered",IF(AND(N($C322)&gt;0,N(T322)=0),"no pay rate for this date - see Settings",IF(SUMPRODUCT((G322:R322&lt;&gt;"")*(G$5:R$5=""))&gt;0,"attendance in an empty worker slot",""))))))</f>
        <v/>
      </c>
      <c r="X322" s="133"/>
      <c r="Y322" s="125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</row>
    <row r="323" spans="1:39" s="127" customFormat="1" ht="21" customHeight="1" x14ac:dyDescent="0.25">
      <c r="A323" s="49">
        <v>46602</v>
      </c>
      <c r="B323" s="63" t="str">
        <f t="shared" si="28"/>
        <v>Tue</v>
      </c>
      <c r="C323" s="64"/>
      <c r="D323" s="64"/>
      <c r="E323" s="65" t="str">
        <f t="shared" si="29"/>
        <v/>
      </c>
      <c r="F323" s="65" t="str">
        <f t="shared" si="30"/>
        <v/>
      </c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1" t="str">
        <f t="shared" si="31"/>
        <v/>
      </c>
      <c r="T323" s="66" t="str">
        <f t="shared" si="32"/>
        <v/>
      </c>
      <c r="U323" s="131" t="str">
        <f t="shared" si="33"/>
        <v/>
      </c>
      <c r="V323" s="52">
        <f t="shared" si="34"/>
        <v>46601</v>
      </c>
      <c r="W323" s="132" t="str" cm="1">
        <f t="array" ref="W323">IF(AND($C323="",S323=""),"",IF(AND(N($C323)&gt;0,N(S323)=0),"nobody marked present",IF(N($D323)&gt;N($C323),"more broken than moulded",IF(AND($C323="",N(S323)&gt;0),"attendance marked but no blocks entered",IF(AND(N($C323)&gt;0,N(T323)=0),"no pay rate for this date - see Settings",IF(SUMPRODUCT((G323:R323&lt;&gt;"")*(G$5:R$5=""))&gt;0,"attendance in an empty worker slot",""))))))</f>
        <v/>
      </c>
      <c r="X323" s="133"/>
      <c r="Y323" s="125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</row>
    <row r="324" spans="1:39" s="127" customFormat="1" ht="21" customHeight="1" x14ac:dyDescent="0.25">
      <c r="A324" s="49">
        <v>46603</v>
      </c>
      <c r="B324" s="63" t="str">
        <f t="shared" si="28"/>
        <v>Wed</v>
      </c>
      <c r="C324" s="64"/>
      <c r="D324" s="64"/>
      <c r="E324" s="65" t="str">
        <f t="shared" si="29"/>
        <v/>
      </c>
      <c r="F324" s="65" t="str">
        <f t="shared" si="30"/>
        <v/>
      </c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1" t="str">
        <f t="shared" si="31"/>
        <v/>
      </c>
      <c r="T324" s="66" t="str">
        <f t="shared" si="32"/>
        <v/>
      </c>
      <c r="U324" s="131" t="str">
        <f t="shared" si="33"/>
        <v/>
      </c>
      <c r="V324" s="52">
        <f t="shared" si="34"/>
        <v>46601</v>
      </c>
      <c r="W324" s="132" t="str" cm="1">
        <f t="array" ref="W324">IF(AND($C324="",S324=""),"",IF(AND(N($C324)&gt;0,N(S324)=0),"nobody marked present",IF(N($D324)&gt;N($C324),"more broken than moulded",IF(AND($C324="",N(S324)&gt;0),"attendance marked but no blocks entered",IF(AND(N($C324)&gt;0,N(T324)=0),"no pay rate for this date - see Settings",IF(SUMPRODUCT((G324:R324&lt;&gt;"")*(G$5:R$5=""))&gt;0,"attendance in an empty worker slot",""))))))</f>
        <v/>
      </c>
      <c r="X324" s="133"/>
      <c r="Y324" s="125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</row>
    <row r="325" spans="1:39" s="127" customFormat="1" ht="21" customHeight="1" x14ac:dyDescent="0.25">
      <c r="A325" s="49">
        <v>46604</v>
      </c>
      <c r="B325" s="63" t="str">
        <f t="shared" si="28"/>
        <v>Thu</v>
      </c>
      <c r="C325" s="64"/>
      <c r="D325" s="64"/>
      <c r="E325" s="65" t="str">
        <f t="shared" si="29"/>
        <v/>
      </c>
      <c r="F325" s="65" t="str">
        <f t="shared" si="30"/>
        <v/>
      </c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1" t="str">
        <f t="shared" si="31"/>
        <v/>
      </c>
      <c r="T325" s="66" t="str">
        <f t="shared" si="32"/>
        <v/>
      </c>
      <c r="U325" s="131" t="str">
        <f t="shared" si="33"/>
        <v/>
      </c>
      <c r="V325" s="52">
        <f t="shared" si="34"/>
        <v>46601</v>
      </c>
      <c r="W325" s="132" t="str" cm="1">
        <f t="array" ref="W325">IF(AND($C325="",S325=""),"",IF(AND(N($C325)&gt;0,N(S325)=0),"nobody marked present",IF(N($D325)&gt;N($C325),"more broken than moulded",IF(AND($C325="",N(S325)&gt;0),"attendance marked but no blocks entered",IF(AND(N($C325)&gt;0,N(T325)=0),"no pay rate for this date - see Settings",IF(SUMPRODUCT((G325:R325&lt;&gt;"")*(G$5:R$5=""))&gt;0,"attendance in an empty worker slot",""))))))</f>
        <v/>
      </c>
      <c r="X325" s="133"/>
      <c r="Y325" s="125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</row>
    <row r="326" spans="1:39" s="127" customFormat="1" ht="21" customHeight="1" x14ac:dyDescent="0.25">
      <c r="A326" s="49">
        <v>46605</v>
      </c>
      <c r="B326" s="63" t="str">
        <f t="shared" si="28"/>
        <v>Fri</v>
      </c>
      <c r="C326" s="64"/>
      <c r="D326" s="64"/>
      <c r="E326" s="65" t="str">
        <f t="shared" si="29"/>
        <v/>
      </c>
      <c r="F326" s="65" t="str">
        <f t="shared" si="30"/>
        <v/>
      </c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1" t="str">
        <f t="shared" si="31"/>
        <v/>
      </c>
      <c r="T326" s="66" t="str">
        <f t="shared" si="32"/>
        <v/>
      </c>
      <c r="U326" s="131" t="str">
        <f t="shared" si="33"/>
        <v/>
      </c>
      <c r="V326" s="52">
        <f t="shared" si="34"/>
        <v>46601</v>
      </c>
      <c r="W326" s="132" t="str" cm="1">
        <f t="array" ref="W326">IF(AND($C326="",S326=""),"",IF(AND(N($C326)&gt;0,N(S326)=0),"nobody marked present",IF(N($D326)&gt;N($C326),"more broken than moulded",IF(AND($C326="",N(S326)&gt;0),"attendance marked but no blocks entered",IF(AND(N($C326)&gt;0,N(T326)=0),"no pay rate for this date - see Settings",IF(SUMPRODUCT((G326:R326&lt;&gt;"")*(G$5:R$5=""))&gt;0,"attendance in an empty worker slot",""))))))</f>
        <v/>
      </c>
      <c r="X326" s="133"/>
      <c r="Y326" s="125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</row>
    <row r="327" spans="1:39" s="127" customFormat="1" ht="21" customHeight="1" x14ac:dyDescent="0.25">
      <c r="A327" s="49">
        <v>46606</v>
      </c>
      <c r="B327" s="63" t="str">
        <f t="shared" ref="B327:B377" si="35">CHOOSE(WEEKDAY($A327,2),"Mon","Tue","Wed","Thu","Fri","Sat","Sun")</f>
        <v>Sat</v>
      </c>
      <c r="C327" s="64"/>
      <c r="D327" s="64"/>
      <c r="E327" s="65" t="str">
        <f t="shared" ref="E327:E377" si="36">IF($C327="","",$C327-N($D327))</f>
        <v/>
      </c>
      <c r="F327" s="65" t="str">
        <f t="shared" ref="F327:F377" si="37">IF($C327="","",$C327-MAX(0,N($D327)-BreakAllow*$C327))</f>
        <v/>
      </c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1" t="str">
        <f t="shared" ref="S327:S390" si="38">IF(COUNT(G327:R327)=0,"",SUM(G327:R327))</f>
        <v/>
      </c>
      <c r="T327" s="66" t="str">
        <f t="shared" ref="T327:T377" si="39">IF($C327="","",IFERROR(INDEX(RateValues,MATCH(SUMPRODUCT(MAX((RateDates&lt;=$A327)*RateDates)),RateDates,0)),0))</f>
        <v/>
      </c>
      <c r="U327" s="131" t="str">
        <f t="shared" ref="U327:U377" si="40">IF($C327="","",$F327*$T327)</f>
        <v/>
      </c>
      <c r="V327" s="52">
        <f t="shared" ref="V327:V377" si="41">$A327-WEEKDAY($A327,2)+1</f>
        <v>46601</v>
      </c>
      <c r="W327" s="132" t="str" cm="1">
        <f t="array" ref="W327">IF(AND($C327="",S327=""),"",IF(AND(N($C327)&gt;0,N(S327)=0),"nobody marked present",IF(N($D327)&gt;N($C327),"more broken than moulded",IF(AND($C327="",N(S327)&gt;0),"attendance marked but no blocks entered",IF(AND(N($C327)&gt;0,N(T327)=0),"no pay rate for this date - see Settings",IF(SUMPRODUCT((G327:R327&lt;&gt;"")*(G$5:R$5=""))&gt;0,"attendance in an empty worker slot",""))))))</f>
        <v/>
      </c>
      <c r="X327" s="133"/>
      <c r="Y327" s="125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</row>
    <row r="328" spans="1:39" s="127" customFormat="1" ht="21" customHeight="1" x14ac:dyDescent="0.25">
      <c r="A328" s="54">
        <v>46607</v>
      </c>
      <c r="B328" s="70" t="str">
        <f t="shared" si="35"/>
        <v>Sun</v>
      </c>
      <c r="C328" s="64"/>
      <c r="D328" s="64"/>
      <c r="E328" s="65" t="str">
        <f t="shared" si="36"/>
        <v/>
      </c>
      <c r="F328" s="65" t="str">
        <f t="shared" si="37"/>
        <v/>
      </c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1" t="str">
        <f t="shared" si="38"/>
        <v/>
      </c>
      <c r="T328" s="66" t="str">
        <f t="shared" si="39"/>
        <v/>
      </c>
      <c r="U328" s="131" t="str">
        <f t="shared" si="40"/>
        <v/>
      </c>
      <c r="V328" s="52">
        <f t="shared" si="41"/>
        <v>46601</v>
      </c>
      <c r="W328" s="132" t="str" cm="1">
        <f t="array" ref="W328">IF(AND($C328="",S328=""),"",IF(AND(N($C328)&gt;0,N(S328)=0),"nobody marked present",IF(N($D328)&gt;N($C328),"more broken than moulded",IF(AND($C328="",N(S328)&gt;0),"attendance marked but no blocks entered",IF(AND(N($C328)&gt;0,N(T328)=0),"no pay rate for this date - see Settings",IF(SUMPRODUCT((G328:R328&lt;&gt;"")*(G$5:R$5=""))&gt;0,"attendance in an empty worker slot",""))))))</f>
        <v/>
      </c>
      <c r="X328" s="133"/>
      <c r="Y328" s="125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</row>
    <row r="329" spans="1:39" s="127" customFormat="1" ht="21" customHeight="1" x14ac:dyDescent="0.25">
      <c r="A329" s="49">
        <v>46608</v>
      </c>
      <c r="B329" s="63" t="str">
        <f t="shared" si="35"/>
        <v>Mon</v>
      </c>
      <c r="C329" s="64"/>
      <c r="D329" s="64"/>
      <c r="E329" s="65" t="str">
        <f t="shared" si="36"/>
        <v/>
      </c>
      <c r="F329" s="65" t="str">
        <f t="shared" si="37"/>
        <v/>
      </c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1" t="str">
        <f t="shared" si="38"/>
        <v/>
      </c>
      <c r="T329" s="66" t="str">
        <f t="shared" si="39"/>
        <v/>
      </c>
      <c r="U329" s="131" t="str">
        <f t="shared" si="40"/>
        <v/>
      </c>
      <c r="V329" s="52">
        <f t="shared" si="41"/>
        <v>46608</v>
      </c>
      <c r="W329" s="132" t="str" cm="1">
        <f t="array" ref="W329">IF(AND($C329="",S329=""),"",IF(AND(N($C329)&gt;0,N(S329)=0),"nobody marked present",IF(N($D329)&gt;N($C329),"more broken than moulded",IF(AND($C329="",N(S329)&gt;0),"attendance marked but no blocks entered",IF(AND(N($C329)&gt;0,N(T329)=0),"no pay rate for this date - see Settings",IF(SUMPRODUCT((G329:R329&lt;&gt;"")*(G$5:R$5=""))&gt;0,"attendance in an empty worker slot",""))))))</f>
        <v/>
      </c>
      <c r="X329" s="133"/>
      <c r="Y329" s="125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</row>
    <row r="330" spans="1:39" s="127" customFormat="1" ht="21" customHeight="1" x14ac:dyDescent="0.25">
      <c r="A330" s="49">
        <v>46609</v>
      </c>
      <c r="B330" s="63" t="str">
        <f t="shared" si="35"/>
        <v>Tue</v>
      </c>
      <c r="C330" s="64"/>
      <c r="D330" s="64"/>
      <c r="E330" s="65" t="str">
        <f t="shared" si="36"/>
        <v/>
      </c>
      <c r="F330" s="65" t="str">
        <f t="shared" si="37"/>
        <v/>
      </c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1" t="str">
        <f t="shared" si="38"/>
        <v/>
      </c>
      <c r="T330" s="66" t="str">
        <f t="shared" si="39"/>
        <v/>
      </c>
      <c r="U330" s="131" t="str">
        <f t="shared" si="40"/>
        <v/>
      </c>
      <c r="V330" s="52">
        <f t="shared" si="41"/>
        <v>46608</v>
      </c>
      <c r="W330" s="132" t="str" cm="1">
        <f t="array" ref="W330">IF(AND($C330="",S330=""),"",IF(AND(N($C330)&gt;0,N(S330)=0),"nobody marked present",IF(N($D330)&gt;N($C330),"more broken than moulded",IF(AND($C330="",N(S330)&gt;0),"attendance marked but no blocks entered",IF(AND(N($C330)&gt;0,N(T330)=0),"no pay rate for this date - see Settings",IF(SUMPRODUCT((G330:R330&lt;&gt;"")*(G$5:R$5=""))&gt;0,"attendance in an empty worker slot",""))))))</f>
        <v/>
      </c>
      <c r="X330" s="133"/>
      <c r="Y330" s="125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</row>
    <row r="331" spans="1:39" s="127" customFormat="1" ht="21" customHeight="1" x14ac:dyDescent="0.25">
      <c r="A331" s="49">
        <v>46610</v>
      </c>
      <c r="B331" s="63" t="str">
        <f t="shared" si="35"/>
        <v>Wed</v>
      </c>
      <c r="C331" s="64"/>
      <c r="D331" s="64"/>
      <c r="E331" s="65" t="str">
        <f t="shared" si="36"/>
        <v/>
      </c>
      <c r="F331" s="65" t="str">
        <f t="shared" si="37"/>
        <v/>
      </c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1" t="str">
        <f t="shared" si="38"/>
        <v/>
      </c>
      <c r="T331" s="66" t="str">
        <f t="shared" si="39"/>
        <v/>
      </c>
      <c r="U331" s="131" t="str">
        <f t="shared" si="40"/>
        <v/>
      </c>
      <c r="V331" s="52">
        <f t="shared" si="41"/>
        <v>46608</v>
      </c>
      <c r="W331" s="132" t="str" cm="1">
        <f t="array" ref="W331">IF(AND($C331="",S331=""),"",IF(AND(N($C331)&gt;0,N(S331)=0),"nobody marked present",IF(N($D331)&gt;N($C331),"more broken than moulded",IF(AND($C331="",N(S331)&gt;0),"attendance marked but no blocks entered",IF(AND(N($C331)&gt;0,N(T331)=0),"no pay rate for this date - see Settings",IF(SUMPRODUCT((G331:R331&lt;&gt;"")*(G$5:R$5=""))&gt;0,"attendance in an empty worker slot",""))))))</f>
        <v/>
      </c>
      <c r="X331" s="133"/>
      <c r="Y331" s="125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</row>
    <row r="332" spans="1:39" s="127" customFormat="1" ht="21" customHeight="1" x14ac:dyDescent="0.25">
      <c r="A332" s="49">
        <v>46611</v>
      </c>
      <c r="B332" s="63" t="str">
        <f t="shared" si="35"/>
        <v>Thu</v>
      </c>
      <c r="C332" s="64"/>
      <c r="D332" s="64"/>
      <c r="E332" s="65" t="str">
        <f t="shared" si="36"/>
        <v/>
      </c>
      <c r="F332" s="65" t="str">
        <f t="shared" si="37"/>
        <v/>
      </c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1" t="str">
        <f t="shared" si="38"/>
        <v/>
      </c>
      <c r="T332" s="66" t="str">
        <f t="shared" si="39"/>
        <v/>
      </c>
      <c r="U332" s="131" t="str">
        <f t="shared" si="40"/>
        <v/>
      </c>
      <c r="V332" s="52">
        <f t="shared" si="41"/>
        <v>46608</v>
      </c>
      <c r="W332" s="132" t="str" cm="1">
        <f t="array" ref="W332">IF(AND($C332="",S332=""),"",IF(AND(N($C332)&gt;0,N(S332)=0),"nobody marked present",IF(N($D332)&gt;N($C332),"more broken than moulded",IF(AND($C332="",N(S332)&gt;0),"attendance marked but no blocks entered",IF(AND(N($C332)&gt;0,N(T332)=0),"no pay rate for this date - see Settings",IF(SUMPRODUCT((G332:R332&lt;&gt;"")*(G$5:R$5=""))&gt;0,"attendance in an empty worker slot",""))))))</f>
        <v/>
      </c>
      <c r="X332" s="133"/>
      <c r="Y332" s="125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</row>
    <row r="333" spans="1:39" s="127" customFormat="1" ht="21" customHeight="1" x14ac:dyDescent="0.25">
      <c r="A333" s="49">
        <v>46612</v>
      </c>
      <c r="B333" s="63" t="str">
        <f t="shared" si="35"/>
        <v>Fri</v>
      </c>
      <c r="C333" s="64"/>
      <c r="D333" s="64"/>
      <c r="E333" s="65" t="str">
        <f t="shared" si="36"/>
        <v/>
      </c>
      <c r="F333" s="65" t="str">
        <f t="shared" si="37"/>
        <v/>
      </c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1" t="str">
        <f t="shared" si="38"/>
        <v/>
      </c>
      <c r="T333" s="66" t="str">
        <f t="shared" si="39"/>
        <v/>
      </c>
      <c r="U333" s="131" t="str">
        <f t="shared" si="40"/>
        <v/>
      </c>
      <c r="V333" s="52">
        <f t="shared" si="41"/>
        <v>46608</v>
      </c>
      <c r="W333" s="132" t="str" cm="1">
        <f t="array" ref="W333">IF(AND($C333="",S333=""),"",IF(AND(N($C333)&gt;0,N(S333)=0),"nobody marked present",IF(N($D333)&gt;N($C333),"more broken than moulded",IF(AND($C333="",N(S333)&gt;0),"attendance marked but no blocks entered",IF(AND(N($C333)&gt;0,N(T333)=0),"no pay rate for this date - see Settings",IF(SUMPRODUCT((G333:R333&lt;&gt;"")*(G$5:R$5=""))&gt;0,"attendance in an empty worker slot",""))))))</f>
        <v/>
      </c>
      <c r="X333" s="133"/>
      <c r="Y333" s="125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</row>
    <row r="334" spans="1:39" s="127" customFormat="1" ht="21" customHeight="1" x14ac:dyDescent="0.25">
      <c r="A334" s="49">
        <v>46613</v>
      </c>
      <c r="B334" s="63" t="str">
        <f t="shared" si="35"/>
        <v>Sat</v>
      </c>
      <c r="C334" s="64"/>
      <c r="D334" s="64"/>
      <c r="E334" s="65" t="str">
        <f t="shared" si="36"/>
        <v/>
      </c>
      <c r="F334" s="65" t="str">
        <f t="shared" si="37"/>
        <v/>
      </c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1" t="str">
        <f t="shared" si="38"/>
        <v/>
      </c>
      <c r="T334" s="66" t="str">
        <f t="shared" si="39"/>
        <v/>
      </c>
      <c r="U334" s="131" t="str">
        <f t="shared" si="40"/>
        <v/>
      </c>
      <c r="V334" s="52">
        <f t="shared" si="41"/>
        <v>46608</v>
      </c>
      <c r="W334" s="132" t="str" cm="1">
        <f t="array" ref="W334">IF(AND($C334="",S334=""),"",IF(AND(N($C334)&gt;0,N(S334)=0),"nobody marked present",IF(N($D334)&gt;N($C334),"more broken than moulded",IF(AND($C334="",N(S334)&gt;0),"attendance marked but no blocks entered",IF(AND(N($C334)&gt;0,N(T334)=0),"no pay rate for this date - see Settings",IF(SUMPRODUCT((G334:R334&lt;&gt;"")*(G$5:R$5=""))&gt;0,"attendance in an empty worker slot",""))))))</f>
        <v/>
      </c>
      <c r="X334" s="133"/>
      <c r="Y334" s="125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</row>
    <row r="335" spans="1:39" s="127" customFormat="1" ht="21" customHeight="1" x14ac:dyDescent="0.25">
      <c r="A335" s="54">
        <v>46614</v>
      </c>
      <c r="B335" s="70" t="str">
        <f t="shared" si="35"/>
        <v>Sun</v>
      </c>
      <c r="C335" s="64"/>
      <c r="D335" s="64"/>
      <c r="E335" s="65" t="str">
        <f t="shared" si="36"/>
        <v/>
      </c>
      <c r="F335" s="65" t="str">
        <f t="shared" si="37"/>
        <v/>
      </c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1" t="str">
        <f t="shared" si="38"/>
        <v/>
      </c>
      <c r="T335" s="66" t="str">
        <f t="shared" si="39"/>
        <v/>
      </c>
      <c r="U335" s="131" t="str">
        <f t="shared" si="40"/>
        <v/>
      </c>
      <c r="V335" s="52">
        <f t="shared" si="41"/>
        <v>46608</v>
      </c>
      <c r="W335" s="132" t="str" cm="1">
        <f t="array" ref="W335">IF(AND($C335="",S335=""),"",IF(AND(N($C335)&gt;0,N(S335)=0),"nobody marked present",IF(N($D335)&gt;N($C335),"more broken than moulded",IF(AND($C335="",N(S335)&gt;0),"attendance marked but no blocks entered",IF(AND(N($C335)&gt;0,N(T335)=0),"no pay rate for this date - see Settings",IF(SUMPRODUCT((G335:R335&lt;&gt;"")*(G$5:R$5=""))&gt;0,"attendance in an empty worker slot",""))))))</f>
        <v/>
      </c>
      <c r="X335" s="133"/>
      <c r="Y335" s="125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</row>
    <row r="336" spans="1:39" s="127" customFormat="1" ht="21" customHeight="1" x14ac:dyDescent="0.25">
      <c r="A336" s="49">
        <v>46615</v>
      </c>
      <c r="B336" s="63" t="str">
        <f t="shared" si="35"/>
        <v>Mon</v>
      </c>
      <c r="C336" s="64"/>
      <c r="D336" s="64"/>
      <c r="E336" s="65" t="str">
        <f t="shared" si="36"/>
        <v/>
      </c>
      <c r="F336" s="65" t="str">
        <f t="shared" si="37"/>
        <v/>
      </c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1" t="str">
        <f t="shared" si="38"/>
        <v/>
      </c>
      <c r="T336" s="66" t="str">
        <f t="shared" si="39"/>
        <v/>
      </c>
      <c r="U336" s="131" t="str">
        <f t="shared" si="40"/>
        <v/>
      </c>
      <c r="V336" s="52">
        <f t="shared" si="41"/>
        <v>46615</v>
      </c>
      <c r="W336" s="132" t="str" cm="1">
        <f t="array" ref="W336">IF(AND($C336="",S336=""),"",IF(AND(N($C336)&gt;0,N(S336)=0),"nobody marked present",IF(N($D336)&gt;N($C336),"more broken than moulded",IF(AND($C336="",N(S336)&gt;0),"attendance marked but no blocks entered",IF(AND(N($C336)&gt;0,N(T336)=0),"no pay rate for this date - see Settings",IF(SUMPRODUCT((G336:R336&lt;&gt;"")*(G$5:R$5=""))&gt;0,"attendance in an empty worker slot",""))))))</f>
        <v/>
      </c>
      <c r="X336" s="133"/>
      <c r="Y336" s="125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</row>
    <row r="337" spans="1:39" s="127" customFormat="1" ht="21" customHeight="1" x14ac:dyDescent="0.25">
      <c r="A337" s="49">
        <v>46616</v>
      </c>
      <c r="B337" s="63" t="str">
        <f t="shared" si="35"/>
        <v>Tue</v>
      </c>
      <c r="C337" s="64"/>
      <c r="D337" s="64"/>
      <c r="E337" s="65" t="str">
        <f t="shared" si="36"/>
        <v/>
      </c>
      <c r="F337" s="65" t="str">
        <f t="shared" si="37"/>
        <v/>
      </c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1" t="str">
        <f t="shared" si="38"/>
        <v/>
      </c>
      <c r="T337" s="66" t="str">
        <f t="shared" si="39"/>
        <v/>
      </c>
      <c r="U337" s="131" t="str">
        <f t="shared" si="40"/>
        <v/>
      </c>
      <c r="V337" s="52">
        <f t="shared" si="41"/>
        <v>46615</v>
      </c>
      <c r="W337" s="132" t="str" cm="1">
        <f t="array" ref="W337">IF(AND($C337="",S337=""),"",IF(AND(N($C337)&gt;0,N(S337)=0),"nobody marked present",IF(N($D337)&gt;N($C337),"more broken than moulded",IF(AND($C337="",N(S337)&gt;0),"attendance marked but no blocks entered",IF(AND(N($C337)&gt;0,N(T337)=0),"no pay rate for this date - see Settings",IF(SUMPRODUCT((G337:R337&lt;&gt;"")*(G$5:R$5=""))&gt;0,"attendance in an empty worker slot",""))))))</f>
        <v/>
      </c>
      <c r="X337" s="133"/>
      <c r="Y337" s="125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</row>
    <row r="338" spans="1:39" s="127" customFormat="1" ht="21" customHeight="1" x14ac:dyDescent="0.25">
      <c r="A338" s="49">
        <v>46617</v>
      </c>
      <c r="B338" s="63" t="str">
        <f t="shared" si="35"/>
        <v>Wed</v>
      </c>
      <c r="C338" s="64"/>
      <c r="D338" s="64"/>
      <c r="E338" s="65" t="str">
        <f t="shared" si="36"/>
        <v/>
      </c>
      <c r="F338" s="65" t="str">
        <f t="shared" si="37"/>
        <v/>
      </c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1" t="str">
        <f t="shared" si="38"/>
        <v/>
      </c>
      <c r="T338" s="66" t="str">
        <f t="shared" si="39"/>
        <v/>
      </c>
      <c r="U338" s="131" t="str">
        <f t="shared" si="40"/>
        <v/>
      </c>
      <c r="V338" s="52">
        <f t="shared" si="41"/>
        <v>46615</v>
      </c>
      <c r="W338" s="132" t="str" cm="1">
        <f t="array" ref="W338">IF(AND($C338="",S338=""),"",IF(AND(N($C338)&gt;0,N(S338)=0),"nobody marked present",IF(N($D338)&gt;N($C338),"more broken than moulded",IF(AND($C338="",N(S338)&gt;0),"attendance marked but no blocks entered",IF(AND(N($C338)&gt;0,N(T338)=0),"no pay rate for this date - see Settings",IF(SUMPRODUCT((G338:R338&lt;&gt;"")*(G$5:R$5=""))&gt;0,"attendance in an empty worker slot",""))))))</f>
        <v/>
      </c>
      <c r="X338" s="133"/>
      <c r="Y338" s="125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</row>
    <row r="339" spans="1:39" s="127" customFormat="1" ht="21" customHeight="1" x14ac:dyDescent="0.25">
      <c r="A339" s="49">
        <v>46618</v>
      </c>
      <c r="B339" s="63" t="str">
        <f t="shared" si="35"/>
        <v>Thu</v>
      </c>
      <c r="C339" s="64"/>
      <c r="D339" s="64"/>
      <c r="E339" s="65" t="str">
        <f t="shared" si="36"/>
        <v/>
      </c>
      <c r="F339" s="65" t="str">
        <f t="shared" si="37"/>
        <v/>
      </c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1" t="str">
        <f t="shared" si="38"/>
        <v/>
      </c>
      <c r="T339" s="66" t="str">
        <f t="shared" si="39"/>
        <v/>
      </c>
      <c r="U339" s="131" t="str">
        <f t="shared" si="40"/>
        <v/>
      </c>
      <c r="V339" s="52">
        <f t="shared" si="41"/>
        <v>46615</v>
      </c>
      <c r="W339" s="132" t="str" cm="1">
        <f t="array" ref="W339">IF(AND($C339="",S339=""),"",IF(AND(N($C339)&gt;0,N(S339)=0),"nobody marked present",IF(N($D339)&gt;N($C339),"more broken than moulded",IF(AND($C339="",N(S339)&gt;0),"attendance marked but no blocks entered",IF(AND(N($C339)&gt;0,N(T339)=0),"no pay rate for this date - see Settings",IF(SUMPRODUCT((G339:R339&lt;&gt;"")*(G$5:R$5=""))&gt;0,"attendance in an empty worker slot",""))))))</f>
        <v/>
      </c>
      <c r="X339" s="133"/>
      <c r="Y339" s="125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</row>
    <row r="340" spans="1:39" s="127" customFormat="1" ht="21" customHeight="1" x14ac:dyDescent="0.25">
      <c r="A340" s="49">
        <v>46619</v>
      </c>
      <c r="B340" s="63" t="str">
        <f t="shared" si="35"/>
        <v>Fri</v>
      </c>
      <c r="C340" s="64"/>
      <c r="D340" s="64"/>
      <c r="E340" s="65" t="str">
        <f t="shared" si="36"/>
        <v/>
      </c>
      <c r="F340" s="65" t="str">
        <f t="shared" si="37"/>
        <v/>
      </c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1" t="str">
        <f t="shared" si="38"/>
        <v/>
      </c>
      <c r="T340" s="66" t="str">
        <f t="shared" si="39"/>
        <v/>
      </c>
      <c r="U340" s="131" t="str">
        <f t="shared" si="40"/>
        <v/>
      </c>
      <c r="V340" s="52">
        <f t="shared" si="41"/>
        <v>46615</v>
      </c>
      <c r="W340" s="132" t="str" cm="1">
        <f t="array" ref="W340">IF(AND($C340="",S340=""),"",IF(AND(N($C340)&gt;0,N(S340)=0),"nobody marked present",IF(N($D340)&gt;N($C340),"more broken than moulded",IF(AND($C340="",N(S340)&gt;0),"attendance marked but no blocks entered",IF(AND(N($C340)&gt;0,N(T340)=0),"no pay rate for this date - see Settings",IF(SUMPRODUCT((G340:R340&lt;&gt;"")*(G$5:R$5=""))&gt;0,"attendance in an empty worker slot",""))))))</f>
        <v/>
      </c>
      <c r="X340" s="133"/>
      <c r="Y340" s="125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</row>
    <row r="341" spans="1:39" s="127" customFormat="1" ht="21" customHeight="1" x14ac:dyDescent="0.25">
      <c r="A341" s="49">
        <v>46620</v>
      </c>
      <c r="B341" s="63" t="str">
        <f t="shared" si="35"/>
        <v>Sat</v>
      </c>
      <c r="C341" s="64"/>
      <c r="D341" s="64"/>
      <c r="E341" s="65" t="str">
        <f t="shared" si="36"/>
        <v/>
      </c>
      <c r="F341" s="65" t="str">
        <f t="shared" si="37"/>
        <v/>
      </c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1" t="str">
        <f t="shared" si="38"/>
        <v/>
      </c>
      <c r="T341" s="66" t="str">
        <f t="shared" si="39"/>
        <v/>
      </c>
      <c r="U341" s="131" t="str">
        <f t="shared" si="40"/>
        <v/>
      </c>
      <c r="V341" s="52">
        <f t="shared" si="41"/>
        <v>46615</v>
      </c>
      <c r="W341" s="132" t="str" cm="1">
        <f t="array" ref="W341">IF(AND($C341="",S341=""),"",IF(AND(N($C341)&gt;0,N(S341)=0),"nobody marked present",IF(N($D341)&gt;N($C341),"more broken than moulded",IF(AND($C341="",N(S341)&gt;0),"attendance marked but no blocks entered",IF(AND(N($C341)&gt;0,N(T341)=0),"no pay rate for this date - see Settings",IF(SUMPRODUCT((G341:R341&lt;&gt;"")*(G$5:R$5=""))&gt;0,"attendance in an empty worker slot",""))))))</f>
        <v/>
      </c>
      <c r="X341" s="133"/>
      <c r="Y341" s="125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</row>
    <row r="342" spans="1:39" s="127" customFormat="1" ht="21" customHeight="1" x14ac:dyDescent="0.25">
      <c r="A342" s="54">
        <v>46621</v>
      </c>
      <c r="B342" s="70" t="str">
        <f t="shared" si="35"/>
        <v>Sun</v>
      </c>
      <c r="C342" s="64"/>
      <c r="D342" s="64"/>
      <c r="E342" s="65" t="str">
        <f t="shared" si="36"/>
        <v/>
      </c>
      <c r="F342" s="65" t="str">
        <f t="shared" si="37"/>
        <v/>
      </c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1" t="str">
        <f t="shared" si="38"/>
        <v/>
      </c>
      <c r="T342" s="66" t="str">
        <f t="shared" si="39"/>
        <v/>
      </c>
      <c r="U342" s="131" t="str">
        <f t="shared" si="40"/>
        <v/>
      </c>
      <c r="V342" s="52">
        <f t="shared" si="41"/>
        <v>46615</v>
      </c>
      <c r="W342" s="132" t="str" cm="1">
        <f t="array" ref="W342">IF(AND($C342="",S342=""),"",IF(AND(N($C342)&gt;0,N(S342)=0),"nobody marked present",IF(N($D342)&gt;N($C342),"more broken than moulded",IF(AND($C342="",N(S342)&gt;0),"attendance marked but no blocks entered",IF(AND(N($C342)&gt;0,N(T342)=0),"no pay rate for this date - see Settings",IF(SUMPRODUCT((G342:R342&lt;&gt;"")*(G$5:R$5=""))&gt;0,"attendance in an empty worker slot",""))))))</f>
        <v/>
      </c>
      <c r="X342" s="133"/>
      <c r="Y342" s="125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</row>
    <row r="343" spans="1:39" s="127" customFormat="1" ht="21" customHeight="1" x14ac:dyDescent="0.25">
      <c r="A343" s="49">
        <v>46622</v>
      </c>
      <c r="B343" s="63" t="str">
        <f t="shared" si="35"/>
        <v>Mon</v>
      </c>
      <c r="C343" s="64"/>
      <c r="D343" s="64"/>
      <c r="E343" s="65" t="str">
        <f t="shared" si="36"/>
        <v/>
      </c>
      <c r="F343" s="65" t="str">
        <f t="shared" si="37"/>
        <v/>
      </c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1" t="str">
        <f t="shared" si="38"/>
        <v/>
      </c>
      <c r="T343" s="66" t="str">
        <f t="shared" si="39"/>
        <v/>
      </c>
      <c r="U343" s="131" t="str">
        <f t="shared" si="40"/>
        <v/>
      </c>
      <c r="V343" s="52">
        <f t="shared" si="41"/>
        <v>46622</v>
      </c>
      <c r="W343" s="132" t="str" cm="1">
        <f t="array" ref="W343">IF(AND($C343="",S343=""),"",IF(AND(N($C343)&gt;0,N(S343)=0),"nobody marked present",IF(N($D343)&gt;N($C343),"more broken than moulded",IF(AND($C343="",N(S343)&gt;0),"attendance marked but no blocks entered",IF(AND(N($C343)&gt;0,N(T343)=0),"no pay rate for this date - see Settings",IF(SUMPRODUCT((G343:R343&lt;&gt;"")*(G$5:R$5=""))&gt;0,"attendance in an empty worker slot",""))))))</f>
        <v/>
      </c>
      <c r="X343" s="133"/>
      <c r="Y343" s="125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</row>
    <row r="344" spans="1:39" s="127" customFormat="1" ht="21" customHeight="1" x14ac:dyDescent="0.25">
      <c r="A344" s="49">
        <v>46623</v>
      </c>
      <c r="B344" s="63" t="str">
        <f t="shared" si="35"/>
        <v>Tue</v>
      </c>
      <c r="C344" s="64"/>
      <c r="D344" s="64"/>
      <c r="E344" s="65" t="str">
        <f t="shared" si="36"/>
        <v/>
      </c>
      <c r="F344" s="65" t="str">
        <f t="shared" si="37"/>
        <v/>
      </c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1" t="str">
        <f t="shared" si="38"/>
        <v/>
      </c>
      <c r="T344" s="66" t="str">
        <f t="shared" si="39"/>
        <v/>
      </c>
      <c r="U344" s="131" t="str">
        <f t="shared" si="40"/>
        <v/>
      </c>
      <c r="V344" s="52">
        <f t="shared" si="41"/>
        <v>46622</v>
      </c>
      <c r="W344" s="132" t="str" cm="1">
        <f t="array" ref="W344">IF(AND($C344="",S344=""),"",IF(AND(N($C344)&gt;0,N(S344)=0),"nobody marked present",IF(N($D344)&gt;N($C344),"more broken than moulded",IF(AND($C344="",N(S344)&gt;0),"attendance marked but no blocks entered",IF(AND(N($C344)&gt;0,N(T344)=0),"no pay rate for this date - see Settings",IF(SUMPRODUCT((G344:R344&lt;&gt;"")*(G$5:R$5=""))&gt;0,"attendance in an empty worker slot",""))))))</f>
        <v/>
      </c>
      <c r="X344" s="133"/>
      <c r="Y344" s="125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</row>
    <row r="345" spans="1:39" s="127" customFormat="1" ht="21" customHeight="1" x14ac:dyDescent="0.25">
      <c r="A345" s="49">
        <v>46624</v>
      </c>
      <c r="B345" s="63" t="str">
        <f t="shared" si="35"/>
        <v>Wed</v>
      </c>
      <c r="C345" s="64"/>
      <c r="D345" s="64"/>
      <c r="E345" s="65" t="str">
        <f t="shared" si="36"/>
        <v/>
      </c>
      <c r="F345" s="65" t="str">
        <f t="shared" si="37"/>
        <v/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1" t="str">
        <f t="shared" si="38"/>
        <v/>
      </c>
      <c r="T345" s="66" t="str">
        <f t="shared" si="39"/>
        <v/>
      </c>
      <c r="U345" s="131" t="str">
        <f t="shared" si="40"/>
        <v/>
      </c>
      <c r="V345" s="52">
        <f t="shared" si="41"/>
        <v>46622</v>
      </c>
      <c r="W345" s="132" t="str" cm="1">
        <f t="array" ref="W345">IF(AND($C345="",S345=""),"",IF(AND(N($C345)&gt;0,N(S345)=0),"nobody marked present",IF(N($D345)&gt;N($C345),"more broken than moulded",IF(AND($C345="",N(S345)&gt;0),"attendance marked but no blocks entered",IF(AND(N($C345)&gt;0,N(T345)=0),"no pay rate for this date - see Settings",IF(SUMPRODUCT((G345:R345&lt;&gt;"")*(G$5:R$5=""))&gt;0,"attendance in an empty worker slot",""))))))</f>
        <v/>
      </c>
      <c r="X345" s="133"/>
      <c r="Y345" s="125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</row>
    <row r="346" spans="1:39" s="127" customFormat="1" ht="21" customHeight="1" x14ac:dyDescent="0.25">
      <c r="A346" s="49">
        <v>46625</v>
      </c>
      <c r="B346" s="63" t="str">
        <f t="shared" si="35"/>
        <v>Thu</v>
      </c>
      <c r="C346" s="64"/>
      <c r="D346" s="64"/>
      <c r="E346" s="65" t="str">
        <f t="shared" si="36"/>
        <v/>
      </c>
      <c r="F346" s="65" t="str">
        <f t="shared" si="37"/>
        <v/>
      </c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1" t="str">
        <f t="shared" si="38"/>
        <v/>
      </c>
      <c r="T346" s="66" t="str">
        <f t="shared" si="39"/>
        <v/>
      </c>
      <c r="U346" s="131" t="str">
        <f t="shared" si="40"/>
        <v/>
      </c>
      <c r="V346" s="52">
        <f t="shared" si="41"/>
        <v>46622</v>
      </c>
      <c r="W346" s="132" t="str" cm="1">
        <f t="array" ref="W346">IF(AND($C346="",S346=""),"",IF(AND(N($C346)&gt;0,N(S346)=0),"nobody marked present",IF(N($D346)&gt;N($C346),"more broken than moulded",IF(AND($C346="",N(S346)&gt;0),"attendance marked but no blocks entered",IF(AND(N($C346)&gt;0,N(T346)=0),"no pay rate for this date - see Settings",IF(SUMPRODUCT((G346:R346&lt;&gt;"")*(G$5:R$5=""))&gt;0,"attendance in an empty worker slot",""))))))</f>
        <v/>
      </c>
      <c r="X346" s="133"/>
      <c r="Y346" s="125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</row>
    <row r="347" spans="1:39" s="127" customFormat="1" ht="21" customHeight="1" x14ac:dyDescent="0.25">
      <c r="A347" s="49">
        <v>46626</v>
      </c>
      <c r="B347" s="63" t="str">
        <f t="shared" si="35"/>
        <v>Fri</v>
      </c>
      <c r="C347" s="64"/>
      <c r="D347" s="64"/>
      <c r="E347" s="65" t="str">
        <f t="shared" si="36"/>
        <v/>
      </c>
      <c r="F347" s="65" t="str">
        <f t="shared" si="37"/>
        <v/>
      </c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1" t="str">
        <f t="shared" si="38"/>
        <v/>
      </c>
      <c r="T347" s="66" t="str">
        <f t="shared" si="39"/>
        <v/>
      </c>
      <c r="U347" s="131" t="str">
        <f t="shared" si="40"/>
        <v/>
      </c>
      <c r="V347" s="52">
        <f t="shared" si="41"/>
        <v>46622</v>
      </c>
      <c r="W347" s="132" t="str" cm="1">
        <f t="array" ref="W347">IF(AND($C347="",S347=""),"",IF(AND(N($C347)&gt;0,N(S347)=0),"nobody marked present",IF(N($D347)&gt;N($C347),"more broken than moulded",IF(AND($C347="",N(S347)&gt;0),"attendance marked but no blocks entered",IF(AND(N($C347)&gt;0,N(T347)=0),"no pay rate for this date - see Settings",IF(SUMPRODUCT((G347:R347&lt;&gt;"")*(G$5:R$5=""))&gt;0,"attendance in an empty worker slot",""))))))</f>
        <v/>
      </c>
      <c r="X347" s="133"/>
      <c r="Y347" s="125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</row>
    <row r="348" spans="1:39" s="127" customFormat="1" ht="21" customHeight="1" x14ac:dyDescent="0.25">
      <c r="A348" s="49">
        <v>46627</v>
      </c>
      <c r="B348" s="63" t="str">
        <f t="shared" si="35"/>
        <v>Sat</v>
      </c>
      <c r="C348" s="64"/>
      <c r="D348" s="64"/>
      <c r="E348" s="65" t="str">
        <f t="shared" si="36"/>
        <v/>
      </c>
      <c r="F348" s="65" t="str">
        <f t="shared" si="37"/>
        <v/>
      </c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1" t="str">
        <f t="shared" si="38"/>
        <v/>
      </c>
      <c r="T348" s="66" t="str">
        <f t="shared" si="39"/>
        <v/>
      </c>
      <c r="U348" s="131" t="str">
        <f t="shared" si="40"/>
        <v/>
      </c>
      <c r="V348" s="52">
        <f t="shared" si="41"/>
        <v>46622</v>
      </c>
      <c r="W348" s="132" t="str" cm="1">
        <f t="array" ref="W348">IF(AND($C348="",S348=""),"",IF(AND(N($C348)&gt;0,N(S348)=0),"nobody marked present",IF(N($D348)&gt;N($C348),"more broken than moulded",IF(AND($C348="",N(S348)&gt;0),"attendance marked but no blocks entered",IF(AND(N($C348)&gt;0,N(T348)=0),"no pay rate for this date - see Settings",IF(SUMPRODUCT((G348:R348&lt;&gt;"")*(G$5:R$5=""))&gt;0,"attendance in an empty worker slot",""))))))</f>
        <v/>
      </c>
      <c r="X348" s="133"/>
      <c r="Y348" s="125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</row>
    <row r="349" spans="1:39" s="127" customFormat="1" ht="21" customHeight="1" x14ac:dyDescent="0.25">
      <c r="A349" s="54">
        <v>46628</v>
      </c>
      <c r="B349" s="70" t="str">
        <f t="shared" si="35"/>
        <v>Sun</v>
      </c>
      <c r="C349" s="64"/>
      <c r="D349" s="64"/>
      <c r="E349" s="65" t="str">
        <f t="shared" si="36"/>
        <v/>
      </c>
      <c r="F349" s="65" t="str">
        <f t="shared" si="37"/>
        <v/>
      </c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1" t="str">
        <f t="shared" si="38"/>
        <v/>
      </c>
      <c r="T349" s="66" t="str">
        <f t="shared" si="39"/>
        <v/>
      </c>
      <c r="U349" s="131" t="str">
        <f t="shared" si="40"/>
        <v/>
      </c>
      <c r="V349" s="52">
        <f t="shared" si="41"/>
        <v>46622</v>
      </c>
      <c r="W349" s="132" t="str" cm="1">
        <f t="array" ref="W349">IF(AND($C349="",S349=""),"",IF(AND(N($C349)&gt;0,N(S349)=0),"nobody marked present",IF(N($D349)&gt;N($C349),"more broken than moulded",IF(AND($C349="",N(S349)&gt;0),"attendance marked but no blocks entered",IF(AND(N($C349)&gt;0,N(T349)=0),"no pay rate for this date - see Settings",IF(SUMPRODUCT((G349:R349&lt;&gt;"")*(G$5:R$5=""))&gt;0,"attendance in an empty worker slot",""))))))</f>
        <v/>
      </c>
      <c r="X349" s="133"/>
      <c r="Y349" s="125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</row>
    <row r="350" spans="1:39" s="127" customFormat="1" ht="21" customHeight="1" x14ac:dyDescent="0.25">
      <c r="A350" s="49">
        <v>46629</v>
      </c>
      <c r="B350" s="63" t="str">
        <f t="shared" si="35"/>
        <v>Mon</v>
      </c>
      <c r="C350" s="64"/>
      <c r="D350" s="64"/>
      <c r="E350" s="65" t="str">
        <f t="shared" si="36"/>
        <v/>
      </c>
      <c r="F350" s="65" t="str">
        <f t="shared" si="37"/>
        <v/>
      </c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1" t="str">
        <f t="shared" si="38"/>
        <v/>
      </c>
      <c r="T350" s="66" t="str">
        <f t="shared" si="39"/>
        <v/>
      </c>
      <c r="U350" s="131" t="str">
        <f t="shared" si="40"/>
        <v/>
      </c>
      <c r="V350" s="52">
        <f t="shared" si="41"/>
        <v>46629</v>
      </c>
      <c r="W350" s="132" t="str" cm="1">
        <f t="array" ref="W350">IF(AND($C350="",S350=""),"",IF(AND(N($C350)&gt;0,N(S350)=0),"nobody marked present",IF(N($D350)&gt;N($C350),"more broken than moulded",IF(AND($C350="",N(S350)&gt;0),"attendance marked but no blocks entered",IF(AND(N($C350)&gt;0,N(T350)=0),"no pay rate for this date - see Settings",IF(SUMPRODUCT((G350:R350&lt;&gt;"")*(G$5:R$5=""))&gt;0,"attendance in an empty worker slot",""))))))</f>
        <v/>
      </c>
      <c r="X350" s="133"/>
      <c r="Y350" s="125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</row>
    <row r="351" spans="1:39" s="127" customFormat="1" ht="21" customHeight="1" x14ac:dyDescent="0.25">
      <c r="A351" s="49">
        <v>46630</v>
      </c>
      <c r="B351" s="63" t="str">
        <f t="shared" si="35"/>
        <v>Tue</v>
      </c>
      <c r="C351" s="64"/>
      <c r="D351" s="64"/>
      <c r="E351" s="65" t="str">
        <f t="shared" si="36"/>
        <v/>
      </c>
      <c r="F351" s="65" t="str">
        <f t="shared" si="37"/>
        <v/>
      </c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1" t="str">
        <f t="shared" si="38"/>
        <v/>
      </c>
      <c r="T351" s="66" t="str">
        <f t="shared" si="39"/>
        <v/>
      </c>
      <c r="U351" s="131" t="str">
        <f t="shared" si="40"/>
        <v/>
      </c>
      <c r="V351" s="52">
        <f t="shared" si="41"/>
        <v>46629</v>
      </c>
      <c r="W351" s="132" t="str" cm="1">
        <f t="array" ref="W351">IF(AND($C351="",S351=""),"",IF(AND(N($C351)&gt;0,N(S351)=0),"nobody marked present",IF(N($D351)&gt;N($C351),"more broken than moulded",IF(AND($C351="",N(S351)&gt;0),"attendance marked but no blocks entered",IF(AND(N($C351)&gt;0,N(T351)=0),"no pay rate for this date - see Settings",IF(SUMPRODUCT((G351:R351&lt;&gt;"")*(G$5:R$5=""))&gt;0,"attendance in an empty worker slot",""))))))</f>
        <v/>
      </c>
      <c r="X351" s="133"/>
      <c r="Y351" s="125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</row>
    <row r="352" spans="1:39" s="127" customFormat="1" ht="21" customHeight="1" x14ac:dyDescent="0.25">
      <c r="A352" s="49">
        <v>46631</v>
      </c>
      <c r="B352" s="63" t="str">
        <f t="shared" si="35"/>
        <v>Wed</v>
      </c>
      <c r="C352" s="64"/>
      <c r="D352" s="64"/>
      <c r="E352" s="65" t="str">
        <f t="shared" si="36"/>
        <v/>
      </c>
      <c r="F352" s="65" t="str">
        <f t="shared" si="37"/>
        <v/>
      </c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1" t="str">
        <f t="shared" si="38"/>
        <v/>
      </c>
      <c r="T352" s="66" t="str">
        <f t="shared" si="39"/>
        <v/>
      </c>
      <c r="U352" s="131" t="str">
        <f t="shared" si="40"/>
        <v/>
      </c>
      <c r="V352" s="52">
        <f t="shared" si="41"/>
        <v>46629</v>
      </c>
      <c r="W352" s="132" t="str" cm="1">
        <f t="array" ref="W352">IF(AND($C352="",S352=""),"",IF(AND(N($C352)&gt;0,N(S352)=0),"nobody marked present",IF(N($D352)&gt;N($C352),"more broken than moulded",IF(AND($C352="",N(S352)&gt;0),"attendance marked but no blocks entered",IF(AND(N($C352)&gt;0,N(T352)=0),"no pay rate for this date - see Settings",IF(SUMPRODUCT((G352:R352&lt;&gt;"")*(G$5:R$5=""))&gt;0,"attendance in an empty worker slot",""))))))</f>
        <v/>
      </c>
      <c r="X352" s="133"/>
      <c r="Y352" s="125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</row>
    <row r="353" spans="1:39" s="127" customFormat="1" ht="21" customHeight="1" x14ac:dyDescent="0.25">
      <c r="A353" s="49">
        <v>46632</v>
      </c>
      <c r="B353" s="63" t="str">
        <f t="shared" si="35"/>
        <v>Thu</v>
      </c>
      <c r="C353" s="64"/>
      <c r="D353" s="64"/>
      <c r="E353" s="65" t="str">
        <f t="shared" si="36"/>
        <v/>
      </c>
      <c r="F353" s="65" t="str">
        <f t="shared" si="37"/>
        <v/>
      </c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1" t="str">
        <f t="shared" si="38"/>
        <v/>
      </c>
      <c r="T353" s="66" t="str">
        <f t="shared" si="39"/>
        <v/>
      </c>
      <c r="U353" s="131" t="str">
        <f t="shared" si="40"/>
        <v/>
      </c>
      <c r="V353" s="52">
        <f t="shared" si="41"/>
        <v>46629</v>
      </c>
      <c r="W353" s="132" t="str" cm="1">
        <f t="array" ref="W353">IF(AND($C353="",S353=""),"",IF(AND(N($C353)&gt;0,N(S353)=0),"nobody marked present",IF(N($D353)&gt;N($C353),"more broken than moulded",IF(AND($C353="",N(S353)&gt;0),"attendance marked but no blocks entered",IF(AND(N($C353)&gt;0,N(T353)=0),"no pay rate for this date - see Settings",IF(SUMPRODUCT((G353:R353&lt;&gt;"")*(G$5:R$5=""))&gt;0,"attendance in an empty worker slot",""))))))</f>
        <v/>
      </c>
      <c r="X353" s="133"/>
      <c r="Y353" s="125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</row>
    <row r="354" spans="1:39" s="127" customFormat="1" ht="21" customHeight="1" x14ac:dyDescent="0.25">
      <c r="A354" s="49">
        <v>46633</v>
      </c>
      <c r="B354" s="63" t="str">
        <f t="shared" si="35"/>
        <v>Fri</v>
      </c>
      <c r="C354" s="64"/>
      <c r="D354" s="64"/>
      <c r="E354" s="65" t="str">
        <f t="shared" si="36"/>
        <v/>
      </c>
      <c r="F354" s="65" t="str">
        <f t="shared" si="37"/>
        <v/>
      </c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1" t="str">
        <f t="shared" si="38"/>
        <v/>
      </c>
      <c r="T354" s="66" t="str">
        <f t="shared" si="39"/>
        <v/>
      </c>
      <c r="U354" s="131" t="str">
        <f t="shared" si="40"/>
        <v/>
      </c>
      <c r="V354" s="52">
        <f t="shared" si="41"/>
        <v>46629</v>
      </c>
      <c r="W354" s="132" t="str" cm="1">
        <f t="array" ref="W354">IF(AND($C354="",S354=""),"",IF(AND(N($C354)&gt;0,N(S354)=0),"nobody marked present",IF(N($D354)&gt;N($C354),"more broken than moulded",IF(AND($C354="",N(S354)&gt;0),"attendance marked but no blocks entered",IF(AND(N($C354)&gt;0,N(T354)=0),"no pay rate for this date - see Settings",IF(SUMPRODUCT((G354:R354&lt;&gt;"")*(G$5:R$5=""))&gt;0,"attendance in an empty worker slot",""))))))</f>
        <v/>
      </c>
      <c r="X354" s="133"/>
      <c r="Y354" s="125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</row>
    <row r="355" spans="1:39" s="127" customFormat="1" ht="21" customHeight="1" x14ac:dyDescent="0.25">
      <c r="A355" s="49">
        <v>46634</v>
      </c>
      <c r="B355" s="63" t="str">
        <f t="shared" si="35"/>
        <v>Sat</v>
      </c>
      <c r="C355" s="64"/>
      <c r="D355" s="64"/>
      <c r="E355" s="65" t="str">
        <f t="shared" si="36"/>
        <v/>
      </c>
      <c r="F355" s="65" t="str">
        <f t="shared" si="37"/>
        <v/>
      </c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1" t="str">
        <f t="shared" si="38"/>
        <v/>
      </c>
      <c r="T355" s="66" t="str">
        <f t="shared" si="39"/>
        <v/>
      </c>
      <c r="U355" s="131" t="str">
        <f t="shared" si="40"/>
        <v/>
      </c>
      <c r="V355" s="52">
        <f t="shared" si="41"/>
        <v>46629</v>
      </c>
      <c r="W355" s="132" t="str" cm="1">
        <f t="array" ref="W355">IF(AND($C355="",S355=""),"",IF(AND(N($C355)&gt;0,N(S355)=0),"nobody marked present",IF(N($D355)&gt;N($C355),"more broken than moulded",IF(AND($C355="",N(S355)&gt;0),"attendance marked but no blocks entered",IF(AND(N($C355)&gt;0,N(T355)=0),"no pay rate for this date - see Settings",IF(SUMPRODUCT((G355:R355&lt;&gt;"")*(G$5:R$5=""))&gt;0,"attendance in an empty worker slot",""))))))</f>
        <v/>
      </c>
      <c r="X355" s="133"/>
      <c r="Y355" s="125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</row>
    <row r="356" spans="1:39" s="127" customFormat="1" ht="21" customHeight="1" x14ac:dyDescent="0.25">
      <c r="A356" s="54">
        <v>46635</v>
      </c>
      <c r="B356" s="70" t="str">
        <f t="shared" si="35"/>
        <v>Sun</v>
      </c>
      <c r="C356" s="64"/>
      <c r="D356" s="64"/>
      <c r="E356" s="65" t="str">
        <f t="shared" si="36"/>
        <v/>
      </c>
      <c r="F356" s="65" t="str">
        <f t="shared" si="37"/>
        <v/>
      </c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1" t="str">
        <f t="shared" si="38"/>
        <v/>
      </c>
      <c r="T356" s="66" t="str">
        <f t="shared" si="39"/>
        <v/>
      </c>
      <c r="U356" s="131" t="str">
        <f t="shared" si="40"/>
        <v/>
      </c>
      <c r="V356" s="52">
        <f t="shared" si="41"/>
        <v>46629</v>
      </c>
      <c r="W356" s="132" t="str" cm="1">
        <f t="array" ref="W356">IF(AND($C356="",S356=""),"",IF(AND(N($C356)&gt;0,N(S356)=0),"nobody marked present",IF(N($D356)&gt;N($C356),"more broken than moulded",IF(AND($C356="",N(S356)&gt;0),"attendance marked but no blocks entered",IF(AND(N($C356)&gt;0,N(T356)=0),"no pay rate for this date - see Settings",IF(SUMPRODUCT((G356:R356&lt;&gt;"")*(G$5:R$5=""))&gt;0,"attendance in an empty worker slot",""))))))</f>
        <v/>
      </c>
      <c r="X356" s="133"/>
      <c r="Y356" s="125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</row>
    <row r="357" spans="1:39" s="127" customFormat="1" ht="21" customHeight="1" x14ac:dyDescent="0.25">
      <c r="A357" s="49">
        <v>46636</v>
      </c>
      <c r="B357" s="63" t="str">
        <f t="shared" si="35"/>
        <v>Mon</v>
      </c>
      <c r="C357" s="64"/>
      <c r="D357" s="64"/>
      <c r="E357" s="65" t="str">
        <f t="shared" si="36"/>
        <v/>
      </c>
      <c r="F357" s="65" t="str">
        <f t="shared" si="37"/>
        <v/>
      </c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1" t="str">
        <f t="shared" si="38"/>
        <v/>
      </c>
      <c r="T357" s="66" t="str">
        <f t="shared" si="39"/>
        <v/>
      </c>
      <c r="U357" s="131" t="str">
        <f t="shared" si="40"/>
        <v/>
      </c>
      <c r="V357" s="52">
        <f t="shared" si="41"/>
        <v>46636</v>
      </c>
      <c r="W357" s="132" t="str" cm="1">
        <f t="array" ref="W357">IF(AND($C357="",S357=""),"",IF(AND(N($C357)&gt;0,N(S357)=0),"nobody marked present",IF(N($D357)&gt;N($C357),"more broken than moulded",IF(AND($C357="",N(S357)&gt;0),"attendance marked but no blocks entered",IF(AND(N($C357)&gt;0,N(T357)=0),"no pay rate for this date - see Settings",IF(SUMPRODUCT((G357:R357&lt;&gt;"")*(G$5:R$5=""))&gt;0,"attendance in an empty worker slot",""))))))</f>
        <v/>
      </c>
      <c r="X357" s="133"/>
      <c r="Y357" s="125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</row>
    <row r="358" spans="1:39" s="127" customFormat="1" ht="21" customHeight="1" x14ac:dyDescent="0.25">
      <c r="A358" s="49">
        <v>46637</v>
      </c>
      <c r="B358" s="63" t="str">
        <f t="shared" si="35"/>
        <v>Tue</v>
      </c>
      <c r="C358" s="64"/>
      <c r="D358" s="64"/>
      <c r="E358" s="65" t="str">
        <f t="shared" si="36"/>
        <v/>
      </c>
      <c r="F358" s="65" t="str">
        <f t="shared" si="37"/>
        <v/>
      </c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1" t="str">
        <f t="shared" si="38"/>
        <v/>
      </c>
      <c r="T358" s="66" t="str">
        <f t="shared" si="39"/>
        <v/>
      </c>
      <c r="U358" s="131" t="str">
        <f t="shared" si="40"/>
        <v/>
      </c>
      <c r="V358" s="52">
        <f t="shared" si="41"/>
        <v>46636</v>
      </c>
      <c r="W358" s="132" t="str" cm="1">
        <f t="array" ref="W358">IF(AND($C358="",S358=""),"",IF(AND(N($C358)&gt;0,N(S358)=0),"nobody marked present",IF(N($D358)&gt;N($C358),"more broken than moulded",IF(AND($C358="",N(S358)&gt;0),"attendance marked but no blocks entered",IF(AND(N($C358)&gt;0,N(T358)=0),"no pay rate for this date - see Settings",IF(SUMPRODUCT((G358:R358&lt;&gt;"")*(G$5:R$5=""))&gt;0,"attendance in an empty worker slot",""))))))</f>
        <v/>
      </c>
      <c r="X358" s="133"/>
      <c r="Y358" s="125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</row>
    <row r="359" spans="1:39" s="127" customFormat="1" ht="21" customHeight="1" x14ac:dyDescent="0.25">
      <c r="A359" s="49">
        <v>46638</v>
      </c>
      <c r="B359" s="63" t="str">
        <f t="shared" si="35"/>
        <v>Wed</v>
      </c>
      <c r="C359" s="64"/>
      <c r="D359" s="64"/>
      <c r="E359" s="65" t="str">
        <f t="shared" si="36"/>
        <v/>
      </c>
      <c r="F359" s="65" t="str">
        <f t="shared" si="37"/>
        <v/>
      </c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1" t="str">
        <f t="shared" si="38"/>
        <v/>
      </c>
      <c r="T359" s="66" t="str">
        <f t="shared" si="39"/>
        <v/>
      </c>
      <c r="U359" s="131" t="str">
        <f t="shared" si="40"/>
        <v/>
      </c>
      <c r="V359" s="52">
        <f t="shared" si="41"/>
        <v>46636</v>
      </c>
      <c r="W359" s="132" t="str" cm="1">
        <f t="array" ref="W359">IF(AND($C359="",S359=""),"",IF(AND(N($C359)&gt;0,N(S359)=0),"nobody marked present",IF(N($D359)&gt;N($C359),"more broken than moulded",IF(AND($C359="",N(S359)&gt;0),"attendance marked but no blocks entered",IF(AND(N($C359)&gt;0,N(T359)=0),"no pay rate for this date - see Settings",IF(SUMPRODUCT((G359:R359&lt;&gt;"")*(G$5:R$5=""))&gt;0,"attendance in an empty worker slot",""))))))</f>
        <v/>
      </c>
      <c r="X359" s="133"/>
      <c r="Y359" s="125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</row>
    <row r="360" spans="1:39" s="127" customFormat="1" ht="21" customHeight="1" x14ac:dyDescent="0.25">
      <c r="A360" s="49">
        <v>46639</v>
      </c>
      <c r="B360" s="63" t="str">
        <f t="shared" si="35"/>
        <v>Thu</v>
      </c>
      <c r="C360" s="64"/>
      <c r="D360" s="64"/>
      <c r="E360" s="65" t="str">
        <f t="shared" si="36"/>
        <v/>
      </c>
      <c r="F360" s="65" t="str">
        <f t="shared" si="37"/>
        <v/>
      </c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1" t="str">
        <f t="shared" si="38"/>
        <v/>
      </c>
      <c r="T360" s="66" t="str">
        <f t="shared" si="39"/>
        <v/>
      </c>
      <c r="U360" s="131" t="str">
        <f t="shared" si="40"/>
        <v/>
      </c>
      <c r="V360" s="52">
        <f t="shared" si="41"/>
        <v>46636</v>
      </c>
      <c r="W360" s="132" t="str" cm="1">
        <f t="array" ref="W360">IF(AND($C360="",S360=""),"",IF(AND(N($C360)&gt;0,N(S360)=0),"nobody marked present",IF(N($D360)&gt;N($C360),"more broken than moulded",IF(AND($C360="",N(S360)&gt;0),"attendance marked but no blocks entered",IF(AND(N($C360)&gt;0,N(T360)=0),"no pay rate for this date - see Settings",IF(SUMPRODUCT((G360:R360&lt;&gt;"")*(G$5:R$5=""))&gt;0,"attendance in an empty worker slot",""))))))</f>
        <v/>
      </c>
      <c r="X360" s="133"/>
      <c r="Y360" s="125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</row>
    <row r="361" spans="1:39" s="127" customFormat="1" ht="21" customHeight="1" x14ac:dyDescent="0.25">
      <c r="A361" s="49">
        <v>46640</v>
      </c>
      <c r="B361" s="63" t="str">
        <f t="shared" si="35"/>
        <v>Fri</v>
      </c>
      <c r="C361" s="64"/>
      <c r="D361" s="64"/>
      <c r="E361" s="65" t="str">
        <f t="shared" si="36"/>
        <v/>
      </c>
      <c r="F361" s="65" t="str">
        <f t="shared" si="37"/>
        <v/>
      </c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1" t="str">
        <f t="shared" si="38"/>
        <v/>
      </c>
      <c r="T361" s="66" t="str">
        <f t="shared" si="39"/>
        <v/>
      </c>
      <c r="U361" s="131" t="str">
        <f t="shared" si="40"/>
        <v/>
      </c>
      <c r="V361" s="52">
        <f t="shared" si="41"/>
        <v>46636</v>
      </c>
      <c r="W361" s="132" t="str" cm="1">
        <f t="array" ref="W361">IF(AND($C361="",S361=""),"",IF(AND(N($C361)&gt;0,N(S361)=0),"nobody marked present",IF(N($D361)&gt;N($C361),"more broken than moulded",IF(AND($C361="",N(S361)&gt;0),"attendance marked but no blocks entered",IF(AND(N($C361)&gt;0,N(T361)=0),"no pay rate for this date - see Settings",IF(SUMPRODUCT((G361:R361&lt;&gt;"")*(G$5:R$5=""))&gt;0,"attendance in an empty worker slot",""))))))</f>
        <v/>
      </c>
      <c r="X361" s="133"/>
      <c r="Y361" s="125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</row>
    <row r="362" spans="1:39" s="127" customFormat="1" ht="21" customHeight="1" x14ac:dyDescent="0.25">
      <c r="A362" s="49">
        <v>46641</v>
      </c>
      <c r="B362" s="63" t="str">
        <f t="shared" si="35"/>
        <v>Sat</v>
      </c>
      <c r="C362" s="64"/>
      <c r="D362" s="64"/>
      <c r="E362" s="65" t="str">
        <f t="shared" si="36"/>
        <v/>
      </c>
      <c r="F362" s="65" t="str">
        <f t="shared" si="37"/>
        <v/>
      </c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1" t="str">
        <f t="shared" si="38"/>
        <v/>
      </c>
      <c r="T362" s="66" t="str">
        <f t="shared" si="39"/>
        <v/>
      </c>
      <c r="U362" s="131" t="str">
        <f t="shared" si="40"/>
        <v/>
      </c>
      <c r="V362" s="52">
        <f t="shared" si="41"/>
        <v>46636</v>
      </c>
      <c r="W362" s="132" t="str" cm="1">
        <f t="array" ref="W362">IF(AND($C362="",S362=""),"",IF(AND(N($C362)&gt;0,N(S362)=0),"nobody marked present",IF(N($D362)&gt;N($C362),"more broken than moulded",IF(AND($C362="",N(S362)&gt;0),"attendance marked but no blocks entered",IF(AND(N($C362)&gt;0,N(T362)=0),"no pay rate for this date - see Settings",IF(SUMPRODUCT((G362:R362&lt;&gt;"")*(G$5:R$5=""))&gt;0,"attendance in an empty worker slot",""))))))</f>
        <v/>
      </c>
      <c r="X362" s="133"/>
      <c r="Y362" s="125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</row>
    <row r="363" spans="1:39" s="127" customFormat="1" ht="21" customHeight="1" x14ac:dyDescent="0.25">
      <c r="A363" s="54">
        <v>46642</v>
      </c>
      <c r="B363" s="70" t="str">
        <f t="shared" si="35"/>
        <v>Sun</v>
      </c>
      <c r="C363" s="64"/>
      <c r="D363" s="64"/>
      <c r="E363" s="65" t="str">
        <f t="shared" si="36"/>
        <v/>
      </c>
      <c r="F363" s="65" t="str">
        <f t="shared" si="37"/>
        <v/>
      </c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1" t="str">
        <f t="shared" si="38"/>
        <v/>
      </c>
      <c r="T363" s="66" t="str">
        <f t="shared" si="39"/>
        <v/>
      </c>
      <c r="U363" s="131" t="str">
        <f t="shared" si="40"/>
        <v/>
      </c>
      <c r="V363" s="52">
        <f t="shared" si="41"/>
        <v>46636</v>
      </c>
      <c r="W363" s="132" t="str" cm="1">
        <f t="array" ref="W363">IF(AND($C363="",S363=""),"",IF(AND(N($C363)&gt;0,N(S363)=0),"nobody marked present",IF(N($D363)&gt;N($C363),"more broken than moulded",IF(AND($C363="",N(S363)&gt;0),"attendance marked but no blocks entered",IF(AND(N($C363)&gt;0,N(T363)=0),"no pay rate for this date - see Settings",IF(SUMPRODUCT((G363:R363&lt;&gt;"")*(G$5:R$5=""))&gt;0,"attendance in an empty worker slot",""))))))</f>
        <v/>
      </c>
      <c r="X363" s="133"/>
      <c r="Y363" s="125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</row>
    <row r="364" spans="1:39" s="127" customFormat="1" ht="21" customHeight="1" x14ac:dyDescent="0.25">
      <c r="A364" s="49">
        <v>46643</v>
      </c>
      <c r="B364" s="63" t="str">
        <f t="shared" si="35"/>
        <v>Mon</v>
      </c>
      <c r="C364" s="64"/>
      <c r="D364" s="64"/>
      <c r="E364" s="65" t="str">
        <f t="shared" si="36"/>
        <v/>
      </c>
      <c r="F364" s="65" t="str">
        <f t="shared" si="37"/>
        <v/>
      </c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1" t="str">
        <f t="shared" si="38"/>
        <v/>
      </c>
      <c r="T364" s="66" t="str">
        <f t="shared" si="39"/>
        <v/>
      </c>
      <c r="U364" s="131" t="str">
        <f t="shared" si="40"/>
        <v/>
      </c>
      <c r="V364" s="52">
        <f t="shared" si="41"/>
        <v>46643</v>
      </c>
      <c r="W364" s="132" t="str" cm="1">
        <f t="array" ref="W364">IF(AND($C364="",S364=""),"",IF(AND(N($C364)&gt;0,N(S364)=0),"nobody marked present",IF(N($D364)&gt;N($C364),"more broken than moulded",IF(AND($C364="",N(S364)&gt;0),"attendance marked but no blocks entered",IF(AND(N($C364)&gt;0,N(T364)=0),"no pay rate for this date - see Settings",IF(SUMPRODUCT((G364:R364&lt;&gt;"")*(G$5:R$5=""))&gt;0,"attendance in an empty worker slot",""))))))</f>
        <v/>
      </c>
      <c r="X364" s="133"/>
      <c r="Y364" s="125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</row>
    <row r="365" spans="1:39" s="127" customFormat="1" ht="21" customHeight="1" x14ac:dyDescent="0.25">
      <c r="A365" s="49">
        <v>46644</v>
      </c>
      <c r="B365" s="63" t="str">
        <f t="shared" si="35"/>
        <v>Tue</v>
      </c>
      <c r="C365" s="64"/>
      <c r="D365" s="64"/>
      <c r="E365" s="65" t="str">
        <f t="shared" si="36"/>
        <v/>
      </c>
      <c r="F365" s="65" t="str">
        <f t="shared" si="37"/>
        <v/>
      </c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1" t="str">
        <f t="shared" si="38"/>
        <v/>
      </c>
      <c r="T365" s="66" t="str">
        <f t="shared" si="39"/>
        <v/>
      </c>
      <c r="U365" s="131" t="str">
        <f t="shared" si="40"/>
        <v/>
      </c>
      <c r="V365" s="52">
        <f t="shared" si="41"/>
        <v>46643</v>
      </c>
      <c r="W365" s="132" t="str" cm="1">
        <f t="array" ref="W365">IF(AND($C365="",S365=""),"",IF(AND(N($C365)&gt;0,N(S365)=0),"nobody marked present",IF(N($D365)&gt;N($C365),"more broken than moulded",IF(AND($C365="",N(S365)&gt;0),"attendance marked but no blocks entered",IF(AND(N($C365)&gt;0,N(T365)=0),"no pay rate for this date - see Settings",IF(SUMPRODUCT((G365:R365&lt;&gt;"")*(G$5:R$5=""))&gt;0,"attendance in an empty worker slot",""))))))</f>
        <v/>
      </c>
      <c r="X365" s="133"/>
      <c r="Y365" s="125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</row>
    <row r="366" spans="1:39" s="127" customFormat="1" ht="21" customHeight="1" x14ac:dyDescent="0.25">
      <c r="A366" s="49">
        <v>46645</v>
      </c>
      <c r="B366" s="63" t="str">
        <f t="shared" si="35"/>
        <v>Wed</v>
      </c>
      <c r="C366" s="64"/>
      <c r="D366" s="64"/>
      <c r="E366" s="65" t="str">
        <f t="shared" si="36"/>
        <v/>
      </c>
      <c r="F366" s="65" t="str">
        <f t="shared" si="37"/>
        <v/>
      </c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1" t="str">
        <f t="shared" si="38"/>
        <v/>
      </c>
      <c r="T366" s="66" t="str">
        <f t="shared" si="39"/>
        <v/>
      </c>
      <c r="U366" s="131" t="str">
        <f t="shared" si="40"/>
        <v/>
      </c>
      <c r="V366" s="52">
        <f t="shared" si="41"/>
        <v>46643</v>
      </c>
      <c r="W366" s="132" t="str" cm="1">
        <f t="array" ref="W366">IF(AND($C366="",S366=""),"",IF(AND(N($C366)&gt;0,N(S366)=0),"nobody marked present",IF(N($D366)&gt;N($C366),"more broken than moulded",IF(AND($C366="",N(S366)&gt;0),"attendance marked but no blocks entered",IF(AND(N($C366)&gt;0,N(T366)=0),"no pay rate for this date - see Settings",IF(SUMPRODUCT((G366:R366&lt;&gt;"")*(G$5:R$5=""))&gt;0,"attendance in an empty worker slot",""))))))</f>
        <v/>
      </c>
      <c r="X366" s="133"/>
      <c r="Y366" s="125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</row>
    <row r="367" spans="1:39" s="127" customFormat="1" ht="21" customHeight="1" x14ac:dyDescent="0.25">
      <c r="A367" s="49">
        <v>46646</v>
      </c>
      <c r="B367" s="63" t="str">
        <f t="shared" si="35"/>
        <v>Thu</v>
      </c>
      <c r="C367" s="64"/>
      <c r="D367" s="64"/>
      <c r="E367" s="65" t="str">
        <f t="shared" si="36"/>
        <v/>
      </c>
      <c r="F367" s="65" t="str">
        <f t="shared" si="37"/>
        <v/>
      </c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1" t="str">
        <f t="shared" si="38"/>
        <v/>
      </c>
      <c r="T367" s="66" t="str">
        <f t="shared" si="39"/>
        <v/>
      </c>
      <c r="U367" s="131" t="str">
        <f t="shared" si="40"/>
        <v/>
      </c>
      <c r="V367" s="52">
        <f t="shared" si="41"/>
        <v>46643</v>
      </c>
      <c r="W367" s="132" t="str" cm="1">
        <f t="array" ref="W367">IF(AND($C367="",S367=""),"",IF(AND(N($C367)&gt;0,N(S367)=0),"nobody marked present",IF(N($D367)&gt;N($C367),"more broken than moulded",IF(AND($C367="",N(S367)&gt;0),"attendance marked but no blocks entered",IF(AND(N($C367)&gt;0,N(T367)=0),"no pay rate for this date - see Settings",IF(SUMPRODUCT((G367:R367&lt;&gt;"")*(G$5:R$5=""))&gt;0,"attendance in an empty worker slot",""))))))</f>
        <v/>
      </c>
      <c r="X367" s="133"/>
      <c r="Y367" s="125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</row>
    <row r="368" spans="1:39" s="127" customFormat="1" ht="21" customHeight="1" x14ac:dyDescent="0.25">
      <c r="A368" s="49">
        <v>46647</v>
      </c>
      <c r="B368" s="63" t="str">
        <f t="shared" si="35"/>
        <v>Fri</v>
      </c>
      <c r="C368" s="64"/>
      <c r="D368" s="64"/>
      <c r="E368" s="65" t="str">
        <f t="shared" si="36"/>
        <v/>
      </c>
      <c r="F368" s="65" t="str">
        <f t="shared" si="37"/>
        <v/>
      </c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1" t="str">
        <f t="shared" si="38"/>
        <v/>
      </c>
      <c r="T368" s="66" t="str">
        <f t="shared" si="39"/>
        <v/>
      </c>
      <c r="U368" s="131" t="str">
        <f t="shared" si="40"/>
        <v/>
      </c>
      <c r="V368" s="52">
        <f t="shared" si="41"/>
        <v>46643</v>
      </c>
      <c r="W368" s="132" t="str" cm="1">
        <f t="array" ref="W368">IF(AND($C368="",S368=""),"",IF(AND(N($C368)&gt;0,N(S368)=0),"nobody marked present",IF(N($D368)&gt;N($C368),"more broken than moulded",IF(AND($C368="",N(S368)&gt;0),"attendance marked but no blocks entered",IF(AND(N($C368)&gt;0,N(T368)=0),"no pay rate for this date - see Settings",IF(SUMPRODUCT((G368:R368&lt;&gt;"")*(G$5:R$5=""))&gt;0,"attendance in an empty worker slot",""))))))</f>
        <v/>
      </c>
      <c r="X368" s="133"/>
      <c r="Y368" s="125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</row>
    <row r="369" spans="1:39" s="127" customFormat="1" ht="21" customHeight="1" x14ac:dyDescent="0.25">
      <c r="A369" s="49">
        <v>46648</v>
      </c>
      <c r="B369" s="63" t="str">
        <f t="shared" si="35"/>
        <v>Sat</v>
      </c>
      <c r="C369" s="64"/>
      <c r="D369" s="64"/>
      <c r="E369" s="65" t="str">
        <f t="shared" si="36"/>
        <v/>
      </c>
      <c r="F369" s="65" t="str">
        <f t="shared" si="37"/>
        <v/>
      </c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1" t="str">
        <f t="shared" si="38"/>
        <v/>
      </c>
      <c r="T369" s="66" t="str">
        <f t="shared" si="39"/>
        <v/>
      </c>
      <c r="U369" s="131" t="str">
        <f t="shared" si="40"/>
        <v/>
      </c>
      <c r="V369" s="52">
        <f t="shared" si="41"/>
        <v>46643</v>
      </c>
      <c r="W369" s="132" t="str" cm="1">
        <f t="array" ref="W369">IF(AND($C369="",S369=""),"",IF(AND(N($C369)&gt;0,N(S369)=0),"nobody marked present",IF(N($D369)&gt;N($C369),"more broken than moulded",IF(AND($C369="",N(S369)&gt;0),"attendance marked but no blocks entered",IF(AND(N($C369)&gt;0,N(T369)=0),"no pay rate for this date - see Settings",IF(SUMPRODUCT((G369:R369&lt;&gt;"")*(G$5:R$5=""))&gt;0,"attendance in an empty worker slot",""))))))</f>
        <v/>
      </c>
      <c r="X369" s="133"/>
      <c r="Y369" s="125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</row>
    <row r="370" spans="1:39" s="127" customFormat="1" ht="21" customHeight="1" x14ac:dyDescent="0.25">
      <c r="A370" s="54">
        <v>46649</v>
      </c>
      <c r="B370" s="70" t="str">
        <f t="shared" si="35"/>
        <v>Sun</v>
      </c>
      <c r="C370" s="64"/>
      <c r="D370" s="64"/>
      <c r="E370" s="65" t="str">
        <f t="shared" si="36"/>
        <v/>
      </c>
      <c r="F370" s="65" t="str">
        <f t="shared" si="37"/>
        <v/>
      </c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1" t="str">
        <f t="shared" si="38"/>
        <v/>
      </c>
      <c r="T370" s="66" t="str">
        <f t="shared" si="39"/>
        <v/>
      </c>
      <c r="U370" s="131" t="str">
        <f t="shared" si="40"/>
        <v/>
      </c>
      <c r="V370" s="52">
        <f t="shared" si="41"/>
        <v>46643</v>
      </c>
      <c r="W370" s="132" t="str" cm="1">
        <f t="array" ref="W370">IF(AND($C370="",S370=""),"",IF(AND(N($C370)&gt;0,N(S370)=0),"nobody marked present",IF(N($D370)&gt;N($C370),"more broken than moulded",IF(AND($C370="",N(S370)&gt;0),"attendance marked but no blocks entered",IF(AND(N($C370)&gt;0,N(T370)=0),"no pay rate for this date - see Settings",IF(SUMPRODUCT((G370:R370&lt;&gt;"")*(G$5:R$5=""))&gt;0,"attendance in an empty worker slot",""))))))</f>
        <v/>
      </c>
      <c r="X370" s="133"/>
      <c r="Y370" s="125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</row>
    <row r="371" spans="1:39" s="127" customFormat="1" ht="21" customHeight="1" x14ac:dyDescent="0.25">
      <c r="A371" s="49">
        <v>46650</v>
      </c>
      <c r="B371" s="63" t="str">
        <f t="shared" si="35"/>
        <v>Mon</v>
      </c>
      <c r="C371" s="64"/>
      <c r="D371" s="64"/>
      <c r="E371" s="65" t="str">
        <f t="shared" si="36"/>
        <v/>
      </c>
      <c r="F371" s="65" t="str">
        <f t="shared" si="37"/>
        <v/>
      </c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1" t="str">
        <f t="shared" si="38"/>
        <v/>
      </c>
      <c r="T371" s="66" t="str">
        <f t="shared" si="39"/>
        <v/>
      </c>
      <c r="U371" s="131" t="str">
        <f t="shared" si="40"/>
        <v/>
      </c>
      <c r="V371" s="52">
        <f t="shared" si="41"/>
        <v>46650</v>
      </c>
      <c r="W371" s="132" t="str" cm="1">
        <f t="array" ref="W371">IF(AND($C371="",S371=""),"",IF(AND(N($C371)&gt;0,N(S371)=0),"nobody marked present",IF(N($D371)&gt;N($C371),"more broken than moulded",IF(AND($C371="",N(S371)&gt;0),"attendance marked but no blocks entered",IF(AND(N($C371)&gt;0,N(T371)=0),"no pay rate for this date - see Settings",IF(SUMPRODUCT((G371:R371&lt;&gt;"")*(G$5:R$5=""))&gt;0,"attendance in an empty worker slot",""))))))</f>
        <v/>
      </c>
      <c r="X371" s="133"/>
      <c r="Y371" s="125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</row>
    <row r="372" spans="1:39" s="127" customFormat="1" ht="21" customHeight="1" x14ac:dyDescent="0.25">
      <c r="A372" s="49">
        <v>46651</v>
      </c>
      <c r="B372" s="63" t="str">
        <f t="shared" si="35"/>
        <v>Tue</v>
      </c>
      <c r="C372" s="64"/>
      <c r="D372" s="64"/>
      <c r="E372" s="65" t="str">
        <f t="shared" si="36"/>
        <v/>
      </c>
      <c r="F372" s="65" t="str">
        <f t="shared" si="37"/>
        <v/>
      </c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1" t="str">
        <f t="shared" si="38"/>
        <v/>
      </c>
      <c r="T372" s="66" t="str">
        <f t="shared" si="39"/>
        <v/>
      </c>
      <c r="U372" s="131" t="str">
        <f t="shared" si="40"/>
        <v/>
      </c>
      <c r="V372" s="52">
        <f t="shared" si="41"/>
        <v>46650</v>
      </c>
      <c r="W372" s="132" t="str" cm="1">
        <f t="array" ref="W372">IF(AND($C372="",S372=""),"",IF(AND(N($C372)&gt;0,N(S372)=0),"nobody marked present",IF(N($D372)&gt;N($C372),"more broken than moulded",IF(AND($C372="",N(S372)&gt;0),"attendance marked but no blocks entered",IF(AND(N($C372)&gt;0,N(T372)=0),"no pay rate for this date - see Settings",IF(SUMPRODUCT((G372:R372&lt;&gt;"")*(G$5:R$5=""))&gt;0,"attendance in an empty worker slot",""))))))</f>
        <v/>
      </c>
      <c r="X372" s="133"/>
      <c r="Y372" s="125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</row>
    <row r="373" spans="1:39" s="127" customFormat="1" ht="21" customHeight="1" x14ac:dyDescent="0.25">
      <c r="A373" s="49">
        <v>46652</v>
      </c>
      <c r="B373" s="63" t="str">
        <f t="shared" si="35"/>
        <v>Wed</v>
      </c>
      <c r="C373" s="64"/>
      <c r="D373" s="64"/>
      <c r="E373" s="65" t="str">
        <f t="shared" si="36"/>
        <v/>
      </c>
      <c r="F373" s="65" t="str">
        <f t="shared" si="37"/>
        <v/>
      </c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1" t="str">
        <f t="shared" si="38"/>
        <v/>
      </c>
      <c r="T373" s="66" t="str">
        <f t="shared" si="39"/>
        <v/>
      </c>
      <c r="U373" s="131" t="str">
        <f t="shared" si="40"/>
        <v/>
      </c>
      <c r="V373" s="52">
        <f t="shared" si="41"/>
        <v>46650</v>
      </c>
      <c r="W373" s="132" t="str" cm="1">
        <f t="array" ref="W373">IF(AND($C373="",S373=""),"",IF(AND(N($C373)&gt;0,N(S373)=0),"nobody marked present",IF(N($D373)&gt;N($C373),"more broken than moulded",IF(AND($C373="",N(S373)&gt;0),"attendance marked but no blocks entered",IF(AND(N($C373)&gt;0,N(T373)=0),"no pay rate for this date - see Settings",IF(SUMPRODUCT((G373:R373&lt;&gt;"")*(G$5:R$5=""))&gt;0,"attendance in an empty worker slot",""))))))</f>
        <v/>
      </c>
      <c r="X373" s="133"/>
      <c r="Y373" s="125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</row>
    <row r="374" spans="1:39" s="127" customFormat="1" ht="21" customHeight="1" x14ac:dyDescent="0.25">
      <c r="A374" s="49">
        <v>46653</v>
      </c>
      <c r="B374" s="63" t="str">
        <f t="shared" si="35"/>
        <v>Thu</v>
      </c>
      <c r="C374" s="64"/>
      <c r="D374" s="64"/>
      <c r="E374" s="65" t="str">
        <f t="shared" si="36"/>
        <v/>
      </c>
      <c r="F374" s="65" t="str">
        <f t="shared" si="37"/>
        <v/>
      </c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1" t="str">
        <f t="shared" si="38"/>
        <v/>
      </c>
      <c r="T374" s="66" t="str">
        <f t="shared" si="39"/>
        <v/>
      </c>
      <c r="U374" s="131" t="str">
        <f t="shared" si="40"/>
        <v/>
      </c>
      <c r="V374" s="52">
        <f t="shared" si="41"/>
        <v>46650</v>
      </c>
      <c r="W374" s="132" t="str" cm="1">
        <f t="array" ref="W374">IF(AND($C374="",S374=""),"",IF(AND(N($C374)&gt;0,N(S374)=0),"nobody marked present",IF(N($D374)&gt;N($C374),"more broken than moulded",IF(AND($C374="",N(S374)&gt;0),"attendance marked but no blocks entered",IF(AND(N($C374)&gt;0,N(T374)=0),"no pay rate for this date - see Settings",IF(SUMPRODUCT((G374:R374&lt;&gt;"")*(G$5:R$5=""))&gt;0,"attendance in an empty worker slot",""))))))</f>
        <v/>
      </c>
      <c r="X374" s="133"/>
      <c r="Y374" s="125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</row>
    <row r="375" spans="1:39" s="127" customFormat="1" ht="21" customHeight="1" x14ac:dyDescent="0.25">
      <c r="A375" s="49">
        <v>46654</v>
      </c>
      <c r="B375" s="63" t="str">
        <f t="shared" si="35"/>
        <v>Fri</v>
      </c>
      <c r="C375" s="64"/>
      <c r="D375" s="64"/>
      <c r="E375" s="65" t="str">
        <f t="shared" si="36"/>
        <v/>
      </c>
      <c r="F375" s="65" t="str">
        <f t="shared" si="37"/>
        <v/>
      </c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1" t="str">
        <f t="shared" si="38"/>
        <v/>
      </c>
      <c r="T375" s="66" t="str">
        <f t="shared" si="39"/>
        <v/>
      </c>
      <c r="U375" s="131" t="str">
        <f t="shared" si="40"/>
        <v/>
      </c>
      <c r="V375" s="52">
        <f t="shared" si="41"/>
        <v>46650</v>
      </c>
      <c r="W375" s="132" t="str" cm="1">
        <f t="array" ref="W375">IF(AND($C375="",S375=""),"",IF(AND(N($C375)&gt;0,N(S375)=0),"nobody marked present",IF(N($D375)&gt;N($C375),"more broken than moulded",IF(AND($C375="",N(S375)&gt;0),"attendance marked but no blocks entered",IF(AND(N($C375)&gt;0,N(T375)=0),"no pay rate for this date - see Settings",IF(SUMPRODUCT((G375:R375&lt;&gt;"")*(G$5:R$5=""))&gt;0,"attendance in an empty worker slot",""))))))</f>
        <v/>
      </c>
      <c r="X375" s="133"/>
      <c r="Y375" s="125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</row>
    <row r="376" spans="1:39" s="127" customFormat="1" ht="21" customHeight="1" x14ac:dyDescent="0.25">
      <c r="A376" s="49">
        <v>46655</v>
      </c>
      <c r="B376" s="63" t="str">
        <f t="shared" si="35"/>
        <v>Sat</v>
      </c>
      <c r="C376" s="64"/>
      <c r="D376" s="64"/>
      <c r="E376" s="65" t="str">
        <f t="shared" si="36"/>
        <v/>
      </c>
      <c r="F376" s="65" t="str">
        <f t="shared" si="37"/>
        <v/>
      </c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1" t="str">
        <f t="shared" si="38"/>
        <v/>
      </c>
      <c r="T376" s="66" t="str">
        <f t="shared" si="39"/>
        <v/>
      </c>
      <c r="U376" s="131" t="str">
        <f t="shared" si="40"/>
        <v/>
      </c>
      <c r="V376" s="52">
        <f t="shared" si="41"/>
        <v>46650</v>
      </c>
      <c r="W376" s="132" t="str" cm="1">
        <f t="array" ref="W376">IF(AND($C376="",S376=""),"",IF(AND(N($C376)&gt;0,N(S376)=0),"nobody marked present",IF(N($D376)&gt;N($C376),"more broken than moulded",IF(AND($C376="",N(S376)&gt;0),"attendance marked but no blocks entered",IF(AND(N($C376)&gt;0,N(T376)=0),"no pay rate for this date - see Settings",IF(SUMPRODUCT((G376:R376&lt;&gt;"")*(G$5:R$5=""))&gt;0,"attendance in an empty worker slot",""))))))</f>
        <v/>
      </c>
      <c r="X376" s="133"/>
      <c r="Y376" s="125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</row>
    <row r="377" spans="1:39" s="127" customFormat="1" ht="21" customHeight="1" x14ac:dyDescent="0.25">
      <c r="A377" s="53">
        <v>46656</v>
      </c>
      <c r="B377" s="71" t="str">
        <f t="shared" si="35"/>
        <v>Sun</v>
      </c>
      <c r="C377" s="72"/>
      <c r="D377" s="72"/>
      <c r="E377" s="73" t="str">
        <f t="shared" si="36"/>
        <v/>
      </c>
      <c r="F377" s="73" t="str">
        <f t="shared" si="37"/>
        <v/>
      </c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6" t="str">
        <f t="shared" si="38"/>
        <v/>
      </c>
      <c r="T377" s="74" t="str">
        <f t="shared" si="39"/>
        <v/>
      </c>
      <c r="U377" s="134" t="str">
        <f t="shared" si="40"/>
        <v/>
      </c>
      <c r="V377" s="48">
        <f t="shared" si="41"/>
        <v>46650</v>
      </c>
      <c r="W377" s="135" t="str" cm="1">
        <f t="array" ref="W377">IF(AND($C377="",S377=""),"",IF(AND(N($C377)&gt;0,N(S377)=0),"nobody marked present",IF(N($D377)&gt;N($C377),"more broken than moulded",IF(AND($C377="",N(S377)&gt;0),"attendance marked but no blocks entered",IF(AND(N($C377)&gt;0,N(T377)=0),"no pay rate for this date - see Settings",IF(SUMPRODUCT((G377:R377&lt;&gt;"")*(G$5:R$5=""))&gt;0,"attendance in an empty worker slot",""))))))</f>
        <v/>
      </c>
      <c r="X377" s="136"/>
      <c r="Y377" s="137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</row>
  </sheetData>
  <mergeCells count="10">
    <mergeCell ref="A1:C1"/>
    <mergeCell ref="D1:E1"/>
    <mergeCell ref="G1:H1"/>
    <mergeCell ref="I1:J1"/>
    <mergeCell ref="K1:W1"/>
    <mergeCell ref="Y1:Z1"/>
    <mergeCell ref="AA1:AB1"/>
    <mergeCell ref="AD1:AE1"/>
    <mergeCell ref="AF1:AG1"/>
    <mergeCell ref="AH1:AI1"/>
  </mergeCells>
  <conditionalFormatting sqref="A7:X377">
    <cfRule type="expression" dxfId="13" priority="3">
      <formula>$A7=TODAY()</formula>
    </cfRule>
  </conditionalFormatting>
  <conditionalFormatting sqref="W7:W377">
    <cfRule type="expression" dxfId="12" priority="2">
      <formula>LEN(W7)&gt;0</formula>
    </cfRule>
  </conditionalFormatting>
  <dataValidations count="2">
    <dataValidation type="whole" allowBlank="1" showErrorMessage="1" error="Type a whole number of blocks." sqref="C7:D377" xr:uid="{00000000-0002-0000-0100-000000000000}">
      <formula1>0</formula1>
      <formula2>100000</formula2>
    </dataValidation>
    <dataValidation type="decimal" allowBlank="1" showErrorMessage="1" error="Use 1 for a full day, 0.5 for a half day, or leave empty." sqref="G7:R377" xr:uid="{00000000-0002-0000-0100-000002000000}">
      <formula1>0</formula1>
      <formula2>1</formula2>
    </dataValidation>
  </dataValidations>
  <hyperlinks>
    <hyperlink ref="D1" location="'Home'!A1" tooltip="Go to Home" display="Home" xr:uid="{B8BDA0BB-1D63-4AD4-A98C-6399F45E7BD9}"/>
    <hyperlink ref="G1" location="'Cash Ledger'!A1" tooltip="Go to Cash Ledger" display="Cash Ledger" xr:uid="{13219A0B-DB38-478B-AB8B-61D09EACB1DB}"/>
    <hyperlink ref="I1" location="'Weekly Pay'!A1" tooltip="Go to Weekly Pay" display="Weekly Pay" xr:uid="{F1FA316B-1D1C-42F9-AEC1-7F74BC0F6DA2}"/>
    <hyperlink ref="K1" location="'Payslip'!A1" tooltip="Go to Payslip" display="Payslip" xr:uid="{76F3314F-C7E9-48BD-944B-0611B8AE708D}"/>
    <hyperlink ref="X1" location="'Workers'!A1" tooltip="Go to Workers" display="Workers" xr:uid="{D13E8CDD-309D-4D00-893B-48E69EFFB749}"/>
    <hyperlink ref="Y1" location="'Settings'!A1" tooltip="Go to Settings" display="Settings" xr:uid="{612386AC-98E7-465C-8EC4-3980CB5BDBBA}"/>
    <hyperlink ref="AA1" location="'Guide'!A1" tooltip="Go to Guide" display="Guide" xr:uid="{D271CD94-652B-474B-9795-5EA67F5CAF96}"/>
    <hyperlink ref="AD1" location="'Worker History'!A1" tooltip="Go to Worker History" display="History" xr:uid="{514EA84D-37D6-45A2-BDE2-2BE27D7A93A1}"/>
    <hyperlink ref="AF1" location="'Weeks'!A1" tooltip="Go to Weeks" display="Weeks" xr:uid="{FCEB1AB4-9FFC-4C15-ABA3-93789F28D7EE}"/>
    <hyperlink ref="AH1" location="'Checks'!A1" tooltip="Go to Checks" display="Checks" xr:uid="{10C130E7-EF4F-42B6-905C-EA5422EF38C7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46E5"/>
  </sheetPr>
  <dimension ref="A1:AN1006"/>
  <sheetViews>
    <sheetView showGridLines="0" zoomScaleNormal="100" workbookViewId="0">
      <pane ySplit="6" topLeftCell="A7" activePane="bottomLeft" state="frozen"/>
      <selection pane="bottomLeft" activeCell="D1" sqref="D1"/>
    </sheetView>
  </sheetViews>
  <sheetFormatPr defaultColWidth="8.5703125" defaultRowHeight="15" outlineLevelCol="1" x14ac:dyDescent="0.25"/>
  <cols>
    <col min="1" max="1" width="5" customWidth="1"/>
    <col min="2" max="2" width="11" customWidth="1"/>
    <col min="3" max="3" width="20" customWidth="1"/>
    <col min="4" max="4" width="12" customWidth="1"/>
    <col min="5" max="5" width="14" customWidth="1"/>
    <col min="6" max="6" width="26" customWidth="1"/>
    <col min="7" max="7" width="12" customWidth="1"/>
    <col min="8" max="8" width="8" customWidth="1"/>
    <col min="9" max="9" width="6" hidden="1" customWidth="1" outlineLevel="1"/>
    <col min="10" max="10" width="11" hidden="1" customWidth="1" outlineLevel="1"/>
    <col min="11" max="11" width="4" hidden="1" customWidth="1" outlineLevel="1"/>
    <col min="12" max="12" width="16" customWidth="1" collapsed="1"/>
    <col min="13" max="13" width="44" customWidth="1"/>
  </cols>
  <sheetData>
    <row r="1" spans="1:40" s="1" customFormat="1" ht="30" customHeight="1" thickBot="1" x14ac:dyDescent="0.3">
      <c r="A1" s="185" t="s">
        <v>196</v>
      </c>
      <c r="B1" s="185"/>
      <c r="C1" s="185"/>
      <c r="D1" s="29" t="s">
        <v>197</v>
      </c>
      <c r="E1" s="181" t="s">
        <v>9</v>
      </c>
      <c r="F1" s="182"/>
      <c r="G1" s="205" t="s">
        <v>12</v>
      </c>
      <c r="H1" s="205"/>
      <c r="I1" s="181" t="s">
        <v>67</v>
      </c>
      <c r="J1" s="182"/>
      <c r="K1" s="182"/>
      <c r="L1" s="182"/>
      <c r="M1" s="182"/>
      <c r="N1" s="181" t="s">
        <v>93</v>
      </c>
      <c r="O1" s="182"/>
      <c r="P1" s="181" t="s">
        <v>118</v>
      </c>
      <c r="Q1" s="182"/>
      <c r="R1" s="181" t="s">
        <v>137</v>
      </c>
      <c r="S1" s="182"/>
      <c r="T1" s="181" t="s">
        <v>198</v>
      </c>
      <c r="U1" s="182"/>
      <c r="V1" s="31" t="s">
        <v>199</v>
      </c>
      <c r="W1" s="183" t="s">
        <v>200</v>
      </c>
      <c r="X1" s="184"/>
      <c r="Y1" s="183" t="s">
        <v>166</v>
      </c>
      <c r="Z1" s="184"/>
      <c r="AA1" s="183" t="s">
        <v>155</v>
      </c>
      <c r="AB1" s="184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0" ht="36" customHeight="1" thickTop="1" x14ac:dyDescent="0.45">
      <c r="A2" s="172" t="s">
        <v>12</v>
      </c>
      <c r="B2" s="33"/>
      <c r="C2" s="33"/>
      <c r="D2" s="33"/>
      <c r="E2" s="33"/>
      <c r="F2" s="33"/>
      <c r="G2" s="34"/>
      <c r="H2" s="34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6.5" x14ac:dyDescent="0.3">
      <c r="A3" s="35" t="s">
        <v>53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6.5" x14ac:dyDescent="0.3">
      <c r="A4" s="3"/>
      <c r="B4" s="3"/>
      <c r="C4" s="122" t="s">
        <v>234</v>
      </c>
      <c r="D4" s="5" t="s">
        <v>54</v>
      </c>
      <c r="E4" s="121">
        <f>SUMIFS($E$7:$E$1006,$D$7:$D$1006,"Advance")</f>
        <v>650000</v>
      </c>
      <c r="F4" s="5" t="s">
        <v>55</v>
      </c>
      <c r="G4" s="121">
        <f>SUMIFS($E$7:$E$1006,$D$7:$D$1006,"Weekly pay")</f>
        <v>0</v>
      </c>
      <c r="H4" s="78"/>
      <c r="I4" s="56"/>
      <c r="J4" s="3"/>
      <c r="K4" s="3"/>
      <c r="L4" s="5" t="s">
        <v>56</v>
      </c>
      <c r="M4" s="121">
        <f>SUMIFS($E$7:$E$1006,$D$7:$D$1006,"Correction")</f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6.5" x14ac:dyDescent="0.3">
      <c r="A5" s="57" t="s">
        <v>235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s="127" customFormat="1" ht="32.1" customHeight="1" x14ac:dyDescent="0.25">
      <c r="A6" s="58" t="s">
        <v>57</v>
      </c>
      <c r="B6" s="58" t="s">
        <v>41</v>
      </c>
      <c r="C6" s="58" t="s">
        <v>58</v>
      </c>
      <c r="D6" s="58" t="s">
        <v>59</v>
      </c>
      <c r="E6" s="58" t="s">
        <v>60</v>
      </c>
      <c r="F6" s="58" t="s">
        <v>61</v>
      </c>
      <c r="G6" s="58" t="s">
        <v>62</v>
      </c>
      <c r="H6" s="58" t="s">
        <v>63</v>
      </c>
      <c r="I6" s="58" t="s">
        <v>64</v>
      </c>
      <c r="J6" s="58" t="s">
        <v>50</v>
      </c>
      <c r="K6" s="58" t="s">
        <v>65</v>
      </c>
      <c r="L6" s="58" t="s">
        <v>66</v>
      </c>
      <c r="M6" s="58" t="s">
        <v>51</v>
      </c>
      <c r="N6" s="125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</row>
    <row r="7" spans="1:40" s="127" customFormat="1" ht="21" customHeight="1" x14ac:dyDescent="0.25">
      <c r="A7" s="45">
        <f t="shared" ref="A7:A70" si="0">IF($B7="","",ROW()-6)</f>
        <v>1</v>
      </c>
      <c r="B7" s="75">
        <v>46286</v>
      </c>
      <c r="C7" s="130" t="s">
        <v>185</v>
      </c>
      <c r="D7" s="43" t="s">
        <v>142</v>
      </c>
      <c r="E7" s="138">
        <v>150000</v>
      </c>
      <c r="F7" s="130" t="s">
        <v>189</v>
      </c>
      <c r="G7" s="130"/>
      <c r="H7" s="43"/>
      <c r="I7" s="45" t="str">
        <f t="shared" ref="I7:I70" si="1">IF($C7="","",IFERROR(INDEX(WorkerIDs,MATCH($C7,WorkerNames,0)),"?"))</f>
        <v>W01</v>
      </c>
      <c r="J7" s="47">
        <f t="shared" ref="J7:J70" si="2">IF($B7="","",$B7-WEEKDAY($B7,2)+1)</f>
        <v>46286</v>
      </c>
      <c r="K7" s="139" t="str">
        <f>IF(OR($I7="",$I7="?",$D7&lt;&gt;"Advance",$B7=""),"",$I7&amp;"|"&amp;$J7&amp;"|"&amp;COUNTIFS($I$7:$I7,$I7,$J$7:$J7,$J7,$D$7:$D7,"Advance"))</f>
        <v>W01|46286|1</v>
      </c>
      <c r="L7" s="140">
        <f>IF(OR($I7="",$I7="?",$B7=""),"",SUMPRODUCT((Weeks!$A$7:$A$59&lt;=$J7)*(Weeks!$X$5:$AI$5=$I7)*Weeks!$X$7:$AI$59)-SUMIFS($E$7:$E$1006,$I$7:$I$1006,$I7,$B$7:$B$1006,"&lt;="&amp;$B7))</f>
        <v>1332125</v>
      </c>
      <c r="M7" s="129" t="str">
        <f>IF($B7&amp;$C7&amp;$D7&amp;$E7="","",IF($B7="","missing date",IF($C7="","missing worker",IF($I7="?","unknown worker - was the name changed on Workers?",IF($D7="","missing type",IF(N($E7)=0,"missing amount",IF(AND($E7&lt;0,$D7&lt;&gt;"Correction"),"negative amount - use a Correction to undo",IF(OR($B7&lt;Weeks!$A$7,$B7&gt;Weeks!$B$59),"date outside this workbook's year",IF(AND($D7="Advance",N($L7)&lt;0),"Warning: more than earned so far - worker now owes "&amp;TEXT(ROUND(-$L7,0),"#,##0"),"")))))))))</f>
        <v/>
      </c>
      <c r="N7" s="125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</row>
    <row r="8" spans="1:40" s="127" customFormat="1" ht="21" customHeight="1" x14ac:dyDescent="0.25">
      <c r="A8" s="51">
        <f t="shared" si="0"/>
        <v>2</v>
      </c>
      <c r="B8" s="77">
        <v>46287</v>
      </c>
      <c r="C8" s="133" t="s">
        <v>186</v>
      </c>
      <c r="D8" s="50" t="s">
        <v>142</v>
      </c>
      <c r="E8" s="141">
        <v>500000</v>
      </c>
      <c r="F8" s="133" t="s">
        <v>190</v>
      </c>
      <c r="G8" s="133"/>
      <c r="H8" s="50"/>
      <c r="I8" s="51" t="str">
        <f t="shared" si="1"/>
        <v>W02</v>
      </c>
      <c r="J8" s="52">
        <f t="shared" si="2"/>
        <v>46286</v>
      </c>
      <c r="K8" s="142" t="str">
        <f>IF(OR($I8="",$I8="?",$D8&lt;&gt;"Advance",$B8=""),"",$I8&amp;"|"&amp;$J8&amp;"|"&amp;COUNTIFS($I$7:$I8,$I8,$J$7:$J8,$J8,$D$7:$D8,"Advance"))</f>
        <v>W02|46286|1</v>
      </c>
      <c r="L8" s="143">
        <f>IF(OR($I8="",$I8="?",$B8=""),"",SUMPRODUCT((Weeks!$A$7:$A$59&lt;=$J8)*(Weeks!$X$5:$AI$5=$I8)*Weeks!$X$7:$AI$59)-SUMIFS($E$7:$E$1006,$I$7:$I$1006,$I8,$B$7:$B$1006,"&lt;="&amp;$B8))</f>
        <v>982125</v>
      </c>
      <c r="M8" s="132" t="str">
        <f>IF($B8&amp;$C8&amp;$D8&amp;$E8="","",IF($B8="","missing date",IF($C8="","missing worker",IF($I8="?","unknown worker - was the name changed on Workers?",IF($D8="","missing type",IF(N($E8)=0,"missing amount",IF(AND($E8&lt;0,$D8&lt;&gt;"Correction"),"negative amount - use a Correction to undo",IF(OR($B8&lt;Weeks!$A$7,$B8&gt;Weeks!$B$59),"date outside this workbook's year",IF(AND($D8="Advance",N($L8)&lt;0),"Warning: more than earned so far - worker now owes "&amp;TEXT(ROUND(-$L8,0),"#,##0"),"")))))))))</f>
        <v/>
      </c>
      <c r="N8" s="125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</row>
    <row r="9" spans="1:40" s="127" customFormat="1" ht="21" customHeight="1" x14ac:dyDescent="0.25">
      <c r="A9" s="51" t="str">
        <f t="shared" si="0"/>
        <v/>
      </c>
      <c r="B9" s="77"/>
      <c r="C9" s="133"/>
      <c r="D9" s="50"/>
      <c r="E9" s="141"/>
      <c r="F9" s="133"/>
      <c r="G9" s="133"/>
      <c r="H9" s="50"/>
      <c r="I9" s="51" t="str">
        <f t="shared" si="1"/>
        <v/>
      </c>
      <c r="J9" s="52" t="str">
        <f t="shared" si="2"/>
        <v/>
      </c>
      <c r="K9" s="142" t="str">
        <f>IF(OR($I9="",$I9="?",$D9&lt;&gt;"Advance",$B9=""),"",$I9&amp;"|"&amp;$J9&amp;"|"&amp;COUNTIFS($I$7:$I9,$I9,$J$7:$J9,$J9,$D$7:$D9,"Advance"))</f>
        <v/>
      </c>
      <c r="L9" s="143" t="str">
        <f>IF(OR($I9="",$I9="?",$B9=""),"",SUMPRODUCT((Weeks!$A$7:$A$59&lt;=$J9)*(Weeks!$X$5:$AI$5=$I9)*Weeks!$X$7:$AI$59)-SUMIFS($E$7:$E$1006,$I$7:$I$1006,$I9,$B$7:$B$1006,"&lt;="&amp;$B9))</f>
        <v/>
      </c>
      <c r="M9" s="132" t="str">
        <f>IF($B9&amp;$C9&amp;$D9&amp;$E9="","",IF($B9="","missing date",IF($C9="","missing worker",IF($I9="?","unknown worker - was the name changed on Workers?",IF($D9="","missing type",IF(N($E9)=0,"missing amount",IF(AND($E9&lt;0,$D9&lt;&gt;"Correction"),"negative amount - use a Correction to undo",IF(OR($B9&lt;Weeks!$A$7,$B9&gt;Weeks!$B$59),"date outside this workbook's year",IF(AND($D9="Advance",N($L9)&lt;0),"Warning: more than earned so far - worker now owes "&amp;TEXT(ROUND(-$L9,0),"#,##0"),"")))))))))</f>
        <v/>
      </c>
      <c r="N9" s="125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</row>
    <row r="10" spans="1:40" s="127" customFormat="1" ht="21" customHeight="1" x14ac:dyDescent="0.25">
      <c r="A10" s="51" t="str">
        <f t="shared" si="0"/>
        <v/>
      </c>
      <c r="B10" s="77"/>
      <c r="C10" s="133"/>
      <c r="D10" s="50"/>
      <c r="E10" s="141"/>
      <c r="F10" s="133"/>
      <c r="G10" s="133"/>
      <c r="H10" s="50"/>
      <c r="I10" s="51" t="str">
        <f t="shared" si="1"/>
        <v/>
      </c>
      <c r="J10" s="52" t="str">
        <f t="shared" si="2"/>
        <v/>
      </c>
      <c r="K10" s="142" t="str">
        <f>IF(OR($I10="",$I10="?",$D10&lt;&gt;"Advance",$B10=""),"",$I10&amp;"|"&amp;$J10&amp;"|"&amp;COUNTIFS($I$7:$I10,$I10,$J$7:$J10,$J10,$D$7:$D10,"Advance"))</f>
        <v/>
      </c>
      <c r="L10" s="143" t="str">
        <f>IF(OR($I10="",$I10="?",$B10=""),"",SUMPRODUCT((Weeks!$A$7:$A$59&lt;=$J10)*(Weeks!$X$5:$AI$5=$I10)*Weeks!$X$7:$AI$59)-SUMIFS($E$7:$E$1006,$I$7:$I$1006,$I10,$B$7:$B$1006,"&lt;="&amp;$B10))</f>
        <v/>
      </c>
      <c r="M10" s="132" t="str">
        <f>IF($B10&amp;$C10&amp;$D10&amp;$E10="","",IF($B10="","missing date",IF($C10="","missing worker",IF($I10="?","unknown worker - was the name changed on Workers?",IF($D10="","missing type",IF(N($E10)=0,"missing amount",IF(AND($E10&lt;0,$D10&lt;&gt;"Correction"),"negative amount - use a Correction to undo",IF(OR($B10&lt;Weeks!$A$7,$B10&gt;Weeks!$B$59),"date outside this workbook's year",IF(AND($D10="Advance",N($L10)&lt;0),"Warning: more than earned so far - worker now owes "&amp;TEXT(ROUND(-$L10,0),"#,##0"),"")))))))))</f>
        <v/>
      </c>
      <c r="N10" s="125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</row>
    <row r="11" spans="1:40" s="127" customFormat="1" ht="21" customHeight="1" x14ac:dyDescent="0.25">
      <c r="A11" s="51" t="str">
        <f t="shared" si="0"/>
        <v/>
      </c>
      <c r="B11" s="77"/>
      <c r="C11" s="133"/>
      <c r="D11" s="50"/>
      <c r="E11" s="141"/>
      <c r="F11" s="133"/>
      <c r="G11" s="133"/>
      <c r="H11" s="50"/>
      <c r="I11" s="51" t="str">
        <f t="shared" si="1"/>
        <v/>
      </c>
      <c r="J11" s="52" t="str">
        <f t="shared" si="2"/>
        <v/>
      </c>
      <c r="K11" s="142" t="str">
        <f>IF(OR($I11="",$I11="?",$D11&lt;&gt;"Advance",$B11=""),"",$I11&amp;"|"&amp;$J11&amp;"|"&amp;COUNTIFS($I$7:$I11,$I11,$J$7:$J11,$J11,$D$7:$D11,"Advance"))</f>
        <v/>
      </c>
      <c r="L11" s="143" t="str">
        <f>IF(OR($I11="",$I11="?",$B11=""),"",SUMPRODUCT((Weeks!$A$7:$A$59&lt;=$J11)*(Weeks!$X$5:$AI$5=$I11)*Weeks!$X$7:$AI$59)-SUMIFS($E$7:$E$1006,$I$7:$I$1006,$I11,$B$7:$B$1006,"&lt;="&amp;$B11))</f>
        <v/>
      </c>
      <c r="M11" s="132" t="str">
        <f>IF($B11&amp;$C11&amp;$D11&amp;$E11="","",IF($B11="","missing date",IF($C11="","missing worker",IF($I11="?","unknown worker - was the name changed on Workers?",IF($D11="","missing type",IF(N($E11)=0,"missing amount",IF(AND($E11&lt;0,$D11&lt;&gt;"Correction"),"negative amount - use a Correction to undo",IF(OR($B11&lt;Weeks!$A$7,$B11&gt;Weeks!$B$59),"date outside this workbook's year",IF(AND($D11="Advance",N($L11)&lt;0),"Warning: more than earned so far - worker now owes "&amp;TEXT(ROUND(-$L11,0),"#,##0"),"")))))))))</f>
        <v/>
      </c>
      <c r="N11" s="125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</row>
    <row r="12" spans="1:40" s="127" customFormat="1" ht="21" customHeight="1" x14ac:dyDescent="0.25">
      <c r="A12" s="51" t="str">
        <f t="shared" si="0"/>
        <v/>
      </c>
      <c r="B12" s="77"/>
      <c r="C12" s="133"/>
      <c r="D12" s="50"/>
      <c r="E12" s="141"/>
      <c r="F12" s="133"/>
      <c r="G12" s="133"/>
      <c r="H12" s="50"/>
      <c r="I12" s="51" t="str">
        <f t="shared" si="1"/>
        <v/>
      </c>
      <c r="J12" s="52" t="str">
        <f t="shared" si="2"/>
        <v/>
      </c>
      <c r="K12" s="142" t="str">
        <f>IF(OR($I12="",$I12="?",$D12&lt;&gt;"Advance",$B12=""),"",$I12&amp;"|"&amp;$J12&amp;"|"&amp;COUNTIFS($I$7:$I12,$I12,$J$7:$J12,$J12,$D$7:$D12,"Advance"))</f>
        <v/>
      </c>
      <c r="L12" s="143" t="str">
        <f>IF(OR($I12="",$I12="?",$B12=""),"",SUMPRODUCT((Weeks!$A$7:$A$59&lt;=$J12)*(Weeks!$X$5:$AI$5=$I12)*Weeks!$X$7:$AI$59)-SUMIFS($E$7:$E$1006,$I$7:$I$1006,$I12,$B$7:$B$1006,"&lt;="&amp;$B12))</f>
        <v/>
      </c>
      <c r="M12" s="132" t="str">
        <f>IF($B12&amp;$C12&amp;$D12&amp;$E12="","",IF($B12="","missing date",IF($C12="","missing worker",IF($I12="?","unknown worker - was the name changed on Workers?",IF($D12="","missing type",IF(N($E12)=0,"missing amount",IF(AND($E12&lt;0,$D12&lt;&gt;"Correction"),"negative amount - use a Correction to undo",IF(OR($B12&lt;Weeks!$A$7,$B12&gt;Weeks!$B$59),"date outside this workbook's year",IF(AND($D12="Advance",N($L12)&lt;0),"Warning: more than earned so far - worker now owes "&amp;TEXT(ROUND(-$L12,0),"#,##0"),"")))))))))</f>
        <v/>
      </c>
      <c r="N12" s="125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</row>
    <row r="13" spans="1:40" s="127" customFormat="1" ht="21" customHeight="1" x14ac:dyDescent="0.25">
      <c r="A13" s="51" t="str">
        <f t="shared" si="0"/>
        <v/>
      </c>
      <c r="B13" s="77"/>
      <c r="C13" s="133"/>
      <c r="D13" s="50"/>
      <c r="E13" s="141"/>
      <c r="F13" s="133"/>
      <c r="G13" s="133"/>
      <c r="H13" s="50"/>
      <c r="I13" s="51" t="str">
        <f t="shared" si="1"/>
        <v/>
      </c>
      <c r="J13" s="52" t="str">
        <f t="shared" si="2"/>
        <v/>
      </c>
      <c r="K13" s="142" t="str">
        <f>IF(OR($I13="",$I13="?",$D13&lt;&gt;"Advance",$B13=""),"",$I13&amp;"|"&amp;$J13&amp;"|"&amp;COUNTIFS($I$7:$I13,$I13,$J$7:$J13,$J13,$D$7:$D13,"Advance"))</f>
        <v/>
      </c>
      <c r="L13" s="143" t="str">
        <f>IF(OR($I13="",$I13="?",$B13=""),"",SUMPRODUCT((Weeks!$A$7:$A$59&lt;=$J13)*(Weeks!$X$5:$AI$5=$I13)*Weeks!$X$7:$AI$59)-SUMIFS($E$7:$E$1006,$I$7:$I$1006,$I13,$B$7:$B$1006,"&lt;="&amp;$B13))</f>
        <v/>
      </c>
      <c r="M13" s="132" t="str">
        <f>IF($B13&amp;$C13&amp;$D13&amp;$E13="","",IF($B13="","missing date",IF($C13="","missing worker",IF($I13="?","unknown worker - was the name changed on Workers?",IF($D13="","missing type",IF(N($E13)=0,"missing amount",IF(AND($E13&lt;0,$D13&lt;&gt;"Correction"),"negative amount - use a Correction to undo",IF(OR($B13&lt;Weeks!$A$7,$B13&gt;Weeks!$B$59),"date outside this workbook's year",IF(AND($D13="Advance",N($L13)&lt;0),"Warning: more than earned so far - worker now owes "&amp;TEXT(ROUND(-$L13,0),"#,##0"),"")))))))))</f>
        <v/>
      </c>
      <c r="N13" s="125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</row>
    <row r="14" spans="1:40" s="127" customFormat="1" ht="21" customHeight="1" x14ac:dyDescent="0.25">
      <c r="A14" s="51" t="str">
        <f t="shared" si="0"/>
        <v/>
      </c>
      <c r="B14" s="77"/>
      <c r="C14" s="133"/>
      <c r="D14" s="50"/>
      <c r="E14" s="141"/>
      <c r="F14" s="133"/>
      <c r="G14" s="133"/>
      <c r="H14" s="50"/>
      <c r="I14" s="51" t="str">
        <f t="shared" si="1"/>
        <v/>
      </c>
      <c r="J14" s="52" t="str">
        <f t="shared" si="2"/>
        <v/>
      </c>
      <c r="K14" s="142" t="str">
        <f>IF(OR($I14="",$I14="?",$D14&lt;&gt;"Advance",$B14=""),"",$I14&amp;"|"&amp;$J14&amp;"|"&amp;COUNTIFS($I$7:$I14,$I14,$J$7:$J14,$J14,$D$7:$D14,"Advance"))</f>
        <v/>
      </c>
      <c r="L14" s="143" t="str">
        <f>IF(OR($I14="",$I14="?",$B14=""),"",SUMPRODUCT((Weeks!$A$7:$A$59&lt;=$J14)*(Weeks!$X$5:$AI$5=$I14)*Weeks!$X$7:$AI$59)-SUMIFS($E$7:$E$1006,$I$7:$I$1006,$I14,$B$7:$B$1006,"&lt;="&amp;$B14))</f>
        <v/>
      </c>
      <c r="M14" s="132" t="str">
        <f>IF($B14&amp;$C14&amp;$D14&amp;$E14="","",IF($B14="","missing date",IF($C14="","missing worker",IF($I14="?","unknown worker - was the name changed on Workers?",IF($D14="","missing type",IF(N($E14)=0,"missing amount",IF(AND($E14&lt;0,$D14&lt;&gt;"Correction"),"negative amount - use a Correction to undo",IF(OR($B14&lt;Weeks!$A$7,$B14&gt;Weeks!$B$59),"date outside this workbook's year",IF(AND($D14="Advance",N($L14)&lt;0),"Warning: more than earned so far - worker now owes "&amp;TEXT(ROUND(-$L14,0),"#,##0"),"")))))))))</f>
        <v/>
      </c>
      <c r="N14" s="125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</row>
    <row r="15" spans="1:40" s="127" customFormat="1" ht="21" customHeight="1" x14ac:dyDescent="0.25">
      <c r="A15" s="51" t="str">
        <f t="shared" si="0"/>
        <v/>
      </c>
      <c r="B15" s="77"/>
      <c r="C15" s="133"/>
      <c r="D15" s="50"/>
      <c r="E15" s="141"/>
      <c r="F15" s="133"/>
      <c r="G15" s="133"/>
      <c r="H15" s="50"/>
      <c r="I15" s="51" t="str">
        <f t="shared" si="1"/>
        <v/>
      </c>
      <c r="J15" s="52" t="str">
        <f t="shared" si="2"/>
        <v/>
      </c>
      <c r="K15" s="142" t="str">
        <f>IF(OR($I15="",$I15="?",$D15&lt;&gt;"Advance",$B15=""),"",$I15&amp;"|"&amp;$J15&amp;"|"&amp;COUNTIFS($I$7:$I15,$I15,$J$7:$J15,$J15,$D$7:$D15,"Advance"))</f>
        <v/>
      </c>
      <c r="L15" s="143" t="str">
        <f>IF(OR($I15="",$I15="?",$B15=""),"",SUMPRODUCT((Weeks!$A$7:$A$59&lt;=$J15)*(Weeks!$X$5:$AI$5=$I15)*Weeks!$X$7:$AI$59)-SUMIFS($E$7:$E$1006,$I$7:$I$1006,$I15,$B$7:$B$1006,"&lt;="&amp;$B15))</f>
        <v/>
      </c>
      <c r="M15" s="132" t="str">
        <f>IF($B15&amp;$C15&amp;$D15&amp;$E15="","",IF($B15="","missing date",IF($C15="","missing worker",IF($I15="?","unknown worker - was the name changed on Workers?",IF($D15="","missing type",IF(N($E15)=0,"missing amount",IF(AND($E15&lt;0,$D15&lt;&gt;"Correction"),"negative amount - use a Correction to undo",IF(OR($B15&lt;Weeks!$A$7,$B15&gt;Weeks!$B$59),"date outside this workbook's year",IF(AND($D15="Advance",N($L15)&lt;0),"Warning: more than earned so far - worker now owes "&amp;TEXT(ROUND(-$L15,0),"#,##0"),"")))))))))</f>
        <v/>
      </c>
      <c r="N15" s="125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</row>
    <row r="16" spans="1:40" s="127" customFormat="1" ht="21" customHeight="1" x14ac:dyDescent="0.25">
      <c r="A16" s="51" t="str">
        <f t="shared" si="0"/>
        <v/>
      </c>
      <c r="B16" s="77"/>
      <c r="C16" s="133"/>
      <c r="D16" s="50"/>
      <c r="E16" s="141"/>
      <c r="F16" s="133"/>
      <c r="G16" s="133"/>
      <c r="H16" s="50"/>
      <c r="I16" s="51" t="str">
        <f t="shared" si="1"/>
        <v/>
      </c>
      <c r="J16" s="52" t="str">
        <f t="shared" si="2"/>
        <v/>
      </c>
      <c r="K16" s="142" t="str">
        <f>IF(OR($I16="",$I16="?",$D16&lt;&gt;"Advance",$B16=""),"",$I16&amp;"|"&amp;$J16&amp;"|"&amp;COUNTIFS($I$7:$I16,$I16,$J$7:$J16,$J16,$D$7:$D16,"Advance"))</f>
        <v/>
      </c>
      <c r="L16" s="143" t="str">
        <f>IF(OR($I16="",$I16="?",$B16=""),"",SUMPRODUCT((Weeks!$A$7:$A$59&lt;=$J16)*(Weeks!$X$5:$AI$5=$I16)*Weeks!$X$7:$AI$59)-SUMIFS($E$7:$E$1006,$I$7:$I$1006,$I16,$B$7:$B$1006,"&lt;="&amp;$B16))</f>
        <v/>
      </c>
      <c r="M16" s="132" t="str">
        <f>IF($B16&amp;$C16&amp;$D16&amp;$E16="","",IF($B16="","missing date",IF($C16="","missing worker",IF($I16="?","unknown worker - was the name changed on Workers?",IF($D16="","missing type",IF(N($E16)=0,"missing amount",IF(AND($E16&lt;0,$D16&lt;&gt;"Correction"),"negative amount - use a Correction to undo",IF(OR($B16&lt;Weeks!$A$7,$B16&gt;Weeks!$B$59),"date outside this workbook's year",IF(AND($D16="Advance",N($L16)&lt;0),"Warning: more than earned so far - worker now owes "&amp;TEXT(ROUND(-$L16,0),"#,##0"),"")))))))))</f>
        <v/>
      </c>
      <c r="N16" s="125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</row>
    <row r="17" spans="1:40" s="127" customFormat="1" ht="21" customHeight="1" x14ac:dyDescent="0.25">
      <c r="A17" s="51" t="str">
        <f t="shared" si="0"/>
        <v/>
      </c>
      <c r="B17" s="77"/>
      <c r="C17" s="133"/>
      <c r="D17" s="50"/>
      <c r="E17" s="141"/>
      <c r="F17" s="133"/>
      <c r="G17" s="133"/>
      <c r="H17" s="50"/>
      <c r="I17" s="51" t="str">
        <f t="shared" si="1"/>
        <v/>
      </c>
      <c r="J17" s="52" t="str">
        <f t="shared" si="2"/>
        <v/>
      </c>
      <c r="K17" s="142" t="str">
        <f>IF(OR($I17="",$I17="?",$D17&lt;&gt;"Advance",$B17=""),"",$I17&amp;"|"&amp;$J17&amp;"|"&amp;COUNTIFS($I$7:$I17,$I17,$J$7:$J17,$J17,$D$7:$D17,"Advance"))</f>
        <v/>
      </c>
      <c r="L17" s="143" t="str">
        <f>IF(OR($I17="",$I17="?",$B17=""),"",SUMPRODUCT((Weeks!$A$7:$A$59&lt;=$J17)*(Weeks!$X$5:$AI$5=$I17)*Weeks!$X$7:$AI$59)-SUMIFS($E$7:$E$1006,$I$7:$I$1006,$I17,$B$7:$B$1006,"&lt;="&amp;$B17))</f>
        <v/>
      </c>
      <c r="M17" s="132" t="str">
        <f>IF($B17&amp;$C17&amp;$D17&amp;$E17="","",IF($B17="","missing date",IF($C17="","missing worker",IF($I17="?","unknown worker - was the name changed on Workers?",IF($D17="","missing type",IF(N($E17)=0,"missing amount",IF(AND($E17&lt;0,$D17&lt;&gt;"Correction"),"negative amount - use a Correction to undo",IF(OR($B17&lt;Weeks!$A$7,$B17&gt;Weeks!$B$59),"date outside this workbook's year",IF(AND($D17="Advance",N($L17)&lt;0),"Warning: more than earned so far - worker now owes "&amp;TEXT(ROUND(-$L17,0),"#,##0"),"")))))))))</f>
        <v/>
      </c>
      <c r="N17" s="125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</row>
    <row r="18" spans="1:40" s="127" customFormat="1" ht="21" customHeight="1" x14ac:dyDescent="0.25">
      <c r="A18" s="51" t="str">
        <f t="shared" si="0"/>
        <v/>
      </c>
      <c r="B18" s="77"/>
      <c r="C18" s="133"/>
      <c r="D18" s="50"/>
      <c r="E18" s="141"/>
      <c r="F18" s="133"/>
      <c r="G18" s="133"/>
      <c r="H18" s="50"/>
      <c r="I18" s="51" t="str">
        <f t="shared" si="1"/>
        <v/>
      </c>
      <c r="J18" s="52" t="str">
        <f t="shared" si="2"/>
        <v/>
      </c>
      <c r="K18" s="142" t="str">
        <f>IF(OR($I18="",$I18="?",$D18&lt;&gt;"Advance",$B18=""),"",$I18&amp;"|"&amp;$J18&amp;"|"&amp;COUNTIFS($I$7:$I18,$I18,$J$7:$J18,$J18,$D$7:$D18,"Advance"))</f>
        <v/>
      </c>
      <c r="L18" s="143" t="str">
        <f>IF(OR($I18="",$I18="?",$B18=""),"",SUMPRODUCT((Weeks!$A$7:$A$59&lt;=$J18)*(Weeks!$X$5:$AI$5=$I18)*Weeks!$X$7:$AI$59)-SUMIFS($E$7:$E$1006,$I$7:$I$1006,$I18,$B$7:$B$1006,"&lt;="&amp;$B18))</f>
        <v/>
      </c>
      <c r="M18" s="132" t="str">
        <f>IF($B18&amp;$C18&amp;$D18&amp;$E18="","",IF($B18="","missing date",IF($C18="","missing worker",IF($I18="?","unknown worker - was the name changed on Workers?",IF($D18="","missing type",IF(N($E18)=0,"missing amount",IF(AND($E18&lt;0,$D18&lt;&gt;"Correction"),"negative amount - use a Correction to undo",IF(OR($B18&lt;Weeks!$A$7,$B18&gt;Weeks!$B$59),"date outside this workbook's year",IF(AND($D18="Advance",N($L18)&lt;0),"Warning: more than earned so far - worker now owes "&amp;TEXT(ROUND(-$L18,0),"#,##0"),"")))))))))</f>
        <v/>
      </c>
      <c r="N18" s="125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</row>
    <row r="19" spans="1:40" s="127" customFormat="1" ht="21" customHeight="1" x14ac:dyDescent="0.25">
      <c r="A19" s="51" t="str">
        <f t="shared" si="0"/>
        <v/>
      </c>
      <c r="B19" s="77"/>
      <c r="C19" s="133"/>
      <c r="D19" s="50"/>
      <c r="E19" s="141"/>
      <c r="F19" s="133"/>
      <c r="G19" s="133"/>
      <c r="H19" s="50"/>
      <c r="I19" s="51" t="str">
        <f t="shared" si="1"/>
        <v/>
      </c>
      <c r="J19" s="52" t="str">
        <f t="shared" si="2"/>
        <v/>
      </c>
      <c r="K19" s="142" t="str">
        <f>IF(OR($I19="",$I19="?",$D19&lt;&gt;"Advance",$B19=""),"",$I19&amp;"|"&amp;$J19&amp;"|"&amp;COUNTIFS($I$7:$I19,$I19,$J$7:$J19,$J19,$D$7:$D19,"Advance"))</f>
        <v/>
      </c>
      <c r="L19" s="143" t="str">
        <f>IF(OR($I19="",$I19="?",$B19=""),"",SUMPRODUCT((Weeks!$A$7:$A$59&lt;=$J19)*(Weeks!$X$5:$AI$5=$I19)*Weeks!$X$7:$AI$59)-SUMIFS($E$7:$E$1006,$I$7:$I$1006,$I19,$B$7:$B$1006,"&lt;="&amp;$B19))</f>
        <v/>
      </c>
      <c r="M19" s="132" t="str">
        <f>IF($B19&amp;$C19&amp;$D19&amp;$E19="","",IF($B19="","missing date",IF($C19="","missing worker",IF($I19="?","unknown worker - was the name changed on Workers?",IF($D19="","missing type",IF(N($E19)=0,"missing amount",IF(AND($E19&lt;0,$D19&lt;&gt;"Correction"),"negative amount - use a Correction to undo",IF(OR($B19&lt;Weeks!$A$7,$B19&gt;Weeks!$B$59),"date outside this workbook's year",IF(AND($D19="Advance",N($L19)&lt;0),"Warning: more than earned so far - worker now owes "&amp;TEXT(ROUND(-$L19,0),"#,##0"),"")))))))))</f>
        <v/>
      </c>
      <c r="N19" s="125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</row>
    <row r="20" spans="1:40" s="127" customFormat="1" ht="21" customHeight="1" x14ac:dyDescent="0.25">
      <c r="A20" s="51" t="str">
        <f t="shared" si="0"/>
        <v/>
      </c>
      <c r="B20" s="77"/>
      <c r="C20" s="133"/>
      <c r="D20" s="50"/>
      <c r="E20" s="141"/>
      <c r="F20" s="133"/>
      <c r="G20" s="133"/>
      <c r="H20" s="50"/>
      <c r="I20" s="51" t="str">
        <f t="shared" si="1"/>
        <v/>
      </c>
      <c r="J20" s="52" t="str">
        <f t="shared" si="2"/>
        <v/>
      </c>
      <c r="K20" s="142" t="str">
        <f>IF(OR($I20="",$I20="?",$D20&lt;&gt;"Advance",$B20=""),"",$I20&amp;"|"&amp;$J20&amp;"|"&amp;COUNTIFS($I$7:$I20,$I20,$J$7:$J20,$J20,$D$7:$D20,"Advance"))</f>
        <v/>
      </c>
      <c r="L20" s="143" t="str">
        <f>IF(OR($I20="",$I20="?",$B20=""),"",SUMPRODUCT((Weeks!$A$7:$A$59&lt;=$J20)*(Weeks!$X$5:$AI$5=$I20)*Weeks!$X$7:$AI$59)-SUMIFS($E$7:$E$1006,$I$7:$I$1006,$I20,$B$7:$B$1006,"&lt;="&amp;$B20))</f>
        <v/>
      </c>
      <c r="M20" s="132" t="str">
        <f>IF($B20&amp;$C20&amp;$D20&amp;$E20="","",IF($B20="","missing date",IF($C20="","missing worker",IF($I20="?","unknown worker - was the name changed on Workers?",IF($D20="","missing type",IF(N($E20)=0,"missing amount",IF(AND($E20&lt;0,$D20&lt;&gt;"Correction"),"negative amount - use a Correction to undo",IF(OR($B20&lt;Weeks!$A$7,$B20&gt;Weeks!$B$59),"date outside this workbook's year",IF(AND($D20="Advance",N($L20)&lt;0),"Warning: more than earned so far - worker now owes "&amp;TEXT(ROUND(-$L20,0),"#,##0"),"")))))))))</f>
        <v/>
      </c>
      <c r="N20" s="125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</row>
    <row r="21" spans="1:40" s="127" customFormat="1" ht="21" customHeight="1" x14ac:dyDescent="0.25">
      <c r="A21" s="51" t="str">
        <f t="shared" si="0"/>
        <v/>
      </c>
      <c r="B21" s="77"/>
      <c r="C21" s="133"/>
      <c r="D21" s="50"/>
      <c r="E21" s="141"/>
      <c r="F21" s="133"/>
      <c r="G21" s="133"/>
      <c r="H21" s="50"/>
      <c r="I21" s="51" t="str">
        <f t="shared" si="1"/>
        <v/>
      </c>
      <c r="J21" s="52" t="str">
        <f t="shared" si="2"/>
        <v/>
      </c>
      <c r="K21" s="142" t="str">
        <f>IF(OR($I21="",$I21="?",$D21&lt;&gt;"Advance",$B21=""),"",$I21&amp;"|"&amp;$J21&amp;"|"&amp;COUNTIFS($I$7:$I21,$I21,$J$7:$J21,$J21,$D$7:$D21,"Advance"))</f>
        <v/>
      </c>
      <c r="L21" s="143" t="str">
        <f>IF(OR($I21="",$I21="?",$B21=""),"",SUMPRODUCT((Weeks!$A$7:$A$59&lt;=$J21)*(Weeks!$X$5:$AI$5=$I21)*Weeks!$X$7:$AI$59)-SUMIFS($E$7:$E$1006,$I$7:$I$1006,$I21,$B$7:$B$1006,"&lt;="&amp;$B21))</f>
        <v/>
      </c>
      <c r="M21" s="132" t="str">
        <f>IF($B21&amp;$C21&amp;$D21&amp;$E21="","",IF($B21="","missing date",IF($C21="","missing worker",IF($I21="?","unknown worker - was the name changed on Workers?",IF($D21="","missing type",IF(N($E21)=0,"missing amount",IF(AND($E21&lt;0,$D21&lt;&gt;"Correction"),"negative amount - use a Correction to undo",IF(OR($B21&lt;Weeks!$A$7,$B21&gt;Weeks!$B$59),"date outside this workbook's year",IF(AND($D21="Advance",N($L21)&lt;0),"Warning: more than earned so far - worker now owes "&amp;TEXT(ROUND(-$L21,0),"#,##0"),"")))))))))</f>
        <v/>
      </c>
      <c r="N21" s="125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</row>
    <row r="22" spans="1:40" s="127" customFormat="1" ht="21" customHeight="1" x14ac:dyDescent="0.25">
      <c r="A22" s="51" t="str">
        <f t="shared" si="0"/>
        <v/>
      </c>
      <c r="B22" s="77"/>
      <c r="C22" s="133"/>
      <c r="D22" s="50"/>
      <c r="E22" s="141"/>
      <c r="F22" s="133"/>
      <c r="G22" s="133"/>
      <c r="H22" s="50"/>
      <c r="I22" s="51" t="str">
        <f t="shared" si="1"/>
        <v/>
      </c>
      <c r="J22" s="52" t="str">
        <f t="shared" si="2"/>
        <v/>
      </c>
      <c r="K22" s="142" t="str">
        <f>IF(OR($I22="",$I22="?",$D22&lt;&gt;"Advance",$B22=""),"",$I22&amp;"|"&amp;$J22&amp;"|"&amp;COUNTIFS($I$7:$I22,$I22,$J$7:$J22,$J22,$D$7:$D22,"Advance"))</f>
        <v/>
      </c>
      <c r="L22" s="143" t="str">
        <f>IF(OR($I22="",$I22="?",$B22=""),"",SUMPRODUCT((Weeks!$A$7:$A$59&lt;=$J22)*(Weeks!$X$5:$AI$5=$I22)*Weeks!$X$7:$AI$59)-SUMIFS($E$7:$E$1006,$I$7:$I$1006,$I22,$B$7:$B$1006,"&lt;="&amp;$B22))</f>
        <v/>
      </c>
      <c r="M22" s="132" t="str">
        <f>IF($B22&amp;$C22&amp;$D22&amp;$E22="","",IF($B22="","missing date",IF($C22="","missing worker",IF($I22="?","unknown worker - was the name changed on Workers?",IF($D22="","missing type",IF(N($E22)=0,"missing amount",IF(AND($E22&lt;0,$D22&lt;&gt;"Correction"),"negative amount - use a Correction to undo",IF(OR($B22&lt;Weeks!$A$7,$B22&gt;Weeks!$B$59),"date outside this workbook's year",IF(AND($D22="Advance",N($L22)&lt;0),"Warning: more than earned so far - worker now owes "&amp;TEXT(ROUND(-$L22,0),"#,##0"),"")))))))))</f>
        <v/>
      </c>
      <c r="N22" s="125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</row>
    <row r="23" spans="1:40" s="127" customFormat="1" ht="21" customHeight="1" x14ac:dyDescent="0.25">
      <c r="A23" s="51" t="str">
        <f t="shared" si="0"/>
        <v/>
      </c>
      <c r="B23" s="77"/>
      <c r="C23" s="133"/>
      <c r="D23" s="50"/>
      <c r="E23" s="141"/>
      <c r="F23" s="133"/>
      <c r="G23" s="133"/>
      <c r="H23" s="50"/>
      <c r="I23" s="51" t="str">
        <f t="shared" si="1"/>
        <v/>
      </c>
      <c r="J23" s="52" t="str">
        <f t="shared" si="2"/>
        <v/>
      </c>
      <c r="K23" s="142" t="str">
        <f>IF(OR($I23="",$I23="?",$D23&lt;&gt;"Advance",$B23=""),"",$I23&amp;"|"&amp;$J23&amp;"|"&amp;COUNTIFS($I$7:$I23,$I23,$J$7:$J23,$J23,$D$7:$D23,"Advance"))</f>
        <v/>
      </c>
      <c r="L23" s="143" t="str">
        <f>IF(OR($I23="",$I23="?",$B23=""),"",SUMPRODUCT((Weeks!$A$7:$A$59&lt;=$J23)*(Weeks!$X$5:$AI$5=$I23)*Weeks!$X$7:$AI$59)-SUMIFS($E$7:$E$1006,$I$7:$I$1006,$I23,$B$7:$B$1006,"&lt;="&amp;$B23))</f>
        <v/>
      </c>
      <c r="M23" s="132" t="str">
        <f>IF($B23&amp;$C23&amp;$D23&amp;$E23="","",IF($B23="","missing date",IF($C23="","missing worker",IF($I23="?","unknown worker - was the name changed on Workers?",IF($D23="","missing type",IF(N($E23)=0,"missing amount",IF(AND($E23&lt;0,$D23&lt;&gt;"Correction"),"negative amount - use a Correction to undo",IF(OR($B23&lt;Weeks!$A$7,$B23&gt;Weeks!$B$59),"date outside this workbook's year",IF(AND($D23="Advance",N($L23)&lt;0),"Warning: more than earned so far - worker now owes "&amp;TEXT(ROUND(-$L23,0),"#,##0"),"")))))))))</f>
        <v/>
      </c>
      <c r="N23" s="125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</row>
    <row r="24" spans="1:40" s="127" customFormat="1" ht="21" customHeight="1" x14ac:dyDescent="0.25">
      <c r="A24" s="51" t="str">
        <f t="shared" si="0"/>
        <v/>
      </c>
      <c r="B24" s="77"/>
      <c r="C24" s="133"/>
      <c r="D24" s="50"/>
      <c r="E24" s="141"/>
      <c r="F24" s="133"/>
      <c r="G24" s="133"/>
      <c r="H24" s="50"/>
      <c r="I24" s="51" t="str">
        <f t="shared" si="1"/>
        <v/>
      </c>
      <c r="J24" s="52" t="str">
        <f t="shared" si="2"/>
        <v/>
      </c>
      <c r="K24" s="142" t="str">
        <f>IF(OR($I24="",$I24="?",$D24&lt;&gt;"Advance",$B24=""),"",$I24&amp;"|"&amp;$J24&amp;"|"&amp;COUNTIFS($I$7:$I24,$I24,$J$7:$J24,$J24,$D$7:$D24,"Advance"))</f>
        <v/>
      </c>
      <c r="L24" s="143" t="str">
        <f>IF(OR($I24="",$I24="?",$B24=""),"",SUMPRODUCT((Weeks!$A$7:$A$59&lt;=$J24)*(Weeks!$X$5:$AI$5=$I24)*Weeks!$X$7:$AI$59)-SUMIFS($E$7:$E$1006,$I$7:$I$1006,$I24,$B$7:$B$1006,"&lt;="&amp;$B24))</f>
        <v/>
      </c>
      <c r="M24" s="132" t="str">
        <f>IF($B24&amp;$C24&amp;$D24&amp;$E24="","",IF($B24="","missing date",IF($C24="","missing worker",IF($I24="?","unknown worker - was the name changed on Workers?",IF($D24="","missing type",IF(N($E24)=0,"missing amount",IF(AND($E24&lt;0,$D24&lt;&gt;"Correction"),"negative amount - use a Correction to undo",IF(OR($B24&lt;Weeks!$A$7,$B24&gt;Weeks!$B$59),"date outside this workbook's year",IF(AND($D24="Advance",N($L24)&lt;0),"Warning: more than earned so far - worker now owes "&amp;TEXT(ROUND(-$L24,0),"#,##0"),"")))))))))</f>
        <v/>
      </c>
      <c r="N24" s="125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</row>
    <row r="25" spans="1:40" s="127" customFormat="1" ht="21" customHeight="1" x14ac:dyDescent="0.25">
      <c r="A25" s="51" t="str">
        <f t="shared" si="0"/>
        <v/>
      </c>
      <c r="B25" s="77"/>
      <c r="C25" s="133"/>
      <c r="D25" s="50"/>
      <c r="E25" s="141"/>
      <c r="F25" s="133"/>
      <c r="G25" s="133"/>
      <c r="H25" s="50"/>
      <c r="I25" s="51" t="str">
        <f t="shared" si="1"/>
        <v/>
      </c>
      <c r="J25" s="52" t="str">
        <f t="shared" si="2"/>
        <v/>
      </c>
      <c r="K25" s="142" t="str">
        <f>IF(OR($I25="",$I25="?",$D25&lt;&gt;"Advance",$B25=""),"",$I25&amp;"|"&amp;$J25&amp;"|"&amp;COUNTIFS($I$7:$I25,$I25,$J$7:$J25,$J25,$D$7:$D25,"Advance"))</f>
        <v/>
      </c>
      <c r="L25" s="143" t="str">
        <f>IF(OR($I25="",$I25="?",$B25=""),"",SUMPRODUCT((Weeks!$A$7:$A$59&lt;=$J25)*(Weeks!$X$5:$AI$5=$I25)*Weeks!$X$7:$AI$59)-SUMIFS($E$7:$E$1006,$I$7:$I$1006,$I25,$B$7:$B$1006,"&lt;="&amp;$B25))</f>
        <v/>
      </c>
      <c r="M25" s="132" t="str">
        <f>IF($B25&amp;$C25&amp;$D25&amp;$E25="","",IF($B25="","missing date",IF($C25="","missing worker",IF($I25="?","unknown worker - was the name changed on Workers?",IF($D25="","missing type",IF(N($E25)=0,"missing amount",IF(AND($E25&lt;0,$D25&lt;&gt;"Correction"),"negative amount - use a Correction to undo",IF(OR($B25&lt;Weeks!$A$7,$B25&gt;Weeks!$B$59),"date outside this workbook's year",IF(AND($D25="Advance",N($L25)&lt;0),"Warning: more than earned so far - worker now owes "&amp;TEXT(ROUND(-$L25,0),"#,##0"),"")))))))))</f>
        <v/>
      </c>
      <c r="N25" s="125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</row>
    <row r="26" spans="1:40" s="127" customFormat="1" ht="21" customHeight="1" x14ac:dyDescent="0.25">
      <c r="A26" s="51" t="str">
        <f t="shared" si="0"/>
        <v/>
      </c>
      <c r="B26" s="77"/>
      <c r="C26" s="133"/>
      <c r="D26" s="50"/>
      <c r="E26" s="141"/>
      <c r="F26" s="133"/>
      <c r="G26" s="133"/>
      <c r="H26" s="50"/>
      <c r="I26" s="51" t="str">
        <f t="shared" si="1"/>
        <v/>
      </c>
      <c r="J26" s="52" t="str">
        <f t="shared" si="2"/>
        <v/>
      </c>
      <c r="K26" s="142" t="str">
        <f>IF(OR($I26="",$I26="?",$D26&lt;&gt;"Advance",$B26=""),"",$I26&amp;"|"&amp;$J26&amp;"|"&amp;COUNTIFS($I$7:$I26,$I26,$J$7:$J26,$J26,$D$7:$D26,"Advance"))</f>
        <v/>
      </c>
      <c r="L26" s="143" t="str">
        <f>IF(OR($I26="",$I26="?",$B26=""),"",SUMPRODUCT((Weeks!$A$7:$A$59&lt;=$J26)*(Weeks!$X$5:$AI$5=$I26)*Weeks!$X$7:$AI$59)-SUMIFS($E$7:$E$1006,$I$7:$I$1006,$I26,$B$7:$B$1006,"&lt;="&amp;$B26))</f>
        <v/>
      </c>
      <c r="M26" s="132" t="str">
        <f>IF($B26&amp;$C26&amp;$D26&amp;$E26="","",IF($B26="","missing date",IF($C26="","missing worker",IF($I26="?","unknown worker - was the name changed on Workers?",IF($D26="","missing type",IF(N($E26)=0,"missing amount",IF(AND($E26&lt;0,$D26&lt;&gt;"Correction"),"negative amount - use a Correction to undo",IF(OR($B26&lt;Weeks!$A$7,$B26&gt;Weeks!$B$59),"date outside this workbook's year",IF(AND($D26="Advance",N($L26)&lt;0),"Warning: more than earned so far - worker now owes "&amp;TEXT(ROUND(-$L26,0),"#,##0"),"")))))))))</f>
        <v/>
      </c>
      <c r="N26" s="125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</row>
    <row r="27" spans="1:40" s="127" customFormat="1" ht="21" customHeight="1" x14ac:dyDescent="0.25">
      <c r="A27" s="51" t="str">
        <f t="shared" si="0"/>
        <v/>
      </c>
      <c r="B27" s="77"/>
      <c r="C27" s="133"/>
      <c r="D27" s="50"/>
      <c r="E27" s="141"/>
      <c r="F27" s="133"/>
      <c r="G27" s="133"/>
      <c r="H27" s="50"/>
      <c r="I27" s="51" t="str">
        <f t="shared" si="1"/>
        <v/>
      </c>
      <c r="J27" s="52" t="str">
        <f t="shared" si="2"/>
        <v/>
      </c>
      <c r="K27" s="142" t="str">
        <f>IF(OR($I27="",$I27="?",$D27&lt;&gt;"Advance",$B27=""),"",$I27&amp;"|"&amp;$J27&amp;"|"&amp;COUNTIFS($I$7:$I27,$I27,$J$7:$J27,$J27,$D$7:$D27,"Advance"))</f>
        <v/>
      </c>
      <c r="L27" s="143" t="str">
        <f>IF(OR($I27="",$I27="?",$B27=""),"",SUMPRODUCT((Weeks!$A$7:$A$59&lt;=$J27)*(Weeks!$X$5:$AI$5=$I27)*Weeks!$X$7:$AI$59)-SUMIFS($E$7:$E$1006,$I$7:$I$1006,$I27,$B$7:$B$1006,"&lt;="&amp;$B27))</f>
        <v/>
      </c>
      <c r="M27" s="132" t="str">
        <f>IF($B27&amp;$C27&amp;$D27&amp;$E27="","",IF($B27="","missing date",IF($C27="","missing worker",IF($I27="?","unknown worker - was the name changed on Workers?",IF($D27="","missing type",IF(N($E27)=0,"missing amount",IF(AND($E27&lt;0,$D27&lt;&gt;"Correction"),"negative amount - use a Correction to undo",IF(OR($B27&lt;Weeks!$A$7,$B27&gt;Weeks!$B$59),"date outside this workbook's year",IF(AND($D27="Advance",N($L27)&lt;0),"Warning: more than earned so far - worker now owes "&amp;TEXT(ROUND(-$L27,0),"#,##0"),"")))))))))</f>
        <v/>
      </c>
      <c r="N27" s="125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</row>
    <row r="28" spans="1:40" s="127" customFormat="1" ht="21" customHeight="1" x14ac:dyDescent="0.25">
      <c r="A28" s="51" t="str">
        <f t="shared" si="0"/>
        <v/>
      </c>
      <c r="B28" s="77"/>
      <c r="C28" s="133"/>
      <c r="D28" s="50"/>
      <c r="E28" s="141"/>
      <c r="F28" s="133"/>
      <c r="G28" s="133"/>
      <c r="H28" s="50"/>
      <c r="I28" s="51" t="str">
        <f t="shared" si="1"/>
        <v/>
      </c>
      <c r="J28" s="52" t="str">
        <f t="shared" si="2"/>
        <v/>
      </c>
      <c r="K28" s="142" t="str">
        <f>IF(OR($I28="",$I28="?",$D28&lt;&gt;"Advance",$B28=""),"",$I28&amp;"|"&amp;$J28&amp;"|"&amp;COUNTIFS($I$7:$I28,$I28,$J$7:$J28,$J28,$D$7:$D28,"Advance"))</f>
        <v/>
      </c>
      <c r="L28" s="143" t="str">
        <f>IF(OR($I28="",$I28="?",$B28=""),"",SUMPRODUCT((Weeks!$A$7:$A$59&lt;=$J28)*(Weeks!$X$5:$AI$5=$I28)*Weeks!$X$7:$AI$59)-SUMIFS($E$7:$E$1006,$I$7:$I$1006,$I28,$B$7:$B$1006,"&lt;="&amp;$B28))</f>
        <v/>
      </c>
      <c r="M28" s="132" t="str">
        <f>IF($B28&amp;$C28&amp;$D28&amp;$E28="","",IF($B28="","missing date",IF($C28="","missing worker",IF($I28="?","unknown worker - was the name changed on Workers?",IF($D28="","missing type",IF(N($E28)=0,"missing amount",IF(AND($E28&lt;0,$D28&lt;&gt;"Correction"),"negative amount - use a Correction to undo",IF(OR($B28&lt;Weeks!$A$7,$B28&gt;Weeks!$B$59),"date outside this workbook's year",IF(AND($D28="Advance",N($L28)&lt;0),"Warning: more than earned so far - worker now owes "&amp;TEXT(ROUND(-$L28,0),"#,##0"),"")))))))))</f>
        <v/>
      </c>
      <c r="N28" s="125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</row>
    <row r="29" spans="1:40" s="127" customFormat="1" ht="21" customHeight="1" x14ac:dyDescent="0.25">
      <c r="A29" s="51" t="str">
        <f t="shared" si="0"/>
        <v/>
      </c>
      <c r="B29" s="77"/>
      <c r="C29" s="133"/>
      <c r="D29" s="50"/>
      <c r="E29" s="141"/>
      <c r="F29" s="133"/>
      <c r="G29" s="133"/>
      <c r="H29" s="50"/>
      <c r="I29" s="51" t="str">
        <f t="shared" si="1"/>
        <v/>
      </c>
      <c r="J29" s="52" t="str">
        <f t="shared" si="2"/>
        <v/>
      </c>
      <c r="K29" s="142" t="str">
        <f>IF(OR($I29="",$I29="?",$D29&lt;&gt;"Advance",$B29=""),"",$I29&amp;"|"&amp;$J29&amp;"|"&amp;COUNTIFS($I$7:$I29,$I29,$J$7:$J29,$J29,$D$7:$D29,"Advance"))</f>
        <v/>
      </c>
      <c r="L29" s="143" t="str">
        <f>IF(OR($I29="",$I29="?",$B29=""),"",SUMPRODUCT((Weeks!$A$7:$A$59&lt;=$J29)*(Weeks!$X$5:$AI$5=$I29)*Weeks!$X$7:$AI$59)-SUMIFS($E$7:$E$1006,$I$7:$I$1006,$I29,$B$7:$B$1006,"&lt;="&amp;$B29))</f>
        <v/>
      </c>
      <c r="M29" s="132" t="str">
        <f>IF($B29&amp;$C29&amp;$D29&amp;$E29="","",IF($B29="","missing date",IF($C29="","missing worker",IF($I29="?","unknown worker - was the name changed on Workers?",IF($D29="","missing type",IF(N($E29)=0,"missing amount",IF(AND($E29&lt;0,$D29&lt;&gt;"Correction"),"negative amount - use a Correction to undo",IF(OR($B29&lt;Weeks!$A$7,$B29&gt;Weeks!$B$59),"date outside this workbook's year",IF(AND($D29="Advance",N($L29)&lt;0),"Warning: more than earned so far - worker now owes "&amp;TEXT(ROUND(-$L29,0),"#,##0"),"")))))))))</f>
        <v/>
      </c>
      <c r="N29" s="125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</row>
    <row r="30" spans="1:40" s="127" customFormat="1" ht="21" customHeight="1" x14ac:dyDescent="0.25">
      <c r="A30" s="51" t="str">
        <f t="shared" si="0"/>
        <v/>
      </c>
      <c r="B30" s="77"/>
      <c r="C30" s="133"/>
      <c r="D30" s="50"/>
      <c r="E30" s="141"/>
      <c r="F30" s="133"/>
      <c r="G30" s="133"/>
      <c r="H30" s="50"/>
      <c r="I30" s="51" t="str">
        <f t="shared" si="1"/>
        <v/>
      </c>
      <c r="J30" s="52" t="str">
        <f t="shared" si="2"/>
        <v/>
      </c>
      <c r="K30" s="142" t="str">
        <f>IF(OR($I30="",$I30="?",$D30&lt;&gt;"Advance",$B30=""),"",$I30&amp;"|"&amp;$J30&amp;"|"&amp;COUNTIFS($I$7:$I30,$I30,$J$7:$J30,$J30,$D$7:$D30,"Advance"))</f>
        <v/>
      </c>
      <c r="L30" s="143" t="str">
        <f>IF(OR($I30="",$I30="?",$B30=""),"",SUMPRODUCT((Weeks!$A$7:$A$59&lt;=$J30)*(Weeks!$X$5:$AI$5=$I30)*Weeks!$X$7:$AI$59)-SUMIFS($E$7:$E$1006,$I$7:$I$1006,$I30,$B$7:$B$1006,"&lt;="&amp;$B30))</f>
        <v/>
      </c>
      <c r="M30" s="132" t="str">
        <f>IF($B30&amp;$C30&amp;$D30&amp;$E30="","",IF($B30="","missing date",IF($C30="","missing worker",IF($I30="?","unknown worker - was the name changed on Workers?",IF($D30="","missing type",IF(N($E30)=0,"missing amount",IF(AND($E30&lt;0,$D30&lt;&gt;"Correction"),"negative amount - use a Correction to undo",IF(OR($B30&lt;Weeks!$A$7,$B30&gt;Weeks!$B$59),"date outside this workbook's year",IF(AND($D30="Advance",N($L30)&lt;0),"Warning: more than earned so far - worker now owes "&amp;TEXT(ROUND(-$L30,0),"#,##0"),"")))))))))</f>
        <v/>
      </c>
      <c r="N30" s="125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</row>
    <row r="31" spans="1:40" s="127" customFormat="1" ht="21" customHeight="1" x14ac:dyDescent="0.25">
      <c r="A31" s="51" t="str">
        <f t="shared" si="0"/>
        <v/>
      </c>
      <c r="B31" s="77"/>
      <c r="C31" s="133"/>
      <c r="D31" s="50"/>
      <c r="E31" s="141"/>
      <c r="F31" s="133"/>
      <c r="G31" s="133"/>
      <c r="H31" s="50"/>
      <c r="I31" s="51" t="str">
        <f t="shared" si="1"/>
        <v/>
      </c>
      <c r="J31" s="52" t="str">
        <f t="shared" si="2"/>
        <v/>
      </c>
      <c r="K31" s="142" t="str">
        <f>IF(OR($I31="",$I31="?",$D31&lt;&gt;"Advance",$B31=""),"",$I31&amp;"|"&amp;$J31&amp;"|"&amp;COUNTIFS($I$7:$I31,$I31,$J$7:$J31,$J31,$D$7:$D31,"Advance"))</f>
        <v/>
      </c>
      <c r="L31" s="143" t="str">
        <f>IF(OR($I31="",$I31="?",$B31=""),"",SUMPRODUCT((Weeks!$A$7:$A$59&lt;=$J31)*(Weeks!$X$5:$AI$5=$I31)*Weeks!$X$7:$AI$59)-SUMIFS($E$7:$E$1006,$I$7:$I$1006,$I31,$B$7:$B$1006,"&lt;="&amp;$B31))</f>
        <v/>
      </c>
      <c r="M31" s="132" t="str">
        <f>IF($B31&amp;$C31&amp;$D31&amp;$E31="","",IF($B31="","missing date",IF($C31="","missing worker",IF($I31="?","unknown worker - was the name changed on Workers?",IF($D31="","missing type",IF(N($E31)=0,"missing amount",IF(AND($E31&lt;0,$D31&lt;&gt;"Correction"),"negative amount - use a Correction to undo",IF(OR($B31&lt;Weeks!$A$7,$B31&gt;Weeks!$B$59),"date outside this workbook's year",IF(AND($D31="Advance",N($L31)&lt;0),"Warning: more than earned so far - worker now owes "&amp;TEXT(ROUND(-$L31,0),"#,##0"),"")))))))))</f>
        <v/>
      </c>
      <c r="N31" s="125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</row>
    <row r="32" spans="1:40" s="127" customFormat="1" ht="21" customHeight="1" x14ac:dyDescent="0.25">
      <c r="A32" s="51" t="str">
        <f t="shared" si="0"/>
        <v/>
      </c>
      <c r="B32" s="77"/>
      <c r="C32" s="133"/>
      <c r="D32" s="50"/>
      <c r="E32" s="141"/>
      <c r="F32" s="133"/>
      <c r="G32" s="133"/>
      <c r="H32" s="50"/>
      <c r="I32" s="51" t="str">
        <f t="shared" si="1"/>
        <v/>
      </c>
      <c r="J32" s="52" t="str">
        <f t="shared" si="2"/>
        <v/>
      </c>
      <c r="K32" s="142" t="str">
        <f>IF(OR($I32="",$I32="?",$D32&lt;&gt;"Advance",$B32=""),"",$I32&amp;"|"&amp;$J32&amp;"|"&amp;COUNTIFS($I$7:$I32,$I32,$J$7:$J32,$J32,$D$7:$D32,"Advance"))</f>
        <v/>
      </c>
      <c r="L32" s="143" t="str">
        <f>IF(OR($I32="",$I32="?",$B32=""),"",SUMPRODUCT((Weeks!$A$7:$A$59&lt;=$J32)*(Weeks!$X$5:$AI$5=$I32)*Weeks!$X$7:$AI$59)-SUMIFS($E$7:$E$1006,$I$7:$I$1006,$I32,$B$7:$B$1006,"&lt;="&amp;$B32))</f>
        <v/>
      </c>
      <c r="M32" s="132" t="str">
        <f>IF($B32&amp;$C32&amp;$D32&amp;$E32="","",IF($B32="","missing date",IF($C32="","missing worker",IF($I32="?","unknown worker - was the name changed on Workers?",IF($D32="","missing type",IF(N($E32)=0,"missing amount",IF(AND($E32&lt;0,$D32&lt;&gt;"Correction"),"negative amount - use a Correction to undo",IF(OR($B32&lt;Weeks!$A$7,$B32&gt;Weeks!$B$59),"date outside this workbook's year",IF(AND($D32="Advance",N($L32)&lt;0),"Warning: more than earned so far - worker now owes "&amp;TEXT(ROUND(-$L32,0),"#,##0"),"")))))))))</f>
        <v/>
      </c>
      <c r="N32" s="125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</row>
    <row r="33" spans="1:40" s="127" customFormat="1" ht="21" customHeight="1" x14ac:dyDescent="0.25">
      <c r="A33" s="51" t="str">
        <f t="shared" si="0"/>
        <v/>
      </c>
      <c r="B33" s="77"/>
      <c r="C33" s="133"/>
      <c r="D33" s="50"/>
      <c r="E33" s="141"/>
      <c r="F33" s="133"/>
      <c r="G33" s="133"/>
      <c r="H33" s="50"/>
      <c r="I33" s="51" t="str">
        <f t="shared" si="1"/>
        <v/>
      </c>
      <c r="J33" s="52" t="str">
        <f t="shared" si="2"/>
        <v/>
      </c>
      <c r="K33" s="142" t="str">
        <f>IF(OR($I33="",$I33="?",$D33&lt;&gt;"Advance",$B33=""),"",$I33&amp;"|"&amp;$J33&amp;"|"&amp;COUNTIFS($I$7:$I33,$I33,$J$7:$J33,$J33,$D$7:$D33,"Advance"))</f>
        <v/>
      </c>
      <c r="L33" s="143" t="str">
        <f>IF(OR($I33="",$I33="?",$B33=""),"",SUMPRODUCT((Weeks!$A$7:$A$59&lt;=$J33)*(Weeks!$X$5:$AI$5=$I33)*Weeks!$X$7:$AI$59)-SUMIFS($E$7:$E$1006,$I$7:$I$1006,$I33,$B$7:$B$1006,"&lt;="&amp;$B33))</f>
        <v/>
      </c>
      <c r="M33" s="132" t="str">
        <f>IF($B33&amp;$C33&amp;$D33&amp;$E33="","",IF($B33="","missing date",IF($C33="","missing worker",IF($I33="?","unknown worker - was the name changed on Workers?",IF($D33="","missing type",IF(N($E33)=0,"missing amount",IF(AND($E33&lt;0,$D33&lt;&gt;"Correction"),"negative amount - use a Correction to undo",IF(OR($B33&lt;Weeks!$A$7,$B33&gt;Weeks!$B$59),"date outside this workbook's year",IF(AND($D33="Advance",N($L33)&lt;0),"Warning: more than earned so far - worker now owes "&amp;TEXT(ROUND(-$L33,0),"#,##0"),"")))))))))</f>
        <v/>
      </c>
      <c r="N33" s="125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</row>
    <row r="34" spans="1:40" s="127" customFormat="1" ht="21" customHeight="1" x14ac:dyDescent="0.25">
      <c r="A34" s="51" t="str">
        <f t="shared" si="0"/>
        <v/>
      </c>
      <c r="B34" s="77"/>
      <c r="C34" s="133"/>
      <c r="D34" s="50"/>
      <c r="E34" s="141"/>
      <c r="F34" s="133"/>
      <c r="G34" s="133"/>
      <c r="H34" s="50"/>
      <c r="I34" s="51" t="str">
        <f t="shared" si="1"/>
        <v/>
      </c>
      <c r="J34" s="52" t="str">
        <f t="shared" si="2"/>
        <v/>
      </c>
      <c r="K34" s="142" t="str">
        <f>IF(OR($I34="",$I34="?",$D34&lt;&gt;"Advance",$B34=""),"",$I34&amp;"|"&amp;$J34&amp;"|"&amp;COUNTIFS($I$7:$I34,$I34,$J$7:$J34,$J34,$D$7:$D34,"Advance"))</f>
        <v/>
      </c>
      <c r="L34" s="143" t="str">
        <f>IF(OR($I34="",$I34="?",$B34=""),"",SUMPRODUCT((Weeks!$A$7:$A$59&lt;=$J34)*(Weeks!$X$5:$AI$5=$I34)*Weeks!$X$7:$AI$59)-SUMIFS($E$7:$E$1006,$I$7:$I$1006,$I34,$B$7:$B$1006,"&lt;="&amp;$B34))</f>
        <v/>
      </c>
      <c r="M34" s="132" t="str">
        <f>IF($B34&amp;$C34&amp;$D34&amp;$E34="","",IF($B34="","missing date",IF($C34="","missing worker",IF($I34="?","unknown worker - was the name changed on Workers?",IF($D34="","missing type",IF(N($E34)=0,"missing amount",IF(AND($E34&lt;0,$D34&lt;&gt;"Correction"),"negative amount - use a Correction to undo",IF(OR($B34&lt;Weeks!$A$7,$B34&gt;Weeks!$B$59),"date outside this workbook's year",IF(AND($D34="Advance",N($L34)&lt;0),"Warning: more than earned so far - worker now owes "&amp;TEXT(ROUND(-$L34,0),"#,##0"),"")))))))))</f>
        <v/>
      </c>
      <c r="N34" s="125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</row>
    <row r="35" spans="1:40" s="127" customFormat="1" ht="21" customHeight="1" x14ac:dyDescent="0.25">
      <c r="A35" s="51" t="str">
        <f t="shared" si="0"/>
        <v/>
      </c>
      <c r="B35" s="77"/>
      <c r="C35" s="133"/>
      <c r="D35" s="50"/>
      <c r="E35" s="141"/>
      <c r="F35" s="133"/>
      <c r="G35" s="133"/>
      <c r="H35" s="50"/>
      <c r="I35" s="51" t="str">
        <f t="shared" si="1"/>
        <v/>
      </c>
      <c r="J35" s="52" t="str">
        <f t="shared" si="2"/>
        <v/>
      </c>
      <c r="K35" s="142" t="str">
        <f>IF(OR($I35="",$I35="?",$D35&lt;&gt;"Advance",$B35=""),"",$I35&amp;"|"&amp;$J35&amp;"|"&amp;COUNTIFS($I$7:$I35,$I35,$J$7:$J35,$J35,$D$7:$D35,"Advance"))</f>
        <v/>
      </c>
      <c r="L35" s="143" t="str">
        <f>IF(OR($I35="",$I35="?",$B35=""),"",SUMPRODUCT((Weeks!$A$7:$A$59&lt;=$J35)*(Weeks!$X$5:$AI$5=$I35)*Weeks!$X$7:$AI$59)-SUMIFS($E$7:$E$1006,$I$7:$I$1006,$I35,$B$7:$B$1006,"&lt;="&amp;$B35))</f>
        <v/>
      </c>
      <c r="M35" s="132" t="str">
        <f>IF($B35&amp;$C35&amp;$D35&amp;$E35="","",IF($B35="","missing date",IF($C35="","missing worker",IF($I35="?","unknown worker - was the name changed on Workers?",IF($D35="","missing type",IF(N($E35)=0,"missing amount",IF(AND($E35&lt;0,$D35&lt;&gt;"Correction"),"negative amount - use a Correction to undo",IF(OR($B35&lt;Weeks!$A$7,$B35&gt;Weeks!$B$59),"date outside this workbook's year",IF(AND($D35="Advance",N($L35)&lt;0),"Warning: more than earned so far - worker now owes "&amp;TEXT(ROUND(-$L35,0),"#,##0"),"")))))))))</f>
        <v/>
      </c>
      <c r="N35" s="125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</row>
    <row r="36" spans="1:40" s="127" customFormat="1" ht="21" customHeight="1" x14ac:dyDescent="0.25">
      <c r="A36" s="51" t="str">
        <f t="shared" si="0"/>
        <v/>
      </c>
      <c r="B36" s="77"/>
      <c r="C36" s="133"/>
      <c r="D36" s="50"/>
      <c r="E36" s="141"/>
      <c r="F36" s="133"/>
      <c r="G36" s="133"/>
      <c r="H36" s="50"/>
      <c r="I36" s="51" t="str">
        <f t="shared" si="1"/>
        <v/>
      </c>
      <c r="J36" s="52" t="str">
        <f t="shared" si="2"/>
        <v/>
      </c>
      <c r="K36" s="142" t="str">
        <f>IF(OR($I36="",$I36="?",$D36&lt;&gt;"Advance",$B36=""),"",$I36&amp;"|"&amp;$J36&amp;"|"&amp;COUNTIFS($I$7:$I36,$I36,$J$7:$J36,$J36,$D$7:$D36,"Advance"))</f>
        <v/>
      </c>
      <c r="L36" s="143" t="str">
        <f>IF(OR($I36="",$I36="?",$B36=""),"",SUMPRODUCT((Weeks!$A$7:$A$59&lt;=$J36)*(Weeks!$X$5:$AI$5=$I36)*Weeks!$X$7:$AI$59)-SUMIFS($E$7:$E$1006,$I$7:$I$1006,$I36,$B$7:$B$1006,"&lt;="&amp;$B36))</f>
        <v/>
      </c>
      <c r="M36" s="132" t="str">
        <f>IF($B36&amp;$C36&amp;$D36&amp;$E36="","",IF($B36="","missing date",IF($C36="","missing worker",IF($I36="?","unknown worker - was the name changed on Workers?",IF($D36="","missing type",IF(N($E36)=0,"missing amount",IF(AND($E36&lt;0,$D36&lt;&gt;"Correction"),"negative amount - use a Correction to undo",IF(OR($B36&lt;Weeks!$A$7,$B36&gt;Weeks!$B$59),"date outside this workbook's year",IF(AND($D36="Advance",N($L36)&lt;0),"Warning: more than earned so far - worker now owes "&amp;TEXT(ROUND(-$L36,0),"#,##0"),"")))))))))</f>
        <v/>
      </c>
      <c r="N36" s="125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</row>
    <row r="37" spans="1:40" s="127" customFormat="1" ht="21" customHeight="1" x14ac:dyDescent="0.25">
      <c r="A37" s="51" t="str">
        <f t="shared" si="0"/>
        <v/>
      </c>
      <c r="B37" s="77"/>
      <c r="C37" s="133"/>
      <c r="D37" s="50"/>
      <c r="E37" s="141"/>
      <c r="F37" s="133"/>
      <c r="G37" s="133"/>
      <c r="H37" s="50"/>
      <c r="I37" s="51" t="str">
        <f t="shared" si="1"/>
        <v/>
      </c>
      <c r="J37" s="52" t="str">
        <f t="shared" si="2"/>
        <v/>
      </c>
      <c r="K37" s="142" t="str">
        <f>IF(OR($I37="",$I37="?",$D37&lt;&gt;"Advance",$B37=""),"",$I37&amp;"|"&amp;$J37&amp;"|"&amp;COUNTIFS($I$7:$I37,$I37,$J$7:$J37,$J37,$D$7:$D37,"Advance"))</f>
        <v/>
      </c>
      <c r="L37" s="143" t="str">
        <f>IF(OR($I37="",$I37="?",$B37=""),"",SUMPRODUCT((Weeks!$A$7:$A$59&lt;=$J37)*(Weeks!$X$5:$AI$5=$I37)*Weeks!$X$7:$AI$59)-SUMIFS($E$7:$E$1006,$I$7:$I$1006,$I37,$B$7:$B$1006,"&lt;="&amp;$B37))</f>
        <v/>
      </c>
      <c r="M37" s="132" t="str">
        <f>IF($B37&amp;$C37&amp;$D37&amp;$E37="","",IF($B37="","missing date",IF($C37="","missing worker",IF($I37="?","unknown worker - was the name changed on Workers?",IF($D37="","missing type",IF(N($E37)=0,"missing amount",IF(AND($E37&lt;0,$D37&lt;&gt;"Correction"),"negative amount - use a Correction to undo",IF(OR($B37&lt;Weeks!$A$7,$B37&gt;Weeks!$B$59),"date outside this workbook's year",IF(AND($D37="Advance",N($L37)&lt;0),"Warning: more than earned so far - worker now owes "&amp;TEXT(ROUND(-$L37,0),"#,##0"),"")))))))))</f>
        <v/>
      </c>
      <c r="N37" s="125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</row>
    <row r="38" spans="1:40" s="127" customFormat="1" ht="21" customHeight="1" x14ac:dyDescent="0.25">
      <c r="A38" s="51" t="str">
        <f t="shared" si="0"/>
        <v/>
      </c>
      <c r="B38" s="77"/>
      <c r="C38" s="133"/>
      <c r="D38" s="50"/>
      <c r="E38" s="141"/>
      <c r="F38" s="133"/>
      <c r="G38" s="133"/>
      <c r="H38" s="50"/>
      <c r="I38" s="51" t="str">
        <f t="shared" si="1"/>
        <v/>
      </c>
      <c r="J38" s="52" t="str">
        <f t="shared" si="2"/>
        <v/>
      </c>
      <c r="K38" s="142" t="str">
        <f>IF(OR($I38="",$I38="?",$D38&lt;&gt;"Advance",$B38=""),"",$I38&amp;"|"&amp;$J38&amp;"|"&amp;COUNTIFS($I$7:$I38,$I38,$J$7:$J38,$J38,$D$7:$D38,"Advance"))</f>
        <v/>
      </c>
      <c r="L38" s="143" t="str">
        <f>IF(OR($I38="",$I38="?",$B38=""),"",SUMPRODUCT((Weeks!$A$7:$A$59&lt;=$J38)*(Weeks!$X$5:$AI$5=$I38)*Weeks!$X$7:$AI$59)-SUMIFS($E$7:$E$1006,$I$7:$I$1006,$I38,$B$7:$B$1006,"&lt;="&amp;$B38))</f>
        <v/>
      </c>
      <c r="M38" s="132" t="str">
        <f>IF($B38&amp;$C38&amp;$D38&amp;$E38="","",IF($B38="","missing date",IF($C38="","missing worker",IF($I38="?","unknown worker - was the name changed on Workers?",IF($D38="","missing type",IF(N($E38)=0,"missing amount",IF(AND($E38&lt;0,$D38&lt;&gt;"Correction"),"negative amount - use a Correction to undo",IF(OR($B38&lt;Weeks!$A$7,$B38&gt;Weeks!$B$59),"date outside this workbook's year",IF(AND($D38="Advance",N($L38)&lt;0),"Warning: more than earned so far - worker now owes "&amp;TEXT(ROUND(-$L38,0),"#,##0"),"")))))))))</f>
        <v/>
      </c>
      <c r="N38" s="125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</row>
    <row r="39" spans="1:40" s="127" customFormat="1" ht="21" customHeight="1" x14ac:dyDescent="0.25">
      <c r="A39" s="51" t="str">
        <f t="shared" si="0"/>
        <v/>
      </c>
      <c r="B39" s="77"/>
      <c r="C39" s="133"/>
      <c r="D39" s="50"/>
      <c r="E39" s="141"/>
      <c r="F39" s="133"/>
      <c r="G39" s="133"/>
      <c r="H39" s="50"/>
      <c r="I39" s="51" t="str">
        <f t="shared" si="1"/>
        <v/>
      </c>
      <c r="J39" s="52" t="str">
        <f t="shared" si="2"/>
        <v/>
      </c>
      <c r="K39" s="142" t="str">
        <f>IF(OR($I39="",$I39="?",$D39&lt;&gt;"Advance",$B39=""),"",$I39&amp;"|"&amp;$J39&amp;"|"&amp;COUNTIFS($I$7:$I39,$I39,$J$7:$J39,$J39,$D$7:$D39,"Advance"))</f>
        <v/>
      </c>
      <c r="L39" s="143" t="str">
        <f>IF(OR($I39="",$I39="?",$B39=""),"",SUMPRODUCT((Weeks!$A$7:$A$59&lt;=$J39)*(Weeks!$X$5:$AI$5=$I39)*Weeks!$X$7:$AI$59)-SUMIFS($E$7:$E$1006,$I$7:$I$1006,$I39,$B$7:$B$1006,"&lt;="&amp;$B39))</f>
        <v/>
      </c>
      <c r="M39" s="132" t="str">
        <f>IF($B39&amp;$C39&amp;$D39&amp;$E39="","",IF($B39="","missing date",IF($C39="","missing worker",IF($I39="?","unknown worker - was the name changed on Workers?",IF($D39="","missing type",IF(N($E39)=0,"missing amount",IF(AND($E39&lt;0,$D39&lt;&gt;"Correction"),"negative amount - use a Correction to undo",IF(OR($B39&lt;Weeks!$A$7,$B39&gt;Weeks!$B$59),"date outside this workbook's year",IF(AND($D39="Advance",N($L39)&lt;0),"Warning: more than earned so far - worker now owes "&amp;TEXT(ROUND(-$L39,0),"#,##0"),"")))))))))</f>
        <v/>
      </c>
      <c r="N39" s="125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</row>
    <row r="40" spans="1:40" s="127" customFormat="1" ht="21" customHeight="1" x14ac:dyDescent="0.25">
      <c r="A40" s="51" t="str">
        <f t="shared" si="0"/>
        <v/>
      </c>
      <c r="B40" s="77"/>
      <c r="C40" s="133"/>
      <c r="D40" s="50"/>
      <c r="E40" s="141"/>
      <c r="F40" s="133"/>
      <c r="G40" s="133"/>
      <c r="H40" s="50"/>
      <c r="I40" s="51" t="str">
        <f t="shared" si="1"/>
        <v/>
      </c>
      <c r="J40" s="52" t="str">
        <f t="shared" si="2"/>
        <v/>
      </c>
      <c r="K40" s="142" t="str">
        <f>IF(OR($I40="",$I40="?",$D40&lt;&gt;"Advance",$B40=""),"",$I40&amp;"|"&amp;$J40&amp;"|"&amp;COUNTIFS($I$7:$I40,$I40,$J$7:$J40,$J40,$D$7:$D40,"Advance"))</f>
        <v/>
      </c>
      <c r="L40" s="143" t="str">
        <f>IF(OR($I40="",$I40="?",$B40=""),"",SUMPRODUCT((Weeks!$A$7:$A$59&lt;=$J40)*(Weeks!$X$5:$AI$5=$I40)*Weeks!$X$7:$AI$59)-SUMIFS($E$7:$E$1006,$I$7:$I$1006,$I40,$B$7:$B$1006,"&lt;="&amp;$B40))</f>
        <v/>
      </c>
      <c r="M40" s="132" t="str">
        <f>IF($B40&amp;$C40&amp;$D40&amp;$E40="","",IF($B40="","missing date",IF($C40="","missing worker",IF($I40="?","unknown worker - was the name changed on Workers?",IF($D40="","missing type",IF(N($E40)=0,"missing amount",IF(AND($E40&lt;0,$D40&lt;&gt;"Correction"),"negative amount - use a Correction to undo",IF(OR($B40&lt;Weeks!$A$7,$B40&gt;Weeks!$B$59),"date outside this workbook's year",IF(AND($D40="Advance",N($L40)&lt;0),"Warning: more than earned so far - worker now owes "&amp;TEXT(ROUND(-$L40,0),"#,##0"),"")))))))))</f>
        <v/>
      </c>
      <c r="N40" s="125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</row>
    <row r="41" spans="1:40" s="127" customFormat="1" ht="21" customHeight="1" x14ac:dyDescent="0.25">
      <c r="A41" s="51" t="str">
        <f t="shared" si="0"/>
        <v/>
      </c>
      <c r="B41" s="77"/>
      <c r="C41" s="133"/>
      <c r="D41" s="50"/>
      <c r="E41" s="141"/>
      <c r="F41" s="133"/>
      <c r="G41" s="133"/>
      <c r="H41" s="50"/>
      <c r="I41" s="51" t="str">
        <f t="shared" si="1"/>
        <v/>
      </c>
      <c r="J41" s="52" t="str">
        <f t="shared" si="2"/>
        <v/>
      </c>
      <c r="K41" s="142" t="str">
        <f>IF(OR($I41="",$I41="?",$D41&lt;&gt;"Advance",$B41=""),"",$I41&amp;"|"&amp;$J41&amp;"|"&amp;COUNTIFS($I$7:$I41,$I41,$J$7:$J41,$J41,$D$7:$D41,"Advance"))</f>
        <v/>
      </c>
      <c r="L41" s="143" t="str">
        <f>IF(OR($I41="",$I41="?",$B41=""),"",SUMPRODUCT((Weeks!$A$7:$A$59&lt;=$J41)*(Weeks!$X$5:$AI$5=$I41)*Weeks!$X$7:$AI$59)-SUMIFS($E$7:$E$1006,$I$7:$I$1006,$I41,$B$7:$B$1006,"&lt;="&amp;$B41))</f>
        <v/>
      </c>
      <c r="M41" s="132" t="str">
        <f>IF($B41&amp;$C41&amp;$D41&amp;$E41="","",IF($B41="","missing date",IF($C41="","missing worker",IF($I41="?","unknown worker - was the name changed on Workers?",IF($D41="","missing type",IF(N($E41)=0,"missing amount",IF(AND($E41&lt;0,$D41&lt;&gt;"Correction"),"negative amount - use a Correction to undo",IF(OR($B41&lt;Weeks!$A$7,$B41&gt;Weeks!$B$59),"date outside this workbook's year",IF(AND($D41="Advance",N($L41)&lt;0),"Warning: more than earned so far - worker now owes "&amp;TEXT(ROUND(-$L41,0),"#,##0"),"")))))))))</f>
        <v/>
      </c>
      <c r="N41" s="125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</row>
    <row r="42" spans="1:40" s="127" customFormat="1" ht="21" customHeight="1" x14ac:dyDescent="0.25">
      <c r="A42" s="51" t="str">
        <f t="shared" si="0"/>
        <v/>
      </c>
      <c r="B42" s="77"/>
      <c r="C42" s="133"/>
      <c r="D42" s="50"/>
      <c r="E42" s="141"/>
      <c r="F42" s="133"/>
      <c r="G42" s="133"/>
      <c r="H42" s="50"/>
      <c r="I42" s="51" t="str">
        <f t="shared" si="1"/>
        <v/>
      </c>
      <c r="J42" s="52" t="str">
        <f t="shared" si="2"/>
        <v/>
      </c>
      <c r="K42" s="142" t="str">
        <f>IF(OR($I42="",$I42="?",$D42&lt;&gt;"Advance",$B42=""),"",$I42&amp;"|"&amp;$J42&amp;"|"&amp;COUNTIFS($I$7:$I42,$I42,$J$7:$J42,$J42,$D$7:$D42,"Advance"))</f>
        <v/>
      </c>
      <c r="L42" s="143" t="str">
        <f>IF(OR($I42="",$I42="?",$B42=""),"",SUMPRODUCT((Weeks!$A$7:$A$59&lt;=$J42)*(Weeks!$X$5:$AI$5=$I42)*Weeks!$X$7:$AI$59)-SUMIFS($E$7:$E$1006,$I$7:$I$1006,$I42,$B$7:$B$1006,"&lt;="&amp;$B42))</f>
        <v/>
      </c>
      <c r="M42" s="132" t="str">
        <f>IF($B42&amp;$C42&amp;$D42&amp;$E42="","",IF($B42="","missing date",IF($C42="","missing worker",IF($I42="?","unknown worker - was the name changed on Workers?",IF($D42="","missing type",IF(N($E42)=0,"missing amount",IF(AND($E42&lt;0,$D42&lt;&gt;"Correction"),"negative amount - use a Correction to undo",IF(OR($B42&lt;Weeks!$A$7,$B42&gt;Weeks!$B$59),"date outside this workbook's year",IF(AND($D42="Advance",N($L42)&lt;0),"Warning: more than earned so far - worker now owes "&amp;TEXT(ROUND(-$L42,0),"#,##0"),"")))))))))</f>
        <v/>
      </c>
      <c r="N42" s="125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</row>
    <row r="43" spans="1:40" s="127" customFormat="1" ht="21" customHeight="1" x14ac:dyDescent="0.25">
      <c r="A43" s="51" t="str">
        <f t="shared" si="0"/>
        <v/>
      </c>
      <c r="B43" s="77"/>
      <c r="C43" s="133"/>
      <c r="D43" s="50"/>
      <c r="E43" s="141"/>
      <c r="F43" s="133"/>
      <c r="G43" s="133"/>
      <c r="H43" s="50"/>
      <c r="I43" s="51" t="str">
        <f t="shared" si="1"/>
        <v/>
      </c>
      <c r="J43" s="52" t="str">
        <f t="shared" si="2"/>
        <v/>
      </c>
      <c r="K43" s="142" t="str">
        <f>IF(OR($I43="",$I43="?",$D43&lt;&gt;"Advance",$B43=""),"",$I43&amp;"|"&amp;$J43&amp;"|"&amp;COUNTIFS($I$7:$I43,$I43,$J$7:$J43,$J43,$D$7:$D43,"Advance"))</f>
        <v/>
      </c>
      <c r="L43" s="143" t="str">
        <f>IF(OR($I43="",$I43="?",$B43=""),"",SUMPRODUCT((Weeks!$A$7:$A$59&lt;=$J43)*(Weeks!$X$5:$AI$5=$I43)*Weeks!$X$7:$AI$59)-SUMIFS($E$7:$E$1006,$I$7:$I$1006,$I43,$B$7:$B$1006,"&lt;="&amp;$B43))</f>
        <v/>
      </c>
      <c r="M43" s="132" t="str">
        <f>IF($B43&amp;$C43&amp;$D43&amp;$E43="","",IF($B43="","missing date",IF($C43="","missing worker",IF($I43="?","unknown worker - was the name changed on Workers?",IF($D43="","missing type",IF(N($E43)=0,"missing amount",IF(AND($E43&lt;0,$D43&lt;&gt;"Correction"),"negative amount - use a Correction to undo",IF(OR($B43&lt;Weeks!$A$7,$B43&gt;Weeks!$B$59),"date outside this workbook's year",IF(AND($D43="Advance",N($L43)&lt;0),"Warning: more than earned so far - worker now owes "&amp;TEXT(ROUND(-$L43,0),"#,##0"),"")))))))))</f>
        <v/>
      </c>
      <c r="N43" s="125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</row>
    <row r="44" spans="1:40" s="127" customFormat="1" ht="21" customHeight="1" x14ac:dyDescent="0.25">
      <c r="A44" s="51" t="str">
        <f t="shared" si="0"/>
        <v/>
      </c>
      <c r="B44" s="77"/>
      <c r="C44" s="133"/>
      <c r="D44" s="50"/>
      <c r="E44" s="141"/>
      <c r="F44" s="133"/>
      <c r="G44" s="133"/>
      <c r="H44" s="50"/>
      <c r="I44" s="51" t="str">
        <f t="shared" si="1"/>
        <v/>
      </c>
      <c r="J44" s="52" t="str">
        <f t="shared" si="2"/>
        <v/>
      </c>
      <c r="K44" s="142" t="str">
        <f>IF(OR($I44="",$I44="?",$D44&lt;&gt;"Advance",$B44=""),"",$I44&amp;"|"&amp;$J44&amp;"|"&amp;COUNTIFS($I$7:$I44,$I44,$J$7:$J44,$J44,$D$7:$D44,"Advance"))</f>
        <v/>
      </c>
      <c r="L44" s="143" t="str">
        <f>IF(OR($I44="",$I44="?",$B44=""),"",SUMPRODUCT((Weeks!$A$7:$A$59&lt;=$J44)*(Weeks!$X$5:$AI$5=$I44)*Weeks!$X$7:$AI$59)-SUMIFS($E$7:$E$1006,$I$7:$I$1006,$I44,$B$7:$B$1006,"&lt;="&amp;$B44))</f>
        <v/>
      </c>
      <c r="M44" s="132" t="str">
        <f>IF($B44&amp;$C44&amp;$D44&amp;$E44="","",IF($B44="","missing date",IF($C44="","missing worker",IF($I44="?","unknown worker - was the name changed on Workers?",IF($D44="","missing type",IF(N($E44)=0,"missing amount",IF(AND($E44&lt;0,$D44&lt;&gt;"Correction"),"negative amount - use a Correction to undo",IF(OR($B44&lt;Weeks!$A$7,$B44&gt;Weeks!$B$59),"date outside this workbook's year",IF(AND($D44="Advance",N($L44)&lt;0),"Warning: more than earned so far - worker now owes "&amp;TEXT(ROUND(-$L44,0),"#,##0"),"")))))))))</f>
        <v/>
      </c>
      <c r="N44" s="125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</row>
    <row r="45" spans="1:40" s="127" customFormat="1" ht="21" customHeight="1" x14ac:dyDescent="0.25">
      <c r="A45" s="51" t="str">
        <f t="shared" si="0"/>
        <v/>
      </c>
      <c r="B45" s="77"/>
      <c r="C45" s="133"/>
      <c r="D45" s="50"/>
      <c r="E45" s="141"/>
      <c r="F45" s="133"/>
      <c r="G45" s="133"/>
      <c r="H45" s="50"/>
      <c r="I45" s="51" t="str">
        <f t="shared" si="1"/>
        <v/>
      </c>
      <c r="J45" s="52" t="str">
        <f t="shared" si="2"/>
        <v/>
      </c>
      <c r="K45" s="142" t="str">
        <f>IF(OR($I45="",$I45="?",$D45&lt;&gt;"Advance",$B45=""),"",$I45&amp;"|"&amp;$J45&amp;"|"&amp;COUNTIFS($I$7:$I45,$I45,$J$7:$J45,$J45,$D$7:$D45,"Advance"))</f>
        <v/>
      </c>
      <c r="L45" s="143" t="str">
        <f>IF(OR($I45="",$I45="?",$B45=""),"",SUMPRODUCT((Weeks!$A$7:$A$59&lt;=$J45)*(Weeks!$X$5:$AI$5=$I45)*Weeks!$X$7:$AI$59)-SUMIFS($E$7:$E$1006,$I$7:$I$1006,$I45,$B$7:$B$1006,"&lt;="&amp;$B45))</f>
        <v/>
      </c>
      <c r="M45" s="132" t="str">
        <f>IF($B45&amp;$C45&amp;$D45&amp;$E45="","",IF($B45="","missing date",IF($C45="","missing worker",IF($I45="?","unknown worker - was the name changed on Workers?",IF($D45="","missing type",IF(N($E45)=0,"missing amount",IF(AND($E45&lt;0,$D45&lt;&gt;"Correction"),"negative amount - use a Correction to undo",IF(OR($B45&lt;Weeks!$A$7,$B45&gt;Weeks!$B$59),"date outside this workbook's year",IF(AND($D45="Advance",N($L45)&lt;0),"Warning: more than earned so far - worker now owes "&amp;TEXT(ROUND(-$L45,0),"#,##0"),"")))))))))</f>
        <v/>
      </c>
      <c r="N45" s="125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</row>
    <row r="46" spans="1:40" s="127" customFormat="1" ht="21" customHeight="1" x14ac:dyDescent="0.25">
      <c r="A46" s="51" t="str">
        <f t="shared" si="0"/>
        <v/>
      </c>
      <c r="B46" s="77"/>
      <c r="C46" s="133"/>
      <c r="D46" s="50"/>
      <c r="E46" s="141"/>
      <c r="F46" s="133"/>
      <c r="G46" s="133"/>
      <c r="H46" s="50"/>
      <c r="I46" s="51" t="str">
        <f t="shared" si="1"/>
        <v/>
      </c>
      <c r="J46" s="52" t="str">
        <f t="shared" si="2"/>
        <v/>
      </c>
      <c r="K46" s="142" t="str">
        <f>IF(OR($I46="",$I46="?",$D46&lt;&gt;"Advance",$B46=""),"",$I46&amp;"|"&amp;$J46&amp;"|"&amp;COUNTIFS($I$7:$I46,$I46,$J$7:$J46,$J46,$D$7:$D46,"Advance"))</f>
        <v/>
      </c>
      <c r="L46" s="143" t="str">
        <f>IF(OR($I46="",$I46="?",$B46=""),"",SUMPRODUCT((Weeks!$A$7:$A$59&lt;=$J46)*(Weeks!$X$5:$AI$5=$I46)*Weeks!$X$7:$AI$59)-SUMIFS($E$7:$E$1006,$I$7:$I$1006,$I46,$B$7:$B$1006,"&lt;="&amp;$B46))</f>
        <v/>
      </c>
      <c r="M46" s="132" t="str">
        <f>IF($B46&amp;$C46&amp;$D46&amp;$E46="","",IF($B46="","missing date",IF($C46="","missing worker",IF($I46="?","unknown worker - was the name changed on Workers?",IF($D46="","missing type",IF(N($E46)=0,"missing amount",IF(AND($E46&lt;0,$D46&lt;&gt;"Correction"),"negative amount - use a Correction to undo",IF(OR($B46&lt;Weeks!$A$7,$B46&gt;Weeks!$B$59),"date outside this workbook's year",IF(AND($D46="Advance",N($L46)&lt;0),"Warning: more than earned so far - worker now owes "&amp;TEXT(ROUND(-$L46,0),"#,##0"),"")))))))))</f>
        <v/>
      </c>
      <c r="N46" s="125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</row>
    <row r="47" spans="1:40" s="127" customFormat="1" ht="21" customHeight="1" x14ac:dyDescent="0.25">
      <c r="A47" s="51" t="str">
        <f t="shared" si="0"/>
        <v/>
      </c>
      <c r="B47" s="77"/>
      <c r="C47" s="133"/>
      <c r="D47" s="50"/>
      <c r="E47" s="141"/>
      <c r="F47" s="133"/>
      <c r="G47" s="133"/>
      <c r="H47" s="50"/>
      <c r="I47" s="51" t="str">
        <f t="shared" si="1"/>
        <v/>
      </c>
      <c r="J47" s="52" t="str">
        <f t="shared" si="2"/>
        <v/>
      </c>
      <c r="K47" s="142" t="str">
        <f>IF(OR($I47="",$I47="?",$D47&lt;&gt;"Advance",$B47=""),"",$I47&amp;"|"&amp;$J47&amp;"|"&amp;COUNTIFS($I$7:$I47,$I47,$J$7:$J47,$J47,$D$7:$D47,"Advance"))</f>
        <v/>
      </c>
      <c r="L47" s="143" t="str">
        <f>IF(OR($I47="",$I47="?",$B47=""),"",SUMPRODUCT((Weeks!$A$7:$A$59&lt;=$J47)*(Weeks!$X$5:$AI$5=$I47)*Weeks!$X$7:$AI$59)-SUMIFS($E$7:$E$1006,$I$7:$I$1006,$I47,$B$7:$B$1006,"&lt;="&amp;$B47))</f>
        <v/>
      </c>
      <c r="M47" s="132" t="str">
        <f>IF($B47&amp;$C47&amp;$D47&amp;$E47="","",IF($B47="","missing date",IF($C47="","missing worker",IF($I47="?","unknown worker - was the name changed on Workers?",IF($D47="","missing type",IF(N($E47)=0,"missing amount",IF(AND($E47&lt;0,$D47&lt;&gt;"Correction"),"negative amount - use a Correction to undo",IF(OR($B47&lt;Weeks!$A$7,$B47&gt;Weeks!$B$59),"date outside this workbook's year",IF(AND($D47="Advance",N($L47)&lt;0),"Warning: more than earned so far - worker now owes "&amp;TEXT(ROUND(-$L47,0),"#,##0"),"")))))))))</f>
        <v/>
      </c>
      <c r="N47" s="125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</row>
    <row r="48" spans="1:40" s="127" customFormat="1" ht="21" customHeight="1" x14ac:dyDescent="0.25">
      <c r="A48" s="51" t="str">
        <f t="shared" si="0"/>
        <v/>
      </c>
      <c r="B48" s="77"/>
      <c r="C48" s="133"/>
      <c r="D48" s="50"/>
      <c r="E48" s="141"/>
      <c r="F48" s="133"/>
      <c r="G48" s="133"/>
      <c r="H48" s="50"/>
      <c r="I48" s="51" t="str">
        <f t="shared" si="1"/>
        <v/>
      </c>
      <c r="J48" s="52" t="str">
        <f t="shared" si="2"/>
        <v/>
      </c>
      <c r="K48" s="142" t="str">
        <f>IF(OR($I48="",$I48="?",$D48&lt;&gt;"Advance",$B48=""),"",$I48&amp;"|"&amp;$J48&amp;"|"&amp;COUNTIFS($I$7:$I48,$I48,$J$7:$J48,$J48,$D$7:$D48,"Advance"))</f>
        <v/>
      </c>
      <c r="L48" s="143" t="str">
        <f>IF(OR($I48="",$I48="?",$B48=""),"",SUMPRODUCT((Weeks!$A$7:$A$59&lt;=$J48)*(Weeks!$X$5:$AI$5=$I48)*Weeks!$X$7:$AI$59)-SUMIFS($E$7:$E$1006,$I$7:$I$1006,$I48,$B$7:$B$1006,"&lt;="&amp;$B48))</f>
        <v/>
      </c>
      <c r="M48" s="132" t="str">
        <f>IF($B48&amp;$C48&amp;$D48&amp;$E48="","",IF($B48="","missing date",IF($C48="","missing worker",IF($I48="?","unknown worker - was the name changed on Workers?",IF($D48="","missing type",IF(N($E48)=0,"missing amount",IF(AND($E48&lt;0,$D48&lt;&gt;"Correction"),"negative amount - use a Correction to undo",IF(OR($B48&lt;Weeks!$A$7,$B48&gt;Weeks!$B$59),"date outside this workbook's year",IF(AND($D48="Advance",N($L48)&lt;0),"Warning: more than earned so far - worker now owes "&amp;TEXT(ROUND(-$L48,0),"#,##0"),"")))))))))</f>
        <v/>
      </c>
      <c r="N48" s="125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</row>
    <row r="49" spans="1:40" s="127" customFormat="1" ht="21" customHeight="1" x14ac:dyDescent="0.25">
      <c r="A49" s="51" t="str">
        <f t="shared" si="0"/>
        <v/>
      </c>
      <c r="B49" s="77"/>
      <c r="C49" s="133"/>
      <c r="D49" s="50"/>
      <c r="E49" s="141"/>
      <c r="F49" s="133"/>
      <c r="G49" s="133"/>
      <c r="H49" s="50"/>
      <c r="I49" s="51" t="str">
        <f t="shared" si="1"/>
        <v/>
      </c>
      <c r="J49" s="52" t="str">
        <f t="shared" si="2"/>
        <v/>
      </c>
      <c r="K49" s="142" t="str">
        <f>IF(OR($I49="",$I49="?",$D49&lt;&gt;"Advance",$B49=""),"",$I49&amp;"|"&amp;$J49&amp;"|"&amp;COUNTIFS($I$7:$I49,$I49,$J$7:$J49,$J49,$D$7:$D49,"Advance"))</f>
        <v/>
      </c>
      <c r="L49" s="143" t="str">
        <f>IF(OR($I49="",$I49="?",$B49=""),"",SUMPRODUCT((Weeks!$A$7:$A$59&lt;=$J49)*(Weeks!$X$5:$AI$5=$I49)*Weeks!$X$7:$AI$59)-SUMIFS($E$7:$E$1006,$I$7:$I$1006,$I49,$B$7:$B$1006,"&lt;="&amp;$B49))</f>
        <v/>
      </c>
      <c r="M49" s="132" t="str">
        <f>IF($B49&amp;$C49&amp;$D49&amp;$E49="","",IF($B49="","missing date",IF($C49="","missing worker",IF($I49="?","unknown worker - was the name changed on Workers?",IF($D49="","missing type",IF(N($E49)=0,"missing amount",IF(AND($E49&lt;0,$D49&lt;&gt;"Correction"),"negative amount - use a Correction to undo",IF(OR($B49&lt;Weeks!$A$7,$B49&gt;Weeks!$B$59),"date outside this workbook's year",IF(AND($D49="Advance",N($L49)&lt;0),"Warning: more than earned so far - worker now owes "&amp;TEXT(ROUND(-$L49,0),"#,##0"),"")))))))))</f>
        <v/>
      </c>
      <c r="N49" s="125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</row>
    <row r="50" spans="1:40" s="127" customFormat="1" ht="21" customHeight="1" x14ac:dyDescent="0.25">
      <c r="A50" s="51" t="str">
        <f t="shared" si="0"/>
        <v/>
      </c>
      <c r="B50" s="77"/>
      <c r="C50" s="133"/>
      <c r="D50" s="50"/>
      <c r="E50" s="141"/>
      <c r="F50" s="133"/>
      <c r="G50" s="133"/>
      <c r="H50" s="50"/>
      <c r="I50" s="51" t="str">
        <f t="shared" si="1"/>
        <v/>
      </c>
      <c r="J50" s="52" t="str">
        <f t="shared" si="2"/>
        <v/>
      </c>
      <c r="K50" s="142" t="str">
        <f>IF(OR($I50="",$I50="?",$D50&lt;&gt;"Advance",$B50=""),"",$I50&amp;"|"&amp;$J50&amp;"|"&amp;COUNTIFS($I$7:$I50,$I50,$J$7:$J50,$J50,$D$7:$D50,"Advance"))</f>
        <v/>
      </c>
      <c r="L50" s="143" t="str">
        <f>IF(OR($I50="",$I50="?",$B50=""),"",SUMPRODUCT((Weeks!$A$7:$A$59&lt;=$J50)*(Weeks!$X$5:$AI$5=$I50)*Weeks!$X$7:$AI$59)-SUMIFS($E$7:$E$1006,$I$7:$I$1006,$I50,$B$7:$B$1006,"&lt;="&amp;$B50))</f>
        <v/>
      </c>
      <c r="M50" s="132" t="str">
        <f>IF($B50&amp;$C50&amp;$D50&amp;$E50="","",IF($B50="","missing date",IF($C50="","missing worker",IF($I50="?","unknown worker - was the name changed on Workers?",IF($D50="","missing type",IF(N($E50)=0,"missing amount",IF(AND($E50&lt;0,$D50&lt;&gt;"Correction"),"negative amount - use a Correction to undo",IF(OR($B50&lt;Weeks!$A$7,$B50&gt;Weeks!$B$59),"date outside this workbook's year",IF(AND($D50="Advance",N($L50)&lt;0),"Warning: more than earned so far - worker now owes "&amp;TEXT(ROUND(-$L50,0),"#,##0"),"")))))))))</f>
        <v/>
      </c>
      <c r="N50" s="125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</row>
    <row r="51" spans="1:40" s="127" customFormat="1" ht="21" customHeight="1" x14ac:dyDescent="0.25">
      <c r="A51" s="51" t="str">
        <f t="shared" si="0"/>
        <v/>
      </c>
      <c r="B51" s="77"/>
      <c r="C51" s="133"/>
      <c r="D51" s="50"/>
      <c r="E51" s="141"/>
      <c r="F51" s="133"/>
      <c r="G51" s="133"/>
      <c r="H51" s="50"/>
      <c r="I51" s="51" t="str">
        <f t="shared" si="1"/>
        <v/>
      </c>
      <c r="J51" s="52" t="str">
        <f t="shared" si="2"/>
        <v/>
      </c>
      <c r="K51" s="142" t="str">
        <f>IF(OR($I51="",$I51="?",$D51&lt;&gt;"Advance",$B51=""),"",$I51&amp;"|"&amp;$J51&amp;"|"&amp;COUNTIFS($I$7:$I51,$I51,$J$7:$J51,$J51,$D$7:$D51,"Advance"))</f>
        <v/>
      </c>
      <c r="L51" s="143" t="str">
        <f>IF(OR($I51="",$I51="?",$B51=""),"",SUMPRODUCT((Weeks!$A$7:$A$59&lt;=$J51)*(Weeks!$X$5:$AI$5=$I51)*Weeks!$X$7:$AI$59)-SUMIFS($E$7:$E$1006,$I$7:$I$1006,$I51,$B$7:$B$1006,"&lt;="&amp;$B51))</f>
        <v/>
      </c>
      <c r="M51" s="132" t="str">
        <f>IF($B51&amp;$C51&amp;$D51&amp;$E51="","",IF($B51="","missing date",IF($C51="","missing worker",IF($I51="?","unknown worker - was the name changed on Workers?",IF($D51="","missing type",IF(N($E51)=0,"missing amount",IF(AND($E51&lt;0,$D51&lt;&gt;"Correction"),"negative amount - use a Correction to undo",IF(OR($B51&lt;Weeks!$A$7,$B51&gt;Weeks!$B$59),"date outside this workbook's year",IF(AND($D51="Advance",N($L51)&lt;0),"Warning: more than earned so far - worker now owes "&amp;TEXT(ROUND(-$L51,0),"#,##0"),"")))))))))</f>
        <v/>
      </c>
      <c r="N51" s="125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</row>
    <row r="52" spans="1:40" s="127" customFormat="1" ht="21" customHeight="1" x14ac:dyDescent="0.25">
      <c r="A52" s="51" t="str">
        <f t="shared" si="0"/>
        <v/>
      </c>
      <c r="B52" s="77"/>
      <c r="C52" s="133"/>
      <c r="D52" s="50"/>
      <c r="E52" s="141"/>
      <c r="F52" s="133"/>
      <c r="G52" s="133"/>
      <c r="H52" s="50"/>
      <c r="I52" s="51" t="str">
        <f t="shared" si="1"/>
        <v/>
      </c>
      <c r="J52" s="52" t="str">
        <f t="shared" si="2"/>
        <v/>
      </c>
      <c r="K52" s="142" t="str">
        <f>IF(OR($I52="",$I52="?",$D52&lt;&gt;"Advance",$B52=""),"",$I52&amp;"|"&amp;$J52&amp;"|"&amp;COUNTIFS($I$7:$I52,$I52,$J$7:$J52,$J52,$D$7:$D52,"Advance"))</f>
        <v/>
      </c>
      <c r="L52" s="143" t="str">
        <f>IF(OR($I52="",$I52="?",$B52=""),"",SUMPRODUCT((Weeks!$A$7:$A$59&lt;=$J52)*(Weeks!$X$5:$AI$5=$I52)*Weeks!$X$7:$AI$59)-SUMIFS($E$7:$E$1006,$I$7:$I$1006,$I52,$B$7:$B$1006,"&lt;="&amp;$B52))</f>
        <v/>
      </c>
      <c r="M52" s="132" t="str">
        <f>IF($B52&amp;$C52&amp;$D52&amp;$E52="","",IF($B52="","missing date",IF($C52="","missing worker",IF($I52="?","unknown worker - was the name changed on Workers?",IF($D52="","missing type",IF(N($E52)=0,"missing amount",IF(AND($E52&lt;0,$D52&lt;&gt;"Correction"),"negative amount - use a Correction to undo",IF(OR($B52&lt;Weeks!$A$7,$B52&gt;Weeks!$B$59),"date outside this workbook's year",IF(AND($D52="Advance",N($L52)&lt;0),"Warning: more than earned so far - worker now owes "&amp;TEXT(ROUND(-$L52,0),"#,##0"),"")))))))))</f>
        <v/>
      </c>
      <c r="N52" s="125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</row>
    <row r="53" spans="1:40" s="127" customFormat="1" ht="21" customHeight="1" x14ac:dyDescent="0.25">
      <c r="A53" s="51" t="str">
        <f t="shared" si="0"/>
        <v/>
      </c>
      <c r="B53" s="77"/>
      <c r="C53" s="133"/>
      <c r="D53" s="50"/>
      <c r="E53" s="141"/>
      <c r="F53" s="133"/>
      <c r="G53" s="133"/>
      <c r="H53" s="50"/>
      <c r="I53" s="51" t="str">
        <f t="shared" si="1"/>
        <v/>
      </c>
      <c r="J53" s="52" t="str">
        <f t="shared" si="2"/>
        <v/>
      </c>
      <c r="K53" s="142" t="str">
        <f>IF(OR($I53="",$I53="?",$D53&lt;&gt;"Advance",$B53=""),"",$I53&amp;"|"&amp;$J53&amp;"|"&amp;COUNTIFS($I$7:$I53,$I53,$J$7:$J53,$J53,$D$7:$D53,"Advance"))</f>
        <v/>
      </c>
      <c r="L53" s="143" t="str">
        <f>IF(OR($I53="",$I53="?",$B53=""),"",SUMPRODUCT((Weeks!$A$7:$A$59&lt;=$J53)*(Weeks!$X$5:$AI$5=$I53)*Weeks!$X$7:$AI$59)-SUMIFS($E$7:$E$1006,$I$7:$I$1006,$I53,$B$7:$B$1006,"&lt;="&amp;$B53))</f>
        <v/>
      </c>
      <c r="M53" s="132" t="str">
        <f>IF($B53&amp;$C53&amp;$D53&amp;$E53="","",IF($B53="","missing date",IF($C53="","missing worker",IF($I53="?","unknown worker - was the name changed on Workers?",IF($D53="","missing type",IF(N($E53)=0,"missing amount",IF(AND($E53&lt;0,$D53&lt;&gt;"Correction"),"negative amount - use a Correction to undo",IF(OR($B53&lt;Weeks!$A$7,$B53&gt;Weeks!$B$59),"date outside this workbook's year",IF(AND($D53="Advance",N($L53)&lt;0),"Warning: more than earned so far - worker now owes "&amp;TEXT(ROUND(-$L53,0),"#,##0"),"")))))))))</f>
        <v/>
      </c>
      <c r="N53" s="125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</row>
    <row r="54" spans="1:40" s="127" customFormat="1" ht="21" customHeight="1" x14ac:dyDescent="0.25">
      <c r="A54" s="51" t="str">
        <f t="shared" si="0"/>
        <v/>
      </c>
      <c r="B54" s="77"/>
      <c r="C54" s="133"/>
      <c r="D54" s="50"/>
      <c r="E54" s="141"/>
      <c r="F54" s="133"/>
      <c r="G54" s="133"/>
      <c r="H54" s="50"/>
      <c r="I54" s="51" t="str">
        <f t="shared" si="1"/>
        <v/>
      </c>
      <c r="J54" s="52" t="str">
        <f t="shared" si="2"/>
        <v/>
      </c>
      <c r="K54" s="142" t="str">
        <f>IF(OR($I54="",$I54="?",$D54&lt;&gt;"Advance",$B54=""),"",$I54&amp;"|"&amp;$J54&amp;"|"&amp;COUNTIFS($I$7:$I54,$I54,$J$7:$J54,$J54,$D$7:$D54,"Advance"))</f>
        <v/>
      </c>
      <c r="L54" s="143" t="str">
        <f>IF(OR($I54="",$I54="?",$B54=""),"",SUMPRODUCT((Weeks!$A$7:$A$59&lt;=$J54)*(Weeks!$X$5:$AI$5=$I54)*Weeks!$X$7:$AI$59)-SUMIFS($E$7:$E$1006,$I$7:$I$1006,$I54,$B$7:$B$1006,"&lt;="&amp;$B54))</f>
        <v/>
      </c>
      <c r="M54" s="132" t="str">
        <f>IF($B54&amp;$C54&amp;$D54&amp;$E54="","",IF($B54="","missing date",IF($C54="","missing worker",IF($I54="?","unknown worker - was the name changed on Workers?",IF($D54="","missing type",IF(N($E54)=0,"missing amount",IF(AND($E54&lt;0,$D54&lt;&gt;"Correction"),"negative amount - use a Correction to undo",IF(OR($B54&lt;Weeks!$A$7,$B54&gt;Weeks!$B$59),"date outside this workbook's year",IF(AND($D54="Advance",N($L54)&lt;0),"Warning: more than earned so far - worker now owes "&amp;TEXT(ROUND(-$L54,0),"#,##0"),"")))))))))</f>
        <v/>
      </c>
      <c r="N54" s="125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</row>
    <row r="55" spans="1:40" s="127" customFormat="1" ht="21" customHeight="1" x14ac:dyDescent="0.25">
      <c r="A55" s="51" t="str">
        <f t="shared" si="0"/>
        <v/>
      </c>
      <c r="B55" s="77"/>
      <c r="C55" s="133"/>
      <c r="D55" s="50"/>
      <c r="E55" s="141"/>
      <c r="F55" s="133"/>
      <c r="G55" s="133"/>
      <c r="H55" s="50"/>
      <c r="I55" s="51" t="str">
        <f t="shared" si="1"/>
        <v/>
      </c>
      <c r="J55" s="52" t="str">
        <f t="shared" si="2"/>
        <v/>
      </c>
      <c r="K55" s="142" t="str">
        <f>IF(OR($I55="",$I55="?",$D55&lt;&gt;"Advance",$B55=""),"",$I55&amp;"|"&amp;$J55&amp;"|"&amp;COUNTIFS($I$7:$I55,$I55,$J$7:$J55,$J55,$D$7:$D55,"Advance"))</f>
        <v/>
      </c>
      <c r="L55" s="143" t="str">
        <f>IF(OR($I55="",$I55="?",$B55=""),"",SUMPRODUCT((Weeks!$A$7:$A$59&lt;=$J55)*(Weeks!$X$5:$AI$5=$I55)*Weeks!$X$7:$AI$59)-SUMIFS($E$7:$E$1006,$I$7:$I$1006,$I55,$B$7:$B$1006,"&lt;="&amp;$B55))</f>
        <v/>
      </c>
      <c r="M55" s="132" t="str">
        <f>IF($B55&amp;$C55&amp;$D55&amp;$E55="","",IF($B55="","missing date",IF($C55="","missing worker",IF($I55="?","unknown worker - was the name changed on Workers?",IF($D55="","missing type",IF(N($E55)=0,"missing amount",IF(AND($E55&lt;0,$D55&lt;&gt;"Correction"),"negative amount - use a Correction to undo",IF(OR($B55&lt;Weeks!$A$7,$B55&gt;Weeks!$B$59),"date outside this workbook's year",IF(AND($D55="Advance",N($L55)&lt;0),"Warning: more than earned so far - worker now owes "&amp;TEXT(ROUND(-$L55,0),"#,##0"),"")))))))))</f>
        <v/>
      </c>
      <c r="N55" s="125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</row>
    <row r="56" spans="1:40" s="127" customFormat="1" ht="21" customHeight="1" x14ac:dyDescent="0.25">
      <c r="A56" s="51" t="str">
        <f t="shared" si="0"/>
        <v/>
      </c>
      <c r="B56" s="77"/>
      <c r="C56" s="133"/>
      <c r="D56" s="50"/>
      <c r="E56" s="141"/>
      <c r="F56" s="133"/>
      <c r="G56" s="133"/>
      <c r="H56" s="50"/>
      <c r="I56" s="51" t="str">
        <f t="shared" si="1"/>
        <v/>
      </c>
      <c r="J56" s="52" t="str">
        <f t="shared" si="2"/>
        <v/>
      </c>
      <c r="K56" s="142" t="str">
        <f>IF(OR($I56="",$I56="?",$D56&lt;&gt;"Advance",$B56=""),"",$I56&amp;"|"&amp;$J56&amp;"|"&amp;COUNTIFS($I$7:$I56,$I56,$J$7:$J56,$J56,$D$7:$D56,"Advance"))</f>
        <v/>
      </c>
      <c r="L56" s="143" t="str">
        <f>IF(OR($I56="",$I56="?",$B56=""),"",SUMPRODUCT((Weeks!$A$7:$A$59&lt;=$J56)*(Weeks!$X$5:$AI$5=$I56)*Weeks!$X$7:$AI$59)-SUMIFS($E$7:$E$1006,$I$7:$I$1006,$I56,$B$7:$B$1006,"&lt;="&amp;$B56))</f>
        <v/>
      </c>
      <c r="M56" s="132" t="str">
        <f>IF($B56&amp;$C56&amp;$D56&amp;$E56="","",IF($B56="","missing date",IF($C56="","missing worker",IF($I56="?","unknown worker - was the name changed on Workers?",IF($D56="","missing type",IF(N($E56)=0,"missing amount",IF(AND($E56&lt;0,$D56&lt;&gt;"Correction"),"negative amount - use a Correction to undo",IF(OR($B56&lt;Weeks!$A$7,$B56&gt;Weeks!$B$59),"date outside this workbook's year",IF(AND($D56="Advance",N($L56)&lt;0),"Warning: more than earned so far - worker now owes "&amp;TEXT(ROUND(-$L56,0),"#,##0"),"")))))))))</f>
        <v/>
      </c>
      <c r="N56" s="125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</row>
    <row r="57" spans="1:40" s="127" customFormat="1" ht="21" customHeight="1" x14ac:dyDescent="0.25">
      <c r="A57" s="51" t="str">
        <f t="shared" si="0"/>
        <v/>
      </c>
      <c r="B57" s="77"/>
      <c r="C57" s="133"/>
      <c r="D57" s="50"/>
      <c r="E57" s="141"/>
      <c r="F57" s="133"/>
      <c r="G57" s="133"/>
      <c r="H57" s="50"/>
      <c r="I57" s="51" t="str">
        <f t="shared" si="1"/>
        <v/>
      </c>
      <c r="J57" s="52" t="str">
        <f t="shared" si="2"/>
        <v/>
      </c>
      <c r="K57" s="142" t="str">
        <f>IF(OR($I57="",$I57="?",$D57&lt;&gt;"Advance",$B57=""),"",$I57&amp;"|"&amp;$J57&amp;"|"&amp;COUNTIFS($I$7:$I57,$I57,$J$7:$J57,$J57,$D$7:$D57,"Advance"))</f>
        <v/>
      </c>
      <c r="L57" s="143" t="str">
        <f>IF(OR($I57="",$I57="?",$B57=""),"",SUMPRODUCT((Weeks!$A$7:$A$59&lt;=$J57)*(Weeks!$X$5:$AI$5=$I57)*Weeks!$X$7:$AI$59)-SUMIFS($E$7:$E$1006,$I$7:$I$1006,$I57,$B$7:$B$1006,"&lt;="&amp;$B57))</f>
        <v/>
      </c>
      <c r="M57" s="132" t="str">
        <f>IF($B57&amp;$C57&amp;$D57&amp;$E57="","",IF($B57="","missing date",IF($C57="","missing worker",IF($I57="?","unknown worker - was the name changed on Workers?",IF($D57="","missing type",IF(N($E57)=0,"missing amount",IF(AND($E57&lt;0,$D57&lt;&gt;"Correction"),"negative amount - use a Correction to undo",IF(OR($B57&lt;Weeks!$A$7,$B57&gt;Weeks!$B$59),"date outside this workbook's year",IF(AND($D57="Advance",N($L57)&lt;0),"Warning: more than earned so far - worker now owes "&amp;TEXT(ROUND(-$L57,0),"#,##0"),"")))))))))</f>
        <v/>
      </c>
      <c r="N57" s="125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</row>
    <row r="58" spans="1:40" s="127" customFormat="1" ht="21" customHeight="1" x14ac:dyDescent="0.25">
      <c r="A58" s="51" t="str">
        <f t="shared" si="0"/>
        <v/>
      </c>
      <c r="B58" s="77"/>
      <c r="C58" s="133"/>
      <c r="D58" s="50"/>
      <c r="E58" s="141"/>
      <c r="F58" s="133"/>
      <c r="G58" s="133"/>
      <c r="H58" s="50"/>
      <c r="I58" s="51" t="str">
        <f t="shared" si="1"/>
        <v/>
      </c>
      <c r="J58" s="52" t="str">
        <f t="shared" si="2"/>
        <v/>
      </c>
      <c r="K58" s="142" t="str">
        <f>IF(OR($I58="",$I58="?",$D58&lt;&gt;"Advance",$B58=""),"",$I58&amp;"|"&amp;$J58&amp;"|"&amp;COUNTIFS($I$7:$I58,$I58,$J$7:$J58,$J58,$D$7:$D58,"Advance"))</f>
        <v/>
      </c>
      <c r="L58" s="143" t="str">
        <f>IF(OR($I58="",$I58="?",$B58=""),"",SUMPRODUCT((Weeks!$A$7:$A$59&lt;=$J58)*(Weeks!$X$5:$AI$5=$I58)*Weeks!$X$7:$AI$59)-SUMIFS($E$7:$E$1006,$I$7:$I$1006,$I58,$B$7:$B$1006,"&lt;="&amp;$B58))</f>
        <v/>
      </c>
      <c r="M58" s="132" t="str">
        <f>IF($B58&amp;$C58&amp;$D58&amp;$E58="","",IF($B58="","missing date",IF($C58="","missing worker",IF($I58="?","unknown worker - was the name changed on Workers?",IF($D58="","missing type",IF(N($E58)=0,"missing amount",IF(AND($E58&lt;0,$D58&lt;&gt;"Correction"),"negative amount - use a Correction to undo",IF(OR($B58&lt;Weeks!$A$7,$B58&gt;Weeks!$B$59),"date outside this workbook's year",IF(AND($D58="Advance",N($L58)&lt;0),"Warning: more than earned so far - worker now owes "&amp;TEXT(ROUND(-$L58,0),"#,##0"),"")))))))))</f>
        <v/>
      </c>
      <c r="N58" s="125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</row>
    <row r="59" spans="1:40" s="127" customFormat="1" ht="21" customHeight="1" x14ac:dyDescent="0.25">
      <c r="A59" s="51" t="str">
        <f t="shared" si="0"/>
        <v/>
      </c>
      <c r="B59" s="77"/>
      <c r="C59" s="133"/>
      <c r="D59" s="50"/>
      <c r="E59" s="141"/>
      <c r="F59" s="133"/>
      <c r="G59" s="133"/>
      <c r="H59" s="50"/>
      <c r="I59" s="51" t="str">
        <f t="shared" si="1"/>
        <v/>
      </c>
      <c r="J59" s="52" t="str">
        <f t="shared" si="2"/>
        <v/>
      </c>
      <c r="K59" s="142" t="str">
        <f>IF(OR($I59="",$I59="?",$D59&lt;&gt;"Advance",$B59=""),"",$I59&amp;"|"&amp;$J59&amp;"|"&amp;COUNTIFS($I$7:$I59,$I59,$J$7:$J59,$J59,$D$7:$D59,"Advance"))</f>
        <v/>
      </c>
      <c r="L59" s="143" t="str">
        <f>IF(OR($I59="",$I59="?",$B59=""),"",SUMPRODUCT((Weeks!$A$7:$A$59&lt;=$J59)*(Weeks!$X$5:$AI$5=$I59)*Weeks!$X$7:$AI$59)-SUMIFS($E$7:$E$1006,$I$7:$I$1006,$I59,$B$7:$B$1006,"&lt;="&amp;$B59))</f>
        <v/>
      </c>
      <c r="M59" s="132" t="str">
        <f>IF($B59&amp;$C59&amp;$D59&amp;$E59="","",IF($B59="","missing date",IF($C59="","missing worker",IF($I59="?","unknown worker - was the name changed on Workers?",IF($D59="","missing type",IF(N($E59)=0,"missing amount",IF(AND($E59&lt;0,$D59&lt;&gt;"Correction"),"negative amount - use a Correction to undo",IF(OR($B59&lt;Weeks!$A$7,$B59&gt;Weeks!$B$59),"date outside this workbook's year",IF(AND($D59="Advance",N($L59)&lt;0),"Warning: more than earned so far - worker now owes "&amp;TEXT(ROUND(-$L59,0),"#,##0"),"")))))))))</f>
        <v/>
      </c>
      <c r="N59" s="125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</row>
    <row r="60" spans="1:40" s="127" customFormat="1" ht="21" customHeight="1" x14ac:dyDescent="0.25">
      <c r="A60" s="51" t="str">
        <f t="shared" si="0"/>
        <v/>
      </c>
      <c r="B60" s="77"/>
      <c r="C60" s="133"/>
      <c r="D60" s="50"/>
      <c r="E60" s="141"/>
      <c r="F60" s="133"/>
      <c r="G60" s="133"/>
      <c r="H60" s="50"/>
      <c r="I60" s="51" t="str">
        <f t="shared" si="1"/>
        <v/>
      </c>
      <c r="J60" s="52" t="str">
        <f t="shared" si="2"/>
        <v/>
      </c>
      <c r="K60" s="142" t="str">
        <f>IF(OR($I60="",$I60="?",$D60&lt;&gt;"Advance",$B60=""),"",$I60&amp;"|"&amp;$J60&amp;"|"&amp;COUNTIFS($I$7:$I60,$I60,$J$7:$J60,$J60,$D$7:$D60,"Advance"))</f>
        <v/>
      </c>
      <c r="L60" s="143" t="str">
        <f>IF(OR($I60="",$I60="?",$B60=""),"",SUMPRODUCT((Weeks!$A$7:$A$59&lt;=$J60)*(Weeks!$X$5:$AI$5=$I60)*Weeks!$X$7:$AI$59)-SUMIFS($E$7:$E$1006,$I$7:$I$1006,$I60,$B$7:$B$1006,"&lt;="&amp;$B60))</f>
        <v/>
      </c>
      <c r="M60" s="132" t="str">
        <f>IF($B60&amp;$C60&amp;$D60&amp;$E60="","",IF($B60="","missing date",IF($C60="","missing worker",IF($I60="?","unknown worker - was the name changed on Workers?",IF($D60="","missing type",IF(N($E60)=0,"missing amount",IF(AND($E60&lt;0,$D60&lt;&gt;"Correction"),"negative amount - use a Correction to undo",IF(OR($B60&lt;Weeks!$A$7,$B60&gt;Weeks!$B$59),"date outside this workbook's year",IF(AND($D60="Advance",N($L60)&lt;0),"Warning: more than earned so far - worker now owes "&amp;TEXT(ROUND(-$L60,0),"#,##0"),"")))))))))</f>
        <v/>
      </c>
      <c r="N60" s="125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</row>
    <row r="61" spans="1:40" s="127" customFormat="1" ht="21" customHeight="1" x14ac:dyDescent="0.25">
      <c r="A61" s="51" t="str">
        <f t="shared" si="0"/>
        <v/>
      </c>
      <c r="B61" s="77"/>
      <c r="C61" s="133"/>
      <c r="D61" s="50"/>
      <c r="E61" s="141"/>
      <c r="F61" s="133"/>
      <c r="G61" s="133"/>
      <c r="H61" s="50"/>
      <c r="I61" s="51" t="str">
        <f t="shared" si="1"/>
        <v/>
      </c>
      <c r="J61" s="52" t="str">
        <f t="shared" si="2"/>
        <v/>
      </c>
      <c r="K61" s="142" t="str">
        <f>IF(OR($I61="",$I61="?",$D61&lt;&gt;"Advance",$B61=""),"",$I61&amp;"|"&amp;$J61&amp;"|"&amp;COUNTIFS($I$7:$I61,$I61,$J$7:$J61,$J61,$D$7:$D61,"Advance"))</f>
        <v/>
      </c>
      <c r="L61" s="143" t="str">
        <f>IF(OR($I61="",$I61="?",$B61=""),"",SUMPRODUCT((Weeks!$A$7:$A$59&lt;=$J61)*(Weeks!$X$5:$AI$5=$I61)*Weeks!$X$7:$AI$59)-SUMIFS($E$7:$E$1006,$I$7:$I$1006,$I61,$B$7:$B$1006,"&lt;="&amp;$B61))</f>
        <v/>
      </c>
      <c r="M61" s="132" t="str">
        <f>IF($B61&amp;$C61&amp;$D61&amp;$E61="","",IF($B61="","missing date",IF($C61="","missing worker",IF($I61="?","unknown worker - was the name changed on Workers?",IF($D61="","missing type",IF(N($E61)=0,"missing amount",IF(AND($E61&lt;0,$D61&lt;&gt;"Correction"),"negative amount - use a Correction to undo",IF(OR($B61&lt;Weeks!$A$7,$B61&gt;Weeks!$B$59),"date outside this workbook's year",IF(AND($D61="Advance",N($L61)&lt;0),"Warning: more than earned so far - worker now owes "&amp;TEXT(ROUND(-$L61,0),"#,##0"),"")))))))))</f>
        <v/>
      </c>
      <c r="N61" s="125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</row>
    <row r="62" spans="1:40" s="127" customFormat="1" ht="21" customHeight="1" x14ac:dyDescent="0.25">
      <c r="A62" s="51" t="str">
        <f t="shared" si="0"/>
        <v/>
      </c>
      <c r="B62" s="77"/>
      <c r="C62" s="133"/>
      <c r="D62" s="50"/>
      <c r="E62" s="141"/>
      <c r="F62" s="133"/>
      <c r="G62" s="133"/>
      <c r="H62" s="50"/>
      <c r="I62" s="51" t="str">
        <f t="shared" si="1"/>
        <v/>
      </c>
      <c r="J62" s="52" t="str">
        <f t="shared" si="2"/>
        <v/>
      </c>
      <c r="K62" s="142" t="str">
        <f>IF(OR($I62="",$I62="?",$D62&lt;&gt;"Advance",$B62=""),"",$I62&amp;"|"&amp;$J62&amp;"|"&amp;COUNTIFS($I$7:$I62,$I62,$J$7:$J62,$J62,$D$7:$D62,"Advance"))</f>
        <v/>
      </c>
      <c r="L62" s="143" t="str">
        <f>IF(OR($I62="",$I62="?",$B62=""),"",SUMPRODUCT((Weeks!$A$7:$A$59&lt;=$J62)*(Weeks!$X$5:$AI$5=$I62)*Weeks!$X$7:$AI$59)-SUMIFS($E$7:$E$1006,$I$7:$I$1006,$I62,$B$7:$B$1006,"&lt;="&amp;$B62))</f>
        <v/>
      </c>
      <c r="M62" s="132" t="str">
        <f>IF($B62&amp;$C62&amp;$D62&amp;$E62="","",IF($B62="","missing date",IF($C62="","missing worker",IF($I62="?","unknown worker - was the name changed on Workers?",IF($D62="","missing type",IF(N($E62)=0,"missing amount",IF(AND($E62&lt;0,$D62&lt;&gt;"Correction"),"negative amount - use a Correction to undo",IF(OR($B62&lt;Weeks!$A$7,$B62&gt;Weeks!$B$59),"date outside this workbook's year",IF(AND($D62="Advance",N($L62)&lt;0),"Warning: more than earned so far - worker now owes "&amp;TEXT(ROUND(-$L62,0),"#,##0"),"")))))))))</f>
        <v/>
      </c>
      <c r="N62" s="125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</row>
    <row r="63" spans="1:40" s="127" customFormat="1" ht="21" customHeight="1" x14ac:dyDescent="0.25">
      <c r="A63" s="51" t="str">
        <f t="shared" si="0"/>
        <v/>
      </c>
      <c r="B63" s="77"/>
      <c r="C63" s="133"/>
      <c r="D63" s="50"/>
      <c r="E63" s="141"/>
      <c r="F63" s="133"/>
      <c r="G63" s="133"/>
      <c r="H63" s="50"/>
      <c r="I63" s="51" t="str">
        <f t="shared" si="1"/>
        <v/>
      </c>
      <c r="J63" s="52" t="str">
        <f t="shared" si="2"/>
        <v/>
      </c>
      <c r="K63" s="142" t="str">
        <f>IF(OR($I63="",$I63="?",$D63&lt;&gt;"Advance",$B63=""),"",$I63&amp;"|"&amp;$J63&amp;"|"&amp;COUNTIFS($I$7:$I63,$I63,$J$7:$J63,$J63,$D$7:$D63,"Advance"))</f>
        <v/>
      </c>
      <c r="L63" s="143" t="str">
        <f>IF(OR($I63="",$I63="?",$B63=""),"",SUMPRODUCT((Weeks!$A$7:$A$59&lt;=$J63)*(Weeks!$X$5:$AI$5=$I63)*Weeks!$X$7:$AI$59)-SUMIFS($E$7:$E$1006,$I$7:$I$1006,$I63,$B$7:$B$1006,"&lt;="&amp;$B63))</f>
        <v/>
      </c>
      <c r="M63" s="132" t="str">
        <f>IF($B63&amp;$C63&amp;$D63&amp;$E63="","",IF($B63="","missing date",IF($C63="","missing worker",IF($I63="?","unknown worker - was the name changed on Workers?",IF($D63="","missing type",IF(N($E63)=0,"missing amount",IF(AND($E63&lt;0,$D63&lt;&gt;"Correction"),"negative amount - use a Correction to undo",IF(OR($B63&lt;Weeks!$A$7,$B63&gt;Weeks!$B$59),"date outside this workbook's year",IF(AND($D63="Advance",N($L63)&lt;0),"Warning: more than earned so far - worker now owes "&amp;TEXT(ROUND(-$L63,0),"#,##0"),"")))))))))</f>
        <v/>
      </c>
      <c r="N63" s="125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</row>
    <row r="64" spans="1:40" s="127" customFormat="1" ht="21" customHeight="1" x14ac:dyDescent="0.25">
      <c r="A64" s="51" t="str">
        <f t="shared" si="0"/>
        <v/>
      </c>
      <c r="B64" s="77"/>
      <c r="C64" s="133"/>
      <c r="D64" s="50"/>
      <c r="E64" s="141"/>
      <c r="F64" s="133"/>
      <c r="G64" s="133"/>
      <c r="H64" s="50"/>
      <c r="I64" s="51" t="str">
        <f t="shared" si="1"/>
        <v/>
      </c>
      <c r="J64" s="52" t="str">
        <f t="shared" si="2"/>
        <v/>
      </c>
      <c r="K64" s="142" t="str">
        <f>IF(OR($I64="",$I64="?",$D64&lt;&gt;"Advance",$B64=""),"",$I64&amp;"|"&amp;$J64&amp;"|"&amp;COUNTIFS($I$7:$I64,$I64,$J$7:$J64,$J64,$D$7:$D64,"Advance"))</f>
        <v/>
      </c>
      <c r="L64" s="143" t="str">
        <f>IF(OR($I64="",$I64="?",$B64=""),"",SUMPRODUCT((Weeks!$A$7:$A$59&lt;=$J64)*(Weeks!$X$5:$AI$5=$I64)*Weeks!$X$7:$AI$59)-SUMIFS($E$7:$E$1006,$I$7:$I$1006,$I64,$B$7:$B$1006,"&lt;="&amp;$B64))</f>
        <v/>
      </c>
      <c r="M64" s="132" t="str">
        <f>IF($B64&amp;$C64&amp;$D64&amp;$E64="","",IF($B64="","missing date",IF($C64="","missing worker",IF($I64="?","unknown worker - was the name changed on Workers?",IF($D64="","missing type",IF(N($E64)=0,"missing amount",IF(AND($E64&lt;0,$D64&lt;&gt;"Correction"),"negative amount - use a Correction to undo",IF(OR($B64&lt;Weeks!$A$7,$B64&gt;Weeks!$B$59),"date outside this workbook's year",IF(AND($D64="Advance",N($L64)&lt;0),"Warning: more than earned so far - worker now owes "&amp;TEXT(ROUND(-$L64,0),"#,##0"),"")))))))))</f>
        <v/>
      </c>
      <c r="N64" s="125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</row>
    <row r="65" spans="1:40" s="127" customFormat="1" ht="21" customHeight="1" x14ac:dyDescent="0.25">
      <c r="A65" s="51" t="str">
        <f t="shared" si="0"/>
        <v/>
      </c>
      <c r="B65" s="77"/>
      <c r="C65" s="133"/>
      <c r="D65" s="50"/>
      <c r="E65" s="141"/>
      <c r="F65" s="133"/>
      <c r="G65" s="133"/>
      <c r="H65" s="50"/>
      <c r="I65" s="51" t="str">
        <f t="shared" si="1"/>
        <v/>
      </c>
      <c r="J65" s="52" t="str">
        <f t="shared" si="2"/>
        <v/>
      </c>
      <c r="K65" s="142" t="str">
        <f>IF(OR($I65="",$I65="?",$D65&lt;&gt;"Advance",$B65=""),"",$I65&amp;"|"&amp;$J65&amp;"|"&amp;COUNTIFS($I$7:$I65,$I65,$J$7:$J65,$J65,$D$7:$D65,"Advance"))</f>
        <v/>
      </c>
      <c r="L65" s="143" t="str">
        <f>IF(OR($I65="",$I65="?",$B65=""),"",SUMPRODUCT((Weeks!$A$7:$A$59&lt;=$J65)*(Weeks!$X$5:$AI$5=$I65)*Weeks!$X$7:$AI$59)-SUMIFS($E$7:$E$1006,$I$7:$I$1006,$I65,$B$7:$B$1006,"&lt;="&amp;$B65))</f>
        <v/>
      </c>
      <c r="M65" s="132" t="str">
        <f>IF($B65&amp;$C65&amp;$D65&amp;$E65="","",IF($B65="","missing date",IF($C65="","missing worker",IF($I65="?","unknown worker - was the name changed on Workers?",IF($D65="","missing type",IF(N($E65)=0,"missing amount",IF(AND($E65&lt;0,$D65&lt;&gt;"Correction"),"negative amount - use a Correction to undo",IF(OR($B65&lt;Weeks!$A$7,$B65&gt;Weeks!$B$59),"date outside this workbook's year",IF(AND($D65="Advance",N($L65)&lt;0),"Warning: more than earned so far - worker now owes "&amp;TEXT(ROUND(-$L65,0),"#,##0"),"")))))))))</f>
        <v/>
      </c>
      <c r="N65" s="125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</row>
    <row r="66" spans="1:40" s="127" customFormat="1" ht="21" customHeight="1" x14ac:dyDescent="0.25">
      <c r="A66" s="51" t="str">
        <f t="shared" si="0"/>
        <v/>
      </c>
      <c r="B66" s="77"/>
      <c r="C66" s="133"/>
      <c r="D66" s="50"/>
      <c r="E66" s="141"/>
      <c r="F66" s="133"/>
      <c r="G66" s="133"/>
      <c r="H66" s="50"/>
      <c r="I66" s="51" t="str">
        <f t="shared" si="1"/>
        <v/>
      </c>
      <c r="J66" s="52" t="str">
        <f t="shared" si="2"/>
        <v/>
      </c>
      <c r="K66" s="142" t="str">
        <f>IF(OR($I66="",$I66="?",$D66&lt;&gt;"Advance",$B66=""),"",$I66&amp;"|"&amp;$J66&amp;"|"&amp;COUNTIFS($I$7:$I66,$I66,$J$7:$J66,$J66,$D$7:$D66,"Advance"))</f>
        <v/>
      </c>
      <c r="L66" s="143" t="str">
        <f>IF(OR($I66="",$I66="?",$B66=""),"",SUMPRODUCT((Weeks!$A$7:$A$59&lt;=$J66)*(Weeks!$X$5:$AI$5=$I66)*Weeks!$X$7:$AI$59)-SUMIFS($E$7:$E$1006,$I$7:$I$1006,$I66,$B$7:$B$1006,"&lt;="&amp;$B66))</f>
        <v/>
      </c>
      <c r="M66" s="132" t="str">
        <f>IF($B66&amp;$C66&amp;$D66&amp;$E66="","",IF($B66="","missing date",IF($C66="","missing worker",IF($I66="?","unknown worker - was the name changed on Workers?",IF($D66="","missing type",IF(N($E66)=0,"missing amount",IF(AND($E66&lt;0,$D66&lt;&gt;"Correction"),"negative amount - use a Correction to undo",IF(OR($B66&lt;Weeks!$A$7,$B66&gt;Weeks!$B$59),"date outside this workbook's year",IF(AND($D66="Advance",N($L66)&lt;0),"Warning: more than earned so far - worker now owes "&amp;TEXT(ROUND(-$L66,0),"#,##0"),"")))))))))</f>
        <v/>
      </c>
      <c r="N66" s="125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</row>
    <row r="67" spans="1:40" s="127" customFormat="1" ht="21" customHeight="1" x14ac:dyDescent="0.25">
      <c r="A67" s="51" t="str">
        <f t="shared" si="0"/>
        <v/>
      </c>
      <c r="B67" s="77"/>
      <c r="C67" s="133"/>
      <c r="D67" s="50"/>
      <c r="E67" s="141"/>
      <c r="F67" s="133"/>
      <c r="G67" s="133"/>
      <c r="H67" s="50"/>
      <c r="I67" s="51" t="str">
        <f t="shared" si="1"/>
        <v/>
      </c>
      <c r="J67" s="52" t="str">
        <f t="shared" si="2"/>
        <v/>
      </c>
      <c r="K67" s="142" t="str">
        <f>IF(OR($I67="",$I67="?",$D67&lt;&gt;"Advance",$B67=""),"",$I67&amp;"|"&amp;$J67&amp;"|"&amp;COUNTIFS($I$7:$I67,$I67,$J$7:$J67,$J67,$D$7:$D67,"Advance"))</f>
        <v/>
      </c>
      <c r="L67" s="143" t="str">
        <f>IF(OR($I67="",$I67="?",$B67=""),"",SUMPRODUCT((Weeks!$A$7:$A$59&lt;=$J67)*(Weeks!$X$5:$AI$5=$I67)*Weeks!$X$7:$AI$59)-SUMIFS($E$7:$E$1006,$I$7:$I$1006,$I67,$B$7:$B$1006,"&lt;="&amp;$B67))</f>
        <v/>
      </c>
      <c r="M67" s="132" t="str">
        <f>IF($B67&amp;$C67&amp;$D67&amp;$E67="","",IF($B67="","missing date",IF($C67="","missing worker",IF($I67="?","unknown worker - was the name changed on Workers?",IF($D67="","missing type",IF(N($E67)=0,"missing amount",IF(AND($E67&lt;0,$D67&lt;&gt;"Correction"),"negative amount - use a Correction to undo",IF(OR($B67&lt;Weeks!$A$7,$B67&gt;Weeks!$B$59),"date outside this workbook's year",IF(AND($D67="Advance",N($L67)&lt;0),"Warning: more than earned so far - worker now owes "&amp;TEXT(ROUND(-$L67,0),"#,##0"),"")))))))))</f>
        <v/>
      </c>
      <c r="N67" s="125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</row>
    <row r="68" spans="1:40" s="127" customFormat="1" ht="21" customHeight="1" x14ac:dyDescent="0.25">
      <c r="A68" s="51" t="str">
        <f t="shared" si="0"/>
        <v/>
      </c>
      <c r="B68" s="77"/>
      <c r="C68" s="133"/>
      <c r="D68" s="50"/>
      <c r="E68" s="141"/>
      <c r="F68" s="133"/>
      <c r="G68" s="133"/>
      <c r="H68" s="50"/>
      <c r="I68" s="51" t="str">
        <f t="shared" si="1"/>
        <v/>
      </c>
      <c r="J68" s="52" t="str">
        <f t="shared" si="2"/>
        <v/>
      </c>
      <c r="K68" s="142" t="str">
        <f>IF(OR($I68="",$I68="?",$D68&lt;&gt;"Advance",$B68=""),"",$I68&amp;"|"&amp;$J68&amp;"|"&amp;COUNTIFS($I$7:$I68,$I68,$J$7:$J68,$J68,$D$7:$D68,"Advance"))</f>
        <v/>
      </c>
      <c r="L68" s="143" t="str">
        <f>IF(OR($I68="",$I68="?",$B68=""),"",SUMPRODUCT((Weeks!$A$7:$A$59&lt;=$J68)*(Weeks!$X$5:$AI$5=$I68)*Weeks!$X$7:$AI$59)-SUMIFS($E$7:$E$1006,$I$7:$I$1006,$I68,$B$7:$B$1006,"&lt;="&amp;$B68))</f>
        <v/>
      </c>
      <c r="M68" s="132" t="str">
        <f>IF($B68&amp;$C68&amp;$D68&amp;$E68="","",IF($B68="","missing date",IF($C68="","missing worker",IF($I68="?","unknown worker - was the name changed on Workers?",IF($D68="","missing type",IF(N($E68)=0,"missing amount",IF(AND($E68&lt;0,$D68&lt;&gt;"Correction"),"negative amount - use a Correction to undo",IF(OR($B68&lt;Weeks!$A$7,$B68&gt;Weeks!$B$59),"date outside this workbook's year",IF(AND($D68="Advance",N($L68)&lt;0),"Warning: more than earned so far - worker now owes "&amp;TEXT(ROUND(-$L68,0),"#,##0"),"")))))))))</f>
        <v/>
      </c>
      <c r="N68" s="125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</row>
    <row r="69" spans="1:40" s="127" customFormat="1" ht="21" customHeight="1" x14ac:dyDescent="0.25">
      <c r="A69" s="51" t="str">
        <f t="shared" si="0"/>
        <v/>
      </c>
      <c r="B69" s="77"/>
      <c r="C69" s="133"/>
      <c r="D69" s="50"/>
      <c r="E69" s="141"/>
      <c r="F69" s="133"/>
      <c r="G69" s="133"/>
      <c r="H69" s="50"/>
      <c r="I69" s="51" t="str">
        <f t="shared" si="1"/>
        <v/>
      </c>
      <c r="J69" s="52" t="str">
        <f t="shared" si="2"/>
        <v/>
      </c>
      <c r="K69" s="142" t="str">
        <f>IF(OR($I69="",$I69="?",$D69&lt;&gt;"Advance",$B69=""),"",$I69&amp;"|"&amp;$J69&amp;"|"&amp;COUNTIFS($I$7:$I69,$I69,$J$7:$J69,$J69,$D$7:$D69,"Advance"))</f>
        <v/>
      </c>
      <c r="L69" s="143" t="str">
        <f>IF(OR($I69="",$I69="?",$B69=""),"",SUMPRODUCT((Weeks!$A$7:$A$59&lt;=$J69)*(Weeks!$X$5:$AI$5=$I69)*Weeks!$X$7:$AI$59)-SUMIFS($E$7:$E$1006,$I$7:$I$1006,$I69,$B$7:$B$1006,"&lt;="&amp;$B69))</f>
        <v/>
      </c>
      <c r="M69" s="132" t="str">
        <f>IF($B69&amp;$C69&amp;$D69&amp;$E69="","",IF($B69="","missing date",IF($C69="","missing worker",IF($I69="?","unknown worker - was the name changed on Workers?",IF($D69="","missing type",IF(N($E69)=0,"missing amount",IF(AND($E69&lt;0,$D69&lt;&gt;"Correction"),"negative amount - use a Correction to undo",IF(OR($B69&lt;Weeks!$A$7,$B69&gt;Weeks!$B$59),"date outside this workbook's year",IF(AND($D69="Advance",N($L69)&lt;0),"Warning: more than earned so far - worker now owes "&amp;TEXT(ROUND(-$L69,0),"#,##0"),"")))))))))</f>
        <v/>
      </c>
      <c r="N69" s="125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</row>
    <row r="70" spans="1:40" s="127" customFormat="1" ht="21" customHeight="1" x14ac:dyDescent="0.25">
      <c r="A70" s="51" t="str">
        <f t="shared" si="0"/>
        <v/>
      </c>
      <c r="B70" s="77"/>
      <c r="C70" s="133"/>
      <c r="D70" s="50"/>
      <c r="E70" s="141"/>
      <c r="F70" s="133"/>
      <c r="G70" s="133"/>
      <c r="H70" s="50"/>
      <c r="I70" s="51" t="str">
        <f t="shared" si="1"/>
        <v/>
      </c>
      <c r="J70" s="52" t="str">
        <f t="shared" si="2"/>
        <v/>
      </c>
      <c r="K70" s="142" t="str">
        <f>IF(OR($I70="",$I70="?",$D70&lt;&gt;"Advance",$B70=""),"",$I70&amp;"|"&amp;$J70&amp;"|"&amp;COUNTIFS($I$7:$I70,$I70,$J$7:$J70,$J70,$D$7:$D70,"Advance"))</f>
        <v/>
      </c>
      <c r="L70" s="143" t="str">
        <f>IF(OR($I70="",$I70="?",$B70=""),"",SUMPRODUCT((Weeks!$A$7:$A$59&lt;=$J70)*(Weeks!$X$5:$AI$5=$I70)*Weeks!$X$7:$AI$59)-SUMIFS($E$7:$E$1006,$I$7:$I$1006,$I70,$B$7:$B$1006,"&lt;="&amp;$B70))</f>
        <v/>
      </c>
      <c r="M70" s="132" t="str">
        <f>IF($B70&amp;$C70&amp;$D70&amp;$E70="","",IF($B70="","missing date",IF($C70="","missing worker",IF($I70="?","unknown worker - was the name changed on Workers?",IF($D70="","missing type",IF(N($E70)=0,"missing amount",IF(AND($E70&lt;0,$D70&lt;&gt;"Correction"),"negative amount - use a Correction to undo",IF(OR($B70&lt;Weeks!$A$7,$B70&gt;Weeks!$B$59),"date outside this workbook's year",IF(AND($D70="Advance",N($L70)&lt;0),"Warning: more than earned so far - worker now owes "&amp;TEXT(ROUND(-$L70,0),"#,##0"),"")))))))))</f>
        <v/>
      </c>
      <c r="N70" s="125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</row>
    <row r="71" spans="1:40" s="127" customFormat="1" ht="21" customHeight="1" x14ac:dyDescent="0.25">
      <c r="A71" s="51" t="str">
        <f t="shared" ref="A71:A134" si="3">IF($B71="","",ROW()-6)</f>
        <v/>
      </c>
      <c r="B71" s="77"/>
      <c r="C71" s="133"/>
      <c r="D71" s="50"/>
      <c r="E71" s="141"/>
      <c r="F71" s="133"/>
      <c r="G71" s="133"/>
      <c r="H71" s="50"/>
      <c r="I71" s="51" t="str">
        <f t="shared" ref="I71:I134" si="4">IF($C71="","",IFERROR(INDEX(WorkerIDs,MATCH($C71,WorkerNames,0)),"?"))</f>
        <v/>
      </c>
      <c r="J71" s="52" t="str">
        <f t="shared" ref="J71:J134" si="5">IF($B71="","",$B71-WEEKDAY($B71,2)+1)</f>
        <v/>
      </c>
      <c r="K71" s="142" t="str">
        <f>IF(OR($I71="",$I71="?",$D71&lt;&gt;"Advance",$B71=""),"",$I71&amp;"|"&amp;$J71&amp;"|"&amp;COUNTIFS($I$7:$I71,$I71,$J$7:$J71,$J71,$D$7:$D71,"Advance"))</f>
        <v/>
      </c>
      <c r="L71" s="143" t="str">
        <f>IF(OR($I71="",$I71="?",$B71=""),"",SUMPRODUCT((Weeks!$A$7:$A$59&lt;=$J71)*(Weeks!$X$5:$AI$5=$I71)*Weeks!$X$7:$AI$59)-SUMIFS($E$7:$E$1006,$I$7:$I$1006,$I71,$B$7:$B$1006,"&lt;="&amp;$B71))</f>
        <v/>
      </c>
      <c r="M71" s="132" t="str">
        <f>IF($B71&amp;$C71&amp;$D71&amp;$E71="","",IF($B71="","missing date",IF($C71="","missing worker",IF($I71="?","unknown worker - was the name changed on Workers?",IF($D71="","missing type",IF(N($E71)=0,"missing amount",IF(AND($E71&lt;0,$D71&lt;&gt;"Correction"),"negative amount - use a Correction to undo",IF(OR($B71&lt;Weeks!$A$7,$B71&gt;Weeks!$B$59),"date outside this workbook's year",IF(AND($D71="Advance",N($L71)&lt;0),"Warning: more than earned so far - worker now owes "&amp;TEXT(ROUND(-$L71,0),"#,##0"),"")))))))))</f>
        <v/>
      </c>
      <c r="N71" s="125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</row>
    <row r="72" spans="1:40" s="127" customFormat="1" ht="21" customHeight="1" x14ac:dyDescent="0.25">
      <c r="A72" s="51" t="str">
        <f t="shared" si="3"/>
        <v/>
      </c>
      <c r="B72" s="77"/>
      <c r="C72" s="133"/>
      <c r="D72" s="50"/>
      <c r="E72" s="141"/>
      <c r="F72" s="133"/>
      <c r="G72" s="133"/>
      <c r="H72" s="50"/>
      <c r="I72" s="51" t="str">
        <f t="shared" si="4"/>
        <v/>
      </c>
      <c r="J72" s="52" t="str">
        <f t="shared" si="5"/>
        <v/>
      </c>
      <c r="K72" s="142" t="str">
        <f>IF(OR($I72="",$I72="?",$D72&lt;&gt;"Advance",$B72=""),"",$I72&amp;"|"&amp;$J72&amp;"|"&amp;COUNTIFS($I$7:$I72,$I72,$J$7:$J72,$J72,$D$7:$D72,"Advance"))</f>
        <v/>
      </c>
      <c r="L72" s="143" t="str">
        <f>IF(OR($I72="",$I72="?",$B72=""),"",SUMPRODUCT((Weeks!$A$7:$A$59&lt;=$J72)*(Weeks!$X$5:$AI$5=$I72)*Weeks!$X$7:$AI$59)-SUMIFS($E$7:$E$1006,$I$7:$I$1006,$I72,$B$7:$B$1006,"&lt;="&amp;$B72))</f>
        <v/>
      </c>
      <c r="M72" s="132" t="str">
        <f>IF($B72&amp;$C72&amp;$D72&amp;$E72="","",IF($B72="","missing date",IF($C72="","missing worker",IF($I72="?","unknown worker - was the name changed on Workers?",IF($D72="","missing type",IF(N($E72)=0,"missing amount",IF(AND($E72&lt;0,$D72&lt;&gt;"Correction"),"negative amount - use a Correction to undo",IF(OR($B72&lt;Weeks!$A$7,$B72&gt;Weeks!$B$59),"date outside this workbook's year",IF(AND($D72="Advance",N($L72)&lt;0),"Warning: more than earned so far - worker now owes "&amp;TEXT(ROUND(-$L72,0),"#,##0"),"")))))))))</f>
        <v/>
      </c>
      <c r="N72" s="125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</row>
    <row r="73" spans="1:40" s="127" customFormat="1" ht="21" customHeight="1" x14ac:dyDescent="0.25">
      <c r="A73" s="51" t="str">
        <f t="shared" si="3"/>
        <v/>
      </c>
      <c r="B73" s="77"/>
      <c r="C73" s="133"/>
      <c r="D73" s="50"/>
      <c r="E73" s="141"/>
      <c r="F73" s="133"/>
      <c r="G73" s="133"/>
      <c r="H73" s="50"/>
      <c r="I73" s="51" t="str">
        <f t="shared" si="4"/>
        <v/>
      </c>
      <c r="J73" s="52" t="str">
        <f t="shared" si="5"/>
        <v/>
      </c>
      <c r="K73" s="142" t="str">
        <f>IF(OR($I73="",$I73="?",$D73&lt;&gt;"Advance",$B73=""),"",$I73&amp;"|"&amp;$J73&amp;"|"&amp;COUNTIFS($I$7:$I73,$I73,$J$7:$J73,$J73,$D$7:$D73,"Advance"))</f>
        <v/>
      </c>
      <c r="L73" s="143" t="str">
        <f>IF(OR($I73="",$I73="?",$B73=""),"",SUMPRODUCT((Weeks!$A$7:$A$59&lt;=$J73)*(Weeks!$X$5:$AI$5=$I73)*Weeks!$X$7:$AI$59)-SUMIFS($E$7:$E$1006,$I$7:$I$1006,$I73,$B$7:$B$1006,"&lt;="&amp;$B73))</f>
        <v/>
      </c>
      <c r="M73" s="132" t="str">
        <f>IF($B73&amp;$C73&amp;$D73&amp;$E73="","",IF($B73="","missing date",IF($C73="","missing worker",IF($I73="?","unknown worker - was the name changed on Workers?",IF($D73="","missing type",IF(N($E73)=0,"missing amount",IF(AND($E73&lt;0,$D73&lt;&gt;"Correction"),"negative amount - use a Correction to undo",IF(OR($B73&lt;Weeks!$A$7,$B73&gt;Weeks!$B$59),"date outside this workbook's year",IF(AND($D73="Advance",N($L73)&lt;0),"Warning: more than earned so far - worker now owes "&amp;TEXT(ROUND(-$L73,0),"#,##0"),"")))))))))</f>
        <v/>
      </c>
      <c r="N73" s="125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</row>
    <row r="74" spans="1:40" s="127" customFormat="1" ht="21" customHeight="1" x14ac:dyDescent="0.25">
      <c r="A74" s="51" t="str">
        <f t="shared" si="3"/>
        <v/>
      </c>
      <c r="B74" s="77"/>
      <c r="C74" s="133"/>
      <c r="D74" s="50"/>
      <c r="E74" s="141"/>
      <c r="F74" s="133"/>
      <c r="G74" s="133"/>
      <c r="H74" s="50"/>
      <c r="I74" s="51" t="str">
        <f t="shared" si="4"/>
        <v/>
      </c>
      <c r="J74" s="52" t="str">
        <f t="shared" si="5"/>
        <v/>
      </c>
      <c r="K74" s="142" t="str">
        <f>IF(OR($I74="",$I74="?",$D74&lt;&gt;"Advance",$B74=""),"",$I74&amp;"|"&amp;$J74&amp;"|"&amp;COUNTIFS($I$7:$I74,$I74,$J$7:$J74,$J74,$D$7:$D74,"Advance"))</f>
        <v/>
      </c>
      <c r="L74" s="143" t="str">
        <f>IF(OR($I74="",$I74="?",$B74=""),"",SUMPRODUCT((Weeks!$A$7:$A$59&lt;=$J74)*(Weeks!$X$5:$AI$5=$I74)*Weeks!$X$7:$AI$59)-SUMIFS($E$7:$E$1006,$I$7:$I$1006,$I74,$B$7:$B$1006,"&lt;="&amp;$B74))</f>
        <v/>
      </c>
      <c r="M74" s="132" t="str">
        <f>IF($B74&amp;$C74&amp;$D74&amp;$E74="","",IF($B74="","missing date",IF($C74="","missing worker",IF($I74="?","unknown worker - was the name changed on Workers?",IF($D74="","missing type",IF(N($E74)=0,"missing amount",IF(AND($E74&lt;0,$D74&lt;&gt;"Correction"),"negative amount - use a Correction to undo",IF(OR($B74&lt;Weeks!$A$7,$B74&gt;Weeks!$B$59),"date outside this workbook's year",IF(AND($D74="Advance",N($L74)&lt;0),"Warning: more than earned so far - worker now owes "&amp;TEXT(ROUND(-$L74,0),"#,##0"),"")))))))))</f>
        <v/>
      </c>
      <c r="N74" s="125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</row>
    <row r="75" spans="1:40" s="127" customFormat="1" ht="21" customHeight="1" x14ac:dyDescent="0.25">
      <c r="A75" s="51" t="str">
        <f t="shared" si="3"/>
        <v/>
      </c>
      <c r="B75" s="77"/>
      <c r="C75" s="133"/>
      <c r="D75" s="50"/>
      <c r="E75" s="141"/>
      <c r="F75" s="133"/>
      <c r="G75" s="133"/>
      <c r="H75" s="50"/>
      <c r="I75" s="51" t="str">
        <f t="shared" si="4"/>
        <v/>
      </c>
      <c r="J75" s="52" t="str">
        <f t="shared" si="5"/>
        <v/>
      </c>
      <c r="K75" s="142" t="str">
        <f>IF(OR($I75="",$I75="?",$D75&lt;&gt;"Advance",$B75=""),"",$I75&amp;"|"&amp;$J75&amp;"|"&amp;COUNTIFS($I$7:$I75,$I75,$J$7:$J75,$J75,$D$7:$D75,"Advance"))</f>
        <v/>
      </c>
      <c r="L75" s="143" t="str">
        <f>IF(OR($I75="",$I75="?",$B75=""),"",SUMPRODUCT((Weeks!$A$7:$A$59&lt;=$J75)*(Weeks!$X$5:$AI$5=$I75)*Weeks!$X$7:$AI$59)-SUMIFS($E$7:$E$1006,$I$7:$I$1006,$I75,$B$7:$B$1006,"&lt;="&amp;$B75))</f>
        <v/>
      </c>
      <c r="M75" s="132" t="str">
        <f>IF($B75&amp;$C75&amp;$D75&amp;$E75="","",IF($B75="","missing date",IF($C75="","missing worker",IF($I75="?","unknown worker - was the name changed on Workers?",IF($D75="","missing type",IF(N($E75)=0,"missing amount",IF(AND($E75&lt;0,$D75&lt;&gt;"Correction"),"negative amount - use a Correction to undo",IF(OR($B75&lt;Weeks!$A$7,$B75&gt;Weeks!$B$59),"date outside this workbook's year",IF(AND($D75="Advance",N($L75)&lt;0),"Warning: more than earned so far - worker now owes "&amp;TEXT(ROUND(-$L75,0),"#,##0"),"")))))))))</f>
        <v/>
      </c>
      <c r="N75" s="125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</row>
    <row r="76" spans="1:40" s="127" customFormat="1" ht="21" customHeight="1" x14ac:dyDescent="0.25">
      <c r="A76" s="51" t="str">
        <f t="shared" si="3"/>
        <v/>
      </c>
      <c r="B76" s="77"/>
      <c r="C76" s="133"/>
      <c r="D76" s="50"/>
      <c r="E76" s="141"/>
      <c r="F76" s="133"/>
      <c r="G76" s="133"/>
      <c r="H76" s="50"/>
      <c r="I76" s="51" t="str">
        <f t="shared" si="4"/>
        <v/>
      </c>
      <c r="J76" s="52" t="str">
        <f t="shared" si="5"/>
        <v/>
      </c>
      <c r="K76" s="142" t="str">
        <f>IF(OR($I76="",$I76="?",$D76&lt;&gt;"Advance",$B76=""),"",$I76&amp;"|"&amp;$J76&amp;"|"&amp;COUNTIFS($I$7:$I76,$I76,$J$7:$J76,$J76,$D$7:$D76,"Advance"))</f>
        <v/>
      </c>
      <c r="L76" s="143" t="str">
        <f>IF(OR($I76="",$I76="?",$B76=""),"",SUMPRODUCT((Weeks!$A$7:$A$59&lt;=$J76)*(Weeks!$X$5:$AI$5=$I76)*Weeks!$X$7:$AI$59)-SUMIFS($E$7:$E$1006,$I$7:$I$1006,$I76,$B$7:$B$1006,"&lt;="&amp;$B76))</f>
        <v/>
      </c>
      <c r="M76" s="132" t="str">
        <f>IF($B76&amp;$C76&amp;$D76&amp;$E76="","",IF($B76="","missing date",IF($C76="","missing worker",IF($I76="?","unknown worker - was the name changed on Workers?",IF($D76="","missing type",IF(N($E76)=0,"missing amount",IF(AND($E76&lt;0,$D76&lt;&gt;"Correction"),"negative amount - use a Correction to undo",IF(OR($B76&lt;Weeks!$A$7,$B76&gt;Weeks!$B$59),"date outside this workbook's year",IF(AND($D76="Advance",N($L76)&lt;0),"Warning: more than earned so far - worker now owes "&amp;TEXT(ROUND(-$L76,0),"#,##0"),"")))))))))</f>
        <v/>
      </c>
      <c r="N76" s="125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</row>
    <row r="77" spans="1:40" s="127" customFormat="1" ht="21" customHeight="1" x14ac:dyDescent="0.25">
      <c r="A77" s="51" t="str">
        <f t="shared" si="3"/>
        <v/>
      </c>
      <c r="B77" s="77"/>
      <c r="C77" s="133"/>
      <c r="D77" s="50"/>
      <c r="E77" s="141"/>
      <c r="F77" s="133"/>
      <c r="G77" s="133"/>
      <c r="H77" s="50"/>
      <c r="I77" s="51" t="str">
        <f t="shared" si="4"/>
        <v/>
      </c>
      <c r="J77" s="52" t="str">
        <f t="shared" si="5"/>
        <v/>
      </c>
      <c r="K77" s="142" t="str">
        <f>IF(OR($I77="",$I77="?",$D77&lt;&gt;"Advance",$B77=""),"",$I77&amp;"|"&amp;$J77&amp;"|"&amp;COUNTIFS($I$7:$I77,$I77,$J$7:$J77,$J77,$D$7:$D77,"Advance"))</f>
        <v/>
      </c>
      <c r="L77" s="143" t="str">
        <f>IF(OR($I77="",$I77="?",$B77=""),"",SUMPRODUCT((Weeks!$A$7:$A$59&lt;=$J77)*(Weeks!$X$5:$AI$5=$I77)*Weeks!$X$7:$AI$59)-SUMIFS($E$7:$E$1006,$I$7:$I$1006,$I77,$B$7:$B$1006,"&lt;="&amp;$B77))</f>
        <v/>
      </c>
      <c r="M77" s="132" t="str">
        <f>IF($B77&amp;$C77&amp;$D77&amp;$E77="","",IF($B77="","missing date",IF($C77="","missing worker",IF($I77="?","unknown worker - was the name changed on Workers?",IF($D77="","missing type",IF(N($E77)=0,"missing amount",IF(AND($E77&lt;0,$D77&lt;&gt;"Correction"),"negative amount - use a Correction to undo",IF(OR($B77&lt;Weeks!$A$7,$B77&gt;Weeks!$B$59),"date outside this workbook's year",IF(AND($D77="Advance",N($L77)&lt;0),"Warning: more than earned so far - worker now owes "&amp;TEXT(ROUND(-$L77,0),"#,##0"),"")))))))))</f>
        <v/>
      </c>
      <c r="N77" s="125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</row>
    <row r="78" spans="1:40" s="127" customFormat="1" ht="21" customHeight="1" x14ac:dyDescent="0.25">
      <c r="A78" s="51" t="str">
        <f t="shared" si="3"/>
        <v/>
      </c>
      <c r="B78" s="77"/>
      <c r="C78" s="133"/>
      <c r="D78" s="50"/>
      <c r="E78" s="141"/>
      <c r="F78" s="133"/>
      <c r="G78" s="133"/>
      <c r="H78" s="50"/>
      <c r="I78" s="51" t="str">
        <f t="shared" si="4"/>
        <v/>
      </c>
      <c r="J78" s="52" t="str">
        <f t="shared" si="5"/>
        <v/>
      </c>
      <c r="K78" s="142" t="str">
        <f>IF(OR($I78="",$I78="?",$D78&lt;&gt;"Advance",$B78=""),"",$I78&amp;"|"&amp;$J78&amp;"|"&amp;COUNTIFS($I$7:$I78,$I78,$J$7:$J78,$J78,$D$7:$D78,"Advance"))</f>
        <v/>
      </c>
      <c r="L78" s="143" t="str">
        <f>IF(OR($I78="",$I78="?",$B78=""),"",SUMPRODUCT((Weeks!$A$7:$A$59&lt;=$J78)*(Weeks!$X$5:$AI$5=$I78)*Weeks!$X$7:$AI$59)-SUMIFS($E$7:$E$1006,$I$7:$I$1006,$I78,$B$7:$B$1006,"&lt;="&amp;$B78))</f>
        <v/>
      </c>
      <c r="M78" s="132" t="str">
        <f>IF($B78&amp;$C78&amp;$D78&amp;$E78="","",IF($B78="","missing date",IF($C78="","missing worker",IF($I78="?","unknown worker - was the name changed on Workers?",IF($D78="","missing type",IF(N($E78)=0,"missing amount",IF(AND($E78&lt;0,$D78&lt;&gt;"Correction"),"negative amount - use a Correction to undo",IF(OR($B78&lt;Weeks!$A$7,$B78&gt;Weeks!$B$59),"date outside this workbook's year",IF(AND($D78="Advance",N($L78)&lt;0),"Warning: more than earned so far - worker now owes "&amp;TEXT(ROUND(-$L78,0),"#,##0"),"")))))))))</f>
        <v/>
      </c>
      <c r="N78" s="125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</row>
    <row r="79" spans="1:40" s="127" customFormat="1" ht="21" customHeight="1" x14ac:dyDescent="0.25">
      <c r="A79" s="51" t="str">
        <f t="shared" si="3"/>
        <v/>
      </c>
      <c r="B79" s="77"/>
      <c r="C79" s="133"/>
      <c r="D79" s="50"/>
      <c r="E79" s="141"/>
      <c r="F79" s="133"/>
      <c r="G79" s="133"/>
      <c r="H79" s="50"/>
      <c r="I79" s="51" t="str">
        <f t="shared" si="4"/>
        <v/>
      </c>
      <c r="J79" s="52" t="str">
        <f t="shared" si="5"/>
        <v/>
      </c>
      <c r="K79" s="142" t="str">
        <f>IF(OR($I79="",$I79="?",$D79&lt;&gt;"Advance",$B79=""),"",$I79&amp;"|"&amp;$J79&amp;"|"&amp;COUNTIFS($I$7:$I79,$I79,$J$7:$J79,$J79,$D$7:$D79,"Advance"))</f>
        <v/>
      </c>
      <c r="L79" s="143" t="str">
        <f>IF(OR($I79="",$I79="?",$B79=""),"",SUMPRODUCT((Weeks!$A$7:$A$59&lt;=$J79)*(Weeks!$X$5:$AI$5=$I79)*Weeks!$X$7:$AI$59)-SUMIFS($E$7:$E$1006,$I$7:$I$1006,$I79,$B$7:$B$1006,"&lt;="&amp;$B79))</f>
        <v/>
      </c>
      <c r="M79" s="132" t="str">
        <f>IF($B79&amp;$C79&amp;$D79&amp;$E79="","",IF($B79="","missing date",IF($C79="","missing worker",IF($I79="?","unknown worker - was the name changed on Workers?",IF($D79="","missing type",IF(N($E79)=0,"missing amount",IF(AND($E79&lt;0,$D79&lt;&gt;"Correction"),"negative amount - use a Correction to undo",IF(OR($B79&lt;Weeks!$A$7,$B79&gt;Weeks!$B$59),"date outside this workbook's year",IF(AND($D79="Advance",N($L79)&lt;0),"Warning: more than earned so far - worker now owes "&amp;TEXT(ROUND(-$L79,0),"#,##0"),"")))))))))</f>
        <v/>
      </c>
      <c r="N79" s="125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</row>
    <row r="80" spans="1:40" s="127" customFormat="1" ht="21" customHeight="1" x14ac:dyDescent="0.25">
      <c r="A80" s="51" t="str">
        <f t="shared" si="3"/>
        <v/>
      </c>
      <c r="B80" s="77"/>
      <c r="C80" s="133"/>
      <c r="D80" s="50"/>
      <c r="E80" s="141"/>
      <c r="F80" s="133"/>
      <c r="G80" s="133"/>
      <c r="H80" s="50"/>
      <c r="I80" s="51" t="str">
        <f t="shared" si="4"/>
        <v/>
      </c>
      <c r="J80" s="52" t="str">
        <f t="shared" si="5"/>
        <v/>
      </c>
      <c r="K80" s="142" t="str">
        <f>IF(OR($I80="",$I80="?",$D80&lt;&gt;"Advance",$B80=""),"",$I80&amp;"|"&amp;$J80&amp;"|"&amp;COUNTIFS($I$7:$I80,$I80,$J$7:$J80,$J80,$D$7:$D80,"Advance"))</f>
        <v/>
      </c>
      <c r="L80" s="143" t="str">
        <f>IF(OR($I80="",$I80="?",$B80=""),"",SUMPRODUCT((Weeks!$A$7:$A$59&lt;=$J80)*(Weeks!$X$5:$AI$5=$I80)*Weeks!$X$7:$AI$59)-SUMIFS($E$7:$E$1006,$I$7:$I$1006,$I80,$B$7:$B$1006,"&lt;="&amp;$B80))</f>
        <v/>
      </c>
      <c r="M80" s="132" t="str">
        <f>IF($B80&amp;$C80&amp;$D80&amp;$E80="","",IF($B80="","missing date",IF($C80="","missing worker",IF($I80="?","unknown worker - was the name changed on Workers?",IF($D80="","missing type",IF(N($E80)=0,"missing amount",IF(AND($E80&lt;0,$D80&lt;&gt;"Correction"),"negative amount - use a Correction to undo",IF(OR($B80&lt;Weeks!$A$7,$B80&gt;Weeks!$B$59),"date outside this workbook's year",IF(AND($D80="Advance",N($L80)&lt;0),"Warning: more than earned so far - worker now owes "&amp;TEXT(ROUND(-$L80,0),"#,##0"),"")))))))))</f>
        <v/>
      </c>
      <c r="N80" s="125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</row>
    <row r="81" spans="1:40" s="127" customFormat="1" ht="21" customHeight="1" x14ac:dyDescent="0.25">
      <c r="A81" s="51" t="str">
        <f t="shared" si="3"/>
        <v/>
      </c>
      <c r="B81" s="77"/>
      <c r="C81" s="133"/>
      <c r="D81" s="50"/>
      <c r="E81" s="141"/>
      <c r="F81" s="133"/>
      <c r="G81" s="133"/>
      <c r="H81" s="50"/>
      <c r="I81" s="51" t="str">
        <f t="shared" si="4"/>
        <v/>
      </c>
      <c r="J81" s="52" t="str">
        <f t="shared" si="5"/>
        <v/>
      </c>
      <c r="K81" s="142" t="str">
        <f>IF(OR($I81="",$I81="?",$D81&lt;&gt;"Advance",$B81=""),"",$I81&amp;"|"&amp;$J81&amp;"|"&amp;COUNTIFS($I$7:$I81,$I81,$J$7:$J81,$J81,$D$7:$D81,"Advance"))</f>
        <v/>
      </c>
      <c r="L81" s="143" t="str">
        <f>IF(OR($I81="",$I81="?",$B81=""),"",SUMPRODUCT((Weeks!$A$7:$A$59&lt;=$J81)*(Weeks!$X$5:$AI$5=$I81)*Weeks!$X$7:$AI$59)-SUMIFS($E$7:$E$1006,$I$7:$I$1006,$I81,$B$7:$B$1006,"&lt;="&amp;$B81))</f>
        <v/>
      </c>
      <c r="M81" s="132" t="str">
        <f>IF($B81&amp;$C81&amp;$D81&amp;$E81="","",IF($B81="","missing date",IF($C81="","missing worker",IF($I81="?","unknown worker - was the name changed on Workers?",IF($D81="","missing type",IF(N($E81)=0,"missing amount",IF(AND($E81&lt;0,$D81&lt;&gt;"Correction"),"negative amount - use a Correction to undo",IF(OR($B81&lt;Weeks!$A$7,$B81&gt;Weeks!$B$59),"date outside this workbook's year",IF(AND($D81="Advance",N($L81)&lt;0),"Warning: more than earned so far - worker now owes "&amp;TEXT(ROUND(-$L81,0),"#,##0"),"")))))))))</f>
        <v/>
      </c>
      <c r="N81" s="125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</row>
    <row r="82" spans="1:40" s="127" customFormat="1" ht="21" customHeight="1" x14ac:dyDescent="0.25">
      <c r="A82" s="51" t="str">
        <f t="shared" si="3"/>
        <v/>
      </c>
      <c r="B82" s="77"/>
      <c r="C82" s="133"/>
      <c r="D82" s="50"/>
      <c r="E82" s="141"/>
      <c r="F82" s="133"/>
      <c r="G82" s="133"/>
      <c r="H82" s="50"/>
      <c r="I82" s="51" t="str">
        <f t="shared" si="4"/>
        <v/>
      </c>
      <c r="J82" s="52" t="str">
        <f t="shared" si="5"/>
        <v/>
      </c>
      <c r="K82" s="142" t="str">
        <f>IF(OR($I82="",$I82="?",$D82&lt;&gt;"Advance",$B82=""),"",$I82&amp;"|"&amp;$J82&amp;"|"&amp;COUNTIFS($I$7:$I82,$I82,$J$7:$J82,$J82,$D$7:$D82,"Advance"))</f>
        <v/>
      </c>
      <c r="L82" s="143" t="str">
        <f>IF(OR($I82="",$I82="?",$B82=""),"",SUMPRODUCT((Weeks!$A$7:$A$59&lt;=$J82)*(Weeks!$X$5:$AI$5=$I82)*Weeks!$X$7:$AI$59)-SUMIFS($E$7:$E$1006,$I$7:$I$1006,$I82,$B$7:$B$1006,"&lt;="&amp;$B82))</f>
        <v/>
      </c>
      <c r="M82" s="132" t="str">
        <f>IF($B82&amp;$C82&amp;$D82&amp;$E82="","",IF($B82="","missing date",IF($C82="","missing worker",IF($I82="?","unknown worker - was the name changed on Workers?",IF($D82="","missing type",IF(N($E82)=0,"missing amount",IF(AND($E82&lt;0,$D82&lt;&gt;"Correction"),"negative amount - use a Correction to undo",IF(OR($B82&lt;Weeks!$A$7,$B82&gt;Weeks!$B$59),"date outside this workbook's year",IF(AND($D82="Advance",N($L82)&lt;0),"Warning: more than earned so far - worker now owes "&amp;TEXT(ROUND(-$L82,0),"#,##0"),"")))))))))</f>
        <v/>
      </c>
      <c r="N82" s="125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</row>
    <row r="83" spans="1:40" s="127" customFormat="1" ht="21" customHeight="1" x14ac:dyDescent="0.25">
      <c r="A83" s="51" t="str">
        <f t="shared" si="3"/>
        <v/>
      </c>
      <c r="B83" s="77"/>
      <c r="C83" s="133"/>
      <c r="D83" s="50"/>
      <c r="E83" s="141"/>
      <c r="F83" s="133"/>
      <c r="G83" s="133"/>
      <c r="H83" s="50"/>
      <c r="I83" s="51" t="str">
        <f t="shared" si="4"/>
        <v/>
      </c>
      <c r="J83" s="52" t="str">
        <f t="shared" si="5"/>
        <v/>
      </c>
      <c r="K83" s="142" t="str">
        <f>IF(OR($I83="",$I83="?",$D83&lt;&gt;"Advance",$B83=""),"",$I83&amp;"|"&amp;$J83&amp;"|"&amp;COUNTIFS($I$7:$I83,$I83,$J$7:$J83,$J83,$D$7:$D83,"Advance"))</f>
        <v/>
      </c>
      <c r="L83" s="143" t="str">
        <f>IF(OR($I83="",$I83="?",$B83=""),"",SUMPRODUCT((Weeks!$A$7:$A$59&lt;=$J83)*(Weeks!$X$5:$AI$5=$I83)*Weeks!$X$7:$AI$59)-SUMIFS($E$7:$E$1006,$I$7:$I$1006,$I83,$B$7:$B$1006,"&lt;="&amp;$B83))</f>
        <v/>
      </c>
      <c r="M83" s="132" t="str">
        <f>IF($B83&amp;$C83&amp;$D83&amp;$E83="","",IF($B83="","missing date",IF($C83="","missing worker",IF($I83="?","unknown worker - was the name changed on Workers?",IF($D83="","missing type",IF(N($E83)=0,"missing amount",IF(AND($E83&lt;0,$D83&lt;&gt;"Correction"),"negative amount - use a Correction to undo",IF(OR($B83&lt;Weeks!$A$7,$B83&gt;Weeks!$B$59),"date outside this workbook's year",IF(AND($D83="Advance",N($L83)&lt;0),"Warning: more than earned so far - worker now owes "&amp;TEXT(ROUND(-$L83,0),"#,##0"),"")))))))))</f>
        <v/>
      </c>
      <c r="N83" s="125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</row>
    <row r="84" spans="1:40" s="127" customFormat="1" ht="21" customHeight="1" x14ac:dyDescent="0.25">
      <c r="A84" s="51" t="str">
        <f t="shared" si="3"/>
        <v/>
      </c>
      <c r="B84" s="77"/>
      <c r="C84" s="133"/>
      <c r="D84" s="50"/>
      <c r="E84" s="141"/>
      <c r="F84" s="133"/>
      <c r="G84" s="133"/>
      <c r="H84" s="50"/>
      <c r="I84" s="51" t="str">
        <f t="shared" si="4"/>
        <v/>
      </c>
      <c r="J84" s="52" t="str">
        <f t="shared" si="5"/>
        <v/>
      </c>
      <c r="K84" s="142" t="str">
        <f>IF(OR($I84="",$I84="?",$D84&lt;&gt;"Advance",$B84=""),"",$I84&amp;"|"&amp;$J84&amp;"|"&amp;COUNTIFS($I$7:$I84,$I84,$J$7:$J84,$J84,$D$7:$D84,"Advance"))</f>
        <v/>
      </c>
      <c r="L84" s="143" t="str">
        <f>IF(OR($I84="",$I84="?",$B84=""),"",SUMPRODUCT((Weeks!$A$7:$A$59&lt;=$J84)*(Weeks!$X$5:$AI$5=$I84)*Weeks!$X$7:$AI$59)-SUMIFS($E$7:$E$1006,$I$7:$I$1006,$I84,$B$7:$B$1006,"&lt;="&amp;$B84))</f>
        <v/>
      </c>
      <c r="M84" s="132" t="str">
        <f>IF($B84&amp;$C84&amp;$D84&amp;$E84="","",IF($B84="","missing date",IF($C84="","missing worker",IF($I84="?","unknown worker - was the name changed on Workers?",IF($D84="","missing type",IF(N($E84)=0,"missing amount",IF(AND($E84&lt;0,$D84&lt;&gt;"Correction"),"negative amount - use a Correction to undo",IF(OR($B84&lt;Weeks!$A$7,$B84&gt;Weeks!$B$59),"date outside this workbook's year",IF(AND($D84="Advance",N($L84)&lt;0),"Warning: more than earned so far - worker now owes "&amp;TEXT(ROUND(-$L84,0),"#,##0"),"")))))))))</f>
        <v/>
      </c>
      <c r="N84" s="125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</row>
    <row r="85" spans="1:40" s="127" customFormat="1" ht="21" customHeight="1" x14ac:dyDescent="0.25">
      <c r="A85" s="51" t="str">
        <f t="shared" si="3"/>
        <v/>
      </c>
      <c r="B85" s="77"/>
      <c r="C85" s="133"/>
      <c r="D85" s="50"/>
      <c r="E85" s="141"/>
      <c r="F85" s="133"/>
      <c r="G85" s="133"/>
      <c r="H85" s="50"/>
      <c r="I85" s="51" t="str">
        <f t="shared" si="4"/>
        <v/>
      </c>
      <c r="J85" s="52" t="str">
        <f t="shared" si="5"/>
        <v/>
      </c>
      <c r="K85" s="142" t="str">
        <f>IF(OR($I85="",$I85="?",$D85&lt;&gt;"Advance",$B85=""),"",$I85&amp;"|"&amp;$J85&amp;"|"&amp;COUNTIFS($I$7:$I85,$I85,$J$7:$J85,$J85,$D$7:$D85,"Advance"))</f>
        <v/>
      </c>
      <c r="L85" s="143" t="str">
        <f>IF(OR($I85="",$I85="?",$B85=""),"",SUMPRODUCT((Weeks!$A$7:$A$59&lt;=$J85)*(Weeks!$X$5:$AI$5=$I85)*Weeks!$X$7:$AI$59)-SUMIFS($E$7:$E$1006,$I$7:$I$1006,$I85,$B$7:$B$1006,"&lt;="&amp;$B85))</f>
        <v/>
      </c>
      <c r="M85" s="132" t="str">
        <f>IF($B85&amp;$C85&amp;$D85&amp;$E85="","",IF($B85="","missing date",IF($C85="","missing worker",IF($I85="?","unknown worker - was the name changed on Workers?",IF($D85="","missing type",IF(N($E85)=0,"missing amount",IF(AND($E85&lt;0,$D85&lt;&gt;"Correction"),"negative amount - use a Correction to undo",IF(OR($B85&lt;Weeks!$A$7,$B85&gt;Weeks!$B$59),"date outside this workbook's year",IF(AND($D85="Advance",N($L85)&lt;0),"Warning: more than earned so far - worker now owes "&amp;TEXT(ROUND(-$L85,0),"#,##0"),"")))))))))</f>
        <v/>
      </c>
      <c r="N85" s="125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</row>
    <row r="86" spans="1:40" s="127" customFormat="1" ht="21" customHeight="1" x14ac:dyDescent="0.25">
      <c r="A86" s="51" t="str">
        <f t="shared" si="3"/>
        <v/>
      </c>
      <c r="B86" s="77"/>
      <c r="C86" s="133"/>
      <c r="D86" s="50"/>
      <c r="E86" s="141"/>
      <c r="F86" s="133"/>
      <c r="G86" s="133"/>
      <c r="H86" s="50"/>
      <c r="I86" s="51" t="str">
        <f t="shared" si="4"/>
        <v/>
      </c>
      <c r="J86" s="52" t="str">
        <f t="shared" si="5"/>
        <v/>
      </c>
      <c r="K86" s="142" t="str">
        <f>IF(OR($I86="",$I86="?",$D86&lt;&gt;"Advance",$B86=""),"",$I86&amp;"|"&amp;$J86&amp;"|"&amp;COUNTIFS($I$7:$I86,$I86,$J$7:$J86,$J86,$D$7:$D86,"Advance"))</f>
        <v/>
      </c>
      <c r="L86" s="143" t="str">
        <f>IF(OR($I86="",$I86="?",$B86=""),"",SUMPRODUCT((Weeks!$A$7:$A$59&lt;=$J86)*(Weeks!$X$5:$AI$5=$I86)*Weeks!$X$7:$AI$59)-SUMIFS($E$7:$E$1006,$I$7:$I$1006,$I86,$B$7:$B$1006,"&lt;="&amp;$B86))</f>
        <v/>
      </c>
      <c r="M86" s="132" t="str">
        <f>IF($B86&amp;$C86&amp;$D86&amp;$E86="","",IF($B86="","missing date",IF($C86="","missing worker",IF($I86="?","unknown worker - was the name changed on Workers?",IF($D86="","missing type",IF(N($E86)=0,"missing amount",IF(AND($E86&lt;0,$D86&lt;&gt;"Correction"),"negative amount - use a Correction to undo",IF(OR($B86&lt;Weeks!$A$7,$B86&gt;Weeks!$B$59),"date outside this workbook's year",IF(AND($D86="Advance",N($L86)&lt;0),"Warning: more than earned so far - worker now owes "&amp;TEXT(ROUND(-$L86,0),"#,##0"),"")))))))))</f>
        <v/>
      </c>
      <c r="N86" s="125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</row>
    <row r="87" spans="1:40" s="127" customFormat="1" ht="21" customHeight="1" x14ac:dyDescent="0.25">
      <c r="A87" s="51" t="str">
        <f t="shared" si="3"/>
        <v/>
      </c>
      <c r="B87" s="77"/>
      <c r="C87" s="133"/>
      <c r="D87" s="50"/>
      <c r="E87" s="141"/>
      <c r="F87" s="133"/>
      <c r="G87" s="133"/>
      <c r="H87" s="50"/>
      <c r="I87" s="51" t="str">
        <f t="shared" si="4"/>
        <v/>
      </c>
      <c r="J87" s="52" t="str">
        <f t="shared" si="5"/>
        <v/>
      </c>
      <c r="K87" s="142" t="str">
        <f>IF(OR($I87="",$I87="?",$D87&lt;&gt;"Advance",$B87=""),"",$I87&amp;"|"&amp;$J87&amp;"|"&amp;COUNTIFS($I$7:$I87,$I87,$J$7:$J87,$J87,$D$7:$D87,"Advance"))</f>
        <v/>
      </c>
      <c r="L87" s="143" t="str">
        <f>IF(OR($I87="",$I87="?",$B87=""),"",SUMPRODUCT((Weeks!$A$7:$A$59&lt;=$J87)*(Weeks!$X$5:$AI$5=$I87)*Weeks!$X$7:$AI$59)-SUMIFS($E$7:$E$1006,$I$7:$I$1006,$I87,$B$7:$B$1006,"&lt;="&amp;$B87))</f>
        <v/>
      </c>
      <c r="M87" s="132" t="str">
        <f>IF($B87&amp;$C87&amp;$D87&amp;$E87="","",IF($B87="","missing date",IF($C87="","missing worker",IF($I87="?","unknown worker - was the name changed on Workers?",IF($D87="","missing type",IF(N($E87)=0,"missing amount",IF(AND($E87&lt;0,$D87&lt;&gt;"Correction"),"negative amount - use a Correction to undo",IF(OR($B87&lt;Weeks!$A$7,$B87&gt;Weeks!$B$59),"date outside this workbook's year",IF(AND($D87="Advance",N($L87)&lt;0),"Warning: more than earned so far - worker now owes "&amp;TEXT(ROUND(-$L87,0),"#,##0"),"")))))))))</f>
        <v/>
      </c>
      <c r="N87" s="125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</row>
    <row r="88" spans="1:40" s="127" customFormat="1" ht="21" customHeight="1" x14ac:dyDescent="0.25">
      <c r="A88" s="51" t="str">
        <f t="shared" si="3"/>
        <v/>
      </c>
      <c r="B88" s="77"/>
      <c r="C88" s="133"/>
      <c r="D88" s="50"/>
      <c r="E88" s="141"/>
      <c r="F88" s="133"/>
      <c r="G88" s="133"/>
      <c r="H88" s="50"/>
      <c r="I88" s="51" t="str">
        <f t="shared" si="4"/>
        <v/>
      </c>
      <c r="J88" s="52" t="str">
        <f t="shared" si="5"/>
        <v/>
      </c>
      <c r="K88" s="142" t="str">
        <f>IF(OR($I88="",$I88="?",$D88&lt;&gt;"Advance",$B88=""),"",$I88&amp;"|"&amp;$J88&amp;"|"&amp;COUNTIFS($I$7:$I88,$I88,$J$7:$J88,$J88,$D$7:$D88,"Advance"))</f>
        <v/>
      </c>
      <c r="L88" s="143" t="str">
        <f>IF(OR($I88="",$I88="?",$B88=""),"",SUMPRODUCT((Weeks!$A$7:$A$59&lt;=$J88)*(Weeks!$X$5:$AI$5=$I88)*Weeks!$X$7:$AI$59)-SUMIFS($E$7:$E$1006,$I$7:$I$1006,$I88,$B$7:$B$1006,"&lt;="&amp;$B88))</f>
        <v/>
      </c>
      <c r="M88" s="132" t="str">
        <f>IF($B88&amp;$C88&amp;$D88&amp;$E88="","",IF($B88="","missing date",IF($C88="","missing worker",IF($I88="?","unknown worker - was the name changed on Workers?",IF($D88="","missing type",IF(N($E88)=0,"missing amount",IF(AND($E88&lt;0,$D88&lt;&gt;"Correction"),"negative amount - use a Correction to undo",IF(OR($B88&lt;Weeks!$A$7,$B88&gt;Weeks!$B$59),"date outside this workbook's year",IF(AND($D88="Advance",N($L88)&lt;0),"Warning: more than earned so far - worker now owes "&amp;TEXT(ROUND(-$L88,0),"#,##0"),"")))))))))</f>
        <v/>
      </c>
      <c r="N88" s="125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</row>
    <row r="89" spans="1:40" s="127" customFormat="1" ht="21" customHeight="1" x14ac:dyDescent="0.25">
      <c r="A89" s="51" t="str">
        <f t="shared" si="3"/>
        <v/>
      </c>
      <c r="B89" s="77"/>
      <c r="C89" s="133"/>
      <c r="D89" s="50"/>
      <c r="E89" s="141"/>
      <c r="F89" s="133"/>
      <c r="G89" s="133"/>
      <c r="H89" s="50"/>
      <c r="I89" s="51" t="str">
        <f t="shared" si="4"/>
        <v/>
      </c>
      <c r="J89" s="52" t="str">
        <f t="shared" si="5"/>
        <v/>
      </c>
      <c r="K89" s="142" t="str">
        <f>IF(OR($I89="",$I89="?",$D89&lt;&gt;"Advance",$B89=""),"",$I89&amp;"|"&amp;$J89&amp;"|"&amp;COUNTIFS($I$7:$I89,$I89,$J$7:$J89,$J89,$D$7:$D89,"Advance"))</f>
        <v/>
      </c>
      <c r="L89" s="143" t="str">
        <f>IF(OR($I89="",$I89="?",$B89=""),"",SUMPRODUCT((Weeks!$A$7:$A$59&lt;=$J89)*(Weeks!$X$5:$AI$5=$I89)*Weeks!$X$7:$AI$59)-SUMIFS($E$7:$E$1006,$I$7:$I$1006,$I89,$B$7:$B$1006,"&lt;="&amp;$B89))</f>
        <v/>
      </c>
      <c r="M89" s="132" t="str">
        <f>IF($B89&amp;$C89&amp;$D89&amp;$E89="","",IF($B89="","missing date",IF($C89="","missing worker",IF($I89="?","unknown worker - was the name changed on Workers?",IF($D89="","missing type",IF(N($E89)=0,"missing amount",IF(AND($E89&lt;0,$D89&lt;&gt;"Correction"),"negative amount - use a Correction to undo",IF(OR($B89&lt;Weeks!$A$7,$B89&gt;Weeks!$B$59),"date outside this workbook's year",IF(AND($D89="Advance",N($L89)&lt;0),"Warning: more than earned so far - worker now owes "&amp;TEXT(ROUND(-$L89,0),"#,##0"),"")))))))))</f>
        <v/>
      </c>
      <c r="N89" s="125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</row>
    <row r="90" spans="1:40" s="127" customFormat="1" ht="21" customHeight="1" x14ac:dyDescent="0.25">
      <c r="A90" s="51" t="str">
        <f t="shared" si="3"/>
        <v/>
      </c>
      <c r="B90" s="77"/>
      <c r="C90" s="133"/>
      <c r="D90" s="50"/>
      <c r="E90" s="141"/>
      <c r="F90" s="133"/>
      <c r="G90" s="133"/>
      <c r="H90" s="50"/>
      <c r="I90" s="51" t="str">
        <f t="shared" si="4"/>
        <v/>
      </c>
      <c r="J90" s="52" t="str">
        <f t="shared" si="5"/>
        <v/>
      </c>
      <c r="K90" s="142" t="str">
        <f>IF(OR($I90="",$I90="?",$D90&lt;&gt;"Advance",$B90=""),"",$I90&amp;"|"&amp;$J90&amp;"|"&amp;COUNTIFS($I$7:$I90,$I90,$J$7:$J90,$J90,$D$7:$D90,"Advance"))</f>
        <v/>
      </c>
      <c r="L90" s="143" t="str">
        <f>IF(OR($I90="",$I90="?",$B90=""),"",SUMPRODUCT((Weeks!$A$7:$A$59&lt;=$J90)*(Weeks!$X$5:$AI$5=$I90)*Weeks!$X$7:$AI$59)-SUMIFS($E$7:$E$1006,$I$7:$I$1006,$I90,$B$7:$B$1006,"&lt;="&amp;$B90))</f>
        <v/>
      </c>
      <c r="M90" s="132" t="str">
        <f>IF($B90&amp;$C90&amp;$D90&amp;$E90="","",IF($B90="","missing date",IF($C90="","missing worker",IF($I90="?","unknown worker - was the name changed on Workers?",IF($D90="","missing type",IF(N($E90)=0,"missing amount",IF(AND($E90&lt;0,$D90&lt;&gt;"Correction"),"negative amount - use a Correction to undo",IF(OR($B90&lt;Weeks!$A$7,$B90&gt;Weeks!$B$59),"date outside this workbook's year",IF(AND($D90="Advance",N($L90)&lt;0),"Warning: more than earned so far - worker now owes "&amp;TEXT(ROUND(-$L90,0),"#,##0"),"")))))))))</f>
        <v/>
      </c>
      <c r="N90" s="125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</row>
    <row r="91" spans="1:40" s="127" customFormat="1" ht="21" customHeight="1" x14ac:dyDescent="0.25">
      <c r="A91" s="51" t="str">
        <f t="shared" si="3"/>
        <v/>
      </c>
      <c r="B91" s="77"/>
      <c r="C91" s="133"/>
      <c r="D91" s="50"/>
      <c r="E91" s="141"/>
      <c r="F91" s="133"/>
      <c r="G91" s="133"/>
      <c r="H91" s="50"/>
      <c r="I91" s="51" t="str">
        <f t="shared" si="4"/>
        <v/>
      </c>
      <c r="J91" s="52" t="str">
        <f t="shared" si="5"/>
        <v/>
      </c>
      <c r="K91" s="142" t="str">
        <f>IF(OR($I91="",$I91="?",$D91&lt;&gt;"Advance",$B91=""),"",$I91&amp;"|"&amp;$J91&amp;"|"&amp;COUNTIFS($I$7:$I91,$I91,$J$7:$J91,$J91,$D$7:$D91,"Advance"))</f>
        <v/>
      </c>
      <c r="L91" s="143" t="str">
        <f>IF(OR($I91="",$I91="?",$B91=""),"",SUMPRODUCT((Weeks!$A$7:$A$59&lt;=$J91)*(Weeks!$X$5:$AI$5=$I91)*Weeks!$X$7:$AI$59)-SUMIFS($E$7:$E$1006,$I$7:$I$1006,$I91,$B$7:$B$1006,"&lt;="&amp;$B91))</f>
        <v/>
      </c>
      <c r="M91" s="132" t="str">
        <f>IF($B91&amp;$C91&amp;$D91&amp;$E91="","",IF($B91="","missing date",IF($C91="","missing worker",IF($I91="?","unknown worker - was the name changed on Workers?",IF($D91="","missing type",IF(N($E91)=0,"missing amount",IF(AND($E91&lt;0,$D91&lt;&gt;"Correction"),"negative amount - use a Correction to undo",IF(OR($B91&lt;Weeks!$A$7,$B91&gt;Weeks!$B$59),"date outside this workbook's year",IF(AND($D91="Advance",N($L91)&lt;0),"Warning: more than earned so far - worker now owes "&amp;TEXT(ROUND(-$L91,0),"#,##0"),"")))))))))</f>
        <v/>
      </c>
      <c r="N91" s="125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</row>
    <row r="92" spans="1:40" s="127" customFormat="1" ht="21" customHeight="1" x14ac:dyDescent="0.25">
      <c r="A92" s="51" t="str">
        <f t="shared" si="3"/>
        <v/>
      </c>
      <c r="B92" s="77"/>
      <c r="C92" s="133"/>
      <c r="D92" s="50"/>
      <c r="E92" s="141"/>
      <c r="F92" s="133"/>
      <c r="G92" s="133"/>
      <c r="H92" s="50"/>
      <c r="I92" s="51" t="str">
        <f t="shared" si="4"/>
        <v/>
      </c>
      <c r="J92" s="52" t="str">
        <f t="shared" si="5"/>
        <v/>
      </c>
      <c r="K92" s="142" t="str">
        <f>IF(OR($I92="",$I92="?",$D92&lt;&gt;"Advance",$B92=""),"",$I92&amp;"|"&amp;$J92&amp;"|"&amp;COUNTIFS($I$7:$I92,$I92,$J$7:$J92,$J92,$D$7:$D92,"Advance"))</f>
        <v/>
      </c>
      <c r="L92" s="143" t="str">
        <f>IF(OR($I92="",$I92="?",$B92=""),"",SUMPRODUCT((Weeks!$A$7:$A$59&lt;=$J92)*(Weeks!$X$5:$AI$5=$I92)*Weeks!$X$7:$AI$59)-SUMIFS($E$7:$E$1006,$I$7:$I$1006,$I92,$B$7:$B$1006,"&lt;="&amp;$B92))</f>
        <v/>
      </c>
      <c r="M92" s="132" t="str">
        <f>IF($B92&amp;$C92&amp;$D92&amp;$E92="","",IF($B92="","missing date",IF($C92="","missing worker",IF($I92="?","unknown worker - was the name changed on Workers?",IF($D92="","missing type",IF(N($E92)=0,"missing amount",IF(AND($E92&lt;0,$D92&lt;&gt;"Correction"),"negative amount - use a Correction to undo",IF(OR($B92&lt;Weeks!$A$7,$B92&gt;Weeks!$B$59),"date outside this workbook's year",IF(AND($D92="Advance",N($L92)&lt;0),"Warning: more than earned so far - worker now owes "&amp;TEXT(ROUND(-$L92,0),"#,##0"),"")))))))))</f>
        <v/>
      </c>
      <c r="N92" s="125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</row>
    <row r="93" spans="1:40" s="127" customFormat="1" ht="21" customHeight="1" x14ac:dyDescent="0.25">
      <c r="A93" s="51" t="str">
        <f t="shared" si="3"/>
        <v/>
      </c>
      <c r="B93" s="77"/>
      <c r="C93" s="133"/>
      <c r="D93" s="50"/>
      <c r="E93" s="141"/>
      <c r="F93" s="133"/>
      <c r="G93" s="133"/>
      <c r="H93" s="50"/>
      <c r="I93" s="51" t="str">
        <f t="shared" si="4"/>
        <v/>
      </c>
      <c r="J93" s="52" t="str">
        <f t="shared" si="5"/>
        <v/>
      </c>
      <c r="K93" s="142" t="str">
        <f>IF(OR($I93="",$I93="?",$D93&lt;&gt;"Advance",$B93=""),"",$I93&amp;"|"&amp;$J93&amp;"|"&amp;COUNTIFS($I$7:$I93,$I93,$J$7:$J93,$J93,$D$7:$D93,"Advance"))</f>
        <v/>
      </c>
      <c r="L93" s="143" t="str">
        <f>IF(OR($I93="",$I93="?",$B93=""),"",SUMPRODUCT((Weeks!$A$7:$A$59&lt;=$J93)*(Weeks!$X$5:$AI$5=$I93)*Weeks!$X$7:$AI$59)-SUMIFS($E$7:$E$1006,$I$7:$I$1006,$I93,$B$7:$B$1006,"&lt;="&amp;$B93))</f>
        <v/>
      </c>
      <c r="M93" s="132" t="str">
        <f>IF($B93&amp;$C93&amp;$D93&amp;$E93="","",IF($B93="","missing date",IF($C93="","missing worker",IF($I93="?","unknown worker - was the name changed on Workers?",IF($D93="","missing type",IF(N($E93)=0,"missing amount",IF(AND($E93&lt;0,$D93&lt;&gt;"Correction"),"negative amount - use a Correction to undo",IF(OR($B93&lt;Weeks!$A$7,$B93&gt;Weeks!$B$59),"date outside this workbook's year",IF(AND($D93="Advance",N($L93)&lt;0),"Warning: more than earned so far - worker now owes "&amp;TEXT(ROUND(-$L93,0),"#,##0"),"")))))))))</f>
        <v/>
      </c>
      <c r="N93" s="125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</row>
    <row r="94" spans="1:40" s="127" customFormat="1" ht="21" customHeight="1" x14ac:dyDescent="0.25">
      <c r="A94" s="51" t="str">
        <f t="shared" si="3"/>
        <v/>
      </c>
      <c r="B94" s="77"/>
      <c r="C94" s="133"/>
      <c r="D94" s="50"/>
      <c r="E94" s="141"/>
      <c r="F94" s="133"/>
      <c r="G94" s="133"/>
      <c r="H94" s="50"/>
      <c r="I94" s="51" t="str">
        <f t="shared" si="4"/>
        <v/>
      </c>
      <c r="J94" s="52" t="str">
        <f t="shared" si="5"/>
        <v/>
      </c>
      <c r="K94" s="142" t="str">
        <f>IF(OR($I94="",$I94="?",$D94&lt;&gt;"Advance",$B94=""),"",$I94&amp;"|"&amp;$J94&amp;"|"&amp;COUNTIFS($I$7:$I94,$I94,$J$7:$J94,$J94,$D$7:$D94,"Advance"))</f>
        <v/>
      </c>
      <c r="L94" s="143" t="str">
        <f>IF(OR($I94="",$I94="?",$B94=""),"",SUMPRODUCT((Weeks!$A$7:$A$59&lt;=$J94)*(Weeks!$X$5:$AI$5=$I94)*Weeks!$X$7:$AI$59)-SUMIFS($E$7:$E$1006,$I$7:$I$1006,$I94,$B$7:$B$1006,"&lt;="&amp;$B94))</f>
        <v/>
      </c>
      <c r="M94" s="132" t="str">
        <f>IF($B94&amp;$C94&amp;$D94&amp;$E94="","",IF($B94="","missing date",IF($C94="","missing worker",IF($I94="?","unknown worker - was the name changed on Workers?",IF($D94="","missing type",IF(N($E94)=0,"missing amount",IF(AND($E94&lt;0,$D94&lt;&gt;"Correction"),"negative amount - use a Correction to undo",IF(OR($B94&lt;Weeks!$A$7,$B94&gt;Weeks!$B$59),"date outside this workbook's year",IF(AND($D94="Advance",N($L94)&lt;0),"Warning: more than earned so far - worker now owes "&amp;TEXT(ROUND(-$L94,0),"#,##0"),"")))))))))</f>
        <v/>
      </c>
      <c r="N94" s="125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</row>
    <row r="95" spans="1:40" s="127" customFormat="1" ht="21" customHeight="1" x14ac:dyDescent="0.25">
      <c r="A95" s="51" t="str">
        <f t="shared" si="3"/>
        <v/>
      </c>
      <c r="B95" s="77"/>
      <c r="C95" s="133"/>
      <c r="D95" s="50"/>
      <c r="E95" s="141"/>
      <c r="F95" s="133"/>
      <c r="G95" s="133"/>
      <c r="H95" s="50"/>
      <c r="I95" s="51" t="str">
        <f t="shared" si="4"/>
        <v/>
      </c>
      <c r="J95" s="52" t="str">
        <f t="shared" si="5"/>
        <v/>
      </c>
      <c r="K95" s="142" t="str">
        <f>IF(OR($I95="",$I95="?",$D95&lt;&gt;"Advance",$B95=""),"",$I95&amp;"|"&amp;$J95&amp;"|"&amp;COUNTIFS($I$7:$I95,$I95,$J$7:$J95,$J95,$D$7:$D95,"Advance"))</f>
        <v/>
      </c>
      <c r="L95" s="143" t="str">
        <f>IF(OR($I95="",$I95="?",$B95=""),"",SUMPRODUCT((Weeks!$A$7:$A$59&lt;=$J95)*(Weeks!$X$5:$AI$5=$I95)*Weeks!$X$7:$AI$59)-SUMIFS($E$7:$E$1006,$I$7:$I$1006,$I95,$B$7:$B$1006,"&lt;="&amp;$B95))</f>
        <v/>
      </c>
      <c r="M95" s="132" t="str">
        <f>IF($B95&amp;$C95&amp;$D95&amp;$E95="","",IF($B95="","missing date",IF($C95="","missing worker",IF($I95="?","unknown worker - was the name changed on Workers?",IF($D95="","missing type",IF(N($E95)=0,"missing amount",IF(AND($E95&lt;0,$D95&lt;&gt;"Correction"),"negative amount - use a Correction to undo",IF(OR($B95&lt;Weeks!$A$7,$B95&gt;Weeks!$B$59),"date outside this workbook's year",IF(AND($D95="Advance",N($L95)&lt;0),"Warning: more than earned so far - worker now owes "&amp;TEXT(ROUND(-$L95,0),"#,##0"),"")))))))))</f>
        <v/>
      </c>
      <c r="N95" s="125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</row>
    <row r="96" spans="1:40" s="127" customFormat="1" ht="21" customHeight="1" x14ac:dyDescent="0.25">
      <c r="A96" s="51" t="str">
        <f t="shared" si="3"/>
        <v/>
      </c>
      <c r="B96" s="77"/>
      <c r="C96" s="133"/>
      <c r="D96" s="50"/>
      <c r="E96" s="141"/>
      <c r="F96" s="133"/>
      <c r="G96" s="133"/>
      <c r="H96" s="50"/>
      <c r="I96" s="51" t="str">
        <f t="shared" si="4"/>
        <v/>
      </c>
      <c r="J96" s="52" t="str">
        <f t="shared" si="5"/>
        <v/>
      </c>
      <c r="K96" s="142" t="str">
        <f>IF(OR($I96="",$I96="?",$D96&lt;&gt;"Advance",$B96=""),"",$I96&amp;"|"&amp;$J96&amp;"|"&amp;COUNTIFS($I$7:$I96,$I96,$J$7:$J96,$J96,$D$7:$D96,"Advance"))</f>
        <v/>
      </c>
      <c r="L96" s="143" t="str">
        <f>IF(OR($I96="",$I96="?",$B96=""),"",SUMPRODUCT((Weeks!$A$7:$A$59&lt;=$J96)*(Weeks!$X$5:$AI$5=$I96)*Weeks!$X$7:$AI$59)-SUMIFS($E$7:$E$1006,$I$7:$I$1006,$I96,$B$7:$B$1006,"&lt;="&amp;$B96))</f>
        <v/>
      </c>
      <c r="M96" s="132" t="str">
        <f>IF($B96&amp;$C96&amp;$D96&amp;$E96="","",IF($B96="","missing date",IF($C96="","missing worker",IF($I96="?","unknown worker - was the name changed on Workers?",IF($D96="","missing type",IF(N($E96)=0,"missing amount",IF(AND($E96&lt;0,$D96&lt;&gt;"Correction"),"negative amount - use a Correction to undo",IF(OR($B96&lt;Weeks!$A$7,$B96&gt;Weeks!$B$59),"date outside this workbook's year",IF(AND($D96="Advance",N($L96)&lt;0),"Warning: more than earned so far - worker now owes "&amp;TEXT(ROUND(-$L96,0),"#,##0"),"")))))))))</f>
        <v/>
      </c>
      <c r="N96" s="125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</row>
    <row r="97" spans="1:40" s="127" customFormat="1" ht="21" customHeight="1" x14ac:dyDescent="0.25">
      <c r="A97" s="51" t="str">
        <f t="shared" si="3"/>
        <v/>
      </c>
      <c r="B97" s="77"/>
      <c r="C97" s="133"/>
      <c r="D97" s="50"/>
      <c r="E97" s="141"/>
      <c r="F97" s="133"/>
      <c r="G97" s="133"/>
      <c r="H97" s="50"/>
      <c r="I97" s="51" t="str">
        <f t="shared" si="4"/>
        <v/>
      </c>
      <c r="J97" s="52" t="str">
        <f t="shared" si="5"/>
        <v/>
      </c>
      <c r="K97" s="142" t="str">
        <f>IF(OR($I97="",$I97="?",$D97&lt;&gt;"Advance",$B97=""),"",$I97&amp;"|"&amp;$J97&amp;"|"&amp;COUNTIFS($I$7:$I97,$I97,$J$7:$J97,$J97,$D$7:$D97,"Advance"))</f>
        <v/>
      </c>
      <c r="L97" s="143" t="str">
        <f>IF(OR($I97="",$I97="?",$B97=""),"",SUMPRODUCT((Weeks!$A$7:$A$59&lt;=$J97)*(Weeks!$X$5:$AI$5=$I97)*Weeks!$X$7:$AI$59)-SUMIFS($E$7:$E$1006,$I$7:$I$1006,$I97,$B$7:$B$1006,"&lt;="&amp;$B97))</f>
        <v/>
      </c>
      <c r="M97" s="132" t="str">
        <f>IF($B97&amp;$C97&amp;$D97&amp;$E97="","",IF($B97="","missing date",IF($C97="","missing worker",IF($I97="?","unknown worker - was the name changed on Workers?",IF($D97="","missing type",IF(N($E97)=0,"missing amount",IF(AND($E97&lt;0,$D97&lt;&gt;"Correction"),"negative amount - use a Correction to undo",IF(OR($B97&lt;Weeks!$A$7,$B97&gt;Weeks!$B$59),"date outside this workbook's year",IF(AND($D97="Advance",N($L97)&lt;0),"Warning: more than earned so far - worker now owes "&amp;TEXT(ROUND(-$L97,0),"#,##0"),"")))))))))</f>
        <v/>
      </c>
      <c r="N97" s="125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</row>
    <row r="98" spans="1:40" s="127" customFormat="1" ht="21" customHeight="1" x14ac:dyDescent="0.25">
      <c r="A98" s="51" t="str">
        <f t="shared" si="3"/>
        <v/>
      </c>
      <c r="B98" s="77"/>
      <c r="C98" s="133"/>
      <c r="D98" s="50"/>
      <c r="E98" s="141"/>
      <c r="F98" s="133"/>
      <c r="G98" s="133"/>
      <c r="H98" s="50"/>
      <c r="I98" s="51" t="str">
        <f t="shared" si="4"/>
        <v/>
      </c>
      <c r="J98" s="52" t="str">
        <f t="shared" si="5"/>
        <v/>
      </c>
      <c r="K98" s="142" t="str">
        <f>IF(OR($I98="",$I98="?",$D98&lt;&gt;"Advance",$B98=""),"",$I98&amp;"|"&amp;$J98&amp;"|"&amp;COUNTIFS($I$7:$I98,$I98,$J$7:$J98,$J98,$D$7:$D98,"Advance"))</f>
        <v/>
      </c>
      <c r="L98" s="143" t="str">
        <f>IF(OR($I98="",$I98="?",$B98=""),"",SUMPRODUCT((Weeks!$A$7:$A$59&lt;=$J98)*(Weeks!$X$5:$AI$5=$I98)*Weeks!$X$7:$AI$59)-SUMIFS($E$7:$E$1006,$I$7:$I$1006,$I98,$B$7:$B$1006,"&lt;="&amp;$B98))</f>
        <v/>
      </c>
      <c r="M98" s="132" t="str">
        <f>IF($B98&amp;$C98&amp;$D98&amp;$E98="","",IF($B98="","missing date",IF($C98="","missing worker",IF($I98="?","unknown worker - was the name changed on Workers?",IF($D98="","missing type",IF(N($E98)=0,"missing amount",IF(AND($E98&lt;0,$D98&lt;&gt;"Correction"),"negative amount - use a Correction to undo",IF(OR($B98&lt;Weeks!$A$7,$B98&gt;Weeks!$B$59),"date outside this workbook's year",IF(AND($D98="Advance",N($L98)&lt;0),"Warning: more than earned so far - worker now owes "&amp;TEXT(ROUND(-$L98,0),"#,##0"),"")))))))))</f>
        <v/>
      </c>
      <c r="N98" s="125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</row>
    <row r="99" spans="1:40" s="127" customFormat="1" ht="21" customHeight="1" x14ac:dyDescent="0.25">
      <c r="A99" s="51" t="str">
        <f t="shared" si="3"/>
        <v/>
      </c>
      <c r="B99" s="77"/>
      <c r="C99" s="133"/>
      <c r="D99" s="50"/>
      <c r="E99" s="141"/>
      <c r="F99" s="133"/>
      <c r="G99" s="133"/>
      <c r="H99" s="50"/>
      <c r="I99" s="51" t="str">
        <f t="shared" si="4"/>
        <v/>
      </c>
      <c r="J99" s="52" t="str">
        <f t="shared" si="5"/>
        <v/>
      </c>
      <c r="K99" s="142" t="str">
        <f>IF(OR($I99="",$I99="?",$D99&lt;&gt;"Advance",$B99=""),"",$I99&amp;"|"&amp;$J99&amp;"|"&amp;COUNTIFS($I$7:$I99,$I99,$J$7:$J99,$J99,$D$7:$D99,"Advance"))</f>
        <v/>
      </c>
      <c r="L99" s="143" t="str">
        <f>IF(OR($I99="",$I99="?",$B99=""),"",SUMPRODUCT((Weeks!$A$7:$A$59&lt;=$J99)*(Weeks!$X$5:$AI$5=$I99)*Weeks!$X$7:$AI$59)-SUMIFS($E$7:$E$1006,$I$7:$I$1006,$I99,$B$7:$B$1006,"&lt;="&amp;$B99))</f>
        <v/>
      </c>
      <c r="M99" s="132" t="str">
        <f>IF($B99&amp;$C99&amp;$D99&amp;$E99="","",IF($B99="","missing date",IF($C99="","missing worker",IF($I99="?","unknown worker - was the name changed on Workers?",IF($D99="","missing type",IF(N($E99)=0,"missing amount",IF(AND($E99&lt;0,$D99&lt;&gt;"Correction"),"negative amount - use a Correction to undo",IF(OR($B99&lt;Weeks!$A$7,$B99&gt;Weeks!$B$59),"date outside this workbook's year",IF(AND($D99="Advance",N($L99)&lt;0),"Warning: more than earned so far - worker now owes "&amp;TEXT(ROUND(-$L99,0),"#,##0"),"")))))))))</f>
        <v/>
      </c>
      <c r="N99" s="125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</row>
    <row r="100" spans="1:40" s="127" customFormat="1" ht="21" customHeight="1" x14ac:dyDescent="0.25">
      <c r="A100" s="51" t="str">
        <f t="shared" si="3"/>
        <v/>
      </c>
      <c r="B100" s="77"/>
      <c r="C100" s="133"/>
      <c r="D100" s="50"/>
      <c r="E100" s="141"/>
      <c r="F100" s="133"/>
      <c r="G100" s="133"/>
      <c r="H100" s="50"/>
      <c r="I100" s="51" t="str">
        <f t="shared" si="4"/>
        <v/>
      </c>
      <c r="J100" s="52" t="str">
        <f t="shared" si="5"/>
        <v/>
      </c>
      <c r="K100" s="142" t="str">
        <f>IF(OR($I100="",$I100="?",$D100&lt;&gt;"Advance",$B100=""),"",$I100&amp;"|"&amp;$J100&amp;"|"&amp;COUNTIFS($I$7:$I100,$I100,$J$7:$J100,$J100,$D$7:$D100,"Advance"))</f>
        <v/>
      </c>
      <c r="L100" s="143" t="str">
        <f>IF(OR($I100="",$I100="?",$B100=""),"",SUMPRODUCT((Weeks!$A$7:$A$59&lt;=$J100)*(Weeks!$X$5:$AI$5=$I100)*Weeks!$X$7:$AI$59)-SUMIFS($E$7:$E$1006,$I$7:$I$1006,$I100,$B$7:$B$1006,"&lt;="&amp;$B100))</f>
        <v/>
      </c>
      <c r="M100" s="132" t="str">
        <f>IF($B100&amp;$C100&amp;$D100&amp;$E100="","",IF($B100="","missing date",IF($C100="","missing worker",IF($I100="?","unknown worker - was the name changed on Workers?",IF($D100="","missing type",IF(N($E100)=0,"missing amount",IF(AND($E100&lt;0,$D100&lt;&gt;"Correction"),"negative amount - use a Correction to undo",IF(OR($B100&lt;Weeks!$A$7,$B100&gt;Weeks!$B$59),"date outside this workbook's year",IF(AND($D100="Advance",N($L100)&lt;0),"Warning: more than earned so far - worker now owes "&amp;TEXT(ROUND(-$L100,0),"#,##0"),"")))))))))</f>
        <v/>
      </c>
      <c r="N100" s="125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</row>
    <row r="101" spans="1:40" s="127" customFormat="1" ht="21" customHeight="1" x14ac:dyDescent="0.25">
      <c r="A101" s="51" t="str">
        <f t="shared" si="3"/>
        <v/>
      </c>
      <c r="B101" s="77"/>
      <c r="C101" s="133"/>
      <c r="D101" s="50"/>
      <c r="E101" s="141"/>
      <c r="F101" s="133"/>
      <c r="G101" s="133"/>
      <c r="H101" s="50"/>
      <c r="I101" s="51" t="str">
        <f t="shared" si="4"/>
        <v/>
      </c>
      <c r="J101" s="52" t="str">
        <f t="shared" si="5"/>
        <v/>
      </c>
      <c r="K101" s="142" t="str">
        <f>IF(OR($I101="",$I101="?",$D101&lt;&gt;"Advance",$B101=""),"",$I101&amp;"|"&amp;$J101&amp;"|"&amp;COUNTIFS($I$7:$I101,$I101,$J$7:$J101,$J101,$D$7:$D101,"Advance"))</f>
        <v/>
      </c>
      <c r="L101" s="143" t="str">
        <f>IF(OR($I101="",$I101="?",$B101=""),"",SUMPRODUCT((Weeks!$A$7:$A$59&lt;=$J101)*(Weeks!$X$5:$AI$5=$I101)*Weeks!$X$7:$AI$59)-SUMIFS($E$7:$E$1006,$I$7:$I$1006,$I101,$B$7:$B$1006,"&lt;="&amp;$B101))</f>
        <v/>
      </c>
      <c r="M101" s="132" t="str">
        <f>IF($B101&amp;$C101&amp;$D101&amp;$E101="","",IF($B101="","missing date",IF($C101="","missing worker",IF($I101="?","unknown worker - was the name changed on Workers?",IF($D101="","missing type",IF(N($E101)=0,"missing amount",IF(AND($E101&lt;0,$D101&lt;&gt;"Correction"),"negative amount - use a Correction to undo",IF(OR($B101&lt;Weeks!$A$7,$B101&gt;Weeks!$B$59),"date outside this workbook's year",IF(AND($D101="Advance",N($L101)&lt;0),"Warning: more than earned so far - worker now owes "&amp;TEXT(ROUND(-$L101,0),"#,##0"),"")))))))))</f>
        <v/>
      </c>
      <c r="N101" s="125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</row>
    <row r="102" spans="1:40" s="127" customFormat="1" ht="21" customHeight="1" x14ac:dyDescent="0.25">
      <c r="A102" s="51" t="str">
        <f t="shared" si="3"/>
        <v/>
      </c>
      <c r="B102" s="77"/>
      <c r="C102" s="133"/>
      <c r="D102" s="50"/>
      <c r="E102" s="141"/>
      <c r="F102" s="133"/>
      <c r="G102" s="133"/>
      <c r="H102" s="50"/>
      <c r="I102" s="51" t="str">
        <f t="shared" si="4"/>
        <v/>
      </c>
      <c r="J102" s="52" t="str">
        <f t="shared" si="5"/>
        <v/>
      </c>
      <c r="K102" s="142" t="str">
        <f>IF(OR($I102="",$I102="?",$D102&lt;&gt;"Advance",$B102=""),"",$I102&amp;"|"&amp;$J102&amp;"|"&amp;COUNTIFS($I$7:$I102,$I102,$J$7:$J102,$J102,$D$7:$D102,"Advance"))</f>
        <v/>
      </c>
      <c r="L102" s="143" t="str">
        <f>IF(OR($I102="",$I102="?",$B102=""),"",SUMPRODUCT((Weeks!$A$7:$A$59&lt;=$J102)*(Weeks!$X$5:$AI$5=$I102)*Weeks!$X$7:$AI$59)-SUMIFS($E$7:$E$1006,$I$7:$I$1006,$I102,$B$7:$B$1006,"&lt;="&amp;$B102))</f>
        <v/>
      </c>
      <c r="M102" s="132" t="str">
        <f>IF($B102&amp;$C102&amp;$D102&amp;$E102="","",IF($B102="","missing date",IF($C102="","missing worker",IF($I102="?","unknown worker - was the name changed on Workers?",IF($D102="","missing type",IF(N($E102)=0,"missing amount",IF(AND($E102&lt;0,$D102&lt;&gt;"Correction"),"negative amount - use a Correction to undo",IF(OR($B102&lt;Weeks!$A$7,$B102&gt;Weeks!$B$59),"date outside this workbook's year",IF(AND($D102="Advance",N($L102)&lt;0),"Warning: more than earned so far - worker now owes "&amp;TEXT(ROUND(-$L102,0),"#,##0"),"")))))))))</f>
        <v/>
      </c>
      <c r="N102" s="125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</row>
    <row r="103" spans="1:40" s="127" customFormat="1" ht="21" customHeight="1" x14ac:dyDescent="0.25">
      <c r="A103" s="51" t="str">
        <f t="shared" si="3"/>
        <v/>
      </c>
      <c r="B103" s="77"/>
      <c r="C103" s="133"/>
      <c r="D103" s="50"/>
      <c r="E103" s="141"/>
      <c r="F103" s="133"/>
      <c r="G103" s="133"/>
      <c r="H103" s="50"/>
      <c r="I103" s="51" t="str">
        <f t="shared" si="4"/>
        <v/>
      </c>
      <c r="J103" s="52" t="str">
        <f t="shared" si="5"/>
        <v/>
      </c>
      <c r="K103" s="142" t="str">
        <f>IF(OR($I103="",$I103="?",$D103&lt;&gt;"Advance",$B103=""),"",$I103&amp;"|"&amp;$J103&amp;"|"&amp;COUNTIFS($I$7:$I103,$I103,$J$7:$J103,$J103,$D$7:$D103,"Advance"))</f>
        <v/>
      </c>
      <c r="L103" s="143" t="str">
        <f>IF(OR($I103="",$I103="?",$B103=""),"",SUMPRODUCT((Weeks!$A$7:$A$59&lt;=$J103)*(Weeks!$X$5:$AI$5=$I103)*Weeks!$X$7:$AI$59)-SUMIFS($E$7:$E$1006,$I$7:$I$1006,$I103,$B$7:$B$1006,"&lt;="&amp;$B103))</f>
        <v/>
      </c>
      <c r="M103" s="132" t="str">
        <f>IF($B103&amp;$C103&amp;$D103&amp;$E103="","",IF($B103="","missing date",IF($C103="","missing worker",IF($I103="?","unknown worker - was the name changed on Workers?",IF($D103="","missing type",IF(N($E103)=0,"missing amount",IF(AND($E103&lt;0,$D103&lt;&gt;"Correction"),"negative amount - use a Correction to undo",IF(OR($B103&lt;Weeks!$A$7,$B103&gt;Weeks!$B$59),"date outside this workbook's year",IF(AND($D103="Advance",N($L103)&lt;0),"Warning: more than earned so far - worker now owes "&amp;TEXT(ROUND(-$L103,0),"#,##0"),"")))))))))</f>
        <v/>
      </c>
      <c r="N103" s="125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</row>
    <row r="104" spans="1:40" s="127" customFormat="1" ht="21" customHeight="1" x14ac:dyDescent="0.25">
      <c r="A104" s="51" t="str">
        <f t="shared" si="3"/>
        <v/>
      </c>
      <c r="B104" s="77"/>
      <c r="C104" s="133"/>
      <c r="D104" s="50"/>
      <c r="E104" s="141"/>
      <c r="F104" s="133"/>
      <c r="G104" s="133"/>
      <c r="H104" s="50"/>
      <c r="I104" s="51" t="str">
        <f t="shared" si="4"/>
        <v/>
      </c>
      <c r="J104" s="52" t="str">
        <f t="shared" si="5"/>
        <v/>
      </c>
      <c r="K104" s="142" t="str">
        <f>IF(OR($I104="",$I104="?",$D104&lt;&gt;"Advance",$B104=""),"",$I104&amp;"|"&amp;$J104&amp;"|"&amp;COUNTIFS($I$7:$I104,$I104,$J$7:$J104,$J104,$D$7:$D104,"Advance"))</f>
        <v/>
      </c>
      <c r="L104" s="143" t="str">
        <f>IF(OR($I104="",$I104="?",$B104=""),"",SUMPRODUCT((Weeks!$A$7:$A$59&lt;=$J104)*(Weeks!$X$5:$AI$5=$I104)*Weeks!$X$7:$AI$59)-SUMIFS($E$7:$E$1006,$I$7:$I$1006,$I104,$B$7:$B$1006,"&lt;="&amp;$B104))</f>
        <v/>
      </c>
      <c r="M104" s="132" t="str">
        <f>IF($B104&amp;$C104&amp;$D104&amp;$E104="","",IF($B104="","missing date",IF($C104="","missing worker",IF($I104="?","unknown worker - was the name changed on Workers?",IF($D104="","missing type",IF(N($E104)=0,"missing amount",IF(AND($E104&lt;0,$D104&lt;&gt;"Correction"),"negative amount - use a Correction to undo",IF(OR($B104&lt;Weeks!$A$7,$B104&gt;Weeks!$B$59),"date outside this workbook's year",IF(AND($D104="Advance",N($L104)&lt;0),"Warning: more than earned so far - worker now owes "&amp;TEXT(ROUND(-$L104,0),"#,##0"),"")))))))))</f>
        <v/>
      </c>
      <c r="N104" s="125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</row>
    <row r="105" spans="1:40" s="127" customFormat="1" ht="21" customHeight="1" x14ac:dyDescent="0.25">
      <c r="A105" s="51" t="str">
        <f t="shared" si="3"/>
        <v/>
      </c>
      <c r="B105" s="77"/>
      <c r="C105" s="133"/>
      <c r="D105" s="50"/>
      <c r="E105" s="141"/>
      <c r="F105" s="133"/>
      <c r="G105" s="133"/>
      <c r="H105" s="50"/>
      <c r="I105" s="51" t="str">
        <f t="shared" si="4"/>
        <v/>
      </c>
      <c r="J105" s="52" t="str">
        <f t="shared" si="5"/>
        <v/>
      </c>
      <c r="K105" s="142" t="str">
        <f>IF(OR($I105="",$I105="?",$D105&lt;&gt;"Advance",$B105=""),"",$I105&amp;"|"&amp;$J105&amp;"|"&amp;COUNTIFS($I$7:$I105,$I105,$J$7:$J105,$J105,$D$7:$D105,"Advance"))</f>
        <v/>
      </c>
      <c r="L105" s="143" t="str">
        <f>IF(OR($I105="",$I105="?",$B105=""),"",SUMPRODUCT((Weeks!$A$7:$A$59&lt;=$J105)*(Weeks!$X$5:$AI$5=$I105)*Weeks!$X$7:$AI$59)-SUMIFS($E$7:$E$1006,$I$7:$I$1006,$I105,$B$7:$B$1006,"&lt;="&amp;$B105))</f>
        <v/>
      </c>
      <c r="M105" s="132" t="str">
        <f>IF($B105&amp;$C105&amp;$D105&amp;$E105="","",IF($B105="","missing date",IF($C105="","missing worker",IF($I105="?","unknown worker - was the name changed on Workers?",IF($D105="","missing type",IF(N($E105)=0,"missing amount",IF(AND($E105&lt;0,$D105&lt;&gt;"Correction"),"negative amount - use a Correction to undo",IF(OR($B105&lt;Weeks!$A$7,$B105&gt;Weeks!$B$59),"date outside this workbook's year",IF(AND($D105="Advance",N($L105)&lt;0),"Warning: more than earned so far - worker now owes "&amp;TEXT(ROUND(-$L105,0),"#,##0"),"")))))))))</f>
        <v/>
      </c>
      <c r="N105" s="125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</row>
    <row r="106" spans="1:40" s="127" customFormat="1" ht="21" customHeight="1" x14ac:dyDescent="0.25">
      <c r="A106" s="51" t="str">
        <f t="shared" si="3"/>
        <v/>
      </c>
      <c r="B106" s="77"/>
      <c r="C106" s="133"/>
      <c r="D106" s="50"/>
      <c r="E106" s="141"/>
      <c r="F106" s="133"/>
      <c r="G106" s="133"/>
      <c r="H106" s="50"/>
      <c r="I106" s="51" t="str">
        <f t="shared" si="4"/>
        <v/>
      </c>
      <c r="J106" s="52" t="str">
        <f t="shared" si="5"/>
        <v/>
      </c>
      <c r="K106" s="142" t="str">
        <f>IF(OR($I106="",$I106="?",$D106&lt;&gt;"Advance",$B106=""),"",$I106&amp;"|"&amp;$J106&amp;"|"&amp;COUNTIFS($I$7:$I106,$I106,$J$7:$J106,$J106,$D$7:$D106,"Advance"))</f>
        <v/>
      </c>
      <c r="L106" s="143" t="str">
        <f>IF(OR($I106="",$I106="?",$B106=""),"",SUMPRODUCT((Weeks!$A$7:$A$59&lt;=$J106)*(Weeks!$X$5:$AI$5=$I106)*Weeks!$X$7:$AI$59)-SUMIFS($E$7:$E$1006,$I$7:$I$1006,$I106,$B$7:$B$1006,"&lt;="&amp;$B106))</f>
        <v/>
      </c>
      <c r="M106" s="132" t="str">
        <f>IF($B106&amp;$C106&amp;$D106&amp;$E106="","",IF($B106="","missing date",IF($C106="","missing worker",IF($I106="?","unknown worker - was the name changed on Workers?",IF($D106="","missing type",IF(N($E106)=0,"missing amount",IF(AND($E106&lt;0,$D106&lt;&gt;"Correction"),"negative amount - use a Correction to undo",IF(OR($B106&lt;Weeks!$A$7,$B106&gt;Weeks!$B$59),"date outside this workbook's year",IF(AND($D106="Advance",N($L106)&lt;0),"Warning: more than earned so far - worker now owes "&amp;TEXT(ROUND(-$L106,0),"#,##0"),"")))))))))</f>
        <v/>
      </c>
      <c r="N106" s="125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</row>
    <row r="107" spans="1:40" s="127" customFormat="1" ht="21" customHeight="1" x14ac:dyDescent="0.25">
      <c r="A107" s="51" t="str">
        <f t="shared" si="3"/>
        <v/>
      </c>
      <c r="B107" s="77"/>
      <c r="C107" s="133"/>
      <c r="D107" s="50"/>
      <c r="E107" s="141"/>
      <c r="F107" s="133"/>
      <c r="G107" s="133"/>
      <c r="H107" s="50"/>
      <c r="I107" s="51" t="str">
        <f t="shared" si="4"/>
        <v/>
      </c>
      <c r="J107" s="52" t="str">
        <f t="shared" si="5"/>
        <v/>
      </c>
      <c r="K107" s="142" t="str">
        <f>IF(OR($I107="",$I107="?",$D107&lt;&gt;"Advance",$B107=""),"",$I107&amp;"|"&amp;$J107&amp;"|"&amp;COUNTIFS($I$7:$I107,$I107,$J$7:$J107,$J107,$D$7:$D107,"Advance"))</f>
        <v/>
      </c>
      <c r="L107" s="143" t="str">
        <f>IF(OR($I107="",$I107="?",$B107=""),"",SUMPRODUCT((Weeks!$A$7:$A$59&lt;=$J107)*(Weeks!$X$5:$AI$5=$I107)*Weeks!$X$7:$AI$59)-SUMIFS($E$7:$E$1006,$I$7:$I$1006,$I107,$B$7:$B$1006,"&lt;="&amp;$B107))</f>
        <v/>
      </c>
      <c r="M107" s="132" t="str">
        <f>IF($B107&amp;$C107&amp;$D107&amp;$E107="","",IF($B107="","missing date",IF($C107="","missing worker",IF($I107="?","unknown worker - was the name changed on Workers?",IF($D107="","missing type",IF(N($E107)=0,"missing amount",IF(AND($E107&lt;0,$D107&lt;&gt;"Correction"),"negative amount - use a Correction to undo",IF(OR($B107&lt;Weeks!$A$7,$B107&gt;Weeks!$B$59),"date outside this workbook's year",IF(AND($D107="Advance",N($L107)&lt;0),"Warning: more than earned so far - worker now owes "&amp;TEXT(ROUND(-$L107,0),"#,##0"),"")))))))))</f>
        <v/>
      </c>
      <c r="N107" s="125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</row>
    <row r="108" spans="1:40" s="127" customFormat="1" ht="21" customHeight="1" x14ac:dyDescent="0.25">
      <c r="A108" s="51" t="str">
        <f t="shared" si="3"/>
        <v/>
      </c>
      <c r="B108" s="77"/>
      <c r="C108" s="133"/>
      <c r="D108" s="50"/>
      <c r="E108" s="141"/>
      <c r="F108" s="133"/>
      <c r="G108" s="133"/>
      <c r="H108" s="50"/>
      <c r="I108" s="51" t="str">
        <f t="shared" si="4"/>
        <v/>
      </c>
      <c r="J108" s="52" t="str">
        <f t="shared" si="5"/>
        <v/>
      </c>
      <c r="K108" s="142" t="str">
        <f>IF(OR($I108="",$I108="?",$D108&lt;&gt;"Advance",$B108=""),"",$I108&amp;"|"&amp;$J108&amp;"|"&amp;COUNTIFS($I$7:$I108,$I108,$J$7:$J108,$J108,$D$7:$D108,"Advance"))</f>
        <v/>
      </c>
      <c r="L108" s="143" t="str">
        <f>IF(OR($I108="",$I108="?",$B108=""),"",SUMPRODUCT((Weeks!$A$7:$A$59&lt;=$J108)*(Weeks!$X$5:$AI$5=$I108)*Weeks!$X$7:$AI$59)-SUMIFS($E$7:$E$1006,$I$7:$I$1006,$I108,$B$7:$B$1006,"&lt;="&amp;$B108))</f>
        <v/>
      </c>
      <c r="M108" s="132" t="str">
        <f>IF($B108&amp;$C108&amp;$D108&amp;$E108="","",IF($B108="","missing date",IF($C108="","missing worker",IF($I108="?","unknown worker - was the name changed on Workers?",IF($D108="","missing type",IF(N($E108)=0,"missing amount",IF(AND($E108&lt;0,$D108&lt;&gt;"Correction"),"negative amount - use a Correction to undo",IF(OR($B108&lt;Weeks!$A$7,$B108&gt;Weeks!$B$59),"date outside this workbook's year",IF(AND($D108="Advance",N($L108)&lt;0),"Warning: more than earned so far - worker now owes "&amp;TEXT(ROUND(-$L108,0),"#,##0"),"")))))))))</f>
        <v/>
      </c>
      <c r="N108" s="125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</row>
    <row r="109" spans="1:40" s="127" customFormat="1" ht="21" customHeight="1" x14ac:dyDescent="0.25">
      <c r="A109" s="51" t="str">
        <f t="shared" si="3"/>
        <v/>
      </c>
      <c r="B109" s="77"/>
      <c r="C109" s="133"/>
      <c r="D109" s="50"/>
      <c r="E109" s="141"/>
      <c r="F109" s="133"/>
      <c r="G109" s="133"/>
      <c r="H109" s="50"/>
      <c r="I109" s="51" t="str">
        <f t="shared" si="4"/>
        <v/>
      </c>
      <c r="J109" s="52" t="str">
        <f t="shared" si="5"/>
        <v/>
      </c>
      <c r="K109" s="142" t="str">
        <f>IF(OR($I109="",$I109="?",$D109&lt;&gt;"Advance",$B109=""),"",$I109&amp;"|"&amp;$J109&amp;"|"&amp;COUNTIFS($I$7:$I109,$I109,$J$7:$J109,$J109,$D$7:$D109,"Advance"))</f>
        <v/>
      </c>
      <c r="L109" s="143" t="str">
        <f>IF(OR($I109="",$I109="?",$B109=""),"",SUMPRODUCT((Weeks!$A$7:$A$59&lt;=$J109)*(Weeks!$X$5:$AI$5=$I109)*Weeks!$X$7:$AI$59)-SUMIFS($E$7:$E$1006,$I$7:$I$1006,$I109,$B$7:$B$1006,"&lt;="&amp;$B109))</f>
        <v/>
      </c>
      <c r="M109" s="132" t="str">
        <f>IF($B109&amp;$C109&amp;$D109&amp;$E109="","",IF($B109="","missing date",IF($C109="","missing worker",IF($I109="?","unknown worker - was the name changed on Workers?",IF($D109="","missing type",IF(N($E109)=0,"missing amount",IF(AND($E109&lt;0,$D109&lt;&gt;"Correction"),"negative amount - use a Correction to undo",IF(OR($B109&lt;Weeks!$A$7,$B109&gt;Weeks!$B$59),"date outside this workbook's year",IF(AND($D109="Advance",N($L109)&lt;0),"Warning: more than earned so far - worker now owes "&amp;TEXT(ROUND(-$L109,0),"#,##0"),"")))))))))</f>
        <v/>
      </c>
      <c r="N109" s="125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</row>
    <row r="110" spans="1:40" s="127" customFormat="1" ht="21" customHeight="1" x14ac:dyDescent="0.25">
      <c r="A110" s="51" t="str">
        <f t="shared" si="3"/>
        <v/>
      </c>
      <c r="B110" s="77"/>
      <c r="C110" s="133"/>
      <c r="D110" s="50"/>
      <c r="E110" s="141"/>
      <c r="F110" s="133"/>
      <c r="G110" s="133"/>
      <c r="H110" s="50"/>
      <c r="I110" s="51" t="str">
        <f t="shared" si="4"/>
        <v/>
      </c>
      <c r="J110" s="52" t="str">
        <f t="shared" si="5"/>
        <v/>
      </c>
      <c r="K110" s="142" t="str">
        <f>IF(OR($I110="",$I110="?",$D110&lt;&gt;"Advance",$B110=""),"",$I110&amp;"|"&amp;$J110&amp;"|"&amp;COUNTIFS($I$7:$I110,$I110,$J$7:$J110,$J110,$D$7:$D110,"Advance"))</f>
        <v/>
      </c>
      <c r="L110" s="143" t="str">
        <f>IF(OR($I110="",$I110="?",$B110=""),"",SUMPRODUCT((Weeks!$A$7:$A$59&lt;=$J110)*(Weeks!$X$5:$AI$5=$I110)*Weeks!$X$7:$AI$59)-SUMIFS($E$7:$E$1006,$I$7:$I$1006,$I110,$B$7:$B$1006,"&lt;="&amp;$B110))</f>
        <v/>
      </c>
      <c r="M110" s="132" t="str">
        <f>IF($B110&amp;$C110&amp;$D110&amp;$E110="","",IF($B110="","missing date",IF($C110="","missing worker",IF($I110="?","unknown worker - was the name changed on Workers?",IF($D110="","missing type",IF(N($E110)=0,"missing amount",IF(AND($E110&lt;0,$D110&lt;&gt;"Correction"),"negative amount - use a Correction to undo",IF(OR($B110&lt;Weeks!$A$7,$B110&gt;Weeks!$B$59),"date outside this workbook's year",IF(AND($D110="Advance",N($L110)&lt;0),"Warning: more than earned so far - worker now owes "&amp;TEXT(ROUND(-$L110,0),"#,##0"),"")))))))))</f>
        <v/>
      </c>
      <c r="N110" s="125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</row>
    <row r="111" spans="1:40" s="127" customFormat="1" ht="21" customHeight="1" x14ac:dyDescent="0.25">
      <c r="A111" s="51" t="str">
        <f t="shared" si="3"/>
        <v/>
      </c>
      <c r="B111" s="77"/>
      <c r="C111" s="133"/>
      <c r="D111" s="50"/>
      <c r="E111" s="141"/>
      <c r="F111" s="133"/>
      <c r="G111" s="133"/>
      <c r="H111" s="50"/>
      <c r="I111" s="51" t="str">
        <f t="shared" si="4"/>
        <v/>
      </c>
      <c r="J111" s="52" t="str">
        <f t="shared" si="5"/>
        <v/>
      </c>
      <c r="K111" s="142" t="str">
        <f>IF(OR($I111="",$I111="?",$D111&lt;&gt;"Advance",$B111=""),"",$I111&amp;"|"&amp;$J111&amp;"|"&amp;COUNTIFS($I$7:$I111,$I111,$J$7:$J111,$J111,$D$7:$D111,"Advance"))</f>
        <v/>
      </c>
      <c r="L111" s="143" t="str">
        <f>IF(OR($I111="",$I111="?",$B111=""),"",SUMPRODUCT((Weeks!$A$7:$A$59&lt;=$J111)*(Weeks!$X$5:$AI$5=$I111)*Weeks!$X$7:$AI$59)-SUMIFS($E$7:$E$1006,$I$7:$I$1006,$I111,$B$7:$B$1006,"&lt;="&amp;$B111))</f>
        <v/>
      </c>
      <c r="M111" s="132" t="str">
        <f>IF($B111&amp;$C111&amp;$D111&amp;$E111="","",IF($B111="","missing date",IF($C111="","missing worker",IF($I111="?","unknown worker - was the name changed on Workers?",IF($D111="","missing type",IF(N($E111)=0,"missing amount",IF(AND($E111&lt;0,$D111&lt;&gt;"Correction"),"negative amount - use a Correction to undo",IF(OR($B111&lt;Weeks!$A$7,$B111&gt;Weeks!$B$59),"date outside this workbook's year",IF(AND($D111="Advance",N($L111)&lt;0),"Warning: more than earned so far - worker now owes "&amp;TEXT(ROUND(-$L111,0),"#,##0"),"")))))))))</f>
        <v/>
      </c>
      <c r="N111" s="125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</row>
    <row r="112" spans="1:40" s="127" customFormat="1" ht="21" customHeight="1" x14ac:dyDescent="0.25">
      <c r="A112" s="51" t="str">
        <f t="shared" si="3"/>
        <v/>
      </c>
      <c r="B112" s="77"/>
      <c r="C112" s="133"/>
      <c r="D112" s="50"/>
      <c r="E112" s="141"/>
      <c r="F112" s="133"/>
      <c r="G112" s="133"/>
      <c r="H112" s="50"/>
      <c r="I112" s="51" t="str">
        <f t="shared" si="4"/>
        <v/>
      </c>
      <c r="J112" s="52" t="str">
        <f t="shared" si="5"/>
        <v/>
      </c>
      <c r="K112" s="142" t="str">
        <f>IF(OR($I112="",$I112="?",$D112&lt;&gt;"Advance",$B112=""),"",$I112&amp;"|"&amp;$J112&amp;"|"&amp;COUNTIFS($I$7:$I112,$I112,$J$7:$J112,$J112,$D$7:$D112,"Advance"))</f>
        <v/>
      </c>
      <c r="L112" s="143" t="str">
        <f>IF(OR($I112="",$I112="?",$B112=""),"",SUMPRODUCT((Weeks!$A$7:$A$59&lt;=$J112)*(Weeks!$X$5:$AI$5=$I112)*Weeks!$X$7:$AI$59)-SUMIFS($E$7:$E$1006,$I$7:$I$1006,$I112,$B$7:$B$1006,"&lt;="&amp;$B112))</f>
        <v/>
      </c>
      <c r="M112" s="132" t="str">
        <f>IF($B112&amp;$C112&amp;$D112&amp;$E112="","",IF($B112="","missing date",IF($C112="","missing worker",IF($I112="?","unknown worker - was the name changed on Workers?",IF($D112="","missing type",IF(N($E112)=0,"missing amount",IF(AND($E112&lt;0,$D112&lt;&gt;"Correction"),"negative amount - use a Correction to undo",IF(OR($B112&lt;Weeks!$A$7,$B112&gt;Weeks!$B$59),"date outside this workbook's year",IF(AND($D112="Advance",N($L112)&lt;0),"Warning: more than earned so far - worker now owes "&amp;TEXT(ROUND(-$L112,0),"#,##0"),"")))))))))</f>
        <v/>
      </c>
      <c r="N112" s="125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</row>
    <row r="113" spans="1:40" s="127" customFormat="1" ht="21" customHeight="1" x14ac:dyDescent="0.25">
      <c r="A113" s="51" t="str">
        <f t="shared" si="3"/>
        <v/>
      </c>
      <c r="B113" s="77"/>
      <c r="C113" s="133"/>
      <c r="D113" s="50"/>
      <c r="E113" s="141"/>
      <c r="F113" s="133"/>
      <c r="G113" s="133"/>
      <c r="H113" s="50"/>
      <c r="I113" s="51" t="str">
        <f t="shared" si="4"/>
        <v/>
      </c>
      <c r="J113" s="52" t="str">
        <f t="shared" si="5"/>
        <v/>
      </c>
      <c r="K113" s="142" t="str">
        <f>IF(OR($I113="",$I113="?",$D113&lt;&gt;"Advance",$B113=""),"",$I113&amp;"|"&amp;$J113&amp;"|"&amp;COUNTIFS($I$7:$I113,$I113,$J$7:$J113,$J113,$D$7:$D113,"Advance"))</f>
        <v/>
      </c>
      <c r="L113" s="143" t="str">
        <f>IF(OR($I113="",$I113="?",$B113=""),"",SUMPRODUCT((Weeks!$A$7:$A$59&lt;=$J113)*(Weeks!$X$5:$AI$5=$I113)*Weeks!$X$7:$AI$59)-SUMIFS($E$7:$E$1006,$I$7:$I$1006,$I113,$B$7:$B$1006,"&lt;="&amp;$B113))</f>
        <v/>
      </c>
      <c r="M113" s="132" t="str">
        <f>IF($B113&amp;$C113&amp;$D113&amp;$E113="","",IF($B113="","missing date",IF($C113="","missing worker",IF($I113="?","unknown worker - was the name changed on Workers?",IF($D113="","missing type",IF(N($E113)=0,"missing amount",IF(AND($E113&lt;0,$D113&lt;&gt;"Correction"),"negative amount - use a Correction to undo",IF(OR($B113&lt;Weeks!$A$7,$B113&gt;Weeks!$B$59),"date outside this workbook's year",IF(AND($D113="Advance",N($L113)&lt;0),"Warning: more than earned so far - worker now owes "&amp;TEXT(ROUND(-$L113,0),"#,##0"),"")))))))))</f>
        <v/>
      </c>
      <c r="N113" s="125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</row>
    <row r="114" spans="1:40" s="127" customFormat="1" ht="21" customHeight="1" x14ac:dyDescent="0.25">
      <c r="A114" s="51" t="str">
        <f t="shared" si="3"/>
        <v/>
      </c>
      <c r="B114" s="77"/>
      <c r="C114" s="133"/>
      <c r="D114" s="50"/>
      <c r="E114" s="141"/>
      <c r="F114" s="133"/>
      <c r="G114" s="133"/>
      <c r="H114" s="50"/>
      <c r="I114" s="51" t="str">
        <f t="shared" si="4"/>
        <v/>
      </c>
      <c r="J114" s="52" t="str">
        <f t="shared" si="5"/>
        <v/>
      </c>
      <c r="K114" s="142" t="str">
        <f>IF(OR($I114="",$I114="?",$D114&lt;&gt;"Advance",$B114=""),"",$I114&amp;"|"&amp;$J114&amp;"|"&amp;COUNTIFS($I$7:$I114,$I114,$J$7:$J114,$J114,$D$7:$D114,"Advance"))</f>
        <v/>
      </c>
      <c r="L114" s="143" t="str">
        <f>IF(OR($I114="",$I114="?",$B114=""),"",SUMPRODUCT((Weeks!$A$7:$A$59&lt;=$J114)*(Weeks!$X$5:$AI$5=$I114)*Weeks!$X$7:$AI$59)-SUMIFS($E$7:$E$1006,$I$7:$I$1006,$I114,$B$7:$B$1006,"&lt;="&amp;$B114))</f>
        <v/>
      </c>
      <c r="M114" s="132" t="str">
        <f>IF($B114&amp;$C114&amp;$D114&amp;$E114="","",IF($B114="","missing date",IF($C114="","missing worker",IF($I114="?","unknown worker - was the name changed on Workers?",IF($D114="","missing type",IF(N($E114)=0,"missing amount",IF(AND($E114&lt;0,$D114&lt;&gt;"Correction"),"negative amount - use a Correction to undo",IF(OR($B114&lt;Weeks!$A$7,$B114&gt;Weeks!$B$59),"date outside this workbook's year",IF(AND($D114="Advance",N($L114)&lt;0),"Warning: more than earned so far - worker now owes "&amp;TEXT(ROUND(-$L114,0),"#,##0"),"")))))))))</f>
        <v/>
      </c>
      <c r="N114" s="125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</row>
    <row r="115" spans="1:40" s="127" customFormat="1" ht="21" customHeight="1" x14ac:dyDescent="0.25">
      <c r="A115" s="51" t="str">
        <f t="shared" si="3"/>
        <v/>
      </c>
      <c r="B115" s="77"/>
      <c r="C115" s="133"/>
      <c r="D115" s="50"/>
      <c r="E115" s="141"/>
      <c r="F115" s="133"/>
      <c r="G115" s="133"/>
      <c r="H115" s="50"/>
      <c r="I115" s="51" t="str">
        <f t="shared" si="4"/>
        <v/>
      </c>
      <c r="J115" s="52" t="str">
        <f t="shared" si="5"/>
        <v/>
      </c>
      <c r="K115" s="142" t="str">
        <f>IF(OR($I115="",$I115="?",$D115&lt;&gt;"Advance",$B115=""),"",$I115&amp;"|"&amp;$J115&amp;"|"&amp;COUNTIFS($I$7:$I115,$I115,$J$7:$J115,$J115,$D$7:$D115,"Advance"))</f>
        <v/>
      </c>
      <c r="L115" s="143" t="str">
        <f>IF(OR($I115="",$I115="?",$B115=""),"",SUMPRODUCT((Weeks!$A$7:$A$59&lt;=$J115)*(Weeks!$X$5:$AI$5=$I115)*Weeks!$X$7:$AI$59)-SUMIFS($E$7:$E$1006,$I$7:$I$1006,$I115,$B$7:$B$1006,"&lt;="&amp;$B115))</f>
        <v/>
      </c>
      <c r="M115" s="132" t="str">
        <f>IF($B115&amp;$C115&amp;$D115&amp;$E115="","",IF($B115="","missing date",IF($C115="","missing worker",IF($I115="?","unknown worker - was the name changed on Workers?",IF($D115="","missing type",IF(N($E115)=0,"missing amount",IF(AND($E115&lt;0,$D115&lt;&gt;"Correction"),"negative amount - use a Correction to undo",IF(OR($B115&lt;Weeks!$A$7,$B115&gt;Weeks!$B$59),"date outside this workbook's year",IF(AND($D115="Advance",N($L115)&lt;0),"Warning: more than earned so far - worker now owes "&amp;TEXT(ROUND(-$L115,0),"#,##0"),"")))))))))</f>
        <v/>
      </c>
      <c r="N115" s="125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</row>
    <row r="116" spans="1:40" s="127" customFormat="1" ht="21" customHeight="1" x14ac:dyDescent="0.25">
      <c r="A116" s="51" t="str">
        <f t="shared" si="3"/>
        <v/>
      </c>
      <c r="B116" s="77"/>
      <c r="C116" s="133"/>
      <c r="D116" s="50"/>
      <c r="E116" s="141"/>
      <c r="F116" s="133"/>
      <c r="G116" s="133"/>
      <c r="H116" s="50"/>
      <c r="I116" s="51" t="str">
        <f t="shared" si="4"/>
        <v/>
      </c>
      <c r="J116" s="52" t="str">
        <f t="shared" si="5"/>
        <v/>
      </c>
      <c r="K116" s="142" t="str">
        <f>IF(OR($I116="",$I116="?",$D116&lt;&gt;"Advance",$B116=""),"",$I116&amp;"|"&amp;$J116&amp;"|"&amp;COUNTIFS($I$7:$I116,$I116,$J$7:$J116,$J116,$D$7:$D116,"Advance"))</f>
        <v/>
      </c>
      <c r="L116" s="143" t="str">
        <f>IF(OR($I116="",$I116="?",$B116=""),"",SUMPRODUCT((Weeks!$A$7:$A$59&lt;=$J116)*(Weeks!$X$5:$AI$5=$I116)*Weeks!$X$7:$AI$59)-SUMIFS($E$7:$E$1006,$I$7:$I$1006,$I116,$B$7:$B$1006,"&lt;="&amp;$B116))</f>
        <v/>
      </c>
      <c r="M116" s="132" t="str">
        <f>IF($B116&amp;$C116&amp;$D116&amp;$E116="","",IF($B116="","missing date",IF($C116="","missing worker",IF($I116="?","unknown worker - was the name changed on Workers?",IF($D116="","missing type",IF(N($E116)=0,"missing amount",IF(AND($E116&lt;0,$D116&lt;&gt;"Correction"),"negative amount - use a Correction to undo",IF(OR($B116&lt;Weeks!$A$7,$B116&gt;Weeks!$B$59),"date outside this workbook's year",IF(AND($D116="Advance",N($L116)&lt;0),"Warning: more than earned so far - worker now owes "&amp;TEXT(ROUND(-$L116,0),"#,##0"),"")))))))))</f>
        <v/>
      </c>
      <c r="N116" s="125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</row>
    <row r="117" spans="1:40" s="127" customFormat="1" ht="21" customHeight="1" x14ac:dyDescent="0.25">
      <c r="A117" s="51" t="str">
        <f t="shared" si="3"/>
        <v/>
      </c>
      <c r="B117" s="77"/>
      <c r="C117" s="133"/>
      <c r="D117" s="50"/>
      <c r="E117" s="141"/>
      <c r="F117" s="133"/>
      <c r="G117" s="133"/>
      <c r="H117" s="50"/>
      <c r="I117" s="51" t="str">
        <f t="shared" si="4"/>
        <v/>
      </c>
      <c r="J117" s="52" t="str">
        <f t="shared" si="5"/>
        <v/>
      </c>
      <c r="K117" s="142" t="str">
        <f>IF(OR($I117="",$I117="?",$D117&lt;&gt;"Advance",$B117=""),"",$I117&amp;"|"&amp;$J117&amp;"|"&amp;COUNTIFS($I$7:$I117,$I117,$J$7:$J117,$J117,$D$7:$D117,"Advance"))</f>
        <v/>
      </c>
      <c r="L117" s="143" t="str">
        <f>IF(OR($I117="",$I117="?",$B117=""),"",SUMPRODUCT((Weeks!$A$7:$A$59&lt;=$J117)*(Weeks!$X$5:$AI$5=$I117)*Weeks!$X$7:$AI$59)-SUMIFS($E$7:$E$1006,$I$7:$I$1006,$I117,$B$7:$B$1006,"&lt;="&amp;$B117))</f>
        <v/>
      </c>
      <c r="M117" s="132" t="str">
        <f>IF($B117&amp;$C117&amp;$D117&amp;$E117="","",IF($B117="","missing date",IF($C117="","missing worker",IF($I117="?","unknown worker - was the name changed on Workers?",IF($D117="","missing type",IF(N($E117)=0,"missing amount",IF(AND($E117&lt;0,$D117&lt;&gt;"Correction"),"negative amount - use a Correction to undo",IF(OR($B117&lt;Weeks!$A$7,$B117&gt;Weeks!$B$59),"date outside this workbook's year",IF(AND($D117="Advance",N($L117)&lt;0),"Warning: more than earned so far - worker now owes "&amp;TEXT(ROUND(-$L117,0),"#,##0"),"")))))))))</f>
        <v/>
      </c>
      <c r="N117" s="125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</row>
    <row r="118" spans="1:40" s="127" customFormat="1" ht="21" customHeight="1" x14ac:dyDescent="0.25">
      <c r="A118" s="51" t="str">
        <f t="shared" si="3"/>
        <v/>
      </c>
      <c r="B118" s="77"/>
      <c r="C118" s="133"/>
      <c r="D118" s="50"/>
      <c r="E118" s="141"/>
      <c r="F118" s="133"/>
      <c r="G118" s="133"/>
      <c r="H118" s="50"/>
      <c r="I118" s="51" t="str">
        <f t="shared" si="4"/>
        <v/>
      </c>
      <c r="J118" s="52" t="str">
        <f t="shared" si="5"/>
        <v/>
      </c>
      <c r="K118" s="142" t="str">
        <f>IF(OR($I118="",$I118="?",$D118&lt;&gt;"Advance",$B118=""),"",$I118&amp;"|"&amp;$J118&amp;"|"&amp;COUNTIFS($I$7:$I118,$I118,$J$7:$J118,$J118,$D$7:$D118,"Advance"))</f>
        <v/>
      </c>
      <c r="L118" s="143" t="str">
        <f>IF(OR($I118="",$I118="?",$B118=""),"",SUMPRODUCT((Weeks!$A$7:$A$59&lt;=$J118)*(Weeks!$X$5:$AI$5=$I118)*Weeks!$X$7:$AI$59)-SUMIFS($E$7:$E$1006,$I$7:$I$1006,$I118,$B$7:$B$1006,"&lt;="&amp;$B118))</f>
        <v/>
      </c>
      <c r="M118" s="132" t="str">
        <f>IF($B118&amp;$C118&amp;$D118&amp;$E118="","",IF($B118="","missing date",IF($C118="","missing worker",IF($I118="?","unknown worker - was the name changed on Workers?",IF($D118="","missing type",IF(N($E118)=0,"missing amount",IF(AND($E118&lt;0,$D118&lt;&gt;"Correction"),"negative amount - use a Correction to undo",IF(OR($B118&lt;Weeks!$A$7,$B118&gt;Weeks!$B$59),"date outside this workbook's year",IF(AND($D118="Advance",N($L118)&lt;0),"Warning: more than earned so far - worker now owes "&amp;TEXT(ROUND(-$L118,0),"#,##0"),"")))))))))</f>
        <v/>
      </c>
      <c r="N118" s="125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</row>
    <row r="119" spans="1:40" s="127" customFormat="1" ht="21" customHeight="1" x14ac:dyDescent="0.25">
      <c r="A119" s="51" t="str">
        <f t="shared" si="3"/>
        <v/>
      </c>
      <c r="B119" s="77"/>
      <c r="C119" s="133"/>
      <c r="D119" s="50"/>
      <c r="E119" s="141"/>
      <c r="F119" s="133"/>
      <c r="G119" s="133"/>
      <c r="H119" s="50"/>
      <c r="I119" s="51" t="str">
        <f t="shared" si="4"/>
        <v/>
      </c>
      <c r="J119" s="52" t="str">
        <f t="shared" si="5"/>
        <v/>
      </c>
      <c r="K119" s="142" t="str">
        <f>IF(OR($I119="",$I119="?",$D119&lt;&gt;"Advance",$B119=""),"",$I119&amp;"|"&amp;$J119&amp;"|"&amp;COUNTIFS($I$7:$I119,$I119,$J$7:$J119,$J119,$D$7:$D119,"Advance"))</f>
        <v/>
      </c>
      <c r="L119" s="143" t="str">
        <f>IF(OR($I119="",$I119="?",$B119=""),"",SUMPRODUCT((Weeks!$A$7:$A$59&lt;=$J119)*(Weeks!$X$5:$AI$5=$I119)*Weeks!$X$7:$AI$59)-SUMIFS($E$7:$E$1006,$I$7:$I$1006,$I119,$B$7:$B$1006,"&lt;="&amp;$B119))</f>
        <v/>
      </c>
      <c r="M119" s="132" t="str">
        <f>IF($B119&amp;$C119&amp;$D119&amp;$E119="","",IF($B119="","missing date",IF($C119="","missing worker",IF($I119="?","unknown worker - was the name changed on Workers?",IF($D119="","missing type",IF(N($E119)=0,"missing amount",IF(AND($E119&lt;0,$D119&lt;&gt;"Correction"),"negative amount - use a Correction to undo",IF(OR($B119&lt;Weeks!$A$7,$B119&gt;Weeks!$B$59),"date outside this workbook's year",IF(AND($D119="Advance",N($L119)&lt;0),"Warning: more than earned so far - worker now owes "&amp;TEXT(ROUND(-$L119,0),"#,##0"),"")))))))))</f>
        <v/>
      </c>
      <c r="N119" s="125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</row>
    <row r="120" spans="1:40" s="127" customFormat="1" ht="21" customHeight="1" x14ac:dyDescent="0.25">
      <c r="A120" s="51" t="str">
        <f t="shared" si="3"/>
        <v/>
      </c>
      <c r="B120" s="77"/>
      <c r="C120" s="133"/>
      <c r="D120" s="50"/>
      <c r="E120" s="141"/>
      <c r="F120" s="133"/>
      <c r="G120" s="133"/>
      <c r="H120" s="50"/>
      <c r="I120" s="51" t="str">
        <f t="shared" si="4"/>
        <v/>
      </c>
      <c r="J120" s="52" t="str">
        <f t="shared" si="5"/>
        <v/>
      </c>
      <c r="K120" s="142" t="str">
        <f>IF(OR($I120="",$I120="?",$D120&lt;&gt;"Advance",$B120=""),"",$I120&amp;"|"&amp;$J120&amp;"|"&amp;COUNTIFS($I$7:$I120,$I120,$J$7:$J120,$J120,$D$7:$D120,"Advance"))</f>
        <v/>
      </c>
      <c r="L120" s="143" t="str">
        <f>IF(OR($I120="",$I120="?",$B120=""),"",SUMPRODUCT((Weeks!$A$7:$A$59&lt;=$J120)*(Weeks!$X$5:$AI$5=$I120)*Weeks!$X$7:$AI$59)-SUMIFS($E$7:$E$1006,$I$7:$I$1006,$I120,$B$7:$B$1006,"&lt;="&amp;$B120))</f>
        <v/>
      </c>
      <c r="M120" s="132" t="str">
        <f>IF($B120&amp;$C120&amp;$D120&amp;$E120="","",IF($B120="","missing date",IF($C120="","missing worker",IF($I120="?","unknown worker - was the name changed on Workers?",IF($D120="","missing type",IF(N($E120)=0,"missing amount",IF(AND($E120&lt;0,$D120&lt;&gt;"Correction"),"negative amount - use a Correction to undo",IF(OR($B120&lt;Weeks!$A$7,$B120&gt;Weeks!$B$59),"date outside this workbook's year",IF(AND($D120="Advance",N($L120)&lt;0),"Warning: more than earned so far - worker now owes "&amp;TEXT(ROUND(-$L120,0),"#,##0"),"")))))))))</f>
        <v/>
      </c>
      <c r="N120" s="125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</row>
    <row r="121" spans="1:40" s="127" customFormat="1" ht="21" customHeight="1" x14ac:dyDescent="0.25">
      <c r="A121" s="51" t="str">
        <f t="shared" si="3"/>
        <v/>
      </c>
      <c r="B121" s="77"/>
      <c r="C121" s="133"/>
      <c r="D121" s="50"/>
      <c r="E121" s="141"/>
      <c r="F121" s="133"/>
      <c r="G121" s="133"/>
      <c r="H121" s="50"/>
      <c r="I121" s="51" t="str">
        <f t="shared" si="4"/>
        <v/>
      </c>
      <c r="J121" s="52" t="str">
        <f t="shared" si="5"/>
        <v/>
      </c>
      <c r="K121" s="142" t="str">
        <f>IF(OR($I121="",$I121="?",$D121&lt;&gt;"Advance",$B121=""),"",$I121&amp;"|"&amp;$J121&amp;"|"&amp;COUNTIFS($I$7:$I121,$I121,$J$7:$J121,$J121,$D$7:$D121,"Advance"))</f>
        <v/>
      </c>
      <c r="L121" s="143" t="str">
        <f>IF(OR($I121="",$I121="?",$B121=""),"",SUMPRODUCT((Weeks!$A$7:$A$59&lt;=$J121)*(Weeks!$X$5:$AI$5=$I121)*Weeks!$X$7:$AI$59)-SUMIFS($E$7:$E$1006,$I$7:$I$1006,$I121,$B$7:$B$1006,"&lt;="&amp;$B121))</f>
        <v/>
      </c>
      <c r="M121" s="132" t="str">
        <f>IF($B121&amp;$C121&amp;$D121&amp;$E121="","",IF($B121="","missing date",IF($C121="","missing worker",IF($I121="?","unknown worker - was the name changed on Workers?",IF($D121="","missing type",IF(N($E121)=0,"missing amount",IF(AND($E121&lt;0,$D121&lt;&gt;"Correction"),"negative amount - use a Correction to undo",IF(OR($B121&lt;Weeks!$A$7,$B121&gt;Weeks!$B$59),"date outside this workbook's year",IF(AND($D121="Advance",N($L121)&lt;0),"Warning: more than earned so far - worker now owes "&amp;TEXT(ROUND(-$L121,0),"#,##0"),"")))))))))</f>
        <v/>
      </c>
      <c r="N121" s="125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</row>
    <row r="122" spans="1:40" s="127" customFormat="1" ht="21" customHeight="1" x14ac:dyDescent="0.25">
      <c r="A122" s="51" t="str">
        <f t="shared" si="3"/>
        <v/>
      </c>
      <c r="B122" s="77"/>
      <c r="C122" s="133"/>
      <c r="D122" s="50"/>
      <c r="E122" s="141"/>
      <c r="F122" s="133"/>
      <c r="G122" s="133"/>
      <c r="H122" s="50"/>
      <c r="I122" s="51" t="str">
        <f t="shared" si="4"/>
        <v/>
      </c>
      <c r="J122" s="52" t="str">
        <f t="shared" si="5"/>
        <v/>
      </c>
      <c r="K122" s="142" t="str">
        <f>IF(OR($I122="",$I122="?",$D122&lt;&gt;"Advance",$B122=""),"",$I122&amp;"|"&amp;$J122&amp;"|"&amp;COUNTIFS($I$7:$I122,$I122,$J$7:$J122,$J122,$D$7:$D122,"Advance"))</f>
        <v/>
      </c>
      <c r="L122" s="143" t="str">
        <f>IF(OR($I122="",$I122="?",$B122=""),"",SUMPRODUCT((Weeks!$A$7:$A$59&lt;=$J122)*(Weeks!$X$5:$AI$5=$I122)*Weeks!$X$7:$AI$59)-SUMIFS($E$7:$E$1006,$I$7:$I$1006,$I122,$B$7:$B$1006,"&lt;="&amp;$B122))</f>
        <v/>
      </c>
      <c r="M122" s="132" t="str">
        <f>IF($B122&amp;$C122&amp;$D122&amp;$E122="","",IF($B122="","missing date",IF($C122="","missing worker",IF($I122="?","unknown worker - was the name changed on Workers?",IF($D122="","missing type",IF(N($E122)=0,"missing amount",IF(AND($E122&lt;0,$D122&lt;&gt;"Correction"),"negative amount - use a Correction to undo",IF(OR($B122&lt;Weeks!$A$7,$B122&gt;Weeks!$B$59),"date outside this workbook's year",IF(AND($D122="Advance",N($L122)&lt;0),"Warning: more than earned so far - worker now owes "&amp;TEXT(ROUND(-$L122,0),"#,##0"),"")))))))))</f>
        <v/>
      </c>
      <c r="N122" s="125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</row>
    <row r="123" spans="1:40" s="127" customFormat="1" ht="21" customHeight="1" x14ac:dyDescent="0.25">
      <c r="A123" s="51" t="str">
        <f t="shared" si="3"/>
        <v/>
      </c>
      <c r="B123" s="77"/>
      <c r="C123" s="133"/>
      <c r="D123" s="50"/>
      <c r="E123" s="141"/>
      <c r="F123" s="133"/>
      <c r="G123" s="133"/>
      <c r="H123" s="50"/>
      <c r="I123" s="51" t="str">
        <f t="shared" si="4"/>
        <v/>
      </c>
      <c r="J123" s="52" t="str">
        <f t="shared" si="5"/>
        <v/>
      </c>
      <c r="K123" s="142" t="str">
        <f>IF(OR($I123="",$I123="?",$D123&lt;&gt;"Advance",$B123=""),"",$I123&amp;"|"&amp;$J123&amp;"|"&amp;COUNTIFS($I$7:$I123,$I123,$J$7:$J123,$J123,$D$7:$D123,"Advance"))</f>
        <v/>
      </c>
      <c r="L123" s="143" t="str">
        <f>IF(OR($I123="",$I123="?",$B123=""),"",SUMPRODUCT((Weeks!$A$7:$A$59&lt;=$J123)*(Weeks!$X$5:$AI$5=$I123)*Weeks!$X$7:$AI$59)-SUMIFS($E$7:$E$1006,$I$7:$I$1006,$I123,$B$7:$B$1006,"&lt;="&amp;$B123))</f>
        <v/>
      </c>
      <c r="M123" s="132" t="str">
        <f>IF($B123&amp;$C123&amp;$D123&amp;$E123="","",IF($B123="","missing date",IF($C123="","missing worker",IF($I123="?","unknown worker - was the name changed on Workers?",IF($D123="","missing type",IF(N($E123)=0,"missing amount",IF(AND($E123&lt;0,$D123&lt;&gt;"Correction"),"negative amount - use a Correction to undo",IF(OR($B123&lt;Weeks!$A$7,$B123&gt;Weeks!$B$59),"date outside this workbook's year",IF(AND($D123="Advance",N($L123)&lt;0),"Warning: more than earned so far - worker now owes "&amp;TEXT(ROUND(-$L123,0),"#,##0"),"")))))))))</f>
        <v/>
      </c>
      <c r="N123" s="125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</row>
    <row r="124" spans="1:40" s="127" customFormat="1" ht="21" customHeight="1" x14ac:dyDescent="0.25">
      <c r="A124" s="51" t="str">
        <f t="shared" si="3"/>
        <v/>
      </c>
      <c r="B124" s="77"/>
      <c r="C124" s="133"/>
      <c r="D124" s="50"/>
      <c r="E124" s="141"/>
      <c r="F124" s="133"/>
      <c r="G124" s="133"/>
      <c r="H124" s="50"/>
      <c r="I124" s="51" t="str">
        <f t="shared" si="4"/>
        <v/>
      </c>
      <c r="J124" s="52" t="str">
        <f t="shared" si="5"/>
        <v/>
      </c>
      <c r="K124" s="142" t="str">
        <f>IF(OR($I124="",$I124="?",$D124&lt;&gt;"Advance",$B124=""),"",$I124&amp;"|"&amp;$J124&amp;"|"&amp;COUNTIFS($I$7:$I124,$I124,$J$7:$J124,$J124,$D$7:$D124,"Advance"))</f>
        <v/>
      </c>
      <c r="L124" s="143" t="str">
        <f>IF(OR($I124="",$I124="?",$B124=""),"",SUMPRODUCT((Weeks!$A$7:$A$59&lt;=$J124)*(Weeks!$X$5:$AI$5=$I124)*Weeks!$X$7:$AI$59)-SUMIFS($E$7:$E$1006,$I$7:$I$1006,$I124,$B$7:$B$1006,"&lt;="&amp;$B124))</f>
        <v/>
      </c>
      <c r="M124" s="132" t="str">
        <f>IF($B124&amp;$C124&amp;$D124&amp;$E124="","",IF($B124="","missing date",IF($C124="","missing worker",IF($I124="?","unknown worker - was the name changed on Workers?",IF($D124="","missing type",IF(N($E124)=0,"missing amount",IF(AND($E124&lt;0,$D124&lt;&gt;"Correction"),"negative amount - use a Correction to undo",IF(OR($B124&lt;Weeks!$A$7,$B124&gt;Weeks!$B$59),"date outside this workbook's year",IF(AND($D124="Advance",N($L124)&lt;0),"Warning: more than earned so far - worker now owes "&amp;TEXT(ROUND(-$L124,0),"#,##0"),"")))))))))</f>
        <v/>
      </c>
      <c r="N124" s="125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</row>
    <row r="125" spans="1:40" s="127" customFormat="1" ht="21" customHeight="1" x14ac:dyDescent="0.25">
      <c r="A125" s="51" t="str">
        <f t="shared" si="3"/>
        <v/>
      </c>
      <c r="B125" s="77"/>
      <c r="C125" s="133"/>
      <c r="D125" s="50"/>
      <c r="E125" s="141"/>
      <c r="F125" s="133"/>
      <c r="G125" s="133"/>
      <c r="H125" s="50"/>
      <c r="I125" s="51" t="str">
        <f t="shared" si="4"/>
        <v/>
      </c>
      <c r="J125" s="52" t="str">
        <f t="shared" si="5"/>
        <v/>
      </c>
      <c r="K125" s="142" t="str">
        <f>IF(OR($I125="",$I125="?",$D125&lt;&gt;"Advance",$B125=""),"",$I125&amp;"|"&amp;$J125&amp;"|"&amp;COUNTIFS($I$7:$I125,$I125,$J$7:$J125,$J125,$D$7:$D125,"Advance"))</f>
        <v/>
      </c>
      <c r="L125" s="143" t="str">
        <f>IF(OR($I125="",$I125="?",$B125=""),"",SUMPRODUCT((Weeks!$A$7:$A$59&lt;=$J125)*(Weeks!$X$5:$AI$5=$I125)*Weeks!$X$7:$AI$59)-SUMIFS($E$7:$E$1006,$I$7:$I$1006,$I125,$B$7:$B$1006,"&lt;="&amp;$B125))</f>
        <v/>
      </c>
      <c r="M125" s="132" t="str">
        <f>IF($B125&amp;$C125&amp;$D125&amp;$E125="","",IF($B125="","missing date",IF($C125="","missing worker",IF($I125="?","unknown worker - was the name changed on Workers?",IF($D125="","missing type",IF(N($E125)=0,"missing amount",IF(AND($E125&lt;0,$D125&lt;&gt;"Correction"),"negative amount - use a Correction to undo",IF(OR($B125&lt;Weeks!$A$7,$B125&gt;Weeks!$B$59),"date outside this workbook's year",IF(AND($D125="Advance",N($L125)&lt;0),"Warning: more than earned so far - worker now owes "&amp;TEXT(ROUND(-$L125,0),"#,##0"),"")))))))))</f>
        <v/>
      </c>
      <c r="N125" s="125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</row>
    <row r="126" spans="1:40" s="127" customFormat="1" ht="21" customHeight="1" x14ac:dyDescent="0.25">
      <c r="A126" s="51" t="str">
        <f t="shared" si="3"/>
        <v/>
      </c>
      <c r="B126" s="77"/>
      <c r="C126" s="133"/>
      <c r="D126" s="50"/>
      <c r="E126" s="141"/>
      <c r="F126" s="133"/>
      <c r="G126" s="133"/>
      <c r="H126" s="50"/>
      <c r="I126" s="51" t="str">
        <f t="shared" si="4"/>
        <v/>
      </c>
      <c r="J126" s="52" t="str">
        <f t="shared" si="5"/>
        <v/>
      </c>
      <c r="K126" s="142" t="str">
        <f>IF(OR($I126="",$I126="?",$D126&lt;&gt;"Advance",$B126=""),"",$I126&amp;"|"&amp;$J126&amp;"|"&amp;COUNTIFS($I$7:$I126,$I126,$J$7:$J126,$J126,$D$7:$D126,"Advance"))</f>
        <v/>
      </c>
      <c r="L126" s="143" t="str">
        <f>IF(OR($I126="",$I126="?",$B126=""),"",SUMPRODUCT((Weeks!$A$7:$A$59&lt;=$J126)*(Weeks!$X$5:$AI$5=$I126)*Weeks!$X$7:$AI$59)-SUMIFS($E$7:$E$1006,$I$7:$I$1006,$I126,$B$7:$B$1006,"&lt;="&amp;$B126))</f>
        <v/>
      </c>
      <c r="M126" s="132" t="str">
        <f>IF($B126&amp;$C126&amp;$D126&amp;$E126="","",IF($B126="","missing date",IF($C126="","missing worker",IF($I126="?","unknown worker - was the name changed on Workers?",IF($D126="","missing type",IF(N($E126)=0,"missing amount",IF(AND($E126&lt;0,$D126&lt;&gt;"Correction"),"negative amount - use a Correction to undo",IF(OR($B126&lt;Weeks!$A$7,$B126&gt;Weeks!$B$59),"date outside this workbook's year",IF(AND($D126="Advance",N($L126)&lt;0),"Warning: more than earned so far - worker now owes "&amp;TEXT(ROUND(-$L126,0),"#,##0"),"")))))))))</f>
        <v/>
      </c>
      <c r="N126" s="125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</row>
    <row r="127" spans="1:40" s="127" customFormat="1" ht="21" customHeight="1" x14ac:dyDescent="0.25">
      <c r="A127" s="51" t="str">
        <f t="shared" si="3"/>
        <v/>
      </c>
      <c r="B127" s="77"/>
      <c r="C127" s="133"/>
      <c r="D127" s="50"/>
      <c r="E127" s="141"/>
      <c r="F127" s="133"/>
      <c r="G127" s="133"/>
      <c r="H127" s="50"/>
      <c r="I127" s="51" t="str">
        <f t="shared" si="4"/>
        <v/>
      </c>
      <c r="J127" s="52" t="str">
        <f t="shared" si="5"/>
        <v/>
      </c>
      <c r="K127" s="142" t="str">
        <f>IF(OR($I127="",$I127="?",$D127&lt;&gt;"Advance",$B127=""),"",$I127&amp;"|"&amp;$J127&amp;"|"&amp;COUNTIFS($I$7:$I127,$I127,$J$7:$J127,$J127,$D$7:$D127,"Advance"))</f>
        <v/>
      </c>
      <c r="L127" s="143" t="str">
        <f>IF(OR($I127="",$I127="?",$B127=""),"",SUMPRODUCT((Weeks!$A$7:$A$59&lt;=$J127)*(Weeks!$X$5:$AI$5=$I127)*Weeks!$X$7:$AI$59)-SUMIFS($E$7:$E$1006,$I$7:$I$1006,$I127,$B$7:$B$1006,"&lt;="&amp;$B127))</f>
        <v/>
      </c>
      <c r="M127" s="132" t="str">
        <f>IF($B127&amp;$C127&amp;$D127&amp;$E127="","",IF($B127="","missing date",IF($C127="","missing worker",IF($I127="?","unknown worker - was the name changed on Workers?",IF($D127="","missing type",IF(N($E127)=0,"missing amount",IF(AND($E127&lt;0,$D127&lt;&gt;"Correction"),"negative amount - use a Correction to undo",IF(OR($B127&lt;Weeks!$A$7,$B127&gt;Weeks!$B$59),"date outside this workbook's year",IF(AND($D127="Advance",N($L127)&lt;0),"Warning: more than earned so far - worker now owes "&amp;TEXT(ROUND(-$L127,0),"#,##0"),"")))))))))</f>
        <v/>
      </c>
      <c r="N127" s="125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</row>
    <row r="128" spans="1:40" s="127" customFormat="1" ht="21" customHeight="1" x14ac:dyDescent="0.25">
      <c r="A128" s="51" t="str">
        <f t="shared" si="3"/>
        <v/>
      </c>
      <c r="B128" s="77"/>
      <c r="C128" s="133"/>
      <c r="D128" s="50"/>
      <c r="E128" s="141"/>
      <c r="F128" s="133"/>
      <c r="G128" s="133"/>
      <c r="H128" s="50"/>
      <c r="I128" s="51" t="str">
        <f t="shared" si="4"/>
        <v/>
      </c>
      <c r="J128" s="52" t="str">
        <f t="shared" si="5"/>
        <v/>
      </c>
      <c r="K128" s="142" t="str">
        <f>IF(OR($I128="",$I128="?",$D128&lt;&gt;"Advance",$B128=""),"",$I128&amp;"|"&amp;$J128&amp;"|"&amp;COUNTIFS($I$7:$I128,$I128,$J$7:$J128,$J128,$D$7:$D128,"Advance"))</f>
        <v/>
      </c>
      <c r="L128" s="143" t="str">
        <f>IF(OR($I128="",$I128="?",$B128=""),"",SUMPRODUCT((Weeks!$A$7:$A$59&lt;=$J128)*(Weeks!$X$5:$AI$5=$I128)*Weeks!$X$7:$AI$59)-SUMIFS($E$7:$E$1006,$I$7:$I$1006,$I128,$B$7:$B$1006,"&lt;="&amp;$B128))</f>
        <v/>
      </c>
      <c r="M128" s="132" t="str">
        <f>IF($B128&amp;$C128&amp;$D128&amp;$E128="","",IF($B128="","missing date",IF($C128="","missing worker",IF($I128="?","unknown worker - was the name changed on Workers?",IF($D128="","missing type",IF(N($E128)=0,"missing amount",IF(AND($E128&lt;0,$D128&lt;&gt;"Correction"),"negative amount - use a Correction to undo",IF(OR($B128&lt;Weeks!$A$7,$B128&gt;Weeks!$B$59),"date outside this workbook's year",IF(AND($D128="Advance",N($L128)&lt;0),"Warning: more than earned so far - worker now owes "&amp;TEXT(ROUND(-$L128,0),"#,##0"),"")))))))))</f>
        <v/>
      </c>
      <c r="N128" s="125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</row>
    <row r="129" spans="1:40" s="127" customFormat="1" ht="21" customHeight="1" x14ac:dyDescent="0.25">
      <c r="A129" s="51" t="str">
        <f t="shared" si="3"/>
        <v/>
      </c>
      <c r="B129" s="77"/>
      <c r="C129" s="133"/>
      <c r="D129" s="50"/>
      <c r="E129" s="141"/>
      <c r="F129" s="133"/>
      <c r="G129" s="133"/>
      <c r="H129" s="50"/>
      <c r="I129" s="51" t="str">
        <f t="shared" si="4"/>
        <v/>
      </c>
      <c r="J129" s="52" t="str">
        <f t="shared" si="5"/>
        <v/>
      </c>
      <c r="K129" s="142" t="str">
        <f>IF(OR($I129="",$I129="?",$D129&lt;&gt;"Advance",$B129=""),"",$I129&amp;"|"&amp;$J129&amp;"|"&amp;COUNTIFS($I$7:$I129,$I129,$J$7:$J129,$J129,$D$7:$D129,"Advance"))</f>
        <v/>
      </c>
      <c r="L129" s="143" t="str">
        <f>IF(OR($I129="",$I129="?",$B129=""),"",SUMPRODUCT((Weeks!$A$7:$A$59&lt;=$J129)*(Weeks!$X$5:$AI$5=$I129)*Weeks!$X$7:$AI$59)-SUMIFS($E$7:$E$1006,$I$7:$I$1006,$I129,$B$7:$B$1006,"&lt;="&amp;$B129))</f>
        <v/>
      </c>
      <c r="M129" s="132" t="str">
        <f>IF($B129&amp;$C129&amp;$D129&amp;$E129="","",IF($B129="","missing date",IF($C129="","missing worker",IF($I129="?","unknown worker - was the name changed on Workers?",IF($D129="","missing type",IF(N($E129)=0,"missing amount",IF(AND($E129&lt;0,$D129&lt;&gt;"Correction"),"negative amount - use a Correction to undo",IF(OR($B129&lt;Weeks!$A$7,$B129&gt;Weeks!$B$59),"date outside this workbook's year",IF(AND($D129="Advance",N($L129)&lt;0),"Warning: more than earned so far - worker now owes "&amp;TEXT(ROUND(-$L129,0),"#,##0"),"")))))))))</f>
        <v/>
      </c>
      <c r="N129" s="125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</row>
    <row r="130" spans="1:40" s="127" customFormat="1" ht="21" customHeight="1" x14ac:dyDescent="0.25">
      <c r="A130" s="51" t="str">
        <f t="shared" si="3"/>
        <v/>
      </c>
      <c r="B130" s="77"/>
      <c r="C130" s="133"/>
      <c r="D130" s="50"/>
      <c r="E130" s="141"/>
      <c r="F130" s="133"/>
      <c r="G130" s="133"/>
      <c r="H130" s="50"/>
      <c r="I130" s="51" t="str">
        <f t="shared" si="4"/>
        <v/>
      </c>
      <c r="J130" s="52" t="str">
        <f t="shared" si="5"/>
        <v/>
      </c>
      <c r="K130" s="142" t="str">
        <f>IF(OR($I130="",$I130="?",$D130&lt;&gt;"Advance",$B130=""),"",$I130&amp;"|"&amp;$J130&amp;"|"&amp;COUNTIFS($I$7:$I130,$I130,$J$7:$J130,$J130,$D$7:$D130,"Advance"))</f>
        <v/>
      </c>
      <c r="L130" s="143" t="str">
        <f>IF(OR($I130="",$I130="?",$B130=""),"",SUMPRODUCT((Weeks!$A$7:$A$59&lt;=$J130)*(Weeks!$X$5:$AI$5=$I130)*Weeks!$X$7:$AI$59)-SUMIFS($E$7:$E$1006,$I$7:$I$1006,$I130,$B$7:$B$1006,"&lt;="&amp;$B130))</f>
        <v/>
      </c>
      <c r="M130" s="132" t="str">
        <f>IF($B130&amp;$C130&amp;$D130&amp;$E130="","",IF($B130="","missing date",IF($C130="","missing worker",IF($I130="?","unknown worker - was the name changed on Workers?",IF($D130="","missing type",IF(N($E130)=0,"missing amount",IF(AND($E130&lt;0,$D130&lt;&gt;"Correction"),"negative amount - use a Correction to undo",IF(OR($B130&lt;Weeks!$A$7,$B130&gt;Weeks!$B$59),"date outside this workbook's year",IF(AND($D130="Advance",N($L130)&lt;0),"Warning: more than earned so far - worker now owes "&amp;TEXT(ROUND(-$L130,0),"#,##0"),"")))))))))</f>
        <v/>
      </c>
      <c r="N130" s="125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</row>
    <row r="131" spans="1:40" s="127" customFormat="1" ht="21" customHeight="1" x14ac:dyDescent="0.25">
      <c r="A131" s="51" t="str">
        <f t="shared" si="3"/>
        <v/>
      </c>
      <c r="B131" s="77"/>
      <c r="C131" s="133"/>
      <c r="D131" s="50"/>
      <c r="E131" s="141"/>
      <c r="F131" s="133"/>
      <c r="G131" s="133"/>
      <c r="H131" s="50"/>
      <c r="I131" s="51" t="str">
        <f t="shared" si="4"/>
        <v/>
      </c>
      <c r="J131" s="52" t="str">
        <f t="shared" si="5"/>
        <v/>
      </c>
      <c r="K131" s="142" t="str">
        <f>IF(OR($I131="",$I131="?",$D131&lt;&gt;"Advance",$B131=""),"",$I131&amp;"|"&amp;$J131&amp;"|"&amp;COUNTIFS($I$7:$I131,$I131,$J$7:$J131,$J131,$D$7:$D131,"Advance"))</f>
        <v/>
      </c>
      <c r="L131" s="143" t="str">
        <f>IF(OR($I131="",$I131="?",$B131=""),"",SUMPRODUCT((Weeks!$A$7:$A$59&lt;=$J131)*(Weeks!$X$5:$AI$5=$I131)*Weeks!$X$7:$AI$59)-SUMIFS($E$7:$E$1006,$I$7:$I$1006,$I131,$B$7:$B$1006,"&lt;="&amp;$B131))</f>
        <v/>
      </c>
      <c r="M131" s="132" t="str">
        <f>IF($B131&amp;$C131&amp;$D131&amp;$E131="","",IF($B131="","missing date",IF($C131="","missing worker",IF($I131="?","unknown worker - was the name changed on Workers?",IF($D131="","missing type",IF(N($E131)=0,"missing amount",IF(AND($E131&lt;0,$D131&lt;&gt;"Correction"),"negative amount - use a Correction to undo",IF(OR($B131&lt;Weeks!$A$7,$B131&gt;Weeks!$B$59),"date outside this workbook's year",IF(AND($D131="Advance",N($L131)&lt;0),"Warning: more than earned so far - worker now owes "&amp;TEXT(ROUND(-$L131,0),"#,##0"),"")))))))))</f>
        <v/>
      </c>
      <c r="N131" s="125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</row>
    <row r="132" spans="1:40" s="127" customFormat="1" ht="21" customHeight="1" x14ac:dyDescent="0.25">
      <c r="A132" s="51" t="str">
        <f t="shared" si="3"/>
        <v/>
      </c>
      <c r="B132" s="77"/>
      <c r="C132" s="133"/>
      <c r="D132" s="50"/>
      <c r="E132" s="141"/>
      <c r="F132" s="133"/>
      <c r="G132" s="133"/>
      <c r="H132" s="50"/>
      <c r="I132" s="51" t="str">
        <f t="shared" si="4"/>
        <v/>
      </c>
      <c r="J132" s="52" t="str">
        <f t="shared" si="5"/>
        <v/>
      </c>
      <c r="K132" s="142" t="str">
        <f>IF(OR($I132="",$I132="?",$D132&lt;&gt;"Advance",$B132=""),"",$I132&amp;"|"&amp;$J132&amp;"|"&amp;COUNTIFS($I$7:$I132,$I132,$J$7:$J132,$J132,$D$7:$D132,"Advance"))</f>
        <v/>
      </c>
      <c r="L132" s="143" t="str">
        <f>IF(OR($I132="",$I132="?",$B132=""),"",SUMPRODUCT((Weeks!$A$7:$A$59&lt;=$J132)*(Weeks!$X$5:$AI$5=$I132)*Weeks!$X$7:$AI$59)-SUMIFS($E$7:$E$1006,$I$7:$I$1006,$I132,$B$7:$B$1006,"&lt;="&amp;$B132))</f>
        <v/>
      </c>
      <c r="M132" s="132" t="str">
        <f>IF($B132&amp;$C132&amp;$D132&amp;$E132="","",IF($B132="","missing date",IF($C132="","missing worker",IF($I132="?","unknown worker - was the name changed on Workers?",IF($D132="","missing type",IF(N($E132)=0,"missing amount",IF(AND($E132&lt;0,$D132&lt;&gt;"Correction"),"negative amount - use a Correction to undo",IF(OR($B132&lt;Weeks!$A$7,$B132&gt;Weeks!$B$59),"date outside this workbook's year",IF(AND($D132="Advance",N($L132)&lt;0),"Warning: more than earned so far - worker now owes "&amp;TEXT(ROUND(-$L132,0),"#,##0"),"")))))))))</f>
        <v/>
      </c>
      <c r="N132" s="125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</row>
    <row r="133" spans="1:40" s="127" customFormat="1" ht="21" customHeight="1" x14ac:dyDescent="0.25">
      <c r="A133" s="51" t="str">
        <f t="shared" si="3"/>
        <v/>
      </c>
      <c r="B133" s="77"/>
      <c r="C133" s="133"/>
      <c r="D133" s="50"/>
      <c r="E133" s="141"/>
      <c r="F133" s="133"/>
      <c r="G133" s="133"/>
      <c r="H133" s="50"/>
      <c r="I133" s="51" t="str">
        <f t="shared" si="4"/>
        <v/>
      </c>
      <c r="J133" s="52" t="str">
        <f t="shared" si="5"/>
        <v/>
      </c>
      <c r="K133" s="142" t="str">
        <f>IF(OR($I133="",$I133="?",$D133&lt;&gt;"Advance",$B133=""),"",$I133&amp;"|"&amp;$J133&amp;"|"&amp;COUNTIFS($I$7:$I133,$I133,$J$7:$J133,$J133,$D$7:$D133,"Advance"))</f>
        <v/>
      </c>
      <c r="L133" s="143" t="str">
        <f>IF(OR($I133="",$I133="?",$B133=""),"",SUMPRODUCT((Weeks!$A$7:$A$59&lt;=$J133)*(Weeks!$X$5:$AI$5=$I133)*Weeks!$X$7:$AI$59)-SUMIFS($E$7:$E$1006,$I$7:$I$1006,$I133,$B$7:$B$1006,"&lt;="&amp;$B133))</f>
        <v/>
      </c>
      <c r="M133" s="132" t="str">
        <f>IF($B133&amp;$C133&amp;$D133&amp;$E133="","",IF($B133="","missing date",IF($C133="","missing worker",IF($I133="?","unknown worker - was the name changed on Workers?",IF($D133="","missing type",IF(N($E133)=0,"missing amount",IF(AND($E133&lt;0,$D133&lt;&gt;"Correction"),"negative amount - use a Correction to undo",IF(OR($B133&lt;Weeks!$A$7,$B133&gt;Weeks!$B$59),"date outside this workbook's year",IF(AND($D133="Advance",N($L133)&lt;0),"Warning: more than earned so far - worker now owes "&amp;TEXT(ROUND(-$L133,0),"#,##0"),"")))))))))</f>
        <v/>
      </c>
      <c r="N133" s="125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</row>
    <row r="134" spans="1:40" s="127" customFormat="1" ht="21" customHeight="1" x14ac:dyDescent="0.25">
      <c r="A134" s="51" t="str">
        <f t="shared" si="3"/>
        <v/>
      </c>
      <c r="B134" s="77"/>
      <c r="C134" s="133"/>
      <c r="D134" s="50"/>
      <c r="E134" s="141"/>
      <c r="F134" s="133"/>
      <c r="G134" s="133"/>
      <c r="H134" s="50"/>
      <c r="I134" s="51" t="str">
        <f t="shared" si="4"/>
        <v/>
      </c>
      <c r="J134" s="52" t="str">
        <f t="shared" si="5"/>
        <v/>
      </c>
      <c r="K134" s="142" t="str">
        <f>IF(OR($I134="",$I134="?",$D134&lt;&gt;"Advance",$B134=""),"",$I134&amp;"|"&amp;$J134&amp;"|"&amp;COUNTIFS($I$7:$I134,$I134,$J$7:$J134,$J134,$D$7:$D134,"Advance"))</f>
        <v/>
      </c>
      <c r="L134" s="143" t="str">
        <f>IF(OR($I134="",$I134="?",$B134=""),"",SUMPRODUCT((Weeks!$A$7:$A$59&lt;=$J134)*(Weeks!$X$5:$AI$5=$I134)*Weeks!$X$7:$AI$59)-SUMIFS($E$7:$E$1006,$I$7:$I$1006,$I134,$B$7:$B$1006,"&lt;="&amp;$B134))</f>
        <v/>
      </c>
      <c r="M134" s="132" t="str">
        <f>IF($B134&amp;$C134&amp;$D134&amp;$E134="","",IF($B134="","missing date",IF($C134="","missing worker",IF($I134="?","unknown worker - was the name changed on Workers?",IF($D134="","missing type",IF(N($E134)=0,"missing amount",IF(AND($E134&lt;0,$D134&lt;&gt;"Correction"),"negative amount - use a Correction to undo",IF(OR($B134&lt;Weeks!$A$7,$B134&gt;Weeks!$B$59),"date outside this workbook's year",IF(AND($D134="Advance",N($L134)&lt;0),"Warning: more than earned so far - worker now owes "&amp;TEXT(ROUND(-$L134,0),"#,##0"),"")))))))))</f>
        <v/>
      </c>
      <c r="N134" s="125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</row>
    <row r="135" spans="1:40" s="127" customFormat="1" ht="21" customHeight="1" x14ac:dyDescent="0.25">
      <c r="A135" s="51" t="str">
        <f t="shared" ref="A135:A198" si="6">IF($B135="","",ROW()-6)</f>
        <v/>
      </c>
      <c r="B135" s="77"/>
      <c r="C135" s="133"/>
      <c r="D135" s="50"/>
      <c r="E135" s="141"/>
      <c r="F135" s="133"/>
      <c r="G135" s="133"/>
      <c r="H135" s="50"/>
      <c r="I135" s="51" t="str">
        <f t="shared" ref="I135:I198" si="7">IF($C135="","",IFERROR(INDEX(WorkerIDs,MATCH($C135,WorkerNames,0)),"?"))</f>
        <v/>
      </c>
      <c r="J135" s="52" t="str">
        <f t="shared" ref="J135:J198" si="8">IF($B135="","",$B135-WEEKDAY($B135,2)+1)</f>
        <v/>
      </c>
      <c r="K135" s="142" t="str">
        <f>IF(OR($I135="",$I135="?",$D135&lt;&gt;"Advance",$B135=""),"",$I135&amp;"|"&amp;$J135&amp;"|"&amp;COUNTIFS($I$7:$I135,$I135,$J$7:$J135,$J135,$D$7:$D135,"Advance"))</f>
        <v/>
      </c>
      <c r="L135" s="143" t="str">
        <f>IF(OR($I135="",$I135="?",$B135=""),"",SUMPRODUCT((Weeks!$A$7:$A$59&lt;=$J135)*(Weeks!$X$5:$AI$5=$I135)*Weeks!$X$7:$AI$59)-SUMIFS($E$7:$E$1006,$I$7:$I$1006,$I135,$B$7:$B$1006,"&lt;="&amp;$B135))</f>
        <v/>
      </c>
      <c r="M135" s="132" t="str">
        <f>IF($B135&amp;$C135&amp;$D135&amp;$E135="","",IF($B135="","missing date",IF($C135="","missing worker",IF($I135="?","unknown worker - was the name changed on Workers?",IF($D135="","missing type",IF(N($E135)=0,"missing amount",IF(AND($E135&lt;0,$D135&lt;&gt;"Correction"),"negative amount - use a Correction to undo",IF(OR($B135&lt;Weeks!$A$7,$B135&gt;Weeks!$B$59),"date outside this workbook's year",IF(AND($D135="Advance",N($L135)&lt;0),"Warning: more than earned so far - worker now owes "&amp;TEXT(ROUND(-$L135,0),"#,##0"),"")))))))))</f>
        <v/>
      </c>
      <c r="N135" s="125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</row>
    <row r="136" spans="1:40" s="127" customFormat="1" ht="21" customHeight="1" x14ac:dyDescent="0.25">
      <c r="A136" s="51" t="str">
        <f t="shared" si="6"/>
        <v/>
      </c>
      <c r="B136" s="77"/>
      <c r="C136" s="133"/>
      <c r="D136" s="50"/>
      <c r="E136" s="141"/>
      <c r="F136" s="133"/>
      <c r="G136" s="133"/>
      <c r="H136" s="50"/>
      <c r="I136" s="51" t="str">
        <f t="shared" si="7"/>
        <v/>
      </c>
      <c r="J136" s="52" t="str">
        <f t="shared" si="8"/>
        <v/>
      </c>
      <c r="K136" s="142" t="str">
        <f>IF(OR($I136="",$I136="?",$D136&lt;&gt;"Advance",$B136=""),"",$I136&amp;"|"&amp;$J136&amp;"|"&amp;COUNTIFS($I$7:$I136,$I136,$J$7:$J136,$J136,$D$7:$D136,"Advance"))</f>
        <v/>
      </c>
      <c r="L136" s="143" t="str">
        <f>IF(OR($I136="",$I136="?",$B136=""),"",SUMPRODUCT((Weeks!$A$7:$A$59&lt;=$J136)*(Weeks!$X$5:$AI$5=$I136)*Weeks!$X$7:$AI$59)-SUMIFS($E$7:$E$1006,$I$7:$I$1006,$I136,$B$7:$B$1006,"&lt;="&amp;$B136))</f>
        <v/>
      </c>
      <c r="M136" s="132" t="str">
        <f>IF($B136&amp;$C136&amp;$D136&amp;$E136="","",IF($B136="","missing date",IF($C136="","missing worker",IF($I136="?","unknown worker - was the name changed on Workers?",IF($D136="","missing type",IF(N($E136)=0,"missing amount",IF(AND($E136&lt;0,$D136&lt;&gt;"Correction"),"negative amount - use a Correction to undo",IF(OR($B136&lt;Weeks!$A$7,$B136&gt;Weeks!$B$59),"date outside this workbook's year",IF(AND($D136="Advance",N($L136)&lt;0),"Warning: more than earned so far - worker now owes "&amp;TEXT(ROUND(-$L136,0),"#,##0"),"")))))))))</f>
        <v/>
      </c>
      <c r="N136" s="125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</row>
    <row r="137" spans="1:40" s="127" customFormat="1" ht="21" customHeight="1" x14ac:dyDescent="0.25">
      <c r="A137" s="51" t="str">
        <f t="shared" si="6"/>
        <v/>
      </c>
      <c r="B137" s="77"/>
      <c r="C137" s="133"/>
      <c r="D137" s="50"/>
      <c r="E137" s="141"/>
      <c r="F137" s="133"/>
      <c r="G137" s="133"/>
      <c r="H137" s="50"/>
      <c r="I137" s="51" t="str">
        <f t="shared" si="7"/>
        <v/>
      </c>
      <c r="J137" s="52" t="str">
        <f t="shared" si="8"/>
        <v/>
      </c>
      <c r="K137" s="142" t="str">
        <f>IF(OR($I137="",$I137="?",$D137&lt;&gt;"Advance",$B137=""),"",$I137&amp;"|"&amp;$J137&amp;"|"&amp;COUNTIFS($I$7:$I137,$I137,$J$7:$J137,$J137,$D$7:$D137,"Advance"))</f>
        <v/>
      </c>
      <c r="L137" s="143" t="str">
        <f>IF(OR($I137="",$I137="?",$B137=""),"",SUMPRODUCT((Weeks!$A$7:$A$59&lt;=$J137)*(Weeks!$X$5:$AI$5=$I137)*Weeks!$X$7:$AI$59)-SUMIFS($E$7:$E$1006,$I$7:$I$1006,$I137,$B$7:$B$1006,"&lt;="&amp;$B137))</f>
        <v/>
      </c>
      <c r="M137" s="132" t="str">
        <f>IF($B137&amp;$C137&amp;$D137&amp;$E137="","",IF($B137="","missing date",IF($C137="","missing worker",IF($I137="?","unknown worker - was the name changed on Workers?",IF($D137="","missing type",IF(N($E137)=0,"missing amount",IF(AND($E137&lt;0,$D137&lt;&gt;"Correction"),"negative amount - use a Correction to undo",IF(OR($B137&lt;Weeks!$A$7,$B137&gt;Weeks!$B$59),"date outside this workbook's year",IF(AND($D137="Advance",N($L137)&lt;0),"Warning: more than earned so far - worker now owes "&amp;TEXT(ROUND(-$L137,0),"#,##0"),"")))))))))</f>
        <v/>
      </c>
      <c r="N137" s="125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</row>
    <row r="138" spans="1:40" s="127" customFormat="1" ht="21" customHeight="1" x14ac:dyDescent="0.25">
      <c r="A138" s="51" t="str">
        <f t="shared" si="6"/>
        <v/>
      </c>
      <c r="B138" s="77"/>
      <c r="C138" s="133"/>
      <c r="D138" s="50"/>
      <c r="E138" s="141"/>
      <c r="F138" s="133"/>
      <c r="G138" s="133"/>
      <c r="H138" s="50"/>
      <c r="I138" s="51" t="str">
        <f t="shared" si="7"/>
        <v/>
      </c>
      <c r="J138" s="52" t="str">
        <f t="shared" si="8"/>
        <v/>
      </c>
      <c r="K138" s="142" t="str">
        <f>IF(OR($I138="",$I138="?",$D138&lt;&gt;"Advance",$B138=""),"",$I138&amp;"|"&amp;$J138&amp;"|"&amp;COUNTIFS($I$7:$I138,$I138,$J$7:$J138,$J138,$D$7:$D138,"Advance"))</f>
        <v/>
      </c>
      <c r="L138" s="143" t="str">
        <f>IF(OR($I138="",$I138="?",$B138=""),"",SUMPRODUCT((Weeks!$A$7:$A$59&lt;=$J138)*(Weeks!$X$5:$AI$5=$I138)*Weeks!$X$7:$AI$59)-SUMIFS($E$7:$E$1006,$I$7:$I$1006,$I138,$B$7:$B$1006,"&lt;="&amp;$B138))</f>
        <v/>
      </c>
      <c r="M138" s="132" t="str">
        <f>IF($B138&amp;$C138&amp;$D138&amp;$E138="","",IF($B138="","missing date",IF($C138="","missing worker",IF($I138="?","unknown worker - was the name changed on Workers?",IF($D138="","missing type",IF(N($E138)=0,"missing amount",IF(AND($E138&lt;0,$D138&lt;&gt;"Correction"),"negative amount - use a Correction to undo",IF(OR($B138&lt;Weeks!$A$7,$B138&gt;Weeks!$B$59),"date outside this workbook's year",IF(AND($D138="Advance",N($L138)&lt;0),"Warning: more than earned so far - worker now owes "&amp;TEXT(ROUND(-$L138,0),"#,##0"),"")))))))))</f>
        <v/>
      </c>
      <c r="N138" s="125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</row>
    <row r="139" spans="1:40" s="127" customFormat="1" ht="21" customHeight="1" x14ac:dyDescent="0.25">
      <c r="A139" s="51" t="str">
        <f t="shared" si="6"/>
        <v/>
      </c>
      <c r="B139" s="77"/>
      <c r="C139" s="133"/>
      <c r="D139" s="50"/>
      <c r="E139" s="141"/>
      <c r="F139" s="133"/>
      <c r="G139" s="133"/>
      <c r="H139" s="50"/>
      <c r="I139" s="51" t="str">
        <f t="shared" si="7"/>
        <v/>
      </c>
      <c r="J139" s="52" t="str">
        <f t="shared" si="8"/>
        <v/>
      </c>
      <c r="K139" s="142" t="str">
        <f>IF(OR($I139="",$I139="?",$D139&lt;&gt;"Advance",$B139=""),"",$I139&amp;"|"&amp;$J139&amp;"|"&amp;COUNTIFS($I$7:$I139,$I139,$J$7:$J139,$J139,$D$7:$D139,"Advance"))</f>
        <v/>
      </c>
      <c r="L139" s="143" t="str">
        <f>IF(OR($I139="",$I139="?",$B139=""),"",SUMPRODUCT((Weeks!$A$7:$A$59&lt;=$J139)*(Weeks!$X$5:$AI$5=$I139)*Weeks!$X$7:$AI$59)-SUMIFS($E$7:$E$1006,$I$7:$I$1006,$I139,$B$7:$B$1006,"&lt;="&amp;$B139))</f>
        <v/>
      </c>
      <c r="M139" s="132" t="str">
        <f>IF($B139&amp;$C139&amp;$D139&amp;$E139="","",IF($B139="","missing date",IF($C139="","missing worker",IF($I139="?","unknown worker - was the name changed on Workers?",IF($D139="","missing type",IF(N($E139)=0,"missing amount",IF(AND($E139&lt;0,$D139&lt;&gt;"Correction"),"negative amount - use a Correction to undo",IF(OR($B139&lt;Weeks!$A$7,$B139&gt;Weeks!$B$59),"date outside this workbook's year",IF(AND($D139="Advance",N($L139)&lt;0),"Warning: more than earned so far - worker now owes "&amp;TEXT(ROUND(-$L139,0),"#,##0"),"")))))))))</f>
        <v/>
      </c>
      <c r="N139" s="125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</row>
    <row r="140" spans="1:40" s="127" customFormat="1" ht="21" customHeight="1" x14ac:dyDescent="0.25">
      <c r="A140" s="51" t="str">
        <f t="shared" si="6"/>
        <v/>
      </c>
      <c r="B140" s="77"/>
      <c r="C140" s="133"/>
      <c r="D140" s="50"/>
      <c r="E140" s="141"/>
      <c r="F140" s="133"/>
      <c r="G140" s="133"/>
      <c r="H140" s="50"/>
      <c r="I140" s="51" t="str">
        <f t="shared" si="7"/>
        <v/>
      </c>
      <c r="J140" s="52" t="str">
        <f t="shared" si="8"/>
        <v/>
      </c>
      <c r="K140" s="142" t="str">
        <f>IF(OR($I140="",$I140="?",$D140&lt;&gt;"Advance",$B140=""),"",$I140&amp;"|"&amp;$J140&amp;"|"&amp;COUNTIFS($I$7:$I140,$I140,$J$7:$J140,$J140,$D$7:$D140,"Advance"))</f>
        <v/>
      </c>
      <c r="L140" s="143" t="str">
        <f>IF(OR($I140="",$I140="?",$B140=""),"",SUMPRODUCT((Weeks!$A$7:$A$59&lt;=$J140)*(Weeks!$X$5:$AI$5=$I140)*Weeks!$X$7:$AI$59)-SUMIFS($E$7:$E$1006,$I$7:$I$1006,$I140,$B$7:$B$1006,"&lt;="&amp;$B140))</f>
        <v/>
      </c>
      <c r="M140" s="132" t="str">
        <f>IF($B140&amp;$C140&amp;$D140&amp;$E140="","",IF($B140="","missing date",IF($C140="","missing worker",IF($I140="?","unknown worker - was the name changed on Workers?",IF($D140="","missing type",IF(N($E140)=0,"missing amount",IF(AND($E140&lt;0,$D140&lt;&gt;"Correction"),"negative amount - use a Correction to undo",IF(OR($B140&lt;Weeks!$A$7,$B140&gt;Weeks!$B$59),"date outside this workbook's year",IF(AND($D140="Advance",N($L140)&lt;0),"Warning: more than earned so far - worker now owes "&amp;TEXT(ROUND(-$L140,0),"#,##0"),"")))))))))</f>
        <v/>
      </c>
      <c r="N140" s="125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</row>
    <row r="141" spans="1:40" s="127" customFormat="1" ht="21" customHeight="1" x14ac:dyDescent="0.25">
      <c r="A141" s="51" t="str">
        <f t="shared" si="6"/>
        <v/>
      </c>
      <c r="B141" s="77"/>
      <c r="C141" s="133"/>
      <c r="D141" s="50"/>
      <c r="E141" s="141"/>
      <c r="F141" s="133"/>
      <c r="G141" s="133"/>
      <c r="H141" s="50"/>
      <c r="I141" s="51" t="str">
        <f t="shared" si="7"/>
        <v/>
      </c>
      <c r="J141" s="52" t="str">
        <f t="shared" si="8"/>
        <v/>
      </c>
      <c r="K141" s="142" t="str">
        <f>IF(OR($I141="",$I141="?",$D141&lt;&gt;"Advance",$B141=""),"",$I141&amp;"|"&amp;$J141&amp;"|"&amp;COUNTIFS($I$7:$I141,$I141,$J$7:$J141,$J141,$D$7:$D141,"Advance"))</f>
        <v/>
      </c>
      <c r="L141" s="143" t="str">
        <f>IF(OR($I141="",$I141="?",$B141=""),"",SUMPRODUCT((Weeks!$A$7:$A$59&lt;=$J141)*(Weeks!$X$5:$AI$5=$I141)*Weeks!$X$7:$AI$59)-SUMIFS($E$7:$E$1006,$I$7:$I$1006,$I141,$B$7:$B$1006,"&lt;="&amp;$B141))</f>
        <v/>
      </c>
      <c r="M141" s="132" t="str">
        <f>IF($B141&amp;$C141&amp;$D141&amp;$E141="","",IF($B141="","missing date",IF($C141="","missing worker",IF($I141="?","unknown worker - was the name changed on Workers?",IF($D141="","missing type",IF(N($E141)=0,"missing amount",IF(AND($E141&lt;0,$D141&lt;&gt;"Correction"),"negative amount - use a Correction to undo",IF(OR($B141&lt;Weeks!$A$7,$B141&gt;Weeks!$B$59),"date outside this workbook's year",IF(AND($D141="Advance",N($L141)&lt;0),"Warning: more than earned so far - worker now owes "&amp;TEXT(ROUND(-$L141,0),"#,##0"),"")))))))))</f>
        <v/>
      </c>
      <c r="N141" s="125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</row>
    <row r="142" spans="1:40" s="127" customFormat="1" ht="21" customHeight="1" x14ac:dyDescent="0.25">
      <c r="A142" s="51" t="str">
        <f t="shared" si="6"/>
        <v/>
      </c>
      <c r="B142" s="77"/>
      <c r="C142" s="133"/>
      <c r="D142" s="50"/>
      <c r="E142" s="141"/>
      <c r="F142" s="133"/>
      <c r="G142" s="133"/>
      <c r="H142" s="50"/>
      <c r="I142" s="51" t="str">
        <f t="shared" si="7"/>
        <v/>
      </c>
      <c r="J142" s="52" t="str">
        <f t="shared" si="8"/>
        <v/>
      </c>
      <c r="K142" s="142" t="str">
        <f>IF(OR($I142="",$I142="?",$D142&lt;&gt;"Advance",$B142=""),"",$I142&amp;"|"&amp;$J142&amp;"|"&amp;COUNTIFS($I$7:$I142,$I142,$J$7:$J142,$J142,$D$7:$D142,"Advance"))</f>
        <v/>
      </c>
      <c r="L142" s="143" t="str">
        <f>IF(OR($I142="",$I142="?",$B142=""),"",SUMPRODUCT((Weeks!$A$7:$A$59&lt;=$J142)*(Weeks!$X$5:$AI$5=$I142)*Weeks!$X$7:$AI$59)-SUMIFS($E$7:$E$1006,$I$7:$I$1006,$I142,$B$7:$B$1006,"&lt;="&amp;$B142))</f>
        <v/>
      </c>
      <c r="M142" s="132" t="str">
        <f>IF($B142&amp;$C142&amp;$D142&amp;$E142="","",IF($B142="","missing date",IF($C142="","missing worker",IF($I142="?","unknown worker - was the name changed on Workers?",IF($D142="","missing type",IF(N($E142)=0,"missing amount",IF(AND($E142&lt;0,$D142&lt;&gt;"Correction"),"negative amount - use a Correction to undo",IF(OR($B142&lt;Weeks!$A$7,$B142&gt;Weeks!$B$59),"date outside this workbook's year",IF(AND($D142="Advance",N($L142)&lt;0),"Warning: more than earned so far - worker now owes "&amp;TEXT(ROUND(-$L142,0),"#,##0"),"")))))))))</f>
        <v/>
      </c>
      <c r="N142" s="125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</row>
    <row r="143" spans="1:40" s="127" customFormat="1" ht="21" customHeight="1" x14ac:dyDescent="0.25">
      <c r="A143" s="51" t="str">
        <f t="shared" si="6"/>
        <v/>
      </c>
      <c r="B143" s="77"/>
      <c r="C143" s="133"/>
      <c r="D143" s="50"/>
      <c r="E143" s="141"/>
      <c r="F143" s="133"/>
      <c r="G143" s="133"/>
      <c r="H143" s="50"/>
      <c r="I143" s="51" t="str">
        <f t="shared" si="7"/>
        <v/>
      </c>
      <c r="J143" s="52" t="str">
        <f t="shared" si="8"/>
        <v/>
      </c>
      <c r="K143" s="142" t="str">
        <f>IF(OR($I143="",$I143="?",$D143&lt;&gt;"Advance",$B143=""),"",$I143&amp;"|"&amp;$J143&amp;"|"&amp;COUNTIFS($I$7:$I143,$I143,$J$7:$J143,$J143,$D$7:$D143,"Advance"))</f>
        <v/>
      </c>
      <c r="L143" s="143" t="str">
        <f>IF(OR($I143="",$I143="?",$B143=""),"",SUMPRODUCT((Weeks!$A$7:$A$59&lt;=$J143)*(Weeks!$X$5:$AI$5=$I143)*Weeks!$X$7:$AI$59)-SUMIFS($E$7:$E$1006,$I$7:$I$1006,$I143,$B$7:$B$1006,"&lt;="&amp;$B143))</f>
        <v/>
      </c>
      <c r="M143" s="132" t="str">
        <f>IF($B143&amp;$C143&amp;$D143&amp;$E143="","",IF($B143="","missing date",IF($C143="","missing worker",IF($I143="?","unknown worker - was the name changed on Workers?",IF($D143="","missing type",IF(N($E143)=0,"missing amount",IF(AND($E143&lt;0,$D143&lt;&gt;"Correction"),"negative amount - use a Correction to undo",IF(OR($B143&lt;Weeks!$A$7,$B143&gt;Weeks!$B$59),"date outside this workbook's year",IF(AND($D143="Advance",N($L143)&lt;0),"Warning: more than earned so far - worker now owes "&amp;TEXT(ROUND(-$L143,0),"#,##0"),"")))))))))</f>
        <v/>
      </c>
      <c r="N143" s="125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</row>
    <row r="144" spans="1:40" s="127" customFormat="1" ht="21" customHeight="1" x14ac:dyDescent="0.25">
      <c r="A144" s="51" t="str">
        <f t="shared" si="6"/>
        <v/>
      </c>
      <c r="B144" s="77"/>
      <c r="C144" s="133"/>
      <c r="D144" s="50"/>
      <c r="E144" s="141"/>
      <c r="F144" s="133"/>
      <c r="G144" s="133"/>
      <c r="H144" s="50"/>
      <c r="I144" s="51" t="str">
        <f t="shared" si="7"/>
        <v/>
      </c>
      <c r="J144" s="52" t="str">
        <f t="shared" si="8"/>
        <v/>
      </c>
      <c r="K144" s="142" t="str">
        <f>IF(OR($I144="",$I144="?",$D144&lt;&gt;"Advance",$B144=""),"",$I144&amp;"|"&amp;$J144&amp;"|"&amp;COUNTIFS($I$7:$I144,$I144,$J$7:$J144,$J144,$D$7:$D144,"Advance"))</f>
        <v/>
      </c>
      <c r="L144" s="143" t="str">
        <f>IF(OR($I144="",$I144="?",$B144=""),"",SUMPRODUCT((Weeks!$A$7:$A$59&lt;=$J144)*(Weeks!$X$5:$AI$5=$I144)*Weeks!$X$7:$AI$59)-SUMIFS($E$7:$E$1006,$I$7:$I$1006,$I144,$B$7:$B$1006,"&lt;="&amp;$B144))</f>
        <v/>
      </c>
      <c r="M144" s="132" t="str">
        <f>IF($B144&amp;$C144&amp;$D144&amp;$E144="","",IF($B144="","missing date",IF($C144="","missing worker",IF($I144="?","unknown worker - was the name changed on Workers?",IF($D144="","missing type",IF(N($E144)=0,"missing amount",IF(AND($E144&lt;0,$D144&lt;&gt;"Correction"),"negative amount - use a Correction to undo",IF(OR($B144&lt;Weeks!$A$7,$B144&gt;Weeks!$B$59),"date outside this workbook's year",IF(AND($D144="Advance",N($L144)&lt;0),"Warning: more than earned so far - worker now owes "&amp;TEXT(ROUND(-$L144,0),"#,##0"),"")))))))))</f>
        <v/>
      </c>
      <c r="N144" s="125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</row>
    <row r="145" spans="1:40" s="127" customFormat="1" ht="21" customHeight="1" x14ac:dyDescent="0.25">
      <c r="A145" s="51" t="str">
        <f t="shared" si="6"/>
        <v/>
      </c>
      <c r="B145" s="77"/>
      <c r="C145" s="133"/>
      <c r="D145" s="50"/>
      <c r="E145" s="141"/>
      <c r="F145" s="133"/>
      <c r="G145" s="133"/>
      <c r="H145" s="50"/>
      <c r="I145" s="51" t="str">
        <f t="shared" si="7"/>
        <v/>
      </c>
      <c r="J145" s="52" t="str">
        <f t="shared" si="8"/>
        <v/>
      </c>
      <c r="K145" s="142" t="str">
        <f>IF(OR($I145="",$I145="?",$D145&lt;&gt;"Advance",$B145=""),"",$I145&amp;"|"&amp;$J145&amp;"|"&amp;COUNTIFS($I$7:$I145,$I145,$J$7:$J145,$J145,$D$7:$D145,"Advance"))</f>
        <v/>
      </c>
      <c r="L145" s="143" t="str">
        <f>IF(OR($I145="",$I145="?",$B145=""),"",SUMPRODUCT((Weeks!$A$7:$A$59&lt;=$J145)*(Weeks!$X$5:$AI$5=$I145)*Weeks!$X$7:$AI$59)-SUMIFS($E$7:$E$1006,$I$7:$I$1006,$I145,$B$7:$B$1006,"&lt;="&amp;$B145))</f>
        <v/>
      </c>
      <c r="M145" s="132" t="str">
        <f>IF($B145&amp;$C145&amp;$D145&amp;$E145="","",IF($B145="","missing date",IF($C145="","missing worker",IF($I145="?","unknown worker - was the name changed on Workers?",IF($D145="","missing type",IF(N($E145)=0,"missing amount",IF(AND($E145&lt;0,$D145&lt;&gt;"Correction"),"negative amount - use a Correction to undo",IF(OR($B145&lt;Weeks!$A$7,$B145&gt;Weeks!$B$59),"date outside this workbook's year",IF(AND($D145="Advance",N($L145)&lt;0),"Warning: more than earned so far - worker now owes "&amp;TEXT(ROUND(-$L145,0),"#,##0"),"")))))))))</f>
        <v/>
      </c>
      <c r="N145" s="125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</row>
    <row r="146" spans="1:40" s="127" customFormat="1" ht="21" customHeight="1" x14ac:dyDescent="0.25">
      <c r="A146" s="51" t="str">
        <f t="shared" si="6"/>
        <v/>
      </c>
      <c r="B146" s="77"/>
      <c r="C146" s="133"/>
      <c r="D146" s="50"/>
      <c r="E146" s="141"/>
      <c r="F146" s="133"/>
      <c r="G146" s="133"/>
      <c r="H146" s="50"/>
      <c r="I146" s="51" t="str">
        <f t="shared" si="7"/>
        <v/>
      </c>
      <c r="J146" s="52" t="str">
        <f t="shared" si="8"/>
        <v/>
      </c>
      <c r="K146" s="142" t="str">
        <f>IF(OR($I146="",$I146="?",$D146&lt;&gt;"Advance",$B146=""),"",$I146&amp;"|"&amp;$J146&amp;"|"&amp;COUNTIFS($I$7:$I146,$I146,$J$7:$J146,$J146,$D$7:$D146,"Advance"))</f>
        <v/>
      </c>
      <c r="L146" s="143" t="str">
        <f>IF(OR($I146="",$I146="?",$B146=""),"",SUMPRODUCT((Weeks!$A$7:$A$59&lt;=$J146)*(Weeks!$X$5:$AI$5=$I146)*Weeks!$X$7:$AI$59)-SUMIFS($E$7:$E$1006,$I$7:$I$1006,$I146,$B$7:$B$1006,"&lt;="&amp;$B146))</f>
        <v/>
      </c>
      <c r="M146" s="132" t="str">
        <f>IF($B146&amp;$C146&amp;$D146&amp;$E146="","",IF($B146="","missing date",IF($C146="","missing worker",IF($I146="?","unknown worker - was the name changed on Workers?",IF($D146="","missing type",IF(N($E146)=0,"missing amount",IF(AND($E146&lt;0,$D146&lt;&gt;"Correction"),"negative amount - use a Correction to undo",IF(OR($B146&lt;Weeks!$A$7,$B146&gt;Weeks!$B$59),"date outside this workbook's year",IF(AND($D146="Advance",N($L146)&lt;0),"Warning: more than earned so far - worker now owes "&amp;TEXT(ROUND(-$L146,0),"#,##0"),"")))))))))</f>
        <v/>
      </c>
      <c r="N146" s="125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</row>
    <row r="147" spans="1:40" s="127" customFormat="1" ht="21" customHeight="1" x14ac:dyDescent="0.25">
      <c r="A147" s="51" t="str">
        <f t="shared" si="6"/>
        <v/>
      </c>
      <c r="B147" s="77"/>
      <c r="C147" s="133"/>
      <c r="D147" s="50"/>
      <c r="E147" s="141"/>
      <c r="F147" s="133"/>
      <c r="G147" s="133"/>
      <c r="H147" s="50"/>
      <c r="I147" s="51" t="str">
        <f t="shared" si="7"/>
        <v/>
      </c>
      <c r="J147" s="52" t="str">
        <f t="shared" si="8"/>
        <v/>
      </c>
      <c r="K147" s="142" t="str">
        <f>IF(OR($I147="",$I147="?",$D147&lt;&gt;"Advance",$B147=""),"",$I147&amp;"|"&amp;$J147&amp;"|"&amp;COUNTIFS($I$7:$I147,$I147,$J$7:$J147,$J147,$D$7:$D147,"Advance"))</f>
        <v/>
      </c>
      <c r="L147" s="143" t="str">
        <f>IF(OR($I147="",$I147="?",$B147=""),"",SUMPRODUCT((Weeks!$A$7:$A$59&lt;=$J147)*(Weeks!$X$5:$AI$5=$I147)*Weeks!$X$7:$AI$59)-SUMIFS($E$7:$E$1006,$I$7:$I$1006,$I147,$B$7:$B$1006,"&lt;="&amp;$B147))</f>
        <v/>
      </c>
      <c r="M147" s="132" t="str">
        <f>IF($B147&amp;$C147&amp;$D147&amp;$E147="","",IF($B147="","missing date",IF($C147="","missing worker",IF($I147="?","unknown worker - was the name changed on Workers?",IF($D147="","missing type",IF(N($E147)=0,"missing amount",IF(AND($E147&lt;0,$D147&lt;&gt;"Correction"),"negative amount - use a Correction to undo",IF(OR($B147&lt;Weeks!$A$7,$B147&gt;Weeks!$B$59),"date outside this workbook's year",IF(AND($D147="Advance",N($L147)&lt;0),"Warning: more than earned so far - worker now owes "&amp;TEXT(ROUND(-$L147,0),"#,##0"),"")))))))))</f>
        <v/>
      </c>
      <c r="N147" s="125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</row>
    <row r="148" spans="1:40" s="127" customFormat="1" ht="21" customHeight="1" x14ac:dyDescent="0.25">
      <c r="A148" s="51" t="str">
        <f t="shared" si="6"/>
        <v/>
      </c>
      <c r="B148" s="77"/>
      <c r="C148" s="133"/>
      <c r="D148" s="50"/>
      <c r="E148" s="141"/>
      <c r="F148" s="133"/>
      <c r="G148" s="133"/>
      <c r="H148" s="50"/>
      <c r="I148" s="51" t="str">
        <f t="shared" si="7"/>
        <v/>
      </c>
      <c r="J148" s="52" t="str">
        <f t="shared" si="8"/>
        <v/>
      </c>
      <c r="K148" s="142" t="str">
        <f>IF(OR($I148="",$I148="?",$D148&lt;&gt;"Advance",$B148=""),"",$I148&amp;"|"&amp;$J148&amp;"|"&amp;COUNTIFS($I$7:$I148,$I148,$J$7:$J148,$J148,$D$7:$D148,"Advance"))</f>
        <v/>
      </c>
      <c r="L148" s="143" t="str">
        <f>IF(OR($I148="",$I148="?",$B148=""),"",SUMPRODUCT((Weeks!$A$7:$A$59&lt;=$J148)*(Weeks!$X$5:$AI$5=$I148)*Weeks!$X$7:$AI$59)-SUMIFS($E$7:$E$1006,$I$7:$I$1006,$I148,$B$7:$B$1006,"&lt;="&amp;$B148))</f>
        <v/>
      </c>
      <c r="M148" s="132" t="str">
        <f>IF($B148&amp;$C148&amp;$D148&amp;$E148="","",IF($B148="","missing date",IF($C148="","missing worker",IF($I148="?","unknown worker - was the name changed on Workers?",IF($D148="","missing type",IF(N($E148)=0,"missing amount",IF(AND($E148&lt;0,$D148&lt;&gt;"Correction"),"negative amount - use a Correction to undo",IF(OR($B148&lt;Weeks!$A$7,$B148&gt;Weeks!$B$59),"date outside this workbook's year",IF(AND($D148="Advance",N($L148)&lt;0),"Warning: more than earned so far - worker now owes "&amp;TEXT(ROUND(-$L148,0),"#,##0"),"")))))))))</f>
        <v/>
      </c>
      <c r="N148" s="125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</row>
    <row r="149" spans="1:40" s="127" customFormat="1" ht="21" customHeight="1" x14ac:dyDescent="0.25">
      <c r="A149" s="51" t="str">
        <f t="shared" si="6"/>
        <v/>
      </c>
      <c r="B149" s="77"/>
      <c r="C149" s="133"/>
      <c r="D149" s="50"/>
      <c r="E149" s="141"/>
      <c r="F149" s="133"/>
      <c r="G149" s="133"/>
      <c r="H149" s="50"/>
      <c r="I149" s="51" t="str">
        <f t="shared" si="7"/>
        <v/>
      </c>
      <c r="J149" s="52" t="str">
        <f t="shared" si="8"/>
        <v/>
      </c>
      <c r="K149" s="142" t="str">
        <f>IF(OR($I149="",$I149="?",$D149&lt;&gt;"Advance",$B149=""),"",$I149&amp;"|"&amp;$J149&amp;"|"&amp;COUNTIFS($I$7:$I149,$I149,$J$7:$J149,$J149,$D$7:$D149,"Advance"))</f>
        <v/>
      </c>
      <c r="L149" s="143" t="str">
        <f>IF(OR($I149="",$I149="?",$B149=""),"",SUMPRODUCT((Weeks!$A$7:$A$59&lt;=$J149)*(Weeks!$X$5:$AI$5=$I149)*Weeks!$X$7:$AI$59)-SUMIFS($E$7:$E$1006,$I$7:$I$1006,$I149,$B$7:$B$1006,"&lt;="&amp;$B149))</f>
        <v/>
      </c>
      <c r="M149" s="132" t="str">
        <f>IF($B149&amp;$C149&amp;$D149&amp;$E149="","",IF($B149="","missing date",IF($C149="","missing worker",IF($I149="?","unknown worker - was the name changed on Workers?",IF($D149="","missing type",IF(N($E149)=0,"missing amount",IF(AND($E149&lt;0,$D149&lt;&gt;"Correction"),"negative amount - use a Correction to undo",IF(OR($B149&lt;Weeks!$A$7,$B149&gt;Weeks!$B$59),"date outside this workbook's year",IF(AND($D149="Advance",N($L149)&lt;0),"Warning: more than earned so far - worker now owes "&amp;TEXT(ROUND(-$L149,0),"#,##0"),"")))))))))</f>
        <v/>
      </c>
      <c r="N149" s="125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</row>
    <row r="150" spans="1:40" s="127" customFormat="1" ht="21" customHeight="1" x14ac:dyDescent="0.25">
      <c r="A150" s="51" t="str">
        <f t="shared" si="6"/>
        <v/>
      </c>
      <c r="B150" s="77"/>
      <c r="C150" s="133"/>
      <c r="D150" s="50"/>
      <c r="E150" s="141"/>
      <c r="F150" s="133"/>
      <c r="G150" s="133"/>
      <c r="H150" s="50"/>
      <c r="I150" s="51" t="str">
        <f t="shared" si="7"/>
        <v/>
      </c>
      <c r="J150" s="52" t="str">
        <f t="shared" si="8"/>
        <v/>
      </c>
      <c r="K150" s="142" t="str">
        <f>IF(OR($I150="",$I150="?",$D150&lt;&gt;"Advance",$B150=""),"",$I150&amp;"|"&amp;$J150&amp;"|"&amp;COUNTIFS($I$7:$I150,$I150,$J$7:$J150,$J150,$D$7:$D150,"Advance"))</f>
        <v/>
      </c>
      <c r="L150" s="143" t="str">
        <f>IF(OR($I150="",$I150="?",$B150=""),"",SUMPRODUCT((Weeks!$A$7:$A$59&lt;=$J150)*(Weeks!$X$5:$AI$5=$I150)*Weeks!$X$7:$AI$59)-SUMIFS($E$7:$E$1006,$I$7:$I$1006,$I150,$B$7:$B$1006,"&lt;="&amp;$B150))</f>
        <v/>
      </c>
      <c r="M150" s="132" t="str">
        <f>IF($B150&amp;$C150&amp;$D150&amp;$E150="","",IF($B150="","missing date",IF($C150="","missing worker",IF($I150="?","unknown worker - was the name changed on Workers?",IF($D150="","missing type",IF(N($E150)=0,"missing amount",IF(AND($E150&lt;0,$D150&lt;&gt;"Correction"),"negative amount - use a Correction to undo",IF(OR($B150&lt;Weeks!$A$7,$B150&gt;Weeks!$B$59),"date outside this workbook's year",IF(AND($D150="Advance",N($L150)&lt;0),"Warning: more than earned so far - worker now owes "&amp;TEXT(ROUND(-$L150,0),"#,##0"),"")))))))))</f>
        <v/>
      </c>
      <c r="N150" s="125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</row>
    <row r="151" spans="1:40" s="127" customFormat="1" ht="21" customHeight="1" x14ac:dyDescent="0.25">
      <c r="A151" s="51" t="str">
        <f t="shared" si="6"/>
        <v/>
      </c>
      <c r="B151" s="77"/>
      <c r="C151" s="133"/>
      <c r="D151" s="50"/>
      <c r="E151" s="141"/>
      <c r="F151" s="133"/>
      <c r="G151" s="133"/>
      <c r="H151" s="50"/>
      <c r="I151" s="51" t="str">
        <f t="shared" si="7"/>
        <v/>
      </c>
      <c r="J151" s="52" t="str">
        <f t="shared" si="8"/>
        <v/>
      </c>
      <c r="K151" s="142" t="str">
        <f>IF(OR($I151="",$I151="?",$D151&lt;&gt;"Advance",$B151=""),"",$I151&amp;"|"&amp;$J151&amp;"|"&amp;COUNTIFS($I$7:$I151,$I151,$J$7:$J151,$J151,$D$7:$D151,"Advance"))</f>
        <v/>
      </c>
      <c r="L151" s="143" t="str">
        <f>IF(OR($I151="",$I151="?",$B151=""),"",SUMPRODUCT((Weeks!$A$7:$A$59&lt;=$J151)*(Weeks!$X$5:$AI$5=$I151)*Weeks!$X$7:$AI$59)-SUMIFS($E$7:$E$1006,$I$7:$I$1006,$I151,$B$7:$B$1006,"&lt;="&amp;$B151))</f>
        <v/>
      </c>
      <c r="M151" s="132" t="str">
        <f>IF($B151&amp;$C151&amp;$D151&amp;$E151="","",IF($B151="","missing date",IF($C151="","missing worker",IF($I151="?","unknown worker - was the name changed on Workers?",IF($D151="","missing type",IF(N($E151)=0,"missing amount",IF(AND($E151&lt;0,$D151&lt;&gt;"Correction"),"negative amount - use a Correction to undo",IF(OR($B151&lt;Weeks!$A$7,$B151&gt;Weeks!$B$59),"date outside this workbook's year",IF(AND($D151="Advance",N($L151)&lt;0),"Warning: more than earned so far - worker now owes "&amp;TEXT(ROUND(-$L151,0),"#,##0"),"")))))))))</f>
        <v/>
      </c>
      <c r="N151" s="125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</row>
    <row r="152" spans="1:40" s="127" customFormat="1" ht="21" customHeight="1" x14ac:dyDescent="0.25">
      <c r="A152" s="51" t="str">
        <f t="shared" si="6"/>
        <v/>
      </c>
      <c r="B152" s="77"/>
      <c r="C152" s="133"/>
      <c r="D152" s="50"/>
      <c r="E152" s="141"/>
      <c r="F152" s="133"/>
      <c r="G152" s="133"/>
      <c r="H152" s="50"/>
      <c r="I152" s="51" t="str">
        <f t="shared" si="7"/>
        <v/>
      </c>
      <c r="J152" s="52" t="str">
        <f t="shared" si="8"/>
        <v/>
      </c>
      <c r="K152" s="142" t="str">
        <f>IF(OR($I152="",$I152="?",$D152&lt;&gt;"Advance",$B152=""),"",$I152&amp;"|"&amp;$J152&amp;"|"&amp;COUNTIFS($I$7:$I152,$I152,$J$7:$J152,$J152,$D$7:$D152,"Advance"))</f>
        <v/>
      </c>
      <c r="L152" s="143" t="str">
        <f>IF(OR($I152="",$I152="?",$B152=""),"",SUMPRODUCT((Weeks!$A$7:$A$59&lt;=$J152)*(Weeks!$X$5:$AI$5=$I152)*Weeks!$X$7:$AI$59)-SUMIFS($E$7:$E$1006,$I$7:$I$1006,$I152,$B$7:$B$1006,"&lt;="&amp;$B152))</f>
        <v/>
      </c>
      <c r="M152" s="132" t="str">
        <f>IF($B152&amp;$C152&amp;$D152&amp;$E152="","",IF($B152="","missing date",IF($C152="","missing worker",IF($I152="?","unknown worker - was the name changed on Workers?",IF($D152="","missing type",IF(N($E152)=0,"missing amount",IF(AND($E152&lt;0,$D152&lt;&gt;"Correction"),"negative amount - use a Correction to undo",IF(OR($B152&lt;Weeks!$A$7,$B152&gt;Weeks!$B$59),"date outside this workbook's year",IF(AND($D152="Advance",N($L152)&lt;0),"Warning: more than earned so far - worker now owes "&amp;TEXT(ROUND(-$L152,0),"#,##0"),"")))))))))</f>
        <v/>
      </c>
      <c r="N152" s="125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</row>
    <row r="153" spans="1:40" s="127" customFormat="1" ht="21" customHeight="1" x14ac:dyDescent="0.25">
      <c r="A153" s="51" t="str">
        <f t="shared" si="6"/>
        <v/>
      </c>
      <c r="B153" s="77"/>
      <c r="C153" s="133"/>
      <c r="D153" s="50"/>
      <c r="E153" s="141"/>
      <c r="F153" s="133"/>
      <c r="G153" s="133"/>
      <c r="H153" s="50"/>
      <c r="I153" s="51" t="str">
        <f t="shared" si="7"/>
        <v/>
      </c>
      <c r="J153" s="52" t="str">
        <f t="shared" si="8"/>
        <v/>
      </c>
      <c r="K153" s="142" t="str">
        <f>IF(OR($I153="",$I153="?",$D153&lt;&gt;"Advance",$B153=""),"",$I153&amp;"|"&amp;$J153&amp;"|"&amp;COUNTIFS($I$7:$I153,$I153,$J$7:$J153,$J153,$D$7:$D153,"Advance"))</f>
        <v/>
      </c>
      <c r="L153" s="143" t="str">
        <f>IF(OR($I153="",$I153="?",$B153=""),"",SUMPRODUCT((Weeks!$A$7:$A$59&lt;=$J153)*(Weeks!$X$5:$AI$5=$I153)*Weeks!$X$7:$AI$59)-SUMIFS($E$7:$E$1006,$I$7:$I$1006,$I153,$B$7:$B$1006,"&lt;="&amp;$B153))</f>
        <v/>
      </c>
      <c r="M153" s="132" t="str">
        <f>IF($B153&amp;$C153&amp;$D153&amp;$E153="","",IF($B153="","missing date",IF($C153="","missing worker",IF($I153="?","unknown worker - was the name changed on Workers?",IF($D153="","missing type",IF(N($E153)=0,"missing amount",IF(AND($E153&lt;0,$D153&lt;&gt;"Correction"),"negative amount - use a Correction to undo",IF(OR($B153&lt;Weeks!$A$7,$B153&gt;Weeks!$B$59),"date outside this workbook's year",IF(AND($D153="Advance",N($L153)&lt;0),"Warning: more than earned so far - worker now owes "&amp;TEXT(ROUND(-$L153,0),"#,##0"),"")))))))))</f>
        <v/>
      </c>
      <c r="N153" s="125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</row>
    <row r="154" spans="1:40" s="127" customFormat="1" ht="21" customHeight="1" x14ac:dyDescent="0.25">
      <c r="A154" s="51" t="str">
        <f t="shared" si="6"/>
        <v/>
      </c>
      <c r="B154" s="77"/>
      <c r="C154" s="133"/>
      <c r="D154" s="50"/>
      <c r="E154" s="141"/>
      <c r="F154" s="133"/>
      <c r="G154" s="133"/>
      <c r="H154" s="50"/>
      <c r="I154" s="51" t="str">
        <f t="shared" si="7"/>
        <v/>
      </c>
      <c r="J154" s="52" t="str">
        <f t="shared" si="8"/>
        <v/>
      </c>
      <c r="K154" s="142" t="str">
        <f>IF(OR($I154="",$I154="?",$D154&lt;&gt;"Advance",$B154=""),"",$I154&amp;"|"&amp;$J154&amp;"|"&amp;COUNTIFS($I$7:$I154,$I154,$J$7:$J154,$J154,$D$7:$D154,"Advance"))</f>
        <v/>
      </c>
      <c r="L154" s="143" t="str">
        <f>IF(OR($I154="",$I154="?",$B154=""),"",SUMPRODUCT((Weeks!$A$7:$A$59&lt;=$J154)*(Weeks!$X$5:$AI$5=$I154)*Weeks!$X$7:$AI$59)-SUMIFS($E$7:$E$1006,$I$7:$I$1006,$I154,$B$7:$B$1006,"&lt;="&amp;$B154))</f>
        <v/>
      </c>
      <c r="M154" s="132" t="str">
        <f>IF($B154&amp;$C154&amp;$D154&amp;$E154="","",IF($B154="","missing date",IF($C154="","missing worker",IF($I154="?","unknown worker - was the name changed on Workers?",IF($D154="","missing type",IF(N($E154)=0,"missing amount",IF(AND($E154&lt;0,$D154&lt;&gt;"Correction"),"negative amount - use a Correction to undo",IF(OR($B154&lt;Weeks!$A$7,$B154&gt;Weeks!$B$59),"date outside this workbook's year",IF(AND($D154="Advance",N($L154)&lt;0),"Warning: more than earned so far - worker now owes "&amp;TEXT(ROUND(-$L154,0),"#,##0"),"")))))))))</f>
        <v/>
      </c>
      <c r="N154" s="125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</row>
    <row r="155" spans="1:40" s="127" customFormat="1" ht="21" customHeight="1" x14ac:dyDescent="0.25">
      <c r="A155" s="51" t="str">
        <f t="shared" si="6"/>
        <v/>
      </c>
      <c r="B155" s="77"/>
      <c r="C155" s="133"/>
      <c r="D155" s="50"/>
      <c r="E155" s="141"/>
      <c r="F155" s="133"/>
      <c r="G155" s="133"/>
      <c r="H155" s="50"/>
      <c r="I155" s="51" t="str">
        <f t="shared" si="7"/>
        <v/>
      </c>
      <c r="J155" s="52" t="str">
        <f t="shared" si="8"/>
        <v/>
      </c>
      <c r="K155" s="142" t="str">
        <f>IF(OR($I155="",$I155="?",$D155&lt;&gt;"Advance",$B155=""),"",$I155&amp;"|"&amp;$J155&amp;"|"&amp;COUNTIFS($I$7:$I155,$I155,$J$7:$J155,$J155,$D$7:$D155,"Advance"))</f>
        <v/>
      </c>
      <c r="L155" s="143" t="str">
        <f>IF(OR($I155="",$I155="?",$B155=""),"",SUMPRODUCT((Weeks!$A$7:$A$59&lt;=$J155)*(Weeks!$X$5:$AI$5=$I155)*Weeks!$X$7:$AI$59)-SUMIFS($E$7:$E$1006,$I$7:$I$1006,$I155,$B$7:$B$1006,"&lt;="&amp;$B155))</f>
        <v/>
      </c>
      <c r="M155" s="132" t="str">
        <f>IF($B155&amp;$C155&amp;$D155&amp;$E155="","",IF($B155="","missing date",IF($C155="","missing worker",IF($I155="?","unknown worker - was the name changed on Workers?",IF($D155="","missing type",IF(N($E155)=0,"missing amount",IF(AND($E155&lt;0,$D155&lt;&gt;"Correction"),"negative amount - use a Correction to undo",IF(OR($B155&lt;Weeks!$A$7,$B155&gt;Weeks!$B$59),"date outside this workbook's year",IF(AND($D155="Advance",N($L155)&lt;0),"Warning: more than earned so far - worker now owes "&amp;TEXT(ROUND(-$L155,0),"#,##0"),"")))))))))</f>
        <v/>
      </c>
      <c r="N155" s="125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</row>
    <row r="156" spans="1:40" s="127" customFormat="1" ht="21" customHeight="1" x14ac:dyDescent="0.25">
      <c r="A156" s="51" t="str">
        <f t="shared" si="6"/>
        <v/>
      </c>
      <c r="B156" s="77"/>
      <c r="C156" s="133"/>
      <c r="D156" s="50"/>
      <c r="E156" s="141"/>
      <c r="F156" s="133"/>
      <c r="G156" s="133"/>
      <c r="H156" s="50"/>
      <c r="I156" s="51" t="str">
        <f t="shared" si="7"/>
        <v/>
      </c>
      <c r="J156" s="52" t="str">
        <f t="shared" si="8"/>
        <v/>
      </c>
      <c r="K156" s="142" t="str">
        <f>IF(OR($I156="",$I156="?",$D156&lt;&gt;"Advance",$B156=""),"",$I156&amp;"|"&amp;$J156&amp;"|"&amp;COUNTIFS($I$7:$I156,$I156,$J$7:$J156,$J156,$D$7:$D156,"Advance"))</f>
        <v/>
      </c>
      <c r="L156" s="143" t="str">
        <f>IF(OR($I156="",$I156="?",$B156=""),"",SUMPRODUCT((Weeks!$A$7:$A$59&lt;=$J156)*(Weeks!$X$5:$AI$5=$I156)*Weeks!$X$7:$AI$59)-SUMIFS($E$7:$E$1006,$I$7:$I$1006,$I156,$B$7:$B$1006,"&lt;="&amp;$B156))</f>
        <v/>
      </c>
      <c r="M156" s="132" t="str">
        <f>IF($B156&amp;$C156&amp;$D156&amp;$E156="","",IF($B156="","missing date",IF($C156="","missing worker",IF($I156="?","unknown worker - was the name changed on Workers?",IF($D156="","missing type",IF(N($E156)=0,"missing amount",IF(AND($E156&lt;0,$D156&lt;&gt;"Correction"),"negative amount - use a Correction to undo",IF(OR($B156&lt;Weeks!$A$7,$B156&gt;Weeks!$B$59),"date outside this workbook's year",IF(AND($D156="Advance",N($L156)&lt;0),"Warning: more than earned so far - worker now owes "&amp;TEXT(ROUND(-$L156,0),"#,##0"),"")))))))))</f>
        <v/>
      </c>
      <c r="N156" s="125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</row>
    <row r="157" spans="1:40" s="127" customFormat="1" ht="21" customHeight="1" x14ac:dyDescent="0.25">
      <c r="A157" s="51" t="str">
        <f t="shared" si="6"/>
        <v/>
      </c>
      <c r="B157" s="77"/>
      <c r="C157" s="133"/>
      <c r="D157" s="50"/>
      <c r="E157" s="141"/>
      <c r="F157" s="133"/>
      <c r="G157" s="133"/>
      <c r="H157" s="50"/>
      <c r="I157" s="51" t="str">
        <f t="shared" si="7"/>
        <v/>
      </c>
      <c r="J157" s="52" t="str">
        <f t="shared" si="8"/>
        <v/>
      </c>
      <c r="K157" s="142" t="str">
        <f>IF(OR($I157="",$I157="?",$D157&lt;&gt;"Advance",$B157=""),"",$I157&amp;"|"&amp;$J157&amp;"|"&amp;COUNTIFS($I$7:$I157,$I157,$J$7:$J157,$J157,$D$7:$D157,"Advance"))</f>
        <v/>
      </c>
      <c r="L157" s="143" t="str">
        <f>IF(OR($I157="",$I157="?",$B157=""),"",SUMPRODUCT((Weeks!$A$7:$A$59&lt;=$J157)*(Weeks!$X$5:$AI$5=$I157)*Weeks!$X$7:$AI$59)-SUMIFS($E$7:$E$1006,$I$7:$I$1006,$I157,$B$7:$B$1006,"&lt;="&amp;$B157))</f>
        <v/>
      </c>
      <c r="M157" s="132" t="str">
        <f>IF($B157&amp;$C157&amp;$D157&amp;$E157="","",IF($B157="","missing date",IF($C157="","missing worker",IF($I157="?","unknown worker - was the name changed on Workers?",IF($D157="","missing type",IF(N($E157)=0,"missing amount",IF(AND($E157&lt;0,$D157&lt;&gt;"Correction"),"negative amount - use a Correction to undo",IF(OR($B157&lt;Weeks!$A$7,$B157&gt;Weeks!$B$59),"date outside this workbook's year",IF(AND($D157="Advance",N($L157)&lt;0),"Warning: more than earned so far - worker now owes "&amp;TEXT(ROUND(-$L157,0),"#,##0"),"")))))))))</f>
        <v/>
      </c>
      <c r="N157" s="125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</row>
    <row r="158" spans="1:40" s="127" customFormat="1" ht="21" customHeight="1" x14ac:dyDescent="0.25">
      <c r="A158" s="51" t="str">
        <f t="shared" si="6"/>
        <v/>
      </c>
      <c r="B158" s="77"/>
      <c r="C158" s="133"/>
      <c r="D158" s="50"/>
      <c r="E158" s="141"/>
      <c r="F158" s="133"/>
      <c r="G158" s="133"/>
      <c r="H158" s="50"/>
      <c r="I158" s="51" t="str">
        <f t="shared" si="7"/>
        <v/>
      </c>
      <c r="J158" s="52" t="str">
        <f t="shared" si="8"/>
        <v/>
      </c>
      <c r="K158" s="142" t="str">
        <f>IF(OR($I158="",$I158="?",$D158&lt;&gt;"Advance",$B158=""),"",$I158&amp;"|"&amp;$J158&amp;"|"&amp;COUNTIFS($I$7:$I158,$I158,$J$7:$J158,$J158,$D$7:$D158,"Advance"))</f>
        <v/>
      </c>
      <c r="L158" s="143" t="str">
        <f>IF(OR($I158="",$I158="?",$B158=""),"",SUMPRODUCT((Weeks!$A$7:$A$59&lt;=$J158)*(Weeks!$X$5:$AI$5=$I158)*Weeks!$X$7:$AI$59)-SUMIFS($E$7:$E$1006,$I$7:$I$1006,$I158,$B$7:$B$1006,"&lt;="&amp;$B158))</f>
        <v/>
      </c>
      <c r="M158" s="132" t="str">
        <f>IF($B158&amp;$C158&amp;$D158&amp;$E158="","",IF($B158="","missing date",IF($C158="","missing worker",IF($I158="?","unknown worker - was the name changed on Workers?",IF($D158="","missing type",IF(N($E158)=0,"missing amount",IF(AND($E158&lt;0,$D158&lt;&gt;"Correction"),"negative amount - use a Correction to undo",IF(OR($B158&lt;Weeks!$A$7,$B158&gt;Weeks!$B$59),"date outside this workbook's year",IF(AND($D158="Advance",N($L158)&lt;0),"Warning: more than earned so far - worker now owes "&amp;TEXT(ROUND(-$L158,0),"#,##0"),"")))))))))</f>
        <v/>
      </c>
      <c r="N158" s="125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</row>
    <row r="159" spans="1:40" s="127" customFormat="1" ht="21" customHeight="1" x14ac:dyDescent="0.25">
      <c r="A159" s="51" t="str">
        <f t="shared" si="6"/>
        <v/>
      </c>
      <c r="B159" s="77"/>
      <c r="C159" s="133"/>
      <c r="D159" s="50"/>
      <c r="E159" s="141"/>
      <c r="F159" s="133"/>
      <c r="G159" s="133"/>
      <c r="H159" s="50"/>
      <c r="I159" s="51" t="str">
        <f t="shared" si="7"/>
        <v/>
      </c>
      <c r="J159" s="52" t="str">
        <f t="shared" si="8"/>
        <v/>
      </c>
      <c r="K159" s="142" t="str">
        <f>IF(OR($I159="",$I159="?",$D159&lt;&gt;"Advance",$B159=""),"",$I159&amp;"|"&amp;$J159&amp;"|"&amp;COUNTIFS($I$7:$I159,$I159,$J$7:$J159,$J159,$D$7:$D159,"Advance"))</f>
        <v/>
      </c>
      <c r="L159" s="143" t="str">
        <f>IF(OR($I159="",$I159="?",$B159=""),"",SUMPRODUCT((Weeks!$A$7:$A$59&lt;=$J159)*(Weeks!$X$5:$AI$5=$I159)*Weeks!$X$7:$AI$59)-SUMIFS($E$7:$E$1006,$I$7:$I$1006,$I159,$B$7:$B$1006,"&lt;="&amp;$B159))</f>
        <v/>
      </c>
      <c r="M159" s="132" t="str">
        <f>IF($B159&amp;$C159&amp;$D159&amp;$E159="","",IF($B159="","missing date",IF($C159="","missing worker",IF($I159="?","unknown worker - was the name changed on Workers?",IF($D159="","missing type",IF(N($E159)=0,"missing amount",IF(AND($E159&lt;0,$D159&lt;&gt;"Correction"),"negative amount - use a Correction to undo",IF(OR($B159&lt;Weeks!$A$7,$B159&gt;Weeks!$B$59),"date outside this workbook's year",IF(AND($D159="Advance",N($L159)&lt;0),"Warning: more than earned so far - worker now owes "&amp;TEXT(ROUND(-$L159,0),"#,##0"),"")))))))))</f>
        <v/>
      </c>
      <c r="N159" s="125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</row>
    <row r="160" spans="1:40" s="127" customFormat="1" ht="21" customHeight="1" x14ac:dyDescent="0.25">
      <c r="A160" s="51" t="str">
        <f t="shared" si="6"/>
        <v/>
      </c>
      <c r="B160" s="77"/>
      <c r="C160" s="133"/>
      <c r="D160" s="50"/>
      <c r="E160" s="141"/>
      <c r="F160" s="133"/>
      <c r="G160" s="133"/>
      <c r="H160" s="50"/>
      <c r="I160" s="51" t="str">
        <f t="shared" si="7"/>
        <v/>
      </c>
      <c r="J160" s="52" t="str">
        <f t="shared" si="8"/>
        <v/>
      </c>
      <c r="K160" s="142" t="str">
        <f>IF(OR($I160="",$I160="?",$D160&lt;&gt;"Advance",$B160=""),"",$I160&amp;"|"&amp;$J160&amp;"|"&amp;COUNTIFS($I$7:$I160,$I160,$J$7:$J160,$J160,$D$7:$D160,"Advance"))</f>
        <v/>
      </c>
      <c r="L160" s="143" t="str">
        <f>IF(OR($I160="",$I160="?",$B160=""),"",SUMPRODUCT((Weeks!$A$7:$A$59&lt;=$J160)*(Weeks!$X$5:$AI$5=$I160)*Weeks!$X$7:$AI$59)-SUMIFS($E$7:$E$1006,$I$7:$I$1006,$I160,$B$7:$B$1006,"&lt;="&amp;$B160))</f>
        <v/>
      </c>
      <c r="M160" s="132" t="str">
        <f>IF($B160&amp;$C160&amp;$D160&amp;$E160="","",IF($B160="","missing date",IF($C160="","missing worker",IF($I160="?","unknown worker - was the name changed on Workers?",IF($D160="","missing type",IF(N($E160)=0,"missing amount",IF(AND($E160&lt;0,$D160&lt;&gt;"Correction"),"negative amount - use a Correction to undo",IF(OR($B160&lt;Weeks!$A$7,$B160&gt;Weeks!$B$59),"date outside this workbook's year",IF(AND($D160="Advance",N($L160)&lt;0),"Warning: more than earned so far - worker now owes "&amp;TEXT(ROUND(-$L160,0),"#,##0"),"")))))))))</f>
        <v/>
      </c>
      <c r="N160" s="125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</row>
    <row r="161" spans="1:40" s="127" customFormat="1" ht="21" customHeight="1" x14ac:dyDescent="0.25">
      <c r="A161" s="51" t="str">
        <f t="shared" si="6"/>
        <v/>
      </c>
      <c r="B161" s="77"/>
      <c r="C161" s="133"/>
      <c r="D161" s="50"/>
      <c r="E161" s="141"/>
      <c r="F161" s="133"/>
      <c r="G161" s="133"/>
      <c r="H161" s="50"/>
      <c r="I161" s="51" t="str">
        <f t="shared" si="7"/>
        <v/>
      </c>
      <c r="J161" s="52" t="str">
        <f t="shared" si="8"/>
        <v/>
      </c>
      <c r="K161" s="142" t="str">
        <f>IF(OR($I161="",$I161="?",$D161&lt;&gt;"Advance",$B161=""),"",$I161&amp;"|"&amp;$J161&amp;"|"&amp;COUNTIFS($I$7:$I161,$I161,$J$7:$J161,$J161,$D$7:$D161,"Advance"))</f>
        <v/>
      </c>
      <c r="L161" s="143" t="str">
        <f>IF(OR($I161="",$I161="?",$B161=""),"",SUMPRODUCT((Weeks!$A$7:$A$59&lt;=$J161)*(Weeks!$X$5:$AI$5=$I161)*Weeks!$X$7:$AI$59)-SUMIFS($E$7:$E$1006,$I$7:$I$1006,$I161,$B$7:$B$1006,"&lt;="&amp;$B161))</f>
        <v/>
      </c>
      <c r="M161" s="132" t="str">
        <f>IF($B161&amp;$C161&amp;$D161&amp;$E161="","",IF($B161="","missing date",IF($C161="","missing worker",IF($I161="?","unknown worker - was the name changed on Workers?",IF($D161="","missing type",IF(N($E161)=0,"missing amount",IF(AND($E161&lt;0,$D161&lt;&gt;"Correction"),"negative amount - use a Correction to undo",IF(OR($B161&lt;Weeks!$A$7,$B161&gt;Weeks!$B$59),"date outside this workbook's year",IF(AND($D161="Advance",N($L161)&lt;0),"Warning: more than earned so far - worker now owes "&amp;TEXT(ROUND(-$L161,0),"#,##0"),"")))))))))</f>
        <v/>
      </c>
      <c r="N161" s="125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</row>
    <row r="162" spans="1:40" s="127" customFormat="1" ht="21" customHeight="1" x14ac:dyDescent="0.25">
      <c r="A162" s="51" t="str">
        <f t="shared" si="6"/>
        <v/>
      </c>
      <c r="B162" s="77"/>
      <c r="C162" s="133"/>
      <c r="D162" s="50"/>
      <c r="E162" s="141"/>
      <c r="F162" s="133"/>
      <c r="G162" s="133"/>
      <c r="H162" s="50"/>
      <c r="I162" s="51" t="str">
        <f t="shared" si="7"/>
        <v/>
      </c>
      <c r="J162" s="52" t="str">
        <f t="shared" si="8"/>
        <v/>
      </c>
      <c r="K162" s="142" t="str">
        <f>IF(OR($I162="",$I162="?",$D162&lt;&gt;"Advance",$B162=""),"",$I162&amp;"|"&amp;$J162&amp;"|"&amp;COUNTIFS($I$7:$I162,$I162,$J$7:$J162,$J162,$D$7:$D162,"Advance"))</f>
        <v/>
      </c>
      <c r="L162" s="143" t="str">
        <f>IF(OR($I162="",$I162="?",$B162=""),"",SUMPRODUCT((Weeks!$A$7:$A$59&lt;=$J162)*(Weeks!$X$5:$AI$5=$I162)*Weeks!$X$7:$AI$59)-SUMIFS($E$7:$E$1006,$I$7:$I$1006,$I162,$B$7:$B$1006,"&lt;="&amp;$B162))</f>
        <v/>
      </c>
      <c r="M162" s="132" t="str">
        <f>IF($B162&amp;$C162&amp;$D162&amp;$E162="","",IF($B162="","missing date",IF($C162="","missing worker",IF($I162="?","unknown worker - was the name changed on Workers?",IF($D162="","missing type",IF(N($E162)=0,"missing amount",IF(AND($E162&lt;0,$D162&lt;&gt;"Correction"),"negative amount - use a Correction to undo",IF(OR($B162&lt;Weeks!$A$7,$B162&gt;Weeks!$B$59),"date outside this workbook's year",IF(AND($D162="Advance",N($L162)&lt;0),"Warning: more than earned so far - worker now owes "&amp;TEXT(ROUND(-$L162,0),"#,##0"),"")))))))))</f>
        <v/>
      </c>
      <c r="N162" s="125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</row>
    <row r="163" spans="1:40" s="127" customFormat="1" ht="21" customHeight="1" x14ac:dyDescent="0.25">
      <c r="A163" s="51" t="str">
        <f t="shared" si="6"/>
        <v/>
      </c>
      <c r="B163" s="77"/>
      <c r="C163" s="133"/>
      <c r="D163" s="50"/>
      <c r="E163" s="141"/>
      <c r="F163" s="133"/>
      <c r="G163" s="133"/>
      <c r="H163" s="50"/>
      <c r="I163" s="51" t="str">
        <f t="shared" si="7"/>
        <v/>
      </c>
      <c r="J163" s="52" t="str">
        <f t="shared" si="8"/>
        <v/>
      </c>
      <c r="K163" s="142" t="str">
        <f>IF(OR($I163="",$I163="?",$D163&lt;&gt;"Advance",$B163=""),"",$I163&amp;"|"&amp;$J163&amp;"|"&amp;COUNTIFS($I$7:$I163,$I163,$J$7:$J163,$J163,$D$7:$D163,"Advance"))</f>
        <v/>
      </c>
      <c r="L163" s="143" t="str">
        <f>IF(OR($I163="",$I163="?",$B163=""),"",SUMPRODUCT((Weeks!$A$7:$A$59&lt;=$J163)*(Weeks!$X$5:$AI$5=$I163)*Weeks!$X$7:$AI$59)-SUMIFS($E$7:$E$1006,$I$7:$I$1006,$I163,$B$7:$B$1006,"&lt;="&amp;$B163))</f>
        <v/>
      </c>
      <c r="M163" s="132" t="str">
        <f>IF($B163&amp;$C163&amp;$D163&amp;$E163="","",IF($B163="","missing date",IF($C163="","missing worker",IF($I163="?","unknown worker - was the name changed on Workers?",IF($D163="","missing type",IF(N($E163)=0,"missing amount",IF(AND($E163&lt;0,$D163&lt;&gt;"Correction"),"negative amount - use a Correction to undo",IF(OR($B163&lt;Weeks!$A$7,$B163&gt;Weeks!$B$59),"date outside this workbook's year",IF(AND($D163="Advance",N($L163)&lt;0),"Warning: more than earned so far - worker now owes "&amp;TEXT(ROUND(-$L163,0),"#,##0"),"")))))))))</f>
        <v/>
      </c>
      <c r="N163" s="125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</row>
    <row r="164" spans="1:40" s="127" customFormat="1" ht="21" customHeight="1" x14ac:dyDescent="0.25">
      <c r="A164" s="51" t="str">
        <f t="shared" si="6"/>
        <v/>
      </c>
      <c r="B164" s="77"/>
      <c r="C164" s="133"/>
      <c r="D164" s="50"/>
      <c r="E164" s="141"/>
      <c r="F164" s="133"/>
      <c r="G164" s="133"/>
      <c r="H164" s="50"/>
      <c r="I164" s="51" t="str">
        <f t="shared" si="7"/>
        <v/>
      </c>
      <c r="J164" s="52" t="str">
        <f t="shared" si="8"/>
        <v/>
      </c>
      <c r="K164" s="142" t="str">
        <f>IF(OR($I164="",$I164="?",$D164&lt;&gt;"Advance",$B164=""),"",$I164&amp;"|"&amp;$J164&amp;"|"&amp;COUNTIFS($I$7:$I164,$I164,$J$7:$J164,$J164,$D$7:$D164,"Advance"))</f>
        <v/>
      </c>
      <c r="L164" s="143" t="str">
        <f>IF(OR($I164="",$I164="?",$B164=""),"",SUMPRODUCT((Weeks!$A$7:$A$59&lt;=$J164)*(Weeks!$X$5:$AI$5=$I164)*Weeks!$X$7:$AI$59)-SUMIFS($E$7:$E$1006,$I$7:$I$1006,$I164,$B$7:$B$1006,"&lt;="&amp;$B164))</f>
        <v/>
      </c>
      <c r="M164" s="132" t="str">
        <f>IF($B164&amp;$C164&amp;$D164&amp;$E164="","",IF($B164="","missing date",IF($C164="","missing worker",IF($I164="?","unknown worker - was the name changed on Workers?",IF($D164="","missing type",IF(N($E164)=0,"missing amount",IF(AND($E164&lt;0,$D164&lt;&gt;"Correction"),"negative amount - use a Correction to undo",IF(OR($B164&lt;Weeks!$A$7,$B164&gt;Weeks!$B$59),"date outside this workbook's year",IF(AND($D164="Advance",N($L164)&lt;0),"Warning: more than earned so far - worker now owes "&amp;TEXT(ROUND(-$L164,0),"#,##0"),"")))))))))</f>
        <v/>
      </c>
      <c r="N164" s="125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</row>
    <row r="165" spans="1:40" s="127" customFormat="1" ht="21" customHeight="1" x14ac:dyDescent="0.25">
      <c r="A165" s="51" t="str">
        <f t="shared" si="6"/>
        <v/>
      </c>
      <c r="B165" s="77"/>
      <c r="C165" s="133"/>
      <c r="D165" s="50"/>
      <c r="E165" s="141"/>
      <c r="F165" s="133"/>
      <c r="G165" s="133"/>
      <c r="H165" s="50"/>
      <c r="I165" s="51" t="str">
        <f t="shared" si="7"/>
        <v/>
      </c>
      <c r="J165" s="52" t="str">
        <f t="shared" si="8"/>
        <v/>
      </c>
      <c r="K165" s="142" t="str">
        <f>IF(OR($I165="",$I165="?",$D165&lt;&gt;"Advance",$B165=""),"",$I165&amp;"|"&amp;$J165&amp;"|"&amp;COUNTIFS($I$7:$I165,$I165,$J$7:$J165,$J165,$D$7:$D165,"Advance"))</f>
        <v/>
      </c>
      <c r="L165" s="143" t="str">
        <f>IF(OR($I165="",$I165="?",$B165=""),"",SUMPRODUCT((Weeks!$A$7:$A$59&lt;=$J165)*(Weeks!$X$5:$AI$5=$I165)*Weeks!$X$7:$AI$59)-SUMIFS($E$7:$E$1006,$I$7:$I$1006,$I165,$B$7:$B$1006,"&lt;="&amp;$B165))</f>
        <v/>
      </c>
      <c r="M165" s="132" t="str">
        <f>IF($B165&amp;$C165&amp;$D165&amp;$E165="","",IF($B165="","missing date",IF($C165="","missing worker",IF($I165="?","unknown worker - was the name changed on Workers?",IF($D165="","missing type",IF(N($E165)=0,"missing amount",IF(AND($E165&lt;0,$D165&lt;&gt;"Correction"),"negative amount - use a Correction to undo",IF(OR($B165&lt;Weeks!$A$7,$B165&gt;Weeks!$B$59),"date outside this workbook's year",IF(AND($D165="Advance",N($L165)&lt;0),"Warning: more than earned so far - worker now owes "&amp;TEXT(ROUND(-$L165,0),"#,##0"),"")))))))))</f>
        <v/>
      </c>
      <c r="N165" s="125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</row>
    <row r="166" spans="1:40" s="127" customFormat="1" ht="21" customHeight="1" x14ac:dyDescent="0.25">
      <c r="A166" s="51" t="str">
        <f t="shared" si="6"/>
        <v/>
      </c>
      <c r="B166" s="77"/>
      <c r="C166" s="133"/>
      <c r="D166" s="50"/>
      <c r="E166" s="141"/>
      <c r="F166" s="133"/>
      <c r="G166" s="133"/>
      <c r="H166" s="50"/>
      <c r="I166" s="51" t="str">
        <f t="shared" si="7"/>
        <v/>
      </c>
      <c r="J166" s="52" t="str">
        <f t="shared" si="8"/>
        <v/>
      </c>
      <c r="K166" s="142" t="str">
        <f>IF(OR($I166="",$I166="?",$D166&lt;&gt;"Advance",$B166=""),"",$I166&amp;"|"&amp;$J166&amp;"|"&amp;COUNTIFS($I$7:$I166,$I166,$J$7:$J166,$J166,$D$7:$D166,"Advance"))</f>
        <v/>
      </c>
      <c r="L166" s="143" t="str">
        <f>IF(OR($I166="",$I166="?",$B166=""),"",SUMPRODUCT((Weeks!$A$7:$A$59&lt;=$J166)*(Weeks!$X$5:$AI$5=$I166)*Weeks!$X$7:$AI$59)-SUMIFS($E$7:$E$1006,$I$7:$I$1006,$I166,$B$7:$B$1006,"&lt;="&amp;$B166))</f>
        <v/>
      </c>
      <c r="M166" s="132" t="str">
        <f>IF($B166&amp;$C166&amp;$D166&amp;$E166="","",IF($B166="","missing date",IF($C166="","missing worker",IF($I166="?","unknown worker - was the name changed on Workers?",IF($D166="","missing type",IF(N($E166)=0,"missing amount",IF(AND($E166&lt;0,$D166&lt;&gt;"Correction"),"negative amount - use a Correction to undo",IF(OR($B166&lt;Weeks!$A$7,$B166&gt;Weeks!$B$59),"date outside this workbook's year",IF(AND($D166="Advance",N($L166)&lt;0),"Warning: more than earned so far - worker now owes "&amp;TEXT(ROUND(-$L166,0),"#,##0"),"")))))))))</f>
        <v/>
      </c>
      <c r="N166" s="125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</row>
    <row r="167" spans="1:40" s="127" customFormat="1" ht="21" customHeight="1" x14ac:dyDescent="0.25">
      <c r="A167" s="51" t="str">
        <f t="shared" si="6"/>
        <v/>
      </c>
      <c r="B167" s="77"/>
      <c r="C167" s="133"/>
      <c r="D167" s="50"/>
      <c r="E167" s="141"/>
      <c r="F167" s="133"/>
      <c r="G167" s="133"/>
      <c r="H167" s="50"/>
      <c r="I167" s="51" t="str">
        <f t="shared" si="7"/>
        <v/>
      </c>
      <c r="J167" s="52" t="str">
        <f t="shared" si="8"/>
        <v/>
      </c>
      <c r="K167" s="142" t="str">
        <f>IF(OR($I167="",$I167="?",$D167&lt;&gt;"Advance",$B167=""),"",$I167&amp;"|"&amp;$J167&amp;"|"&amp;COUNTIFS($I$7:$I167,$I167,$J$7:$J167,$J167,$D$7:$D167,"Advance"))</f>
        <v/>
      </c>
      <c r="L167" s="143" t="str">
        <f>IF(OR($I167="",$I167="?",$B167=""),"",SUMPRODUCT((Weeks!$A$7:$A$59&lt;=$J167)*(Weeks!$X$5:$AI$5=$I167)*Weeks!$X$7:$AI$59)-SUMIFS($E$7:$E$1006,$I$7:$I$1006,$I167,$B$7:$B$1006,"&lt;="&amp;$B167))</f>
        <v/>
      </c>
      <c r="M167" s="132" t="str">
        <f>IF($B167&amp;$C167&amp;$D167&amp;$E167="","",IF($B167="","missing date",IF($C167="","missing worker",IF($I167="?","unknown worker - was the name changed on Workers?",IF($D167="","missing type",IF(N($E167)=0,"missing amount",IF(AND($E167&lt;0,$D167&lt;&gt;"Correction"),"negative amount - use a Correction to undo",IF(OR($B167&lt;Weeks!$A$7,$B167&gt;Weeks!$B$59),"date outside this workbook's year",IF(AND($D167="Advance",N($L167)&lt;0),"Warning: more than earned so far - worker now owes "&amp;TEXT(ROUND(-$L167,0),"#,##0"),"")))))))))</f>
        <v/>
      </c>
      <c r="N167" s="125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</row>
    <row r="168" spans="1:40" s="127" customFormat="1" ht="21" customHeight="1" x14ac:dyDescent="0.25">
      <c r="A168" s="51" t="str">
        <f t="shared" si="6"/>
        <v/>
      </c>
      <c r="B168" s="77"/>
      <c r="C168" s="133"/>
      <c r="D168" s="50"/>
      <c r="E168" s="141"/>
      <c r="F168" s="133"/>
      <c r="G168" s="133"/>
      <c r="H168" s="50"/>
      <c r="I168" s="51" t="str">
        <f t="shared" si="7"/>
        <v/>
      </c>
      <c r="J168" s="52" t="str">
        <f t="shared" si="8"/>
        <v/>
      </c>
      <c r="K168" s="142" t="str">
        <f>IF(OR($I168="",$I168="?",$D168&lt;&gt;"Advance",$B168=""),"",$I168&amp;"|"&amp;$J168&amp;"|"&amp;COUNTIFS($I$7:$I168,$I168,$J$7:$J168,$J168,$D$7:$D168,"Advance"))</f>
        <v/>
      </c>
      <c r="L168" s="143" t="str">
        <f>IF(OR($I168="",$I168="?",$B168=""),"",SUMPRODUCT((Weeks!$A$7:$A$59&lt;=$J168)*(Weeks!$X$5:$AI$5=$I168)*Weeks!$X$7:$AI$59)-SUMIFS($E$7:$E$1006,$I$7:$I$1006,$I168,$B$7:$B$1006,"&lt;="&amp;$B168))</f>
        <v/>
      </c>
      <c r="M168" s="132" t="str">
        <f>IF($B168&amp;$C168&amp;$D168&amp;$E168="","",IF($B168="","missing date",IF($C168="","missing worker",IF($I168="?","unknown worker - was the name changed on Workers?",IF($D168="","missing type",IF(N($E168)=0,"missing amount",IF(AND($E168&lt;0,$D168&lt;&gt;"Correction"),"negative amount - use a Correction to undo",IF(OR($B168&lt;Weeks!$A$7,$B168&gt;Weeks!$B$59),"date outside this workbook's year",IF(AND($D168="Advance",N($L168)&lt;0),"Warning: more than earned so far - worker now owes "&amp;TEXT(ROUND(-$L168,0),"#,##0"),"")))))))))</f>
        <v/>
      </c>
      <c r="N168" s="125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</row>
    <row r="169" spans="1:40" s="127" customFormat="1" ht="21" customHeight="1" x14ac:dyDescent="0.25">
      <c r="A169" s="51" t="str">
        <f t="shared" si="6"/>
        <v/>
      </c>
      <c r="B169" s="77"/>
      <c r="C169" s="133"/>
      <c r="D169" s="50"/>
      <c r="E169" s="141"/>
      <c r="F169" s="133"/>
      <c r="G169" s="133"/>
      <c r="H169" s="50"/>
      <c r="I169" s="51" t="str">
        <f t="shared" si="7"/>
        <v/>
      </c>
      <c r="J169" s="52" t="str">
        <f t="shared" si="8"/>
        <v/>
      </c>
      <c r="K169" s="142" t="str">
        <f>IF(OR($I169="",$I169="?",$D169&lt;&gt;"Advance",$B169=""),"",$I169&amp;"|"&amp;$J169&amp;"|"&amp;COUNTIFS($I$7:$I169,$I169,$J$7:$J169,$J169,$D$7:$D169,"Advance"))</f>
        <v/>
      </c>
      <c r="L169" s="143" t="str">
        <f>IF(OR($I169="",$I169="?",$B169=""),"",SUMPRODUCT((Weeks!$A$7:$A$59&lt;=$J169)*(Weeks!$X$5:$AI$5=$I169)*Weeks!$X$7:$AI$59)-SUMIFS($E$7:$E$1006,$I$7:$I$1006,$I169,$B$7:$B$1006,"&lt;="&amp;$B169))</f>
        <v/>
      </c>
      <c r="M169" s="132" t="str">
        <f>IF($B169&amp;$C169&amp;$D169&amp;$E169="","",IF($B169="","missing date",IF($C169="","missing worker",IF($I169="?","unknown worker - was the name changed on Workers?",IF($D169="","missing type",IF(N($E169)=0,"missing amount",IF(AND($E169&lt;0,$D169&lt;&gt;"Correction"),"negative amount - use a Correction to undo",IF(OR($B169&lt;Weeks!$A$7,$B169&gt;Weeks!$B$59),"date outside this workbook's year",IF(AND($D169="Advance",N($L169)&lt;0),"Warning: more than earned so far - worker now owes "&amp;TEXT(ROUND(-$L169,0),"#,##0"),"")))))))))</f>
        <v/>
      </c>
      <c r="N169" s="125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</row>
    <row r="170" spans="1:40" s="127" customFormat="1" ht="21" customHeight="1" x14ac:dyDescent="0.25">
      <c r="A170" s="51" t="str">
        <f t="shared" si="6"/>
        <v/>
      </c>
      <c r="B170" s="77"/>
      <c r="C170" s="133"/>
      <c r="D170" s="50"/>
      <c r="E170" s="141"/>
      <c r="F170" s="133"/>
      <c r="G170" s="133"/>
      <c r="H170" s="50"/>
      <c r="I170" s="51" t="str">
        <f t="shared" si="7"/>
        <v/>
      </c>
      <c r="J170" s="52" t="str">
        <f t="shared" si="8"/>
        <v/>
      </c>
      <c r="K170" s="142" t="str">
        <f>IF(OR($I170="",$I170="?",$D170&lt;&gt;"Advance",$B170=""),"",$I170&amp;"|"&amp;$J170&amp;"|"&amp;COUNTIFS($I$7:$I170,$I170,$J$7:$J170,$J170,$D$7:$D170,"Advance"))</f>
        <v/>
      </c>
      <c r="L170" s="143" t="str">
        <f>IF(OR($I170="",$I170="?",$B170=""),"",SUMPRODUCT((Weeks!$A$7:$A$59&lt;=$J170)*(Weeks!$X$5:$AI$5=$I170)*Weeks!$X$7:$AI$59)-SUMIFS($E$7:$E$1006,$I$7:$I$1006,$I170,$B$7:$B$1006,"&lt;="&amp;$B170))</f>
        <v/>
      </c>
      <c r="M170" s="132" t="str">
        <f>IF($B170&amp;$C170&amp;$D170&amp;$E170="","",IF($B170="","missing date",IF($C170="","missing worker",IF($I170="?","unknown worker - was the name changed on Workers?",IF($D170="","missing type",IF(N($E170)=0,"missing amount",IF(AND($E170&lt;0,$D170&lt;&gt;"Correction"),"negative amount - use a Correction to undo",IF(OR($B170&lt;Weeks!$A$7,$B170&gt;Weeks!$B$59),"date outside this workbook's year",IF(AND($D170="Advance",N($L170)&lt;0),"Warning: more than earned so far - worker now owes "&amp;TEXT(ROUND(-$L170,0),"#,##0"),"")))))))))</f>
        <v/>
      </c>
      <c r="N170" s="125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</row>
    <row r="171" spans="1:40" s="127" customFormat="1" ht="21" customHeight="1" x14ac:dyDescent="0.25">
      <c r="A171" s="51" t="str">
        <f t="shared" si="6"/>
        <v/>
      </c>
      <c r="B171" s="77"/>
      <c r="C171" s="133"/>
      <c r="D171" s="50"/>
      <c r="E171" s="141"/>
      <c r="F171" s="133"/>
      <c r="G171" s="133"/>
      <c r="H171" s="50"/>
      <c r="I171" s="51" t="str">
        <f t="shared" si="7"/>
        <v/>
      </c>
      <c r="J171" s="52" t="str">
        <f t="shared" si="8"/>
        <v/>
      </c>
      <c r="K171" s="142" t="str">
        <f>IF(OR($I171="",$I171="?",$D171&lt;&gt;"Advance",$B171=""),"",$I171&amp;"|"&amp;$J171&amp;"|"&amp;COUNTIFS($I$7:$I171,$I171,$J$7:$J171,$J171,$D$7:$D171,"Advance"))</f>
        <v/>
      </c>
      <c r="L171" s="143" t="str">
        <f>IF(OR($I171="",$I171="?",$B171=""),"",SUMPRODUCT((Weeks!$A$7:$A$59&lt;=$J171)*(Weeks!$X$5:$AI$5=$I171)*Weeks!$X$7:$AI$59)-SUMIFS($E$7:$E$1006,$I$7:$I$1006,$I171,$B$7:$B$1006,"&lt;="&amp;$B171))</f>
        <v/>
      </c>
      <c r="M171" s="132" t="str">
        <f>IF($B171&amp;$C171&amp;$D171&amp;$E171="","",IF($B171="","missing date",IF($C171="","missing worker",IF($I171="?","unknown worker - was the name changed on Workers?",IF($D171="","missing type",IF(N($E171)=0,"missing amount",IF(AND($E171&lt;0,$D171&lt;&gt;"Correction"),"negative amount - use a Correction to undo",IF(OR($B171&lt;Weeks!$A$7,$B171&gt;Weeks!$B$59),"date outside this workbook's year",IF(AND($D171="Advance",N($L171)&lt;0),"Warning: more than earned so far - worker now owes "&amp;TEXT(ROUND(-$L171,0),"#,##0"),"")))))))))</f>
        <v/>
      </c>
      <c r="N171" s="125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</row>
    <row r="172" spans="1:40" s="127" customFormat="1" ht="21" customHeight="1" x14ac:dyDescent="0.25">
      <c r="A172" s="51" t="str">
        <f t="shared" si="6"/>
        <v/>
      </c>
      <c r="B172" s="77"/>
      <c r="C172" s="133"/>
      <c r="D172" s="50"/>
      <c r="E172" s="141"/>
      <c r="F172" s="133"/>
      <c r="G172" s="133"/>
      <c r="H172" s="50"/>
      <c r="I172" s="51" t="str">
        <f t="shared" si="7"/>
        <v/>
      </c>
      <c r="J172" s="52" t="str">
        <f t="shared" si="8"/>
        <v/>
      </c>
      <c r="K172" s="142" t="str">
        <f>IF(OR($I172="",$I172="?",$D172&lt;&gt;"Advance",$B172=""),"",$I172&amp;"|"&amp;$J172&amp;"|"&amp;COUNTIFS($I$7:$I172,$I172,$J$7:$J172,$J172,$D$7:$D172,"Advance"))</f>
        <v/>
      </c>
      <c r="L172" s="143" t="str">
        <f>IF(OR($I172="",$I172="?",$B172=""),"",SUMPRODUCT((Weeks!$A$7:$A$59&lt;=$J172)*(Weeks!$X$5:$AI$5=$I172)*Weeks!$X$7:$AI$59)-SUMIFS($E$7:$E$1006,$I$7:$I$1006,$I172,$B$7:$B$1006,"&lt;="&amp;$B172))</f>
        <v/>
      </c>
      <c r="M172" s="132" t="str">
        <f>IF($B172&amp;$C172&amp;$D172&amp;$E172="","",IF($B172="","missing date",IF($C172="","missing worker",IF($I172="?","unknown worker - was the name changed on Workers?",IF($D172="","missing type",IF(N($E172)=0,"missing amount",IF(AND($E172&lt;0,$D172&lt;&gt;"Correction"),"negative amount - use a Correction to undo",IF(OR($B172&lt;Weeks!$A$7,$B172&gt;Weeks!$B$59),"date outside this workbook's year",IF(AND($D172="Advance",N($L172)&lt;0),"Warning: more than earned so far - worker now owes "&amp;TEXT(ROUND(-$L172,0),"#,##0"),"")))))))))</f>
        <v/>
      </c>
      <c r="N172" s="125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</row>
    <row r="173" spans="1:40" s="127" customFormat="1" ht="21" customHeight="1" x14ac:dyDescent="0.25">
      <c r="A173" s="51" t="str">
        <f t="shared" si="6"/>
        <v/>
      </c>
      <c r="B173" s="77"/>
      <c r="C173" s="133"/>
      <c r="D173" s="50"/>
      <c r="E173" s="141"/>
      <c r="F173" s="133"/>
      <c r="G173" s="133"/>
      <c r="H173" s="50"/>
      <c r="I173" s="51" t="str">
        <f t="shared" si="7"/>
        <v/>
      </c>
      <c r="J173" s="52" t="str">
        <f t="shared" si="8"/>
        <v/>
      </c>
      <c r="K173" s="142" t="str">
        <f>IF(OR($I173="",$I173="?",$D173&lt;&gt;"Advance",$B173=""),"",$I173&amp;"|"&amp;$J173&amp;"|"&amp;COUNTIFS($I$7:$I173,$I173,$J$7:$J173,$J173,$D$7:$D173,"Advance"))</f>
        <v/>
      </c>
      <c r="L173" s="143" t="str">
        <f>IF(OR($I173="",$I173="?",$B173=""),"",SUMPRODUCT((Weeks!$A$7:$A$59&lt;=$J173)*(Weeks!$X$5:$AI$5=$I173)*Weeks!$X$7:$AI$59)-SUMIFS($E$7:$E$1006,$I$7:$I$1006,$I173,$B$7:$B$1006,"&lt;="&amp;$B173))</f>
        <v/>
      </c>
      <c r="M173" s="132" t="str">
        <f>IF($B173&amp;$C173&amp;$D173&amp;$E173="","",IF($B173="","missing date",IF($C173="","missing worker",IF($I173="?","unknown worker - was the name changed on Workers?",IF($D173="","missing type",IF(N($E173)=0,"missing amount",IF(AND($E173&lt;0,$D173&lt;&gt;"Correction"),"negative amount - use a Correction to undo",IF(OR($B173&lt;Weeks!$A$7,$B173&gt;Weeks!$B$59),"date outside this workbook's year",IF(AND($D173="Advance",N($L173)&lt;0),"Warning: more than earned so far - worker now owes "&amp;TEXT(ROUND(-$L173,0),"#,##0"),"")))))))))</f>
        <v/>
      </c>
      <c r="N173" s="125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</row>
    <row r="174" spans="1:40" s="127" customFormat="1" ht="21" customHeight="1" x14ac:dyDescent="0.25">
      <c r="A174" s="51" t="str">
        <f t="shared" si="6"/>
        <v/>
      </c>
      <c r="B174" s="77"/>
      <c r="C174" s="133"/>
      <c r="D174" s="50"/>
      <c r="E174" s="141"/>
      <c r="F174" s="133"/>
      <c r="G174" s="133"/>
      <c r="H174" s="50"/>
      <c r="I174" s="51" t="str">
        <f t="shared" si="7"/>
        <v/>
      </c>
      <c r="J174" s="52" t="str">
        <f t="shared" si="8"/>
        <v/>
      </c>
      <c r="K174" s="142" t="str">
        <f>IF(OR($I174="",$I174="?",$D174&lt;&gt;"Advance",$B174=""),"",$I174&amp;"|"&amp;$J174&amp;"|"&amp;COUNTIFS($I$7:$I174,$I174,$J$7:$J174,$J174,$D$7:$D174,"Advance"))</f>
        <v/>
      </c>
      <c r="L174" s="143" t="str">
        <f>IF(OR($I174="",$I174="?",$B174=""),"",SUMPRODUCT((Weeks!$A$7:$A$59&lt;=$J174)*(Weeks!$X$5:$AI$5=$I174)*Weeks!$X$7:$AI$59)-SUMIFS($E$7:$E$1006,$I$7:$I$1006,$I174,$B$7:$B$1006,"&lt;="&amp;$B174))</f>
        <v/>
      </c>
      <c r="M174" s="132" t="str">
        <f>IF($B174&amp;$C174&amp;$D174&amp;$E174="","",IF($B174="","missing date",IF($C174="","missing worker",IF($I174="?","unknown worker - was the name changed on Workers?",IF($D174="","missing type",IF(N($E174)=0,"missing amount",IF(AND($E174&lt;0,$D174&lt;&gt;"Correction"),"negative amount - use a Correction to undo",IF(OR($B174&lt;Weeks!$A$7,$B174&gt;Weeks!$B$59),"date outside this workbook's year",IF(AND($D174="Advance",N($L174)&lt;0),"Warning: more than earned so far - worker now owes "&amp;TEXT(ROUND(-$L174,0),"#,##0"),"")))))))))</f>
        <v/>
      </c>
      <c r="N174" s="125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</row>
    <row r="175" spans="1:40" s="127" customFormat="1" ht="21" customHeight="1" x14ac:dyDescent="0.25">
      <c r="A175" s="51" t="str">
        <f t="shared" si="6"/>
        <v/>
      </c>
      <c r="B175" s="77"/>
      <c r="C175" s="133"/>
      <c r="D175" s="50"/>
      <c r="E175" s="141"/>
      <c r="F175" s="133"/>
      <c r="G175" s="133"/>
      <c r="H175" s="50"/>
      <c r="I175" s="51" t="str">
        <f t="shared" si="7"/>
        <v/>
      </c>
      <c r="J175" s="52" t="str">
        <f t="shared" si="8"/>
        <v/>
      </c>
      <c r="K175" s="142" t="str">
        <f>IF(OR($I175="",$I175="?",$D175&lt;&gt;"Advance",$B175=""),"",$I175&amp;"|"&amp;$J175&amp;"|"&amp;COUNTIFS($I$7:$I175,$I175,$J$7:$J175,$J175,$D$7:$D175,"Advance"))</f>
        <v/>
      </c>
      <c r="L175" s="143" t="str">
        <f>IF(OR($I175="",$I175="?",$B175=""),"",SUMPRODUCT((Weeks!$A$7:$A$59&lt;=$J175)*(Weeks!$X$5:$AI$5=$I175)*Weeks!$X$7:$AI$59)-SUMIFS($E$7:$E$1006,$I$7:$I$1006,$I175,$B$7:$B$1006,"&lt;="&amp;$B175))</f>
        <v/>
      </c>
      <c r="M175" s="132" t="str">
        <f>IF($B175&amp;$C175&amp;$D175&amp;$E175="","",IF($B175="","missing date",IF($C175="","missing worker",IF($I175="?","unknown worker - was the name changed on Workers?",IF($D175="","missing type",IF(N($E175)=0,"missing amount",IF(AND($E175&lt;0,$D175&lt;&gt;"Correction"),"negative amount - use a Correction to undo",IF(OR($B175&lt;Weeks!$A$7,$B175&gt;Weeks!$B$59),"date outside this workbook's year",IF(AND($D175="Advance",N($L175)&lt;0),"Warning: more than earned so far - worker now owes "&amp;TEXT(ROUND(-$L175,0),"#,##0"),"")))))))))</f>
        <v/>
      </c>
      <c r="N175" s="125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</row>
    <row r="176" spans="1:40" s="127" customFormat="1" ht="21" customHeight="1" x14ac:dyDescent="0.25">
      <c r="A176" s="51" t="str">
        <f t="shared" si="6"/>
        <v/>
      </c>
      <c r="B176" s="77"/>
      <c r="C176" s="133"/>
      <c r="D176" s="50"/>
      <c r="E176" s="141"/>
      <c r="F176" s="133"/>
      <c r="G176" s="133"/>
      <c r="H176" s="50"/>
      <c r="I176" s="51" t="str">
        <f t="shared" si="7"/>
        <v/>
      </c>
      <c r="J176" s="52" t="str">
        <f t="shared" si="8"/>
        <v/>
      </c>
      <c r="K176" s="142" t="str">
        <f>IF(OR($I176="",$I176="?",$D176&lt;&gt;"Advance",$B176=""),"",$I176&amp;"|"&amp;$J176&amp;"|"&amp;COUNTIFS($I$7:$I176,$I176,$J$7:$J176,$J176,$D$7:$D176,"Advance"))</f>
        <v/>
      </c>
      <c r="L176" s="143" t="str">
        <f>IF(OR($I176="",$I176="?",$B176=""),"",SUMPRODUCT((Weeks!$A$7:$A$59&lt;=$J176)*(Weeks!$X$5:$AI$5=$I176)*Weeks!$X$7:$AI$59)-SUMIFS($E$7:$E$1006,$I$7:$I$1006,$I176,$B$7:$B$1006,"&lt;="&amp;$B176))</f>
        <v/>
      </c>
      <c r="M176" s="132" t="str">
        <f>IF($B176&amp;$C176&amp;$D176&amp;$E176="","",IF($B176="","missing date",IF($C176="","missing worker",IF($I176="?","unknown worker - was the name changed on Workers?",IF($D176="","missing type",IF(N($E176)=0,"missing amount",IF(AND($E176&lt;0,$D176&lt;&gt;"Correction"),"negative amount - use a Correction to undo",IF(OR($B176&lt;Weeks!$A$7,$B176&gt;Weeks!$B$59),"date outside this workbook's year",IF(AND($D176="Advance",N($L176)&lt;0),"Warning: more than earned so far - worker now owes "&amp;TEXT(ROUND(-$L176,0),"#,##0"),"")))))))))</f>
        <v/>
      </c>
      <c r="N176" s="125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</row>
    <row r="177" spans="1:40" s="127" customFormat="1" ht="21" customHeight="1" x14ac:dyDescent="0.25">
      <c r="A177" s="51" t="str">
        <f t="shared" si="6"/>
        <v/>
      </c>
      <c r="B177" s="77"/>
      <c r="C177" s="133"/>
      <c r="D177" s="50"/>
      <c r="E177" s="141"/>
      <c r="F177" s="133"/>
      <c r="G177" s="133"/>
      <c r="H177" s="50"/>
      <c r="I177" s="51" t="str">
        <f t="shared" si="7"/>
        <v/>
      </c>
      <c r="J177" s="52" t="str">
        <f t="shared" si="8"/>
        <v/>
      </c>
      <c r="K177" s="142" t="str">
        <f>IF(OR($I177="",$I177="?",$D177&lt;&gt;"Advance",$B177=""),"",$I177&amp;"|"&amp;$J177&amp;"|"&amp;COUNTIFS($I$7:$I177,$I177,$J$7:$J177,$J177,$D$7:$D177,"Advance"))</f>
        <v/>
      </c>
      <c r="L177" s="143" t="str">
        <f>IF(OR($I177="",$I177="?",$B177=""),"",SUMPRODUCT((Weeks!$A$7:$A$59&lt;=$J177)*(Weeks!$X$5:$AI$5=$I177)*Weeks!$X$7:$AI$59)-SUMIFS($E$7:$E$1006,$I$7:$I$1006,$I177,$B$7:$B$1006,"&lt;="&amp;$B177))</f>
        <v/>
      </c>
      <c r="M177" s="132" t="str">
        <f>IF($B177&amp;$C177&amp;$D177&amp;$E177="","",IF($B177="","missing date",IF($C177="","missing worker",IF($I177="?","unknown worker - was the name changed on Workers?",IF($D177="","missing type",IF(N($E177)=0,"missing amount",IF(AND($E177&lt;0,$D177&lt;&gt;"Correction"),"negative amount - use a Correction to undo",IF(OR($B177&lt;Weeks!$A$7,$B177&gt;Weeks!$B$59),"date outside this workbook's year",IF(AND($D177="Advance",N($L177)&lt;0),"Warning: more than earned so far - worker now owes "&amp;TEXT(ROUND(-$L177,0),"#,##0"),"")))))))))</f>
        <v/>
      </c>
      <c r="N177" s="125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</row>
    <row r="178" spans="1:40" s="127" customFormat="1" ht="21" customHeight="1" x14ac:dyDescent="0.25">
      <c r="A178" s="51" t="str">
        <f t="shared" si="6"/>
        <v/>
      </c>
      <c r="B178" s="77"/>
      <c r="C178" s="133"/>
      <c r="D178" s="50"/>
      <c r="E178" s="141"/>
      <c r="F178" s="133"/>
      <c r="G178" s="133"/>
      <c r="H178" s="50"/>
      <c r="I178" s="51" t="str">
        <f t="shared" si="7"/>
        <v/>
      </c>
      <c r="J178" s="52" t="str">
        <f t="shared" si="8"/>
        <v/>
      </c>
      <c r="K178" s="142" t="str">
        <f>IF(OR($I178="",$I178="?",$D178&lt;&gt;"Advance",$B178=""),"",$I178&amp;"|"&amp;$J178&amp;"|"&amp;COUNTIFS($I$7:$I178,$I178,$J$7:$J178,$J178,$D$7:$D178,"Advance"))</f>
        <v/>
      </c>
      <c r="L178" s="143" t="str">
        <f>IF(OR($I178="",$I178="?",$B178=""),"",SUMPRODUCT((Weeks!$A$7:$A$59&lt;=$J178)*(Weeks!$X$5:$AI$5=$I178)*Weeks!$X$7:$AI$59)-SUMIFS($E$7:$E$1006,$I$7:$I$1006,$I178,$B$7:$B$1006,"&lt;="&amp;$B178))</f>
        <v/>
      </c>
      <c r="M178" s="132" t="str">
        <f>IF($B178&amp;$C178&amp;$D178&amp;$E178="","",IF($B178="","missing date",IF($C178="","missing worker",IF($I178="?","unknown worker - was the name changed on Workers?",IF($D178="","missing type",IF(N($E178)=0,"missing amount",IF(AND($E178&lt;0,$D178&lt;&gt;"Correction"),"negative amount - use a Correction to undo",IF(OR($B178&lt;Weeks!$A$7,$B178&gt;Weeks!$B$59),"date outside this workbook's year",IF(AND($D178="Advance",N($L178)&lt;0),"Warning: more than earned so far - worker now owes "&amp;TEXT(ROUND(-$L178,0),"#,##0"),"")))))))))</f>
        <v/>
      </c>
      <c r="N178" s="125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</row>
    <row r="179" spans="1:40" s="127" customFormat="1" ht="21" customHeight="1" x14ac:dyDescent="0.25">
      <c r="A179" s="51" t="str">
        <f t="shared" si="6"/>
        <v/>
      </c>
      <c r="B179" s="77"/>
      <c r="C179" s="133"/>
      <c r="D179" s="50"/>
      <c r="E179" s="141"/>
      <c r="F179" s="133"/>
      <c r="G179" s="133"/>
      <c r="H179" s="50"/>
      <c r="I179" s="51" t="str">
        <f t="shared" si="7"/>
        <v/>
      </c>
      <c r="J179" s="52" t="str">
        <f t="shared" si="8"/>
        <v/>
      </c>
      <c r="K179" s="142" t="str">
        <f>IF(OR($I179="",$I179="?",$D179&lt;&gt;"Advance",$B179=""),"",$I179&amp;"|"&amp;$J179&amp;"|"&amp;COUNTIFS($I$7:$I179,$I179,$J$7:$J179,$J179,$D$7:$D179,"Advance"))</f>
        <v/>
      </c>
      <c r="L179" s="143" t="str">
        <f>IF(OR($I179="",$I179="?",$B179=""),"",SUMPRODUCT((Weeks!$A$7:$A$59&lt;=$J179)*(Weeks!$X$5:$AI$5=$I179)*Weeks!$X$7:$AI$59)-SUMIFS($E$7:$E$1006,$I$7:$I$1006,$I179,$B$7:$B$1006,"&lt;="&amp;$B179))</f>
        <v/>
      </c>
      <c r="M179" s="132" t="str">
        <f>IF($B179&amp;$C179&amp;$D179&amp;$E179="","",IF($B179="","missing date",IF($C179="","missing worker",IF($I179="?","unknown worker - was the name changed on Workers?",IF($D179="","missing type",IF(N($E179)=0,"missing amount",IF(AND($E179&lt;0,$D179&lt;&gt;"Correction"),"negative amount - use a Correction to undo",IF(OR($B179&lt;Weeks!$A$7,$B179&gt;Weeks!$B$59),"date outside this workbook's year",IF(AND($D179="Advance",N($L179)&lt;0),"Warning: more than earned so far - worker now owes "&amp;TEXT(ROUND(-$L179,0),"#,##0"),"")))))))))</f>
        <v/>
      </c>
      <c r="N179" s="125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</row>
    <row r="180" spans="1:40" s="127" customFormat="1" ht="21" customHeight="1" x14ac:dyDescent="0.25">
      <c r="A180" s="51" t="str">
        <f t="shared" si="6"/>
        <v/>
      </c>
      <c r="B180" s="77"/>
      <c r="C180" s="133"/>
      <c r="D180" s="50"/>
      <c r="E180" s="141"/>
      <c r="F180" s="133"/>
      <c r="G180" s="133"/>
      <c r="H180" s="50"/>
      <c r="I180" s="51" t="str">
        <f t="shared" si="7"/>
        <v/>
      </c>
      <c r="J180" s="52" t="str">
        <f t="shared" si="8"/>
        <v/>
      </c>
      <c r="K180" s="142" t="str">
        <f>IF(OR($I180="",$I180="?",$D180&lt;&gt;"Advance",$B180=""),"",$I180&amp;"|"&amp;$J180&amp;"|"&amp;COUNTIFS($I$7:$I180,$I180,$J$7:$J180,$J180,$D$7:$D180,"Advance"))</f>
        <v/>
      </c>
      <c r="L180" s="143" t="str">
        <f>IF(OR($I180="",$I180="?",$B180=""),"",SUMPRODUCT((Weeks!$A$7:$A$59&lt;=$J180)*(Weeks!$X$5:$AI$5=$I180)*Weeks!$X$7:$AI$59)-SUMIFS($E$7:$E$1006,$I$7:$I$1006,$I180,$B$7:$B$1006,"&lt;="&amp;$B180))</f>
        <v/>
      </c>
      <c r="M180" s="132" t="str">
        <f>IF($B180&amp;$C180&amp;$D180&amp;$E180="","",IF($B180="","missing date",IF($C180="","missing worker",IF($I180="?","unknown worker - was the name changed on Workers?",IF($D180="","missing type",IF(N($E180)=0,"missing amount",IF(AND($E180&lt;0,$D180&lt;&gt;"Correction"),"negative amount - use a Correction to undo",IF(OR($B180&lt;Weeks!$A$7,$B180&gt;Weeks!$B$59),"date outside this workbook's year",IF(AND($D180="Advance",N($L180)&lt;0),"Warning: more than earned so far - worker now owes "&amp;TEXT(ROUND(-$L180,0),"#,##0"),"")))))))))</f>
        <v/>
      </c>
      <c r="N180" s="125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</row>
    <row r="181" spans="1:40" s="127" customFormat="1" ht="21" customHeight="1" x14ac:dyDescent="0.25">
      <c r="A181" s="51" t="str">
        <f t="shared" si="6"/>
        <v/>
      </c>
      <c r="B181" s="77"/>
      <c r="C181" s="133"/>
      <c r="D181" s="50"/>
      <c r="E181" s="141"/>
      <c r="F181" s="133"/>
      <c r="G181" s="133"/>
      <c r="H181" s="50"/>
      <c r="I181" s="51" t="str">
        <f t="shared" si="7"/>
        <v/>
      </c>
      <c r="J181" s="52" t="str">
        <f t="shared" si="8"/>
        <v/>
      </c>
      <c r="K181" s="142" t="str">
        <f>IF(OR($I181="",$I181="?",$D181&lt;&gt;"Advance",$B181=""),"",$I181&amp;"|"&amp;$J181&amp;"|"&amp;COUNTIFS($I$7:$I181,$I181,$J$7:$J181,$J181,$D$7:$D181,"Advance"))</f>
        <v/>
      </c>
      <c r="L181" s="143" t="str">
        <f>IF(OR($I181="",$I181="?",$B181=""),"",SUMPRODUCT((Weeks!$A$7:$A$59&lt;=$J181)*(Weeks!$X$5:$AI$5=$I181)*Weeks!$X$7:$AI$59)-SUMIFS($E$7:$E$1006,$I$7:$I$1006,$I181,$B$7:$B$1006,"&lt;="&amp;$B181))</f>
        <v/>
      </c>
      <c r="M181" s="132" t="str">
        <f>IF($B181&amp;$C181&amp;$D181&amp;$E181="","",IF($B181="","missing date",IF($C181="","missing worker",IF($I181="?","unknown worker - was the name changed on Workers?",IF($D181="","missing type",IF(N($E181)=0,"missing amount",IF(AND($E181&lt;0,$D181&lt;&gt;"Correction"),"negative amount - use a Correction to undo",IF(OR($B181&lt;Weeks!$A$7,$B181&gt;Weeks!$B$59),"date outside this workbook's year",IF(AND($D181="Advance",N($L181)&lt;0),"Warning: more than earned so far - worker now owes "&amp;TEXT(ROUND(-$L181,0),"#,##0"),"")))))))))</f>
        <v/>
      </c>
      <c r="N181" s="125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</row>
    <row r="182" spans="1:40" s="127" customFormat="1" ht="21" customHeight="1" x14ac:dyDescent="0.25">
      <c r="A182" s="51" t="str">
        <f t="shared" si="6"/>
        <v/>
      </c>
      <c r="B182" s="77"/>
      <c r="C182" s="133"/>
      <c r="D182" s="50"/>
      <c r="E182" s="141"/>
      <c r="F182" s="133"/>
      <c r="G182" s="133"/>
      <c r="H182" s="50"/>
      <c r="I182" s="51" t="str">
        <f t="shared" si="7"/>
        <v/>
      </c>
      <c r="J182" s="52" t="str">
        <f t="shared" si="8"/>
        <v/>
      </c>
      <c r="K182" s="142" t="str">
        <f>IF(OR($I182="",$I182="?",$D182&lt;&gt;"Advance",$B182=""),"",$I182&amp;"|"&amp;$J182&amp;"|"&amp;COUNTIFS($I$7:$I182,$I182,$J$7:$J182,$J182,$D$7:$D182,"Advance"))</f>
        <v/>
      </c>
      <c r="L182" s="143" t="str">
        <f>IF(OR($I182="",$I182="?",$B182=""),"",SUMPRODUCT((Weeks!$A$7:$A$59&lt;=$J182)*(Weeks!$X$5:$AI$5=$I182)*Weeks!$X$7:$AI$59)-SUMIFS($E$7:$E$1006,$I$7:$I$1006,$I182,$B$7:$B$1006,"&lt;="&amp;$B182))</f>
        <v/>
      </c>
      <c r="M182" s="132" t="str">
        <f>IF($B182&amp;$C182&amp;$D182&amp;$E182="","",IF($B182="","missing date",IF($C182="","missing worker",IF($I182="?","unknown worker - was the name changed on Workers?",IF($D182="","missing type",IF(N($E182)=0,"missing amount",IF(AND($E182&lt;0,$D182&lt;&gt;"Correction"),"negative amount - use a Correction to undo",IF(OR($B182&lt;Weeks!$A$7,$B182&gt;Weeks!$B$59),"date outside this workbook's year",IF(AND($D182="Advance",N($L182)&lt;0),"Warning: more than earned so far - worker now owes "&amp;TEXT(ROUND(-$L182,0),"#,##0"),"")))))))))</f>
        <v/>
      </c>
      <c r="N182" s="125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</row>
    <row r="183" spans="1:40" s="127" customFormat="1" ht="21" customHeight="1" x14ac:dyDescent="0.25">
      <c r="A183" s="51" t="str">
        <f t="shared" si="6"/>
        <v/>
      </c>
      <c r="B183" s="77"/>
      <c r="C183" s="133"/>
      <c r="D183" s="50"/>
      <c r="E183" s="141"/>
      <c r="F183" s="133"/>
      <c r="G183" s="133"/>
      <c r="H183" s="50"/>
      <c r="I183" s="51" t="str">
        <f t="shared" si="7"/>
        <v/>
      </c>
      <c r="J183" s="52" t="str">
        <f t="shared" si="8"/>
        <v/>
      </c>
      <c r="K183" s="142" t="str">
        <f>IF(OR($I183="",$I183="?",$D183&lt;&gt;"Advance",$B183=""),"",$I183&amp;"|"&amp;$J183&amp;"|"&amp;COUNTIFS($I$7:$I183,$I183,$J$7:$J183,$J183,$D$7:$D183,"Advance"))</f>
        <v/>
      </c>
      <c r="L183" s="143" t="str">
        <f>IF(OR($I183="",$I183="?",$B183=""),"",SUMPRODUCT((Weeks!$A$7:$A$59&lt;=$J183)*(Weeks!$X$5:$AI$5=$I183)*Weeks!$X$7:$AI$59)-SUMIFS($E$7:$E$1006,$I$7:$I$1006,$I183,$B$7:$B$1006,"&lt;="&amp;$B183))</f>
        <v/>
      </c>
      <c r="M183" s="132" t="str">
        <f>IF($B183&amp;$C183&amp;$D183&amp;$E183="","",IF($B183="","missing date",IF($C183="","missing worker",IF($I183="?","unknown worker - was the name changed on Workers?",IF($D183="","missing type",IF(N($E183)=0,"missing amount",IF(AND($E183&lt;0,$D183&lt;&gt;"Correction"),"negative amount - use a Correction to undo",IF(OR($B183&lt;Weeks!$A$7,$B183&gt;Weeks!$B$59),"date outside this workbook's year",IF(AND($D183="Advance",N($L183)&lt;0),"Warning: more than earned so far - worker now owes "&amp;TEXT(ROUND(-$L183,0),"#,##0"),"")))))))))</f>
        <v/>
      </c>
      <c r="N183" s="125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</row>
    <row r="184" spans="1:40" s="127" customFormat="1" ht="21" customHeight="1" x14ac:dyDescent="0.25">
      <c r="A184" s="51" t="str">
        <f t="shared" si="6"/>
        <v/>
      </c>
      <c r="B184" s="77"/>
      <c r="C184" s="133"/>
      <c r="D184" s="50"/>
      <c r="E184" s="141"/>
      <c r="F184" s="133"/>
      <c r="G184" s="133"/>
      <c r="H184" s="50"/>
      <c r="I184" s="51" t="str">
        <f t="shared" si="7"/>
        <v/>
      </c>
      <c r="J184" s="52" t="str">
        <f t="shared" si="8"/>
        <v/>
      </c>
      <c r="K184" s="142" t="str">
        <f>IF(OR($I184="",$I184="?",$D184&lt;&gt;"Advance",$B184=""),"",$I184&amp;"|"&amp;$J184&amp;"|"&amp;COUNTIFS($I$7:$I184,$I184,$J$7:$J184,$J184,$D$7:$D184,"Advance"))</f>
        <v/>
      </c>
      <c r="L184" s="143" t="str">
        <f>IF(OR($I184="",$I184="?",$B184=""),"",SUMPRODUCT((Weeks!$A$7:$A$59&lt;=$J184)*(Weeks!$X$5:$AI$5=$I184)*Weeks!$X$7:$AI$59)-SUMIFS($E$7:$E$1006,$I$7:$I$1006,$I184,$B$7:$B$1006,"&lt;="&amp;$B184))</f>
        <v/>
      </c>
      <c r="M184" s="132" t="str">
        <f>IF($B184&amp;$C184&amp;$D184&amp;$E184="","",IF($B184="","missing date",IF($C184="","missing worker",IF($I184="?","unknown worker - was the name changed on Workers?",IF($D184="","missing type",IF(N($E184)=0,"missing amount",IF(AND($E184&lt;0,$D184&lt;&gt;"Correction"),"negative amount - use a Correction to undo",IF(OR($B184&lt;Weeks!$A$7,$B184&gt;Weeks!$B$59),"date outside this workbook's year",IF(AND($D184="Advance",N($L184)&lt;0),"Warning: more than earned so far - worker now owes "&amp;TEXT(ROUND(-$L184,0),"#,##0"),"")))))))))</f>
        <v/>
      </c>
      <c r="N184" s="125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</row>
    <row r="185" spans="1:40" s="127" customFormat="1" ht="21" customHeight="1" x14ac:dyDescent="0.25">
      <c r="A185" s="51" t="str">
        <f t="shared" si="6"/>
        <v/>
      </c>
      <c r="B185" s="77"/>
      <c r="C185" s="133"/>
      <c r="D185" s="50"/>
      <c r="E185" s="141"/>
      <c r="F185" s="133"/>
      <c r="G185" s="133"/>
      <c r="H185" s="50"/>
      <c r="I185" s="51" t="str">
        <f t="shared" si="7"/>
        <v/>
      </c>
      <c r="J185" s="52" t="str">
        <f t="shared" si="8"/>
        <v/>
      </c>
      <c r="K185" s="142" t="str">
        <f>IF(OR($I185="",$I185="?",$D185&lt;&gt;"Advance",$B185=""),"",$I185&amp;"|"&amp;$J185&amp;"|"&amp;COUNTIFS($I$7:$I185,$I185,$J$7:$J185,$J185,$D$7:$D185,"Advance"))</f>
        <v/>
      </c>
      <c r="L185" s="143" t="str">
        <f>IF(OR($I185="",$I185="?",$B185=""),"",SUMPRODUCT((Weeks!$A$7:$A$59&lt;=$J185)*(Weeks!$X$5:$AI$5=$I185)*Weeks!$X$7:$AI$59)-SUMIFS($E$7:$E$1006,$I$7:$I$1006,$I185,$B$7:$B$1006,"&lt;="&amp;$B185))</f>
        <v/>
      </c>
      <c r="M185" s="132" t="str">
        <f>IF($B185&amp;$C185&amp;$D185&amp;$E185="","",IF($B185="","missing date",IF($C185="","missing worker",IF($I185="?","unknown worker - was the name changed on Workers?",IF($D185="","missing type",IF(N($E185)=0,"missing amount",IF(AND($E185&lt;0,$D185&lt;&gt;"Correction"),"negative amount - use a Correction to undo",IF(OR($B185&lt;Weeks!$A$7,$B185&gt;Weeks!$B$59),"date outside this workbook's year",IF(AND($D185="Advance",N($L185)&lt;0),"Warning: more than earned so far - worker now owes "&amp;TEXT(ROUND(-$L185,0),"#,##0"),"")))))))))</f>
        <v/>
      </c>
      <c r="N185" s="125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</row>
    <row r="186" spans="1:40" s="127" customFormat="1" ht="21" customHeight="1" x14ac:dyDescent="0.25">
      <c r="A186" s="51" t="str">
        <f t="shared" si="6"/>
        <v/>
      </c>
      <c r="B186" s="77"/>
      <c r="C186" s="133"/>
      <c r="D186" s="50"/>
      <c r="E186" s="141"/>
      <c r="F186" s="133"/>
      <c r="G186" s="133"/>
      <c r="H186" s="50"/>
      <c r="I186" s="51" t="str">
        <f t="shared" si="7"/>
        <v/>
      </c>
      <c r="J186" s="52" t="str">
        <f t="shared" si="8"/>
        <v/>
      </c>
      <c r="K186" s="142" t="str">
        <f>IF(OR($I186="",$I186="?",$D186&lt;&gt;"Advance",$B186=""),"",$I186&amp;"|"&amp;$J186&amp;"|"&amp;COUNTIFS($I$7:$I186,$I186,$J$7:$J186,$J186,$D$7:$D186,"Advance"))</f>
        <v/>
      </c>
      <c r="L186" s="143" t="str">
        <f>IF(OR($I186="",$I186="?",$B186=""),"",SUMPRODUCT((Weeks!$A$7:$A$59&lt;=$J186)*(Weeks!$X$5:$AI$5=$I186)*Weeks!$X$7:$AI$59)-SUMIFS($E$7:$E$1006,$I$7:$I$1006,$I186,$B$7:$B$1006,"&lt;="&amp;$B186))</f>
        <v/>
      </c>
      <c r="M186" s="132" t="str">
        <f>IF($B186&amp;$C186&amp;$D186&amp;$E186="","",IF($B186="","missing date",IF($C186="","missing worker",IF($I186="?","unknown worker - was the name changed on Workers?",IF($D186="","missing type",IF(N($E186)=0,"missing amount",IF(AND($E186&lt;0,$D186&lt;&gt;"Correction"),"negative amount - use a Correction to undo",IF(OR($B186&lt;Weeks!$A$7,$B186&gt;Weeks!$B$59),"date outside this workbook's year",IF(AND($D186="Advance",N($L186)&lt;0),"Warning: more than earned so far - worker now owes "&amp;TEXT(ROUND(-$L186,0),"#,##0"),"")))))))))</f>
        <v/>
      </c>
      <c r="N186" s="125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</row>
    <row r="187" spans="1:40" s="127" customFormat="1" ht="21" customHeight="1" x14ac:dyDescent="0.25">
      <c r="A187" s="51" t="str">
        <f t="shared" si="6"/>
        <v/>
      </c>
      <c r="B187" s="77"/>
      <c r="C187" s="133"/>
      <c r="D187" s="50"/>
      <c r="E187" s="141"/>
      <c r="F187" s="133"/>
      <c r="G187" s="133"/>
      <c r="H187" s="50"/>
      <c r="I187" s="51" t="str">
        <f t="shared" si="7"/>
        <v/>
      </c>
      <c r="J187" s="52" t="str">
        <f t="shared" si="8"/>
        <v/>
      </c>
      <c r="K187" s="142" t="str">
        <f>IF(OR($I187="",$I187="?",$D187&lt;&gt;"Advance",$B187=""),"",$I187&amp;"|"&amp;$J187&amp;"|"&amp;COUNTIFS($I$7:$I187,$I187,$J$7:$J187,$J187,$D$7:$D187,"Advance"))</f>
        <v/>
      </c>
      <c r="L187" s="143" t="str">
        <f>IF(OR($I187="",$I187="?",$B187=""),"",SUMPRODUCT((Weeks!$A$7:$A$59&lt;=$J187)*(Weeks!$X$5:$AI$5=$I187)*Weeks!$X$7:$AI$59)-SUMIFS($E$7:$E$1006,$I$7:$I$1006,$I187,$B$7:$B$1006,"&lt;="&amp;$B187))</f>
        <v/>
      </c>
      <c r="M187" s="132" t="str">
        <f>IF($B187&amp;$C187&amp;$D187&amp;$E187="","",IF($B187="","missing date",IF($C187="","missing worker",IF($I187="?","unknown worker - was the name changed on Workers?",IF($D187="","missing type",IF(N($E187)=0,"missing amount",IF(AND($E187&lt;0,$D187&lt;&gt;"Correction"),"negative amount - use a Correction to undo",IF(OR($B187&lt;Weeks!$A$7,$B187&gt;Weeks!$B$59),"date outside this workbook's year",IF(AND($D187="Advance",N($L187)&lt;0),"Warning: more than earned so far - worker now owes "&amp;TEXT(ROUND(-$L187,0),"#,##0"),"")))))))))</f>
        <v/>
      </c>
      <c r="N187" s="125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</row>
    <row r="188" spans="1:40" s="127" customFormat="1" ht="21" customHeight="1" x14ac:dyDescent="0.25">
      <c r="A188" s="51" t="str">
        <f t="shared" si="6"/>
        <v/>
      </c>
      <c r="B188" s="77"/>
      <c r="C188" s="133"/>
      <c r="D188" s="50"/>
      <c r="E188" s="141"/>
      <c r="F188" s="133"/>
      <c r="G188" s="133"/>
      <c r="H188" s="50"/>
      <c r="I188" s="51" t="str">
        <f t="shared" si="7"/>
        <v/>
      </c>
      <c r="J188" s="52" t="str">
        <f t="shared" si="8"/>
        <v/>
      </c>
      <c r="K188" s="142" t="str">
        <f>IF(OR($I188="",$I188="?",$D188&lt;&gt;"Advance",$B188=""),"",$I188&amp;"|"&amp;$J188&amp;"|"&amp;COUNTIFS($I$7:$I188,$I188,$J$7:$J188,$J188,$D$7:$D188,"Advance"))</f>
        <v/>
      </c>
      <c r="L188" s="143" t="str">
        <f>IF(OR($I188="",$I188="?",$B188=""),"",SUMPRODUCT((Weeks!$A$7:$A$59&lt;=$J188)*(Weeks!$X$5:$AI$5=$I188)*Weeks!$X$7:$AI$59)-SUMIFS($E$7:$E$1006,$I$7:$I$1006,$I188,$B$7:$B$1006,"&lt;="&amp;$B188))</f>
        <v/>
      </c>
      <c r="M188" s="132" t="str">
        <f>IF($B188&amp;$C188&amp;$D188&amp;$E188="","",IF($B188="","missing date",IF($C188="","missing worker",IF($I188="?","unknown worker - was the name changed on Workers?",IF($D188="","missing type",IF(N($E188)=0,"missing amount",IF(AND($E188&lt;0,$D188&lt;&gt;"Correction"),"negative amount - use a Correction to undo",IF(OR($B188&lt;Weeks!$A$7,$B188&gt;Weeks!$B$59),"date outside this workbook's year",IF(AND($D188="Advance",N($L188)&lt;0),"Warning: more than earned so far - worker now owes "&amp;TEXT(ROUND(-$L188,0),"#,##0"),"")))))))))</f>
        <v/>
      </c>
      <c r="N188" s="125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</row>
    <row r="189" spans="1:40" s="127" customFormat="1" ht="21" customHeight="1" x14ac:dyDescent="0.25">
      <c r="A189" s="51" t="str">
        <f t="shared" si="6"/>
        <v/>
      </c>
      <c r="B189" s="77"/>
      <c r="C189" s="133"/>
      <c r="D189" s="50"/>
      <c r="E189" s="141"/>
      <c r="F189" s="133"/>
      <c r="G189" s="133"/>
      <c r="H189" s="50"/>
      <c r="I189" s="51" t="str">
        <f t="shared" si="7"/>
        <v/>
      </c>
      <c r="J189" s="52" t="str">
        <f t="shared" si="8"/>
        <v/>
      </c>
      <c r="K189" s="142" t="str">
        <f>IF(OR($I189="",$I189="?",$D189&lt;&gt;"Advance",$B189=""),"",$I189&amp;"|"&amp;$J189&amp;"|"&amp;COUNTIFS($I$7:$I189,$I189,$J$7:$J189,$J189,$D$7:$D189,"Advance"))</f>
        <v/>
      </c>
      <c r="L189" s="143" t="str">
        <f>IF(OR($I189="",$I189="?",$B189=""),"",SUMPRODUCT((Weeks!$A$7:$A$59&lt;=$J189)*(Weeks!$X$5:$AI$5=$I189)*Weeks!$X$7:$AI$59)-SUMIFS($E$7:$E$1006,$I$7:$I$1006,$I189,$B$7:$B$1006,"&lt;="&amp;$B189))</f>
        <v/>
      </c>
      <c r="M189" s="132" t="str">
        <f>IF($B189&amp;$C189&amp;$D189&amp;$E189="","",IF($B189="","missing date",IF($C189="","missing worker",IF($I189="?","unknown worker - was the name changed on Workers?",IF($D189="","missing type",IF(N($E189)=0,"missing amount",IF(AND($E189&lt;0,$D189&lt;&gt;"Correction"),"negative amount - use a Correction to undo",IF(OR($B189&lt;Weeks!$A$7,$B189&gt;Weeks!$B$59),"date outside this workbook's year",IF(AND($D189="Advance",N($L189)&lt;0),"Warning: more than earned so far - worker now owes "&amp;TEXT(ROUND(-$L189,0),"#,##0"),"")))))))))</f>
        <v/>
      </c>
      <c r="N189" s="125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</row>
    <row r="190" spans="1:40" s="127" customFormat="1" ht="21" customHeight="1" x14ac:dyDescent="0.25">
      <c r="A190" s="51" t="str">
        <f t="shared" si="6"/>
        <v/>
      </c>
      <c r="B190" s="77"/>
      <c r="C190" s="133"/>
      <c r="D190" s="50"/>
      <c r="E190" s="141"/>
      <c r="F190" s="133"/>
      <c r="G190" s="133"/>
      <c r="H190" s="50"/>
      <c r="I190" s="51" t="str">
        <f t="shared" si="7"/>
        <v/>
      </c>
      <c r="J190" s="52" t="str">
        <f t="shared" si="8"/>
        <v/>
      </c>
      <c r="K190" s="142" t="str">
        <f>IF(OR($I190="",$I190="?",$D190&lt;&gt;"Advance",$B190=""),"",$I190&amp;"|"&amp;$J190&amp;"|"&amp;COUNTIFS($I$7:$I190,$I190,$J$7:$J190,$J190,$D$7:$D190,"Advance"))</f>
        <v/>
      </c>
      <c r="L190" s="143" t="str">
        <f>IF(OR($I190="",$I190="?",$B190=""),"",SUMPRODUCT((Weeks!$A$7:$A$59&lt;=$J190)*(Weeks!$X$5:$AI$5=$I190)*Weeks!$X$7:$AI$59)-SUMIFS($E$7:$E$1006,$I$7:$I$1006,$I190,$B$7:$B$1006,"&lt;="&amp;$B190))</f>
        <v/>
      </c>
      <c r="M190" s="132" t="str">
        <f>IF($B190&amp;$C190&amp;$D190&amp;$E190="","",IF($B190="","missing date",IF($C190="","missing worker",IF($I190="?","unknown worker - was the name changed on Workers?",IF($D190="","missing type",IF(N($E190)=0,"missing amount",IF(AND($E190&lt;0,$D190&lt;&gt;"Correction"),"negative amount - use a Correction to undo",IF(OR($B190&lt;Weeks!$A$7,$B190&gt;Weeks!$B$59),"date outside this workbook's year",IF(AND($D190="Advance",N($L190)&lt;0),"Warning: more than earned so far - worker now owes "&amp;TEXT(ROUND(-$L190,0),"#,##0"),"")))))))))</f>
        <v/>
      </c>
      <c r="N190" s="125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</row>
    <row r="191" spans="1:40" s="127" customFormat="1" ht="21" customHeight="1" x14ac:dyDescent="0.25">
      <c r="A191" s="51" t="str">
        <f t="shared" si="6"/>
        <v/>
      </c>
      <c r="B191" s="77"/>
      <c r="C191" s="133"/>
      <c r="D191" s="50"/>
      <c r="E191" s="141"/>
      <c r="F191" s="133"/>
      <c r="G191" s="133"/>
      <c r="H191" s="50"/>
      <c r="I191" s="51" t="str">
        <f t="shared" si="7"/>
        <v/>
      </c>
      <c r="J191" s="52" t="str">
        <f t="shared" si="8"/>
        <v/>
      </c>
      <c r="K191" s="142" t="str">
        <f>IF(OR($I191="",$I191="?",$D191&lt;&gt;"Advance",$B191=""),"",$I191&amp;"|"&amp;$J191&amp;"|"&amp;COUNTIFS($I$7:$I191,$I191,$J$7:$J191,$J191,$D$7:$D191,"Advance"))</f>
        <v/>
      </c>
      <c r="L191" s="143" t="str">
        <f>IF(OR($I191="",$I191="?",$B191=""),"",SUMPRODUCT((Weeks!$A$7:$A$59&lt;=$J191)*(Weeks!$X$5:$AI$5=$I191)*Weeks!$X$7:$AI$59)-SUMIFS($E$7:$E$1006,$I$7:$I$1006,$I191,$B$7:$B$1006,"&lt;="&amp;$B191))</f>
        <v/>
      </c>
      <c r="M191" s="132" t="str">
        <f>IF($B191&amp;$C191&amp;$D191&amp;$E191="","",IF($B191="","missing date",IF($C191="","missing worker",IF($I191="?","unknown worker - was the name changed on Workers?",IF($D191="","missing type",IF(N($E191)=0,"missing amount",IF(AND($E191&lt;0,$D191&lt;&gt;"Correction"),"negative amount - use a Correction to undo",IF(OR($B191&lt;Weeks!$A$7,$B191&gt;Weeks!$B$59),"date outside this workbook's year",IF(AND($D191="Advance",N($L191)&lt;0),"Warning: more than earned so far - worker now owes "&amp;TEXT(ROUND(-$L191,0),"#,##0"),"")))))))))</f>
        <v/>
      </c>
      <c r="N191" s="125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</row>
    <row r="192" spans="1:40" s="127" customFormat="1" ht="21" customHeight="1" x14ac:dyDescent="0.25">
      <c r="A192" s="51" t="str">
        <f t="shared" si="6"/>
        <v/>
      </c>
      <c r="B192" s="77"/>
      <c r="C192" s="133"/>
      <c r="D192" s="50"/>
      <c r="E192" s="141"/>
      <c r="F192" s="133"/>
      <c r="G192" s="133"/>
      <c r="H192" s="50"/>
      <c r="I192" s="51" t="str">
        <f t="shared" si="7"/>
        <v/>
      </c>
      <c r="J192" s="52" t="str">
        <f t="shared" si="8"/>
        <v/>
      </c>
      <c r="K192" s="142" t="str">
        <f>IF(OR($I192="",$I192="?",$D192&lt;&gt;"Advance",$B192=""),"",$I192&amp;"|"&amp;$J192&amp;"|"&amp;COUNTIFS($I$7:$I192,$I192,$J$7:$J192,$J192,$D$7:$D192,"Advance"))</f>
        <v/>
      </c>
      <c r="L192" s="143" t="str">
        <f>IF(OR($I192="",$I192="?",$B192=""),"",SUMPRODUCT((Weeks!$A$7:$A$59&lt;=$J192)*(Weeks!$X$5:$AI$5=$I192)*Weeks!$X$7:$AI$59)-SUMIFS($E$7:$E$1006,$I$7:$I$1006,$I192,$B$7:$B$1006,"&lt;="&amp;$B192))</f>
        <v/>
      </c>
      <c r="M192" s="132" t="str">
        <f>IF($B192&amp;$C192&amp;$D192&amp;$E192="","",IF($B192="","missing date",IF($C192="","missing worker",IF($I192="?","unknown worker - was the name changed on Workers?",IF($D192="","missing type",IF(N($E192)=0,"missing amount",IF(AND($E192&lt;0,$D192&lt;&gt;"Correction"),"negative amount - use a Correction to undo",IF(OR($B192&lt;Weeks!$A$7,$B192&gt;Weeks!$B$59),"date outside this workbook's year",IF(AND($D192="Advance",N($L192)&lt;0),"Warning: more than earned so far - worker now owes "&amp;TEXT(ROUND(-$L192,0),"#,##0"),"")))))))))</f>
        <v/>
      </c>
      <c r="N192" s="125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</row>
    <row r="193" spans="1:40" s="127" customFormat="1" ht="21" customHeight="1" x14ac:dyDescent="0.25">
      <c r="A193" s="51" t="str">
        <f t="shared" si="6"/>
        <v/>
      </c>
      <c r="B193" s="77"/>
      <c r="C193" s="133"/>
      <c r="D193" s="50"/>
      <c r="E193" s="141"/>
      <c r="F193" s="133"/>
      <c r="G193" s="133"/>
      <c r="H193" s="50"/>
      <c r="I193" s="51" t="str">
        <f t="shared" si="7"/>
        <v/>
      </c>
      <c r="J193" s="52" t="str">
        <f t="shared" si="8"/>
        <v/>
      </c>
      <c r="K193" s="142" t="str">
        <f>IF(OR($I193="",$I193="?",$D193&lt;&gt;"Advance",$B193=""),"",$I193&amp;"|"&amp;$J193&amp;"|"&amp;COUNTIFS($I$7:$I193,$I193,$J$7:$J193,$J193,$D$7:$D193,"Advance"))</f>
        <v/>
      </c>
      <c r="L193" s="143" t="str">
        <f>IF(OR($I193="",$I193="?",$B193=""),"",SUMPRODUCT((Weeks!$A$7:$A$59&lt;=$J193)*(Weeks!$X$5:$AI$5=$I193)*Weeks!$X$7:$AI$59)-SUMIFS($E$7:$E$1006,$I$7:$I$1006,$I193,$B$7:$B$1006,"&lt;="&amp;$B193))</f>
        <v/>
      </c>
      <c r="M193" s="132" t="str">
        <f>IF($B193&amp;$C193&amp;$D193&amp;$E193="","",IF($B193="","missing date",IF($C193="","missing worker",IF($I193="?","unknown worker - was the name changed on Workers?",IF($D193="","missing type",IF(N($E193)=0,"missing amount",IF(AND($E193&lt;0,$D193&lt;&gt;"Correction"),"negative amount - use a Correction to undo",IF(OR($B193&lt;Weeks!$A$7,$B193&gt;Weeks!$B$59),"date outside this workbook's year",IF(AND($D193="Advance",N($L193)&lt;0),"Warning: more than earned so far - worker now owes "&amp;TEXT(ROUND(-$L193,0),"#,##0"),"")))))))))</f>
        <v/>
      </c>
      <c r="N193" s="125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</row>
    <row r="194" spans="1:40" s="127" customFormat="1" ht="21" customHeight="1" x14ac:dyDescent="0.25">
      <c r="A194" s="51" t="str">
        <f t="shared" si="6"/>
        <v/>
      </c>
      <c r="B194" s="77"/>
      <c r="C194" s="133"/>
      <c r="D194" s="50"/>
      <c r="E194" s="141"/>
      <c r="F194" s="133"/>
      <c r="G194" s="133"/>
      <c r="H194" s="50"/>
      <c r="I194" s="51" t="str">
        <f t="shared" si="7"/>
        <v/>
      </c>
      <c r="J194" s="52" t="str">
        <f t="shared" si="8"/>
        <v/>
      </c>
      <c r="K194" s="142" t="str">
        <f>IF(OR($I194="",$I194="?",$D194&lt;&gt;"Advance",$B194=""),"",$I194&amp;"|"&amp;$J194&amp;"|"&amp;COUNTIFS($I$7:$I194,$I194,$J$7:$J194,$J194,$D$7:$D194,"Advance"))</f>
        <v/>
      </c>
      <c r="L194" s="143" t="str">
        <f>IF(OR($I194="",$I194="?",$B194=""),"",SUMPRODUCT((Weeks!$A$7:$A$59&lt;=$J194)*(Weeks!$X$5:$AI$5=$I194)*Weeks!$X$7:$AI$59)-SUMIFS($E$7:$E$1006,$I$7:$I$1006,$I194,$B$7:$B$1006,"&lt;="&amp;$B194))</f>
        <v/>
      </c>
      <c r="M194" s="132" t="str">
        <f>IF($B194&amp;$C194&amp;$D194&amp;$E194="","",IF($B194="","missing date",IF($C194="","missing worker",IF($I194="?","unknown worker - was the name changed on Workers?",IF($D194="","missing type",IF(N($E194)=0,"missing amount",IF(AND($E194&lt;0,$D194&lt;&gt;"Correction"),"negative amount - use a Correction to undo",IF(OR($B194&lt;Weeks!$A$7,$B194&gt;Weeks!$B$59),"date outside this workbook's year",IF(AND($D194="Advance",N($L194)&lt;0),"Warning: more than earned so far - worker now owes "&amp;TEXT(ROUND(-$L194,0),"#,##0"),"")))))))))</f>
        <v/>
      </c>
      <c r="N194" s="125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</row>
    <row r="195" spans="1:40" s="127" customFormat="1" ht="21" customHeight="1" x14ac:dyDescent="0.25">
      <c r="A195" s="51" t="str">
        <f t="shared" si="6"/>
        <v/>
      </c>
      <c r="B195" s="77"/>
      <c r="C195" s="133"/>
      <c r="D195" s="50"/>
      <c r="E195" s="141"/>
      <c r="F195" s="133"/>
      <c r="G195" s="133"/>
      <c r="H195" s="50"/>
      <c r="I195" s="51" t="str">
        <f t="shared" si="7"/>
        <v/>
      </c>
      <c r="J195" s="52" t="str">
        <f t="shared" si="8"/>
        <v/>
      </c>
      <c r="K195" s="142" t="str">
        <f>IF(OR($I195="",$I195="?",$D195&lt;&gt;"Advance",$B195=""),"",$I195&amp;"|"&amp;$J195&amp;"|"&amp;COUNTIFS($I$7:$I195,$I195,$J$7:$J195,$J195,$D$7:$D195,"Advance"))</f>
        <v/>
      </c>
      <c r="L195" s="143" t="str">
        <f>IF(OR($I195="",$I195="?",$B195=""),"",SUMPRODUCT((Weeks!$A$7:$A$59&lt;=$J195)*(Weeks!$X$5:$AI$5=$I195)*Weeks!$X$7:$AI$59)-SUMIFS($E$7:$E$1006,$I$7:$I$1006,$I195,$B$7:$B$1006,"&lt;="&amp;$B195))</f>
        <v/>
      </c>
      <c r="M195" s="132" t="str">
        <f>IF($B195&amp;$C195&amp;$D195&amp;$E195="","",IF($B195="","missing date",IF($C195="","missing worker",IF($I195="?","unknown worker - was the name changed on Workers?",IF($D195="","missing type",IF(N($E195)=0,"missing amount",IF(AND($E195&lt;0,$D195&lt;&gt;"Correction"),"negative amount - use a Correction to undo",IF(OR($B195&lt;Weeks!$A$7,$B195&gt;Weeks!$B$59),"date outside this workbook's year",IF(AND($D195="Advance",N($L195)&lt;0),"Warning: more than earned so far - worker now owes "&amp;TEXT(ROUND(-$L195,0),"#,##0"),"")))))))))</f>
        <v/>
      </c>
      <c r="N195" s="125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</row>
    <row r="196" spans="1:40" s="127" customFormat="1" ht="21" customHeight="1" x14ac:dyDescent="0.25">
      <c r="A196" s="51" t="str">
        <f t="shared" si="6"/>
        <v/>
      </c>
      <c r="B196" s="77"/>
      <c r="C196" s="133"/>
      <c r="D196" s="50"/>
      <c r="E196" s="141"/>
      <c r="F196" s="133"/>
      <c r="G196" s="133"/>
      <c r="H196" s="50"/>
      <c r="I196" s="51" t="str">
        <f t="shared" si="7"/>
        <v/>
      </c>
      <c r="J196" s="52" t="str">
        <f t="shared" si="8"/>
        <v/>
      </c>
      <c r="K196" s="142" t="str">
        <f>IF(OR($I196="",$I196="?",$D196&lt;&gt;"Advance",$B196=""),"",$I196&amp;"|"&amp;$J196&amp;"|"&amp;COUNTIFS($I$7:$I196,$I196,$J$7:$J196,$J196,$D$7:$D196,"Advance"))</f>
        <v/>
      </c>
      <c r="L196" s="143" t="str">
        <f>IF(OR($I196="",$I196="?",$B196=""),"",SUMPRODUCT((Weeks!$A$7:$A$59&lt;=$J196)*(Weeks!$X$5:$AI$5=$I196)*Weeks!$X$7:$AI$59)-SUMIFS($E$7:$E$1006,$I$7:$I$1006,$I196,$B$7:$B$1006,"&lt;="&amp;$B196))</f>
        <v/>
      </c>
      <c r="M196" s="132" t="str">
        <f>IF($B196&amp;$C196&amp;$D196&amp;$E196="","",IF($B196="","missing date",IF($C196="","missing worker",IF($I196="?","unknown worker - was the name changed on Workers?",IF($D196="","missing type",IF(N($E196)=0,"missing amount",IF(AND($E196&lt;0,$D196&lt;&gt;"Correction"),"negative amount - use a Correction to undo",IF(OR($B196&lt;Weeks!$A$7,$B196&gt;Weeks!$B$59),"date outside this workbook's year",IF(AND($D196="Advance",N($L196)&lt;0),"Warning: more than earned so far - worker now owes "&amp;TEXT(ROUND(-$L196,0),"#,##0"),"")))))))))</f>
        <v/>
      </c>
      <c r="N196" s="125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</row>
    <row r="197" spans="1:40" s="127" customFormat="1" ht="21" customHeight="1" x14ac:dyDescent="0.25">
      <c r="A197" s="51" t="str">
        <f t="shared" si="6"/>
        <v/>
      </c>
      <c r="B197" s="77"/>
      <c r="C197" s="133"/>
      <c r="D197" s="50"/>
      <c r="E197" s="141"/>
      <c r="F197" s="133"/>
      <c r="G197" s="133"/>
      <c r="H197" s="50"/>
      <c r="I197" s="51" t="str">
        <f t="shared" si="7"/>
        <v/>
      </c>
      <c r="J197" s="52" t="str">
        <f t="shared" si="8"/>
        <v/>
      </c>
      <c r="K197" s="142" t="str">
        <f>IF(OR($I197="",$I197="?",$D197&lt;&gt;"Advance",$B197=""),"",$I197&amp;"|"&amp;$J197&amp;"|"&amp;COUNTIFS($I$7:$I197,$I197,$J$7:$J197,$J197,$D$7:$D197,"Advance"))</f>
        <v/>
      </c>
      <c r="L197" s="143" t="str">
        <f>IF(OR($I197="",$I197="?",$B197=""),"",SUMPRODUCT((Weeks!$A$7:$A$59&lt;=$J197)*(Weeks!$X$5:$AI$5=$I197)*Weeks!$X$7:$AI$59)-SUMIFS($E$7:$E$1006,$I$7:$I$1006,$I197,$B$7:$B$1006,"&lt;="&amp;$B197))</f>
        <v/>
      </c>
      <c r="M197" s="132" t="str">
        <f>IF($B197&amp;$C197&amp;$D197&amp;$E197="","",IF($B197="","missing date",IF($C197="","missing worker",IF($I197="?","unknown worker - was the name changed on Workers?",IF($D197="","missing type",IF(N($E197)=0,"missing amount",IF(AND($E197&lt;0,$D197&lt;&gt;"Correction"),"negative amount - use a Correction to undo",IF(OR($B197&lt;Weeks!$A$7,$B197&gt;Weeks!$B$59),"date outside this workbook's year",IF(AND($D197="Advance",N($L197)&lt;0),"Warning: more than earned so far - worker now owes "&amp;TEXT(ROUND(-$L197,0),"#,##0"),"")))))))))</f>
        <v/>
      </c>
      <c r="N197" s="125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</row>
    <row r="198" spans="1:40" s="127" customFormat="1" ht="21" customHeight="1" x14ac:dyDescent="0.25">
      <c r="A198" s="51" t="str">
        <f t="shared" si="6"/>
        <v/>
      </c>
      <c r="B198" s="77"/>
      <c r="C198" s="133"/>
      <c r="D198" s="50"/>
      <c r="E198" s="141"/>
      <c r="F198" s="133"/>
      <c r="G198" s="133"/>
      <c r="H198" s="50"/>
      <c r="I198" s="51" t="str">
        <f t="shared" si="7"/>
        <v/>
      </c>
      <c r="J198" s="52" t="str">
        <f t="shared" si="8"/>
        <v/>
      </c>
      <c r="K198" s="142" t="str">
        <f>IF(OR($I198="",$I198="?",$D198&lt;&gt;"Advance",$B198=""),"",$I198&amp;"|"&amp;$J198&amp;"|"&amp;COUNTIFS($I$7:$I198,$I198,$J$7:$J198,$J198,$D$7:$D198,"Advance"))</f>
        <v/>
      </c>
      <c r="L198" s="143" t="str">
        <f>IF(OR($I198="",$I198="?",$B198=""),"",SUMPRODUCT((Weeks!$A$7:$A$59&lt;=$J198)*(Weeks!$X$5:$AI$5=$I198)*Weeks!$X$7:$AI$59)-SUMIFS($E$7:$E$1006,$I$7:$I$1006,$I198,$B$7:$B$1006,"&lt;="&amp;$B198))</f>
        <v/>
      </c>
      <c r="M198" s="132" t="str">
        <f>IF($B198&amp;$C198&amp;$D198&amp;$E198="","",IF($B198="","missing date",IF($C198="","missing worker",IF($I198="?","unknown worker - was the name changed on Workers?",IF($D198="","missing type",IF(N($E198)=0,"missing amount",IF(AND($E198&lt;0,$D198&lt;&gt;"Correction"),"negative amount - use a Correction to undo",IF(OR($B198&lt;Weeks!$A$7,$B198&gt;Weeks!$B$59),"date outside this workbook's year",IF(AND($D198="Advance",N($L198)&lt;0),"Warning: more than earned so far - worker now owes "&amp;TEXT(ROUND(-$L198,0),"#,##0"),"")))))))))</f>
        <v/>
      </c>
      <c r="N198" s="125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</row>
    <row r="199" spans="1:40" s="127" customFormat="1" ht="21" customHeight="1" x14ac:dyDescent="0.25">
      <c r="A199" s="51" t="str">
        <f t="shared" ref="A199:A262" si="9">IF($B199="","",ROW()-6)</f>
        <v/>
      </c>
      <c r="B199" s="77"/>
      <c r="C199" s="133"/>
      <c r="D199" s="50"/>
      <c r="E199" s="141"/>
      <c r="F199" s="133"/>
      <c r="G199" s="133"/>
      <c r="H199" s="50"/>
      <c r="I199" s="51" t="str">
        <f t="shared" ref="I199:I262" si="10">IF($C199="","",IFERROR(INDEX(WorkerIDs,MATCH($C199,WorkerNames,0)),"?"))</f>
        <v/>
      </c>
      <c r="J199" s="52" t="str">
        <f t="shared" ref="J199:J262" si="11">IF($B199="","",$B199-WEEKDAY($B199,2)+1)</f>
        <v/>
      </c>
      <c r="K199" s="142" t="str">
        <f>IF(OR($I199="",$I199="?",$D199&lt;&gt;"Advance",$B199=""),"",$I199&amp;"|"&amp;$J199&amp;"|"&amp;COUNTIFS($I$7:$I199,$I199,$J$7:$J199,$J199,$D$7:$D199,"Advance"))</f>
        <v/>
      </c>
      <c r="L199" s="143" t="str">
        <f>IF(OR($I199="",$I199="?",$B199=""),"",SUMPRODUCT((Weeks!$A$7:$A$59&lt;=$J199)*(Weeks!$X$5:$AI$5=$I199)*Weeks!$X$7:$AI$59)-SUMIFS($E$7:$E$1006,$I$7:$I$1006,$I199,$B$7:$B$1006,"&lt;="&amp;$B199))</f>
        <v/>
      </c>
      <c r="M199" s="132" t="str">
        <f>IF($B199&amp;$C199&amp;$D199&amp;$E199="","",IF($B199="","missing date",IF($C199="","missing worker",IF($I199="?","unknown worker - was the name changed on Workers?",IF($D199="","missing type",IF(N($E199)=0,"missing amount",IF(AND($E199&lt;0,$D199&lt;&gt;"Correction"),"negative amount - use a Correction to undo",IF(OR($B199&lt;Weeks!$A$7,$B199&gt;Weeks!$B$59),"date outside this workbook's year",IF(AND($D199="Advance",N($L199)&lt;0),"Warning: more than earned so far - worker now owes "&amp;TEXT(ROUND(-$L199,0),"#,##0"),"")))))))))</f>
        <v/>
      </c>
      <c r="N199" s="125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</row>
    <row r="200" spans="1:40" s="127" customFormat="1" ht="21" customHeight="1" x14ac:dyDescent="0.25">
      <c r="A200" s="51" t="str">
        <f t="shared" si="9"/>
        <v/>
      </c>
      <c r="B200" s="77"/>
      <c r="C200" s="133"/>
      <c r="D200" s="50"/>
      <c r="E200" s="141"/>
      <c r="F200" s="133"/>
      <c r="G200" s="133"/>
      <c r="H200" s="50"/>
      <c r="I200" s="51" t="str">
        <f t="shared" si="10"/>
        <v/>
      </c>
      <c r="J200" s="52" t="str">
        <f t="shared" si="11"/>
        <v/>
      </c>
      <c r="K200" s="142" t="str">
        <f>IF(OR($I200="",$I200="?",$D200&lt;&gt;"Advance",$B200=""),"",$I200&amp;"|"&amp;$J200&amp;"|"&amp;COUNTIFS($I$7:$I200,$I200,$J$7:$J200,$J200,$D$7:$D200,"Advance"))</f>
        <v/>
      </c>
      <c r="L200" s="143" t="str">
        <f>IF(OR($I200="",$I200="?",$B200=""),"",SUMPRODUCT((Weeks!$A$7:$A$59&lt;=$J200)*(Weeks!$X$5:$AI$5=$I200)*Weeks!$X$7:$AI$59)-SUMIFS($E$7:$E$1006,$I$7:$I$1006,$I200,$B$7:$B$1006,"&lt;="&amp;$B200))</f>
        <v/>
      </c>
      <c r="M200" s="132" t="str">
        <f>IF($B200&amp;$C200&amp;$D200&amp;$E200="","",IF($B200="","missing date",IF($C200="","missing worker",IF($I200="?","unknown worker - was the name changed on Workers?",IF($D200="","missing type",IF(N($E200)=0,"missing amount",IF(AND($E200&lt;0,$D200&lt;&gt;"Correction"),"negative amount - use a Correction to undo",IF(OR($B200&lt;Weeks!$A$7,$B200&gt;Weeks!$B$59),"date outside this workbook's year",IF(AND($D200="Advance",N($L200)&lt;0),"Warning: more than earned so far - worker now owes "&amp;TEXT(ROUND(-$L200,0),"#,##0"),"")))))))))</f>
        <v/>
      </c>
      <c r="N200" s="125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</row>
    <row r="201" spans="1:40" s="127" customFormat="1" ht="21" customHeight="1" x14ac:dyDescent="0.25">
      <c r="A201" s="51" t="str">
        <f t="shared" si="9"/>
        <v/>
      </c>
      <c r="B201" s="77"/>
      <c r="C201" s="133"/>
      <c r="D201" s="50"/>
      <c r="E201" s="141"/>
      <c r="F201" s="133"/>
      <c r="G201" s="133"/>
      <c r="H201" s="50"/>
      <c r="I201" s="51" t="str">
        <f t="shared" si="10"/>
        <v/>
      </c>
      <c r="J201" s="52" t="str">
        <f t="shared" si="11"/>
        <v/>
      </c>
      <c r="K201" s="142" t="str">
        <f>IF(OR($I201="",$I201="?",$D201&lt;&gt;"Advance",$B201=""),"",$I201&amp;"|"&amp;$J201&amp;"|"&amp;COUNTIFS($I$7:$I201,$I201,$J$7:$J201,$J201,$D$7:$D201,"Advance"))</f>
        <v/>
      </c>
      <c r="L201" s="143" t="str">
        <f>IF(OR($I201="",$I201="?",$B201=""),"",SUMPRODUCT((Weeks!$A$7:$A$59&lt;=$J201)*(Weeks!$X$5:$AI$5=$I201)*Weeks!$X$7:$AI$59)-SUMIFS($E$7:$E$1006,$I$7:$I$1006,$I201,$B$7:$B$1006,"&lt;="&amp;$B201))</f>
        <v/>
      </c>
      <c r="M201" s="132" t="str">
        <f>IF($B201&amp;$C201&amp;$D201&amp;$E201="","",IF($B201="","missing date",IF($C201="","missing worker",IF($I201="?","unknown worker - was the name changed on Workers?",IF($D201="","missing type",IF(N($E201)=0,"missing amount",IF(AND($E201&lt;0,$D201&lt;&gt;"Correction"),"negative amount - use a Correction to undo",IF(OR($B201&lt;Weeks!$A$7,$B201&gt;Weeks!$B$59),"date outside this workbook's year",IF(AND($D201="Advance",N($L201)&lt;0),"Warning: more than earned so far - worker now owes "&amp;TEXT(ROUND(-$L201,0),"#,##0"),"")))))))))</f>
        <v/>
      </c>
      <c r="N201" s="125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</row>
    <row r="202" spans="1:40" s="127" customFormat="1" ht="21" customHeight="1" x14ac:dyDescent="0.25">
      <c r="A202" s="51" t="str">
        <f t="shared" si="9"/>
        <v/>
      </c>
      <c r="B202" s="77"/>
      <c r="C202" s="133"/>
      <c r="D202" s="50"/>
      <c r="E202" s="141"/>
      <c r="F202" s="133"/>
      <c r="G202" s="133"/>
      <c r="H202" s="50"/>
      <c r="I202" s="51" t="str">
        <f t="shared" si="10"/>
        <v/>
      </c>
      <c r="J202" s="52" t="str">
        <f t="shared" si="11"/>
        <v/>
      </c>
      <c r="K202" s="142" t="str">
        <f>IF(OR($I202="",$I202="?",$D202&lt;&gt;"Advance",$B202=""),"",$I202&amp;"|"&amp;$J202&amp;"|"&amp;COUNTIFS($I$7:$I202,$I202,$J$7:$J202,$J202,$D$7:$D202,"Advance"))</f>
        <v/>
      </c>
      <c r="L202" s="143" t="str">
        <f>IF(OR($I202="",$I202="?",$B202=""),"",SUMPRODUCT((Weeks!$A$7:$A$59&lt;=$J202)*(Weeks!$X$5:$AI$5=$I202)*Weeks!$X$7:$AI$59)-SUMIFS($E$7:$E$1006,$I$7:$I$1006,$I202,$B$7:$B$1006,"&lt;="&amp;$B202))</f>
        <v/>
      </c>
      <c r="M202" s="132" t="str">
        <f>IF($B202&amp;$C202&amp;$D202&amp;$E202="","",IF($B202="","missing date",IF($C202="","missing worker",IF($I202="?","unknown worker - was the name changed on Workers?",IF($D202="","missing type",IF(N($E202)=0,"missing amount",IF(AND($E202&lt;0,$D202&lt;&gt;"Correction"),"negative amount - use a Correction to undo",IF(OR($B202&lt;Weeks!$A$7,$B202&gt;Weeks!$B$59),"date outside this workbook's year",IF(AND($D202="Advance",N($L202)&lt;0),"Warning: more than earned so far - worker now owes "&amp;TEXT(ROUND(-$L202,0),"#,##0"),"")))))))))</f>
        <v/>
      </c>
      <c r="N202" s="125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</row>
    <row r="203" spans="1:40" s="127" customFormat="1" ht="21" customHeight="1" x14ac:dyDescent="0.25">
      <c r="A203" s="51" t="str">
        <f t="shared" si="9"/>
        <v/>
      </c>
      <c r="B203" s="77"/>
      <c r="C203" s="133"/>
      <c r="D203" s="50"/>
      <c r="E203" s="141"/>
      <c r="F203" s="133"/>
      <c r="G203" s="133"/>
      <c r="H203" s="50"/>
      <c r="I203" s="51" t="str">
        <f t="shared" si="10"/>
        <v/>
      </c>
      <c r="J203" s="52" t="str">
        <f t="shared" si="11"/>
        <v/>
      </c>
      <c r="K203" s="142" t="str">
        <f>IF(OR($I203="",$I203="?",$D203&lt;&gt;"Advance",$B203=""),"",$I203&amp;"|"&amp;$J203&amp;"|"&amp;COUNTIFS($I$7:$I203,$I203,$J$7:$J203,$J203,$D$7:$D203,"Advance"))</f>
        <v/>
      </c>
      <c r="L203" s="143" t="str">
        <f>IF(OR($I203="",$I203="?",$B203=""),"",SUMPRODUCT((Weeks!$A$7:$A$59&lt;=$J203)*(Weeks!$X$5:$AI$5=$I203)*Weeks!$X$7:$AI$59)-SUMIFS($E$7:$E$1006,$I$7:$I$1006,$I203,$B$7:$B$1006,"&lt;="&amp;$B203))</f>
        <v/>
      </c>
      <c r="M203" s="132" t="str">
        <f>IF($B203&amp;$C203&amp;$D203&amp;$E203="","",IF($B203="","missing date",IF($C203="","missing worker",IF($I203="?","unknown worker - was the name changed on Workers?",IF($D203="","missing type",IF(N($E203)=0,"missing amount",IF(AND($E203&lt;0,$D203&lt;&gt;"Correction"),"negative amount - use a Correction to undo",IF(OR($B203&lt;Weeks!$A$7,$B203&gt;Weeks!$B$59),"date outside this workbook's year",IF(AND($D203="Advance",N($L203)&lt;0),"Warning: more than earned so far - worker now owes "&amp;TEXT(ROUND(-$L203,0),"#,##0"),"")))))))))</f>
        <v/>
      </c>
      <c r="N203" s="125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</row>
    <row r="204" spans="1:40" s="127" customFormat="1" ht="21" customHeight="1" x14ac:dyDescent="0.25">
      <c r="A204" s="51" t="str">
        <f t="shared" si="9"/>
        <v/>
      </c>
      <c r="B204" s="77"/>
      <c r="C204" s="133"/>
      <c r="D204" s="50"/>
      <c r="E204" s="141"/>
      <c r="F204" s="133"/>
      <c r="G204" s="133"/>
      <c r="H204" s="50"/>
      <c r="I204" s="51" t="str">
        <f t="shared" si="10"/>
        <v/>
      </c>
      <c r="J204" s="52" t="str">
        <f t="shared" si="11"/>
        <v/>
      </c>
      <c r="K204" s="142" t="str">
        <f>IF(OR($I204="",$I204="?",$D204&lt;&gt;"Advance",$B204=""),"",$I204&amp;"|"&amp;$J204&amp;"|"&amp;COUNTIFS($I$7:$I204,$I204,$J$7:$J204,$J204,$D$7:$D204,"Advance"))</f>
        <v/>
      </c>
      <c r="L204" s="143" t="str">
        <f>IF(OR($I204="",$I204="?",$B204=""),"",SUMPRODUCT((Weeks!$A$7:$A$59&lt;=$J204)*(Weeks!$X$5:$AI$5=$I204)*Weeks!$X$7:$AI$59)-SUMIFS($E$7:$E$1006,$I$7:$I$1006,$I204,$B$7:$B$1006,"&lt;="&amp;$B204))</f>
        <v/>
      </c>
      <c r="M204" s="132" t="str">
        <f>IF($B204&amp;$C204&amp;$D204&amp;$E204="","",IF($B204="","missing date",IF($C204="","missing worker",IF($I204="?","unknown worker - was the name changed on Workers?",IF($D204="","missing type",IF(N($E204)=0,"missing amount",IF(AND($E204&lt;0,$D204&lt;&gt;"Correction"),"negative amount - use a Correction to undo",IF(OR($B204&lt;Weeks!$A$7,$B204&gt;Weeks!$B$59),"date outside this workbook's year",IF(AND($D204="Advance",N($L204)&lt;0),"Warning: more than earned so far - worker now owes "&amp;TEXT(ROUND(-$L204,0),"#,##0"),"")))))))))</f>
        <v/>
      </c>
      <c r="N204" s="125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</row>
    <row r="205" spans="1:40" s="127" customFormat="1" ht="21" customHeight="1" x14ac:dyDescent="0.25">
      <c r="A205" s="51" t="str">
        <f t="shared" si="9"/>
        <v/>
      </c>
      <c r="B205" s="77"/>
      <c r="C205" s="133"/>
      <c r="D205" s="50"/>
      <c r="E205" s="141"/>
      <c r="F205" s="133"/>
      <c r="G205" s="133"/>
      <c r="H205" s="50"/>
      <c r="I205" s="51" t="str">
        <f t="shared" si="10"/>
        <v/>
      </c>
      <c r="J205" s="52" t="str">
        <f t="shared" si="11"/>
        <v/>
      </c>
      <c r="K205" s="142" t="str">
        <f>IF(OR($I205="",$I205="?",$D205&lt;&gt;"Advance",$B205=""),"",$I205&amp;"|"&amp;$J205&amp;"|"&amp;COUNTIFS($I$7:$I205,$I205,$J$7:$J205,$J205,$D$7:$D205,"Advance"))</f>
        <v/>
      </c>
      <c r="L205" s="143" t="str">
        <f>IF(OR($I205="",$I205="?",$B205=""),"",SUMPRODUCT((Weeks!$A$7:$A$59&lt;=$J205)*(Weeks!$X$5:$AI$5=$I205)*Weeks!$X$7:$AI$59)-SUMIFS($E$7:$E$1006,$I$7:$I$1006,$I205,$B$7:$B$1006,"&lt;="&amp;$B205))</f>
        <v/>
      </c>
      <c r="M205" s="132" t="str">
        <f>IF($B205&amp;$C205&amp;$D205&amp;$E205="","",IF($B205="","missing date",IF($C205="","missing worker",IF($I205="?","unknown worker - was the name changed on Workers?",IF($D205="","missing type",IF(N($E205)=0,"missing amount",IF(AND($E205&lt;0,$D205&lt;&gt;"Correction"),"negative amount - use a Correction to undo",IF(OR($B205&lt;Weeks!$A$7,$B205&gt;Weeks!$B$59),"date outside this workbook's year",IF(AND($D205="Advance",N($L205)&lt;0),"Warning: more than earned so far - worker now owes "&amp;TEXT(ROUND(-$L205,0),"#,##0"),"")))))))))</f>
        <v/>
      </c>
      <c r="N205" s="125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</row>
    <row r="206" spans="1:40" s="127" customFormat="1" ht="21" customHeight="1" x14ac:dyDescent="0.25">
      <c r="A206" s="51" t="str">
        <f t="shared" si="9"/>
        <v/>
      </c>
      <c r="B206" s="77"/>
      <c r="C206" s="133"/>
      <c r="D206" s="50"/>
      <c r="E206" s="141"/>
      <c r="F206" s="133"/>
      <c r="G206" s="133"/>
      <c r="H206" s="50"/>
      <c r="I206" s="51" t="str">
        <f t="shared" si="10"/>
        <v/>
      </c>
      <c r="J206" s="52" t="str">
        <f t="shared" si="11"/>
        <v/>
      </c>
      <c r="K206" s="142" t="str">
        <f>IF(OR($I206="",$I206="?",$D206&lt;&gt;"Advance",$B206=""),"",$I206&amp;"|"&amp;$J206&amp;"|"&amp;COUNTIFS($I$7:$I206,$I206,$J$7:$J206,$J206,$D$7:$D206,"Advance"))</f>
        <v/>
      </c>
      <c r="L206" s="143" t="str">
        <f>IF(OR($I206="",$I206="?",$B206=""),"",SUMPRODUCT((Weeks!$A$7:$A$59&lt;=$J206)*(Weeks!$X$5:$AI$5=$I206)*Weeks!$X$7:$AI$59)-SUMIFS($E$7:$E$1006,$I$7:$I$1006,$I206,$B$7:$B$1006,"&lt;="&amp;$B206))</f>
        <v/>
      </c>
      <c r="M206" s="132" t="str">
        <f>IF($B206&amp;$C206&amp;$D206&amp;$E206="","",IF($B206="","missing date",IF($C206="","missing worker",IF($I206="?","unknown worker - was the name changed on Workers?",IF($D206="","missing type",IF(N($E206)=0,"missing amount",IF(AND($E206&lt;0,$D206&lt;&gt;"Correction"),"negative amount - use a Correction to undo",IF(OR($B206&lt;Weeks!$A$7,$B206&gt;Weeks!$B$59),"date outside this workbook's year",IF(AND($D206="Advance",N($L206)&lt;0),"Warning: more than earned so far - worker now owes "&amp;TEXT(ROUND(-$L206,0),"#,##0"),"")))))))))</f>
        <v/>
      </c>
      <c r="N206" s="125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</row>
    <row r="207" spans="1:40" s="127" customFormat="1" ht="21" customHeight="1" x14ac:dyDescent="0.25">
      <c r="A207" s="51" t="str">
        <f t="shared" si="9"/>
        <v/>
      </c>
      <c r="B207" s="77"/>
      <c r="C207" s="133"/>
      <c r="D207" s="50"/>
      <c r="E207" s="141"/>
      <c r="F207" s="133"/>
      <c r="G207" s="133"/>
      <c r="H207" s="50"/>
      <c r="I207" s="51" t="str">
        <f t="shared" si="10"/>
        <v/>
      </c>
      <c r="J207" s="52" t="str">
        <f t="shared" si="11"/>
        <v/>
      </c>
      <c r="K207" s="142" t="str">
        <f>IF(OR($I207="",$I207="?",$D207&lt;&gt;"Advance",$B207=""),"",$I207&amp;"|"&amp;$J207&amp;"|"&amp;COUNTIFS($I$7:$I207,$I207,$J$7:$J207,$J207,$D$7:$D207,"Advance"))</f>
        <v/>
      </c>
      <c r="L207" s="143" t="str">
        <f>IF(OR($I207="",$I207="?",$B207=""),"",SUMPRODUCT((Weeks!$A$7:$A$59&lt;=$J207)*(Weeks!$X$5:$AI$5=$I207)*Weeks!$X$7:$AI$59)-SUMIFS($E$7:$E$1006,$I$7:$I$1006,$I207,$B$7:$B$1006,"&lt;="&amp;$B207))</f>
        <v/>
      </c>
      <c r="M207" s="132" t="str">
        <f>IF($B207&amp;$C207&amp;$D207&amp;$E207="","",IF($B207="","missing date",IF($C207="","missing worker",IF($I207="?","unknown worker - was the name changed on Workers?",IF($D207="","missing type",IF(N($E207)=0,"missing amount",IF(AND($E207&lt;0,$D207&lt;&gt;"Correction"),"negative amount - use a Correction to undo",IF(OR($B207&lt;Weeks!$A$7,$B207&gt;Weeks!$B$59),"date outside this workbook's year",IF(AND($D207="Advance",N($L207)&lt;0),"Warning: more than earned so far - worker now owes "&amp;TEXT(ROUND(-$L207,0),"#,##0"),"")))))))))</f>
        <v/>
      </c>
      <c r="N207" s="125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</row>
    <row r="208" spans="1:40" s="127" customFormat="1" ht="21" customHeight="1" x14ac:dyDescent="0.25">
      <c r="A208" s="51" t="str">
        <f t="shared" si="9"/>
        <v/>
      </c>
      <c r="B208" s="77"/>
      <c r="C208" s="133"/>
      <c r="D208" s="50"/>
      <c r="E208" s="141"/>
      <c r="F208" s="133"/>
      <c r="G208" s="133"/>
      <c r="H208" s="50"/>
      <c r="I208" s="51" t="str">
        <f t="shared" si="10"/>
        <v/>
      </c>
      <c r="J208" s="52" t="str">
        <f t="shared" si="11"/>
        <v/>
      </c>
      <c r="K208" s="142" t="str">
        <f>IF(OR($I208="",$I208="?",$D208&lt;&gt;"Advance",$B208=""),"",$I208&amp;"|"&amp;$J208&amp;"|"&amp;COUNTIFS($I$7:$I208,$I208,$J$7:$J208,$J208,$D$7:$D208,"Advance"))</f>
        <v/>
      </c>
      <c r="L208" s="143" t="str">
        <f>IF(OR($I208="",$I208="?",$B208=""),"",SUMPRODUCT((Weeks!$A$7:$A$59&lt;=$J208)*(Weeks!$X$5:$AI$5=$I208)*Weeks!$X$7:$AI$59)-SUMIFS($E$7:$E$1006,$I$7:$I$1006,$I208,$B$7:$B$1006,"&lt;="&amp;$B208))</f>
        <v/>
      </c>
      <c r="M208" s="132" t="str">
        <f>IF($B208&amp;$C208&amp;$D208&amp;$E208="","",IF($B208="","missing date",IF($C208="","missing worker",IF($I208="?","unknown worker - was the name changed on Workers?",IF($D208="","missing type",IF(N($E208)=0,"missing amount",IF(AND($E208&lt;0,$D208&lt;&gt;"Correction"),"negative amount - use a Correction to undo",IF(OR($B208&lt;Weeks!$A$7,$B208&gt;Weeks!$B$59),"date outside this workbook's year",IF(AND($D208="Advance",N($L208)&lt;0),"Warning: more than earned so far - worker now owes "&amp;TEXT(ROUND(-$L208,0),"#,##0"),"")))))))))</f>
        <v/>
      </c>
      <c r="N208" s="125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</row>
    <row r="209" spans="1:40" s="127" customFormat="1" ht="21" customHeight="1" x14ac:dyDescent="0.25">
      <c r="A209" s="51" t="str">
        <f t="shared" si="9"/>
        <v/>
      </c>
      <c r="B209" s="77"/>
      <c r="C209" s="133"/>
      <c r="D209" s="50"/>
      <c r="E209" s="141"/>
      <c r="F209" s="133"/>
      <c r="G209" s="133"/>
      <c r="H209" s="50"/>
      <c r="I209" s="51" t="str">
        <f t="shared" si="10"/>
        <v/>
      </c>
      <c r="J209" s="52" t="str">
        <f t="shared" si="11"/>
        <v/>
      </c>
      <c r="K209" s="142" t="str">
        <f>IF(OR($I209="",$I209="?",$D209&lt;&gt;"Advance",$B209=""),"",$I209&amp;"|"&amp;$J209&amp;"|"&amp;COUNTIFS($I$7:$I209,$I209,$J$7:$J209,$J209,$D$7:$D209,"Advance"))</f>
        <v/>
      </c>
      <c r="L209" s="143" t="str">
        <f>IF(OR($I209="",$I209="?",$B209=""),"",SUMPRODUCT((Weeks!$A$7:$A$59&lt;=$J209)*(Weeks!$X$5:$AI$5=$I209)*Weeks!$X$7:$AI$59)-SUMIFS($E$7:$E$1006,$I$7:$I$1006,$I209,$B$7:$B$1006,"&lt;="&amp;$B209))</f>
        <v/>
      </c>
      <c r="M209" s="132" t="str">
        <f>IF($B209&amp;$C209&amp;$D209&amp;$E209="","",IF($B209="","missing date",IF($C209="","missing worker",IF($I209="?","unknown worker - was the name changed on Workers?",IF($D209="","missing type",IF(N($E209)=0,"missing amount",IF(AND($E209&lt;0,$D209&lt;&gt;"Correction"),"negative amount - use a Correction to undo",IF(OR($B209&lt;Weeks!$A$7,$B209&gt;Weeks!$B$59),"date outside this workbook's year",IF(AND($D209="Advance",N($L209)&lt;0),"Warning: more than earned so far - worker now owes "&amp;TEXT(ROUND(-$L209,0),"#,##0"),"")))))))))</f>
        <v/>
      </c>
      <c r="N209" s="125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</row>
    <row r="210" spans="1:40" s="127" customFormat="1" ht="21" customHeight="1" x14ac:dyDescent="0.25">
      <c r="A210" s="51" t="str">
        <f t="shared" si="9"/>
        <v/>
      </c>
      <c r="B210" s="77"/>
      <c r="C210" s="133"/>
      <c r="D210" s="50"/>
      <c r="E210" s="141"/>
      <c r="F210" s="133"/>
      <c r="G210" s="133"/>
      <c r="H210" s="50"/>
      <c r="I210" s="51" t="str">
        <f t="shared" si="10"/>
        <v/>
      </c>
      <c r="J210" s="52" t="str">
        <f t="shared" si="11"/>
        <v/>
      </c>
      <c r="K210" s="142" t="str">
        <f>IF(OR($I210="",$I210="?",$D210&lt;&gt;"Advance",$B210=""),"",$I210&amp;"|"&amp;$J210&amp;"|"&amp;COUNTIFS($I$7:$I210,$I210,$J$7:$J210,$J210,$D$7:$D210,"Advance"))</f>
        <v/>
      </c>
      <c r="L210" s="143" t="str">
        <f>IF(OR($I210="",$I210="?",$B210=""),"",SUMPRODUCT((Weeks!$A$7:$A$59&lt;=$J210)*(Weeks!$X$5:$AI$5=$I210)*Weeks!$X$7:$AI$59)-SUMIFS($E$7:$E$1006,$I$7:$I$1006,$I210,$B$7:$B$1006,"&lt;="&amp;$B210))</f>
        <v/>
      </c>
      <c r="M210" s="132" t="str">
        <f>IF($B210&amp;$C210&amp;$D210&amp;$E210="","",IF($B210="","missing date",IF($C210="","missing worker",IF($I210="?","unknown worker - was the name changed on Workers?",IF($D210="","missing type",IF(N($E210)=0,"missing amount",IF(AND($E210&lt;0,$D210&lt;&gt;"Correction"),"negative amount - use a Correction to undo",IF(OR($B210&lt;Weeks!$A$7,$B210&gt;Weeks!$B$59),"date outside this workbook's year",IF(AND($D210="Advance",N($L210)&lt;0),"Warning: more than earned so far - worker now owes "&amp;TEXT(ROUND(-$L210,0),"#,##0"),"")))))))))</f>
        <v/>
      </c>
      <c r="N210" s="125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</row>
    <row r="211" spans="1:40" s="127" customFormat="1" ht="21" customHeight="1" x14ac:dyDescent="0.25">
      <c r="A211" s="51" t="str">
        <f t="shared" si="9"/>
        <v/>
      </c>
      <c r="B211" s="77"/>
      <c r="C211" s="133"/>
      <c r="D211" s="50"/>
      <c r="E211" s="141"/>
      <c r="F211" s="133"/>
      <c r="G211" s="133"/>
      <c r="H211" s="50"/>
      <c r="I211" s="51" t="str">
        <f t="shared" si="10"/>
        <v/>
      </c>
      <c r="J211" s="52" t="str">
        <f t="shared" si="11"/>
        <v/>
      </c>
      <c r="K211" s="142" t="str">
        <f>IF(OR($I211="",$I211="?",$D211&lt;&gt;"Advance",$B211=""),"",$I211&amp;"|"&amp;$J211&amp;"|"&amp;COUNTIFS($I$7:$I211,$I211,$J$7:$J211,$J211,$D$7:$D211,"Advance"))</f>
        <v/>
      </c>
      <c r="L211" s="143" t="str">
        <f>IF(OR($I211="",$I211="?",$B211=""),"",SUMPRODUCT((Weeks!$A$7:$A$59&lt;=$J211)*(Weeks!$X$5:$AI$5=$I211)*Weeks!$X$7:$AI$59)-SUMIFS($E$7:$E$1006,$I$7:$I$1006,$I211,$B$7:$B$1006,"&lt;="&amp;$B211))</f>
        <v/>
      </c>
      <c r="M211" s="132" t="str">
        <f>IF($B211&amp;$C211&amp;$D211&amp;$E211="","",IF($B211="","missing date",IF($C211="","missing worker",IF($I211="?","unknown worker - was the name changed on Workers?",IF($D211="","missing type",IF(N($E211)=0,"missing amount",IF(AND($E211&lt;0,$D211&lt;&gt;"Correction"),"negative amount - use a Correction to undo",IF(OR($B211&lt;Weeks!$A$7,$B211&gt;Weeks!$B$59),"date outside this workbook's year",IF(AND($D211="Advance",N($L211)&lt;0),"Warning: more than earned so far - worker now owes "&amp;TEXT(ROUND(-$L211,0),"#,##0"),"")))))))))</f>
        <v/>
      </c>
      <c r="N211" s="125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</row>
    <row r="212" spans="1:40" s="127" customFormat="1" ht="21" customHeight="1" x14ac:dyDescent="0.25">
      <c r="A212" s="51" t="str">
        <f t="shared" si="9"/>
        <v/>
      </c>
      <c r="B212" s="77"/>
      <c r="C212" s="133"/>
      <c r="D212" s="50"/>
      <c r="E212" s="141"/>
      <c r="F212" s="133"/>
      <c r="G212" s="133"/>
      <c r="H212" s="50"/>
      <c r="I212" s="51" t="str">
        <f t="shared" si="10"/>
        <v/>
      </c>
      <c r="J212" s="52" t="str">
        <f t="shared" si="11"/>
        <v/>
      </c>
      <c r="K212" s="142" t="str">
        <f>IF(OR($I212="",$I212="?",$D212&lt;&gt;"Advance",$B212=""),"",$I212&amp;"|"&amp;$J212&amp;"|"&amp;COUNTIFS($I$7:$I212,$I212,$J$7:$J212,$J212,$D$7:$D212,"Advance"))</f>
        <v/>
      </c>
      <c r="L212" s="143" t="str">
        <f>IF(OR($I212="",$I212="?",$B212=""),"",SUMPRODUCT((Weeks!$A$7:$A$59&lt;=$J212)*(Weeks!$X$5:$AI$5=$I212)*Weeks!$X$7:$AI$59)-SUMIFS($E$7:$E$1006,$I$7:$I$1006,$I212,$B$7:$B$1006,"&lt;="&amp;$B212))</f>
        <v/>
      </c>
      <c r="M212" s="132" t="str">
        <f>IF($B212&amp;$C212&amp;$D212&amp;$E212="","",IF($B212="","missing date",IF($C212="","missing worker",IF($I212="?","unknown worker - was the name changed on Workers?",IF($D212="","missing type",IF(N($E212)=0,"missing amount",IF(AND($E212&lt;0,$D212&lt;&gt;"Correction"),"negative amount - use a Correction to undo",IF(OR($B212&lt;Weeks!$A$7,$B212&gt;Weeks!$B$59),"date outside this workbook's year",IF(AND($D212="Advance",N($L212)&lt;0),"Warning: more than earned so far - worker now owes "&amp;TEXT(ROUND(-$L212,0),"#,##0"),"")))))))))</f>
        <v/>
      </c>
      <c r="N212" s="125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</row>
    <row r="213" spans="1:40" s="127" customFormat="1" ht="21" customHeight="1" x14ac:dyDescent="0.25">
      <c r="A213" s="51" t="str">
        <f t="shared" si="9"/>
        <v/>
      </c>
      <c r="B213" s="77"/>
      <c r="C213" s="133"/>
      <c r="D213" s="50"/>
      <c r="E213" s="141"/>
      <c r="F213" s="133"/>
      <c r="G213" s="133"/>
      <c r="H213" s="50"/>
      <c r="I213" s="51" t="str">
        <f t="shared" si="10"/>
        <v/>
      </c>
      <c r="J213" s="52" t="str">
        <f t="shared" si="11"/>
        <v/>
      </c>
      <c r="K213" s="142" t="str">
        <f>IF(OR($I213="",$I213="?",$D213&lt;&gt;"Advance",$B213=""),"",$I213&amp;"|"&amp;$J213&amp;"|"&amp;COUNTIFS($I$7:$I213,$I213,$J$7:$J213,$J213,$D$7:$D213,"Advance"))</f>
        <v/>
      </c>
      <c r="L213" s="143" t="str">
        <f>IF(OR($I213="",$I213="?",$B213=""),"",SUMPRODUCT((Weeks!$A$7:$A$59&lt;=$J213)*(Weeks!$X$5:$AI$5=$I213)*Weeks!$X$7:$AI$59)-SUMIFS($E$7:$E$1006,$I$7:$I$1006,$I213,$B$7:$B$1006,"&lt;="&amp;$B213))</f>
        <v/>
      </c>
      <c r="M213" s="132" t="str">
        <f>IF($B213&amp;$C213&amp;$D213&amp;$E213="","",IF($B213="","missing date",IF($C213="","missing worker",IF($I213="?","unknown worker - was the name changed on Workers?",IF($D213="","missing type",IF(N($E213)=0,"missing amount",IF(AND($E213&lt;0,$D213&lt;&gt;"Correction"),"negative amount - use a Correction to undo",IF(OR($B213&lt;Weeks!$A$7,$B213&gt;Weeks!$B$59),"date outside this workbook's year",IF(AND($D213="Advance",N($L213)&lt;0),"Warning: more than earned so far - worker now owes "&amp;TEXT(ROUND(-$L213,0),"#,##0"),"")))))))))</f>
        <v/>
      </c>
      <c r="N213" s="125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</row>
    <row r="214" spans="1:40" s="127" customFormat="1" ht="21" customHeight="1" x14ac:dyDescent="0.25">
      <c r="A214" s="51" t="str">
        <f t="shared" si="9"/>
        <v/>
      </c>
      <c r="B214" s="77"/>
      <c r="C214" s="133"/>
      <c r="D214" s="50"/>
      <c r="E214" s="141"/>
      <c r="F214" s="133"/>
      <c r="G214" s="133"/>
      <c r="H214" s="50"/>
      <c r="I214" s="51" t="str">
        <f t="shared" si="10"/>
        <v/>
      </c>
      <c r="J214" s="52" t="str">
        <f t="shared" si="11"/>
        <v/>
      </c>
      <c r="K214" s="142" t="str">
        <f>IF(OR($I214="",$I214="?",$D214&lt;&gt;"Advance",$B214=""),"",$I214&amp;"|"&amp;$J214&amp;"|"&amp;COUNTIFS($I$7:$I214,$I214,$J$7:$J214,$J214,$D$7:$D214,"Advance"))</f>
        <v/>
      </c>
      <c r="L214" s="143" t="str">
        <f>IF(OR($I214="",$I214="?",$B214=""),"",SUMPRODUCT((Weeks!$A$7:$A$59&lt;=$J214)*(Weeks!$X$5:$AI$5=$I214)*Weeks!$X$7:$AI$59)-SUMIFS($E$7:$E$1006,$I$7:$I$1006,$I214,$B$7:$B$1006,"&lt;="&amp;$B214))</f>
        <v/>
      </c>
      <c r="M214" s="132" t="str">
        <f>IF($B214&amp;$C214&amp;$D214&amp;$E214="","",IF($B214="","missing date",IF($C214="","missing worker",IF($I214="?","unknown worker - was the name changed on Workers?",IF($D214="","missing type",IF(N($E214)=0,"missing amount",IF(AND($E214&lt;0,$D214&lt;&gt;"Correction"),"negative amount - use a Correction to undo",IF(OR($B214&lt;Weeks!$A$7,$B214&gt;Weeks!$B$59),"date outside this workbook's year",IF(AND($D214="Advance",N($L214)&lt;0),"Warning: more than earned so far - worker now owes "&amp;TEXT(ROUND(-$L214,0),"#,##0"),"")))))))))</f>
        <v/>
      </c>
      <c r="N214" s="125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</row>
    <row r="215" spans="1:40" s="127" customFormat="1" ht="21" customHeight="1" x14ac:dyDescent="0.25">
      <c r="A215" s="51" t="str">
        <f t="shared" si="9"/>
        <v/>
      </c>
      <c r="B215" s="77"/>
      <c r="C215" s="133"/>
      <c r="D215" s="50"/>
      <c r="E215" s="141"/>
      <c r="F215" s="133"/>
      <c r="G215" s="133"/>
      <c r="H215" s="50"/>
      <c r="I215" s="51" t="str">
        <f t="shared" si="10"/>
        <v/>
      </c>
      <c r="J215" s="52" t="str">
        <f t="shared" si="11"/>
        <v/>
      </c>
      <c r="K215" s="142" t="str">
        <f>IF(OR($I215="",$I215="?",$D215&lt;&gt;"Advance",$B215=""),"",$I215&amp;"|"&amp;$J215&amp;"|"&amp;COUNTIFS($I$7:$I215,$I215,$J$7:$J215,$J215,$D$7:$D215,"Advance"))</f>
        <v/>
      </c>
      <c r="L215" s="143" t="str">
        <f>IF(OR($I215="",$I215="?",$B215=""),"",SUMPRODUCT((Weeks!$A$7:$A$59&lt;=$J215)*(Weeks!$X$5:$AI$5=$I215)*Weeks!$X$7:$AI$59)-SUMIFS($E$7:$E$1006,$I$7:$I$1006,$I215,$B$7:$B$1006,"&lt;="&amp;$B215))</f>
        <v/>
      </c>
      <c r="M215" s="132" t="str">
        <f>IF($B215&amp;$C215&amp;$D215&amp;$E215="","",IF($B215="","missing date",IF($C215="","missing worker",IF($I215="?","unknown worker - was the name changed on Workers?",IF($D215="","missing type",IF(N($E215)=0,"missing amount",IF(AND($E215&lt;0,$D215&lt;&gt;"Correction"),"negative amount - use a Correction to undo",IF(OR($B215&lt;Weeks!$A$7,$B215&gt;Weeks!$B$59),"date outside this workbook's year",IF(AND($D215="Advance",N($L215)&lt;0),"Warning: more than earned so far - worker now owes "&amp;TEXT(ROUND(-$L215,0),"#,##0"),"")))))))))</f>
        <v/>
      </c>
      <c r="N215" s="125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</row>
    <row r="216" spans="1:40" s="127" customFormat="1" ht="21" customHeight="1" x14ac:dyDescent="0.25">
      <c r="A216" s="51" t="str">
        <f t="shared" si="9"/>
        <v/>
      </c>
      <c r="B216" s="77"/>
      <c r="C216" s="133"/>
      <c r="D216" s="50"/>
      <c r="E216" s="141"/>
      <c r="F216" s="133"/>
      <c r="G216" s="133"/>
      <c r="H216" s="50"/>
      <c r="I216" s="51" t="str">
        <f t="shared" si="10"/>
        <v/>
      </c>
      <c r="J216" s="52" t="str">
        <f t="shared" si="11"/>
        <v/>
      </c>
      <c r="K216" s="142" t="str">
        <f>IF(OR($I216="",$I216="?",$D216&lt;&gt;"Advance",$B216=""),"",$I216&amp;"|"&amp;$J216&amp;"|"&amp;COUNTIFS($I$7:$I216,$I216,$J$7:$J216,$J216,$D$7:$D216,"Advance"))</f>
        <v/>
      </c>
      <c r="L216" s="143" t="str">
        <f>IF(OR($I216="",$I216="?",$B216=""),"",SUMPRODUCT((Weeks!$A$7:$A$59&lt;=$J216)*(Weeks!$X$5:$AI$5=$I216)*Weeks!$X$7:$AI$59)-SUMIFS($E$7:$E$1006,$I$7:$I$1006,$I216,$B$7:$B$1006,"&lt;="&amp;$B216))</f>
        <v/>
      </c>
      <c r="M216" s="132" t="str">
        <f>IF($B216&amp;$C216&amp;$D216&amp;$E216="","",IF($B216="","missing date",IF($C216="","missing worker",IF($I216="?","unknown worker - was the name changed on Workers?",IF($D216="","missing type",IF(N($E216)=0,"missing amount",IF(AND($E216&lt;0,$D216&lt;&gt;"Correction"),"negative amount - use a Correction to undo",IF(OR($B216&lt;Weeks!$A$7,$B216&gt;Weeks!$B$59),"date outside this workbook's year",IF(AND($D216="Advance",N($L216)&lt;0),"Warning: more than earned so far - worker now owes "&amp;TEXT(ROUND(-$L216,0),"#,##0"),"")))))))))</f>
        <v/>
      </c>
      <c r="N216" s="125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</row>
    <row r="217" spans="1:40" s="127" customFormat="1" ht="21" customHeight="1" x14ac:dyDescent="0.25">
      <c r="A217" s="51" t="str">
        <f t="shared" si="9"/>
        <v/>
      </c>
      <c r="B217" s="77"/>
      <c r="C217" s="133"/>
      <c r="D217" s="50"/>
      <c r="E217" s="141"/>
      <c r="F217" s="133"/>
      <c r="G217" s="133"/>
      <c r="H217" s="50"/>
      <c r="I217" s="51" t="str">
        <f t="shared" si="10"/>
        <v/>
      </c>
      <c r="J217" s="52" t="str">
        <f t="shared" si="11"/>
        <v/>
      </c>
      <c r="K217" s="142" t="str">
        <f>IF(OR($I217="",$I217="?",$D217&lt;&gt;"Advance",$B217=""),"",$I217&amp;"|"&amp;$J217&amp;"|"&amp;COUNTIFS($I$7:$I217,$I217,$J$7:$J217,$J217,$D$7:$D217,"Advance"))</f>
        <v/>
      </c>
      <c r="L217" s="143" t="str">
        <f>IF(OR($I217="",$I217="?",$B217=""),"",SUMPRODUCT((Weeks!$A$7:$A$59&lt;=$J217)*(Weeks!$X$5:$AI$5=$I217)*Weeks!$X$7:$AI$59)-SUMIFS($E$7:$E$1006,$I$7:$I$1006,$I217,$B$7:$B$1006,"&lt;="&amp;$B217))</f>
        <v/>
      </c>
      <c r="M217" s="132" t="str">
        <f>IF($B217&amp;$C217&amp;$D217&amp;$E217="","",IF($B217="","missing date",IF($C217="","missing worker",IF($I217="?","unknown worker - was the name changed on Workers?",IF($D217="","missing type",IF(N($E217)=0,"missing amount",IF(AND($E217&lt;0,$D217&lt;&gt;"Correction"),"negative amount - use a Correction to undo",IF(OR($B217&lt;Weeks!$A$7,$B217&gt;Weeks!$B$59),"date outside this workbook's year",IF(AND($D217="Advance",N($L217)&lt;0),"Warning: more than earned so far - worker now owes "&amp;TEXT(ROUND(-$L217,0),"#,##0"),"")))))))))</f>
        <v/>
      </c>
      <c r="N217" s="125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</row>
    <row r="218" spans="1:40" s="127" customFormat="1" ht="21" customHeight="1" x14ac:dyDescent="0.25">
      <c r="A218" s="51" t="str">
        <f t="shared" si="9"/>
        <v/>
      </c>
      <c r="B218" s="77"/>
      <c r="C218" s="133"/>
      <c r="D218" s="50"/>
      <c r="E218" s="141"/>
      <c r="F218" s="133"/>
      <c r="G218" s="133"/>
      <c r="H218" s="50"/>
      <c r="I218" s="51" t="str">
        <f t="shared" si="10"/>
        <v/>
      </c>
      <c r="J218" s="52" t="str">
        <f t="shared" si="11"/>
        <v/>
      </c>
      <c r="K218" s="142" t="str">
        <f>IF(OR($I218="",$I218="?",$D218&lt;&gt;"Advance",$B218=""),"",$I218&amp;"|"&amp;$J218&amp;"|"&amp;COUNTIFS($I$7:$I218,$I218,$J$7:$J218,$J218,$D$7:$D218,"Advance"))</f>
        <v/>
      </c>
      <c r="L218" s="143" t="str">
        <f>IF(OR($I218="",$I218="?",$B218=""),"",SUMPRODUCT((Weeks!$A$7:$A$59&lt;=$J218)*(Weeks!$X$5:$AI$5=$I218)*Weeks!$X$7:$AI$59)-SUMIFS($E$7:$E$1006,$I$7:$I$1006,$I218,$B$7:$B$1006,"&lt;="&amp;$B218))</f>
        <v/>
      </c>
      <c r="M218" s="132" t="str">
        <f>IF($B218&amp;$C218&amp;$D218&amp;$E218="","",IF($B218="","missing date",IF($C218="","missing worker",IF($I218="?","unknown worker - was the name changed on Workers?",IF($D218="","missing type",IF(N($E218)=0,"missing amount",IF(AND($E218&lt;0,$D218&lt;&gt;"Correction"),"negative amount - use a Correction to undo",IF(OR($B218&lt;Weeks!$A$7,$B218&gt;Weeks!$B$59),"date outside this workbook's year",IF(AND($D218="Advance",N($L218)&lt;0),"Warning: more than earned so far - worker now owes "&amp;TEXT(ROUND(-$L218,0),"#,##0"),"")))))))))</f>
        <v/>
      </c>
      <c r="N218" s="125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</row>
    <row r="219" spans="1:40" s="127" customFormat="1" ht="21" customHeight="1" x14ac:dyDescent="0.25">
      <c r="A219" s="51" t="str">
        <f t="shared" si="9"/>
        <v/>
      </c>
      <c r="B219" s="77"/>
      <c r="C219" s="133"/>
      <c r="D219" s="50"/>
      <c r="E219" s="141"/>
      <c r="F219" s="133"/>
      <c r="G219" s="133"/>
      <c r="H219" s="50"/>
      <c r="I219" s="51" t="str">
        <f t="shared" si="10"/>
        <v/>
      </c>
      <c r="J219" s="52" t="str">
        <f t="shared" si="11"/>
        <v/>
      </c>
      <c r="K219" s="142" t="str">
        <f>IF(OR($I219="",$I219="?",$D219&lt;&gt;"Advance",$B219=""),"",$I219&amp;"|"&amp;$J219&amp;"|"&amp;COUNTIFS($I$7:$I219,$I219,$J$7:$J219,$J219,$D$7:$D219,"Advance"))</f>
        <v/>
      </c>
      <c r="L219" s="143" t="str">
        <f>IF(OR($I219="",$I219="?",$B219=""),"",SUMPRODUCT((Weeks!$A$7:$A$59&lt;=$J219)*(Weeks!$X$5:$AI$5=$I219)*Weeks!$X$7:$AI$59)-SUMIFS($E$7:$E$1006,$I$7:$I$1006,$I219,$B$7:$B$1006,"&lt;="&amp;$B219))</f>
        <v/>
      </c>
      <c r="M219" s="132" t="str">
        <f>IF($B219&amp;$C219&amp;$D219&amp;$E219="","",IF($B219="","missing date",IF($C219="","missing worker",IF($I219="?","unknown worker - was the name changed on Workers?",IF($D219="","missing type",IF(N($E219)=0,"missing amount",IF(AND($E219&lt;0,$D219&lt;&gt;"Correction"),"negative amount - use a Correction to undo",IF(OR($B219&lt;Weeks!$A$7,$B219&gt;Weeks!$B$59),"date outside this workbook's year",IF(AND($D219="Advance",N($L219)&lt;0),"Warning: more than earned so far - worker now owes "&amp;TEXT(ROUND(-$L219,0),"#,##0"),"")))))))))</f>
        <v/>
      </c>
      <c r="N219" s="125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</row>
    <row r="220" spans="1:40" s="127" customFormat="1" ht="21" customHeight="1" x14ac:dyDescent="0.25">
      <c r="A220" s="51" t="str">
        <f t="shared" si="9"/>
        <v/>
      </c>
      <c r="B220" s="77"/>
      <c r="C220" s="133"/>
      <c r="D220" s="50"/>
      <c r="E220" s="141"/>
      <c r="F220" s="133"/>
      <c r="G220" s="133"/>
      <c r="H220" s="50"/>
      <c r="I220" s="51" t="str">
        <f t="shared" si="10"/>
        <v/>
      </c>
      <c r="J220" s="52" t="str">
        <f t="shared" si="11"/>
        <v/>
      </c>
      <c r="K220" s="142" t="str">
        <f>IF(OR($I220="",$I220="?",$D220&lt;&gt;"Advance",$B220=""),"",$I220&amp;"|"&amp;$J220&amp;"|"&amp;COUNTIFS($I$7:$I220,$I220,$J$7:$J220,$J220,$D$7:$D220,"Advance"))</f>
        <v/>
      </c>
      <c r="L220" s="143" t="str">
        <f>IF(OR($I220="",$I220="?",$B220=""),"",SUMPRODUCT((Weeks!$A$7:$A$59&lt;=$J220)*(Weeks!$X$5:$AI$5=$I220)*Weeks!$X$7:$AI$59)-SUMIFS($E$7:$E$1006,$I$7:$I$1006,$I220,$B$7:$B$1006,"&lt;="&amp;$B220))</f>
        <v/>
      </c>
      <c r="M220" s="132" t="str">
        <f>IF($B220&amp;$C220&amp;$D220&amp;$E220="","",IF($B220="","missing date",IF($C220="","missing worker",IF($I220="?","unknown worker - was the name changed on Workers?",IF($D220="","missing type",IF(N($E220)=0,"missing amount",IF(AND($E220&lt;0,$D220&lt;&gt;"Correction"),"negative amount - use a Correction to undo",IF(OR($B220&lt;Weeks!$A$7,$B220&gt;Weeks!$B$59),"date outside this workbook's year",IF(AND($D220="Advance",N($L220)&lt;0),"Warning: more than earned so far - worker now owes "&amp;TEXT(ROUND(-$L220,0),"#,##0"),"")))))))))</f>
        <v/>
      </c>
      <c r="N220" s="125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</row>
    <row r="221" spans="1:40" s="127" customFormat="1" ht="21" customHeight="1" x14ac:dyDescent="0.25">
      <c r="A221" s="51" t="str">
        <f t="shared" si="9"/>
        <v/>
      </c>
      <c r="B221" s="77"/>
      <c r="C221" s="133"/>
      <c r="D221" s="50"/>
      <c r="E221" s="141"/>
      <c r="F221" s="133"/>
      <c r="G221" s="133"/>
      <c r="H221" s="50"/>
      <c r="I221" s="51" t="str">
        <f t="shared" si="10"/>
        <v/>
      </c>
      <c r="J221" s="52" t="str">
        <f t="shared" si="11"/>
        <v/>
      </c>
      <c r="K221" s="142" t="str">
        <f>IF(OR($I221="",$I221="?",$D221&lt;&gt;"Advance",$B221=""),"",$I221&amp;"|"&amp;$J221&amp;"|"&amp;COUNTIFS($I$7:$I221,$I221,$J$7:$J221,$J221,$D$7:$D221,"Advance"))</f>
        <v/>
      </c>
      <c r="L221" s="143" t="str">
        <f>IF(OR($I221="",$I221="?",$B221=""),"",SUMPRODUCT((Weeks!$A$7:$A$59&lt;=$J221)*(Weeks!$X$5:$AI$5=$I221)*Weeks!$X$7:$AI$59)-SUMIFS($E$7:$E$1006,$I$7:$I$1006,$I221,$B$7:$B$1006,"&lt;="&amp;$B221))</f>
        <v/>
      </c>
      <c r="M221" s="132" t="str">
        <f>IF($B221&amp;$C221&amp;$D221&amp;$E221="","",IF($B221="","missing date",IF($C221="","missing worker",IF($I221="?","unknown worker - was the name changed on Workers?",IF($D221="","missing type",IF(N($E221)=0,"missing amount",IF(AND($E221&lt;0,$D221&lt;&gt;"Correction"),"negative amount - use a Correction to undo",IF(OR($B221&lt;Weeks!$A$7,$B221&gt;Weeks!$B$59),"date outside this workbook's year",IF(AND($D221="Advance",N($L221)&lt;0),"Warning: more than earned so far - worker now owes "&amp;TEXT(ROUND(-$L221,0),"#,##0"),"")))))))))</f>
        <v/>
      </c>
      <c r="N221" s="125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</row>
    <row r="222" spans="1:40" s="127" customFormat="1" ht="21" customHeight="1" x14ac:dyDescent="0.25">
      <c r="A222" s="51" t="str">
        <f t="shared" si="9"/>
        <v/>
      </c>
      <c r="B222" s="77"/>
      <c r="C222" s="133"/>
      <c r="D222" s="50"/>
      <c r="E222" s="141"/>
      <c r="F222" s="133"/>
      <c r="G222" s="133"/>
      <c r="H222" s="50"/>
      <c r="I222" s="51" t="str">
        <f t="shared" si="10"/>
        <v/>
      </c>
      <c r="J222" s="52" t="str">
        <f t="shared" si="11"/>
        <v/>
      </c>
      <c r="K222" s="142" t="str">
        <f>IF(OR($I222="",$I222="?",$D222&lt;&gt;"Advance",$B222=""),"",$I222&amp;"|"&amp;$J222&amp;"|"&amp;COUNTIFS($I$7:$I222,$I222,$J$7:$J222,$J222,$D$7:$D222,"Advance"))</f>
        <v/>
      </c>
      <c r="L222" s="143" t="str">
        <f>IF(OR($I222="",$I222="?",$B222=""),"",SUMPRODUCT((Weeks!$A$7:$A$59&lt;=$J222)*(Weeks!$X$5:$AI$5=$I222)*Weeks!$X$7:$AI$59)-SUMIFS($E$7:$E$1006,$I$7:$I$1006,$I222,$B$7:$B$1006,"&lt;="&amp;$B222))</f>
        <v/>
      </c>
      <c r="M222" s="132" t="str">
        <f>IF($B222&amp;$C222&amp;$D222&amp;$E222="","",IF($B222="","missing date",IF($C222="","missing worker",IF($I222="?","unknown worker - was the name changed on Workers?",IF($D222="","missing type",IF(N($E222)=0,"missing amount",IF(AND($E222&lt;0,$D222&lt;&gt;"Correction"),"negative amount - use a Correction to undo",IF(OR($B222&lt;Weeks!$A$7,$B222&gt;Weeks!$B$59),"date outside this workbook's year",IF(AND($D222="Advance",N($L222)&lt;0),"Warning: more than earned so far - worker now owes "&amp;TEXT(ROUND(-$L222,0),"#,##0"),"")))))))))</f>
        <v/>
      </c>
      <c r="N222" s="125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</row>
    <row r="223" spans="1:40" s="127" customFormat="1" ht="21" customHeight="1" x14ac:dyDescent="0.25">
      <c r="A223" s="51" t="str">
        <f t="shared" si="9"/>
        <v/>
      </c>
      <c r="B223" s="77"/>
      <c r="C223" s="133"/>
      <c r="D223" s="50"/>
      <c r="E223" s="141"/>
      <c r="F223" s="133"/>
      <c r="G223" s="133"/>
      <c r="H223" s="50"/>
      <c r="I223" s="51" t="str">
        <f t="shared" si="10"/>
        <v/>
      </c>
      <c r="J223" s="52" t="str">
        <f t="shared" si="11"/>
        <v/>
      </c>
      <c r="K223" s="142" t="str">
        <f>IF(OR($I223="",$I223="?",$D223&lt;&gt;"Advance",$B223=""),"",$I223&amp;"|"&amp;$J223&amp;"|"&amp;COUNTIFS($I$7:$I223,$I223,$J$7:$J223,$J223,$D$7:$D223,"Advance"))</f>
        <v/>
      </c>
      <c r="L223" s="143" t="str">
        <f>IF(OR($I223="",$I223="?",$B223=""),"",SUMPRODUCT((Weeks!$A$7:$A$59&lt;=$J223)*(Weeks!$X$5:$AI$5=$I223)*Weeks!$X$7:$AI$59)-SUMIFS($E$7:$E$1006,$I$7:$I$1006,$I223,$B$7:$B$1006,"&lt;="&amp;$B223))</f>
        <v/>
      </c>
      <c r="M223" s="132" t="str">
        <f>IF($B223&amp;$C223&amp;$D223&amp;$E223="","",IF($B223="","missing date",IF($C223="","missing worker",IF($I223="?","unknown worker - was the name changed on Workers?",IF($D223="","missing type",IF(N($E223)=0,"missing amount",IF(AND($E223&lt;0,$D223&lt;&gt;"Correction"),"negative amount - use a Correction to undo",IF(OR($B223&lt;Weeks!$A$7,$B223&gt;Weeks!$B$59),"date outside this workbook's year",IF(AND($D223="Advance",N($L223)&lt;0),"Warning: more than earned so far - worker now owes "&amp;TEXT(ROUND(-$L223,0),"#,##0"),"")))))))))</f>
        <v/>
      </c>
      <c r="N223" s="125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</row>
    <row r="224" spans="1:40" s="127" customFormat="1" ht="21" customHeight="1" x14ac:dyDescent="0.25">
      <c r="A224" s="51" t="str">
        <f t="shared" si="9"/>
        <v/>
      </c>
      <c r="B224" s="77"/>
      <c r="C224" s="133"/>
      <c r="D224" s="50"/>
      <c r="E224" s="141"/>
      <c r="F224" s="133"/>
      <c r="G224" s="133"/>
      <c r="H224" s="50"/>
      <c r="I224" s="51" t="str">
        <f t="shared" si="10"/>
        <v/>
      </c>
      <c r="J224" s="52" t="str">
        <f t="shared" si="11"/>
        <v/>
      </c>
      <c r="K224" s="142" t="str">
        <f>IF(OR($I224="",$I224="?",$D224&lt;&gt;"Advance",$B224=""),"",$I224&amp;"|"&amp;$J224&amp;"|"&amp;COUNTIFS($I$7:$I224,$I224,$J$7:$J224,$J224,$D$7:$D224,"Advance"))</f>
        <v/>
      </c>
      <c r="L224" s="143" t="str">
        <f>IF(OR($I224="",$I224="?",$B224=""),"",SUMPRODUCT((Weeks!$A$7:$A$59&lt;=$J224)*(Weeks!$X$5:$AI$5=$I224)*Weeks!$X$7:$AI$59)-SUMIFS($E$7:$E$1006,$I$7:$I$1006,$I224,$B$7:$B$1006,"&lt;="&amp;$B224))</f>
        <v/>
      </c>
      <c r="M224" s="132" t="str">
        <f>IF($B224&amp;$C224&amp;$D224&amp;$E224="","",IF($B224="","missing date",IF($C224="","missing worker",IF($I224="?","unknown worker - was the name changed on Workers?",IF($D224="","missing type",IF(N($E224)=0,"missing amount",IF(AND($E224&lt;0,$D224&lt;&gt;"Correction"),"negative amount - use a Correction to undo",IF(OR($B224&lt;Weeks!$A$7,$B224&gt;Weeks!$B$59),"date outside this workbook's year",IF(AND($D224="Advance",N($L224)&lt;0),"Warning: more than earned so far - worker now owes "&amp;TEXT(ROUND(-$L224,0),"#,##0"),"")))))))))</f>
        <v/>
      </c>
      <c r="N224" s="125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</row>
    <row r="225" spans="1:40" s="127" customFormat="1" ht="21" customHeight="1" x14ac:dyDescent="0.25">
      <c r="A225" s="51" t="str">
        <f t="shared" si="9"/>
        <v/>
      </c>
      <c r="B225" s="77"/>
      <c r="C225" s="133"/>
      <c r="D225" s="50"/>
      <c r="E225" s="141"/>
      <c r="F225" s="133"/>
      <c r="G225" s="133"/>
      <c r="H225" s="50"/>
      <c r="I225" s="51" t="str">
        <f t="shared" si="10"/>
        <v/>
      </c>
      <c r="J225" s="52" t="str">
        <f t="shared" si="11"/>
        <v/>
      </c>
      <c r="K225" s="142" t="str">
        <f>IF(OR($I225="",$I225="?",$D225&lt;&gt;"Advance",$B225=""),"",$I225&amp;"|"&amp;$J225&amp;"|"&amp;COUNTIFS($I$7:$I225,$I225,$J$7:$J225,$J225,$D$7:$D225,"Advance"))</f>
        <v/>
      </c>
      <c r="L225" s="143" t="str">
        <f>IF(OR($I225="",$I225="?",$B225=""),"",SUMPRODUCT((Weeks!$A$7:$A$59&lt;=$J225)*(Weeks!$X$5:$AI$5=$I225)*Weeks!$X$7:$AI$59)-SUMIFS($E$7:$E$1006,$I$7:$I$1006,$I225,$B$7:$B$1006,"&lt;="&amp;$B225))</f>
        <v/>
      </c>
      <c r="M225" s="132" t="str">
        <f>IF($B225&amp;$C225&amp;$D225&amp;$E225="","",IF($B225="","missing date",IF($C225="","missing worker",IF($I225="?","unknown worker - was the name changed on Workers?",IF($D225="","missing type",IF(N($E225)=0,"missing amount",IF(AND($E225&lt;0,$D225&lt;&gt;"Correction"),"negative amount - use a Correction to undo",IF(OR($B225&lt;Weeks!$A$7,$B225&gt;Weeks!$B$59),"date outside this workbook's year",IF(AND($D225="Advance",N($L225)&lt;0),"Warning: more than earned so far - worker now owes "&amp;TEXT(ROUND(-$L225,0),"#,##0"),"")))))))))</f>
        <v/>
      </c>
      <c r="N225" s="125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</row>
    <row r="226" spans="1:40" s="127" customFormat="1" ht="21" customHeight="1" x14ac:dyDescent="0.25">
      <c r="A226" s="51" t="str">
        <f t="shared" si="9"/>
        <v/>
      </c>
      <c r="B226" s="77"/>
      <c r="C226" s="133"/>
      <c r="D226" s="50"/>
      <c r="E226" s="141"/>
      <c r="F226" s="133"/>
      <c r="G226" s="133"/>
      <c r="H226" s="50"/>
      <c r="I226" s="51" t="str">
        <f t="shared" si="10"/>
        <v/>
      </c>
      <c r="J226" s="52" t="str">
        <f t="shared" si="11"/>
        <v/>
      </c>
      <c r="K226" s="142" t="str">
        <f>IF(OR($I226="",$I226="?",$D226&lt;&gt;"Advance",$B226=""),"",$I226&amp;"|"&amp;$J226&amp;"|"&amp;COUNTIFS($I$7:$I226,$I226,$J$7:$J226,$J226,$D$7:$D226,"Advance"))</f>
        <v/>
      </c>
      <c r="L226" s="143" t="str">
        <f>IF(OR($I226="",$I226="?",$B226=""),"",SUMPRODUCT((Weeks!$A$7:$A$59&lt;=$J226)*(Weeks!$X$5:$AI$5=$I226)*Weeks!$X$7:$AI$59)-SUMIFS($E$7:$E$1006,$I$7:$I$1006,$I226,$B$7:$B$1006,"&lt;="&amp;$B226))</f>
        <v/>
      </c>
      <c r="M226" s="132" t="str">
        <f>IF($B226&amp;$C226&amp;$D226&amp;$E226="","",IF($B226="","missing date",IF($C226="","missing worker",IF($I226="?","unknown worker - was the name changed on Workers?",IF($D226="","missing type",IF(N($E226)=0,"missing amount",IF(AND($E226&lt;0,$D226&lt;&gt;"Correction"),"negative amount - use a Correction to undo",IF(OR($B226&lt;Weeks!$A$7,$B226&gt;Weeks!$B$59),"date outside this workbook's year",IF(AND($D226="Advance",N($L226)&lt;0),"Warning: more than earned so far - worker now owes "&amp;TEXT(ROUND(-$L226,0),"#,##0"),"")))))))))</f>
        <v/>
      </c>
      <c r="N226" s="125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</row>
    <row r="227" spans="1:40" s="127" customFormat="1" ht="21" customHeight="1" x14ac:dyDescent="0.25">
      <c r="A227" s="51" t="str">
        <f t="shared" si="9"/>
        <v/>
      </c>
      <c r="B227" s="77"/>
      <c r="C227" s="133"/>
      <c r="D227" s="50"/>
      <c r="E227" s="141"/>
      <c r="F227" s="133"/>
      <c r="G227" s="133"/>
      <c r="H227" s="50"/>
      <c r="I227" s="51" t="str">
        <f t="shared" si="10"/>
        <v/>
      </c>
      <c r="J227" s="52" t="str">
        <f t="shared" si="11"/>
        <v/>
      </c>
      <c r="K227" s="142" t="str">
        <f>IF(OR($I227="",$I227="?",$D227&lt;&gt;"Advance",$B227=""),"",$I227&amp;"|"&amp;$J227&amp;"|"&amp;COUNTIFS($I$7:$I227,$I227,$J$7:$J227,$J227,$D$7:$D227,"Advance"))</f>
        <v/>
      </c>
      <c r="L227" s="143" t="str">
        <f>IF(OR($I227="",$I227="?",$B227=""),"",SUMPRODUCT((Weeks!$A$7:$A$59&lt;=$J227)*(Weeks!$X$5:$AI$5=$I227)*Weeks!$X$7:$AI$59)-SUMIFS($E$7:$E$1006,$I$7:$I$1006,$I227,$B$7:$B$1006,"&lt;="&amp;$B227))</f>
        <v/>
      </c>
      <c r="M227" s="132" t="str">
        <f>IF($B227&amp;$C227&amp;$D227&amp;$E227="","",IF($B227="","missing date",IF($C227="","missing worker",IF($I227="?","unknown worker - was the name changed on Workers?",IF($D227="","missing type",IF(N($E227)=0,"missing amount",IF(AND($E227&lt;0,$D227&lt;&gt;"Correction"),"negative amount - use a Correction to undo",IF(OR($B227&lt;Weeks!$A$7,$B227&gt;Weeks!$B$59),"date outside this workbook's year",IF(AND($D227="Advance",N($L227)&lt;0),"Warning: more than earned so far - worker now owes "&amp;TEXT(ROUND(-$L227,0),"#,##0"),"")))))))))</f>
        <v/>
      </c>
      <c r="N227" s="125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</row>
    <row r="228" spans="1:40" s="127" customFormat="1" ht="21" customHeight="1" x14ac:dyDescent="0.25">
      <c r="A228" s="51" t="str">
        <f t="shared" si="9"/>
        <v/>
      </c>
      <c r="B228" s="77"/>
      <c r="C228" s="133"/>
      <c r="D228" s="50"/>
      <c r="E228" s="141"/>
      <c r="F228" s="133"/>
      <c r="G228" s="133"/>
      <c r="H228" s="50"/>
      <c r="I228" s="51" t="str">
        <f t="shared" si="10"/>
        <v/>
      </c>
      <c r="J228" s="52" t="str">
        <f t="shared" si="11"/>
        <v/>
      </c>
      <c r="K228" s="142" t="str">
        <f>IF(OR($I228="",$I228="?",$D228&lt;&gt;"Advance",$B228=""),"",$I228&amp;"|"&amp;$J228&amp;"|"&amp;COUNTIFS($I$7:$I228,$I228,$J$7:$J228,$J228,$D$7:$D228,"Advance"))</f>
        <v/>
      </c>
      <c r="L228" s="143" t="str">
        <f>IF(OR($I228="",$I228="?",$B228=""),"",SUMPRODUCT((Weeks!$A$7:$A$59&lt;=$J228)*(Weeks!$X$5:$AI$5=$I228)*Weeks!$X$7:$AI$59)-SUMIFS($E$7:$E$1006,$I$7:$I$1006,$I228,$B$7:$B$1006,"&lt;="&amp;$B228))</f>
        <v/>
      </c>
      <c r="M228" s="132" t="str">
        <f>IF($B228&amp;$C228&amp;$D228&amp;$E228="","",IF($B228="","missing date",IF($C228="","missing worker",IF($I228="?","unknown worker - was the name changed on Workers?",IF($D228="","missing type",IF(N($E228)=0,"missing amount",IF(AND($E228&lt;0,$D228&lt;&gt;"Correction"),"negative amount - use a Correction to undo",IF(OR($B228&lt;Weeks!$A$7,$B228&gt;Weeks!$B$59),"date outside this workbook's year",IF(AND($D228="Advance",N($L228)&lt;0),"Warning: more than earned so far - worker now owes "&amp;TEXT(ROUND(-$L228,0),"#,##0"),"")))))))))</f>
        <v/>
      </c>
      <c r="N228" s="125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</row>
    <row r="229" spans="1:40" s="127" customFormat="1" ht="21" customHeight="1" x14ac:dyDescent="0.25">
      <c r="A229" s="51" t="str">
        <f t="shared" si="9"/>
        <v/>
      </c>
      <c r="B229" s="77"/>
      <c r="C229" s="133"/>
      <c r="D229" s="50"/>
      <c r="E229" s="141"/>
      <c r="F229" s="133"/>
      <c r="G229" s="133"/>
      <c r="H229" s="50"/>
      <c r="I229" s="51" t="str">
        <f t="shared" si="10"/>
        <v/>
      </c>
      <c r="J229" s="52" t="str">
        <f t="shared" si="11"/>
        <v/>
      </c>
      <c r="K229" s="142" t="str">
        <f>IF(OR($I229="",$I229="?",$D229&lt;&gt;"Advance",$B229=""),"",$I229&amp;"|"&amp;$J229&amp;"|"&amp;COUNTIFS($I$7:$I229,$I229,$J$7:$J229,$J229,$D$7:$D229,"Advance"))</f>
        <v/>
      </c>
      <c r="L229" s="143" t="str">
        <f>IF(OR($I229="",$I229="?",$B229=""),"",SUMPRODUCT((Weeks!$A$7:$A$59&lt;=$J229)*(Weeks!$X$5:$AI$5=$I229)*Weeks!$X$7:$AI$59)-SUMIFS($E$7:$E$1006,$I$7:$I$1006,$I229,$B$7:$B$1006,"&lt;="&amp;$B229))</f>
        <v/>
      </c>
      <c r="M229" s="132" t="str">
        <f>IF($B229&amp;$C229&amp;$D229&amp;$E229="","",IF($B229="","missing date",IF($C229="","missing worker",IF($I229="?","unknown worker - was the name changed on Workers?",IF($D229="","missing type",IF(N($E229)=0,"missing amount",IF(AND($E229&lt;0,$D229&lt;&gt;"Correction"),"negative amount - use a Correction to undo",IF(OR($B229&lt;Weeks!$A$7,$B229&gt;Weeks!$B$59),"date outside this workbook's year",IF(AND($D229="Advance",N($L229)&lt;0),"Warning: more than earned so far - worker now owes "&amp;TEXT(ROUND(-$L229,0),"#,##0"),"")))))))))</f>
        <v/>
      </c>
      <c r="N229" s="125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</row>
    <row r="230" spans="1:40" s="127" customFormat="1" ht="21" customHeight="1" x14ac:dyDescent="0.25">
      <c r="A230" s="51" t="str">
        <f t="shared" si="9"/>
        <v/>
      </c>
      <c r="B230" s="77"/>
      <c r="C230" s="133"/>
      <c r="D230" s="50"/>
      <c r="E230" s="141"/>
      <c r="F230" s="133"/>
      <c r="G230" s="133"/>
      <c r="H230" s="50"/>
      <c r="I230" s="51" t="str">
        <f t="shared" si="10"/>
        <v/>
      </c>
      <c r="J230" s="52" t="str">
        <f t="shared" si="11"/>
        <v/>
      </c>
      <c r="K230" s="142" t="str">
        <f>IF(OR($I230="",$I230="?",$D230&lt;&gt;"Advance",$B230=""),"",$I230&amp;"|"&amp;$J230&amp;"|"&amp;COUNTIFS($I$7:$I230,$I230,$J$7:$J230,$J230,$D$7:$D230,"Advance"))</f>
        <v/>
      </c>
      <c r="L230" s="143" t="str">
        <f>IF(OR($I230="",$I230="?",$B230=""),"",SUMPRODUCT((Weeks!$A$7:$A$59&lt;=$J230)*(Weeks!$X$5:$AI$5=$I230)*Weeks!$X$7:$AI$59)-SUMIFS($E$7:$E$1006,$I$7:$I$1006,$I230,$B$7:$B$1006,"&lt;="&amp;$B230))</f>
        <v/>
      </c>
      <c r="M230" s="132" t="str">
        <f>IF($B230&amp;$C230&amp;$D230&amp;$E230="","",IF($B230="","missing date",IF($C230="","missing worker",IF($I230="?","unknown worker - was the name changed on Workers?",IF($D230="","missing type",IF(N($E230)=0,"missing amount",IF(AND($E230&lt;0,$D230&lt;&gt;"Correction"),"negative amount - use a Correction to undo",IF(OR($B230&lt;Weeks!$A$7,$B230&gt;Weeks!$B$59),"date outside this workbook's year",IF(AND($D230="Advance",N($L230)&lt;0),"Warning: more than earned so far - worker now owes "&amp;TEXT(ROUND(-$L230,0),"#,##0"),"")))))))))</f>
        <v/>
      </c>
      <c r="N230" s="125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</row>
    <row r="231" spans="1:40" s="127" customFormat="1" ht="21" customHeight="1" x14ac:dyDescent="0.25">
      <c r="A231" s="51" t="str">
        <f t="shared" si="9"/>
        <v/>
      </c>
      <c r="B231" s="77"/>
      <c r="C231" s="133"/>
      <c r="D231" s="50"/>
      <c r="E231" s="141"/>
      <c r="F231" s="133"/>
      <c r="G231" s="133"/>
      <c r="H231" s="50"/>
      <c r="I231" s="51" t="str">
        <f t="shared" si="10"/>
        <v/>
      </c>
      <c r="J231" s="52" t="str">
        <f t="shared" si="11"/>
        <v/>
      </c>
      <c r="K231" s="142" t="str">
        <f>IF(OR($I231="",$I231="?",$D231&lt;&gt;"Advance",$B231=""),"",$I231&amp;"|"&amp;$J231&amp;"|"&amp;COUNTIFS($I$7:$I231,$I231,$J$7:$J231,$J231,$D$7:$D231,"Advance"))</f>
        <v/>
      </c>
      <c r="L231" s="143" t="str">
        <f>IF(OR($I231="",$I231="?",$B231=""),"",SUMPRODUCT((Weeks!$A$7:$A$59&lt;=$J231)*(Weeks!$X$5:$AI$5=$I231)*Weeks!$X$7:$AI$59)-SUMIFS($E$7:$E$1006,$I$7:$I$1006,$I231,$B$7:$B$1006,"&lt;="&amp;$B231))</f>
        <v/>
      </c>
      <c r="M231" s="132" t="str">
        <f>IF($B231&amp;$C231&amp;$D231&amp;$E231="","",IF($B231="","missing date",IF($C231="","missing worker",IF($I231="?","unknown worker - was the name changed on Workers?",IF($D231="","missing type",IF(N($E231)=0,"missing amount",IF(AND($E231&lt;0,$D231&lt;&gt;"Correction"),"negative amount - use a Correction to undo",IF(OR($B231&lt;Weeks!$A$7,$B231&gt;Weeks!$B$59),"date outside this workbook's year",IF(AND($D231="Advance",N($L231)&lt;0),"Warning: more than earned so far - worker now owes "&amp;TEXT(ROUND(-$L231,0),"#,##0"),"")))))))))</f>
        <v/>
      </c>
      <c r="N231" s="125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</row>
    <row r="232" spans="1:40" s="127" customFormat="1" ht="21" customHeight="1" x14ac:dyDescent="0.25">
      <c r="A232" s="51" t="str">
        <f t="shared" si="9"/>
        <v/>
      </c>
      <c r="B232" s="77"/>
      <c r="C232" s="133"/>
      <c r="D232" s="50"/>
      <c r="E232" s="141"/>
      <c r="F232" s="133"/>
      <c r="G232" s="133"/>
      <c r="H232" s="50"/>
      <c r="I232" s="51" t="str">
        <f t="shared" si="10"/>
        <v/>
      </c>
      <c r="J232" s="52" t="str">
        <f t="shared" si="11"/>
        <v/>
      </c>
      <c r="K232" s="142" t="str">
        <f>IF(OR($I232="",$I232="?",$D232&lt;&gt;"Advance",$B232=""),"",$I232&amp;"|"&amp;$J232&amp;"|"&amp;COUNTIFS($I$7:$I232,$I232,$J$7:$J232,$J232,$D$7:$D232,"Advance"))</f>
        <v/>
      </c>
      <c r="L232" s="143" t="str">
        <f>IF(OR($I232="",$I232="?",$B232=""),"",SUMPRODUCT((Weeks!$A$7:$A$59&lt;=$J232)*(Weeks!$X$5:$AI$5=$I232)*Weeks!$X$7:$AI$59)-SUMIFS($E$7:$E$1006,$I$7:$I$1006,$I232,$B$7:$B$1006,"&lt;="&amp;$B232))</f>
        <v/>
      </c>
      <c r="M232" s="132" t="str">
        <f>IF($B232&amp;$C232&amp;$D232&amp;$E232="","",IF($B232="","missing date",IF($C232="","missing worker",IF($I232="?","unknown worker - was the name changed on Workers?",IF($D232="","missing type",IF(N($E232)=0,"missing amount",IF(AND($E232&lt;0,$D232&lt;&gt;"Correction"),"negative amount - use a Correction to undo",IF(OR($B232&lt;Weeks!$A$7,$B232&gt;Weeks!$B$59),"date outside this workbook's year",IF(AND($D232="Advance",N($L232)&lt;0),"Warning: more than earned so far - worker now owes "&amp;TEXT(ROUND(-$L232,0),"#,##0"),"")))))))))</f>
        <v/>
      </c>
      <c r="N232" s="125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</row>
    <row r="233" spans="1:40" s="127" customFormat="1" ht="21" customHeight="1" x14ac:dyDescent="0.25">
      <c r="A233" s="51" t="str">
        <f t="shared" si="9"/>
        <v/>
      </c>
      <c r="B233" s="77"/>
      <c r="C233" s="133"/>
      <c r="D233" s="50"/>
      <c r="E233" s="141"/>
      <c r="F233" s="133"/>
      <c r="G233" s="133"/>
      <c r="H233" s="50"/>
      <c r="I233" s="51" t="str">
        <f t="shared" si="10"/>
        <v/>
      </c>
      <c r="J233" s="52" t="str">
        <f t="shared" si="11"/>
        <v/>
      </c>
      <c r="K233" s="142" t="str">
        <f>IF(OR($I233="",$I233="?",$D233&lt;&gt;"Advance",$B233=""),"",$I233&amp;"|"&amp;$J233&amp;"|"&amp;COUNTIFS($I$7:$I233,$I233,$J$7:$J233,$J233,$D$7:$D233,"Advance"))</f>
        <v/>
      </c>
      <c r="L233" s="143" t="str">
        <f>IF(OR($I233="",$I233="?",$B233=""),"",SUMPRODUCT((Weeks!$A$7:$A$59&lt;=$J233)*(Weeks!$X$5:$AI$5=$I233)*Weeks!$X$7:$AI$59)-SUMIFS($E$7:$E$1006,$I$7:$I$1006,$I233,$B$7:$B$1006,"&lt;="&amp;$B233))</f>
        <v/>
      </c>
      <c r="M233" s="132" t="str">
        <f>IF($B233&amp;$C233&amp;$D233&amp;$E233="","",IF($B233="","missing date",IF($C233="","missing worker",IF($I233="?","unknown worker - was the name changed on Workers?",IF($D233="","missing type",IF(N($E233)=0,"missing amount",IF(AND($E233&lt;0,$D233&lt;&gt;"Correction"),"negative amount - use a Correction to undo",IF(OR($B233&lt;Weeks!$A$7,$B233&gt;Weeks!$B$59),"date outside this workbook's year",IF(AND($D233="Advance",N($L233)&lt;0),"Warning: more than earned so far - worker now owes "&amp;TEXT(ROUND(-$L233,0),"#,##0"),"")))))))))</f>
        <v/>
      </c>
      <c r="N233" s="125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</row>
    <row r="234" spans="1:40" s="127" customFormat="1" ht="21" customHeight="1" x14ac:dyDescent="0.25">
      <c r="A234" s="51" t="str">
        <f t="shared" si="9"/>
        <v/>
      </c>
      <c r="B234" s="77"/>
      <c r="C234" s="133"/>
      <c r="D234" s="50"/>
      <c r="E234" s="141"/>
      <c r="F234" s="133"/>
      <c r="G234" s="133"/>
      <c r="H234" s="50"/>
      <c r="I234" s="51" t="str">
        <f t="shared" si="10"/>
        <v/>
      </c>
      <c r="J234" s="52" t="str">
        <f t="shared" si="11"/>
        <v/>
      </c>
      <c r="K234" s="142" t="str">
        <f>IF(OR($I234="",$I234="?",$D234&lt;&gt;"Advance",$B234=""),"",$I234&amp;"|"&amp;$J234&amp;"|"&amp;COUNTIFS($I$7:$I234,$I234,$J$7:$J234,$J234,$D$7:$D234,"Advance"))</f>
        <v/>
      </c>
      <c r="L234" s="143" t="str">
        <f>IF(OR($I234="",$I234="?",$B234=""),"",SUMPRODUCT((Weeks!$A$7:$A$59&lt;=$J234)*(Weeks!$X$5:$AI$5=$I234)*Weeks!$X$7:$AI$59)-SUMIFS($E$7:$E$1006,$I$7:$I$1006,$I234,$B$7:$B$1006,"&lt;="&amp;$B234))</f>
        <v/>
      </c>
      <c r="M234" s="132" t="str">
        <f>IF($B234&amp;$C234&amp;$D234&amp;$E234="","",IF($B234="","missing date",IF($C234="","missing worker",IF($I234="?","unknown worker - was the name changed on Workers?",IF($D234="","missing type",IF(N($E234)=0,"missing amount",IF(AND($E234&lt;0,$D234&lt;&gt;"Correction"),"negative amount - use a Correction to undo",IF(OR($B234&lt;Weeks!$A$7,$B234&gt;Weeks!$B$59),"date outside this workbook's year",IF(AND($D234="Advance",N($L234)&lt;0),"Warning: more than earned so far - worker now owes "&amp;TEXT(ROUND(-$L234,0),"#,##0"),"")))))))))</f>
        <v/>
      </c>
      <c r="N234" s="125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</row>
    <row r="235" spans="1:40" s="127" customFormat="1" ht="21" customHeight="1" x14ac:dyDescent="0.25">
      <c r="A235" s="51" t="str">
        <f t="shared" si="9"/>
        <v/>
      </c>
      <c r="B235" s="77"/>
      <c r="C235" s="133"/>
      <c r="D235" s="50"/>
      <c r="E235" s="141"/>
      <c r="F235" s="133"/>
      <c r="G235" s="133"/>
      <c r="H235" s="50"/>
      <c r="I235" s="51" t="str">
        <f t="shared" si="10"/>
        <v/>
      </c>
      <c r="J235" s="52" t="str">
        <f t="shared" si="11"/>
        <v/>
      </c>
      <c r="K235" s="142" t="str">
        <f>IF(OR($I235="",$I235="?",$D235&lt;&gt;"Advance",$B235=""),"",$I235&amp;"|"&amp;$J235&amp;"|"&amp;COUNTIFS($I$7:$I235,$I235,$J$7:$J235,$J235,$D$7:$D235,"Advance"))</f>
        <v/>
      </c>
      <c r="L235" s="143" t="str">
        <f>IF(OR($I235="",$I235="?",$B235=""),"",SUMPRODUCT((Weeks!$A$7:$A$59&lt;=$J235)*(Weeks!$X$5:$AI$5=$I235)*Weeks!$X$7:$AI$59)-SUMIFS($E$7:$E$1006,$I$7:$I$1006,$I235,$B$7:$B$1006,"&lt;="&amp;$B235))</f>
        <v/>
      </c>
      <c r="M235" s="132" t="str">
        <f>IF($B235&amp;$C235&amp;$D235&amp;$E235="","",IF($B235="","missing date",IF($C235="","missing worker",IF($I235="?","unknown worker - was the name changed on Workers?",IF($D235="","missing type",IF(N($E235)=0,"missing amount",IF(AND($E235&lt;0,$D235&lt;&gt;"Correction"),"negative amount - use a Correction to undo",IF(OR($B235&lt;Weeks!$A$7,$B235&gt;Weeks!$B$59),"date outside this workbook's year",IF(AND($D235="Advance",N($L235)&lt;0),"Warning: more than earned so far - worker now owes "&amp;TEXT(ROUND(-$L235,0),"#,##0"),"")))))))))</f>
        <v/>
      </c>
      <c r="N235" s="125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</row>
    <row r="236" spans="1:40" s="127" customFormat="1" ht="21" customHeight="1" x14ac:dyDescent="0.25">
      <c r="A236" s="51" t="str">
        <f t="shared" si="9"/>
        <v/>
      </c>
      <c r="B236" s="77"/>
      <c r="C236" s="133"/>
      <c r="D236" s="50"/>
      <c r="E236" s="141"/>
      <c r="F236" s="133"/>
      <c r="G236" s="133"/>
      <c r="H236" s="50"/>
      <c r="I236" s="51" t="str">
        <f t="shared" si="10"/>
        <v/>
      </c>
      <c r="J236" s="52" t="str">
        <f t="shared" si="11"/>
        <v/>
      </c>
      <c r="K236" s="142" t="str">
        <f>IF(OR($I236="",$I236="?",$D236&lt;&gt;"Advance",$B236=""),"",$I236&amp;"|"&amp;$J236&amp;"|"&amp;COUNTIFS($I$7:$I236,$I236,$J$7:$J236,$J236,$D$7:$D236,"Advance"))</f>
        <v/>
      </c>
      <c r="L236" s="143" t="str">
        <f>IF(OR($I236="",$I236="?",$B236=""),"",SUMPRODUCT((Weeks!$A$7:$A$59&lt;=$J236)*(Weeks!$X$5:$AI$5=$I236)*Weeks!$X$7:$AI$59)-SUMIFS($E$7:$E$1006,$I$7:$I$1006,$I236,$B$7:$B$1006,"&lt;="&amp;$B236))</f>
        <v/>
      </c>
      <c r="M236" s="132" t="str">
        <f>IF($B236&amp;$C236&amp;$D236&amp;$E236="","",IF($B236="","missing date",IF($C236="","missing worker",IF($I236="?","unknown worker - was the name changed on Workers?",IF($D236="","missing type",IF(N($E236)=0,"missing amount",IF(AND($E236&lt;0,$D236&lt;&gt;"Correction"),"negative amount - use a Correction to undo",IF(OR($B236&lt;Weeks!$A$7,$B236&gt;Weeks!$B$59),"date outside this workbook's year",IF(AND($D236="Advance",N($L236)&lt;0),"Warning: more than earned so far - worker now owes "&amp;TEXT(ROUND(-$L236,0),"#,##0"),"")))))))))</f>
        <v/>
      </c>
      <c r="N236" s="125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</row>
    <row r="237" spans="1:40" s="127" customFormat="1" ht="21" customHeight="1" x14ac:dyDescent="0.25">
      <c r="A237" s="51" t="str">
        <f t="shared" si="9"/>
        <v/>
      </c>
      <c r="B237" s="77"/>
      <c r="C237" s="133"/>
      <c r="D237" s="50"/>
      <c r="E237" s="141"/>
      <c r="F237" s="133"/>
      <c r="G237" s="133"/>
      <c r="H237" s="50"/>
      <c r="I237" s="51" t="str">
        <f t="shared" si="10"/>
        <v/>
      </c>
      <c r="J237" s="52" t="str">
        <f t="shared" si="11"/>
        <v/>
      </c>
      <c r="K237" s="142" t="str">
        <f>IF(OR($I237="",$I237="?",$D237&lt;&gt;"Advance",$B237=""),"",$I237&amp;"|"&amp;$J237&amp;"|"&amp;COUNTIFS($I$7:$I237,$I237,$J$7:$J237,$J237,$D$7:$D237,"Advance"))</f>
        <v/>
      </c>
      <c r="L237" s="143" t="str">
        <f>IF(OR($I237="",$I237="?",$B237=""),"",SUMPRODUCT((Weeks!$A$7:$A$59&lt;=$J237)*(Weeks!$X$5:$AI$5=$I237)*Weeks!$X$7:$AI$59)-SUMIFS($E$7:$E$1006,$I$7:$I$1006,$I237,$B$7:$B$1006,"&lt;="&amp;$B237))</f>
        <v/>
      </c>
      <c r="M237" s="132" t="str">
        <f>IF($B237&amp;$C237&amp;$D237&amp;$E237="","",IF($B237="","missing date",IF($C237="","missing worker",IF($I237="?","unknown worker - was the name changed on Workers?",IF($D237="","missing type",IF(N($E237)=0,"missing amount",IF(AND($E237&lt;0,$D237&lt;&gt;"Correction"),"negative amount - use a Correction to undo",IF(OR($B237&lt;Weeks!$A$7,$B237&gt;Weeks!$B$59),"date outside this workbook's year",IF(AND($D237="Advance",N($L237)&lt;0),"Warning: more than earned so far - worker now owes "&amp;TEXT(ROUND(-$L237,0),"#,##0"),"")))))))))</f>
        <v/>
      </c>
      <c r="N237" s="125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</row>
    <row r="238" spans="1:40" s="127" customFormat="1" ht="21" customHeight="1" x14ac:dyDescent="0.25">
      <c r="A238" s="51" t="str">
        <f t="shared" si="9"/>
        <v/>
      </c>
      <c r="B238" s="77"/>
      <c r="C238" s="133"/>
      <c r="D238" s="50"/>
      <c r="E238" s="141"/>
      <c r="F238" s="133"/>
      <c r="G238" s="133"/>
      <c r="H238" s="50"/>
      <c r="I238" s="51" t="str">
        <f t="shared" si="10"/>
        <v/>
      </c>
      <c r="J238" s="52" t="str">
        <f t="shared" si="11"/>
        <v/>
      </c>
      <c r="K238" s="142" t="str">
        <f>IF(OR($I238="",$I238="?",$D238&lt;&gt;"Advance",$B238=""),"",$I238&amp;"|"&amp;$J238&amp;"|"&amp;COUNTIFS($I$7:$I238,$I238,$J$7:$J238,$J238,$D$7:$D238,"Advance"))</f>
        <v/>
      </c>
      <c r="L238" s="143" t="str">
        <f>IF(OR($I238="",$I238="?",$B238=""),"",SUMPRODUCT((Weeks!$A$7:$A$59&lt;=$J238)*(Weeks!$X$5:$AI$5=$I238)*Weeks!$X$7:$AI$59)-SUMIFS($E$7:$E$1006,$I$7:$I$1006,$I238,$B$7:$B$1006,"&lt;="&amp;$B238))</f>
        <v/>
      </c>
      <c r="M238" s="132" t="str">
        <f>IF($B238&amp;$C238&amp;$D238&amp;$E238="","",IF($B238="","missing date",IF($C238="","missing worker",IF($I238="?","unknown worker - was the name changed on Workers?",IF($D238="","missing type",IF(N($E238)=0,"missing amount",IF(AND($E238&lt;0,$D238&lt;&gt;"Correction"),"negative amount - use a Correction to undo",IF(OR($B238&lt;Weeks!$A$7,$B238&gt;Weeks!$B$59),"date outside this workbook's year",IF(AND($D238="Advance",N($L238)&lt;0),"Warning: more than earned so far - worker now owes "&amp;TEXT(ROUND(-$L238,0),"#,##0"),"")))))))))</f>
        <v/>
      </c>
      <c r="N238" s="125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</row>
    <row r="239" spans="1:40" s="127" customFormat="1" ht="21" customHeight="1" x14ac:dyDescent="0.25">
      <c r="A239" s="51" t="str">
        <f t="shared" si="9"/>
        <v/>
      </c>
      <c r="B239" s="77"/>
      <c r="C239" s="133"/>
      <c r="D239" s="50"/>
      <c r="E239" s="141"/>
      <c r="F239" s="133"/>
      <c r="G239" s="133"/>
      <c r="H239" s="50"/>
      <c r="I239" s="51" t="str">
        <f t="shared" si="10"/>
        <v/>
      </c>
      <c r="J239" s="52" t="str">
        <f t="shared" si="11"/>
        <v/>
      </c>
      <c r="K239" s="142" t="str">
        <f>IF(OR($I239="",$I239="?",$D239&lt;&gt;"Advance",$B239=""),"",$I239&amp;"|"&amp;$J239&amp;"|"&amp;COUNTIFS($I$7:$I239,$I239,$J$7:$J239,$J239,$D$7:$D239,"Advance"))</f>
        <v/>
      </c>
      <c r="L239" s="143" t="str">
        <f>IF(OR($I239="",$I239="?",$B239=""),"",SUMPRODUCT((Weeks!$A$7:$A$59&lt;=$J239)*(Weeks!$X$5:$AI$5=$I239)*Weeks!$X$7:$AI$59)-SUMIFS($E$7:$E$1006,$I$7:$I$1006,$I239,$B$7:$B$1006,"&lt;="&amp;$B239))</f>
        <v/>
      </c>
      <c r="M239" s="132" t="str">
        <f>IF($B239&amp;$C239&amp;$D239&amp;$E239="","",IF($B239="","missing date",IF($C239="","missing worker",IF($I239="?","unknown worker - was the name changed on Workers?",IF($D239="","missing type",IF(N($E239)=0,"missing amount",IF(AND($E239&lt;0,$D239&lt;&gt;"Correction"),"negative amount - use a Correction to undo",IF(OR($B239&lt;Weeks!$A$7,$B239&gt;Weeks!$B$59),"date outside this workbook's year",IF(AND($D239="Advance",N($L239)&lt;0),"Warning: more than earned so far - worker now owes "&amp;TEXT(ROUND(-$L239,0),"#,##0"),"")))))))))</f>
        <v/>
      </c>
      <c r="N239" s="125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</row>
    <row r="240" spans="1:40" s="127" customFormat="1" ht="21" customHeight="1" x14ac:dyDescent="0.25">
      <c r="A240" s="51" t="str">
        <f t="shared" si="9"/>
        <v/>
      </c>
      <c r="B240" s="77"/>
      <c r="C240" s="133"/>
      <c r="D240" s="50"/>
      <c r="E240" s="141"/>
      <c r="F240" s="133"/>
      <c r="G240" s="133"/>
      <c r="H240" s="50"/>
      <c r="I240" s="51" t="str">
        <f t="shared" si="10"/>
        <v/>
      </c>
      <c r="J240" s="52" t="str">
        <f t="shared" si="11"/>
        <v/>
      </c>
      <c r="K240" s="142" t="str">
        <f>IF(OR($I240="",$I240="?",$D240&lt;&gt;"Advance",$B240=""),"",$I240&amp;"|"&amp;$J240&amp;"|"&amp;COUNTIFS($I$7:$I240,$I240,$J$7:$J240,$J240,$D$7:$D240,"Advance"))</f>
        <v/>
      </c>
      <c r="L240" s="143" t="str">
        <f>IF(OR($I240="",$I240="?",$B240=""),"",SUMPRODUCT((Weeks!$A$7:$A$59&lt;=$J240)*(Weeks!$X$5:$AI$5=$I240)*Weeks!$X$7:$AI$59)-SUMIFS($E$7:$E$1006,$I$7:$I$1006,$I240,$B$7:$B$1006,"&lt;="&amp;$B240))</f>
        <v/>
      </c>
      <c r="M240" s="132" t="str">
        <f>IF($B240&amp;$C240&amp;$D240&amp;$E240="","",IF($B240="","missing date",IF($C240="","missing worker",IF($I240="?","unknown worker - was the name changed on Workers?",IF($D240="","missing type",IF(N($E240)=0,"missing amount",IF(AND($E240&lt;0,$D240&lt;&gt;"Correction"),"negative amount - use a Correction to undo",IF(OR($B240&lt;Weeks!$A$7,$B240&gt;Weeks!$B$59),"date outside this workbook's year",IF(AND($D240="Advance",N($L240)&lt;0),"Warning: more than earned so far - worker now owes "&amp;TEXT(ROUND(-$L240,0),"#,##0"),"")))))))))</f>
        <v/>
      </c>
      <c r="N240" s="125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</row>
    <row r="241" spans="1:40" s="127" customFormat="1" ht="21" customHeight="1" x14ac:dyDescent="0.25">
      <c r="A241" s="51" t="str">
        <f t="shared" si="9"/>
        <v/>
      </c>
      <c r="B241" s="77"/>
      <c r="C241" s="133"/>
      <c r="D241" s="50"/>
      <c r="E241" s="141"/>
      <c r="F241" s="133"/>
      <c r="G241" s="133"/>
      <c r="H241" s="50"/>
      <c r="I241" s="51" t="str">
        <f t="shared" si="10"/>
        <v/>
      </c>
      <c r="J241" s="52" t="str">
        <f t="shared" si="11"/>
        <v/>
      </c>
      <c r="K241" s="142" t="str">
        <f>IF(OR($I241="",$I241="?",$D241&lt;&gt;"Advance",$B241=""),"",$I241&amp;"|"&amp;$J241&amp;"|"&amp;COUNTIFS($I$7:$I241,$I241,$J$7:$J241,$J241,$D$7:$D241,"Advance"))</f>
        <v/>
      </c>
      <c r="L241" s="143" t="str">
        <f>IF(OR($I241="",$I241="?",$B241=""),"",SUMPRODUCT((Weeks!$A$7:$A$59&lt;=$J241)*(Weeks!$X$5:$AI$5=$I241)*Weeks!$X$7:$AI$59)-SUMIFS($E$7:$E$1006,$I$7:$I$1006,$I241,$B$7:$B$1006,"&lt;="&amp;$B241))</f>
        <v/>
      </c>
      <c r="M241" s="132" t="str">
        <f>IF($B241&amp;$C241&amp;$D241&amp;$E241="","",IF($B241="","missing date",IF($C241="","missing worker",IF($I241="?","unknown worker - was the name changed on Workers?",IF($D241="","missing type",IF(N($E241)=0,"missing amount",IF(AND($E241&lt;0,$D241&lt;&gt;"Correction"),"negative amount - use a Correction to undo",IF(OR($B241&lt;Weeks!$A$7,$B241&gt;Weeks!$B$59),"date outside this workbook's year",IF(AND($D241="Advance",N($L241)&lt;0),"Warning: more than earned so far - worker now owes "&amp;TEXT(ROUND(-$L241,0),"#,##0"),"")))))))))</f>
        <v/>
      </c>
      <c r="N241" s="125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</row>
    <row r="242" spans="1:40" s="127" customFormat="1" ht="21" customHeight="1" x14ac:dyDescent="0.25">
      <c r="A242" s="51" t="str">
        <f t="shared" si="9"/>
        <v/>
      </c>
      <c r="B242" s="77"/>
      <c r="C242" s="133"/>
      <c r="D242" s="50"/>
      <c r="E242" s="141"/>
      <c r="F242" s="133"/>
      <c r="G242" s="133"/>
      <c r="H242" s="50"/>
      <c r="I242" s="51" t="str">
        <f t="shared" si="10"/>
        <v/>
      </c>
      <c r="J242" s="52" t="str">
        <f t="shared" si="11"/>
        <v/>
      </c>
      <c r="K242" s="142" t="str">
        <f>IF(OR($I242="",$I242="?",$D242&lt;&gt;"Advance",$B242=""),"",$I242&amp;"|"&amp;$J242&amp;"|"&amp;COUNTIFS($I$7:$I242,$I242,$J$7:$J242,$J242,$D$7:$D242,"Advance"))</f>
        <v/>
      </c>
      <c r="L242" s="143" t="str">
        <f>IF(OR($I242="",$I242="?",$B242=""),"",SUMPRODUCT((Weeks!$A$7:$A$59&lt;=$J242)*(Weeks!$X$5:$AI$5=$I242)*Weeks!$X$7:$AI$59)-SUMIFS($E$7:$E$1006,$I$7:$I$1006,$I242,$B$7:$B$1006,"&lt;="&amp;$B242))</f>
        <v/>
      </c>
      <c r="M242" s="132" t="str">
        <f>IF($B242&amp;$C242&amp;$D242&amp;$E242="","",IF($B242="","missing date",IF($C242="","missing worker",IF($I242="?","unknown worker - was the name changed on Workers?",IF($D242="","missing type",IF(N($E242)=0,"missing amount",IF(AND($E242&lt;0,$D242&lt;&gt;"Correction"),"negative amount - use a Correction to undo",IF(OR($B242&lt;Weeks!$A$7,$B242&gt;Weeks!$B$59),"date outside this workbook's year",IF(AND($D242="Advance",N($L242)&lt;0),"Warning: more than earned so far - worker now owes "&amp;TEXT(ROUND(-$L242,0),"#,##0"),"")))))))))</f>
        <v/>
      </c>
      <c r="N242" s="125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</row>
    <row r="243" spans="1:40" s="127" customFormat="1" ht="21" customHeight="1" x14ac:dyDescent="0.25">
      <c r="A243" s="51" t="str">
        <f t="shared" si="9"/>
        <v/>
      </c>
      <c r="B243" s="77"/>
      <c r="C243" s="133"/>
      <c r="D243" s="50"/>
      <c r="E243" s="141"/>
      <c r="F243" s="133"/>
      <c r="G243" s="133"/>
      <c r="H243" s="50"/>
      <c r="I243" s="51" t="str">
        <f t="shared" si="10"/>
        <v/>
      </c>
      <c r="J243" s="52" t="str">
        <f t="shared" si="11"/>
        <v/>
      </c>
      <c r="K243" s="142" t="str">
        <f>IF(OR($I243="",$I243="?",$D243&lt;&gt;"Advance",$B243=""),"",$I243&amp;"|"&amp;$J243&amp;"|"&amp;COUNTIFS($I$7:$I243,$I243,$J$7:$J243,$J243,$D$7:$D243,"Advance"))</f>
        <v/>
      </c>
      <c r="L243" s="143" t="str">
        <f>IF(OR($I243="",$I243="?",$B243=""),"",SUMPRODUCT((Weeks!$A$7:$A$59&lt;=$J243)*(Weeks!$X$5:$AI$5=$I243)*Weeks!$X$7:$AI$59)-SUMIFS($E$7:$E$1006,$I$7:$I$1006,$I243,$B$7:$B$1006,"&lt;="&amp;$B243))</f>
        <v/>
      </c>
      <c r="M243" s="132" t="str">
        <f>IF($B243&amp;$C243&amp;$D243&amp;$E243="","",IF($B243="","missing date",IF($C243="","missing worker",IF($I243="?","unknown worker - was the name changed on Workers?",IF($D243="","missing type",IF(N($E243)=0,"missing amount",IF(AND($E243&lt;0,$D243&lt;&gt;"Correction"),"negative amount - use a Correction to undo",IF(OR($B243&lt;Weeks!$A$7,$B243&gt;Weeks!$B$59),"date outside this workbook's year",IF(AND($D243="Advance",N($L243)&lt;0),"Warning: more than earned so far - worker now owes "&amp;TEXT(ROUND(-$L243,0),"#,##0"),"")))))))))</f>
        <v/>
      </c>
      <c r="N243" s="125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</row>
    <row r="244" spans="1:40" s="127" customFormat="1" ht="21" customHeight="1" x14ac:dyDescent="0.25">
      <c r="A244" s="51" t="str">
        <f t="shared" si="9"/>
        <v/>
      </c>
      <c r="B244" s="77"/>
      <c r="C244" s="133"/>
      <c r="D244" s="50"/>
      <c r="E244" s="141"/>
      <c r="F244" s="133"/>
      <c r="G244" s="133"/>
      <c r="H244" s="50"/>
      <c r="I244" s="51" t="str">
        <f t="shared" si="10"/>
        <v/>
      </c>
      <c r="J244" s="52" t="str">
        <f t="shared" si="11"/>
        <v/>
      </c>
      <c r="K244" s="142" t="str">
        <f>IF(OR($I244="",$I244="?",$D244&lt;&gt;"Advance",$B244=""),"",$I244&amp;"|"&amp;$J244&amp;"|"&amp;COUNTIFS($I$7:$I244,$I244,$J$7:$J244,$J244,$D$7:$D244,"Advance"))</f>
        <v/>
      </c>
      <c r="L244" s="143" t="str">
        <f>IF(OR($I244="",$I244="?",$B244=""),"",SUMPRODUCT((Weeks!$A$7:$A$59&lt;=$J244)*(Weeks!$X$5:$AI$5=$I244)*Weeks!$X$7:$AI$59)-SUMIFS($E$7:$E$1006,$I$7:$I$1006,$I244,$B$7:$B$1006,"&lt;="&amp;$B244))</f>
        <v/>
      </c>
      <c r="M244" s="132" t="str">
        <f>IF($B244&amp;$C244&amp;$D244&amp;$E244="","",IF($B244="","missing date",IF($C244="","missing worker",IF($I244="?","unknown worker - was the name changed on Workers?",IF($D244="","missing type",IF(N($E244)=0,"missing amount",IF(AND($E244&lt;0,$D244&lt;&gt;"Correction"),"negative amount - use a Correction to undo",IF(OR($B244&lt;Weeks!$A$7,$B244&gt;Weeks!$B$59),"date outside this workbook's year",IF(AND($D244="Advance",N($L244)&lt;0),"Warning: more than earned so far - worker now owes "&amp;TEXT(ROUND(-$L244,0),"#,##0"),"")))))))))</f>
        <v/>
      </c>
      <c r="N244" s="125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</row>
    <row r="245" spans="1:40" s="127" customFormat="1" ht="21" customHeight="1" x14ac:dyDescent="0.25">
      <c r="A245" s="51" t="str">
        <f t="shared" si="9"/>
        <v/>
      </c>
      <c r="B245" s="77"/>
      <c r="C245" s="133"/>
      <c r="D245" s="50"/>
      <c r="E245" s="141"/>
      <c r="F245" s="133"/>
      <c r="G245" s="133"/>
      <c r="H245" s="50"/>
      <c r="I245" s="51" t="str">
        <f t="shared" si="10"/>
        <v/>
      </c>
      <c r="J245" s="52" t="str">
        <f t="shared" si="11"/>
        <v/>
      </c>
      <c r="K245" s="142" t="str">
        <f>IF(OR($I245="",$I245="?",$D245&lt;&gt;"Advance",$B245=""),"",$I245&amp;"|"&amp;$J245&amp;"|"&amp;COUNTIFS($I$7:$I245,$I245,$J$7:$J245,$J245,$D$7:$D245,"Advance"))</f>
        <v/>
      </c>
      <c r="L245" s="143" t="str">
        <f>IF(OR($I245="",$I245="?",$B245=""),"",SUMPRODUCT((Weeks!$A$7:$A$59&lt;=$J245)*(Weeks!$X$5:$AI$5=$I245)*Weeks!$X$7:$AI$59)-SUMIFS($E$7:$E$1006,$I$7:$I$1006,$I245,$B$7:$B$1006,"&lt;="&amp;$B245))</f>
        <v/>
      </c>
      <c r="M245" s="132" t="str">
        <f>IF($B245&amp;$C245&amp;$D245&amp;$E245="","",IF($B245="","missing date",IF($C245="","missing worker",IF($I245="?","unknown worker - was the name changed on Workers?",IF($D245="","missing type",IF(N($E245)=0,"missing amount",IF(AND($E245&lt;0,$D245&lt;&gt;"Correction"),"negative amount - use a Correction to undo",IF(OR($B245&lt;Weeks!$A$7,$B245&gt;Weeks!$B$59),"date outside this workbook's year",IF(AND($D245="Advance",N($L245)&lt;0),"Warning: more than earned so far - worker now owes "&amp;TEXT(ROUND(-$L245,0),"#,##0"),"")))))))))</f>
        <v/>
      </c>
      <c r="N245" s="125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</row>
    <row r="246" spans="1:40" s="127" customFormat="1" ht="21" customHeight="1" x14ac:dyDescent="0.25">
      <c r="A246" s="51" t="str">
        <f t="shared" si="9"/>
        <v/>
      </c>
      <c r="B246" s="77"/>
      <c r="C246" s="133"/>
      <c r="D246" s="50"/>
      <c r="E246" s="141"/>
      <c r="F246" s="133"/>
      <c r="G246" s="133"/>
      <c r="H246" s="50"/>
      <c r="I246" s="51" t="str">
        <f t="shared" si="10"/>
        <v/>
      </c>
      <c r="J246" s="52" t="str">
        <f t="shared" si="11"/>
        <v/>
      </c>
      <c r="K246" s="142" t="str">
        <f>IF(OR($I246="",$I246="?",$D246&lt;&gt;"Advance",$B246=""),"",$I246&amp;"|"&amp;$J246&amp;"|"&amp;COUNTIFS($I$7:$I246,$I246,$J$7:$J246,$J246,$D$7:$D246,"Advance"))</f>
        <v/>
      </c>
      <c r="L246" s="143" t="str">
        <f>IF(OR($I246="",$I246="?",$B246=""),"",SUMPRODUCT((Weeks!$A$7:$A$59&lt;=$J246)*(Weeks!$X$5:$AI$5=$I246)*Weeks!$X$7:$AI$59)-SUMIFS($E$7:$E$1006,$I$7:$I$1006,$I246,$B$7:$B$1006,"&lt;="&amp;$B246))</f>
        <v/>
      </c>
      <c r="M246" s="132" t="str">
        <f>IF($B246&amp;$C246&amp;$D246&amp;$E246="","",IF($B246="","missing date",IF($C246="","missing worker",IF($I246="?","unknown worker - was the name changed on Workers?",IF($D246="","missing type",IF(N($E246)=0,"missing amount",IF(AND($E246&lt;0,$D246&lt;&gt;"Correction"),"negative amount - use a Correction to undo",IF(OR($B246&lt;Weeks!$A$7,$B246&gt;Weeks!$B$59),"date outside this workbook's year",IF(AND($D246="Advance",N($L246)&lt;0),"Warning: more than earned so far - worker now owes "&amp;TEXT(ROUND(-$L246,0),"#,##0"),"")))))))))</f>
        <v/>
      </c>
      <c r="N246" s="125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</row>
    <row r="247" spans="1:40" s="127" customFormat="1" ht="21" customHeight="1" x14ac:dyDescent="0.25">
      <c r="A247" s="51" t="str">
        <f t="shared" si="9"/>
        <v/>
      </c>
      <c r="B247" s="77"/>
      <c r="C247" s="133"/>
      <c r="D247" s="50"/>
      <c r="E247" s="141"/>
      <c r="F247" s="133"/>
      <c r="G247" s="133"/>
      <c r="H247" s="50"/>
      <c r="I247" s="51" t="str">
        <f t="shared" si="10"/>
        <v/>
      </c>
      <c r="J247" s="52" t="str">
        <f t="shared" si="11"/>
        <v/>
      </c>
      <c r="K247" s="142" t="str">
        <f>IF(OR($I247="",$I247="?",$D247&lt;&gt;"Advance",$B247=""),"",$I247&amp;"|"&amp;$J247&amp;"|"&amp;COUNTIFS($I$7:$I247,$I247,$J$7:$J247,$J247,$D$7:$D247,"Advance"))</f>
        <v/>
      </c>
      <c r="L247" s="143" t="str">
        <f>IF(OR($I247="",$I247="?",$B247=""),"",SUMPRODUCT((Weeks!$A$7:$A$59&lt;=$J247)*(Weeks!$X$5:$AI$5=$I247)*Weeks!$X$7:$AI$59)-SUMIFS($E$7:$E$1006,$I$7:$I$1006,$I247,$B$7:$B$1006,"&lt;="&amp;$B247))</f>
        <v/>
      </c>
      <c r="M247" s="132" t="str">
        <f>IF($B247&amp;$C247&amp;$D247&amp;$E247="","",IF($B247="","missing date",IF($C247="","missing worker",IF($I247="?","unknown worker - was the name changed on Workers?",IF($D247="","missing type",IF(N($E247)=0,"missing amount",IF(AND($E247&lt;0,$D247&lt;&gt;"Correction"),"negative amount - use a Correction to undo",IF(OR($B247&lt;Weeks!$A$7,$B247&gt;Weeks!$B$59),"date outside this workbook's year",IF(AND($D247="Advance",N($L247)&lt;0),"Warning: more than earned so far - worker now owes "&amp;TEXT(ROUND(-$L247,0),"#,##0"),"")))))))))</f>
        <v/>
      </c>
      <c r="N247" s="125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</row>
    <row r="248" spans="1:40" s="127" customFormat="1" ht="21" customHeight="1" x14ac:dyDescent="0.25">
      <c r="A248" s="51" t="str">
        <f t="shared" si="9"/>
        <v/>
      </c>
      <c r="B248" s="77"/>
      <c r="C248" s="133"/>
      <c r="D248" s="50"/>
      <c r="E248" s="141"/>
      <c r="F248" s="133"/>
      <c r="G248" s="133"/>
      <c r="H248" s="50"/>
      <c r="I248" s="51" t="str">
        <f t="shared" si="10"/>
        <v/>
      </c>
      <c r="J248" s="52" t="str">
        <f t="shared" si="11"/>
        <v/>
      </c>
      <c r="K248" s="142" t="str">
        <f>IF(OR($I248="",$I248="?",$D248&lt;&gt;"Advance",$B248=""),"",$I248&amp;"|"&amp;$J248&amp;"|"&amp;COUNTIFS($I$7:$I248,$I248,$J$7:$J248,$J248,$D$7:$D248,"Advance"))</f>
        <v/>
      </c>
      <c r="L248" s="143" t="str">
        <f>IF(OR($I248="",$I248="?",$B248=""),"",SUMPRODUCT((Weeks!$A$7:$A$59&lt;=$J248)*(Weeks!$X$5:$AI$5=$I248)*Weeks!$X$7:$AI$59)-SUMIFS($E$7:$E$1006,$I$7:$I$1006,$I248,$B$7:$B$1006,"&lt;="&amp;$B248))</f>
        <v/>
      </c>
      <c r="M248" s="132" t="str">
        <f>IF($B248&amp;$C248&amp;$D248&amp;$E248="","",IF($B248="","missing date",IF($C248="","missing worker",IF($I248="?","unknown worker - was the name changed on Workers?",IF($D248="","missing type",IF(N($E248)=0,"missing amount",IF(AND($E248&lt;0,$D248&lt;&gt;"Correction"),"negative amount - use a Correction to undo",IF(OR($B248&lt;Weeks!$A$7,$B248&gt;Weeks!$B$59),"date outside this workbook's year",IF(AND($D248="Advance",N($L248)&lt;0),"Warning: more than earned so far - worker now owes "&amp;TEXT(ROUND(-$L248,0),"#,##0"),"")))))))))</f>
        <v/>
      </c>
      <c r="N248" s="125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</row>
    <row r="249" spans="1:40" s="127" customFormat="1" ht="21" customHeight="1" x14ac:dyDescent="0.25">
      <c r="A249" s="51" t="str">
        <f t="shared" si="9"/>
        <v/>
      </c>
      <c r="B249" s="77"/>
      <c r="C249" s="133"/>
      <c r="D249" s="50"/>
      <c r="E249" s="141"/>
      <c r="F249" s="133"/>
      <c r="G249" s="133"/>
      <c r="H249" s="50"/>
      <c r="I249" s="51" t="str">
        <f t="shared" si="10"/>
        <v/>
      </c>
      <c r="J249" s="52" t="str">
        <f t="shared" si="11"/>
        <v/>
      </c>
      <c r="K249" s="142" t="str">
        <f>IF(OR($I249="",$I249="?",$D249&lt;&gt;"Advance",$B249=""),"",$I249&amp;"|"&amp;$J249&amp;"|"&amp;COUNTIFS($I$7:$I249,$I249,$J$7:$J249,$J249,$D$7:$D249,"Advance"))</f>
        <v/>
      </c>
      <c r="L249" s="143" t="str">
        <f>IF(OR($I249="",$I249="?",$B249=""),"",SUMPRODUCT((Weeks!$A$7:$A$59&lt;=$J249)*(Weeks!$X$5:$AI$5=$I249)*Weeks!$X$7:$AI$59)-SUMIFS($E$7:$E$1006,$I$7:$I$1006,$I249,$B$7:$B$1006,"&lt;="&amp;$B249))</f>
        <v/>
      </c>
      <c r="M249" s="132" t="str">
        <f>IF($B249&amp;$C249&amp;$D249&amp;$E249="","",IF($B249="","missing date",IF($C249="","missing worker",IF($I249="?","unknown worker - was the name changed on Workers?",IF($D249="","missing type",IF(N($E249)=0,"missing amount",IF(AND($E249&lt;0,$D249&lt;&gt;"Correction"),"negative amount - use a Correction to undo",IF(OR($B249&lt;Weeks!$A$7,$B249&gt;Weeks!$B$59),"date outside this workbook's year",IF(AND($D249="Advance",N($L249)&lt;0),"Warning: more than earned so far - worker now owes "&amp;TEXT(ROUND(-$L249,0),"#,##0"),"")))))))))</f>
        <v/>
      </c>
      <c r="N249" s="125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</row>
    <row r="250" spans="1:40" s="127" customFormat="1" ht="21" customHeight="1" x14ac:dyDescent="0.25">
      <c r="A250" s="51" t="str">
        <f t="shared" si="9"/>
        <v/>
      </c>
      <c r="B250" s="77"/>
      <c r="C250" s="133"/>
      <c r="D250" s="50"/>
      <c r="E250" s="141"/>
      <c r="F250" s="133"/>
      <c r="G250" s="133"/>
      <c r="H250" s="50"/>
      <c r="I250" s="51" t="str">
        <f t="shared" si="10"/>
        <v/>
      </c>
      <c r="J250" s="52" t="str">
        <f t="shared" si="11"/>
        <v/>
      </c>
      <c r="K250" s="142" t="str">
        <f>IF(OR($I250="",$I250="?",$D250&lt;&gt;"Advance",$B250=""),"",$I250&amp;"|"&amp;$J250&amp;"|"&amp;COUNTIFS($I$7:$I250,$I250,$J$7:$J250,$J250,$D$7:$D250,"Advance"))</f>
        <v/>
      </c>
      <c r="L250" s="143" t="str">
        <f>IF(OR($I250="",$I250="?",$B250=""),"",SUMPRODUCT((Weeks!$A$7:$A$59&lt;=$J250)*(Weeks!$X$5:$AI$5=$I250)*Weeks!$X$7:$AI$59)-SUMIFS($E$7:$E$1006,$I$7:$I$1006,$I250,$B$7:$B$1006,"&lt;="&amp;$B250))</f>
        <v/>
      </c>
      <c r="M250" s="132" t="str">
        <f>IF($B250&amp;$C250&amp;$D250&amp;$E250="","",IF($B250="","missing date",IF($C250="","missing worker",IF($I250="?","unknown worker - was the name changed on Workers?",IF($D250="","missing type",IF(N($E250)=0,"missing amount",IF(AND($E250&lt;0,$D250&lt;&gt;"Correction"),"negative amount - use a Correction to undo",IF(OR($B250&lt;Weeks!$A$7,$B250&gt;Weeks!$B$59),"date outside this workbook's year",IF(AND($D250="Advance",N($L250)&lt;0),"Warning: more than earned so far - worker now owes "&amp;TEXT(ROUND(-$L250,0),"#,##0"),"")))))))))</f>
        <v/>
      </c>
      <c r="N250" s="125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</row>
    <row r="251" spans="1:40" s="127" customFormat="1" ht="21" customHeight="1" x14ac:dyDescent="0.25">
      <c r="A251" s="51" t="str">
        <f t="shared" si="9"/>
        <v/>
      </c>
      <c r="B251" s="77"/>
      <c r="C251" s="133"/>
      <c r="D251" s="50"/>
      <c r="E251" s="141"/>
      <c r="F251" s="133"/>
      <c r="G251" s="133"/>
      <c r="H251" s="50"/>
      <c r="I251" s="51" t="str">
        <f t="shared" si="10"/>
        <v/>
      </c>
      <c r="J251" s="52" t="str">
        <f t="shared" si="11"/>
        <v/>
      </c>
      <c r="K251" s="142" t="str">
        <f>IF(OR($I251="",$I251="?",$D251&lt;&gt;"Advance",$B251=""),"",$I251&amp;"|"&amp;$J251&amp;"|"&amp;COUNTIFS($I$7:$I251,$I251,$J$7:$J251,$J251,$D$7:$D251,"Advance"))</f>
        <v/>
      </c>
      <c r="L251" s="143" t="str">
        <f>IF(OR($I251="",$I251="?",$B251=""),"",SUMPRODUCT((Weeks!$A$7:$A$59&lt;=$J251)*(Weeks!$X$5:$AI$5=$I251)*Weeks!$X$7:$AI$59)-SUMIFS($E$7:$E$1006,$I$7:$I$1006,$I251,$B$7:$B$1006,"&lt;="&amp;$B251))</f>
        <v/>
      </c>
      <c r="M251" s="132" t="str">
        <f>IF($B251&amp;$C251&amp;$D251&amp;$E251="","",IF($B251="","missing date",IF($C251="","missing worker",IF($I251="?","unknown worker - was the name changed on Workers?",IF($D251="","missing type",IF(N($E251)=0,"missing amount",IF(AND($E251&lt;0,$D251&lt;&gt;"Correction"),"negative amount - use a Correction to undo",IF(OR($B251&lt;Weeks!$A$7,$B251&gt;Weeks!$B$59),"date outside this workbook's year",IF(AND($D251="Advance",N($L251)&lt;0),"Warning: more than earned so far - worker now owes "&amp;TEXT(ROUND(-$L251,0),"#,##0"),"")))))))))</f>
        <v/>
      </c>
      <c r="N251" s="125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</row>
    <row r="252" spans="1:40" s="127" customFormat="1" ht="21" customHeight="1" x14ac:dyDescent="0.25">
      <c r="A252" s="51" t="str">
        <f t="shared" si="9"/>
        <v/>
      </c>
      <c r="B252" s="77"/>
      <c r="C252" s="133"/>
      <c r="D252" s="50"/>
      <c r="E252" s="141"/>
      <c r="F252" s="133"/>
      <c r="G252" s="133"/>
      <c r="H252" s="50"/>
      <c r="I252" s="51" t="str">
        <f t="shared" si="10"/>
        <v/>
      </c>
      <c r="J252" s="52" t="str">
        <f t="shared" si="11"/>
        <v/>
      </c>
      <c r="K252" s="142" t="str">
        <f>IF(OR($I252="",$I252="?",$D252&lt;&gt;"Advance",$B252=""),"",$I252&amp;"|"&amp;$J252&amp;"|"&amp;COUNTIFS($I$7:$I252,$I252,$J$7:$J252,$J252,$D$7:$D252,"Advance"))</f>
        <v/>
      </c>
      <c r="L252" s="143" t="str">
        <f>IF(OR($I252="",$I252="?",$B252=""),"",SUMPRODUCT((Weeks!$A$7:$A$59&lt;=$J252)*(Weeks!$X$5:$AI$5=$I252)*Weeks!$X$7:$AI$59)-SUMIFS($E$7:$E$1006,$I$7:$I$1006,$I252,$B$7:$B$1006,"&lt;="&amp;$B252))</f>
        <v/>
      </c>
      <c r="M252" s="132" t="str">
        <f>IF($B252&amp;$C252&amp;$D252&amp;$E252="","",IF($B252="","missing date",IF($C252="","missing worker",IF($I252="?","unknown worker - was the name changed on Workers?",IF($D252="","missing type",IF(N($E252)=0,"missing amount",IF(AND($E252&lt;0,$D252&lt;&gt;"Correction"),"negative amount - use a Correction to undo",IF(OR($B252&lt;Weeks!$A$7,$B252&gt;Weeks!$B$59),"date outside this workbook's year",IF(AND($D252="Advance",N($L252)&lt;0),"Warning: more than earned so far - worker now owes "&amp;TEXT(ROUND(-$L252,0),"#,##0"),"")))))))))</f>
        <v/>
      </c>
      <c r="N252" s="125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</row>
    <row r="253" spans="1:40" s="127" customFormat="1" ht="21" customHeight="1" x14ac:dyDescent="0.25">
      <c r="A253" s="51" t="str">
        <f t="shared" si="9"/>
        <v/>
      </c>
      <c r="B253" s="77"/>
      <c r="C253" s="133"/>
      <c r="D253" s="50"/>
      <c r="E253" s="141"/>
      <c r="F253" s="133"/>
      <c r="G253" s="133"/>
      <c r="H253" s="50"/>
      <c r="I253" s="51" t="str">
        <f t="shared" si="10"/>
        <v/>
      </c>
      <c r="J253" s="52" t="str">
        <f t="shared" si="11"/>
        <v/>
      </c>
      <c r="K253" s="142" t="str">
        <f>IF(OR($I253="",$I253="?",$D253&lt;&gt;"Advance",$B253=""),"",$I253&amp;"|"&amp;$J253&amp;"|"&amp;COUNTIFS($I$7:$I253,$I253,$J$7:$J253,$J253,$D$7:$D253,"Advance"))</f>
        <v/>
      </c>
      <c r="L253" s="143" t="str">
        <f>IF(OR($I253="",$I253="?",$B253=""),"",SUMPRODUCT((Weeks!$A$7:$A$59&lt;=$J253)*(Weeks!$X$5:$AI$5=$I253)*Weeks!$X$7:$AI$59)-SUMIFS($E$7:$E$1006,$I$7:$I$1006,$I253,$B$7:$B$1006,"&lt;="&amp;$B253))</f>
        <v/>
      </c>
      <c r="M253" s="132" t="str">
        <f>IF($B253&amp;$C253&amp;$D253&amp;$E253="","",IF($B253="","missing date",IF($C253="","missing worker",IF($I253="?","unknown worker - was the name changed on Workers?",IF($D253="","missing type",IF(N($E253)=0,"missing amount",IF(AND($E253&lt;0,$D253&lt;&gt;"Correction"),"negative amount - use a Correction to undo",IF(OR($B253&lt;Weeks!$A$7,$B253&gt;Weeks!$B$59),"date outside this workbook's year",IF(AND($D253="Advance",N($L253)&lt;0),"Warning: more than earned so far - worker now owes "&amp;TEXT(ROUND(-$L253,0),"#,##0"),"")))))))))</f>
        <v/>
      </c>
      <c r="N253" s="125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</row>
    <row r="254" spans="1:40" s="127" customFormat="1" ht="21" customHeight="1" x14ac:dyDescent="0.25">
      <c r="A254" s="51" t="str">
        <f t="shared" si="9"/>
        <v/>
      </c>
      <c r="B254" s="77"/>
      <c r="C254" s="133"/>
      <c r="D254" s="50"/>
      <c r="E254" s="141"/>
      <c r="F254" s="133"/>
      <c r="G254" s="133"/>
      <c r="H254" s="50"/>
      <c r="I254" s="51" t="str">
        <f t="shared" si="10"/>
        <v/>
      </c>
      <c r="J254" s="52" t="str">
        <f t="shared" si="11"/>
        <v/>
      </c>
      <c r="K254" s="142" t="str">
        <f>IF(OR($I254="",$I254="?",$D254&lt;&gt;"Advance",$B254=""),"",$I254&amp;"|"&amp;$J254&amp;"|"&amp;COUNTIFS($I$7:$I254,$I254,$J$7:$J254,$J254,$D$7:$D254,"Advance"))</f>
        <v/>
      </c>
      <c r="L254" s="143" t="str">
        <f>IF(OR($I254="",$I254="?",$B254=""),"",SUMPRODUCT((Weeks!$A$7:$A$59&lt;=$J254)*(Weeks!$X$5:$AI$5=$I254)*Weeks!$X$7:$AI$59)-SUMIFS($E$7:$E$1006,$I$7:$I$1006,$I254,$B$7:$B$1006,"&lt;="&amp;$B254))</f>
        <v/>
      </c>
      <c r="M254" s="132" t="str">
        <f>IF($B254&amp;$C254&amp;$D254&amp;$E254="","",IF($B254="","missing date",IF($C254="","missing worker",IF($I254="?","unknown worker - was the name changed on Workers?",IF($D254="","missing type",IF(N($E254)=0,"missing amount",IF(AND($E254&lt;0,$D254&lt;&gt;"Correction"),"negative amount - use a Correction to undo",IF(OR($B254&lt;Weeks!$A$7,$B254&gt;Weeks!$B$59),"date outside this workbook's year",IF(AND($D254="Advance",N($L254)&lt;0),"Warning: more than earned so far - worker now owes "&amp;TEXT(ROUND(-$L254,0),"#,##0"),"")))))))))</f>
        <v/>
      </c>
      <c r="N254" s="125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</row>
    <row r="255" spans="1:40" s="127" customFormat="1" ht="21" customHeight="1" x14ac:dyDescent="0.25">
      <c r="A255" s="51" t="str">
        <f t="shared" si="9"/>
        <v/>
      </c>
      <c r="B255" s="77"/>
      <c r="C255" s="133"/>
      <c r="D255" s="50"/>
      <c r="E255" s="141"/>
      <c r="F255" s="133"/>
      <c r="G255" s="133"/>
      <c r="H255" s="50"/>
      <c r="I255" s="51" t="str">
        <f t="shared" si="10"/>
        <v/>
      </c>
      <c r="J255" s="52" t="str">
        <f t="shared" si="11"/>
        <v/>
      </c>
      <c r="K255" s="142" t="str">
        <f>IF(OR($I255="",$I255="?",$D255&lt;&gt;"Advance",$B255=""),"",$I255&amp;"|"&amp;$J255&amp;"|"&amp;COUNTIFS($I$7:$I255,$I255,$J$7:$J255,$J255,$D$7:$D255,"Advance"))</f>
        <v/>
      </c>
      <c r="L255" s="143" t="str">
        <f>IF(OR($I255="",$I255="?",$B255=""),"",SUMPRODUCT((Weeks!$A$7:$A$59&lt;=$J255)*(Weeks!$X$5:$AI$5=$I255)*Weeks!$X$7:$AI$59)-SUMIFS($E$7:$E$1006,$I$7:$I$1006,$I255,$B$7:$B$1006,"&lt;="&amp;$B255))</f>
        <v/>
      </c>
      <c r="M255" s="132" t="str">
        <f>IF($B255&amp;$C255&amp;$D255&amp;$E255="","",IF($B255="","missing date",IF($C255="","missing worker",IF($I255="?","unknown worker - was the name changed on Workers?",IF($D255="","missing type",IF(N($E255)=0,"missing amount",IF(AND($E255&lt;0,$D255&lt;&gt;"Correction"),"negative amount - use a Correction to undo",IF(OR($B255&lt;Weeks!$A$7,$B255&gt;Weeks!$B$59),"date outside this workbook's year",IF(AND($D255="Advance",N($L255)&lt;0),"Warning: more than earned so far - worker now owes "&amp;TEXT(ROUND(-$L255,0),"#,##0"),"")))))))))</f>
        <v/>
      </c>
      <c r="N255" s="125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</row>
    <row r="256" spans="1:40" s="127" customFormat="1" ht="21" customHeight="1" x14ac:dyDescent="0.25">
      <c r="A256" s="51" t="str">
        <f t="shared" si="9"/>
        <v/>
      </c>
      <c r="B256" s="77"/>
      <c r="C256" s="133"/>
      <c r="D256" s="50"/>
      <c r="E256" s="141"/>
      <c r="F256" s="133"/>
      <c r="G256" s="133"/>
      <c r="H256" s="50"/>
      <c r="I256" s="51" t="str">
        <f t="shared" si="10"/>
        <v/>
      </c>
      <c r="J256" s="52" t="str">
        <f t="shared" si="11"/>
        <v/>
      </c>
      <c r="K256" s="142" t="str">
        <f>IF(OR($I256="",$I256="?",$D256&lt;&gt;"Advance",$B256=""),"",$I256&amp;"|"&amp;$J256&amp;"|"&amp;COUNTIFS($I$7:$I256,$I256,$J$7:$J256,$J256,$D$7:$D256,"Advance"))</f>
        <v/>
      </c>
      <c r="L256" s="143" t="str">
        <f>IF(OR($I256="",$I256="?",$B256=""),"",SUMPRODUCT((Weeks!$A$7:$A$59&lt;=$J256)*(Weeks!$X$5:$AI$5=$I256)*Weeks!$X$7:$AI$59)-SUMIFS($E$7:$E$1006,$I$7:$I$1006,$I256,$B$7:$B$1006,"&lt;="&amp;$B256))</f>
        <v/>
      </c>
      <c r="M256" s="132" t="str">
        <f>IF($B256&amp;$C256&amp;$D256&amp;$E256="","",IF($B256="","missing date",IF($C256="","missing worker",IF($I256="?","unknown worker - was the name changed on Workers?",IF($D256="","missing type",IF(N($E256)=0,"missing amount",IF(AND($E256&lt;0,$D256&lt;&gt;"Correction"),"negative amount - use a Correction to undo",IF(OR($B256&lt;Weeks!$A$7,$B256&gt;Weeks!$B$59),"date outside this workbook's year",IF(AND($D256="Advance",N($L256)&lt;0),"Warning: more than earned so far - worker now owes "&amp;TEXT(ROUND(-$L256,0),"#,##0"),"")))))))))</f>
        <v/>
      </c>
      <c r="N256" s="125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</row>
    <row r="257" spans="1:40" s="127" customFormat="1" ht="21" customHeight="1" x14ac:dyDescent="0.25">
      <c r="A257" s="51" t="str">
        <f t="shared" si="9"/>
        <v/>
      </c>
      <c r="B257" s="77"/>
      <c r="C257" s="133"/>
      <c r="D257" s="50"/>
      <c r="E257" s="141"/>
      <c r="F257" s="133"/>
      <c r="G257" s="133"/>
      <c r="H257" s="50"/>
      <c r="I257" s="51" t="str">
        <f t="shared" si="10"/>
        <v/>
      </c>
      <c r="J257" s="52" t="str">
        <f t="shared" si="11"/>
        <v/>
      </c>
      <c r="K257" s="142" t="str">
        <f>IF(OR($I257="",$I257="?",$D257&lt;&gt;"Advance",$B257=""),"",$I257&amp;"|"&amp;$J257&amp;"|"&amp;COUNTIFS($I$7:$I257,$I257,$J$7:$J257,$J257,$D$7:$D257,"Advance"))</f>
        <v/>
      </c>
      <c r="L257" s="143" t="str">
        <f>IF(OR($I257="",$I257="?",$B257=""),"",SUMPRODUCT((Weeks!$A$7:$A$59&lt;=$J257)*(Weeks!$X$5:$AI$5=$I257)*Weeks!$X$7:$AI$59)-SUMIFS($E$7:$E$1006,$I$7:$I$1006,$I257,$B$7:$B$1006,"&lt;="&amp;$B257))</f>
        <v/>
      </c>
      <c r="M257" s="132" t="str">
        <f>IF($B257&amp;$C257&amp;$D257&amp;$E257="","",IF($B257="","missing date",IF($C257="","missing worker",IF($I257="?","unknown worker - was the name changed on Workers?",IF($D257="","missing type",IF(N($E257)=0,"missing amount",IF(AND($E257&lt;0,$D257&lt;&gt;"Correction"),"negative amount - use a Correction to undo",IF(OR($B257&lt;Weeks!$A$7,$B257&gt;Weeks!$B$59),"date outside this workbook's year",IF(AND($D257="Advance",N($L257)&lt;0),"Warning: more than earned so far - worker now owes "&amp;TEXT(ROUND(-$L257,0),"#,##0"),"")))))))))</f>
        <v/>
      </c>
      <c r="N257" s="125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</row>
    <row r="258" spans="1:40" s="127" customFormat="1" ht="21" customHeight="1" x14ac:dyDescent="0.25">
      <c r="A258" s="51" t="str">
        <f t="shared" si="9"/>
        <v/>
      </c>
      <c r="B258" s="77"/>
      <c r="C258" s="133"/>
      <c r="D258" s="50"/>
      <c r="E258" s="141"/>
      <c r="F258" s="133"/>
      <c r="G258" s="133"/>
      <c r="H258" s="50"/>
      <c r="I258" s="51" t="str">
        <f t="shared" si="10"/>
        <v/>
      </c>
      <c r="J258" s="52" t="str">
        <f t="shared" si="11"/>
        <v/>
      </c>
      <c r="K258" s="142" t="str">
        <f>IF(OR($I258="",$I258="?",$D258&lt;&gt;"Advance",$B258=""),"",$I258&amp;"|"&amp;$J258&amp;"|"&amp;COUNTIFS($I$7:$I258,$I258,$J$7:$J258,$J258,$D$7:$D258,"Advance"))</f>
        <v/>
      </c>
      <c r="L258" s="143" t="str">
        <f>IF(OR($I258="",$I258="?",$B258=""),"",SUMPRODUCT((Weeks!$A$7:$A$59&lt;=$J258)*(Weeks!$X$5:$AI$5=$I258)*Weeks!$X$7:$AI$59)-SUMIFS($E$7:$E$1006,$I$7:$I$1006,$I258,$B$7:$B$1006,"&lt;="&amp;$B258))</f>
        <v/>
      </c>
      <c r="M258" s="132" t="str">
        <f>IF($B258&amp;$C258&amp;$D258&amp;$E258="","",IF($B258="","missing date",IF($C258="","missing worker",IF($I258="?","unknown worker - was the name changed on Workers?",IF($D258="","missing type",IF(N($E258)=0,"missing amount",IF(AND($E258&lt;0,$D258&lt;&gt;"Correction"),"negative amount - use a Correction to undo",IF(OR($B258&lt;Weeks!$A$7,$B258&gt;Weeks!$B$59),"date outside this workbook's year",IF(AND($D258="Advance",N($L258)&lt;0),"Warning: more than earned so far - worker now owes "&amp;TEXT(ROUND(-$L258,0),"#,##0"),"")))))))))</f>
        <v/>
      </c>
      <c r="N258" s="125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</row>
    <row r="259" spans="1:40" s="127" customFormat="1" ht="21" customHeight="1" x14ac:dyDescent="0.25">
      <c r="A259" s="51" t="str">
        <f t="shared" si="9"/>
        <v/>
      </c>
      <c r="B259" s="77"/>
      <c r="C259" s="133"/>
      <c r="D259" s="50"/>
      <c r="E259" s="141"/>
      <c r="F259" s="133"/>
      <c r="G259" s="133"/>
      <c r="H259" s="50"/>
      <c r="I259" s="51" t="str">
        <f t="shared" si="10"/>
        <v/>
      </c>
      <c r="J259" s="52" t="str">
        <f t="shared" si="11"/>
        <v/>
      </c>
      <c r="K259" s="142" t="str">
        <f>IF(OR($I259="",$I259="?",$D259&lt;&gt;"Advance",$B259=""),"",$I259&amp;"|"&amp;$J259&amp;"|"&amp;COUNTIFS($I$7:$I259,$I259,$J$7:$J259,$J259,$D$7:$D259,"Advance"))</f>
        <v/>
      </c>
      <c r="L259" s="143" t="str">
        <f>IF(OR($I259="",$I259="?",$B259=""),"",SUMPRODUCT((Weeks!$A$7:$A$59&lt;=$J259)*(Weeks!$X$5:$AI$5=$I259)*Weeks!$X$7:$AI$59)-SUMIFS($E$7:$E$1006,$I$7:$I$1006,$I259,$B$7:$B$1006,"&lt;="&amp;$B259))</f>
        <v/>
      </c>
      <c r="M259" s="132" t="str">
        <f>IF($B259&amp;$C259&amp;$D259&amp;$E259="","",IF($B259="","missing date",IF($C259="","missing worker",IF($I259="?","unknown worker - was the name changed on Workers?",IF($D259="","missing type",IF(N($E259)=0,"missing amount",IF(AND($E259&lt;0,$D259&lt;&gt;"Correction"),"negative amount - use a Correction to undo",IF(OR($B259&lt;Weeks!$A$7,$B259&gt;Weeks!$B$59),"date outside this workbook's year",IF(AND($D259="Advance",N($L259)&lt;0),"Warning: more than earned so far - worker now owes "&amp;TEXT(ROUND(-$L259,0),"#,##0"),"")))))))))</f>
        <v/>
      </c>
      <c r="N259" s="125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</row>
    <row r="260" spans="1:40" s="127" customFormat="1" ht="21" customHeight="1" x14ac:dyDescent="0.25">
      <c r="A260" s="51" t="str">
        <f t="shared" si="9"/>
        <v/>
      </c>
      <c r="B260" s="77"/>
      <c r="C260" s="133"/>
      <c r="D260" s="50"/>
      <c r="E260" s="141"/>
      <c r="F260" s="133"/>
      <c r="G260" s="133"/>
      <c r="H260" s="50"/>
      <c r="I260" s="51" t="str">
        <f t="shared" si="10"/>
        <v/>
      </c>
      <c r="J260" s="52" t="str">
        <f t="shared" si="11"/>
        <v/>
      </c>
      <c r="K260" s="142" t="str">
        <f>IF(OR($I260="",$I260="?",$D260&lt;&gt;"Advance",$B260=""),"",$I260&amp;"|"&amp;$J260&amp;"|"&amp;COUNTIFS($I$7:$I260,$I260,$J$7:$J260,$J260,$D$7:$D260,"Advance"))</f>
        <v/>
      </c>
      <c r="L260" s="143" t="str">
        <f>IF(OR($I260="",$I260="?",$B260=""),"",SUMPRODUCT((Weeks!$A$7:$A$59&lt;=$J260)*(Weeks!$X$5:$AI$5=$I260)*Weeks!$X$7:$AI$59)-SUMIFS($E$7:$E$1006,$I$7:$I$1006,$I260,$B$7:$B$1006,"&lt;="&amp;$B260))</f>
        <v/>
      </c>
      <c r="M260" s="132" t="str">
        <f>IF($B260&amp;$C260&amp;$D260&amp;$E260="","",IF($B260="","missing date",IF($C260="","missing worker",IF($I260="?","unknown worker - was the name changed on Workers?",IF($D260="","missing type",IF(N($E260)=0,"missing amount",IF(AND($E260&lt;0,$D260&lt;&gt;"Correction"),"negative amount - use a Correction to undo",IF(OR($B260&lt;Weeks!$A$7,$B260&gt;Weeks!$B$59),"date outside this workbook's year",IF(AND($D260="Advance",N($L260)&lt;0),"Warning: more than earned so far - worker now owes "&amp;TEXT(ROUND(-$L260,0),"#,##0"),"")))))))))</f>
        <v/>
      </c>
      <c r="N260" s="125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</row>
    <row r="261" spans="1:40" s="127" customFormat="1" ht="21" customHeight="1" x14ac:dyDescent="0.25">
      <c r="A261" s="51" t="str">
        <f t="shared" si="9"/>
        <v/>
      </c>
      <c r="B261" s="77"/>
      <c r="C261" s="133"/>
      <c r="D261" s="50"/>
      <c r="E261" s="141"/>
      <c r="F261" s="133"/>
      <c r="G261" s="133"/>
      <c r="H261" s="50"/>
      <c r="I261" s="51" t="str">
        <f t="shared" si="10"/>
        <v/>
      </c>
      <c r="J261" s="52" t="str">
        <f t="shared" si="11"/>
        <v/>
      </c>
      <c r="K261" s="142" t="str">
        <f>IF(OR($I261="",$I261="?",$D261&lt;&gt;"Advance",$B261=""),"",$I261&amp;"|"&amp;$J261&amp;"|"&amp;COUNTIFS($I$7:$I261,$I261,$J$7:$J261,$J261,$D$7:$D261,"Advance"))</f>
        <v/>
      </c>
      <c r="L261" s="143" t="str">
        <f>IF(OR($I261="",$I261="?",$B261=""),"",SUMPRODUCT((Weeks!$A$7:$A$59&lt;=$J261)*(Weeks!$X$5:$AI$5=$I261)*Weeks!$X$7:$AI$59)-SUMIFS($E$7:$E$1006,$I$7:$I$1006,$I261,$B$7:$B$1006,"&lt;="&amp;$B261))</f>
        <v/>
      </c>
      <c r="M261" s="132" t="str">
        <f>IF($B261&amp;$C261&amp;$D261&amp;$E261="","",IF($B261="","missing date",IF($C261="","missing worker",IF($I261="?","unknown worker - was the name changed on Workers?",IF($D261="","missing type",IF(N($E261)=0,"missing amount",IF(AND($E261&lt;0,$D261&lt;&gt;"Correction"),"negative amount - use a Correction to undo",IF(OR($B261&lt;Weeks!$A$7,$B261&gt;Weeks!$B$59),"date outside this workbook's year",IF(AND($D261="Advance",N($L261)&lt;0),"Warning: more than earned so far - worker now owes "&amp;TEXT(ROUND(-$L261,0),"#,##0"),"")))))))))</f>
        <v/>
      </c>
      <c r="N261" s="125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</row>
    <row r="262" spans="1:40" s="127" customFormat="1" ht="21" customHeight="1" x14ac:dyDescent="0.25">
      <c r="A262" s="51" t="str">
        <f t="shared" si="9"/>
        <v/>
      </c>
      <c r="B262" s="77"/>
      <c r="C262" s="133"/>
      <c r="D262" s="50"/>
      <c r="E262" s="141"/>
      <c r="F262" s="133"/>
      <c r="G262" s="133"/>
      <c r="H262" s="50"/>
      <c r="I262" s="51" t="str">
        <f t="shared" si="10"/>
        <v/>
      </c>
      <c r="J262" s="52" t="str">
        <f t="shared" si="11"/>
        <v/>
      </c>
      <c r="K262" s="142" t="str">
        <f>IF(OR($I262="",$I262="?",$D262&lt;&gt;"Advance",$B262=""),"",$I262&amp;"|"&amp;$J262&amp;"|"&amp;COUNTIFS($I$7:$I262,$I262,$J$7:$J262,$J262,$D$7:$D262,"Advance"))</f>
        <v/>
      </c>
      <c r="L262" s="143" t="str">
        <f>IF(OR($I262="",$I262="?",$B262=""),"",SUMPRODUCT((Weeks!$A$7:$A$59&lt;=$J262)*(Weeks!$X$5:$AI$5=$I262)*Weeks!$X$7:$AI$59)-SUMIFS($E$7:$E$1006,$I$7:$I$1006,$I262,$B$7:$B$1006,"&lt;="&amp;$B262))</f>
        <v/>
      </c>
      <c r="M262" s="132" t="str">
        <f>IF($B262&amp;$C262&amp;$D262&amp;$E262="","",IF($B262="","missing date",IF($C262="","missing worker",IF($I262="?","unknown worker - was the name changed on Workers?",IF($D262="","missing type",IF(N($E262)=0,"missing amount",IF(AND($E262&lt;0,$D262&lt;&gt;"Correction"),"negative amount - use a Correction to undo",IF(OR($B262&lt;Weeks!$A$7,$B262&gt;Weeks!$B$59),"date outside this workbook's year",IF(AND($D262="Advance",N($L262)&lt;0),"Warning: more than earned so far - worker now owes "&amp;TEXT(ROUND(-$L262,0),"#,##0"),"")))))))))</f>
        <v/>
      </c>
      <c r="N262" s="125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</row>
    <row r="263" spans="1:40" s="127" customFormat="1" ht="21" customHeight="1" x14ac:dyDescent="0.25">
      <c r="A263" s="51" t="str">
        <f t="shared" ref="A263:A326" si="12">IF($B263="","",ROW()-6)</f>
        <v/>
      </c>
      <c r="B263" s="77"/>
      <c r="C263" s="133"/>
      <c r="D263" s="50"/>
      <c r="E263" s="141"/>
      <c r="F263" s="133"/>
      <c r="G263" s="133"/>
      <c r="H263" s="50"/>
      <c r="I263" s="51" t="str">
        <f t="shared" ref="I263:I326" si="13">IF($C263="","",IFERROR(INDEX(WorkerIDs,MATCH($C263,WorkerNames,0)),"?"))</f>
        <v/>
      </c>
      <c r="J263" s="52" t="str">
        <f t="shared" ref="J263:J326" si="14">IF($B263="","",$B263-WEEKDAY($B263,2)+1)</f>
        <v/>
      </c>
      <c r="K263" s="142" t="str">
        <f>IF(OR($I263="",$I263="?",$D263&lt;&gt;"Advance",$B263=""),"",$I263&amp;"|"&amp;$J263&amp;"|"&amp;COUNTIFS($I$7:$I263,$I263,$J$7:$J263,$J263,$D$7:$D263,"Advance"))</f>
        <v/>
      </c>
      <c r="L263" s="143" t="str">
        <f>IF(OR($I263="",$I263="?",$B263=""),"",SUMPRODUCT((Weeks!$A$7:$A$59&lt;=$J263)*(Weeks!$X$5:$AI$5=$I263)*Weeks!$X$7:$AI$59)-SUMIFS($E$7:$E$1006,$I$7:$I$1006,$I263,$B$7:$B$1006,"&lt;="&amp;$B263))</f>
        <v/>
      </c>
      <c r="M263" s="132" t="str">
        <f>IF($B263&amp;$C263&amp;$D263&amp;$E263="","",IF($B263="","missing date",IF($C263="","missing worker",IF($I263="?","unknown worker - was the name changed on Workers?",IF($D263="","missing type",IF(N($E263)=0,"missing amount",IF(AND($E263&lt;0,$D263&lt;&gt;"Correction"),"negative amount - use a Correction to undo",IF(OR($B263&lt;Weeks!$A$7,$B263&gt;Weeks!$B$59),"date outside this workbook's year",IF(AND($D263="Advance",N($L263)&lt;0),"Warning: more than earned so far - worker now owes "&amp;TEXT(ROUND(-$L263,0),"#,##0"),"")))))))))</f>
        <v/>
      </c>
      <c r="N263" s="125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</row>
    <row r="264" spans="1:40" s="127" customFormat="1" ht="21" customHeight="1" x14ac:dyDescent="0.25">
      <c r="A264" s="51" t="str">
        <f t="shared" si="12"/>
        <v/>
      </c>
      <c r="B264" s="77"/>
      <c r="C264" s="133"/>
      <c r="D264" s="50"/>
      <c r="E264" s="141"/>
      <c r="F264" s="133"/>
      <c r="G264" s="133"/>
      <c r="H264" s="50"/>
      <c r="I264" s="51" t="str">
        <f t="shared" si="13"/>
        <v/>
      </c>
      <c r="J264" s="52" t="str">
        <f t="shared" si="14"/>
        <v/>
      </c>
      <c r="K264" s="142" t="str">
        <f>IF(OR($I264="",$I264="?",$D264&lt;&gt;"Advance",$B264=""),"",$I264&amp;"|"&amp;$J264&amp;"|"&amp;COUNTIFS($I$7:$I264,$I264,$J$7:$J264,$J264,$D$7:$D264,"Advance"))</f>
        <v/>
      </c>
      <c r="L264" s="143" t="str">
        <f>IF(OR($I264="",$I264="?",$B264=""),"",SUMPRODUCT((Weeks!$A$7:$A$59&lt;=$J264)*(Weeks!$X$5:$AI$5=$I264)*Weeks!$X$7:$AI$59)-SUMIFS($E$7:$E$1006,$I$7:$I$1006,$I264,$B$7:$B$1006,"&lt;="&amp;$B264))</f>
        <v/>
      </c>
      <c r="M264" s="132" t="str">
        <f>IF($B264&amp;$C264&amp;$D264&amp;$E264="","",IF($B264="","missing date",IF($C264="","missing worker",IF($I264="?","unknown worker - was the name changed on Workers?",IF($D264="","missing type",IF(N($E264)=0,"missing amount",IF(AND($E264&lt;0,$D264&lt;&gt;"Correction"),"negative amount - use a Correction to undo",IF(OR($B264&lt;Weeks!$A$7,$B264&gt;Weeks!$B$59),"date outside this workbook's year",IF(AND($D264="Advance",N($L264)&lt;0),"Warning: more than earned so far - worker now owes "&amp;TEXT(ROUND(-$L264,0),"#,##0"),"")))))))))</f>
        <v/>
      </c>
      <c r="N264" s="125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</row>
    <row r="265" spans="1:40" s="127" customFormat="1" ht="21" customHeight="1" x14ac:dyDescent="0.25">
      <c r="A265" s="51" t="str">
        <f t="shared" si="12"/>
        <v/>
      </c>
      <c r="B265" s="77"/>
      <c r="C265" s="133"/>
      <c r="D265" s="50"/>
      <c r="E265" s="141"/>
      <c r="F265" s="133"/>
      <c r="G265" s="133"/>
      <c r="H265" s="50"/>
      <c r="I265" s="51" t="str">
        <f t="shared" si="13"/>
        <v/>
      </c>
      <c r="J265" s="52" t="str">
        <f t="shared" si="14"/>
        <v/>
      </c>
      <c r="K265" s="142" t="str">
        <f>IF(OR($I265="",$I265="?",$D265&lt;&gt;"Advance",$B265=""),"",$I265&amp;"|"&amp;$J265&amp;"|"&amp;COUNTIFS($I$7:$I265,$I265,$J$7:$J265,$J265,$D$7:$D265,"Advance"))</f>
        <v/>
      </c>
      <c r="L265" s="143" t="str">
        <f>IF(OR($I265="",$I265="?",$B265=""),"",SUMPRODUCT((Weeks!$A$7:$A$59&lt;=$J265)*(Weeks!$X$5:$AI$5=$I265)*Weeks!$X$7:$AI$59)-SUMIFS($E$7:$E$1006,$I$7:$I$1006,$I265,$B$7:$B$1006,"&lt;="&amp;$B265))</f>
        <v/>
      </c>
      <c r="M265" s="132" t="str">
        <f>IF($B265&amp;$C265&amp;$D265&amp;$E265="","",IF($B265="","missing date",IF($C265="","missing worker",IF($I265="?","unknown worker - was the name changed on Workers?",IF($D265="","missing type",IF(N($E265)=0,"missing amount",IF(AND($E265&lt;0,$D265&lt;&gt;"Correction"),"negative amount - use a Correction to undo",IF(OR($B265&lt;Weeks!$A$7,$B265&gt;Weeks!$B$59),"date outside this workbook's year",IF(AND($D265="Advance",N($L265)&lt;0),"Warning: more than earned so far - worker now owes "&amp;TEXT(ROUND(-$L265,0),"#,##0"),"")))))))))</f>
        <v/>
      </c>
      <c r="N265" s="125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</row>
    <row r="266" spans="1:40" s="127" customFormat="1" ht="21" customHeight="1" x14ac:dyDescent="0.25">
      <c r="A266" s="51" t="str">
        <f t="shared" si="12"/>
        <v/>
      </c>
      <c r="B266" s="77"/>
      <c r="C266" s="133"/>
      <c r="D266" s="50"/>
      <c r="E266" s="141"/>
      <c r="F266" s="133"/>
      <c r="G266" s="133"/>
      <c r="H266" s="50"/>
      <c r="I266" s="51" t="str">
        <f t="shared" si="13"/>
        <v/>
      </c>
      <c r="J266" s="52" t="str">
        <f t="shared" si="14"/>
        <v/>
      </c>
      <c r="K266" s="142" t="str">
        <f>IF(OR($I266="",$I266="?",$D266&lt;&gt;"Advance",$B266=""),"",$I266&amp;"|"&amp;$J266&amp;"|"&amp;COUNTIFS($I$7:$I266,$I266,$J$7:$J266,$J266,$D$7:$D266,"Advance"))</f>
        <v/>
      </c>
      <c r="L266" s="143" t="str">
        <f>IF(OR($I266="",$I266="?",$B266=""),"",SUMPRODUCT((Weeks!$A$7:$A$59&lt;=$J266)*(Weeks!$X$5:$AI$5=$I266)*Weeks!$X$7:$AI$59)-SUMIFS($E$7:$E$1006,$I$7:$I$1006,$I266,$B$7:$B$1006,"&lt;="&amp;$B266))</f>
        <v/>
      </c>
      <c r="M266" s="132" t="str">
        <f>IF($B266&amp;$C266&amp;$D266&amp;$E266="","",IF($B266="","missing date",IF($C266="","missing worker",IF($I266="?","unknown worker - was the name changed on Workers?",IF($D266="","missing type",IF(N($E266)=0,"missing amount",IF(AND($E266&lt;0,$D266&lt;&gt;"Correction"),"negative amount - use a Correction to undo",IF(OR($B266&lt;Weeks!$A$7,$B266&gt;Weeks!$B$59),"date outside this workbook's year",IF(AND($D266="Advance",N($L266)&lt;0),"Warning: more than earned so far - worker now owes "&amp;TEXT(ROUND(-$L266,0),"#,##0"),"")))))))))</f>
        <v/>
      </c>
      <c r="N266" s="125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</row>
    <row r="267" spans="1:40" s="127" customFormat="1" ht="21" customHeight="1" x14ac:dyDescent="0.25">
      <c r="A267" s="51" t="str">
        <f t="shared" si="12"/>
        <v/>
      </c>
      <c r="B267" s="77"/>
      <c r="C267" s="133"/>
      <c r="D267" s="50"/>
      <c r="E267" s="141"/>
      <c r="F267" s="133"/>
      <c r="G267" s="133"/>
      <c r="H267" s="50"/>
      <c r="I267" s="51" t="str">
        <f t="shared" si="13"/>
        <v/>
      </c>
      <c r="J267" s="52" t="str">
        <f t="shared" si="14"/>
        <v/>
      </c>
      <c r="K267" s="142" t="str">
        <f>IF(OR($I267="",$I267="?",$D267&lt;&gt;"Advance",$B267=""),"",$I267&amp;"|"&amp;$J267&amp;"|"&amp;COUNTIFS($I$7:$I267,$I267,$J$7:$J267,$J267,$D$7:$D267,"Advance"))</f>
        <v/>
      </c>
      <c r="L267" s="143" t="str">
        <f>IF(OR($I267="",$I267="?",$B267=""),"",SUMPRODUCT((Weeks!$A$7:$A$59&lt;=$J267)*(Weeks!$X$5:$AI$5=$I267)*Weeks!$X$7:$AI$59)-SUMIFS($E$7:$E$1006,$I$7:$I$1006,$I267,$B$7:$B$1006,"&lt;="&amp;$B267))</f>
        <v/>
      </c>
      <c r="M267" s="132" t="str">
        <f>IF($B267&amp;$C267&amp;$D267&amp;$E267="","",IF($B267="","missing date",IF($C267="","missing worker",IF($I267="?","unknown worker - was the name changed on Workers?",IF($D267="","missing type",IF(N($E267)=0,"missing amount",IF(AND($E267&lt;0,$D267&lt;&gt;"Correction"),"negative amount - use a Correction to undo",IF(OR($B267&lt;Weeks!$A$7,$B267&gt;Weeks!$B$59),"date outside this workbook's year",IF(AND($D267="Advance",N($L267)&lt;0),"Warning: more than earned so far - worker now owes "&amp;TEXT(ROUND(-$L267,0),"#,##0"),"")))))))))</f>
        <v/>
      </c>
      <c r="N267" s="125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</row>
    <row r="268" spans="1:40" s="127" customFormat="1" ht="21" customHeight="1" x14ac:dyDescent="0.25">
      <c r="A268" s="51" t="str">
        <f t="shared" si="12"/>
        <v/>
      </c>
      <c r="B268" s="77"/>
      <c r="C268" s="133"/>
      <c r="D268" s="50"/>
      <c r="E268" s="141"/>
      <c r="F268" s="133"/>
      <c r="G268" s="133"/>
      <c r="H268" s="50"/>
      <c r="I268" s="51" t="str">
        <f t="shared" si="13"/>
        <v/>
      </c>
      <c r="J268" s="52" t="str">
        <f t="shared" si="14"/>
        <v/>
      </c>
      <c r="K268" s="142" t="str">
        <f>IF(OR($I268="",$I268="?",$D268&lt;&gt;"Advance",$B268=""),"",$I268&amp;"|"&amp;$J268&amp;"|"&amp;COUNTIFS($I$7:$I268,$I268,$J$7:$J268,$J268,$D$7:$D268,"Advance"))</f>
        <v/>
      </c>
      <c r="L268" s="143" t="str">
        <f>IF(OR($I268="",$I268="?",$B268=""),"",SUMPRODUCT((Weeks!$A$7:$A$59&lt;=$J268)*(Weeks!$X$5:$AI$5=$I268)*Weeks!$X$7:$AI$59)-SUMIFS($E$7:$E$1006,$I$7:$I$1006,$I268,$B$7:$B$1006,"&lt;="&amp;$B268))</f>
        <v/>
      </c>
      <c r="M268" s="132" t="str">
        <f>IF($B268&amp;$C268&amp;$D268&amp;$E268="","",IF($B268="","missing date",IF($C268="","missing worker",IF($I268="?","unknown worker - was the name changed on Workers?",IF($D268="","missing type",IF(N($E268)=0,"missing amount",IF(AND($E268&lt;0,$D268&lt;&gt;"Correction"),"negative amount - use a Correction to undo",IF(OR($B268&lt;Weeks!$A$7,$B268&gt;Weeks!$B$59),"date outside this workbook's year",IF(AND($D268="Advance",N($L268)&lt;0),"Warning: more than earned so far - worker now owes "&amp;TEXT(ROUND(-$L268,0),"#,##0"),"")))))))))</f>
        <v/>
      </c>
      <c r="N268" s="125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</row>
    <row r="269" spans="1:40" s="127" customFormat="1" ht="21" customHeight="1" x14ac:dyDescent="0.25">
      <c r="A269" s="51" t="str">
        <f t="shared" si="12"/>
        <v/>
      </c>
      <c r="B269" s="77"/>
      <c r="C269" s="133"/>
      <c r="D269" s="50"/>
      <c r="E269" s="141"/>
      <c r="F269" s="133"/>
      <c r="G269" s="133"/>
      <c r="H269" s="50"/>
      <c r="I269" s="51" t="str">
        <f t="shared" si="13"/>
        <v/>
      </c>
      <c r="J269" s="52" t="str">
        <f t="shared" si="14"/>
        <v/>
      </c>
      <c r="K269" s="142" t="str">
        <f>IF(OR($I269="",$I269="?",$D269&lt;&gt;"Advance",$B269=""),"",$I269&amp;"|"&amp;$J269&amp;"|"&amp;COUNTIFS($I$7:$I269,$I269,$J$7:$J269,$J269,$D$7:$D269,"Advance"))</f>
        <v/>
      </c>
      <c r="L269" s="143" t="str">
        <f>IF(OR($I269="",$I269="?",$B269=""),"",SUMPRODUCT((Weeks!$A$7:$A$59&lt;=$J269)*(Weeks!$X$5:$AI$5=$I269)*Weeks!$X$7:$AI$59)-SUMIFS($E$7:$E$1006,$I$7:$I$1006,$I269,$B$7:$B$1006,"&lt;="&amp;$B269))</f>
        <v/>
      </c>
      <c r="M269" s="132" t="str">
        <f>IF($B269&amp;$C269&amp;$D269&amp;$E269="","",IF($B269="","missing date",IF($C269="","missing worker",IF($I269="?","unknown worker - was the name changed on Workers?",IF($D269="","missing type",IF(N($E269)=0,"missing amount",IF(AND($E269&lt;0,$D269&lt;&gt;"Correction"),"negative amount - use a Correction to undo",IF(OR($B269&lt;Weeks!$A$7,$B269&gt;Weeks!$B$59),"date outside this workbook's year",IF(AND($D269="Advance",N($L269)&lt;0),"Warning: more than earned so far - worker now owes "&amp;TEXT(ROUND(-$L269,0),"#,##0"),"")))))))))</f>
        <v/>
      </c>
      <c r="N269" s="125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</row>
    <row r="270" spans="1:40" s="127" customFormat="1" ht="21" customHeight="1" x14ac:dyDescent="0.25">
      <c r="A270" s="51" t="str">
        <f t="shared" si="12"/>
        <v/>
      </c>
      <c r="B270" s="77"/>
      <c r="C270" s="133"/>
      <c r="D270" s="50"/>
      <c r="E270" s="141"/>
      <c r="F270" s="133"/>
      <c r="G270" s="133"/>
      <c r="H270" s="50"/>
      <c r="I270" s="51" t="str">
        <f t="shared" si="13"/>
        <v/>
      </c>
      <c r="J270" s="52" t="str">
        <f t="shared" si="14"/>
        <v/>
      </c>
      <c r="K270" s="142" t="str">
        <f>IF(OR($I270="",$I270="?",$D270&lt;&gt;"Advance",$B270=""),"",$I270&amp;"|"&amp;$J270&amp;"|"&amp;COUNTIFS($I$7:$I270,$I270,$J$7:$J270,$J270,$D$7:$D270,"Advance"))</f>
        <v/>
      </c>
      <c r="L270" s="143" t="str">
        <f>IF(OR($I270="",$I270="?",$B270=""),"",SUMPRODUCT((Weeks!$A$7:$A$59&lt;=$J270)*(Weeks!$X$5:$AI$5=$I270)*Weeks!$X$7:$AI$59)-SUMIFS($E$7:$E$1006,$I$7:$I$1006,$I270,$B$7:$B$1006,"&lt;="&amp;$B270))</f>
        <v/>
      </c>
      <c r="M270" s="132" t="str">
        <f>IF($B270&amp;$C270&amp;$D270&amp;$E270="","",IF($B270="","missing date",IF($C270="","missing worker",IF($I270="?","unknown worker - was the name changed on Workers?",IF($D270="","missing type",IF(N($E270)=0,"missing amount",IF(AND($E270&lt;0,$D270&lt;&gt;"Correction"),"negative amount - use a Correction to undo",IF(OR($B270&lt;Weeks!$A$7,$B270&gt;Weeks!$B$59),"date outside this workbook's year",IF(AND($D270="Advance",N($L270)&lt;0),"Warning: more than earned so far - worker now owes "&amp;TEXT(ROUND(-$L270,0),"#,##0"),"")))))))))</f>
        <v/>
      </c>
      <c r="N270" s="125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</row>
    <row r="271" spans="1:40" s="127" customFormat="1" ht="21" customHeight="1" x14ac:dyDescent="0.25">
      <c r="A271" s="51" t="str">
        <f t="shared" si="12"/>
        <v/>
      </c>
      <c r="B271" s="77"/>
      <c r="C271" s="133"/>
      <c r="D271" s="50"/>
      <c r="E271" s="141"/>
      <c r="F271" s="133"/>
      <c r="G271" s="133"/>
      <c r="H271" s="50"/>
      <c r="I271" s="51" t="str">
        <f t="shared" si="13"/>
        <v/>
      </c>
      <c r="J271" s="52" t="str">
        <f t="shared" si="14"/>
        <v/>
      </c>
      <c r="K271" s="142" t="str">
        <f>IF(OR($I271="",$I271="?",$D271&lt;&gt;"Advance",$B271=""),"",$I271&amp;"|"&amp;$J271&amp;"|"&amp;COUNTIFS($I$7:$I271,$I271,$J$7:$J271,$J271,$D$7:$D271,"Advance"))</f>
        <v/>
      </c>
      <c r="L271" s="143" t="str">
        <f>IF(OR($I271="",$I271="?",$B271=""),"",SUMPRODUCT((Weeks!$A$7:$A$59&lt;=$J271)*(Weeks!$X$5:$AI$5=$I271)*Weeks!$X$7:$AI$59)-SUMIFS($E$7:$E$1006,$I$7:$I$1006,$I271,$B$7:$B$1006,"&lt;="&amp;$B271))</f>
        <v/>
      </c>
      <c r="M271" s="132" t="str">
        <f>IF($B271&amp;$C271&amp;$D271&amp;$E271="","",IF($B271="","missing date",IF($C271="","missing worker",IF($I271="?","unknown worker - was the name changed on Workers?",IF($D271="","missing type",IF(N($E271)=0,"missing amount",IF(AND($E271&lt;0,$D271&lt;&gt;"Correction"),"negative amount - use a Correction to undo",IF(OR($B271&lt;Weeks!$A$7,$B271&gt;Weeks!$B$59),"date outside this workbook's year",IF(AND($D271="Advance",N($L271)&lt;0),"Warning: more than earned so far - worker now owes "&amp;TEXT(ROUND(-$L271,0),"#,##0"),"")))))))))</f>
        <v/>
      </c>
      <c r="N271" s="125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</row>
    <row r="272" spans="1:40" s="127" customFormat="1" ht="21" customHeight="1" x14ac:dyDescent="0.25">
      <c r="A272" s="51" t="str">
        <f t="shared" si="12"/>
        <v/>
      </c>
      <c r="B272" s="77"/>
      <c r="C272" s="133"/>
      <c r="D272" s="50"/>
      <c r="E272" s="141"/>
      <c r="F272" s="133"/>
      <c r="G272" s="133"/>
      <c r="H272" s="50"/>
      <c r="I272" s="51" t="str">
        <f t="shared" si="13"/>
        <v/>
      </c>
      <c r="J272" s="52" t="str">
        <f t="shared" si="14"/>
        <v/>
      </c>
      <c r="K272" s="142" t="str">
        <f>IF(OR($I272="",$I272="?",$D272&lt;&gt;"Advance",$B272=""),"",$I272&amp;"|"&amp;$J272&amp;"|"&amp;COUNTIFS($I$7:$I272,$I272,$J$7:$J272,$J272,$D$7:$D272,"Advance"))</f>
        <v/>
      </c>
      <c r="L272" s="143" t="str">
        <f>IF(OR($I272="",$I272="?",$B272=""),"",SUMPRODUCT((Weeks!$A$7:$A$59&lt;=$J272)*(Weeks!$X$5:$AI$5=$I272)*Weeks!$X$7:$AI$59)-SUMIFS($E$7:$E$1006,$I$7:$I$1006,$I272,$B$7:$B$1006,"&lt;="&amp;$B272))</f>
        <v/>
      </c>
      <c r="M272" s="132" t="str">
        <f>IF($B272&amp;$C272&amp;$D272&amp;$E272="","",IF($B272="","missing date",IF($C272="","missing worker",IF($I272="?","unknown worker - was the name changed on Workers?",IF($D272="","missing type",IF(N($E272)=0,"missing amount",IF(AND($E272&lt;0,$D272&lt;&gt;"Correction"),"negative amount - use a Correction to undo",IF(OR($B272&lt;Weeks!$A$7,$B272&gt;Weeks!$B$59),"date outside this workbook's year",IF(AND($D272="Advance",N($L272)&lt;0),"Warning: more than earned so far - worker now owes "&amp;TEXT(ROUND(-$L272,0),"#,##0"),"")))))))))</f>
        <v/>
      </c>
      <c r="N272" s="125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</row>
    <row r="273" spans="1:40" s="127" customFormat="1" ht="21" customHeight="1" x14ac:dyDescent="0.25">
      <c r="A273" s="51" t="str">
        <f t="shared" si="12"/>
        <v/>
      </c>
      <c r="B273" s="77"/>
      <c r="C273" s="133"/>
      <c r="D273" s="50"/>
      <c r="E273" s="141"/>
      <c r="F273" s="133"/>
      <c r="G273" s="133"/>
      <c r="H273" s="50"/>
      <c r="I273" s="51" t="str">
        <f t="shared" si="13"/>
        <v/>
      </c>
      <c r="J273" s="52" t="str">
        <f t="shared" si="14"/>
        <v/>
      </c>
      <c r="K273" s="142" t="str">
        <f>IF(OR($I273="",$I273="?",$D273&lt;&gt;"Advance",$B273=""),"",$I273&amp;"|"&amp;$J273&amp;"|"&amp;COUNTIFS($I$7:$I273,$I273,$J$7:$J273,$J273,$D$7:$D273,"Advance"))</f>
        <v/>
      </c>
      <c r="L273" s="143" t="str">
        <f>IF(OR($I273="",$I273="?",$B273=""),"",SUMPRODUCT((Weeks!$A$7:$A$59&lt;=$J273)*(Weeks!$X$5:$AI$5=$I273)*Weeks!$X$7:$AI$59)-SUMIFS($E$7:$E$1006,$I$7:$I$1006,$I273,$B$7:$B$1006,"&lt;="&amp;$B273))</f>
        <v/>
      </c>
      <c r="M273" s="132" t="str">
        <f>IF($B273&amp;$C273&amp;$D273&amp;$E273="","",IF($B273="","missing date",IF($C273="","missing worker",IF($I273="?","unknown worker - was the name changed on Workers?",IF($D273="","missing type",IF(N($E273)=0,"missing amount",IF(AND($E273&lt;0,$D273&lt;&gt;"Correction"),"negative amount - use a Correction to undo",IF(OR($B273&lt;Weeks!$A$7,$B273&gt;Weeks!$B$59),"date outside this workbook's year",IF(AND($D273="Advance",N($L273)&lt;0),"Warning: more than earned so far - worker now owes "&amp;TEXT(ROUND(-$L273,0),"#,##0"),"")))))))))</f>
        <v/>
      </c>
      <c r="N273" s="125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</row>
    <row r="274" spans="1:40" s="127" customFormat="1" ht="21" customHeight="1" x14ac:dyDescent="0.25">
      <c r="A274" s="51" t="str">
        <f t="shared" si="12"/>
        <v/>
      </c>
      <c r="B274" s="77"/>
      <c r="C274" s="133"/>
      <c r="D274" s="50"/>
      <c r="E274" s="141"/>
      <c r="F274" s="133"/>
      <c r="G274" s="133"/>
      <c r="H274" s="50"/>
      <c r="I274" s="51" t="str">
        <f t="shared" si="13"/>
        <v/>
      </c>
      <c r="J274" s="52" t="str">
        <f t="shared" si="14"/>
        <v/>
      </c>
      <c r="K274" s="142" t="str">
        <f>IF(OR($I274="",$I274="?",$D274&lt;&gt;"Advance",$B274=""),"",$I274&amp;"|"&amp;$J274&amp;"|"&amp;COUNTIFS($I$7:$I274,$I274,$J$7:$J274,$J274,$D$7:$D274,"Advance"))</f>
        <v/>
      </c>
      <c r="L274" s="143" t="str">
        <f>IF(OR($I274="",$I274="?",$B274=""),"",SUMPRODUCT((Weeks!$A$7:$A$59&lt;=$J274)*(Weeks!$X$5:$AI$5=$I274)*Weeks!$X$7:$AI$59)-SUMIFS($E$7:$E$1006,$I$7:$I$1006,$I274,$B$7:$B$1006,"&lt;="&amp;$B274))</f>
        <v/>
      </c>
      <c r="M274" s="132" t="str">
        <f>IF($B274&amp;$C274&amp;$D274&amp;$E274="","",IF($B274="","missing date",IF($C274="","missing worker",IF($I274="?","unknown worker - was the name changed on Workers?",IF($D274="","missing type",IF(N($E274)=0,"missing amount",IF(AND($E274&lt;0,$D274&lt;&gt;"Correction"),"negative amount - use a Correction to undo",IF(OR($B274&lt;Weeks!$A$7,$B274&gt;Weeks!$B$59),"date outside this workbook's year",IF(AND($D274="Advance",N($L274)&lt;0),"Warning: more than earned so far - worker now owes "&amp;TEXT(ROUND(-$L274,0),"#,##0"),"")))))))))</f>
        <v/>
      </c>
      <c r="N274" s="125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</row>
    <row r="275" spans="1:40" s="127" customFormat="1" ht="21" customHeight="1" x14ac:dyDescent="0.25">
      <c r="A275" s="51" t="str">
        <f t="shared" si="12"/>
        <v/>
      </c>
      <c r="B275" s="77"/>
      <c r="C275" s="133"/>
      <c r="D275" s="50"/>
      <c r="E275" s="141"/>
      <c r="F275" s="133"/>
      <c r="G275" s="133"/>
      <c r="H275" s="50"/>
      <c r="I275" s="51" t="str">
        <f t="shared" si="13"/>
        <v/>
      </c>
      <c r="J275" s="52" t="str">
        <f t="shared" si="14"/>
        <v/>
      </c>
      <c r="K275" s="142" t="str">
        <f>IF(OR($I275="",$I275="?",$D275&lt;&gt;"Advance",$B275=""),"",$I275&amp;"|"&amp;$J275&amp;"|"&amp;COUNTIFS($I$7:$I275,$I275,$J$7:$J275,$J275,$D$7:$D275,"Advance"))</f>
        <v/>
      </c>
      <c r="L275" s="143" t="str">
        <f>IF(OR($I275="",$I275="?",$B275=""),"",SUMPRODUCT((Weeks!$A$7:$A$59&lt;=$J275)*(Weeks!$X$5:$AI$5=$I275)*Weeks!$X$7:$AI$59)-SUMIFS($E$7:$E$1006,$I$7:$I$1006,$I275,$B$7:$B$1006,"&lt;="&amp;$B275))</f>
        <v/>
      </c>
      <c r="M275" s="132" t="str">
        <f>IF($B275&amp;$C275&amp;$D275&amp;$E275="","",IF($B275="","missing date",IF($C275="","missing worker",IF($I275="?","unknown worker - was the name changed on Workers?",IF($D275="","missing type",IF(N($E275)=0,"missing amount",IF(AND($E275&lt;0,$D275&lt;&gt;"Correction"),"negative amount - use a Correction to undo",IF(OR($B275&lt;Weeks!$A$7,$B275&gt;Weeks!$B$59),"date outside this workbook's year",IF(AND($D275="Advance",N($L275)&lt;0),"Warning: more than earned so far - worker now owes "&amp;TEXT(ROUND(-$L275,0),"#,##0"),"")))))))))</f>
        <v/>
      </c>
      <c r="N275" s="125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</row>
    <row r="276" spans="1:40" s="127" customFormat="1" ht="21" customHeight="1" x14ac:dyDescent="0.25">
      <c r="A276" s="51" t="str">
        <f t="shared" si="12"/>
        <v/>
      </c>
      <c r="B276" s="77"/>
      <c r="C276" s="133"/>
      <c r="D276" s="50"/>
      <c r="E276" s="141"/>
      <c r="F276" s="133"/>
      <c r="G276" s="133"/>
      <c r="H276" s="50"/>
      <c r="I276" s="51" t="str">
        <f t="shared" si="13"/>
        <v/>
      </c>
      <c r="J276" s="52" t="str">
        <f t="shared" si="14"/>
        <v/>
      </c>
      <c r="K276" s="142" t="str">
        <f>IF(OR($I276="",$I276="?",$D276&lt;&gt;"Advance",$B276=""),"",$I276&amp;"|"&amp;$J276&amp;"|"&amp;COUNTIFS($I$7:$I276,$I276,$J$7:$J276,$J276,$D$7:$D276,"Advance"))</f>
        <v/>
      </c>
      <c r="L276" s="143" t="str">
        <f>IF(OR($I276="",$I276="?",$B276=""),"",SUMPRODUCT((Weeks!$A$7:$A$59&lt;=$J276)*(Weeks!$X$5:$AI$5=$I276)*Weeks!$X$7:$AI$59)-SUMIFS($E$7:$E$1006,$I$7:$I$1006,$I276,$B$7:$B$1006,"&lt;="&amp;$B276))</f>
        <v/>
      </c>
      <c r="M276" s="132" t="str">
        <f>IF($B276&amp;$C276&amp;$D276&amp;$E276="","",IF($B276="","missing date",IF($C276="","missing worker",IF($I276="?","unknown worker - was the name changed on Workers?",IF($D276="","missing type",IF(N($E276)=0,"missing amount",IF(AND($E276&lt;0,$D276&lt;&gt;"Correction"),"negative amount - use a Correction to undo",IF(OR($B276&lt;Weeks!$A$7,$B276&gt;Weeks!$B$59),"date outside this workbook's year",IF(AND($D276="Advance",N($L276)&lt;0),"Warning: more than earned so far - worker now owes "&amp;TEXT(ROUND(-$L276,0),"#,##0"),"")))))))))</f>
        <v/>
      </c>
      <c r="N276" s="125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</row>
    <row r="277" spans="1:40" s="127" customFormat="1" ht="21" customHeight="1" x14ac:dyDescent="0.25">
      <c r="A277" s="51" t="str">
        <f t="shared" si="12"/>
        <v/>
      </c>
      <c r="B277" s="77"/>
      <c r="C277" s="133"/>
      <c r="D277" s="50"/>
      <c r="E277" s="141"/>
      <c r="F277" s="133"/>
      <c r="G277" s="133"/>
      <c r="H277" s="50"/>
      <c r="I277" s="51" t="str">
        <f t="shared" si="13"/>
        <v/>
      </c>
      <c r="J277" s="52" t="str">
        <f t="shared" si="14"/>
        <v/>
      </c>
      <c r="K277" s="142" t="str">
        <f>IF(OR($I277="",$I277="?",$D277&lt;&gt;"Advance",$B277=""),"",$I277&amp;"|"&amp;$J277&amp;"|"&amp;COUNTIFS($I$7:$I277,$I277,$J$7:$J277,$J277,$D$7:$D277,"Advance"))</f>
        <v/>
      </c>
      <c r="L277" s="143" t="str">
        <f>IF(OR($I277="",$I277="?",$B277=""),"",SUMPRODUCT((Weeks!$A$7:$A$59&lt;=$J277)*(Weeks!$X$5:$AI$5=$I277)*Weeks!$X$7:$AI$59)-SUMIFS($E$7:$E$1006,$I$7:$I$1006,$I277,$B$7:$B$1006,"&lt;="&amp;$B277))</f>
        <v/>
      </c>
      <c r="M277" s="132" t="str">
        <f>IF($B277&amp;$C277&amp;$D277&amp;$E277="","",IF($B277="","missing date",IF($C277="","missing worker",IF($I277="?","unknown worker - was the name changed on Workers?",IF($D277="","missing type",IF(N($E277)=0,"missing amount",IF(AND($E277&lt;0,$D277&lt;&gt;"Correction"),"negative amount - use a Correction to undo",IF(OR($B277&lt;Weeks!$A$7,$B277&gt;Weeks!$B$59),"date outside this workbook's year",IF(AND($D277="Advance",N($L277)&lt;0),"Warning: more than earned so far - worker now owes "&amp;TEXT(ROUND(-$L277,0),"#,##0"),"")))))))))</f>
        <v/>
      </c>
      <c r="N277" s="125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</row>
    <row r="278" spans="1:40" s="127" customFormat="1" ht="21" customHeight="1" x14ac:dyDescent="0.25">
      <c r="A278" s="51" t="str">
        <f t="shared" si="12"/>
        <v/>
      </c>
      <c r="B278" s="77"/>
      <c r="C278" s="133"/>
      <c r="D278" s="50"/>
      <c r="E278" s="141"/>
      <c r="F278" s="133"/>
      <c r="G278" s="133"/>
      <c r="H278" s="50"/>
      <c r="I278" s="51" t="str">
        <f t="shared" si="13"/>
        <v/>
      </c>
      <c r="J278" s="52" t="str">
        <f t="shared" si="14"/>
        <v/>
      </c>
      <c r="K278" s="142" t="str">
        <f>IF(OR($I278="",$I278="?",$D278&lt;&gt;"Advance",$B278=""),"",$I278&amp;"|"&amp;$J278&amp;"|"&amp;COUNTIFS($I$7:$I278,$I278,$J$7:$J278,$J278,$D$7:$D278,"Advance"))</f>
        <v/>
      </c>
      <c r="L278" s="143" t="str">
        <f>IF(OR($I278="",$I278="?",$B278=""),"",SUMPRODUCT((Weeks!$A$7:$A$59&lt;=$J278)*(Weeks!$X$5:$AI$5=$I278)*Weeks!$X$7:$AI$59)-SUMIFS($E$7:$E$1006,$I$7:$I$1006,$I278,$B$7:$B$1006,"&lt;="&amp;$B278))</f>
        <v/>
      </c>
      <c r="M278" s="132" t="str">
        <f>IF($B278&amp;$C278&amp;$D278&amp;$E278="","",IF($B278="","missing date",IF($C278="","missing worker",IF($I278="?","unknown worker - was the name changed on Workers?",IF($D278="","missing type",IF(N($E278)=0,"missing amount",IF(AND($E278&lt;0,$D278&lt;&gt;"Correction"),"negative amount - use a Correction to undo",IF(OR($B278&lt;Weeks!$A$7,$B278&gt;Weeks!$B$59),"date outside this workbook's year",IF(AND($D278="Advance",N($L278)&lt;0),"Warning: more than earned so far - worker now owes "&amp;TEXT(ROUND(-$L278,0),"#,##0"),"")))))))))</f>
        <v/>
      </c>
      <c r="N278" s="125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</row>
    <row r="279" spans="1:40" s="127" customFormat="1" ht="21" customHeight="1" x14ac:dyDescent="0.25">
      <c r="A279" s="51" t="str">
        <f t="shared" si="12"/>
        <v/>
      </c>
      <c r="B279" s="77"/>
      <c r="C279" s="133"/>
      <c r="D279" s="50"/>
      <c r="E279" s="141"/>
      <c r="F279" s="133"/>
      <c r="G279" s="133"/>
      <c r="H279" s="50"/>
      <c r="I279" s="51" t="str">
        <f t="shared" si="13"/>
        <v/>
      </c>
      <c r="J279" s="52" t="str">
        <f t="shared" si="14"/>
        <v/>
      </c>
      <c r="K279" s="142" t="str">
        <f>IF(OR($I279="",$I279="?",$D279&lt;&gt;"Advance",$B279=""),"",$I279&amp;"|"&amp;$J279&amp;"|"&amp;COUNTIFS($I$7:$I279,$I279,$J$7:$J279,$J279,$D$7:$D279,"Advance"))</f>
        <v/>
      </c>
      <c r="L279" s="143" t="str">
        <f>IF(OR($I279="",$I279="?",$B279=""),"",SUMPRODUCT((Weeks!$A$7:$A$59&lt;=$J279)*(Weeks!$X$5:$AI$5=$I279)*Weeks!$X$7:$AI$59)-SUMIFS($E$7:$E$1006,$I$7:$I$1006,$I279,$B$7:$B$1006,"&lt;="&amp;$B279))</f>
        <v/>
      </c>
      <c r="M279" s="132" t="str">
        <f>IF($B279&amp;$C279&amp;$D279&amp;$E279="","",IF($B279="","missing date",IF($C279="","missing worker",IF($I279="?","unknown worker - was the name changed on Workers?",IF($D279="","missing type",IF(N($E279)=0,"missing amount",IF(AND($E279&lt;0,$D279&lt;&gt;"Correction"),"negative amount - use a Correction to undo",IF(OR($B279&lt;Weeks!$A$7,$B279&gt;Weeks!$B$59),"date outside this workbook's year",IF(AND($D279="Advance",N($L279)&lt;0),"Warning: more than earned so far - worker now owes "&amp;TEXT(ROUND(-$L279,0),"#,##0"),"")))))))))</f>
        <v/>
      </c>
      <c r="N279" s="125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</row>
    <row r="280" spans="1:40" s="127" customFormat="1" ht="21" customHeight="1" x14ac:dyDescent="0.25">
      <c r="A280" s="51" t="str">
        <f t="shared" si="12"/>
        <v/>
      </c>
      <c r="B280" s="77"/>
      <c r="C280" s="133"/>
      <c r="D280" s="50"/>
      <c r="E280" s="141"/>
      <c r="F280" s="133"/>
      <c r="G280" s="133"/>
      <c r="H280" s="50"/>
      <c r="I280" s="51" t="str">
        <f t="shared" si="13"/>
        <v/>
      </c>
      <c r="J280" s="52" t="str">
        <f t="shared" si="14"/>
        <v/>
      </c>
      <c r="K280" s="142" t="str">
        <f>IF(OR($I280="",$I280="?",$D280&lt;&gt;"Advance",$B280=""),"",$I280&amp;"|"&amp;$J280&amp;"|"&amp;COUNTIFS($I$7:$I280,$I280,$J$7:$J280,$J280,$D$7:$D280,"Advance"))</f>
        <v/>
      </c>
      <c r="L280" s="143" t="str">
        <f>IF(OR($I280="",$I280="?",$B280=""),"",SUMPRODUCT((Weeks!$A$7:$A$59&lt;=$J280)*(Weeks!$X$5:$AI$5=$I280)*Weeks!$X$7:$AI$59)-SUMIFS($E$7:$E$1006,$I$7:$I$1006,$I280,$B$7:$B$1006,"&lt;="&amp;$B280))</f>
        <v/>
      </c>
      <c r="M280" s="132" t="str">
        <f>IF($B280&amp;$C280&amp;$D280&amp;$E280="","",IF($B280="","missing date",IF($C280="","missing worker",IF($I280="?","unknown worker - was the name changed on Workers?",IF($D280="","missing type",IF(N($E280)=0,"missing amount",IF(AND($E280&lt;0,$D280&lt;&gt;"Correction"),"negative amount - use a Correction to undo",IF(OR($B280&lt;Weeks!$A$7,$B280&gt;Weeks!$B$59),"date outside this workbook's year",IF(AND($D280="Advance",N($L280)&lt;0),"Warning: more than earned so far - worker now owes "&amp;TEXT(ROUND(-$L280,0),"#,##0"),"")))))))))</f>
        <v/>
      </c>
      <c r="N280" s="125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</row>
    <row r="281" spans="1:40" s="127" customFormat="1" ht="21" customHeight="1" x14ac:dyDescent="0.25">
      <c r="A281" s="51" t="str">
        <f t="shared" si="12"/>
        <v/>
      </c>
      <c r="B281" s="77"/>
      <c r="C281" s="133"/>
      <c r="D281" s="50"/>
      <c r="E281" s="141"/>
      <c r="F281" s="133"/>
      <c r="G281" s="133"/>
      <c r="H281" s="50"/>
      <c r="I281" s="51" t="str">
        <f t="shared" si="13"/>
        <v/>
      </c>
      <c r="J281" s="52" t="str">
        <f t="shared" si="14"/>
        <v/>
      </c>
      <c r="K281" s="142" t="str">
        <f>IF(OR($I281="",$I281="?",$D281&lt;&gt;"Advance",$B281=""),"",$I281&amp;"|"&amp;$J281&amp;"|"&amp;COUNTIFS($I$7:$I281,$I281,$J$7:$J281,$J281,$D$7:$D281,"Advance"))</f>
        <v/>
      </c>
      <c r="L281" s="143" t="str">
        <f>IF(OR($I281="",$I281="?",$B281=""),"",SUMPRODUCT((Weeks!$A$7:$A$59&lt;=$J281)*(Weeks!$X$5:$AI$5=$I281)*Weeks!$X$7:$AI$59)-SUMIFS($E$7:$E$1006,$I$7:$I$1006,$I281,$B$7:$B$1006,"&lt;="&amp;$B281))</f>
        <v/>
      </c>
      <c r="M281" s="132" t="str">
        <f>IF($B281&amp;$C281&amp;$D281&amp;$E281="","",IF($B281="","missing date",IF($C281="","missing worker",IF($I281="?","unknown worker - was the name changed on Workers?",IF($D281="","missing type",IF(N($E281)=0,"missing amount",IF(AND($E281&lt;0,$D281&lt;&gt;"Correction"),"negative amount - use a Correction to undo",IF(OR($B281&lt;Weeks!$A$7,$B281&gt;Weeks!$B$59),"date outside this workbook's year",IF(AND($D281="Advance",N($L281)&lt;0),"Warning: more than earned so far - worker now owes "&amp;TEXT(ROUND(-$L281,0),"#,##0"),"")))))))))</f>
        <v/>
      </c>
      <c r="N281" s="125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</row>
    <row r="282" spans="1:40" s="127" customFormat="1" ht="21" customHeight="1" x14ac:dyDescent="0.25">
      <c r="A282" s="51" t="str">
        <f t="shared" si="12"/>
        <v/>
      </c>
      <c r="B282" s="77"/>
      <c r="C282" s="133"/>
      <c r="D282" s="50"/>
      <c r="E282" s="141"/>
      <c r="F282" s="133"/>
      <c r="G282" s="133"/>
      <c r="H282" s="50"/>
      <c r="I282" s="51" t="str">
        <f t="shared" si="13"/>
        <v/>
      </c>
      <c r="J282" s="52" t="str">
        <f t="shared" si="14"/>
        <v/>
      </c>
      <c r="K282" s="142" t="str">
        <f>IF(OR($I282="",$I282="?",$D282&lt;&gt;"Advance",$B282=""),"",$I282&amp;"|"&amp;$J282&amp;"|"&amp;COUNTIFS($I$7:$I282,$I282,$J$7:$J282,$J282,$D$7:$D282,"Advance"))</f>
        <v/>
      </c>
      <c r="L282" s="143" t="str">
        <f>IF(OR($I282="",$I282="?",$B282=""),"",SUMPRODUCT((Weeks!$A$7:$A$59&lt;=$J282)*(Weeks!$X$5:$AI$5=$I282)*Weeks!$X$7:$AI$59)-SUMIFS($E$7:$E$1006,$I$7:$I$1006,$I282,$B$7:$B$1006,"&lt;="&amp;$B282))</f>
        <v/>
      </c>
      <c r="M282" s="132" t="str">
        <f>IF($B282&amp;$C282&amp;$D282&amp;$E282="","",IF($B282="","missing date",IF($C282="","missing worker",IF($I282="?","unknown worker - was the name changed on Workers?",IF($D282="","missing type",IF(N($E282)=0,"missing amount",IF(AND($E282&lt;0,$D282&lt;&gt;"Correction"),"negative amount - use a Correction to undo",IF(OR($B282&lt;Weeks!$A$7,$B282&gt;Weeks!$B$59),"date outside this workbook's year",IF(AND($D282="Advance",N($L282)&lt;0),"Warning: more than earned so far - worker now owes "&amp;TEXT(ROUND(-$L282,0),"#,##0"),"")))))))))</f>
        <v/>
      </c>
      <c r="N282" s="125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</row>
    <row r="283" spans="1:40" s="127" customFormat="1" ht="21" customHeight="1" x14ac:dyDescent="0.25">
      <c r="A283" s="51" t="str">
        <f t="shared" si="12"/>
        <v/>
      </c>
      <c r="B283" s="77"/>
      <c r="C283" s="133"/>
      <c r="D283" s="50"/>
      <c r="E283" s="141"/>
      <c r="F283" s="133"/>
      <c r="G283" s="133"/>
      <c r="H283" s="50"/>
      <c r="I283" s="51" t="str">
        <f t="shared" si="13"/>
        <v/>
      </c>
      <c r="J283" s="52" t="str">
        <f t="shared" si="14"/>
        <v/>
      </c>
      <c r="K283" s="142" t="str">
        <f>IF(OR($I283="",$I283="?",$D283&lt;&gt;"Advance",$B283=""),"",$I283&amp;"|"&amp;$J283&amp;"|"&amp;COUNTIFS($I$7:$I283,$I283,$J$7:$J283,$J283,$D$7:$D283,"Advance"))</f>
        <v/>
      </c>
      <c r="L283" s="143" t="str">
        <f>IF(OR($I283="",$I283="?",$B283=""),"",SUMPRODUCT((Weeks!$A$7:$A$59&lt;=$J283)*(Weeks!$X$5:$AI$5=$I283)*Weeks!$X$7:$AI$59)-SUMIFS($E$7:$E$1006,$I$7:$I$1006,$I283,$B$7:$B$1006,"&lt;="&amp;$B283))</f>
        <v/>
      </c>
      <c r="M283" s="132" t="str">
        <f>IF($B283&amp;$C283&amp;$D283&amp;$E283="","",IF($B283="","missing date",IF($C283="","missing worker",IF($I283="?","unknown worker - was the name changed on Workers?",IF($D283="","missing type",IF(N($E283)=0,"missing amount",IF(AND($E283&lt;0,$D283&lt;&gt;"Correction"),"negative amount - use a Correction to undo",IF(OR($B283&lt;Weeks!$A$7,$B283&gt;Weeks!$B$59),"date outside this workbook's year",IF(AND($D283="Advance",N($L283)&lt;0),"Warning: more than earned so far - worker now owes "&amp;TEXT(ROUND(-$L283,0),"#,##0"),"")))))))))</f>
        <v/>
      </c>
      <c r="N283" s="125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</row>
    <row r="284" spans="1:40" s="127" customFormat="1" ht="21" customHeight="1" x14ac:dyDescent="0.25">
      <c r="A284" s="51" t="str">
        <f t="shared" si="12"/>
        <v/>
      </c>
      <c r="B284" s="77"/>
      <c r="C284" s="133"/>
      <c r="D284" s="50"/>
      <c r="E284" s="141"/>
      <c r="F284" s="133"/>
      <c r="G284" s="133"/>
      <c r="H284" s="50"/>
      <c r="I284" s="51" t="str">
        <f t="shared" si="13"/>
        <v/>
      </c>
      <c r="J284" s="52" t="str">
        <f t="shared" si="14"/>
        <v/>
      </c>
      <c r="K284" s="142" t="str">
        <f>IF(OR($I284="",$I284="?",$D284&lt;&gt;"Advance",$B284=""),"",$I284&amp;"|"&amp;$J284&amp;"|"&amp;COUNTIFS($I$7:$I284,$I284,$J$7:$J284,$J284,$D$7:$D284,"Advance"))</f>
        <v/>
      </c>
      <c r="L284" s="143" t="str">
        <f>IF(OR($I284="",$I284="?",$B284=""),"",SUMPRODUCT((Weeks!$A$7:$A$59&lt;=$J284)*(Weeks!$X$5:$AI$5=$I284)*Weeks!$X$7:$AI$59)-SUMIFS($E$7:$E$1006,$I$7:$I$1006,$I284,$B$7:$B$1006,"&lt;="&amp;$B284))</f>
        <v/>
      </c>
      <c r="M284" s="132" t="str">
        <f>IF($B284&amp;$C284&amp;$D284&amp;$E284="","",IF($B284="","missing date",IF($C284="","missing worker",IF($I284="?","unknown worker - was the name changed on Workers?",IF($D284="","missing type",IF(N($E284)=0,"missing amount",IF(AND($E284&lt;0,$D284&lt;&gt;"Correction"),"negative amount - use a Correction to undo",IF(OR($B284&lt;Weeks!$A$7,$B284&gt;Weeks!$B$59),"date outside this workbook's year",IF(AND($D284="Advance",N($L284)&lt;0),"Warning: more than earned so far - worker now owes "&amp;TEXT(ROUND(-$L284,0),"#,##0"),"")))))))))</f>
        <v/>
      </c>
      <c r="N284" s="125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</row>
    <row r="285" spans="1:40" s="127" customFormat="1" ht="21" customHeight="1" x14ac:dyDescent="0.25">
      <c r="A285" s="51" t="str">
        <f t="shared" si="12"/>
        <v/>
      </c>
      <c r="B285" s="77"/>
      <c r="C285" s="133"/>
      <c r="D285" s="50"/>
      <c r="E285" s="141"/>
      <c r="F285" s="133"/>
      <c r="G285" s="133"/>
      <c r="H285" s="50"/>
      <c r="I285" s="51" t="str">
        <f t="shared" si="13"/>
        <v/>
      </c>
      <c r="J285" s="52" t="str">
        <f t="shared" si="14"/>
        <v/>
      </c>
      <c r="K285" s="142" t="str">
        <f>IF(OR($I285="",$I285="?",$D285&lt;&gt;"Advance",$B285=""),"",$I285&amp;"|"&amp;$J285&amp;"|"&amp;COUNTIFS($I$7:$I285,$I285,$J$7:$J285,$J285,$D$7:$D285,"Advance"))</f>
        <v/>
      </c>
      <c r="L285" s="143" t="str">
        <f>IF(OR($I285="",$I285="?",$B285=""),"",SUMPRODUCT((Weeks!$A$7:$A$59&lt;=$J285)*(Weeks!$X$5:$AI$5=$I285)*Weeks!$X$7:$AI$59)-SUMIFS($E$7:$E$1006,$I$7:$I$1006,$I285,$B$7:$B$1006,"&lt;="&amp;$B285))</f>
        <v/>
      </c>
      <c r="M285" s="132" t="str">
        <f>IF($B285&amp;$C285&amp;$D285&amp;$E285="","",IF($B285="","missing date",IF($C285="","missing worker",IF($I285="?","unknown worker - was the name changed on Workers?",IF($D285="","missing type",IF(N($E285)=0,"missing amount",IF(AND($E285&lt;0,$D285&lt;&gt;"Correction"),"negative amount - use a Correction to undo",IF(OR($B285&lt;Weeks!$A$7,$B285&gt;Weeks!$B$59),"date outside this workbook's year",IF(AND($D285="Advance",N($L285)&lt;0),"Warning: more than earned so far - worker now owes "&amp;TEXT(ROUND(-$L285,0),"#,##0"),"")))))))))</f>
        <v/>
      </c>
      <c r="N285" s="125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</row>
    <row r="286" spans="1:40" s="127" customFormat="1" ht="21" customHeight="1" x14ac:dyDescent="0.25">
      <c r="A286" s="51" t="str">
        <f t="shared" si="12"/>
        <v/>
      </c>
      <c r="B286" s="77"/>
      <c r="C286" s="133"/>
      <c r="D286" s="50"/>
      <c r="E286" s="141"/>
      <c r="F286" s="133"/>
      <c r="G286" s="133"/>
      <c r="H286" s="50"/>
      <c r="I286" s="51" t="str">
        <f t="shared" si="13"/>
        <v/>
      </c>
      <c r="J286" s="52" t="str">
        <f t="shared" si="14"/>
        <v/>
      </c>
      <c r="K286" s="142" t="str">
        <f>IF(OR($I286="",$I286="?",$D286&lt;&gt;"Advance",$B286=""),"",$I286&amp;"|"&amp;$J286&amp;"|"&amp;COUNTIFS($I$7:$I286,$I286,$J$7:$J286,$J286,$D$7:$D286,"Advance"))</f>
        <v/>
      </c>
      <c r="L286" s="143" t="str">
        <f>IF(OR($I286="",$I286="?",$B286=""),"",SUMPRODUCT((Weeks!$A$7:$A$59&lt;=$J286)*(Weeks!$X$5:$AI$5=$I286)*Weeks!$X$7:$AI$59)-SUMIFS($E$7:$E$1006,$I$7:$I$1006,$I286,$B$7:$B$1006,"&lt;="&amp;$B286))</f>
        <v/>
      </c>
      <c r="M286" s="132" t="str">
        <f>IF($B286&amp;$C286&amp;$D286&amp;$E286="","",IF($B286="","missing date",IF($C286="","missing worker",IF($I286="?","unknown worker - was the name changed on Workers?",IF($D286="","missing type",IF(N($E286)=0,"missing amount",IF(AND($E286&lt;0,$D286&lt;&gt;"Correction"),"negative amount - use a Correction to undo",IF(OR($B286&lt;Weeks!$A$7,$B286&gt;Weeks!$B$59),"date outside this workbook's year",IF(AND($D286="Advance",N($L286)&lt;0),"Warning: more than earned so far - worker now owes "&amp;TEXT(ROUND(-$L286,0),"#,##0"),"")))))))))</f>
        <v/>
      </c>
      <c r="N286" s="125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</row>
    <row r="287" spans="1:40" s="127" customFormat="1" ht="21" customHeight="1" x14ac:dyDescent="0.25">
      <c r="A287" s="51" t="str">
        <f t="shared" si="12"/>
        <v/>
      </c>
      <c r="B287" s="77"/>
      <c r="C287" s="133"/>
      <c r="D287" s="50"/>
      <c r="E287" s="141"/>
      <c r="F287" s="133"/>
      <c r="G287" s="133"/>
      <c r="H287" s="50"/>
      <c r="I287" s="51" t="str">
        <f t="shared" si="13"/>
        <v/>
      </c>
      <c r="J287" s="52" t="str">
        <f t="shared" si="14"/>
        <v/>
      </c>
      <c r="K287" s="142" t="str">
        <f>IF(OR($I287="",$I287="?",$D287&lt;&gt;"Advance",$B287=""),"",$I287&amp;"|"&amp;$J287&amp;"|"&amp;COUNTIFS($I$7:$I287,$I287,$J$7:$J287,$J287,$D$7:$D287,"Advance"))</f>
        <v/>
      </c>
      <c r="L287" s="143" t="str">
        <f>IF(OR($I287="",$I287="?",$B287=""),"",SUMPRODUCT((Weeks!$A$7:$A$59&lt;=$J287)*(Weeks!$X$5:$AI$5=$I287)*Weeks!$X$7:$AI$59)-SUMIFS($E$7:$E$1006,$I$7:$I$1006,$I287,$B$7:$B$1006,"&lt;="&amp;$B287))</f>
        <v/>
      </c>
      <c r="M287" s="132" t="str">
        <f>IF($B287&amp;$C287&amp;$D287&amp;$E287="","",IF($B287="","missing date",IF($C287="","missing worker",IF($I287="?","unknown worker - was the name changed on Workers?",IF($D287="","missing type",IF(N($E287)=0,"missing amount",IF(AND($E287&lt;0,$D287&lt;&gt;"Correction"),"negative amount - use a Correction to undo",IF(OR($B287&lt;Weeks!$A$7,$B287&gt;Weeks!$B$59),"date outside this workbook's year",IF(AND($D287="Advance",N($L287)&lt;0),"Warning: more than earned so far - worker now owes "&amp;TEXT(ROUND(-$L287,0),"#,##0"),"")))))))))</f>
        <v/>
      </c>
      <c r="N287" s="125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</row>
    <row r="288" spans="1:40" s="127" customFormat="1" ht="21" customHeight="1" x14ac:dyDescent="0.25">
      <c r="A288" s="51" t="str">
        <f t="shared" si="12"/>
        <v/>
      </c>
      <c r="B288" s="77"/>
      <c r="C288" s="133"/>
      <c r="D288" s="50"/>
      <c r="E288" s="141"/>
      <c r="F288" s="133"/>
      <c r="G288" s="133"/>
      <c r="H288" s="50"/>
      <c r="I288" s="51" t="str">
        <f t="shared" si="13"/>
        <v/>
      </c>
      <c r="J288" s="52" t="str">
        <f t="shared" si="14"/>
        <v/>
      </c>
      <c r="K288" s="142" t="str">
        <f>IF(OR($I288="",$I288="?",$D288&lt;&gt;"Advance",$B288=""),"",$I288&amp;"|"&amp;$J288&amp;"|"&amp;COUNTIFS($I$7:$I288,$I288,$J$7:$J288,$J288,$D$7:$D288,"Advance"))</f>
        <v/>
      </c>
      <c r="L288" s="143" t="str">
        <f>IF(OR($I288="",$I288="?",$B288=""),"",SUMPRODUCT((Weeks!$A$7:$A$59&lt;=$J288)*(Weeks!$X$5:$AI$5=$I288)*Weeks!$X$7:$AI$59)-SUMIFS($E$7:$E$1006,$I$7:$I$1006,$I288,$B$7:$B$1006,"&lt;="&amp;$B288))</f>
        <v/>
      </c>
      <c r="M288" s="132" t="str">
        <f>IF($B288&amp;$C288&amp;$D288&amp;$E288="","",IF($B288="","missing date",IF($C288="","missing worker",IF($I288="?","unknown worker - was the name changed on Workers?",IF($D288="","missing type",IF(N($E288)=0,"missing amount",IF(AND($E288&lt;0,$D288&lt;&gt;"Correction"),"negative amount - use a Correction to undo",IF(OR($B288&lt;Weeks!$A$7,$B288&gt;Weeks!$B$59),"date outside this workbook's year",IF(AND($D288="Advance",N($L288)&lt;0),"Warning: more than earned so far - worker now owes "&amp;TEXT(ROUND(-$L288,0),"#,##0"),"")))))))))</f>
        <v/>
      </c>
      <c r="N288" s="125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</row>
    <row r="289" spans="1:40" s="127" customFormat="1" ht="21" customHeight="1" x14ac:dyDescent="0.25">
      <c r="A289" s="51" t="str">
        <f t="shared" si="12"/>
        <v/>
      </c>
      <c r="B289" s="77"/>
      <c r="C289" s="133"/>
      <c r="D289" s="50"/>
      <c r="E289" s="141"/>
      <c r="F289" s="133"/>
      <c r="G289" s="133"/>
      <c r="H289" s="50"/>
      <c r="I289" s="51" t="str">
        <f t="shared" si="13"/>
        <v/>
      </c>
      <c r="J289" s="52" t="str">
        <f t="shared" si="14"/>
        <v/>
      </c>
      <c r="K289" s="142" t="str">
        <f>IF(OR($I289="",$I289="?",$D289&lt;&gt;"Advance",$B289=""),"",$I289&amp;"|"&amp;$J289&amp;"|"&amp;COUNTIFS($I$7:$I289,$I289,$J$7:$J289,$J289,$D$7:$D289,"Advance"))</f>
        <v/>
      </c>
      <c r="L289" s="143" t="str">
        <f>IF(OR($I289="",$I289="?",$B289=""),"",SUMPRODUCT((Weeks!$A$7:$A$59&lt;=$J289)*(Weeks!$X$5:$AI$5=$I289)*Weeks!$X$7:$AI$59)-SUMIFS($E$7:$E$1006,$I$7:$I$1006,$I289,$B$7:$B$1006,"&lt;="&amp;$B289))</f>
        <v/>
      </c>
      <c r="M289" s="132" t="str">
        <f>IF($B289&amp;$C289&amp;$D289&amp;$E289="","",IF($B289="","missing date",IF($C289="","missing worker",IF($I289="?","unknown worker - was the name changed on Workers?",IF($D289="","missing type",IF(N($E289)=0,"missing amount",IF(AND($E289&lt;0,$D289&lt;&gt;"Correction"),"negative amount - use a Correction to undo",IF(OR($B289&lt;Weeks!$A$7,$B289&gt;Weeks!$B$59),"date outside this workbook's year",IF(AND($D289="Advance",N($L289)&lt;0),"Warning: more than earned so far - worker now owes "&amp;TEXT(ROUND(-$L289,0),"#,##0"),"")))))))))</f>
        <v/>
      </c>
      <c r="N289" s="125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</row>
    <row r="290" spans="1:40" s="127" customFormat="1" ht="21" customHeight="1" x14ac:dyDescent="0.25">
      <c r="A290" s="51" t="str">
        <f t="shared" si="12"/>
        <v/>
      </c>
      <c r="B290" s="77"/>
      <c r="C290" s="133"/>
      <c r="D290" s="50"/>
      <c r="E290" s="141"/>
      <c r="F290" s="133"/>
      <c r="G290" s="133"/>
      <c r="H290" s="50"/>
      <c r="I290" s="51" t="str">
        <f t="shared" si="13"/>
        <v/>
      </c>
      <c r="J290" s="52" t="str">
        <f t="shared" si="14"/>
        <v/>
      </c>
      <c r="K290" s="142" t="str">
        <f>IF(OR($I290="",$I290="?",$D290&lt;&gt;"Advance",$B290=""),"",$I290&amp;"|"&amp;$J290&amp;"|"&amp;COUNTIFS($I$7:$I290,$I290,$J$7:$J290,$J290,$D$7:$D290,"Advance"))</f>
        <v/>
      </c>
      <c r="L290" s="143" t="str">
        <f>IF(OR($I290="",$I290="?",$B290=""),"",SUMPRODUCT((Weeks!$A$7:$A$59&lt;=$J290)*(Weeks!$X$5:$AI$5=$I290)*Weeks!$X$7:$AI$59)-SUMIFS($E$7:$E$1006,$I$7:$I$1006,$I290,$B$7:$B$1006,"&lt;="&amp;$B290))</f>
        <v/>
      </c>
      <c r="M290" s="132" t="str">
        <f>IF($B290&amp;$C290&amp;$D290&amp;$E290="","",IF($B290="","missing date",IF($C290="","missing worker",IF($I290="?","unknown worker - was the name changed on Workers?",IF($D290="","missing type",IF(N($E290)=0,"missing amount",IF(AND($E290&lt;0,$D290&lt;&gt;"Correction"),"negative amount - use a Correction to undo",IF(OR($B290&lt;Weeks!$A$7,$B290&gt;Weeks!$B$59),"date outside this workbook's year",IF(AND($D290="Advance",N($L290)&lt;0),"Warning: more than earned so far - worker now owes "&amp;TEXT(ROUND(-$L290,0),"#,##0"),"")))))))))</f>
        <v/>
      </c>
      <c r="N290" s="125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</row>
    <row r="291" spans="1:40" s="127" customFormat="1" ht="21" customHeight="1" x14ac:dyDescent="0.25">
      <c r="A291" s="51" t="str">
        <f t="shared" si="12"/>
        <v/>
      </c>
      <c r="B291" s="77"/>
      <c r="C291" s="133"/>
      <c r="D291" s="50"/>
      <c r="E291" s="141"/>
      <c r="F291" s="133"/>
      <c r="G291" s="133"/>
      <c r="H291" s="50"/>
      <c r="I291" s="51" t="str">
        <f t="shared" si="13"/>
        <v/>
      </c>
      <c r="J291" s="52" t="str">
        <f t="shared" si="14"/>
        <v/>
      </c>
      <c r="K291" s="142" t="str">
        <f>IF(OR($I291="",$I291="?",$D291&lt;&gt;"Advance",$B291=""),"",$I291&amp;"|"&amp;$J291&amp;"|"&amp;COUNTIFS($I$7:$I291,$I291,$J$7:$J291,$J291,$D$7:$D291,"Advance"))</f>
        <v/>
      </c>
      <c r="L291" s="143" t="str">
        <f>IF(OR($I291="",$I291="?",$B291=""),"",SUMPRODUCT((Weeks!$A$7:$A$59&lt;=$J291)*(Weeks!$X$5:$AI$5=$I291)*Weeks!$X$7:$AI$59)-SUMIFS($E$7:$E$1006,$I$7:$I$1006,$I291,$B$7:$B$1006,"&lt;="&amp;$B291))</f>
        <v/>
      </c>
      <c r="M291" s="132" t="str">
        <f>IF($B291&amp;$C291&amp;$D291&amp;$E291="","",IF($B291="","missing date",IF($C291="","missing worker",IF($I291="?","unknown worker - was the name changed on Workers?",IF($D291="","missing type",IF(N($E291)=0,"missing amount",IF(AND($E291&lt;0,$D291&lt;&gt;"Correction"),"negative amount - use a Correction to undo",IF(OR($B291&lt;Weeks!$A$7,$B291&gt;Weeks!$B$59),"date outside this workbook's year",IF(AND($D291="Advance",N($L291)&lt;0),"Warning: more than earned so far - worker now owes "&amp;TEXT(ROUND(-$L291,0),"#,##0"),"")))))))))</f>
        <v/>
      </c>
      <c r="N291" s="125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</row>
    <row r="292" spans="1:40" s="127" customFormat="1" ht="21" customHeight="1" x14ac:dyDescent="0.25">
      <c r="A292" s="51" t="str">
        <f t="shared" si="12"/>
        <v/>
      </c>
      <c r="B292" s="77"/>
      <c r="C292" s="133"/>
      <c r="D292" s="50"/>
      <c r="E292" s="141"/>
      <c r="F292" s="133"/>
      <c r="G292" s="133"/>
      <c r="H292" s="50"/>
      <c r="I292" s="51" t="str">
        <f t="shared" si="13"/>
        <v/>
      </c>
      <c r="J292" s="52" t="str">
        <f t="shared" si="14"/>
        <v/>
      </c>
      <c r="K292" s="142" t="str">
        <f>IF(OR($I292="",$I292="?",$D292&lt;&gt;"Advance",$B292=""),"",$I292&amp;"|"&amp;$J292&amp;"|"&amp;COUNTIFS($I$7:$I292,$I292,$J$7:$J292,$J292,$D$7:$D292,"Advance"))</f>
        <v/>
      </c>
      <c r="L292" s="143" t="str">
        <f>IF(OR($I292="",$I292="?",$B292=""),"",SUMPRODUCT((Weeks!$A$7:$A$59&lt;=$J292)*(Weeks!$X$5:$AI$5=$I292)*Weeks!$X$7:$AI$59)-SUMIFS($E$7:$E$1006,$I$7:$I$1006,$I292,$B$7:$B$1006,"&lt;="&amp;$B292))</f>
        <v/>
      </c>
      <c r="M292" s="132" t="str">
        <f>IF($B292&amp;$C292&amp;$D292&amp;$E292="","",IF($B292="","missing date",IF($C292="","missing worker",IF($I292="?","unknown worker - was the name changed on Workers?",IF($D292="","missing type",IF(N($E292)=0,"missing amount",IF(AND($E292&lt;0,$D292&lt;&gt;"Correction"),"negative amount - use a Correction to undo",IF(OR($B292&lt;Weeks!$A$7,$B292&gt;Weeks!$B$59),"date outside this workbook's year",IF(AND($D292="Advance",N($L292)&lt;0),"Warning: more than earned so far - worker now owes "&amp;TEXT(ROUND(-$L292,0),"#,##0"),"")))))))))</f>
        <v/>
      </c>
      <c r="N292" s="125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</row>
    <row r="293" spans="1:40" s="127" customFormat="1" ht="21" customHeight="1" x14ac:dyDescent="0.25">
      <c r="A293" s="51" t="str">
        <f t="shared" si="12"/>
        <v/>
      </c>
      <c r="B293" s="77"/>
      <c r="C293" s="133"/>
      <c r="D293" s="50"/>
      <c r="E293" s="141"/>
      <c r="F293" s="133"/>
      <c r="G293" s="133"/>
      <c r="H293" s="50"/>
      <c r="I293" s="51" t="str">
        <f t="shared" si="13"/>
        <v/>
      </c>
      <c r="J293" s="52" t="str">
        <f t="shared" si="14"/>
        <v/>
      </c>
      <c r="K293" s="142" t="str">
        <f>IF(OR($I293="",$I293="?",$D293&lt;&gt;"Advance",$B293=""),"",$I293&amp;"|"&amp;$J293&amp;"|"&amp;COUNTIFS($I$7:$I293,$I293,$J$7:$J293,$J293,$D$7:$D293,"Advance"))</f>
        <v/>
      </c>
      <c r="L293" s="143" t="str">
        <f>IF(OR($I293="",$I293="?",$B293=""),"",SUMPRODUCT((Weeks!$A$7:$A$59&lt;=$J293)*(Weeks!$X$5:$AI$5=$I293)*Weeks!$X$7:$AI$59)-SUMIFS($E$7:$E$1006,$I$7:$I$1006,$I293,$B$7:$B$1006,"&lt;="&amp;$B293))</f>
        <v/>
      </c>
      <c r="M293" s="132" t="str">
        <f>IF($B293&amp;$C293&amp;$D293&amp;$E293="","",IF($B293="","missing date",IF($C293="","missing worker",IF($I293="?","unknown worker - was the name changed on Workers?",IF($D293="","missing type",IF(N($E293)=0,"missing amount",IF(AND($E293&lt;0,$D293&lt;&gt;"Correction"),"negative amount - use a Correction to undo",IF(OR($B293&lt;Weeks!$A$7,$B293&gt;Weeks!$B$59),"date outside this workbook's year",IF(AND($D293="Advance",N($L293)&lt;0),"Warning: more than earned so far - worker now owes "&amp;TEXT(ROUND(-$L293,0),"#,##0"),"")))))))))</f>
        <v/>
      </c>
      <c r="N293" s="125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</row>
    <row r="294" spans="1:40" s="127" customFormat="1" ht="21" customHeight="1" x14ac:dyDescent="0.25">
      <c r="A294" s="51" t="str">
        <f t="shared" si="12"/>
        <v/>
      </c>
      <c r="B294" s="77"/>
      <c r="C294" s="133"/>
      <c r="D294" s="50"/>
      <c r="E294" s="141"/>
      <c r="F294" s="133"/>
      <c r="G294" s="133"/>
      <c r="H294" s="50"/>
      <c r="I294" s="51" t="str">
        <f t="shared" si="13"/>
        <v/>
      </c>
      <c r="J294" s="52" t="str">
        <f t="shared" si="14"/>
        <v/>
      </c>
      <c r="K294" s="142" t="str">
        <f>IF(OR($I294="",$I294="?",$D294&lt;&gt;"Advance",$B294=""),"",$I294&amp;"|"&amp;$J294&amp;"|"&amp;COUNTIFS($I$7:$I294,$I294,$J$7:$J294,$J294,$D$7:$D294,"Advance"))</f>
        <v/>
      </c>
      <c r="L294" s="143" t="str">
        <f>IF(OR($I294="",$I294="?",$B294=""),"",SUMPRODUCT((Weeks!$A$7:$A$59&lt;=$J294)*(Weeks!$X$5:$AI$5=$I294)*Weeks!$X$7:$AI$59)-SUMIFS($E$7:$E$1006,$I$7:$I$1006,$I294,$B$7:$B$1006,"&lt;="&amp;$B294))</f>
        <v/>
      </c>
      <c r="M294" s="132" t="str">
        <f>IF($B294&amp;$C294&amp;$D294&amp;$E294="","",IF($B294="","missing date",IF($C294="","missing worker",IF($I294="?","unknown worker - was the name changed on Workers?",IF($D294="","missing type",IF(N($E294)=0,"missing amount",IF(AND($E294&lt;0,$D294&lt;&gt;"Correction"),"negative amount - use a Correction to undo",IF(OR($B294&lt;Weeks!$A$7,$B294&gt;Weeks!$B$59),"date outside this workbook's year",IF(AND($D294="Advance",N($L294)&lt;0),"Warning: more than earned so far - worker now owes "&amp;TEXT(ROUND(-$L294,0),"#,##0"),"")))))))))</f>
        <v/>
      </c>
      <c r="N294" s="125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</row>
    <row r="295" spans="1:40" s="127" customFormat="1" ht="21" customHeight="1" x14ac:dyDescent="0.25">
      <c r="A295" s="51" t="str">
        <f t="shared" si="12"/>
        <v/>
      </c>
      <c r="B295" s="77"/>
      <c r="C295" s="133"/>
      <c r="D295" s="50"/>
      <c r="E295" s="141"/>
      <c r="F295" s="133"/>
      <c r="G295" s="133"/>
      <c r="H295" s="50"/>
      <c r="I295" s="51" t="str">
        <f t="shared" si="13"/>
        <v/>
      </c>
      <c r="J295" s="52" t="str">
        <f t="shared" si="14"/>
        <v/>
      </c>
      <c r="K295" s="142" t="str">
        <f>IF(OR($I295="",$I295="?",$D295&lt;&gt;"Advance",$B295=""),"",$I295&amp;"|"&amp;$J295&amp;"|"&amp;COUNTIFS($I$7:$I295,$I295,$J$7:$J295,$J295,$D$7:$D295,"Advance"))</f>
        <v/>
      </c>
      <c r="L295" s="143" t="str">
        <f>IF(OR($I295="",$I295="?",$B295=""),"",SUMPRODUCT((Weeks!$A$7:$A$59&lt;=$J295)*(Weeks!$X$5:$AI$5=$I295)*Weeks!$X$7:$AI$59)-SUMIFS($E$7:$E$1006,$I$7:$I$1006,$I295,$B$7:$B$1006,"&lt;="&amp;$B295))</f>
        <v/>
      </c>
      <c r="M295" s="132" t="str">
        <f>IF($B295&amp;$C295&amp;$D295&amp;$E295="","",IF($B295="","missing date",IF($C295="","missing worker",IF($I295="?","unknown worker - was the name changed on Workers?",IF($D295="","missing type",IF(N($E295)=0,"missing amount",IF(AND($E295&lt;0,$D295&lt;&gt;"Correction"),"negative amount - use a Correction to undo",IF(OR($B295&lt;Weeks!$A$7,$B295&gt;Weeks!$B$59),"date outside this workbook's year",IF(AND($D295="Advance",N($L295)&lt;0),"Warning: more than earned so far - worker now owes "&amp;TEXT(ROUND(-$L295,0),"#,##0"),"")))))))))</f>
        <v/>
      </c>
      <c r="N295" s="125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</row>
    <row r="296" spans="1:40" s="127" customFormat="1" ht="21" customHeight="1" x14ac:dyDescent="0.25">
      <c r="A296" s="51" t="str">
        <f t="shared" si="12"/>
        <v/>
      </c>
      <c r="B296" s="77"/>
      <c r="C296" s="133"/>
      <c r="D296" s="50"/>
      <c r="E296" s="141"/>
      <c r="F296" s="133"/>
      <c r="G296" s="133"/>
      <c r="H296" s="50"/>
      <c r="I296" s="51" t="str">
        <f t="shared" si="13"/>
        <v/>
      </c>
      <c r="J296" s="52" t="str">
        <f t="shared" si="14"/>
        <v/>
      </c>
      <c r="K296" s="142" t="str">
        <f>IF(OR($I296="",$I296="?",$D296&lt;&gt;"Advance",$B296=""),"",$I296&amp;"|"&amp;$J296&amp;"|"&amp;COUNTIFS($I$7:$I296,$I296,$J$7:$J296,$J296,$D$7:$D296,"Advance"))</f>
        <v/>
      </c>
      <c r="L296" s="143" t="str">
        <f>IF(OR($I296="",$I296="?",$B296=""),"",SUMPRODUCT((Weeks!$A$7:$A$59&lt;=$J296)*(Weeks!$X$5:$AI$5=$I296)*Weeks!$X$7:$AI$59)-SUMIFS($E$7:$E$1006,$I$7:$I$1006,$I296,$B$7:$B$1006,"&lt;="&amp;$B296))</f>
        <v/>
      </c>
      <c r="M296" s="132" t="str">
        <f>IF($B296&amp;$C296&amp;$D296&amp;$E296="","",IF($B296="","missing date",IF($C296="","missing worker",IF($I296="?","unknown worker - was the name changed on Workers?",IF($D296="","missing type",IF(N($E296)=0,"missing amount",IF(AND($E296&lt;0,$D296&lt;&gt;"Correction"),"negative amount - use a Correction to undo",IF(OR($B296&lt;Weeks!$A$7,$B296&gt;Weeks!$B$59),"date outside this workbook's year",IF(AND($D296="Advance",N($L296)&lt;0),"Warning: more than earned so far - worker now owes "&amp;TEXT(ROUND(-$L296,0),"#,##0"),"")))))))))</f>
        <v/>
      </c>
      <c r="N296" s="125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</row>
    <row r="297" spans="1:40" s="127" customFormat="1" ht="21" customHeight="1" x14ac:dyDescent="0.25">
      <c r="A297" s="51" t="str">
        <f t="shared" si="12"/>
        <v/>
      </c>
      <c r="B297" s="77"/>
      <c r="C297" s="133"/>
      <c r="D297" s="50"/>
      <c r="E297" s="141"/>
      <c r="F297" s="133"/>
      <c r="G297" s="133"/>
      <c r="H297" s="50"/>
      <c r="I297" s="51" t="str">
        <f t="shared" si="13"/>
        <v/>
      </c>
      <c r="J297" s="52" t="str">
        <f t="shared" si="14"/>
        <v/>
      </c>
      <c r="K297" s="142" t="str">
        <f>IF(OR($I297="",$I297="?",$D297&lt;&gt;"Advance",$B297=""),"",$I297&amp;"|"&amp;$J297&amp;"|"&amp;COUNTIFS($I$7:$I297,$I297,$J$7:$J297,$J297,$D$7:$D297,"Advance"))</f>
        <v/>
      </c>
      <c r="L297" s="143" t="str">
        <f>IF(OR($I297="",$I297="?",$B297=""),"",SUMPRODUCT((Weeks!$A$7:$A$59&lt;=$J297)*(Weeks!$X$5:$AI$5=$I297)*Weeks!$X$7:$AI$59)-SUMIFS($E$7:$E$1006,$I$7:$I$1006,$I297,$B$7:$B$1006,"&lt;="&amp;$B297))</f>
        <v/>
      </c>
      <c r="M297" s="132" t="str">
        <f>IF($B297&amp;$C297&amp;$D297&amp;$E297="","",IF($B297="","missing date",IF($C297="","missing worker",IF($I297="?","unknown worker - was the name changed on Workers?",IF($D297="","missing type",IF(N($E297)=0,"missing amount",IF(AND($E297&lt;0,$D297&lt;&gt;"Correction"),"negative amount - use a Correction to undo",IF(OR($B297&lt;Weeks!$A$7,$B297&gt;Weeks!$B$59),"date outside this workbook's year",IF(AND($D297="Advance",N($L297)&lt;0),"Warning: more than earned so far - worker now owes "&amp;TEXT(ROUND(-$L297,0),"#,##0"),"")))))))))</f>
        <v/>
      </c>
      <c r="N297" s="125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</row>
    <row r="298" spans="1:40" s="127" customFormat="1" ht="21" customHeight="1" x14ac:dyDescent="0.25">
      <c r="A298" s="51" t="str">
        <f t="shared" si="12"/>
        <v/>
      </c>
      <c r="B298" s="77"/>
      <c r="C298" s="133"/>
      <c r="D298" s="50"/>
      <c r="E298" s="141"/>
      <c r="F298" s="133"/>
      <c r="G298" s="133"/>
      <c r="H298" s="50"/>
      <c r="I298" s="51" t="str">
        <f t="shared" si="13"/>
        <v/>
      </c>
      <c r="J298" s="52" t="str">
        <f t="shared" si="14"/>
        <v/>
      </c>
      <c r="K298" s="142" t="str">
        <f>IF(OR($I298="",$I298="?",$D298&lt;&gt;"Advance",$B298=""),"",$I298&amp;"|"&amp;$J298&amp;"|"&amp;COUNTIFS($I$7:$I298,$I298,$J$7:$J298,$J298,$D$7:$D298,"Advance"))</f>
        <v/>
      </c>
      <c r="L298" s="143" t="str">
        <f>IF(OR($I298="",$I298="?",$B298=""),"",SUMPRODUCT((Weeks!$A$7:$A$59&lt;=$J298)*(Weeks!$X$5:$AI$5=$I298)*Weeks!$X$7:$AI$59)-SUMIFS($E$7:$E$1006,$I$7:$I$1006,$I298,$B$7:$B$1006,"&lt;="&amp;$B298))</f>
        <v/>
      </c>
      <c r="M298" s="132" t="str">
        <f>IF($B298&amp;$C298&amp;$D298&amp;$E298="","",IF($B298="","missing date",IF($C298="","missing worker",IF($I298="?","unknown worker - was the name changed on Workers?",IF($D298="","missing type",IF(N($E298)=0,"missing amount",IF(AND($E298&lt;0,$D298&lt;&gt;"Correction"),"negative amount - use a Correction to undo",IF(OR($B298&lt;Weeks!$A$7,$B298&gt;Weeks!$B$59),"date outside this workbook's year",IF(AND($D298="Advance",N($L298)&lt;0),"Warning: more than earned so far - worker now owes "&amp;TEXT(ROUND(-$L298,0),"#,##0"),"")))))))))</f>
        <v/>
      </c>
      <c r="N298" s="125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</row>
    <row r="299" spans="1:40" s="127" customFormat="1" ht="21" customHeight="1" x14ac:dyDescent="0.25">
      <c r="A299" s="51" t="str">
        <f t="shared" si="12"/>
        <v/>
      </c>
      <c r="B299" s="77"/>
      <c r="C299" s="133"/>
      <c r="D299" s="50"/>
      <c r="E299" s="141"/>
      <c r="F299" s="133"/>
      <c r="G299" s="133"/>
      <c r="H299" s="50"/>
      <c r="I299" s="51" t="str">
        <f t="shared" si="13"/>
        <v/>
      </c>
      <c r="J299" s="52" t="str">
        <f t="shared" si="14"/>
        <v/>
      </c>
      <c r="K299" s="142" t="str">
        <f>IF(OR($I299="",$I299="?",$D299&lt;&gt;"Advance",$B299=""),"",$I299&amp;"|"&amp;$J299&amp;"|"&amp;COUNTIFS($I$7:$I299,$I299,$J$7:$J299,$J299,$D$7:$D299,"Advance"))</f>
        <v/>
      </c>
      <c r="L299" s="143" t="str">
        <f>IF(OR($I299="",$I299="?",$B299=""),"",SUMPRODUCT((Weeks!$A$7:$A$59&lt;=$J299)*(Weeks!$X$5:$AI$5=$I299)*Weeks!$X$7:$AI$59)-SUMIFS($E$7:$E$1006,$I$7:$I$1006,$I299,$B$7:$B$1006,"&lt;="&amp;$B299))</f>
        <v/>
      </c>
      <c r="M299" s="132" t="str">
        <f>IF($B299&amp;$C299&amp;$D299&amp;$E299="","",IF($B299="","missing date",IF($C299="","missing worker",IF($I299="?","unknown worker - was the name changed on Workers?",IF($D299="","missing type",IF(N($E299)=0,"missing amount",IF(AND($E299&lt;0,$D299&lt;&gt;"Correction"),"negative amount - use a Correction to undo",IF(OR($B299&lt;Weeks!$A$7,$B299&gt;Weeks!$B$59),"date outside this workbook's year",IF(AND($D299="Advance",N($L299)&lt;0),"Warning: more than earned so far - worker now owes "&amp;TEXT(ROUND(-$L299,0),"#,##0"),"")))))))))</f>
        <v/>
      </c>
      <c r="N299" s="125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</row>
    <row r="300" spans="1:40" s="127" customFormat="1" ht="21" customHeight="1" x14ac:dyDescent="0.25">
      <c r="A300" s="51" t="str">
        <f t="shared" si="12"/>
        <v/>
      </c>
      <c r="B300" s="77"/>
      <c r="C300" s="133"/>
      <c r="D300" s="50"/>
      <c r="E300" s="141"/>
      <c r="F300" s="133"/>
      <c r="G300" s="133"/>
      <c r="H300" s="50"/>
      <c r="I300" s="51" t="str">
        <f t="shared" si="13"/>
        <v/>
      </c>
      <c r="J300" s="52" t="str">
        <f t="shared" si="14"/>
        <v/>
      </c>
      <c r="K300" s="142" t="str">
        <f>IF(OR($I300="",$I300="?",$D300&lt;&gt;"Advance",$B300=""),"",$I300&amp;"|"&amp;$J300&amp;"|"&amp;COUNTIFS($I$7:$I300,$I300,$J$7:$J300,$J300,$D$7:$D300,"Advance"))</f>
        <v/>
      </c>
      <c r="L300" s="143" t="str">
        <f>IF(OR($I300="",$I300="?",$B300=""),"",SUMPRODUCT((Weeks!$A$7:$A$59&lt;=$J300)*(Weeks!$X$5:$AI$5=$I300)*Weeks!$X$7:$AI$59)-SUMIFS($E$7:$E$1006,$I$7:$I$1006,$I300,$B$7:$B$1006,"&lt;="&amp;$B300))</f>
        <v/>
      </c>
      <c r="M300" s="132" t="str">
        <f>IF($B300&amp;$C300&amp;$D300&amp;$E300="","",IF($B300="","missing date",IF($C300="","missing worker",IF($I300="?","unknown worker - was the name changed on Workers?",IF($D300="","missing type",IF(N($E300)=0,"missing amount",IF(AND($E300&lt;0,$D300&lt;&gt;"Correction"),"negative amount - use a Correction to undo",IF(OR($B300&lt;Weeks!$A$7,$B300&gt;Weeks!$B$59),"date outside this workbook's year",IF(AND($D300="Advance",N($L300)&lt;0),"Warning: more than earned so far - worker now owes "&amp;TEXT(ROUND(-$L300,0),"#,##0"),"")))))))))</f>
        <v/>
      </c>
      <c r="N300" s="125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</row>
    <row r="301" spans="1:40" s="127" customFormat="1" ht="21" customHeight="1" x14ac:dyDescent="0.25">
      <c r="A301" s="51" t="str">
        <f t="shared" si="12"/>
        <v/>
      </c>
      <c r="B301" s="77"/>
      <c r="C301" s="133"/>
      <c r="D301" s="50"/>
      <c r="E301" s="141"/>
      <c r="F301" s="133"/>
      <c r="G301" s="133"/>
      <c r="H301" s="50"/>
      <c r="I301" s="51" t="str">
        <f t="shared" si="13"/>
        <v/>
      </c>
      <c r="J301" s="52" t="str">
        <f t="shared" si="14"/>
        <v/>
      </c>
      <c r="K301" s="142" t="str">
        <f>IF(OR($I301="",$I301="?",$D301&lt;&gt;"Advance",$B301=""),"",$I301&amp;"|"&amp;$J301&amp;"|"&amp;COUNTIFS($I$7:$I301,$I301,$J$7:$J301,$J301,$D$7:$D301,"Advance"))</f>
        <v/>
      </c>
      <c r="L301" s="143" t="str">
        <f>IF(OR($I301="",$I301="?",$B301=""),"",SUMPRODUCT((Weeks!$A$7:$A$59&lt;=$J301)*(Weeks!$X$5:$AI$5=$I301)*Weeks!$X$7:$AI$59)-SUMIFS($E$7:$E$1006,$I$7:$I$1006,$I301,$B$7:$B$1006,"&lt;="&amp;$B301))</f>
        <v/>
      </c>
      <c r="M301" s="132" t="str">
        <f>IF($B301&amp;$C301&amp;$D301&amp;$E301="","",IF($B301="","missing date",IF($C301="","missing worker",IF($I301="?","unknown worker - was the name changed on Workers?",IF($D301="","missing type",IF(N($E301)=0,"missing amount",IF(AND($E301&lt;0,$D301&lt;&gt;"Correction"),"negative amount - use a Correction to undo",IF(OR($B301&lt;Weeks!$A$7,$B301&gt;Weeks!$B$59),"date outside this workbook's year",IF(AND($D301="Advance",N($L301)&lt;0),"Warning: more than earned so far - worker now owes "&amp;TEXT(ROUND(-$L301,0),"#,##0"),"")))))))))</f>
        <v/>
      </c>
      <c r="N301" s="125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</row>
    <row r="302" spans="1:40" s="127" customFormat="1" ht="21" customHeight="1" x14ac:dyDescent="0.25">
      <c r="A302" s="51" t="str">
        <f t="shared" si="12"/>
        <v/>
      </c>
      <c r="B302" s="77"/>
      <c r="C302" s="133"/>
      <c r="D302" s="50"/>
      <c r="E302" s="141"/>
      <c r="F302" s="133"/>
      <c r="G302" s="133"/>
      <c r="H302" s="50"/>
      <c r="I302" s="51" t="str">
        <f t="shared" si="13"/>
        <v/>
      </c>
      <c r="J302" s="52" t="str">
        <f t="shared" si="14"/>
        <v/>
      </c>
      <c r="K302" s="142" t="str">
        <f>IF(OR($I302="",$I302="?",$D302&lt;&gt;"Advance",$B302=""),"",$I302&amp;"|"&amp;$J302&amp;"|"&amp;COUNTIFS($I$7:$I302,$I302,$J$7:$J302,$J302,$D$7:$D302,"Advance"))</f>
        <v/>
      </c>
      <c r="L302" s="143" t="str">
        <f>IF(OR($I302="",$I302="?",$B302=""),"",SUMPRODUCT((Weeks!$A$7:$A$59&lt;=$J302)*(Weeks!$X$5:$AI$5=$I302)*Weeks!$X$7:$AI$59)-SUMIFS($E$7:$E$1006,$I$7:$I$1006,$I302,$B$7:$B$1006,"&lt;="&amp;$B302))</f>
        <v/>
      </c>
      <c r="M302" s="132" t="str">
        <f>IF($B302&amp;$C302&amp;$D302&amp;$E302="","",IF($B302="","missing date",IF($C302="","missing worker",IF($I302="?","unknown worker - was the name changed on Workers?",IF($D302="","missing type",IF(N($E302)=0,"missing amount",IF(AND($E302&lt;0,$D302&lt;&gt;"Correction"),"negative amount - use a Correction to undo",IF(OR($B302&lt;Weeks!$A$7,$B302&gt;Weeks!$B$59),"date outside this workbook's year",IF(AND($D302="Advance",N($L302)&lt;0),"Warning: more than earned so far - worker now owes "&amp;TEXT(ROUND(-$L302,0),"#,##0"),"")))))))))</f>
        <v/>
      </c>
      <c r="N302" s="125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</row>
    <row r="303" spans="1:40" s="127" customFormat="1" ht="21" customHeight="1" x14ac:dyDescent="0.25">
      <c r="A303" s="51" t="str">
        <f t="shared" si="12"/>
        <v/>
      </c>
      <c r="B303" s="77"/>
      <c r="C303" s="133"/>
      <c r="D303" s="50"/>
      <c r="E303" s="141"/>
      <c r="F303" s="133"/>
      <c r="G303" s="133"/>
      <c r="H303" s="50"/>
      <c r="I303" s="51" t="str">
        <f t="shared" si="13"/>
        <v/>
      </c>
      <c r="J303" s="52" t="str">
        <f t="shared" si="14"/>
        <v/>
      </c>
      <c r="K303" s="142" t="str">
        <f>IF(OR($I303="",$I303="?",$D303&lt;&gt;"Advance",$B303=""),"",$I303&amp;"|"&amp;$J303&amp;"|"&amp;COUNTIFS($I$7:$I303,$I303,$J$7:$J303,$J303,$D$7:$D303,"Advance"))</f>
        <v/>
      </c>
      <c r="L303" s="143" t="str">
        <f>IF(OR($I303="",$I303="?",$B303=""),"",SUMPRODUCT((Weeks!$A$7:$A$59&lt;=$J303)*(Weeks!$X$5:$AI$5=$I303)*Weeks!$X$7:$AI$59)-SUMIFS($E$7:$E$1006,$I$7:$I$1006,$I303,$B$7:$B$1006,"&lt;="&amp;$B303))</f>
        <v/>
      </c>
      <c r="M303" s="132" t="str">
        <f>IF($B303&amp;$C303&amp;$D303&amp;$E303="","",IF($B303="","missing date",IF($C303="","missing worker",IF($I303="?","unknown worker - was the name changed on Workers?",IF($D303="","missing type",IF(N($E303)=0,"missing amount",IF(AND($E303&lt;0,$D303&lt;&gt;"Correction"),"negative amount - use a Correction to undo",IF(OR($B303&lt;Weeks!$A$7,$B303&gt;Weeks!$B$59),"date outside this workbook's year",IF(AND($D303="Advance",N($L303)&lt;0),"Warning: more than earned so far - worker now owes "&amp;TEXT(ROUND(-$L303,0),"#,##0"),"")))))))))</f>
        <v/>
      </c>
      <c r="N303" s="125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</row>
    <row r="304" spans="1:40" s="127" customFormat="1" ht="21" customHeight="1" x14ac:dyDescent="0.25">
      <c r="A304" s="51" t="str">
        <f t="shared" si="12"/>
        <v/>
      </c>
      <c r="B304" s="77"/>
      <c r="C304" s="133"/>
      <c r="D304" s="50"/>
      <c r="E304" s="141"/>
      <c r="F304" s="133"/>
      <c r="G304" s="133"/>
      <c r="H304" s="50"/>
      <c r="I304" s="51" t="str">
        <f t="shared" si="13"/>
        <v/>
      </c>
      <c r="J304" s="52" t="str">
        <f t="shared" si="14"/>
        <v/>
      </c>
      <c r="K304" s="142" t="str">
        <f>IF(OR($I304="",$I304="?",$D304&lt;&gt;"Advance",$B304=""),"",$I304&amp;"|"&amp;$J304&amp;"|"&amp;COUNTIFS($I$7:$I304,$I304,$J$7:$J304,$J304,$D$7:$D304,"Advance"))</f>
        <v/>
      </c>
      <c r="L304" s="143" t="str">
        <f>IF(OR($I304="",$I304="?",$B304=""),"",SUMPRODUCT((Weeks!$A$7:$A$59&lt;=$J304)*(Weeks!$X$5:$AI$5=$I304)*Weeks!$X$7:$AI$59)-SUMIFS($E$7:$E$1006,$I$7:$I$1006,$I304,$B$7:$B$1006,"&lt;="&amp;$B304))</f>
        <v/>
      </c>
      <c r="M304" s="132" t="str">
        <f>IF($B304&amp;$C304&amp;$D304&amp;$E304="","",IF($B304="","missing date",IF($C304="","missing worker",IF($I304="?","unknown worker - was the name changed on Workers?",IF($D304="","missing type",IF(N($E304)=0,"missing amount",IF(AND($E304&lt;0,$D304&lt;&gt;"Correction"),"negative amount - use a Correction to undo",IF(OR($B304&lt;Weeks!$A$7,$B304&gt;Weeks!$B$59),"date outside this workbook's year",IF(AND($D304="Advance",N($L304)&lt;0),"Warning: more than earned so far - worker now owes "&amp;TEXT(ROUND(-$L304,0),"#,##0"),"")))))))))</f>
        <v/>
      </c>
      <c r="N304" s="125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</row>
    <row r="305" spans="1:40" s="127" customFormat="1" ht="21" customHeight="1" x14ac:dyDescent="0.25">
      <c r="A305" s="51" t="str">
        <f t="shared" si="12"/>
        <v/>
      </c>
      <c r="B305" s="77"/>
      <c r="C305" s="133"/>
      <c r="D305" s="50"/>
      <c r="E305" s="141"/>
      <c r="F305" s="133"/>
      <c r="G305" s="133"/>
      <c r="H305" s="50"/>
      <c r="I305" s="51" t="str">
        <f t="shared" si="13"/>
        <v/>
      </c>
      <c r="J305" s="52" t="str">
        <f t="shared" si="14"/>
        <v/>
      </c>
      <c r="K305" s="142" t="str">
        <f>IF(OR($I305="",$I305="?",$D305&lt;&gt;"Advance",$B305=""),"",$I305&amp;"|"&amp;$J305&amp;"|"&amp;COUNTIFS($I$7:$I305,$I305,$J$7:$J305,$J305,$D$7:$D305,"Advance"))</f>
        <v/>
      </c>
      <c r="L305" s="143" t="str">
        <f>IF(OR($I305="",$I305="?",$B305=""),"",SUMPRODUCT((Weeks!$A$7:$A$59&lt;=$J305)*(Weeks!$X$5:$AI$5=$I305)*Weeks!$X$7:$AI$59)-SUMIFS($E$7:$E$1006,$I$7:$I$1006,$I305,$B$7:$B$1006,"&lt;="&amp;$B305))</f>
        <v/>
      </c>
      <c r="M305" s="132" t="str">
        <f>IF($B305&amp;$C305&amp;$D305&amp;$E305="","",IF($B305="","missing date",IF($C305="","missing worker",IF($I305="?","unknown worker - was the name changed on Workers?",IF($D305="","missing type",IF(N($E305)=0,"missing amount",IF(AND($E305&lt;0,$D305&lt;&gt;"Correction"),"negative amount - use a Correction to undo",IF(OR($B305&lt;Weeks!$A$7,$B305&gt;Weeks!$B$59),"date outside this workbook's year",IF(AND($D305="Advance",N($L305)&lt;0),"Warning: more than earned so far - worker now owes "&amp;TEXT(ROUND(-$L305,0),"#,##0"),"")))))))))</f>
        <v/>
      </c>
      <c r="N305" s="125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</row>
    <row r="306" spans="1:40" s="127" customFormat="1" ht="21" customHeight="1" x14ac:dyDescent="0.25">
      <c r="A306" s="51" t="str">
        <f t="shared" si="12"/>
        <v/>
      </c>
      <c r="B306" s="77"/>
      <c r="C306" s="133"/>
      <c r="D306" s="50"/>
      <c r="E306" s="141"/>
      <c r="F306" s="133"/>
      <c r="G306" s="133"/>
      <c r="H306" s="50"/>
      <c r="I306" s="51" t="str">
        <f t="shared" si="13"/>
        <v/>
      </c>
      <c r="J306" s="52" t="str">
        <f t="shared" si="14"/>
        <v/>
      </c>
      <c r="K306" s="142" t="str">
        <f>IF(OR($I306="",$I306="?",$D306&lt;&gt;"Advance",$B306=""),"",$I306&amp;"|"&amp;$J306&amp;"|"&amp;COUNTIFS($I$7:$I306,$I306,$J$7:$J306,$J306,$D$7:$D306,"Advance"))</f>
        <v/>
      </c>
      <c r="L306" s="143" t="str">
        <f>IF(OR($I306="",$I306="?",$B306=""),"",SUMPRODUCT((Weeks!$A$7:$A$59&lt;=$J306)*(Weeks!$X$5:$AI$5=$I306)*Weeks!$X$7:$AI$59)-SUMIFS($E$7:$E$1006,$I$7:$I$1006,$I306,$B$7:$B$1006,"&lt;="&amp;$B306))</f>
        <v/>
      </c>
      <c r="M306" s="132" t="str">
        <f>IF($B306&amp;$C306&amp;$D306&amp;$E306="","",IF($B306="","missing date",IF($C306="","missing worker",IF($I306="?","unknown worker - was the name changed on Workers?",IF($D306="","missing type",IF(N($E306)=0,"missing amount",IF(AND($E306&lt;0,$D306&lt;&gt;"Correction"),"negative amount - use a Correction to undo",IF(OR($B306&lt;Weeks!$A$7,$B306&gt;Weeks!$B$59),"date outside this workbook's year",IF(AND($D306="Advance",N($L306)&lt;0),"Warning: more than earned so far - worker now owes "&amp;TEXT(ROUND(-$L306,0),"#,##0"),"")))))))))</f>
        <v/>
      </c>
      <c r="N306" s="125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</row>
    <row r="307" spans="1:40" s="127" customFormat="1" ht="21" customHeight="1" x14ac:dyDescent="0.25">
      <c r="A307" s="51" t="str">
        <f t="shared" si="12"/>
        <v/>
      </c>
      <c r="B307" s="77"/>
      <c r="C307" s="133"/>
      <c r="D307" s="50"/>
      <c r="E307" s="141"/>
      <c r="F307" s="133"/>
      <c r="G307" s="133"/>
      <c r="H307" s="50"/>
      <c r="I307" s="51" t="str">
        <f t="shared" si="13"/>
        <v/>
      </c>
      <c r="J307" s="52" t="str">
        <f t="shared" si="14"/>
        <v/>
      </c>
      <c r="K307" s="142" t="str">
        <f>IF(OR($I307="",$I307="?",$D307&lt;&gt;"Advance",$B307=""),"",$I307&amp;"|"&amp;$J307&amp;"|"&amp;COUNTIFS($I$7:$I307,$I307,$J$7:$J307,$J307,$D$7:$D307,"Advance"))</f>
        <v/>
      </c>
      <c r="L307" s="143" t="str">
        <f>IF(OR($I307="",$I307="?",$B307=""),"",SUMPRODUCT((Weeks!$A$7:$A$59&lt;=$J307)*(Weeks!$X$5:$AI$5=$I307)*Weeks!$X$7:$AI$59)-SUMIFS($E$7:$E$1006,$I$7:$I$1006,$I307,$B$7:$B$1006,"&lt;="&amp;$B307))</f>
        <v/>
      </c>
      <c r="M307" s="132" t="str">
        <f>IF($B307&amp;$C307&amp;$D307&amp;$E307="","",IF($B307="","missing date",IF($C307="","missing worker",IF($I307="?","unknown worker - was the name changed on Workers?",IF($D307="","missing type",IF(N($E307)=0,"missing amount",IF(AND($E307&lt;0,$D307&lt;&gt;"Correction"),"negative amount - use a Correction to undo",IF(OR($B307&lt;Weeks!$A$7,$B307&gt;Weeks!$B$59),"date outside this workbook's year",IF(AND($D307="Advance",N($L307)&lt;0),"Warning: more than earned so far - worker now owes "&amp;TEXT(ROUND(-$L307,0),"#,##0"),"")))))))))</f>
        <v/>
      </c>
      <c r="N307" s="125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</row>
    <row r="308" spans="1:40" s="127" customFormat="1" ht="21" customHeight="1" x14ac:dyDescent="0.25">
      <c r="A308" s="51" t="str">
        <f t="shared" si="12"/>
        <v/>
      </c>
      <c r="B308" s="77"/>
      <c r="C308" s="133"/>
      <c r="D308" s="50"/>
      <c r="E308" s="141"/>
      <c r="F308" s="133"/>
      <c r="G308" s="133"/>
      <c r="H308" s="50"/>
      <c r="I308" s="51" t="str">
        <f t="shared" si="13"/>
        <v/>
      </c>
      <c r="J308" s="52" t="str">
        <f t="shared" si="14"/>
        <v/>
      </c>
      <c r="K308" s="142" t="str">
        <f>IF(OR($I308="",$I308="?",$D308&lt;&gt;"Advance",$B308=""),"",$I308&amp;"|"&amp;$J308&amp;"|"&amp;COUNTIFS($I$7:$I308,$I308,$J$7:$J308,$J308,$D$7:$D308,"Advance"))</f>
        <v/>
      </c>
      <c r="L308" s="143" t="str">
        <f>IF(OR($I308="",$I308="?",$B308=""),"",SUMPRODUCT((Weeks!$A$7:$A$59&lt;=$J308)*(Weeks!$X$5:$AI$5=$I308)*Weeks!$X$7:$AI$59)-SUMIFS($E$7:$E$1006,$I$7:$I$1006,$I308,$B$7:$B$1006,"&lt;="&amp;$B308))</f>
        <v/>
      </c>
      <c r="M308" s="132" t="str">
        <f>IF($B308&amp;$C308&amp;$D308&amp;$E308="","",IF($B308="","missing date",IF($C308="","missing worker",IF($I308="?","unknown worker - was the name changed on Workers?",IF($D308="","missing type",IF(N($E308)=0,"missing amount",IF(AND($E308&lt;0,$D308&lt;&gt;"Correction"),"negative amount - use a Correction to undo",IF(OR($B308&lt;Weeks!$A$7,$B308&gt;Weeks!$B$59),"date outside this workbook's year",IF(AND($D308="Advance",N($L308)&lt;0),"Warning: more than earned so far - worker now owes "&amp;TEXT(ROUND(-$L308,0),"#,##0"),"")))))))))</f>
        <v/>
      </c>
      <c r="N308" s="125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</row>
    <row r="309" spans="1:40" s="127" customFormat="1" ht="21" customHeight="1" x14ac:dyDescent="0.25">
      <c r="A309" s="51" t="str">
        <f t="shared" si="12"/>
        <v/>
      </c>
      <c r="B309" s="77"/>
      <c r="C309" s="133"/>
      <c r="D309" s="50"/>
      <c r="E309" s="141"/>
      <c r="F309" s="133"/>
      <c r="G309" s="133"/>
      <c r="H309" s="50"/>
      <c r="I309" s="51" t="str">
        <f t="shared" si="13"/>
        <v/>
      </c>
      <c r="J309" s="52" t="str">
        <f t="shared" si="14"/>
        <v/>
      </c>
      <c r="K309" s="142" t="str">
        <f>IF(OR($I309="",$I309="?",$D309&lt;&gt;"Advance",$B309=""),"",$I309&amp;"|"&amp;$J309&amp;"|"&amp;COUNTIFS($I$7:$I309,$I309,$J$7:$J309,$J309,$D$7:$D309,"Advance"))</f>
        <v/>
      </c>
      <c r="L309" s="143" t="str">
        <f>IF(OR($I309="",$I309="?",$B309=""),"",SUMPRODUCT((Weeks!$A$7:$A$59&lt;=$J309)*(Weeks!$X$5:$AI$5=$I309)*Weeks!$X$7:$AI$59)-SUMIFS($E$7:$E$1006,$I$7:$I$1006,$I309,$B$7:$B$1006,"&lt;="&amp;$B309))</f>
        <v/>
      </c>
      <c r="M309" s="132" t="str">
        <f>IF($B309&amp;$C309&amp;$D309&amp;$E309="","",IF($B309="","missing date",IF($C309="","missing worker",IF($I309="?","unknown worker - was the name changed on Workers?",IF($D309="","missing type",IF(N($E309)=0,"missing amount",IF(AND($E309&lt;0,$D309&lt;&gt;"Correction"),"negative amount - use a Correction to undo",IF(OR($B309&lt;Weeks!$A$7,$B309&gt;Weeks!$B$59),"date outside this workbook's year",IF(AND($D309="Advance",N($L309)&lt;0),"Warning: more than earned so far - worker now owes "&amp;TEXT(ROUND(-$L309,0),"#,##0"),"")))))))))</f>
        <v/>
      </c>
      <c r="N309" s="125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</row>
    <row r="310" spans="1:40" s="127" customFormat="1" ht="21" customHeight="1" x14ac:dyDescent="0.25">
      <c r="A310" s="51" t="str">
        <f t="shared" si="12"/>
        <v/>
      </c>
      <c r="B310" s="77"/>
      <c r="C310" s="133"/>
      <c r="D310" s="50"/>
      <c r="E310" s="141"/>
      <c r="F310" s="133"/>
      <c r="G310" s="133"/>
      <c r="H310" s="50"/>
      <c r="I310" s="51" t="str">
        <f t="shared" si="13"/>
        <v/>
      </c>
      <c r="J310" s="52" t="str">
        <f t="shared" si="14"/>
        <v/>
      </c>
      <c r="K310" s="142" t="str">
        <f>IF(OR($I310="",$I310="?",$D310&lt;&gt;"Advance",$B310=""),"",$I310&amp;"|"&amp;$J310&amp;"|"&amp;COUNTIFS($I$7:$I310,$I310,$J$7:$J310,$J310,$D$7:$D310,"Advance"))</f>
        <v/>
      </c>
      <c r="L310" s="143" t="str">
        <f>IF(OR($I310="",$I310="?",$B310=""),"",SUMPRODUCT((Weeks!$A$7:$A$59&lt;=$J310)*(Weeks!$X$5:$AI$5=$I310)*Weeks!$X$7:$AI$59)-SUMIFS($E$7:$E$1006,$I$7:$I$1006,$I310,$B$7:$B$1006,"&lt;="&amp;$B310))</f>
        <v/>
      </c>
      <c r="M310" s="132" t="str">
        <f>IF($B310&amp;$C310&amp;$D310&amp;$E310="","",IF($B310="","missing date",IF($C310="","missing worker",IF($I310="?","unknown worker - was the name changed on Workers?",IF($D310="","missing type",IF(N($E310)=0,"missing amount",IF(AND($E310&lt;0,$D310&lt;&gt;"Correction"),"negative amount - use a Correction to undo",IF(OR($B310&lt;Weeks!$A$7,$B310&gt;Weeks!$B$59),"date outside this workbook's year",IF(AND($D310="Advance",N($L310)&lt;0),"Warning: more than earned so far - worker now owes "&amp;TEXT(ROUND(-$L310,0),"#,##0"),"")))))))))</f>
        <v/>
      </c>
      <c r="N310" s="125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</row>
    <row r="311" spans="1:40" s="127" customFormat="1" ht="21" customHeight="1" x14ac:dyDescent="0.25">
      <c r="A311" s="51" t="str">
        <f t="shared" si="12"/>
        <v/>
      </c>
      <c r="B311" s="77"/>
      <c r="C311" s="133"/>
      <c r="D311" s="50"/>
      <c r="E311" s="141"/>
      <c r="F311" s="133"/>
      <c r="G311" s="133"/>
      <c r="H311" s="50"/>
      <c r="I311" s="51" t="str">
        <f t="shared" si="13"/>
        <v/>
      </c>
      <c r="J311" s="52" t="str">
        <f t="shared" si="14"/>
        <v/>
      </c>
      <c r="K311" s="142" t="str">
        <f>IF(OR($I311="",$I311="?",$D311&lt;&gt;"Advance",$B311=""),"",$I311&amp;"|"&amp;$J311&amp;"|"&amp;COUNTIFS($I$7:$I311,$I311,$J$7:$J311,$J311,$D$7:$D311,"Advance"))</f>
        <v/>
      </c>
      <c r="L311" s="143" t="str">
        <f>IF(OR($I311="",$I311="?",$B311=""),"",SUMPRODUCT((Weeks!$A$7:$A$59&lt;=$J311)*(Weeks!$X$5:$AI$5=$I311)*Weeks!$X$7:$AI$59)-SUMIFS($E$7:$E$1006,$I$7:$I$1006,$I311,$B$7:$B$1006,"&lt;="&amp;$B311))</f>
        <v/>
      </c>
      <c r="M311" s="132" t="str">
        <f>IF($B311&amp;$C311&amp;$D311&amp;$E311="","",IF($B311="","missing date",IF($C311="","missing worker",IF($I311="?","unknown worker - was the name changed on Workers?",IF($D311="","missing type",IF(N($E311)=0,"missing amount",IF(AND($E311&lt;0,$D311&lt;&gt;"Correction"),"negative amount - use a Correction to undo",IF(OR($B311&lt;Weeks!$A$7,$B311&gt;Weeks!$B$59),"date outside this workbook's year",IF(AND($D311="Advance",N($L311)&lt;0),"Warning: more than earned so far - worker now owes "&amp;TEXT(ROUND(-$L311,0),"#,##0"),"")))))))))</f>
        <v/>
      </c>
      <c r="N311" s="125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</row>
    <row r="312" spans="1:40" s="127" customFormat="1" ht="21" customHeight="1" x14ac:dyDescent="0.25">
      <c r="A312" s="51" t="str">
        <f t="shared" si="12"/>
        <v/>
      </c>
      <c r="B312" s="77"/>
      <c r="C312" s="133"/>
      <c r="D312" s="50"/>
      <c r="E312" s="141"/>
      <c r="F312" s="133"/>
      <c r="G312" s="133"/>
      <c r="H312" s="50"/>
      <c r="I312" s="51" t="str">
        <f t="shared" si="13"/>
        <v/>
      </c>
      <c r="J312" s="52" t="str">
        <f t="shared" si="14"/>
        <v/>
      </c>
      <c r="K312" s="142" t="str">
        <f>IF(OR($I312="",$I312="?",$D312&lt;&gt;"Advance",$B312=""),"",$I312&amp;"|"&amp;$J312&amp;"|"&amp;COUNTIFS($I$7:$I312,$I312,$J$7:$J312,$J312,$D$7:$D312,"Advance"))</f>
        <v/>
      </c>
      <c r="L312" s="143" t="str">
        <f>IF(OR($I312="",$I312="?",$B312=""),"",SUMPRODUCT((Weeks!$A$7:$A$59&lt;=$J312)*(Weeks!$X$5:$AI$5=$I312)*Weeks!$X$7:$AI$59)-SUMIFS($E$7:$E$1006,$I$7:$I$1006,$I312,$B$7:$B$1006,"&lt;="&amp;$B312))</f>
        <v/>
      </c>
      <c r="M312" s="132" t="str">
        <f>IF($B312&amp;$C312&amp;$D312&amp;$E312="","",IF($B312="","missing date",IF($C312="","missing worker",IF($I312="?","unknown worker - was the name changed on Workers?",IF($D312="","missing type",IF(N($E312)=0,"missing amount",IF(AND($E312&lt;0,$D312&lt;&gt;"Correction"),"negative amount - use a Correction to undo",IF(OR($B312&lt;Weeks!$A$7,$B312&gt;Weeks!$B$59),"date outside this workbook's year",IF(AND($D312="Advance",N($L312)&lt;0),"Warning: more than earned so far - worker now owes "&amp;TEXT(ROUND(-$L312,0),"#,##0"),"")))))))))</f>
        <v/>
      </c>
      <c r="N312" s="125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</row>
    <row r="313" spans="1:40" s="127" customFormat="1" ht="21" customHeight="1" x14ac:dyDescent="0.25">
      <c r="A313" s="51" t="str">
        <f t="shared" si="12"/>
        <v/>
      </c>
      <c r="B313" s="77"/>
      <c r="C313" s="133"/>
      <c r="D313" s="50"/>
      <c r="E313" s="141"/>
      <c r="F313" s="133"/>
      <c r="G313" s="133"/>
      <c r="H313" s="50"/>
      <c r="I313" s="51" t="str">
        <f t="shared" si="13"/>
        <v/>
      </c>
      <c r="J313" s="52" t="str">
        <f t="shared" si="14"/>
        <v/>
      </c>
      <c r="K313" s="142" t="str">
        <f>IF(OR($I313="",$I313="?",$D313&lt;&gt;"Advance",$B313=""),"",$I313&amp;"|"&amp;$J313&amp;"|"&amp;COUNTIFS($I$7:$I313,$I313,$J$7:$J313,$J313,$D$7:$D313,"Advance"))</f>
        <v/>
      </c>
      <c r="L313" s="143" t="str">
        <f>IF(OR($I313="",$I313="?",$B313=""),"",SUMPRODUCT((Weeks!$A$7:$A$59&lt;=$J313)*(Weeks!$X$5:$AI$5=$I313)*Weeks!$X$7:$AI$59)-SUMIFS($E$7:$E$1006,$I$7:$I$1006,$I313,$B$7:$B$1006,"&lt;="&amp;$B313))</f>
        <v/>
      </c>
      <c r="M313" s="132" t="str">
        <f>IF($B313&amp;$C313&amp;$D313&amp;$E313="","",IF($B313="","missing date",IF($C313="","missing worker",IF($I313="?","unknown worker - was the name changed on Workers?",IF($D313="","missing type",IF(N($E313)=0,"missing amount",IF(AND($E313&lt;0,$D313&lt;&gt;"Correction"),"negative amount - use a Correction to undo",IF(OR($B313&lt;Weeks!$A$7,$B313&gt;Weeks!$B$59),"date outside this workbook's year",IF(AND($D313="Advance",N($L313)&lt;0),"Warning: more than earned so far - worker now owes "&amp;TEXT(ROUND(-$L313,0),"#,##0"),"")))))))))</f>
        <v/>
      </c>
      <c r="N313" s="125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</row>
    <row r="314" spans="1:40" s="127" customFormat="1" ht="21" customHeight="1" x14ac:dyDescent="0.25">
      <c r="A314" s="51" t="str">
        <f t="shared" si="12"/>
        <v/>
      </c>
      <c r="B314" s="77"/>
      <c r="C314" s="133"/>
      <c r="D314" s="50"/>
      <c r="E314" s="141"/>
      <c r="F314" s="133"/>
      <c r="G314" s="133"/>
      <c r="H314" s="50"/>
      <c r="I314" s="51" t="str">
        <f t="shared" si="13"/>
        <v/>
      </c>
      <c r="J314" s="52" t="str">
        <f t="shared" si="14"/>
        <v/>
      </c>
      <c r="K314" s="142" t="str">
        <f>IF(OR($I314="",$I314="?",$D314&lt;&gt;"Advance",$B314=""),"",$I314&amp;"|"&amp;$J314&amp;"|"&amp;COUNTIFS($I$7:$I314,$I314,$J$7:$J314,$J314,$D$7:$D314,"Advance"))</f>
        <v/>
      </c>
      <c r="L314" s="143" t="str">
        <f>IF(OR($I314="",$I314="?",$B314=""),"",SUMPRODUCT((Weeks!$A$7:$A$59&lt;=$J314)*(Weeks!$X$5:$AI$5=$I314)*Weeks!$X$7:$AI$59)-SUMIFS($E$7:$E$1006,$I$7:$I$1006,$I314,$B$7:$B$1006,"&lt;="&amp;$B314))</f>
        <v/>
      </c>
      <c r="M314" s="132" t="str">
        <f>IF($B314&amp;$C314&amp;$D314&amp;$E314="","",IF($B314="","missing date",IF($C314="","missing worker",IF($I314="?","unknown worker - was the name changed on Workers?",IF($D314="","missing type",IF(N($E314)=0,"missing amount",IF(AND($E314&lt;0,$D314&lt;&gt;"Correction"),"negative amount - use a Correction to undo",IF(OR($B314&lt;Weeks!$A$7,$B314&gt;Weeks!$B$59),"date outside this workbook's year",IF(AND($D314="Advance",N($L314)&lt;0),"Warning: more than earned so far - worker now owes "&amp;TEXT(ROUND(-$L314,0),"#,##0"),"")))))))))</f>
        <v/>
      </c>
      <c r="N314" s="125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</row>
    <row r="315" spans="1:40" s="127" customFormat="1" ht="21" customHeight="1" x14ac:dyDescent="0.25">
      <c r="A315" s="51" t="str">
        <f t="shared" si="12"/>
        <v/>
      </c>
      <c r="B315" s="77"/>
      <c r="C315" s="133"/>
      <c r="D315" s="50"/>
      <c r="E315" s="141"/>
      <c r="F315" s="133"/>
      <c r="G315" s="133"/>
      <c r="H315" s="50"/>
      <c r="I315" s="51" t="str">
        <f t="shared" si="13"/>
        <v/>
      </c>
      <c r="J315" s="52" t="str">
        <f t="shared" si="14"/>
        <v/>
      </c>
      <c r="K315" s="142" t="str">
        <f>IF(OR($I315="",$I315="?",$D315&lt;&gt;"Advance",$B315=""),"",$I315&amp;"|"&amp;$J315&amp;"|"&amp;COUNTIFS($I$7:$I315,$I315,$J$7:$J315,$J315,$D$7:$D315,"Advance"))</f>
        <v/>
      </c>
      <c r="L315" s="143" t="str">
        <f>IF(OR($I315="",$I315="?",$B315=""),"",SUMPRODUCT((Weeks!$A$7:$A$59&lt;=$J315)*(Weeks!$X$5:$AI$5=$I315)*Weeks!$X$7:$AI$59)-SUMIFS($E$7:$E$1006,$I$7:$I$1006,$I315,$B$7:$B$1006,"&lt;="&amp;$B315))</f>
        <v/>
      </c>
      <c r="M315" s="132" t="str">
        <f>IF($B315&amp;$C315&amp;$D315&amp;$E315="","",IF($B315="","missing date",IF($C315="","missing worker",IF($I315="?","unknown worker - was the name changed on Workers?",IF($D315="","missing type",IF(N($E315)=0,"missing amount",IF(AND($E315&lt;0,$D315&lt;&gt;"Correction"),"negative amount - use a Correction to undo",IF(OR($B315&lt;Weeks!$A$7,$B315&gt;Weeks!$B$59),"date outside this workbook's year",IF(AND($D315="Advance",N($L315)&lt;0),"Warning: more than earned so far - worker now owes "&amp;TEXT(ROUND(-$L315,0),"#,##0"),"")))))))))</f>
        <v/>
      </c>
      <c r="N315" s="125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</row>
    <row r="316" spans="1:40" s="127" customFormat="1" ht="21" customHeight="1" x14ac:dyDescent="0.25">
      <c r="A316" s="51" t="str">
        <f t="shared" si="12"/>
        <v/>
      </c>
      <c r="B316" s="77"/>
      <c r="C316" s="133"/>
      <c r="D316" s="50"/>
      <c r="E316" s="141"/>
      <c r="F316" s="133"/>
      <c r="G316" s="133"/>
      <c r="H316" s="50"/>
      <c r="I316" s="51" t="str">
        <f t="shared" si="13"/>
        <v/>
      </c>
      <c r="J316" s="52" t="str">
        <f t="shared" si="14"/>
        <v/>
      </c>
      <c r="K316" s="142" t="str">
        <f>IF(OR($I316="",$I316="?",$D316&lt;&gt;"Advance",$B316=""),"",$I316&amp;"|"&amp;$J316&amp;"|"&amp;COUNTIFS($I$7:$I316,$I316,$J$7:$J316,$J316,$D$7:$D316,"Advance"))</f>
        <v/>
      </c>
      <c r="L316" s="143" t="str">
        <f>IF(OR($I316="",$I316="?",$B316=""),"",SUMPRODUCT((Weeks!$A$7:$A$59&lt;=$J316)*(Weeks!$X$5:$AI$5=$I316)*Weeks!$X$7:$AI$59)-SUMIFS($E$7:$E$1006,$I$7:$I$1006,$I316,$B$7:$B$1006,"&lt;="&amp;$B316))</f>
        <v/>
      </c>
      <c r="M316" s="132" t="str">
        <f>IF($B316&amp;$C316&amp;$D316&amp;$E316="","",IF($B316="","missing date",IF($C316="","missing worker",IF($I316="?","unknown worker - was the name changed on Workers?",IF($D316="","missing type",IF(N($E316)=0,"missing amount",IF(AND($E316&lt;0,$D316&lt;&gt;"Correction"),"negative amount - use a Correction to undo",IF(OR($B316&lt;Weeks!$A$7,$B316&gt;Weeks!$B$59),"date outside this workbook's year",IF(AND($D316="Advance",N($L316)&lt;0),"Warning: more than earned so far - worker now owes "&amp;TEXT(ROUND(-$L316,0),"#,##0"),"")))))))))</f>
        <v/>
      </c>
      <c r="N316" s="125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</row>
    <row r="317" spans="1:40" s="127" customFormat="1" ht="21" customHeight="1" x14ac:dyDescent="0.25">
      <c r="A317" s="51" t="str">
        <f t="shared" si="12"/>
        <v/>
      </c>
      <c r="B317" s="77"/>
      <c r="C317" s="133"/>
      <c r="D317" s="50"/>
      <c r="E317" s="141"/>
      <c r="F317" s="133"/>
      <c r="G317" s="133"/>
      <c r="H317" s="50"/>
      <c r="I317" s="51" t="str">
        <f t="shared" si="13"/>
        <v/>
      </c>
      <c r="J317" s="52" t="str">
        <f t="shared" si="14"/>
        <v/>
      </c>
      <c r="K317" s="142" t="str">
        <f>IF(OR($I317="",$I317="?",$D317&lt;&gt;"Advance",$B317=""),"",$I317&amp;"|"&amp;$J317&amp;"|"&amp;COUNTIFS($I$7:$I317,$I317,$J$7:$J317,$J317,$D$7:$D317,"Advance"))</f>
        <v/>
      </c>
      <c r="L317" s="143" t="str">
        <f>IF(OR($I317="",$I317="?",$B317=""),"",SUMPRODUCT((Weeks!$A$7:$A$59&lt;=$J317)*(Weeks!$X$5:$AI$5=$I317)*Weeks!$X$7:$AI$59)-SUMIFS($E$7:$E$1006,$I$7:$I$1006,$I317,$B$7:$B$1006,"&lt;="&amp;$B317))</f>
        <v/>
      </c>
      <c r="M317" s="132" t="str">
        <f>IF($B317&amp;$C317&amp;$D317&amp;$E317="","",IF($B317="","missing date",IF($C317="","missing worker",IF($I317="?","unknown worker - was the name changed on Workers?",IF($D317="","missing type",IF(N($E317)=0,"missing amount",IF(AND($E317&lt;0,$D317&lt;&gt;"Correction"),"negative amount - use a Correction to undo",IF(OR($B317&lt;Weeks!$A$7,$B317&gt;Weeks!$B$59),"date outside this workbook's year",IF(AND($D317="Advance",N($L317)&lt;0),"Warning: more than earned so far - worker now owes "&amp;TEXT(ROUND(-$L317,0),"#,##0"),"")))))))))</f>
        <v/>
      </c>
      <c r="N317" s="125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</row>
    <row r="318" spans="1:40" s="127" customFormat="1" ht="21" customHeight="1" x14ac:dyDescent="0.25">
      <c r="A318" s="51" t="str">
        <f t="shared" si="12"/>
        <v/>
      </c>
      <c r="B318" s="77"/>
      <c r="C318" s="133"/>
      <c r="D318" s="50"/>
      <c r="E318" s="141"/>
      <c r="F318" s="133"/>
      <c r="G318" s="133"/>
      <c r="H318" s="50"/>
      <c r="I318" s="51" t="str">
        <f t="shared" si="13"/>
        <v/>
      </c>
      <c r="J318" s="52" t="str">
        <f t="shared" si="14"/>
        <v/>
      </c>
      <c r="K318" s="142" t="str">
        <f>IF(OR($I318="",$I318="?",$D318&lt;&gt;"Advance",$B318=""),"",$I318&amp;"|"&amp;$J318&amp;"|"&amp;COUNTIFS($I$7:$I318,$I318,$J$7:$J318,$J318,$D$7:$D318,"Advance"))</f>
        <v/>
      </c>
      <c r="L318" s="143" t="str">
        <f>IF(OR($I318="",$I318="?",$B318=""),"",SUMPRODUCT((Weeks!$A$7:$A$59&lt;=$J318)*(Weeks!$X$5:$AI$5=$I318)*Weeks!$X$7:$AI$59)-SUMIFS($E$7:$E$1006,$I$7:$I$1006,$I318,$B$7:$B$1006,"&lt;="&amp;$B318))</f>
        <v/>
      </c>
      <c r="M318" s="132" t="str">
        <f>IF($B318&amp;$C318&amp;$D318&amp;$E318="","",IF($B318="","missing date",IF($C318="","missing worker",IF($I318="?","unknown worker - was the name changed on Workers?",IF($D318="","missing type",IF(N($E318)=0,"missing amount",IF(AND($E318&lt;0,$D318&lt;&gt;"Correction"),"negative amount - use a Correction to undo",IF(OR($B318&lt;Weeks!$A$7,$B318&gt;Weeks!$B$59),"date outside this workbook's year",IF(AND($D318="Advance",N($L318)&lt;0),"Warning: more than earned so far - worker now owes "&amp;TEXT(ROUND(-$L318,0),"#,##0"),"")))))))))</f>
        <v/>
      </c>
      <c r="N318" s="125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</row>
    <row r="319" spans="1:40" s="127" customFormat="1" ht="21" customHeight="1" x14ac:dyDescent="0.25">
      <c r="A319" s="51" t="str">
        <f t="shared" si="12"/>
        <v/>
      </c>
      <c r="B319" s="77"/>
      <c r="C319" s="133"/>
      <c r="D319" s="50"/>
      <c r="E319" s="141"/>
      <c r="F319" s="133"/>
      <c r="G319" s="133"/>
      <c r="H319" s="50"/>
      <c r="I319" s="51" t="str">
        <f t="shared" si="13"/>
        <v/>
      </c>
      <c r="J319" s="52" t="str">
        <f t="shared" si="14"/>
        <v/>
      </c>
      <c r="K319" s="142" t="str">
        <f>IF(OR($I319="",$I319="?",$D319&lt;&gt;"Advance",$B319=""),"",$I319&amp;"|"&amp;$J319&amp;"|"&amp;COUNTIFS($I$7:$I319,$I319,$J$7:$J319,$J319,$D$7:$D319,"Advance"))</f>
        <v/>
      </c>
      <c r="L319" s="143" t="str">
        <f>IF(OR($I319="",$I319="?",$B319=""),"",SUMPRODUCT((Weeks!$A$7:$A$59&lt;=$J319)*(Weeks!$X$5:$AI$5=$I319)*Weeks!$X$7:$AI$59)-SUMIFS($E$7:$E$1006,$I$7:$I$1006,$I319,$B$7:$B$1006,"&lt;="&amp;$B319))</f>
        <v/>
      </c>
      <c r="M319" s="132" t="str">
        <f>IF($B319&amp;$C319&amp;$D319&amp;$E319="","",IF($B319="","missing date",IF($C319="","missing worker",IF($I319="?","unknown worker - was the name changed on Workers?",IF($D319="","missing type",IF(N($E319)=0,"missing amount",IF(AND($E319&lt;0,$D319&lt;&gt;"Correction"),"negative amount - use a Correction to undo",IF(OR($B319&lt;Weeks!$A$7,$B319&gt;Weeks!$B$59),"date outside this workbook's year",IF(AND($D319="Advance",N($L319)&lt;0),"Warning: more than earned so far - worker now owes "&amp;TEXT(ROUND(-$L319,0),"#,##0"),"")))))))))</f>
        <v/>
      </c>
      <c r="N319" s="125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</row>
    <row r="320" spans="1:40" s="127" customFormat="1" ht="21" customHeight="1" x14ac:dyDescent="0.25">
      <c r="A320" s="51" t="str">
        <f t="shared" si="12"/>
        <v/>
      </c>
      <c r="B320" s="77"/>
      <c r="C320" s="133"/>
      <c r="D320" s="50"/>
      <c r="E320" s="141"/>
      <c r="F320" s="133"/>
      <c r="G320" s="133"/>
      <c r="H320" s="50"/>
      <c r="I320" s="51" t="str">
        <f t="shared" si="13"/>
        <v/>
      </c>
      <c r="J320" s="52" t="str">
        <f t="shared" si="14"/>
        <v/>
      </c>
      <c r="K320" s="142" t="str">
        <f>IF(OR($I320="",$I320="?",$D320&lt;&gt;"Advance",$B320=""),"",$I320&amp;"|"&amp;$J320&amp;"|"&amp;COUNTIFS($I$7:$I320,$I320,$J$7:$J320,$J320,$D$7:$D320,"Advance"))</f>
        <v/>
      </c>
      <c r="L320" s="143" t="str">
        <f>IF(OR($I320="",$I320="?",$B320=""),"",SUMPRODUCT((Weeks!$A$7:$A$59&lt;=$J320)*(Weeks!$X$5:$AI$5=$I320)*Weeks!$X$7:$AI$59)-SUMIFS($E$7:$E$1006,$I$7:$I$1006,$I320,$B$7:$B$1006,"&lt;="&amp;$B320))</f>
        <v/>
      </c>
      <c r="M320" s="132" t="str">
        <f>IF($B320&amp;$C320&amp;$D320&amp;$E320="","",IF($B320="","missing date",IF($C320="","missing worker",IF($I320="?","unknown worker - was the name changed on Workers?",IF($D320="","missing type",IF(N($E320)=0,"missing amount",IF(AND($E320&lt;0,$D320&lt;&gt;"Correction"),"negative amount - use a Correction to undo",IF(OR($B320&lt;Weeks!$A$7,$B320&gt;Weeks!$B$59),"date outside this workbook's year",IF(AND($D320="Advance",N($L320)&lt;0),"Warning: more than earned so far - worker now owes "&amp;TEXT(ROUND(-$L320,0),"#,##0"),"")))))))))</f>
        <v/>
      </c>
      <c r="N320" s="125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</row>
    <row r="321" spans="1:40" s="127" customFormat="1" ht="21" customHeight="1" x14ac:dyDescent="0.25">
      <c r="A321" s="51" t="str">
        <f t="shared" si="12"/>
        <v/>
      </c>
      <c r="B321" s="77"/>
      <c r="C321" s="133"/>
      <c r="D321" s="50"/>
      <c r="E321" s="141"/>
      <c r="F321" s="133"/>
      <c r="G321" s="133"/>
      <c r="H321" s="50"/>
      <c r="I321" s="51" t="str">
        <f t="shared" si="13"/>
        <v/>
      </c>
      <c r="J321" s="52" t="str">
        <f t="shared" si="14"/>
        <v/>
      </c>
      <c r="K321" s="142" t="str">
        <f>IF(OR($I321="",$I321="?",$D321&lt;&gt;"Advance",$B321=""),"",$I321&amp;"|"&amp;$J321&amp;"|"&amp;COUNTIFS($I$7:$I321,$I321,$J$7:$J321,$J321,$D$7:$D321,"Advance"))</f>
        <v/>
      </c>
      <c r="L321" s="143" t="str">
        <f>IF(OR($I321="",$I321="?",$B321=""),"",SUMPRODUCT((Weeks!$A$7:$A$59&lt;=$J321)*(Weeks!$X$5:$AI$5=$I321)*Weeks!$X$7:$AI$59)-SUMIFS($E$7:$E$1006,$I$7:$I$1006,$I321,$B$7:$B$1006,"&lt;="&amp;$B321))</f>
        <v/>
      </c>
      <c r="M321" s="132" t="str">
        <f>IF($B321&amp;$C321&amp;$D321&amp;$E321="","",IF($B321="","missing date",IF($C321="","missing worker",IF($I321="?","unknown worker - was the name changed on Workers?",IF($D321="","missing type",IF(N($E321)=0,"missing amount",IF(AND($E321&lt;0,$D321&lt;&gt;"Correction"),"negative amount - use a Correction to undo",IF(OR($B321&lt;Weeks!$A$7,$B321&gt;Weeks!$B$59),"date outside this workbook's year",IF(AND($D321="Advance",N($L321)&lt;0),"Warning: more than earned so far - worker now owes "&amp;TEXT(ROUND(-$L321,0),"#,##0"),"")))))))))</f>
        <v/>
      </c>
      <c r="N321" s="125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</row>
    <row r="322" spans="1:40" s="127" customFormat="1" ht="21" customHeight="1" x14ac:dyDescent="0.25">
      <c r="A322" s="51" t="str">
        <f t="shared" si="12"/>
        <v/>
      </c>
      <c r="B322" s="77"/>
      <c r="C322" s="133"/>
      <c r="D322" s="50"/>
      <c r="E322" s="141"/>
      <c r="F322" s="133"/>
      <c r="G322" s="133"/>
      <c r="H322" s="50"/>
      <c r="I322" s="51" t="str">
        <f t="shared" si="13"/>
        <v/>
      </c>
      <c r="J322" s="52" t="str">
        <f t="shared" si="14"/>
        <v/>
      </c>
      <c r="K322" s="142" t="str">
        <f>IF(OR($I322="",$I322="?",$D322&lt;&gt;"Advance",$B322=""),"",$I322&amp;"|"&amp;$J322&amp;"|"&amp;COUNTIFS($I$7:$I322,$I322,$J$7:$J322,$J322,$D$7:$D322,"Advance"))</f>
        <v/>
      </c>
      <c r="L322" s="143" t="str">
        <f>IF(OR($I322="",$I322="?",$B322=""),"",SUMPRODUCT((Weeks!$A$7:$A$59&lt;=$J322)*(Weeks!$X$5:$AI$5=$I322)*Weeks!$X$7:$AI$59)-SUMIFS($E$7:$E$1006,$I$7:$I$1006,$I322,$B$7:$B$1006,"&lt;="&amp;$B322))</f>
        <v/>
      </c>
      <c r="M322" s="132" t="str">
        <f>IF($B322&amp;$C322&amp;$D322&amp;$E322="","",IF($B322="","missing date",IF($C322="","missing worker",IF($I322="?","unknown worker - was the name changed on Workers?",IF($D322="","missing type",IF(N($E322)=0,"missing amount",IF(AND($E322&lt;0,$D322&lt;&gt;"Correction"),"negative amount - use a Correction to undo",IF(OR($B322&lt;Weeks!$A$7,$B322&gt;Weeks!$B$59),"date outside this workbook's year",IF(AND($D322="Advance",N($L322)&lt;0),"Warning: more than earned so far - worker now owes "&amp;TEXT(ROUND(-$L322,0),"#,##0"),"")))))))))</f>
        <v/>
      </c>
      <c r="N322" s="125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</row>
    <row r="323" spans="1:40" s="127" customFormat="1" ht="21" customHeight="1" x14ac:dyDescent="0.25">
      <c r="A323" s="51" t="str">
        <f t="shared" si="12"/>
        <v/>
      </c>
      <c r="B323" s="77"/>
      <c r="C323" s="133"/>
      <c r="D323" s="50"/>
      <c r="E323" s="141"/>
      <c r="F323" s="133"/>
      <c r="G323" s="133"/>
      <c r="H323" s="50"/>
      <c r="I323" s="51" t="str">
        <f t="shared" si="13"/>
        <v/>
      </c>
      <c r="J323" s="52" t="str">
        <f t="shared" si="14"/>
        <v/>
      </c>
      <c r="K323" s="142" t="str">
        <f>IF(OR($I323="",$I323="?",$D323&lt;&gt;"Advance",$B323=""),"",$I323&amp;"|"&amp;$J323&amp;"|"&amp;COUNTIFS($I$7:$I323,$I323,$J$7:$J323,$J323,$D$7:$D323,"Advance"))</f>
        <v/>
      </c>
      <c r="L323" s="143" t="str">
        <f>IF(OR($I323="",$I323="?",$B323=""),"",SUMPRODUCT((Weeks!$A$7:$A$59&lt;=$J323)*(Weeks!$X$5:$AI$5=$I323)*Weeks!$X$7:$AI$59)-SUMIFS($E$7:$E$1006,$I$7:$I$1006,$I323,$B$7:$B$1006,"&lt;="&amp;$B323))</f>
        <v/>
      </c>
      <c r="M323" s="132" t="str">
        <f>IF($B323&amp;$C323&amp;$D323&amp;$E323="","",IF($B323="","missing date",IF($C323="","missing worker",IF($I323="?","unknown worker - was the name changed on Workers?",IF($D323="","missing type",IF(N($E323)=0,"missing amount",IF(AND($E323&lt;0,$D323&lt;&gt;"Correction"),"negative amount - use a Correction to undo",IF(OR($B323&lt;Weeks!$A$7,$B323&gt;Weeks!$B$59),"date outside this workbook's year",IF(AND($D323="Advance",N($L323)&lt;0),"Warning: more than earned so far - worker now owes "&amp;TEXT(ROUND(-$L323,0),"#,##0"),"")))))))))</f>
        <v/>
      </c>
      <c r="N323" s="125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</row>
    <row r="324" spans="1:40" s="127" customFormat="1" ht="21" customHeight="1" x14ac:dyDescent="0.25">
      <c r="A324" s="51" t="str">
        <f t="shared" si="12"/>
        <v/>
      </c>
      <c r="B324" s="77"/>
      <c r="C324" s="133"/>
      <c r="D324" s="50"/>
      <c r="E324" s="141"/>
      <c r="F324" s="133"/>
      <c r="G324" s="133"/>
      <c r="H324" s="50"/>
      <c r="I324" s="51" t="str">
        <f t="shared" si="13"/>
        <v/>
      </c>
      <c r="J324" s="52" t="str">
        <f t="shared" si="14"/>
        <v/>
      </c>
      <c r="K324" s="142" t="str">
        <f>IF(OR($I324="",$I324="?",$D324&lt;&gt;"Advance",$B324=""),"",$I324&amp;"|"&amp;$J324&amp;"|"&amp;COUNTIFS($I$7:$I324,$I324,$J$7:$J324,$J324,$D$7:$D324,"Advance"))</f>
        <v/>
      </c>
      <c r="L324" s="143" t="str">
        <f>IF(OR($I324="",$I324="?",$B324=""),"",SUMPRODUCT((Weeks!$A$7:$A$59&lt;=$J324)*(Weeks!$X$5:$AI$5=$I324)*Weeks!$X$7:$AI$59)-SUMIFS($E$7:$E$1006,$I$7:$I$1006,$I324,$B$7:$B$1006,"&lt;="&amp;$B324))</f>
        <v/>
      </c>
      <c r="M324" s="132" t="str">
        <f>IF($B324&amp;$C324&amp;$D324&amp;$E324="","",IF($B324="","missing date",IF($C324="","missing worker",IF($I324="?","unknown worker - was the name changed on Workers?",IF($D324="","missing type",IF(N($E324)=0,"missing amount",IF(AND($E324&lt;0,$D324&lt;&gt;"Correction"),"negative amount - use a Correction to undo",IF(OR($B324&lt;Weeks!$A$7,$B324&gt;Weeks!$B$59),"date outside this workbook's year",IF(AND($D324="Advance",N($L324)&lt;0),"Warning: more than earned so far - worker now owes "&amp;TEXT(ROUND(-$L324,0),"#,##0"),"")))))))))</f>
        <v/>
      </c>
      <c r="N324" s="125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</row>
    <row r="325" spans="1:40" s="127" customFormat="1" ht="21" customHeight="1" x14ac:dyDescent="0.25">
      <c r="A325" s="51" t="str">
        <f t="shared" si="12"/>
        <v/>
      </c>
      <c r="B325" s="77"/>
      <c r="C325" s="133"/>
      <c r="D325" s="50"/>
      <c r="E325" s="141"/>
      <c r="F325" s="133"/>
      <c r="G325" s="133"/>
      <c r="H325" s="50"/>
      <c r="I325" s="51" t="str">
        <f t="shared" si="13"/>
        <v/>
      </c>
      <c r="J325" s="52" t="str">
        <f t="shared" si="14"/>
        <v/>
      </c>
      <c r="K325" s="142" t="str">
        <f>IF(OR($I325="",$I325="?",$D325&lt;&gt;"Advance",$B325=""),"",$I325&amp;"|"&amp;$J325&amp;"|"&amp;COUNTIFS($I$7:$I325,$I325,$J$7:$J325,$J325,$D$7:$D325,"Advance"))</f>
        <v/>
      </c>
      <c r="L325" s="143" t="str">
        <f>IF(OR($I325="",$I325="?",$B325=""),"",SUMPRODUCT((Weeks!$A$7:$A$59&lt;=$J325)*(Weeks!$X$5:$AI$5=$I325)*Weeks!$X$7:$AI$59)-SUMIFS($E$7:$E$1006,$I$7:$I$1006,$I325,$B$7:$B$1006,"&lt;="&amp;$B325))</f>
        <v/>
      </c>
      <c r="M325" s="132" t="str">
        <f>IF($B325&amp;$C325&amp;$D325&amp;$E325="","",IF($B325="","missing date",IF($C325="","missing worker",IF($I325="?","unknown worker - was the name changed on Workers?",IF($D325="","missing type",IF(N($E325)=0,"missing amount",IF(AND($E325&lt;0,$D325&lt;&gt;"Correction"),"negative amount - use a Correction to undo",IF(OR($B325&lt;Weeks!$A$7,$B325&gt;Weeks!$B$59),"date outside this workbook's year",IF(AND($D325="Advance",N($L325)&lt;0),"Warning: more than earned so far - worker now owes "&amp;TEXT(ROUND(-$L325,0),"#,##0"),"")))))))))</f>
        <v/>
      </c>
      <c r="N325" s="125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</row>
    <row r="326" spans="1:40" s="127" customFormat="1" ht="21" customHeight="1" x14ac:dyDescent="0.25">
      <c r="A326" s="51" t="str">
        <f t="shared" si="12"/>
        <v/>
      </c>
      <c r="B326" s="77"/>
      <c r="C326" s="133"/>
      <c r="D326" s="50"/>
      <c r="E326" s="141"/>
      <c r="F326" s="133"/>
      <c r="G326" s="133"/>
      <c r="H326" s="50"/>
      <c r="I326" s="51" t="str">
        <f t="shared" si="13"/>
        <v/>
      </c>
      <c r="J326" s="52" t="str">
        <f t="shared" si="14"/>
        <v/>
      </c>
      <c r="K326" s="142" t="str">
        <f>IF(OR($I326="",$I326="?",$D326&lt;&gt;"Advance",$B326=""),"",$I326&amp;"|"&amp;$J326&amp;"|"&amp;COUNTIFS($I$7:$I326,$I326,$J$7:$J326,$J326,$D$7:$D326,"Advance"))</f>
        <v/>
      </c>
      <c r="L326" s="143" t="str">
        <f>IF(OR($I326="",$I326="?",$B326=""),"",SUMPRODUCT((Weeks!$A$7:$A$59&lt;=$J326)*(Weeks!$X$5:$AI$5=$I326)*Weeks!$X$7:$AI$59)-SUMIFS($E$7:$E$1006,$I$7:$I$1006,$I326,$B$7:$B$1006,"&lt;="&amp;$B326))</f>
        <v/>
      </c>
      <c r="M326" s="132" t="str">
        <f>IF($B326&amp;$C326&amp;$D326&amp;$E326="","",IF($B326="","missing date",IF($C326="","missing worker",IF($I326="?","unknown worker - was the name changed on Workers?",IF($D326="","missing type",IF(N($E326)=0,"missing amount",IF(AND($E326&lt;0,$D326&lt;&gt;"Correction"),"negative amount - use a Correction to undo",IF(OR($B326&lt;Weeks!$A$7,$B326&gt;Weeks!$B$59),"date outside this workbook's year",IF(AND($D326="Advance",N($L326)&lt;0),"Warning: more than earned so far - worker now owes "&amp;TEXT(ROUND(-$L326,0),"#,##0"),"")))))))))</f>
        <v/>
      </c>
      <c r="N326" s="125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</row>
    <row r="327" spans="1:40" s="127" customFormat="1" ht="21" customHeight="1" x14ac:dyDescent="0.25">
      <c r="A327" s="51" t="str">
        <f t="shared" ref="A327:A390" si="15">IF($B327="","",ROW()-6)</f>
        <v/>
      </c>
      <c r="B327" s="77"/>
      <c r="C327" s="133"/>
      <c r="D327" s="50"/>
      <c r="E327" s="141"/>
      <c r="F327" s="133"/>
      <c r="G327" s="133"/>
      <c r="H327" s="50"/>
      <c r="I327" s="51" t="str">
        <f t="shared" ref="I327:I390" si="16">IF($C327="","",IFERROR(INDEX(WorkerIDs,MATCH($C327,WorkerNames,0)),"?"))</f>
        <v/>
      </c>
      <c r="J327" s="52" t="str">
        <f t="shared" ref="J327:J390" si="17">IF($B327="","",$B327-WEEKDAY($B327,2)+1)</f>
        <v/>
      </c>
      <c r="K327" s="142" t="str">
        <f>IF(OR($I327="",$I327="?",$D327&lt;&gt;"Advance",$B327=""),"",$I327&amp;"|"&amp;$J327&amp;"|"&amp;COUNTIFS($I$7:$I327,$I327,$J$7:$J327,$J327,$D$7:$D327,"Advance"))</f>
        <v/>
      </c>
      <c r="L327" s="143" t="str">
        <f>IF(OR($I327="",$I327="?",$B327=""),"",SUMPRODUCT((Weeks!$A$7:$A$59&lt;=$J327)*(Weeks!$X$5:$AI$5=$I327)*Weeks!$X$7:$AI$59)-SUMIFS($E$7:$E$1006,$I$7:$I$1006,$I327,$B$7:$B$1006,"&lt;="&amp;$B327))</f>
        <v/>
      </c>
      <c r="M327" s="132" t="str">
        <f>IF($B327&amp;$C327&amp;$D327&amp;$E327="","",IF($B327="","missing date",IF($C327="","missing worker",IF($I327="?","unknown worker - was the name changed on Workers?",IF($D327="","missing type",IF(N($E327)=0,"missing amount",IF(AND($E327&lt;0,$D327&lt;&gt;"Correction"),"negative amount - use a Correction to undo",IF(OR($B327&lt;Weeks!$A$7,$B327&gt;Weeks!$B$59),"date outside this workbook's year",IF(AND($D327="Advance",N($L327)&lt;0),"Warning: more than earned so far - worker now owes "&amp;TEXT(ROUND(-$L327,0),"#,##0"),"")))))))))</f>
        <v/>
      </c>
      <c r="N327" s="125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</row>
    <row r="328" spans="1:40" s="127" customFormat="1" ht="21" customHeight="1" x14ac:dyDescent="0.25">
      <c r="A328" s="51" t="str">
        <f t="shared" si="15"/>
        <v/>
      </c>
      <c r="B328" s="77"/>
      <c r="C328" s="133"/>
      <c r="D328" s="50"/>
      <c r="E328" s="141"/>
      <c r="F328" s="133"/>
      <c r="G328" s="133"/>
      <c r="H328" s="50"/>
      <c r="I328" s="51" t="str">
        <f t="shared" si="16"/>
        <v/>
      </c>
      <c r="J328" s="52" t="str">
        <f t="shared" si="17"/>
        <v/>
      </c>
      <c r="K328" s="142" t="str">
        <f>IF(OR($I328="",$I328="?",$D328&lt;&gt;"Advance",$B328=""),"",$I328&amp;"|"&amp;$J328&amp;"|"&amp;COUNTIFS($I$7:$I328,$I328,$J$7:$J328,$J328,$D$7:$D328,"Advance"))</f>
        <v/>
      </c>
      <c r="L328" s="143" t="str">
        <f>IF(OR($I328="",$I328="?",$B328=""),"",SUMPRODUCT((Weeks!$A$7:$A$59&lt;=$J328)*(Weeks!$X$5:$AI$5=$I328)*Weeks!$X$7:$AI$59)-SUMIFS($E$7:$E$1006,$I$7:$I$1006,$I328,$B$7:$B$1006,"&lt;="&amp;$B328))</f>
        <v/>
      </c>
      <c r="M328" s="132" t="str">
        <f>IF($B328&amp;$C328&amp;$D328&amp;$E328="","",IF($B328="","missing date",IF($C328="","missing worker",IF($I328="?","unknown worker - was the name changed on Workers?",IF($D328="","missing type",IF(N($E328)=0,"missing amount",IF(AND($E328&lt;0,$D328&lt;&gt;"Correction"),"negative amount - use a Correction to undo",IF(OR($B328&lt;Weeks!$A$7,$B328&gt;Weeks!$B$59),"date outside this workbook's year",IF(AND($D328="Advance",N($L328)&lt;0),"Warning: more than earned so far - worker now owes "&amp;TEXT(ROUND(-$L328,0),"#,##0"),"")))))))))</f>
        <v/>
      </c>
      <c r="N328" s="125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</row>
    <row r="329" spans="1:40" s="127" customFormat="1" ht="21" customHeight="1" x14ac:dyDescent="0.25">
      <c r="A329" s="51" t="str">
        <f t="shared" si="15"/>
        <v/>
      </c>
      <c r="B329" s="77"/>
      <c r="C329" s="133"/>
      <c r="D329" s="50"/>
      <c r="E329" s="141"/>
      <c r="F329" s="133"/>
      <c r="G329" s="133"/>
      <c r="H329" s="50"/>
      <c r="I329" s="51" t="str">
        <f t="shared" si="16"/>
        <v/>
      </c>
      <c r="J329" s="52" t="str">
        <f t="shared" si="17"/>
        <v/>
      </c>
      <c r="K329" s="142" t="str">
        <f>IF(OR($I329="",$I329="?",$D329&lt;&gt;"Advance",$B329=""),"",$I329&amp;"|"&amp;$J329&amp;"|"&amp;COUNTIFS($I$7:$I329,$I329,$J$7:$J329,$J329,$D$7:$D329,"Advance"))</f>
        <v/>
      </c>
      <c r="L329" s="143" t="str">
        <f>IF(OR($I329="",$I329="?",$B329=""),"",SUMPRODUCT((Weeks!$A$7:$A$59&lt;=$J329)*(Weeks!$X$5:$AI$5=$I329)*Weeks!$X$7:$AI$59)-SUMIFS($E$7:$E$1006,$I$7:$I$1006,$I329,$B$7:$B$1006,"&lt;="&amp;$B329))</f>
        <v/>
      </c>
      <c r="M329" s="132" t="str">
        <f>IF($B329&amp;$C329&amp;$D329&amp;$E329="","",IF($B329="","missing date",IF($C329="","missing worker",IF($I329="?","unknown worker - was the name changed on Workers?",IF($D329="","missing type",IF(N($E329)=0,"missing amount",IF(AND($E329&lt;0,$D329&lt;&gt;"Correction"),"negative amount - use a Correction to undo",IF(OR($B329&lt;Weeks!$A$7,$B329&gt;Weeks!$B$59),"date outside this workbook's year",IF(AND($D329="Advance",N($L329)&lt;0),"Warning: more than earned so far - worker now owes "&amp;TEXT(ROUND(-$L329,0),"#,##0"),"")))))))))</f>
        <v/>
      </c>
      <c r="N329" s="125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</row>
    <row r="330" spans="1:40" s="127" customFormat="1" ht="21" customHeight="1" x14ac:dyDescent="0.25">
      <c r="A330" s="51" t="str">
        <f t="shared" si="15"/>
        <v/>
      </c>
      <c r="B330" s="77"/>
      <c r="C330" s="133"/>
      <c r="D330" s="50"/>
      <c r="E330" s="141"/>
      <c r="F330" s="133"/>
      <c r="G330" s="133"/>
      <c r="H330" s="50"/>
      <c r="I330" s="51" t="str">
        <f t="shared" si="16"/>
        <v/>
      </c>
      <c r="J330" s="52" t="str">
        <f t="shared" si="17"/>
        <v/>
      </c>
      <c r="K330" s="142" t="str">
        <f>IF(OR($I330="",$I330="?",$D330&lt;&gt;"Advance",$B330=""),"",$I330&amp;"|"&amp;$J330&amp;"|"&amp;COUNTIFS($I$7:$I330,$I330,$J$7:$J330,$J330,$D$7:$D330,"Advance"))</f>
        <v/>
      </c>
      <c r="L330" s="143" t="str">
        <f>IF(OR($I330="",$I330="?",$B330=""),"",SUMPRODUCT((Weeks!$A$7:$A$59&lt;=$J330)*(Weeks!$X$5:$AI$5=$I330)*Weeks!$X$7:$AI$59)-SUMIFS($E$7:$E$1006,$I$7:$I$1006,$I330,$B$7:$B$1006,"&lt;="&amp;$B330))</f>
        <v/>
      </c>
      <c r="M330" s="132" t="str">
        <f>IF($B330&amp;$C330&amp;$D330&amp;$E330="","",IF($B330="","missing date",IF($C330="","missing worker",IF($I330="?","unknown worker - was the name changed on Workers?",IF($D330="","missing type",IF(N($E330)=0,"missing amount",IF(AND($E330&lt;0,$D330&lt;&gt;"Correction"),"negative amount - use a Correction to undo",IF(OR($B330&lt;Weeks!$A$7,$B330&gt;Weeks!$B$59),"date outside this workbook's year",IF(AND($D330="Advance",N($L330)&lt;0),"Warning: more than earned so far - worker now owes "&amp;TEXT(ROUND(-$L330,0),"#,##0"),"")))))))))</f>
        <v/>
      </c>
      <c r="N330" s="125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</row>
    <row r="331" spans="1:40" s="127" customFormat="1" ht="21" customHeight="1" x14ac:dyDescent="0.25">
      <c r="A331" s="51" t="str">
        <f t="shared" si="15"/>
        <v/>
      </c>
      <c r="B331" s="77"/>
      <c r="C331" s="133"/>
      <c r="D331" s="50"/>
      <c r="E331" s="141"/>
      <c r="F331" s="133"/>
      <c r="G331" s="133"/>
      <c r="H331" s="50"/>
      <c r="I331" s="51" t="str">
        <f t="shared" si="16"/>
        <v/>
      </c>
      <c r="J331" s="52" t="str">
        <f t="shared" si="17"/>
        <v/>
      </c>
      <c r="K331" s="142" t="str">
        <f>IF(OR($I331="",$I331="?",$D331&lt;&gt;"Advance",$B331=""),"",$I331&amp;"|"&amp;$J331&amp;"|"&amp;COUNTIFS($I$7:$I331,$I331,$J$7:$J331,$J331,$D$7:$D331,"Advance"))</f>
        <v/>
      </c>
      <c r="L331" s="143" t="str">
        <f>IF(OR($I331="",$I331="?",$B331=""),"",SUMPRODUCT((Weeks!$A$7:$A$59&lt;=$J331)*(Weeks!$X$5:$AI$5=$I331)*Weeks!$X$7:$AI$59)-SUMIFS($E$7:$E$1006,$I$7:$I$1006,$I331,$B$7:$B$1006,"&lt;="&amp;$B331))</f>
        <v/>
      </c>
      <c r="M331" s="132" t="str">
        <f>IF($B331&amp;$C331&amp;$D331&amp;$E331="","",IF($B331="","missing date",IF($C331="","missing worker",IF($I331="?","unknown worker - was the name changed on Workers?",IF($D331="","missing type",IF(N($E331)=0,"missing amount",IF(AND($E331&lt;0,$D331&lt;&gt;"Correction"),"negative amount - use a Correction to undo",IF(OR($B331&lt;Weeks!$A$7,$B331&gt;Weeks!$B$59),"date outside this workbook's year",IF(AND($D331="Advance",N($L331)&lt;0),"Warning: more than earned so far - worker now owes "&amp;TEXT(ROUND(-$L331,0),"#,##0"),"")))))))))</f>
        <v/>
      </c>
      <c r="N331" s="125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</row>
    <row r="332" spans="1:40" s="127" customFormat="1" ht="21" customHeight="1" x14ac:dyDescent="0.25">
      <c r="A332" s="51" t="str">
        <f t="shared" si="15"/>
        <v/>
      </c>
      <c r="B332" s="77"/>
      <c r="C332" s="133"/>
      <c r="D332" s="50"/>
      <c r="E332" s="141"/>
      <c r="F332" s="133"/>
      <c r="G332" s="133"/>
      <c r="H332" s="50"/>
      <c r="I332" s="51" t="str">
        <f t="shared" si="16"/>
        <v/>
      </c>
      <c r="J332" s="52" t="str">
        <f t="shared" si="17"/>
        <v/>
      </c>
      <c r="K332" s="142" t="str">
        <f>IF(OR($I332="",$I332="?",$D332&lt;&gt;"Advance",$B332=""),"",$I332&amp;"|"&amp;$J332&amp;"|"&amp;COUNTIFS($I$7:$I332,$I332,$J$7:$J332,$J332,$D$7:$D332,"Advance"))</f>
        <v/>
      </c>
      <c r="L332" s="143" t="str">
        <f>IF(OR($I332="",$I332="?",$B332=""),"",SUMPRODUCT((Weeks!$A$7:$A$59&lt;=$J332)*(Weeks!$X$5:$AI$5=$I332)*Weeks!$X$7:$AI$59)-SUMIFS($E$7:$E$1006,$I$7:$I$1006,$I332,$B$7:$B$1006,"&lt;="&amp;$B332))</f>
        <v/>
      </c>
      <c r="M332" s="132" t="str">
        <f>IF($B332&amp;$C332&amp;$D332&amp;$E332="","",IF($B332="","missing date",IF($C332="","missing worker",IF($I332="?","unknown worker - was the name changed on Workers?",IF($D332="","missing type",IF(N($E332)=0,"missing amount",IF(AND($E332&lt;0,$D332&lt;&gt;"Correction"),"negative amount - use a Correction to undo",IF(OR($B332&lt;Weeks!$A$7,$B332&gt;Weeks!$B$59),"date outside this workbook's year",IF(AND($D332="Advance",N($L332)&lt;0),"Warning: more than earned so far - worker now owes "&amp;TEXT(ROUND(-$L332,0),"#,##0"),"")))))))))</f>
        <v/>
      </c>
      <c r="N332" s="125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</row>
    <row r="333" spans="1:40" s="127" customFormat="1" ht="21" customHeight="1" x14ac:dyDescent="0.25">
      <c r="A333" s="51" t="str">
        <f t="shared" si="15"/>
        <v/>
      </c>
      <c r="B333" s="77"/>
      <c r="C333" s="133"/>
      <c r="D333" s="50"/>
      <c r="E333" s="141"/>
      <c r="F333" s="133"/>
      <c r="G333" s="133"/>
      <c r="H333" s="50"/>
      <c r="I333" s="51" t="str">
        <f t="shared" si="16"/>
        <v/>
      </c>
      <c r="J333" s="52" t="str">
        <f t="shared" si="17"/>
        <v/>
      </c>
      <c r="K333" s="142" t="str">
        <f>IF(OR($I333="",$I333="?",$D333&lt;&gt;"Advance",$B333=""),"",$I333&amp;"|"&amp;$J333&amp;"|"&amp;COUNTIFS($I$7:$I333,$I333,$J$7:$J333,$J333,$D$7:$D333,"Advance"))</f>
        <v/>
      </c>
      <c r="L333" s="143" t="str">
        <f>IF(OR($I333="",$I333="?",$B333=""),"",SUMPRODUCT((Weeks!$A$7:$A$59&lt;=$J333)*(Weeks!$X$5:$AI$5=$I333)*Weeks!$X$7:$AI$59)-SUMIFS($E$7:$E$1006,$I$7:$I$1006,$I333,$B$7:$B$1006,"&lt;="&amp;$B333))</f>
        <v/>
      </c>
      <c r="M333" s="132" t="str">
        <f>IF($B333&amp;$C333&amp;$D333&amp;$E333="","",IF($B333="","missing date",IF($C333="","missing worker",IF($I333="?","unknown worker - was the name changed on Workers?",IF($D333="","missing type",IF(N($E333)=0,"missing amount",IF(AND($E333&lt;0,$D333&lt;&gt;"Correction"),"negative amount - use a Correction to undo",IF(OR($B333&lt;Weeks!$A$7,$B333&gt;Weeks!$B$59),"date outside this workbook's year",IF(AND($D333="Advance",N($L333)&lt;0),"Warning: more than earned so far - worker now owes "&amp;TEXT(ROUND(-$L333,0),"#,##0"),"")))))))))</f>
        <v/>
      </c>
      <c r="N333" s="125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</row>
    <row r="334" spans="1:40" s="127" customFormat="1" ht="21" customHeight="1" x14ac:dyDescent="0.25">
      <c r="A334" s="51" t="str">
        <f t="shared" si="15"/>
        <v/>
      </c>
      <c r="B334" s="77"/>
      <c r="C334" s="133"/>
      <c r="D334" s="50"/>
      <c r="E334" s="141"/>
      <c r="F334" s="133"/>
      <c r="G334" s="133"/>
      <c r="H334" s="50"/>
      <c r="I334" s="51" t="str">
        <f t="shared" si="16"/>
        <v/>
      </c>
      <c r="J334" s="52" t="str">
        <f t="shared" si="17"/>
        <v/>
      </c>
      <c r="K334" s="142" t="str">
        <f>IF(OR($I334="",$I334="?",$D334&lt;&gt;"Advance",$B334=""),"",$I334&amp;"|"&amp;$J334&amp;"|"&amp;COUNTIFS($I$7:$I334,$I334,$J$7:$J334,$J334,$D$7:$D334,"Advance"))</f>
        <v/>
      </c>
      <c r="L334" s="143" t="str">
        <f>IF(OR($I334="",$I334="?",$B334=""),"",SUMPRODUCT((Weeks!$A$7:$A$59&lt;=$J334)*(Weeks!$X$5:$AI$5=$I334)*Weeks!$X$7:$AI$59)-SUMIFS($E$7:$E$1006,$I$7:$I$1006,$I334,$B$7:$B$1006,"&lt;="&amp;$B334))</f>
        <v/>
      </c>
      <c r="M334" s="132" t="str">
        <f>IF($B334&amp;$C334&amp;$D334&amp;$E334="","",IF($B334="","missing date",IF($C334="","missing worker",IF($I334="?","unknown worker - was the name changed on Workers?",IF($D334="","missing type",IF(N($E334)=0,"missing amount",IF(AND($E334&lt;0,$D334&lt;&gt;"Correction"),"negative amount - use a Correction to undo",IF(OR($B334&lt;Weeks!$A$7,$B334&gt;Weeks!$B$59),"date outside this workbook's year",IF(AND($D334="Advance",N($L334)&lt;0),"Warning: more than earned so far - worker now owes "&amp;TEXT(ROUND(-$L334,0),"#,##0"),"")))))))))</f>
        <v/>
      </c>
      <c r="N334" s="125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</row>
    <row r="335" spans="1:40" s="127" customFormat="1" ht="21" customHeight="1" x14ac:dyDescent="0.25">
      <c r="A335" s="51" t="str">
        <f t="shared" si="15"/>
        <v/>
      </c>
      <c r="B335" s="77"/>
      <c r="C335" s="133"/>
      <c r="D335" s="50"/>
      <c r="E335" s="141"/>
      <c r="F335" s="133"/>
      <c r="G335" s="133"/>
      <c r="H335" s="50"/>
      <c r="I335" s="51" t="str">
        <f t="shared" si="16"/>
        <v/>
      </c>
      <c r="J335" s="52" t="str">
        <f t="shared" si="17"/>
        <v/>
      </c>
      <c r="K335" s="142" t="str">
        <f>IF(OR($I335="",$I335="?",$D335&lt;&gt;"Advance",$B335=""),"",$I335&amp;"|"&amp;$J335&amp;"|"&amp;COUNTIFS($I$7:$I335,$I335,$J$7:$J335,$J335,$D$7:$D335,"Advance"))</f>
        <v/>
      </c>
      <c r="L335" s="143" t="str">
        <f>IF(OR($I335="",$I335="?",$B335=""),"",SUMPRODUCT((Weeks!$A$7:$A$59&lt;=$J335)*(Weeks!$X$5:$AI$5=$I335)*Weeks!$X$7:$AI$59)-SUMIFS($E$7:$E$1006,$I$7:$I$1006,$I335,$B$7:$B$1006,"&lt;="&amp;$B335))</f>
        <v/>
      </c>
      <c r="M335" s="132" t="str">
        <f>IF($B335&amp;$C335&amp;$D335&amp;$E335="","",IF($B335="","missing date",IF($C335="","missing worker",IF($I335="?","unknown worker - was the name changed on Workers?",IF($D335="","missing type",IF(N($E335)=0,"missing amount",IF(AND($E335&lt;0,$D335&lt;&gt;"Correction"),"negative amount - use a Correction to undo",IF(OR($B335&lt;Weeks!$A$7,$B335&gt;Weeks!$B$59),"date outside this workbook's year",IF(AND($D335="Advance",N($L335)&lt;0),"Warning: more than earned so far - worker now owes "&amp;TEXT(ROUND(-$L335,0),"#,##0"),"")))))))))</f>
        <v/>
      </c>
      <c r="N335" s="125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</row>
    <row r="336" spans="1:40" s="127" customFormat="1" ht="21" customHeight="1" x14ac:dyDescent="0.25">
      <c r="A336" s="51" t="str">
        <f t="shared" si="15"/>
        <v/>
      </c>
      <c r="B336" s="77"/>
      <c r="C336" s="133"/>
      <c r="D336" s="50"/>
      <c r="E336" s="141"/>
      <c r="F336" s="133"/>
      <c r="G336" s="133"/>
      <c r="H336" s="50"/>
      <c r="I336" s="51" t="str">
        <f t="shared" si="16"/>
        <v/>
      </c>
      <c r="J336" s="52" t="str">
        <f t="shared" si="17"/>
        <v/>
      </c>
      <c r="K336" s="142" t="str">
        <f>IF(OR($I336="",$I336="?",$D336&lt;&gt;"Advance",$B336=""),"",$I336&amp;"|"&amp;$J336&amp;"|"&amp;COUNTIFS($I$7:$I336,$I336,$J$7:$J336,$J336,$D$7:$D336,"Advance"))</f>
        <v/>
      </c>
      <c r="L336" s="143" t="str">
        <f>IF(OR($I336="",$I336="?",$B336=""),"",SUMPRODUCT((Weeks!$A$7:$A$59&lt;=$J336)*(Weeks!$X$5:$AI$5=$I336)*Weeks!$X$7:$AI$59)-SUMIFS($E$7:$E$1006,$I$7:$I$1006,$I336,$B$7:$B$1006,"&lt;="&amp;$B336))</f>
        <v/>
      </c>
      <c r="M336" s="132" t="str">
        <f>IF($B336&amp;$C336&amp;$D336&amp;$E336="","",IF($B336="","missing date",IF($C336="","missing worker",IF($I336="?","unknown worker - was the name changed on Workers?",IF($D336="","missing type",IF(N($E336)=0,"missing amount",IF(AND($E336&lt;0,$D336&lt;&gt;"Correction"),"negative amount - use a Correction to undo",IF(OR($B336&lt;Weeks!$A$7,$B336&gt;Weeks!$B$59),"date outside this workbook's year",IF(AND($D336="Advance",N($L336)&lt;0),"Warning: more than earned so far - worker now owes "&amp;TEXT(ROUND(-$L336,0),"#,##0"),"")))))))))</f>
        <v/>
      </c>
      <c r="N336" s="125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</row>
    <row r="337" spans="1:40" s="127" customFormat="1" ht="21" customHeight="1" x14ac:dyDescent="0.25">
      <c r="A337" s="51" t="str">
        <f t="shared" si="15"/>
        <v/>
      </c>
      <c r="B337" s="77"/>
      <c r="C337" s="133"/>
      <c r="D337" s="50"/>
      <c r="E337" s="141"/>
      <c r="F337" s="133"/>
      <c r="G337" s="133"/>
      <c r="H337" s="50"/>
      <c r="I337" s="51" t="str">
        <f t="shared" si="16"/>
        <v/>
      </c>
      <c r="J337" s="52" t="str">
        <f t="shared" si="17"/>
        <v/>
      </c>
      <c r="K337" s="142" t="str">
        <f>IF(OR($I337="",$I337="?",$D337&lt;&gt;"Advance",$B337=""),"",$I337&amp;"|"&amp;$J337&amp;"|"&amp;COUNTIFS($I$7:$I337,$I337,$J$7:$J337,$J337,$D$7:$D337,"Advance"))</f>
        <v/>
      </c>
      <c r="L337" s="143" t="str">
        <f>IF(OR($I337="",$I337="?",$B337=""),"",SUMPRODUCT((Weeks!$A$7:$A$59&lt;=$J337)*(Weeks!$X$5:$AI$5=$I337)*Weeks!$X$7:$AI$59)-SUMIFS($E$7:$E$1006,$I$7:$I$1006,$I337,$B$7:$B$1006,"&lt;="&amp;$B337))</f>
        <v/>
      </c>
      <c r="M337" s="132" t="str">
        <f>IF($B337&amp;$C337&amp;$D337&amp;$E337="","",IF($B337="","missing date",IF($C337="","missing worker",IF($I337="?","unknown worker - was the name changed on Workers?",IF($D337="","missing type",IF(N($E337)=0,"missing amount",IF(AND($E337&lt;0,$D337&lt;&gt;"Correction"),"negative amount - use a Correction to undo",IF(OR($B337&lt;Weeks!$A$7,$B337&gt;Weeks!$B$59),"date outside this workbook's year",IF(AND($D337="Advance",N($L337)&lt;0),"Warning: more than earned so far - worker now owes "&amp;TEXT(ROUND(-$L337,0),"#,##0"),"")))))))))</f>
        <v/>
      </c>
      <c r="N337" s="125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</row>
    <row r="338" spans="1:40" s="127" customFormat="1" ht="21" customHeight="1" x14ac:dyDescent="0.25">
      <c r="A338" s="51" t="str">
        <f t="shared" si="15"/>
        <v/>
      </c>
      <c r="B338" s="77"/>
      <c r="C338" s="133"/>
      <c r="D338" s="50"/>
      <c r="E338" s="141"/>
      <c r="F338" s="133"/>
      <c r="G338" s="133"/>
      <c r="H338" s="50"/>
      <c r="I338" s="51" t="str">
        <f t="shared" si="16"/>
        <v/>
      </c>
      <c r="J338" s="52" t="str">
        <f t="shared" si="17"/>
        <v/>
      </c>
      <c r="K338" s="142" t="str">
        <f>IF(OR($I338="",$I338="?",$D338&lt;&gt;"Advance",$B338=""),"",$I338&amp;"|"&amp;$J338&amp;"|"&amp;COUNTIFS($I$7:$I338,$I338,$J$7:$J338,$J338,$D$7:$D338,"Advance"))</f>
        <v/>
      </c>
      <c r="L338" s="143" t="str">
        <f>IF(OR($I338="",$I338="?",$B338=""),"",SUMPRODUCT((Weeks!$A$7:$A$59&lt;=$J338)*(Weeks!$X$5:$AI$5=$I338)*Weeks!$X$7:$AI$59)-SUMIFS($E$7:$E$1006,$I$7:$I$1006,$I338,$B$7:$B$1006,"&lt;="&amp;$B338))</f>
        <v/>
      </c>
      <c r="M338" s="132" t="str">
        <f>IF($B338&amp;$C338&amp;$D338&amp;$E338="","",IF($B338="","missing date",IF($C338="","missing worker",IF($I338="?","unknown worker - was the name changed on Workers?",IF($D338="","missing type",IF(N($E338)=0,"missing amount",IF(AND($E338&lt;0,$D338&lt;&gt;"Correction"),"negative amount - use a Correction to undo",IF(OR($B338&lt;Weeks!$A$7,$B338&gt;Weeks!$B$59),"date outside this workbook's year",IF(AND($D338="Advance",N($L338)&lt;0),"Warning: more than earned so far - worker now owes "&amp;TEXT(ROUND(-$L338,0),"#,##0"),"")))))))))</f>
        <v/>
      </c>
      <c r="N338" s="125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</row>
    <row r="339" spans="1:40" s="127" customFormat="1" ht="21" customHeight="1" x14ac:dyDescent="0.25">
      <c r="A339" s="51" t="str">
        <f t="shared" si="15"/>
        <v/>
      </c>
      <c r="B339" s="77"/>
      <c r="C339" s="133"/>
      <c r="D339" s="50"/>
      <c r="E339" s="141"/>
      <c r="F339" s="133"/>
      <c r="G339" s="133"/>
      <c r="H339" s="50"/>
      <c r="I339" s="51" t="str">
        <f t="shared" si="16"/>
        <v/>
      </c>
      <c r="J339" s="52" t="str">
        <f t="shared" si="17"/>
        <v/>
      </c>
      <c r="K339" s="142" t="str">
        <f>IF(OR($I339="",$I339="?",$D339&lt;&gt;"Advance",$B339=""),"",$I339&amp;"|"&amp;$J339&amp;"|"&amp;COUNTIFS($I$7:$I339,$I339,$J$7:$J339,$J339,$D$7:$D339,"Advance"))</f>
        <v/>
      </c>
      <c r="L339" s="143" t="str">
        <f>IF(OR($I339="",$I339="?",$B339=""),"",SUMPRODUCT((Weeks!$A$7:$A$59&lt;=$J339)*(Weeks!$X$5:$AI$5=$I339)*Weeks!$X$7:$AI$59)-SUMIFS($E$7:$E$1006,$I$7:$I$1006,$I339,$B$7:$B$1006,"&lt;="&amp;$B339))</f>
        <v/>
      </c>
      <c r="M339" s="132" t="str">
        <f>IF($B339&amp;$C339&amp;$D339&amp;$E339="","",IF($B339="","missing date",IF($C339="","missing worker",IF($I339="?","unknown worker - was the name changed on Workers?",IF($D339="","missing type",IF(N($E339)=0,"missing amount",IF(AND($E339&lt;0,$D339&lt;&gt;"Correction"),"negative amount - use a Correction to undo",IF(OR($B339&lt;Weeks!$A$7,$B339&gt;Weeks!$B$59),"date outside this workbook's year",IF(AND($D339="Advance",N($L339)&lt;0),"Warning: more than earned so far - worker now owes "&amp;TEXT(ROUND(-$L339,0),"#,##0"),"")))))))))</f>
        <v/>
      </c>
      <c r="N339" s="125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</row>
    <row r="340" spans="1:40" s="127" customFormat="1" ht="21" customHeight="1" x14ac:dyDescent="0.25">
      <c r="A340" s="51" t="str">
        <f t="shared" si="15"/>
        <v/>
      </c>
      <c r="B340" s="77"/>
      <c r="C340" s="133"/>
      <c r="D340" s="50"/>
      <c r="E340" s="141"/>
      <c r="F340" s="133"/>
      <c r="G340" s="133"/>
      <c r="H340" s="50"/>
      <c r="I340" s="51" t="str">
        <f t="shared" si="16"/>
        <v/>
      </c>
      <c r="J340" s="52" t="str">
        <f t="shared" si="17"/>
        <v/>
      </c>
      <c r="K340" s="142" t="str">
        <f>IF(OR($I340="",$I340="?",$D340&lt;&gt;"Advance",$B340=""),"",$I340&amp;"|"&amp;$J340&amp;"|"&amp;COUNTIFS($I$7:$I340,$I340,$J$7:$J340,$J340,$D$7:$D340,"Advance"))</f>
        <v/>
      </c>
      <c r="L340" s="143" t="str">
        <f>IF(OR($I340="",$I340="?",$B340=""),"",SUMPRODUCT((Weeks!$A$7:$A$59&lt;=$J340)*(Weeks!$X$5:$AI$5=$I340)*Weeks!$X$7:$AI$59)-SUMIFS($E$7:$E$1006,$I$7:$I$1006,$I340,$B$7:$B$1006,"&lt;="&amp;$B340))</f>
        <v/>
      </c>
      <c r="M340" s="132" t="str">
        <f>IF($B340&amp;$C340&amp;$D340&amp;$E340="","",IF($B340="","missing date",IF($C340="","missing worker",IF($I340="?","unknown worker - was the name changed on Workers?",IF($D340="","missing type",IF(N($E340)=0,"missing amount",IF(AND($E340&lt;0,$D340&lt;&gt;"Correction"),"negative amount - use a Correction to undo",IF(OR($B340&lt;Weeks!$A$7,$B340&gt;Weeks!$B$59),"date outside this workbook's year",IF(AND($D340="Advance",N($L340)&lt;0),"Warning: more than earned so far - worker now owes "&amp;TEXT(ROUND(-$L340,0),"#,##0"),"")))))))))</f>
        <v/>
      </c>
      <c r="N340" s="125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</row>
    <row r="341" spans="1:40" s="127" customFormat="1" ht="21" customHeight="1" x14ac:dyDescent="0.25">
      <c r="A341" s="51" t="str">
        <f t="shared" si="15"/>
        <v/>
      </c>
      <c r="B341" s="77"/>
      <c r="C341" s="133"/>
      <c r="D341" s="50"/>
      <c r="E341" s="141"/>
      <c r="F341" s="133"/>
      <c r="G341" s="133"/>
      <c r="H341" s="50"/>
      <c r="I341" s="51" t="str">
        <f t="shared" si="16"/>
        <v/>
      </c>
      <c r="J341" s="52" t="str">
        <f t="shared" si="17"/>
        <v/>
      </c>
      <c r="K341" s="142" t="str">
        <f>IF(OR($I341="",$I341="?",$D341&lt;&gt;"Advance",$B341=""),"",$I341&amp;"|"&amp;$J341&amp;"|"&amp;COUNTIFS($I$7:$I341,$I341,$J$7:$J341,$J341,$D$7:$D341,"Advance"))</f>
        <v/>
      </c>
      <c r="L341" s="143" t="str">
        <f>IF(OR($I341="",$I341="?",$B341=""),"",SUMPRODUCT((Weeks!$A$7:$A$59&lt;=$J341)*(Weeks!$X$5:$AI$5=$I341)*Weeks!$X$7:$AI$59)-SUMIFS($E$7:$E$1006,$I$7:$I$1006,$I341,$B$7:$B$1006,"&lt;="&amp;$B341))</f>
        <v/>
      </c>
      <c r="M341" s="132" t="str">
        <f>IF($B341&amp;$C341&amp;$D341&amp;$E341="","",IF($B341="","missing date",IF($C341="","missing worker",IF($I341="?","unknown worker - was the name changed on Workers?",IF($D341="","missing type",IF(N($E341)=0,"missing amount",IF(AND($E341&lt;0,$D341&lt;&gt;"Correction"),"negative amount - use a Correction to undo",IF(OR($B341&lt;Weeks!$A$7,$B341&gt;Weeks!$B$59),"date outside this workbook's year",IF(AND($D341="Advance",N($L341)&lt;0),"Warning: more than earned so far - worker now owes "&amp;TEXT(ROUND(-$L341,0),"#,##0"),"")))))))))</f>
        <v/>
      </c>
      <c r="N341" s="125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</row>
    <row r="342" spans="1:40" s="127" customFormat="1" ht="21" customHeight="1" x14ac:dyDescent="0.25">
      <c r="A342" s="51" t="str">
        <f t="shared" si="15"/>
        <v/>
      </c>
      <c r="B342" s="77"/>
      <c r="C342" s="133"/>
      <c r="D342" s="50"/>
      <c r="E342" s="141"/>
      <c r="F342" s="133"/>
      <c r="G342" s="133"/>
      <c r="H342" s="50"/>
      <c r="I342" s="51" t="str">
        <f t="shared" si="16"/>
        <v/>
      </c>
      <c r="J342" s="52" t="str">
        <f t="shared" si="17"/>
        <v/>
      </c>
      <c r="K342" s="142" t="str">
        <f>IF(OR($I342="",$I342="?",$D342&lt;&gt;"Advance",$B342=""),"",$I342&amp;"|"&amp;$J342&amp;"|"&amp;COUNTIFS($I$7:$I342,$I342,$J$7:$J342,$J342,$D$7:$D342,"Advance"))</f>
        <v/>
      </c>
      <c r="L342" s="143" t="str">
        <f>IF(OR($I342="",$I342="?",$B342=""),"",SUMPRODUCT((Weeks!$A$7:$A$59&lt;=$J342)*(Weeks!$X$5:$AI$5=$I342)*Weeks!$X$7:$AI$59)-SUMIFS($E$7:$E$1006,$I$7:$I$1006,$I342,$B$7:$B$1006,"&lt;="&amp;$B342))</f>
        <v/>
      </c>
      <c r="M342" s="132" t="str">
        <f>IF($B342&amp;$C342&amp;$D342&amp;$E342="","",IF($B342="","missing date",IF($C342="","missing worker",IF($I342="?","unknown worker - was the name changed on Workers?",IF($D342="","missing type",IF(N($E342)=0,"missing amount",IF(AND($E342&lt;0,$D342&lt;&gt;"Correction"),"negative amount - use a Correction to undo",IF(OR($B342&lt;Weeks!$A$7,$B342&gt;Weeks!$B$59),"date outside this workbook's year",IF(AND($D342="Advance",N($L342)&lt;0),"Warning: more than earned so far - worker now owes "&amp;TEXT(ROUND(-$L342,0),"#,##0"),"")))))))))</f>
        <v/>
      </c>
      <c r="N342" s="125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</row>
    <row r="343" spans="1:40" s="127" customFormat="1" ht="21" customHeight="1" x14ac:dyDescent="0.25">
      <c r="A343" s="51" t="str">
        <f t="shared" si="15"/>
        <v/>
      </c>
      <c r="B343" s="77"/>
      <c r="C343" s="133"/>
      <c r="D343" s="50"/>
      <c r="E343" s="141"/>
      <c r="F343" s="133"/>
      <c r="G343" s="133"/>
      <c r="H343" s="50"/>
      <c r="I343" s="51" t="str">
        <f t="shared" si="16"/>
        <v/>
      </c>
      <c r="J343" s="52" t="str">
        <f t="shared" si="17"/>
        <v/>
      </c>
      <c r="K343" s="142" t="str">
        <f>IF(OR($I343="",$I343="?",$D343&lt;&gt;"Advance",$B343=""),"",$I343&amp;"|"&amp;$J343&amp;"|"&amp;COUNTIFS($I$7:$I343,$I343,$J$7:$J343,$J343,$D$7:$D343,"Advance"))</f>
        <v/>
      </c>
      <c r="L343" s="143" t="str">
        <f>IF(OR($I343="",$I343="?",$B343=""),"",SUMPRODUCT((Weeks!$A$7:$A$59&lt;=$J343)*(Weeks!$X$5:$AI$5=$I343)*Weeks!$X$7:$AI$59)-SUMIFS($E$7:$E$1006,$I$7:$I$1006,$I343,$B$7:$B$1006,"&lt;="&amp;$B343))</f>
        <v/>
      </c>
      <c r="M343" s="132" t="str">
        <f>IF($B343&amp;$C343&amp;$D343&amp;$E343="","",IF($B343="","missing date",IF($C343="","missing worker",IF($I343="?","unknown worker - was the name changed on Workers?",IF($D343="","missing type",IF(N($E343)=0,"missing amount",IF(AND($E343&lt;0,$D343&lt;&gt;"Correction"),"negative amount - use a Correction to undo",IF(OR($B343&lt;Weeks!$A$7,$B343&gt;Weeks!$B$59),"date outside this workbook's year",IF(AND($D343="Advance",N($L343)&lt;0),"Warning: more than earned so far - worker now owes "&amp;TEXT(ROUND(-$L343,0),"#,##0"),"")))))))))</f>
        <v/>
      </c>
      <c r="N343" s="125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</row>
    <row r="344" spans="1:40" s="127" customFormat="1" ht="21" customHeight="1" x14ac:dyDescent="0.25">
      <c r="A344" s="51" t="str">
        <f t="shared" si="15"/>
        <v/>
      </c>
      <c r="B344" s="77"/>
      <c r="C344" s="133"/>
      <c r="D344" s="50"/>
      <c r="E344" s="141"/>
      <c r="F344" s="133"/>
      <c r="G344" s="133"/>
      <c r="H344" s="50"/>
      <c r="I344" s="51" t="str">
        <f t="shared" si="16"/>
        <v/>
      </c>
      <c r="J344" s="52" t="str">
        <f t="shared" si="17"/>
        <v/>
      </c>
      <c r="K344" s="142" t="str">
        <f>IF(OR($I344="",$I344="?",$D344&lt;&gt;"Advance",$B344=""),"",$I344&amp;"|"&amp;$J344&amp;"|"&amp;COUNTIFS($I$7:$I344,$I344,$J$7:$J344,$J344,$D$7:$D344,"Advance"))</f>
        <v/>
      </c>
      <c r="L344" s="143" t="str">
        <f>IF(OR($I344="",$I344="?",$B344=""),"",SUMPRODUCT((Weeks!$A$7:$A$59&lt;=$J344)*(Weeks!$X$5:$AI$5=$I344)*Weeks!$X$7:$AI$59)-SUMIFS($E$7:$E$1006,$I$7:$I$1006,$I344,$B$7:$B$1006,"&lt;="&amp;$B344))</f>
        <v/>
      </c>
      <c r="M344" s="132" t="str">
        <f>IF($B344&amp;$C344&amp;$D344&amp;$E344="","",IF($B344="","missing date",IF($C344="","missing worker",IF($I344="?","unknown worker - was the name changed on Workers?",IF($D344="","missing type",IF(N($E344)=0,"missing amount",IF(AND($E344&lt;0,$D344&lt;&gt;"Correction"),"negative amount - use a Correction to undo",IF(OR($B344&lt;Weeks!$A$7,$B344&gt;Weeks!$B$59),"date outside this workbook's year",IF(AND($D344="Advance",N($L344)&lt;0),"Warning: more than earned so far - worker now owes "&amp;TEXT(ROUND(-$L344,0),"#,##0"),"")))))))))</f>
        <v/>
      </c>
      <c r="N344" s="125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</row>
    <row r="345" spans="1:40" s="127" customFormat="1" ht="21" customHeight="1" x14ac:dyDescent="0.25">
      <c r="A345" s="51" t="str">
        <f t="shared" si="15"/>
        <v/>
      </c>
      <c r="B345" s="77"/>
      <c r="C345" s="133"/>
      <c r="D345" s="50"/>
      <c r="E345" s="141"/>
      <c r="F345" s="133"/>
      <c r="G345" s="133"/>
      <c r="H345" s="50"/>
      <c r="I345" s="51" t="str">
        <f t="shared" si="16"/>
        <v/>
      </c>
      <c r="J345" s="52" t="str">
        <f t="shared" si="17"/>
        <v/>
      </c>
      <c r="K345" s="142" t="str">
        <f>IF(OR($I345="",$I345="?",$D345&lt;&gt;"Advance",$B345=""),"",$I345&amp;"|"&amp;$J345&amp;"|"&amp;COUNTIFS($I$7:$I345,$I345,$J$7:$J345,$J345,$D$7:$D345,"Advance"))</f>
        <v/>
      </c>
      <c r="L345" s="143" t="str">
        <f>IF(OR($I345="",$I345="?",$B345=""),"",SUMPRODUCT((Weeks!$A$7:$A$59&lt;=$J345)*(Weeks!$X$5:$AI$5=$I345)*Weeks!$X$7:$AI$59)-SUMIFS($E$7:$E$1006,$I$7:$I$1006,$I345,$B$7:$B$1006,"&lt;="&amp;$B345))</f>
        <v/>
      </c>
      <c r="M345" s="132" t="str">
        <f>IF($B345&amp;$C345&amp;$D345&amp;$E345="","",IF($B345="","missing date",IF($C345="","missing worker",IF($I345="?","unknown worker - was the name changed on Workers?",IF($D345="","missing type",IF(N($E345)=0,"missing amount",IF(AND($E345&lt;0,$D345&lt;&gt;"Correction"),"negative amount - use a Correction to undo",IF(OR($B345&lt;Weeks!$A$7,$B345&gt;Weeks!$B$59),"date outside this workbook's year",IF(AND($D345="Advance",N($L345)&lt;0),"Warning: more than earned so far - worker now owes "&amp;TEXT(ROUND(-$L345,0),"#,##0"),"")))))))))</f>
        <v/>
      </c>
      <c r="N345" s="125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</row>
    <row r="346" spans="1:40" s="127" customFormat="1" ht="21" customHeight="1" x14ac:dyDescent="0.25">
      <c r="A346" s="51" t="str">
        <f t="shared" si="15"/>
        <v/>
      </c>
      <c r="B346" s="77"/>
      <c r="C346" s="133"/>
      <c r="D346" s="50"/>
      <c r="E346" s="141"/>
      <c r="F346" s="133"/>
      <c r="G346" s="133"/>
      <c r="H346" s="50"/>
      <c r="I346" s="51" t="str">
        <f t="shared" si="16"/>
        <v/>
      </c>
      <c r="J346" s="52" t="str">
        <f t="shared" si="17"/>
        <v/>
      </c>
      <c r="K346" s="142" t="str">
        <f>IF(OR($I346="",$I346="?",$D346&lt;&gt;"Advance",$B346=""),"",$I346&amp;"|"&amp;$J346&amp;"|"&amp;COUNTIFS($I$7:$I346,$I346,$J$7:$J346,$J346,$D$7:$D346,"Advance"))</f>
        <v/>
      </c>
      <c r="L346" s="143" t="str">
        <f>IF(OR($I346="",$I346="?",$B346=""),"",SUMPRODUCT((Weeks!$A$7:$A$59&lt;=$J346)*(Weeks!$X$5:$AI$5=$I346)*Weeks!$X$7:$AI$59)-SUMIFS($E$7:$E$1006,$I$7:$I$1006,$I346,$B$7:$B$1006,"&lt;="&amp;$B346))</f>
        <v/>
      </c>
      <c r="M346" s="132" t="str">
        <f>IF($B346&amp;$C346&amp;$D346&amp;$E346="","",IF($B346="","missing date",IF($C346="","missing worker",IF($I346="?","unknown worker - was the name changed on Workers?",IF($D346="","missing type",IF(N($E346)=0,"missing amount",IF(AND($E346&lt;0,$D346&lt;&gt;"Correction"),"negative amount - use a Correction to undo",IF(OR($B346&lt;Weeks!$A$7,$B346&gt;Weeks!$B$59),"date outside this workbook's year",IF(AND($D346="Advance",N($L346)&lt;0),"Warning: more than earned so far - worker now owes "&amp;TEXT(ROUND(-$L346,0),"#,##0"),"")))))))))</f>
        <v/>
      </c>
      <c r="N346" s="125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</row>
    <row r="347" spans="1:40" s="127" customFormat="1" ht="21" customHeight="1" x14ac:dyDescent="0.25">
      <c r="A347" s="51" t="str">
        <f t="shared" si="15"/>
        <v/>
      </c>
      <c r="B347" s="77"/>
      <c r="C347" s="133"/>
      <c r="D347" s="50"/>
      <c r="E347" s="141"/>
      <c r="F347" s="133"/>
      <c r="G347" s="133"/>
      <c r="H347" s="50"/>
      <c r="I347" s="51" t="str">
        <f t="shared" si="16"/>
        <v/>
      </c>
      <c r="J347" s="52" t="str">
        <f t="shared" si="17"/>
        <v/>
      </c>
      <c r="K347" s="142" t="str">
        <f>IF(OR($I347="",$I347="?",$D347&lt;&gt;"Advance",$B347=""),"",$I347&amp;"|"&amp;$J347&amp;"|"&amp;COUNTIFS($I$7:$I347,$I347,$J$7:$J347,$J347,$D$7:$D347,"Advance"))</f>
        <v/>
      </c>
      <c r="L347" s="143" t="str">
        <f>IF(OR($I347="",$I347="?",$B347=""),"",SUMPRODUCT((Weeks!$A$7:$A$59&lt;=$J347)*(Weeks!$X$5:$AI$5=$I347)*Weeks!$X$7:$AI$59)-SUMIFS($E$7:$E$1006,$I$7:$I$1006,$I347,$B$7:$B$1006,"&lt;="&amp;$B347))</f>
        <v/>
      </c>
      <c r="M347" s="132" t="str">
        <f>IF($B347&amp;$C347&amp;$D347&amp;$E347="","",IF($B347="","missing date",IF($C347="","missing worker",IF($I347="?","unknown worker - was the name changed on Workers?",IF($D347="","missing type",IF(N($E347)=0,"missing amount",IF(AND($E347&lt;0,$D347&lt;&gt;"Correction"),"negative amount - use a Correction to undo",IF(OR($B347&lt;Weeks!$A$7,$B347&gt;Weeks!$B$59),"date outside this workbook's year",IF(AND($D347="Advance",N($L347)&lt;0),"Warning: more than earned so far - worker now owes "&amp;TEXT(ROUND(-$L347,0),"#,##0"),"")))))))))</f>
        <v/>
      </c>
      <c r="N347" s="125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</row>
    <row r="348" spans="1:40" s="127" customFormat="1" ht="21" customHeight="1" x14ac:dyDescent="0.25">
      <c r="A348" s="51" t="str">
        <f t="shared" si="15"/>
        <v/>
      </c>
      <c r="B348" s="77"/>
      <c r="C348" s="133"/>
      <c r="D348" s="50"/>
      <c r="E348" s="141"/>
      <c r="F348" s="133"/>
      <c r="G348" s="133"/>
      <c r="H348" s="50"/>
      <c r="I348" s="51" t="str">
        <f t="shared" si="16"/>
        <v/>
      </c>
      <c r="J348" s="52" t="str">
        <f t="shared" si="17"/>
        <v/>
      </c>
      <c r="K348" s="142" t="str">
        <f>IF(OR($I348="",$I348="?",$D348&lt;&gt;"Advance",$B348=""),"",$I348&amp;"|"&amp;$J348&amp;"|"&amp;COUNTIFS($I$7:$I348,$I348,$J$7:$J348,$J348,$D$7:$D348,"Advance"))</f>
        <v/>
      </c>
      <c r="L348" s="143" t="str">
        <f>IF(OR($I348="",$I348="?",$B348=""),"",SUMPRODUCT((Weeks!$A$7:$A$59&lt;=$J348)*(Weeks!$X$5:$AI$5=$I348)*Weeks!$X$7:$AI$59)-SUMIFS($E$7:$E$1006,$I$7:$I$1006,$I348,$B$7:$B$1006,"&lt;="&amp;$B348))</f>
        <v/>
      </c>
      <c r="M348" s="132" t="str">
        <f>IF($B348&amp;$C348&amp;$D348&amp;$E348="","",IF($B348="","missing date",IF($C348="","missing worker",IF($I348="?","unknown worker - was the name changed on Workers?",IF($D348="","missing type",IF(N($E348)=0,"missing amount",IF(AND($E348&lt;0,$D348&lt;&gt;"Correction"),"negative amount - use a Correction to undo",IF(OR($B348&lt;Weeks!$A$7,$B348&gt;Weeks!$B$59),"date outside this workbook's year",IF(AND($D348="Advance",N($L348)&lt;0),"Warning: more than earned so far - worker now owes "&amp;TEXT(ROUND(-$L348,0),"#,##0"),"")))))))))</f>
        <v/>
      </c>
      <c r="N348" s="125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</row>
    <row r="349" spans="1:40" s="127" customFormat="1" ht="21" customHeight="1" x14ac:dyDescent="0.25">
      <c r="A349" s="51" t="str">
        <f t="shared" si="15"/>
        <v/>
      </c>
      <c r="B349" s="77"/>
      <c r="C349" s="133"/>
      <c r="D349" s="50"/>
      <c r="E349" s="141"/>
      <c r="F349" s="133"/>
      <c r="G349" s="133"/>
      <c r="H349" s="50"/>
      <c r="I349" s="51" t="str">
        <f t="shared" si="16"/>
        <v/>
      </c>
      <c r="J349" s="52" t="str">
        <f t="shared" si="17"/>
        <v/>
      </c>
      <c r="K349" s="142" t="str">
        <f>IF(OR($I349="",$I349="?",$D349&lt;&gt;"Advance",$B349=""),"",$I349&amp;"|"&amp;$J349&amp;"|"&amp;COUNTIFS($I$7:$I349,$I349,$J$7:$J349,$J349,$D$7:$D349,"Advance"))</f>
        <v/>
      </c>
      <c r="L349" s="143" t="str">
        <f>IF(OR($I349="",$I349="?",$B349=""),"",SUMPRODUCT((Weeks!$A$7:$A$59&lt;=$J349)*(Weeks!$X$5:$AI$5=$I349)*Weeks!$X$7:$AI$59)-SUMIFS($E$7:$E$1006,$I$7:$I$1006,$I349,$B$7:$B$1006,"&lt;="&amp;$B349))</f>
        <v/>
      </c>
      <c r="M349" s="132" t="str">
        <f>IF($B349&amp;$C349&amp;$D349&amp;$E349="","",IF($B349="","missing date",IF($C349="","missing worker",IF($I349="?","unknown worker - was the name changed on Workers?",IF($D349="","missing type",IF(N($E349)=0,"missing amount",IF(AND($E349&lt;0,$D349&lt;&gt;"Correction"),"negative amount - use a Correction to undo",IF(OR($B349&lt;Weeks!$A$7,$B349&gt;Weeks!$B$59),"date outside this workbook's year",IF(AND($D349="Advance",N($L349)&lt;0),"Warning: more than earned so far - worker now owes "&amp;TEXT(ROUND(-$L349,0),"#,##0"),"")))))))))</f>
        <v/>
      </c>
      <c r="N349" s="125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</row>
    <row r="350" spans="1:40" s="127" customFormat="1" ht="21" customHeight="1" x14ac:dyDescent="0.25">
      <c r="A350" s="51" t="str">
        <f t="shared" si="15"/>
        <v/>
      </c>
      <c r="B350" s="77"/>
      <c r="C350" s="133"/>
      <c r="D350" s="50"/>
      <c r="E350" s="141"/>
      <c r="F350" s="133"/>
      <c r="G350" s="133"/>
      <c r="H350" s="50"/>
      <c r="I350" s="51" t="str">
        <f t="shared" si="16"/>
        <v/>
      </c>
      <c r="J350" s="52" t="str">
        <f t="shared" si="17"/>
        <v/>
      </c>
      <c r="K350" s="142" t="str">
        <f>IF(OR($I350="",$I350="?",$D350&lt;&gt;"Advance",$B350=""),"",$I350&amp;"|"&amp;$J350&amp;"|"&amp;COUNTIFS($I$7:$I350,$I350,$J$7:$J350,$J350,$D$7:$D350,"Advance"))</f>
        <v/>
      </c>
      <c r="L350" s="143" t="str">
        <f>IF(OR($I350="",$I350="?",$B350=""),"",SUMPRODUCT((Weeks!$A$7:$A$59&lt;=$J350)*(Weeks!$X$5:$AI$5=$I350)*Weeks!$X$7:$AI$59)-SUMIFS($E$7:$E$1006,$I$7:$I$1006,$I350,$B$7:$B$1006,"&lt;="&amp;$B350))</f>
        <v/>
      </c>
      <c r="M350" s="132" t="str">
        <f>IF($B350&amp;$C350&amp;$D350&amp;$E350="","",IF($B350="","missing date",IF($C350="","missing worker",IF($I350="?","unknown worker - was the name changed on Workers?",IF($D350="","missing type",IF(N($E350)=0,"missing amount",IF(AND($E350&lt;0,$D350&lt;&gt;"Correction"),"negative amount - use a Correction to undo",IF(OR($B350&lt;Weeks!$A$7,$B350&gt;Weeks!$B$59),"date outside this workbook's year",IF(AND($D350="Advance",N($L350)&lt;0),"Warning: more than earned so far - worker now owes "&amp;TEXT(ROUND(-$L350,0),"#,##0"),"")))))))))</f>
        <v/>
      </c>
      <c r="N350" s="125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</row>
    <row r="351" spans="1:40" s="127" customFormat="1" ht="21" customHeight="1" x14ac:dyDescent="0.25">
      <c r="A351" s="51" t="str">
        <f t="shared" si="15"/>
        <v/>
      </c>
      <c r="B351" s="77"/>
      <c r="C351" s="133"/>
      <c r="D351" s="50"/>
      <c r="E351" s="141"/>
      <c r="F351" s="133"/>
      <c r="G351" s="133"/>
      <c r="H351" s="50"/>
      <c r="I351" s="51" t="str">
        <f t="shared" si="16"/>
        <v/>
      </c>
      <c r="J351" s="52" t="str">
        <f t="shared" si="17"/>
        <v/>
      </c>
      <c r="K351" s="142" t="str">
        <f>IF(OR($I351="",$I351="?",$D351&lt;&gt;"Advance",$B351=""),"",$I351&amp;"|"&amp;$J351&amp;"|"&amp;COUNTIFS($I$7:$I351,$I351,$J$7:$J351,$J351,$D$7:$D351,"Advance"))</f>
        <v/>
      </c>
      <c r="L351" s="143" t="str">
        <f>IF(OR($I351="",$I351="?",$B351=""),"",SUMPRODUCT((Weeks!$A$7:$A$59&lt;=$J351)*(Weeks!$X$5:$AI$5=$I351)*Weeks!$X$7:$AI$59)-SUMIFS($E$7:$E$1006,$I$7:$I$1006,$I351,$B$7:$B$1006,"&lt;="&amp;$B351))</f>
        <v/>
      </c>
      <c r="M351" s="132" t="str">
        <f>IF($B351&amp;$C351&amp;$D351&amp;$E351="","",IF($B351="","missing date",IF($C351="","missing worker",IF($I351="?","unknown worker - was the name changed on Workers?",IF($D351="","missing type",IF(N($E351)=0,"missing amount",IF(AND($E351&lt;0,$D351&lt;&gt;"Correction"),"negative amount - use a Correction to undo",IF(OR($B351&lt;Weeks!$A$7,$B351&gt;Weeks!$B$59),"date outside this workbook's year",IF(AND($D351="Advance",N($L351)&lt;0),"Warning: more than earned so far - worker now owes "&amp;TEXT(ROUND(-$L351,0),"#,##0"),"")))))))))</f>
        <v/>
      </c>
      <c r="N351" s="125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</row>
    <row r="352" spans="1:40" s="127" customFormat="1" ht="21" customHeight="1" x14ac:dyDescent="0.25">
      <c r="A352" s="51" t="str">
        <f t="shared" si="15"/>
        <v/>
      </c>
      <c r="B352" s="77"/>
      <c r="C352" s="133"/>
      <c r="D352" s="50"/>
      <c r="E352" s="141"/>
      <c r="F352" s="133"/>
      <c r="G352" s="133"/>
      <c r="H352" s="50"/>
      <c r="I352" s="51" t="str">
        <f t="shared" si="16"/>
        <v/>
      </c>
      <c r="J352" s="52" t="str">
        <f t="shared" si="17"/>
        <v/>
      </c>
      <c r="K352" s="142" t="str">
        <f>IF(OR($I352="",$I352="?",$D352&lt;&gt;"Advance",$B352=""),"",$I352&amp;"|"&amp;$J352&amp;"|"&amp;COUNTIFS($I$7:$I352,$I352,$J$7:$J352,$J352,$D$7:$D352,"Advance"))</f>
        <v/>
      </c>
      <c r="L352" s="143" t="str">
        <f>IF(OR($I352="",$I352="?",$B352=""),"",SUMPRODUCT((Weeks!$A$7:$A$59&lt;=$J352)*(Weeks!$X$5:$AI$5=$I352)*Weeks!$X$7:$AI$59)-SUMIFS($E$7:$E$1006,$I$7:$I$1006,$I352,$B$7:$B$1006,"&lt;="&amp;$B352))</f>
        <v/>
      </c>
      <c r="M352" s="132" t="str">
        <f>IF($B352&amp;$C352&amp;$D352&amp;$E352="","",IF($B352="","missing date",IF($C352="","missing worker",IF($I352="?","unknown worker - was the name changed on Workers?",IF($D352="","missing type",IF(N($E352)=0,"missing amount",IF(AND($E352&lt;0,$D352&lt;&gt;"Correction"),"negative amount - use a Correction to undo",IF(OR($B352&lt;Weeks!$A$7,$B352&gt;Weeks!$B$59),"date outside this workbook's year",IF(AND($D352="Advance",N($L352)&lt;0),"Warning: more than earned so far - worker now owes "&amp;TEXT(ROUND(-$L352,0),"#,##0"),"")))))))))</f>
        <v/>
      </c>
      <c r="N352" s="125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</row>
    <row r="353" spans="1:40" s="127" customFormat="1" ht="21" customHeight="1" x14ac:dyDescent="0.25">
      <c r="A353" s="51" t="str">
        <f t="shared" si="15"/>
        <v/>
      </c>
      <c r="B353" s="77"/>
      <c r="C353" s="133"/>
      <c r="D353" s="50"/>
      <c r="E353" s="141"/>
      <c r="F353" s="133"/>
      <c r="G353" s="133"/>
      <c r="H353" s="50"/>
      <c r="I353" s="51" t="str">
        <f t="shared" si="16"/>
        <v/>
      </c>
      <c r="J353" s="52" t="str">
        <f t="shared" si="17"/>
        <v/>
      </c>
      <c r="K353" s="142" t="str">
        <f>IF(OR($I353="",$I353="?",$D353&lt;&gt;"Advance",$B353=""),"",$I353&amp;"|"&amp;$J353&amp;"|"&amp;COUNTIFS($I$7:$I353,$I353,$J$7:$J353,$J353,$D$7:$D353,"Advance"))</f>
        <v/>
      </c>
      <c r="L353" s="143" t="str">
        <f>IF(OR($I353="",$I353="?",$B353=""),"",SUMPRODUCT((Weeks!$A$7:$A$59&lt;=$J353)*(Weeks!$X$5:$AI$5=$I353)*Weeks!$X$7:$AI$59)-SUMIFS($E$7:$E$1006,$I$7:$I$1006,$I353,$B$7:$B$1006,"&lt;="&amp;$B353))</f>
        <v/>
      </c>
      <c r="M353" s="132" t="str">
        <f>IF($B353&amp;$C353&amp;$D353&amp;$E353="","",IF($B353="","missing date",IF($C353="","missing worker",IF($I353="?","unknown worker - was the name changed on Workers?",IF($D353="","missing type",IF(N($E353)=0,"missing amount",IF(AND($E353&lt;0,$D353&lt;&gt;"Correction"),"negative amount - use a Correction to undo",IF(OR($B353&lt;Weeks!$A$7,$B353&gt;Weeks!$B$59),"date outside this workbook's year",IF(AND($D353="Advance",N($L353)&lt;0),"Warning: more than earned so far - worker now owes "&amp;TEXT(ROUND(-$L353,0),"#,##0"),"")))))))))</f>
        <v/>
      </c>
      <c r="N353" s="125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</row>
    <row r="354" spans="1:40" s="127" customFormat="1" ht="21" customHeight="1" x14ac:dyDescent="0.25">
      <c r="A354" s="51" t="str">
        <f t="shared" si="15"/>
        <v/>
      </c>
      <c r="B354" s="77"/>
      <c r="C354" s="133"/>
      <c r="D354" s="50"/>
      <c r="E354" s="141"/>
      <c r="F354" s="133"/>
      <c r="G354" s="133"/>
      <c r="H354" s="50"/>
      <c r="I354" s="51" t="str">
        <f t="shared" si="16"/>
        <v/>
      </c>
      <c r="J354" s="52" t="str">
        <f t="shared" si="17"/>
        <v/>
      </c>
      <c r="K354" s="142" t="str">
        <f>IF(OR($I354="",$I354="?",$D354&lt;&gt;"Advance",$B354=""),"",$I354&amp;"|"&amp;$J354&amp;"|"&amp;COUNTIFS($I$7:$I354,$I354,$J$7:$J354,$J354,$D$7:$D354,"Advance"))</f>
        <v/>
      </c>
      <c r="L354" s="143" t="str">
        <f>IF(OR($I354="",$I354="?",$B354=""),"",SUMPRODUCT((Weeks!$A$7:$A$59&lt;=$J354)*(Weeks!$X$5:$AI$5=$I354)*Weeks!$X$7:$AI$59)-SUMIFS($E$7:$E$1006,$I$7:$I$1006,$I354,$B$7:$B$1006,"&lt;="&amp;$B354))</f>
        <v/>
      </c>
      <c r="M354" s="132" t="str">
        <f>IF($B354&amp;$C354&amp;$D354&amp;$E354="","",IF($B354="","missing date",IF($C354="","missing worker",IF($I354="?","unknown worker - was the name changed on Workers?",IF($D354="","missing type",IF(N($E354)=0,"missing amount",IF(AND($E354&lt;0,$D354&lt;&gt;"Correction"),"negative amount - use a Correction to undo",IF(OR($B354&lt;Weeks!$A$7,$B354&gt;Weeks!$B$59),"date outside this workbook's year",IF(AND($D354="Advance",N($L354)&lt;0),"Warning: more than earned so far - worker now owes "&amp;TEXT(ROUND(-$L354,0),"#,##0"),"")))))))))</f>
        <v/>
      </c>
      <c r="N354" s="125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</row>
    <row r="355" spans="1:40" s="127" customFormat="1" ht="21" customHeight="1" x14ac:dyDescent="0.25">
      <c r="A355" s="51" t="str">
        <f t="shared" si="15"/>
        <v/>
      </c>
      <c r="B355" s="77"/>
      <c r="C355" s="133"/>
      <c r="D355" s="50"/>
      <c r="E355" s="141"/>
      <c r="F355" s="133"/>
      <c r="G355" s="133"/>
      <c r="H355" s="50"/>
      <c r="I355" s="51" t="str">
        <f t="shared" si="16"/>
        <v/>
      </c>
      <c r="J355" s="52" t="str">
        <f t="shared" si="17"/>
        <v/>
      </c>
      <c r="K355" s="142" t="str">
        <f>IF(OR($I355="",$I355="?",$D355&lt;&gt;"Advance",$B355=""),"",$I355&amp;"|"&amp;$J355&amp;"|"&amp;COUNTIFS($I$7:$I355,$I355,$J$7:$J355,$J355,$D$7:$D355,"Advance"))</f>
        <v/>
      </c>
      <c r="L355" s="143" t="str">
        <f>IF(OR($I355="",$I355="?",$B355=""),"",SUMPRODUCT((Weeks!$A$7:$A$59&lt;=$J355)*(Weeks!$X$5:$AI$5=$I355)*Weeks!$X$7:$AI$59)-SUMIFS($E$7:$E$1006,$I$7:$I$1006,$I355,$B$7:$B$1006,"&lt;="&amp;$B355))</f>
        <v/>
      </c>
      <c r="M355" s="132" t="str">
        <f>IF($B355&amp;$C355&amp;$D355&amp;$E355="","",IF($B355="","missing date",IF($C355="","missing worker",IF($I355="?","unknown worker - was the name changed on Workers?",IF($D355="","missing type",IF(N($E355)=0,"missing amount",IF(AND($E355&lt;0,$D355&lt;&gt;"Correction"),"negative amount - use a Correction to undo",IF(OR($B355&lt;Weeks!$A$7,$B355&gt;Weeks!$B$59),"date outside this workbook's year",IF(AND($D355="Advance",N($L355)&lt;0),"Warning: more than earned so far - worker now owes "&amp;TEXT(ROUND(-$L355,0),"#,##0"),"")))))))))</f>
        <v/>
      </c>
      <c r="N355" s="125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</row>
    <row r="356" spans="1:40" s="127" customFormat="1" ht="21" customHeight="1" x14ac:dyDescent="0.25">
      <c r="A356" s="51" t="str">
        <f t="shared" si="15"/>
        <v/>
      </c>
      <c r="B356" s="77"/>
      <c r="C356" s="133"/>
      <c r="D356" s="50"/>
      <c r="E356" s="141"/>
      <c r="F356" s="133"/>
      <c r="G356" s="133"/>
      <c r="H356" s="50"/>
      <c r="I356" s="51" t="str">
        <f t="shared" si="16"/>
        <v/>
      </c>
      <c r="J356" s="52" t="str">
        <f t="shared" si="17"/>
        <v/>
      </c>
      <c r="K356" s="142" t="str">
        <f>IF(OR($I356="",$I356="?",$D356&lt;&gt;"Advance",$B356=""),"",$I356&amp;"|"&amp;$J356&amp;"|"&amp;COUNTIFS($I$7:$I356,$I356,$J$7:$J356,$J356,$D$7:$D356,"Advance"))</f>
        <v/>
      </c>
      <c r="L356" s="143" t="str">
        <f>IF(OR($I356="",$I356="?",$B356=""),"",SUMPRODUCT((Weeks!$A$7:$A$59&lt;=$J356)*(Weeks!$X$5:$AI$5=$I356)*Weeks!$X$7:$AI$59)-SUMIFS($E$7:$E$1006,$I$7:$I$1006,$I356,$B$7:$B$1006,"&lt;="&amp;$B356))</f>
        <v/>
      </c>
      <c r="M356" s="132" t="str">
        <f>IF($B356&amp;$C356&amp;$D356&amp;$E356="","",IF($B356="","missing date",IF($C356="","missing worker",IF($I356="?","unknown worker - was the name changed on Workers?",IF($D356="","missing type",IF(N($E356)=0,"missing amount",IF(AND($E356&lt;0,$D356&lt;&gt;"Correction"),"negative amount - use a Correction to undo",IF(OR($B356&lt;Weeks!$A$7,$B356&gt;Weeks!$B$59),"date outside this workbook's year",IF(AND($D356="Advance",N($L356)&lt;0),"Warning: more than earned so far - worker now owes "&amp;TEXT(ROUND(-$L356,0),"#,##0"),"")))))))))</f>
        <v/>
      </c>
      <c r="N356" s="125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</row>
    <row r="357" spans="1:40" s="127" customFormat="1" ht="21" customHeight="1" x14ac:dyDescent="0.25">
      <c r="A357" s="51" t="str">
        <f t="shared" si="15"/>
        <v/>
      </c>
      <c r="B357" s="77"/>
      <c r="C357" s="133"/>
      <c r="D357" s="50"/>
      <c r="E357" s="141"/>
      <c r="F357" s="133"/>
      <c r="G357" s="133"/>
      <c r="H357" s="50"/>
      <c r="I357" s="51" t="str">
        <f t="shared" si="16"/>
        <v/>
      </c>
      <c r="J357" s="52" t="str">
        <f t="shared" si="17"/>
        <v/>
      </c>
      <c r="K357" s="142" t="str">
        <f>IF(OR($I357="",$I357="?",$D357&lt;&gt;"Advance",$B357=""),"",$I357&amp;"|"&amp;$J357&amp;"|"&amp;COUNTIFS($I$7:$I357,$I357,$J$7:$J357,$J357,$D$7:$D357,"Advance"))</f>
        <v/>
      </c>
      <c r="L357" s="143" t="str">
        <f>IF(OR($I357="",$I357="?",$B357=""),"",SUMPRODUCT((Weeks!$A$7:$A$59&lt;=$J357)*(Weeks!$X$5:$AI$5=$I357)*Weeks!$X$7:$AI$59)-SUMIFS($E$7:$E$1006,$I$7:$I$1006,$I357,$B$7:$B$1006,"&lt;="&amp;$B357))</f>
        <v/>
      </c>
      <c r="M357" s="132" t="str">
        <f>IF($B357&amp;$C357&amp;$D357&amp;$E357="","",IF($B357="","missing date",IF($C357="","missing worker",IF($I357="?","unknown worker - was the name changed on Workers?",IF($D357="","missing type",IF(N($E357)=0,"missing amount",IF(AND($E357&lt;0,$D357&lt;&gt;"Correction"),"negative amount - use a Correction to undo",IF(OR($B357&lt;Weeks!$A$7,$B357&gt;Weeks!$B$59),"date outside this workbook's year",IF(AND($D357="Advance",N($L357)&lt;0),"Warning: more than earned so far - worker now owes "&amp;TEXT(ROUND(-$L357,0),"#,##0"),"")))))))))</f>
        <v/>
      </c>
      <c r="N357" s="125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</row>
    <row r="358" spans="1:40" s="127" customFormat="1" ht="21" customHeight="1" x14ac:dyDescent="0.25">
      <c r="A358" s="51" t="str">
        <f t="shared" si="15"/>
        <v/>
      </c>
      <c r="B358" s="77"/>
      <c r="C358" s="133"/>
      <c r="D358" s="50"/>
      <c r="E358" s="141"/>
      <c r="F358" s="133"/>
      <c r="G358" s="133"/>
      <c r="H358" s="50"/>
      <c r="I358" s="51" t="str">
        <f t="shared" si="16"/>
        <v/>
      </c>
      <c r="J358" s="52" t="str">
        <f t="shared" si="17"/>
        <v/>
      </c>
      <c r="K358" s="142" t="str">
        <f>IF(OR($I358="",$I358="?",$D358&lt;&gt;"Advance",$B358=""),"",$I358&amp;"|"&amp;$J358&amp;"|"&amp;COUNTIFS($I$7:$I358,$I358,$J$7:$J358,$J358,$D$7:$D358,"Advance"))</f>
        <v/>
      </c>
      <c r="L358" s="143" t="str">
        <f>IF(OR($I358="",$I358="?",$B358=""),"",SUMPRODUCT((Weeks!$A$7:$A$59&lt;=$J358)*(Weeks!$X$5:$AI$5=$I358)*Weeks!$X$7:$AI$59)-SUMIFS($E$7:$E$1006,$I$7:$I$1006,$I358,$B$7:$B$1006,"&lt;="&amp;$B358))</f>
        <v/>
      </c>
      <c r="M358" s="132" t="str">
        <f>IF($B358&amp;$C358&amp;$D358&amp;$E358="","",IF($B358="","missing date",IF($C358="","missing worker",IF($I358="?","unknown worker - was the name changed on Workers?",IF($D358="","missing type",IF(N($E358)=0,"missing amount",IF(AND($E358&lt;0,$D358&lt;&gt;"Correction"),"negative amount - use a Correction to undo",IF(OR($B358&lt;Weeks!$A$7,$B358&gt;Weeks!$B$59),"date outside this workbook's year",IF(AND($D358="Advance",N($L358)&lt;0),"Warning: more than earned so far - worker now owes "&amp;TEXT(ROUND(-$L358,0),"#,##0"),"")))))))))</f>
        <v/>
      </c>
      <c r="N358" s="125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</row>
    <row r="359" spans="1:40" s="127" customFormat="1" ht="21" customHeight="1" x14ac:dyDescent="0.25">
      <c r="A359" s="51" t="str">
        <f t="shared" si="15"/>
        <v/>
      </c>
      <c r="B359" s="77"/>
      <c r="C359" s="133"/>
      <c r="D359" s="50"/>
      <c r="E359" s="141"/>
      <c r="F359" s="133"/>
      <c r="G359" s="133"/>
      <c r="H359" s="50"/>
      <c r="I359" s="51" t="str">
        <f t="shared" si="16"/>
        <v/>
      </c>
      <c r="J359" s="52" t="str">
        <f t="shared" si="17"/>
        <v/>
      </c>
      <c r="K359" s="142" t="str">
        <f>IF(OR($I359="",$I359="?",$D359&lt;&gt;"Advance",$B359=""),"",$I359&amp;"|"&amp;$J359&amp;"|"&amp;COUNTIFS($I$7:$I359,$I359,$J$7:$J359,$J359,$D$7:$D359,"Advance"))</f>
        <v/>
      </c>
      <c r="L359" s="143" t="str">
        <f>IF(OR($I359="",$I359="?",$B359=""),"",SUMPRODUCT((Weeks!$A$7:$A$59&lt;=$J359)*(Weeks!$X$5:$AI$5=$I359)*Weeks!$X$7:$AI$59)-SUMIFS($E$7:$E$1006,$I$7:$I$1006,$I359,$B$7:$B$1006,"&lt;="&amp;$B359))</f>
        <v/>
      </c>
      <c r="M359" s="132" t="str">
        <f>IF($B359&amp;$C359&amp;$D359&amp;$E359="","",IF($B359="","missing date",IF($C359="","missing worker",IF($I359="?","unknown worker - was the name changed on Workers?",IF($D359="","missing type",IF(N($E359)=0,"missing amount",IF(AND($E359&lt;0,$D359&lt;&gt;"Correction"),"negative amount - use a Correction to undo",IF(OR($B359&lt;Weeks!$A$7,$B359&gt;Weeks!$B$59),"date outside this workbook's year",IF(AND($D359="Advance",N($L359)&lt;0),"Warning: more than earned so far - worker now owes "&amp;TEXT(ROUND(-$L359,0),"#,##0"),"")))))))))</f>
        <v/>
      </c>
      <c r="N359" s="125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</row>
    <row r="360" spans="1:40" s="127" customFormat="1" ht="21" customHeight="1" x14ac:dyDescent="0.25">
      <c r="A360" s="51" t="str">
        <f t="shared" si="15"/>
        <v/>
      </c>
      <c r="B360" s="77"/>
      <c r="C360" s="133"/>
      <c r="D360" s="50"/>
      <c r="E360" s="141"/>
      <c r="F360" s="133"/>
      <c r="G360" s="133"/>
      <c r="H360" s="50"/>
      <c r="I360" s="51" t="str">
        <f t="shared" si="16"/>
        <v/>
      </c>
      <c r="J360" s="52" t="str">
        <f t="shared" si="17"/>
        <v/>
      </c>
      <c r="K360" s="142" t="str">
        <f>IF(OR($I360="",$I360="?",$D360&lt;&gt;"Advance",$B360=""),"",$I360&amp;"|"&amp;$J360&amp;"|"&amp;COUNTIFS($I$7:$I360,$I360,$J$7:$J360,$J360,$D$7:$D360,"Advance"))</f>
        <v/>
      </c>
      <c r="L360" s="143" t="str">
        <f>IF(OR($I360="",$I360="?",$B360=""),"",SUMPRODUCT((Weeks!$A$7:$A$59&lt;=$J360)*(Weeks!$X$5:$AI$5=$I360)*Weeks!$X$7:$AI$59)-SUMIFS($E$7:$E$1006,$I$7:$I$1006,$I360,$B$7:$B$1006,"&lt;="&amp;$B360))</f>
        <v/>
      </c>
      <c r="M360" s="132" t="str">
        <f>IF($B360&amp;$C360&amp;$D360&amp;$E360="","",IF($B360="","missing date",IF($C360="","missing worker",IF($I360="?","unknown worker - was the name changed on Workers?",IF($D360="","missing type",IF(N($E360)=0,"missing amount",IF(AND($E360&lt;0,$D360&lt;&gt;"Correction"),"negative amount - use a Correction to undo",IF(OR($B360&lt;Weeks!$A$7,$B360&gt;Weeks!$B$59),"date outside this workbook's year",IF(AND($D360="Advance",N($L360)&lt;0),"Warning: more than earned so far - worker now owes "&amp;TEXT(ROUND(-$L360,0),"#,##0"),"")))))))))</f>
        <v/>
      </c>
      <c r="N360" s="125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</row>
    <row r="361" spans="1:40" s="127" customFormat="1" ht="21" customHeight="1" x14ac:dyDescent="0.25">
      <c r="A361" s="51" t="str">
        <f t="shared" si="15"/>
        <v/>
      </c>
      <c r="B361" s="77"/>
      <c r="C361" s="133"/>
      <c r="D361" s="50"/>
      <c r="E361" s="141"/>
      <c r="F361" s="133"/>
      <c r="G361" s="133"/>
      <c r="H361" s="50"/>
      <c r="I361" s="51" t="str">
        <f t="shared" si="16"/>
        <v/>
      </c>
      <c r="J361" s="52" t="str">
        <f t="shared" si="17"/>
        <v/>
      </c>
      <c r="K361" s="142" t="str">
        <f>IF(OR($I361="",$I361="?",$D361&lt;&gt;"Advance",$B361=""),"",$I361&amp;"|"&amp;$J361&amp;"|"&amp;COUNTIFS($I$7:$I361,$I361,$J$7:$J361,$J361,$D$7:$D361,"Advance"))</f>
        <v/>
      </c>
      <c r="L361" s="143" t="str">
        <f>IF(OR($I361="",$I361="?",$B361=""),"",SUMPRODUCT((Weeks!$A$7:$A$59&lt;=$J361)*(Weeks!$X$5:$AI$5=$I361)*Weeks!$X$7:$AI$59)-SUMIFS($E$7:$E$1006,$I$7:$I$1006,$I361,$B$7:$B$1006,"&lt;="&amp;$B361))</f>
        <v/>
      </c>
      <c r="M361" s="132" t="str">
        <f>IF($B361&amp;$C361&amp;$D361&amp;$E361="","",IF($B361="","missing date",IF($C361="","missing worker",IF($I361="?","unknown worker - was the name changed on Workers?",IF($D361="","missing type",IF(N($E361)=0,"missing amount",IF(AND($E361&lt;0,$D361&lt;&gt;"Correction"),"negative amount - use a Correction to undo",IF(OR($B361&lt;Weeks!$A$7,$B361&gt;Weeks!$B$59),"date outside this workbook's year",IF(AND($D361="Advance",N($L361)&lt;0),"Warning: more than earned so far - worker now owes "&amp;TEXT(ROUND(-$L361,0),"#,##0"),"")))))))))</f>
        <v/>
      </c>
      <c r="N361" s="125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</row>
    <row r="362" spans="1:40" s="127" customFormat="1" ht="21" customHeight="1" x14ac:dyDescent="0.25">
      <c r="A362" s="51" t="str">
        <f t="shared" si="15"/>
        <v/>
      </c>
      <c r="B362" s="77"/>
      <c r="C362" s="133"/>
      <c r="D362" s="50"/>
      <c r="E362" s="141"/>
      <c r="F362" s="133"/>
      <c r="G362" s="133"/>
      <c r="H362" s="50"/>
      <c r="I362" s="51" t="str">
        <f t="shared" si="16"/>
        <v/>
      </c>
      <c r="J362" s="52" t="str">
        <f t="shared" si="17"/>
        <v/>
      </c>
      <c r="K362" s="142" t="str">
        <f>IF(OR($I362="",$I362="?",$D362&lt;&gt;"Advance",$B362=""),"",$I362&amp;"|"&amp;$J362&amp;"|"&amp;COUNTIFS($I$7:$I362,$I362,$J$7:$J362,$J362,$D$7:$D362,"Advance"))</f>
        <v/>
      </c>
      <c r="L362" s="143" t="str">
        <f>IF(OR($I362="",$I362="?",$B362=""),"",SUMPRODUCT((Weeks!$A$7:$A$59&lt;=$J362)*(Weeks!$X$5:$AI$5=$I362)*Weeks!$X$7:$AI$59)-SUMIFS($E$7:$E$1006,$I$7:$I$1006,$I362,$B$7:$B$1006,"&lt;="&amp;$B362))</f>
        <v/>
      </c>
      <c r="M362" s="132" t="str">
        <f>IF($B362&amp;$C362&amp;$D362&amp;$E362="","",IF($B362="","missing date",IF($C362="","missing worker",IF($I362="?","unknown worker - was the name changed on Workers?",IF($D362="","missing type",IF(N($E362)=0,"missing amount",IF(AND($E362&lt;0,$D362&lt;&gt;"Correction"),"negative amount - use a Correction to undo",IF(OR($B362&lt;Weeks!$A$7,$B362&gt;Weeks!$B$59),"date outside this workbook's year",IF(AND($D362="Advance",N($L362)&lt;0),"Warning: more than earned so far - worker now owes "&amp;TEXT(ROUND(-$L362,0),"#,##0"),"")))))))))</f>
        <v/>
      </c>
      <c r="N362" s="125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</row>
    <row r="363" spans="1:40" s="127" customFormat="1" ht="21" customHeight="1" x14ac:dyDescent="0.25">
      <c r="A363" s="51" t="str">
        <f t="shared" si="15"/>
        <v/>
      </c>
      <c r="B363" s="77"/>
      <c r="C363" s="133"/>
      <c r="D363" s="50"/>
      <c r="E363" s="141"/>
      <c r="F363" s="133"/>
      <c r="G363" s="133"/>
      <c r="H363" s="50"/>
      <c r="I363" s="51" t="str">
        <f t="shared" si="16"/>
        <v/>
      </c>
      <c r="J363" s="52" t="str">
        <f t="shared" si="17"/>
        <v/>
      </c>
      <c r="K363" s="142" t="str">
        <f>IF(OR($I363="",$I363="?",$D363&lt;&gt;"Advance",$B363=""),"",$I363&amp;"|"&amp;$J363&amp;"|"&amp;COUNTIFS($I$7:$I363,$I363,$J$7:$J363,$J363,$D$7:$D363,"Advance"))</f>
        <v/>
      </c>
      <c r="L363" s="143" t="str">
        <f>IF(OR($I363="",$I363="?",$B363=""),"",SUMPRODUCT((Weeks!$A$7:$A$59&lt;=$J363)*(Weeks!$X$5:$AI$5=$I363)*Weeks!$X$7:$AI$59)-SUMIFS($E$7:$E$1006,$I$7:$I$1006,$I363,$B$7:$B$1006,"&lt;="&amp;$B363))</f>
        <v/>
      </c>
      <c r="M363" s="132" t="str">
        <f>IF($B363&amp;$C363&amp;$D363&amp;$E363="","",IF($B363="","missing date",IF($C363="","missing worker",IF($I363="?","unknown worker - was the name changed on Workers?",IF($D363="","missing type",IF(N($E363)=0,"missing amount",IF(AND($E363&lt;0,$D363&lt;&gt;"Correction"),"negative amount - use a Correction to undo",IF(OR($B363&lt;Weeks!$A$7,$B363&gt;Weeks!$B$59),"date outside this workbook's year",IF(AND($D363="Advance",N($L363)&lt;0),"Warning: more than earned so far - worker now owes "&amp;TEXT(ROUND(-$L363,0),"#,##0"),"")))))))))</f>
        <v/>
      </c>
      <c r="N363" s="125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</row>
    <row r="364" spans="1:40" s="127" customFormat="1" ht="21" customHeight="1" x14ac:dyDescent="0.25">
      <c r="A364" s="51" t="str">
        <f t="shared" si="15"/>
        <v/>
      </c>
      <c r="B364" s="77"/>
      <c r="C364" s="133"/>
      <c r="D364" s="50"/>
      <c r="E364" s="141"/>
      <c r="F364" s="133"/>
      <c r="G364" s="133"/>
      <c r="H364" s="50"/>
      <c r="I364" s="51" t="str">
        <f t="shared" si="16"/>
        <v/>
      </c>
      <c r="J364" s="52" t="str">
        <f t="shared" si="17"/>
        <v/>
      </c>
      <c r="K364" s="142" t="str">
        <f>IF(OR($I364="",$I364="?",$D364&lt;&gt;"Advance",$B364=""),"",$I364&amp;"|"&amp;$J364&amp;"|"&amp;COUNTIFS($I$7:$I364,$I364,$J$7:$J364,$J364,$D$7:$D364,"Advance"))</f>
        <v/>
      </c>
      <c r="L364" s="143" t="str">
        <f>IF(OR($I364="",$I364="?",$B364=""),"",SUMPRODUCT((Weeks!$A$7:$A$59&lt;=$J364)*(Weeks!$X$5:$AI$5=$I364)*Weeks!$X$7:$AI$59)-SUMIFS($E$7:$E$1006,$I$7:$I$1006,$I364,$B$7:$B$1006,"&lt;="&amp;$B364))</f>
        <v/>
      </c>
      <c r="M364" s="132" t="str">
        <f>IF($B364&amp;$C364&amp;$D364&amp;$E364="","",IF($B364="","missing date",IF($C364="","missing worker",IF($I364="?","unknown worker - was the name changed on Workers?",IF($D364="","missing type",IF(N($E364)=0,"missing amount",IF(AND($E364&lt;0,$D364&lt;&gt;"Correction"),"negative amount - use a Correction to undo",IF(OR($B364&lt;Weeks!$A$7,$B364&gt;Weeks!$B$59),"date outside this workbook's year",IF(AND($D364="Advance",N($L364)&lt;0),"Warning: more than earned so far - worker now owes "&amp;TEXT(ROUND(-$L364,0),"#,##0"),"")))))))))</f>
        <v/>
      </c>
      <c r="N364" s="125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</row>
    <row r="365" spans="1:40" s="127" customFormat="1" ht="21" customHeight="1" x14ac:dyDescent="0.25">
      <c r="A365" s="51" t="str">
        <f t="shared" si="15"/>
        <v/>
      </c>
      <c r="B365" s="77"/>
      <c r="C365" s="133"/>
      <c r="D365" s="50"/>
      <c r="E365" s="141"/>
      <c r="F365" s="133"/>
      <c r="G365" s="133"/>
      <c r="H365" s="50"/>
      <c r="I365" s="51" t="str">
        <f t="shared" si="16"/>
        <v/>
      </c>
      <c r="J365" s="52" t="str">
        <f t="shared" si="17"/>
        <v/>
      </c>
      <c r="K365" s="142" t="str">
        <f>IF(OR($I365="",$I365="?",$D365&lt;&gt;"Advance",$B365=""),"",$I365&amp;"|"&amp;$J365&amp;"|"&amp;COUNTIFS($I$7:$I365,$I365,$J$7:$J365,$J365,$D$7:$D365,"Advance"))</f>
        <v/>
      </c>
      <c r="L365" s="143" t="str">
        <f>IF(OR($I365="",$I365="?",$B365=""),"",SUMPRODUCT((Weeks!$A$7:$A$59&lt;=$J365)*(Weeks!$X$5:$AI$5=$I365)*Weeks!$X$7:$AI$59)-SUMIFS($E$7:$E$1006,$I$7:$I$1006,$I365,$B$7:$B$1006,"&lt;="&amp;$B365))</f>
        <v/>
      </c>
      <c r="M365" s="132" t="str">
        <f>IF($B365&amp;$C365&amp;$D365&amp;$E365="","",IF($B365="","missing date",IF($C365="","missing worker",IF($I365="?","unknown worker - was the name changed on Workers?",IF($D365="","missing type",IF(N($E365)=0,"missing amount",IF(AND($E365&lt;0,$D365&lt;&gt;"Correction"),"negative amount - use a Correction to undo",IF(OR($B365&lt;Weeks!$A$7,$B365&gt;Weeks!$B$59),"date outside this workbook's year",IF(AND($D365="Advance",N($L365)&lt;0),"Warning: more than earned so far - worker now owes "&amp;TEXT(ROUND(-$L365,0),"#,##0"),"")))))))))</f>
        <v/>
      </c>
      <c r="N365" s="125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</row>
    <row r="366" spans="1:40" s="127" customFormat="1" ht="21" customHeight="1" x14ac:dyDescent="0.25">
      <c r="A366" s="51" t="str">
        <f t="shared" si="15"/>
        <v/>
      </c>
      <c r="B366" s="77"/>
      <c r="C366" s="133"/>
      <c r="D366" s="50"/>
      <c r="E366" s="141"/>
      <c r="F366" s="133"/>
      <c r="G366" s="133"/>
      <c r="H366" s="50"/>
      <c r="I366" s="51" t="str">
        <f t="shared" si="16"/>
        <v/>
      </c>
      <c r="J366" s="52" t="str">
        <f t="shared" si="17"/>
        <v/>
      </c>
      <c r="K366" s="142" t="str">
        <f>IF(OR($I366="",$I366="?",$D366&lt;&gt;"Advance",$B366=""),"",$I366&amp;"|"&amp;$J366&amp;"|"&amp;COUNTIFS($I$7:$I366,$I366,$J$7:$J366,$J366,$D$7:$D366,"Advance"))</f>
        <v/>
      </c>
      <c r="L366" s="143" t="str">
        <f>IF(OR($I366="",$I366="?",$B366=""),"",SUMPRODUCT((Weeks!$A$7:$A$59&lt;=$J366)*(Weeks!$X$5:$AI$5=$I366)*Weeks!$X$7:$AI$59)-SUMIFS($E$7:$E$1006,$I$7:$I$1006,$I366,$B$7:$B$1006,"&lt;="&amp;$B366))</f>
        <v/>
      </c>
      <c r="M366" s="132" t="str">
        <f>IF($B366&amp;$C366&amp;$D366&amp;$E366="","",IF($B366="","missing date",IF($C366="","missing worker",IF($I366="?","unknown worker - was the name changed on Workers?",IF($D366="","missing type",IF(N($E366)=0,"missing amount",IF(AND($E366&lt;0,$D366&lt;&gt;"Correction"),"negative amount - use a Correction to undo",IF(OR($B366&lt;Weeks!$A$7,$B366&gt;Weeks!$B$59),"date outside this workbook's year",IF(AND($D366="Advance",N($L366)&lt;0),"Warning: more than earned so far - worker now owes "&amp;TEXT(ROUND(-$L366,0),"#,##0"),"")))))))))</f>
        <v/>
      </c>
      <c r="N366" s="125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</row>
    <row r="367" spans="1:40" s="127" customFormat="1" ht="21" customHeight="1" x14ac:dyDescent="0.25">
      <c r="A367" s="51" t="str">
        <f t="shared" si="15"/>
        <v/>
      </c>
      <c r="B367" s="77"/>
      <c r="C367" s="133"/>
      <c r="D367" s="50"/>
      <c r="E367" s="141"/>
      <c r="F367" s="133"/>
      <c r="G367" s="133"/>
      <c r="H367" s="50"/>
      <c r="I367" s="51" t="str">
        <f t="shared" si="16"/>
        <v/>
      </c>
      <c r="J367" s="52" t="str">
        <f t="shared" si="17"/>
        <v/>
      </c>
      <c r="K367" s="142" t="str">
        <f>IF(OR($I367="",$I367="?",$D367&lt;&gt;"Advance",$B367=""),"",$I367&amp;"|"&amp;$J367&amp;"|"&amp;COUNTIFS($I$7:$I367,$I367,$J$7:$J367,$J367,$D$7:$D367,"Advance"))</f>
        <v/>
      </c>
      <c r="L367" s="143" t="str">
        <f>IF(OR($I367="",$I367="?",$B367=""),"",SUMPRODUCT((Weeks!$A$7:$A$59&lt;=$J367)*(Weeks!$X$5:$AI$5=$I367)*Weeks!$X$7:$AI$59)-SUMIFS($E$7:$E$1006,$I$7:$I$1006,$I367,$B$7:$B$1006,"&lt;="&amp;$B367))</f>
        <v/>
      </c>
      <c r="M367" s="132" t="str">
        <f>IF($B367&amp;$C367&amp;$D367&amp;$E367="","",IF($B367="","missing date",IF($C367="","missing worker",IF($I367="?","unknown worker - was the name changed on Workers?",IF($D367="","missing type",IF(N($E367)=0,"missing amount",IF(AND($E367&lt;0,$D367&lt;&gt;"Correction"),"negative amount - use a Correction to undo",IF(OR($B367&lt;Weeks!$A$7,$B367&gt;Weeks!$B$59),"date outside this workbook's year",IF(AND($D367="Advance",N($L367)&lt;0),"Warning: more than earned so far - worker now owes "&amp;TEXT(ROUND(-$L367,0),"#,##0"),"")))))))))</f>
        <v/>
      </c>
      <c r="N367" s="125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</row>
    <row r="368" spans="1:40" s="127" customFormat="1" ht="21" customHeight="1" x14ac:dyDescent="0.25">
      <c r="A368" s="51" t="str">
        <f t="shared" si="15"/>
        <v/>
      </c>
      <c r="B368" s="77"/>
      <c r="C368" s="133"/>
      <c r="D368" s="50"/>
      <c r="E368" s="141"/>
      <c r="F368" s="133"/>
      <c r="G368" s="133"/>
      <c r="H368" s="50"/>
      <c r="I368" s="51" t="str">
        <f t="shared" si="16"/>
        <v/>
      </c>
      <c r="J368" s="52" t="str">
        <f t="shared" si="17"/>
        <v/>
      </c>
      <c r="K368" s="142" t="str">
        <f>IF(OR($I368="",$I368="?",$D368&lt;&gt;"Advance",$B368=""),"",$I368&amp;"|"&amp;$J368&amp;"|"&amp;COUNTIFS($I$7:$I368,$I368,$J$7:$J368,$J368,$D$7:$D368,"Advance"))</f>
        <v/>
      </c>
      <c r="L368" s="143" t="str">
        <f>IF(OR($I368="",$I368="?",$B368=""),"",SUMPRODUCT((Weeks!$A$7:$A$59&lt;=$J368)*(Weeks!$X$5:$AI$5=$I368)*Weeks!$X$7:$AI$59)-SUMIFS($E$7:$E$1006,$I$7:$I$1006,$I368,$B$7:$B$1006,"&lt;="&amp;$B368))</f>
        <v/>
      </c>
      <c r="M368" s="132" t="str">
        <f>IF($B368&amp;$C368&amp;$D368&amp;$E368="","",IF($B368="","missing date",IF($C368="","missing worker",IF($I368="?","unknown worker - was the name changed on Workers?",IF($D368="","missing type",IF(N($E368)=0,"missing amount",IF(AND($E368&lt;0,$D368&lt;&gt;"Correction"),"negative amount - use a Correction to undo",IF(OR($B368&lt;Weeks!$A$7,$B368&gt;Weeks!$B$59),"date outside this workbook's year",IF(AND($D368="Advance",N($L368)&lt;0),"Warning: more than earned so far - worker now owes "&amp;TEXT(ROUND(-$L368,0),"#,##0"),"")))))))))</f>
        <v/>
      </c>
      <c r="N368" s="125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</row>
    <row r="369" spans="1:40" s="127" customFormat="1" ht="21" customHeight="1" x14ac:dyDescent="0.25">
      <c r="A369" s="51" t="str">
        <f t="shared" si="15"/>
        <v/>
      </c>
      <c r="B369" s="77"/>
      <c r="C369" s="133"/>
      <c r="D369" s="50"/>
      <c r="E369" s="141"/>
      <c r="F369" s="133"/>
      <c r="G369" s="133"/>
      <c r="H369" s="50"/>
      <c r="I369" s="51" t="str">
        <f t="shared" si="16"/>
        <v/>
      </c>
      <c r="J369" s="52" t="str">
        <f t="shared" si="17"/>
        <v/>
      </c>
      <c r="K369" s="142" t="str">
        <f>IF(OR($I369="",$I369="?",$D369&lt;&gt;"Advance",$B369=""),"",$I369&amp;"|"&amp;$J369&amp;"|"&amp;COUNTIFS($I$7:$I369,$I369,$J$7:$J369,$J369,$D$7:$D369,"Advance"))</f>
        <v/>
      </c>
      <c r="L369" s="143" t="str">
        <f>IF(OR($I369="",$I369="?",$B369=""),"",SUMPRODUCT((Weeks!$A$7:$A$59&lt;=$J369)*(Weeks!$X$5:$AI$5=$I369)*Weeks!$X$7:$AI$59)-SUMIFS($E$7:$E$1006,$I$7:$I$1006,$I369,$B$7:$B$1006,"&lt;="&amp;$B369))</f>
        <v/>
      </c>
      <c r="M369" s="132" t="str">
        <f>IF($B369&amp;$C369&amp;$D369&amp;$E369="","",IF($B369="","missing date",IF($C369="","missing worker",IF($I369="?","unknown worker - was the name changed on Workers?",IF($D369="","missing type",IF(N($E369)=0,"missing amount",IF(AND($E369&lt;0,$D369&lt;&gt;"Correction"),"negative amount - use a Correction to undo",IF(OR($B369&lt;Weeks!$A$7,$B369&gt;Weeks!$B$59),"date outside this workbook's year",IF(AND($D369="Advance",N($L369)&lt;0),"Warning: more than earned so far - worker now owes "&amp;TEXT(ROUND(-$L369,0),"#,##0"),"")))))))))</f>
        <v/>
      </c>
      <c r="N369" s="125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</row>
    <row r="370" spans="1:40" s="127" customFormat="1" ht="21" customHeight="1" x14ac:dyDescent="0.25">
      <c r="A370" s="51" t="str">
        <f t="shared" si="15"/>
        <v/>
      </c>
      <c r="B370" s="77"/>
      <c r="C370" s="133"/>
      <c r="D370" s="50"/>
      <c r="E370" s="141"/>
      <c r="F370" s="133"/>
      <c r="G370" s="133"/>
      <c r="H370" s="50"/>
      <c r="I370" s="51" t="str">
        <f t="shared" si="16"/>
        <v/>
      </c>
      <c r="J370" s="52" t="str">
        <f t="shared" si="17"/>
        <v/>
      </c>
      <c r="K370" s="142" t="str">
        <f>IF(OR($I370="",$I370="?",$D370&lt;&gt;"Advance",$B370=""),"",$I370&amp;"|"&amp;$J370&amp;"|"&amp;COUNTIFS($I$7:$I370,$I370,$J$7:$J370,$J370,$D$7:$D370,"Advance"))</f>
        <v/>
      </c>
      <c r="L370" s="143" t="str">
        <f>IF(OR($I370="",$I370="?",$B370=""),"",SUMPRODUCT((Weeks!$A$7:$A$59&lt;=$J370)*(Weeks!$X$5:$AI$5=$I370)*Weeks!$X$7:$AI$59)-SUMIFS($E$7:$E$1006,$I$7:$I$1006,$I370,$B$7:$B$1006,"&lt;="&amp;$B370))</f>
        <v/>
      </c>
      <c r="M370" s="132" t="str">
        <f>IF($B370&amp;$C370&amp;$D370&amp;$E370="","",IF($B370="","missing date",IF($C370="","missing worker",IF($I370="?","unknown worker - was the name changed on Workers?",IF($D370="","missing type",IF(N($E370)=0,"missing amount",IF(AND($E370&lt;0,$D370&lt;&gt;"Correction"),"negative amount - use a Correction to undo",IF(OR($B370&lt;Weeks!$A$7,$B370&gt;Weeks!$B$59),"date outside this workbook's year",IF(AND($D370="Advance",N($L370)&lt;0),"Warning: more than earned so far - worker now owes "&amp;TEXT(ROUND(-$L370,0),"#,##0"),"")))))))))</f>
        <v/>
      </c>
      <c r="N370" s="125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</row>
    <row r="371" spans="1:40" s="127" customFormat="1" ht="21" customHeight="1" x14ac:dyDescent="0.25">
      <c r="A371" s="51" t="str">
        <f t="shared" si="15"/>
        <v/>
      </c>
      <c r="B371" s="77"/>
      <c r="C371" s="133"/>
      <c r="D371" s="50"/>
      <c r="E371" s="141"/>
      <c r="F371" s="133"/>
      <c r="G371" s="133"/>
      <c r="H371" s="50"/>
      <c r="I371" s="51" t="str">
        <f t="shared" si="16"/>
        <v/>
      </c>
      <c r="J371" s="52" t="str">
        <f t="shared" si="17"/>
        <v/>
      </c>
      <c r="K371" s="142" t="str">
        <f>IF(OR($I371="",$I371="?",$D371&lt;&gt;"Advance",$B371=""),"",$I371&amp;"|"&amp;$J371&amp;"|"&amp;COUNTIFS($I$7:$I371,$I371,$J$7:$J371,$J371,$D$7:$D371,"Advance"))</f>
        <v/>
      </c>
      <c r="L371" s="143" t="str">
        <f>IF(OR($I371="",$I371="?",$B371=""),"",SUMPRODUCT((Weeks!$A$7:$A$59&lt;=$J371)*(Weeks!$X$5:$AI$5=$I371)*Weeks!$X$7:$AI$59)-SUMIFS($E$7:$E$1006,$I$7:$I$1006,$I371,$B$7:$B$1006,"&lt;="&amp;$B371))</f>
        <v/>
      </c>
      <c r="M371" s="132" t="str">
        <f>IF($B371&amp;$C371&amp;$D371&amp;$E371="","",IF($B371="","missing date",IF($C371="","missing worker",IF($I371="?","unknown worker - was the name changed on Workers?",IF($D371="","missing type",IF(N($E371)=0,"missing amount",IF(AND($E371&lt;0,$D371&lt;&gt;"Correction"),"negative amount - use a Correction to undo",IF(OR($B371&lt;Weeks!$A$7,$B371&gt;Weeks!$B$59),"date outside this workbook's year",IF(AND($D371="Advance",N($L371)&lt;0),"Warning: more than earned so far - worker now owes "&amp;TEXT(ROUND(-$L371,0),"#,##0"),"")))))))))</f>
        <v/>
      </c>
      <c r="N371" s="125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</row>
    <row r="372" spans="1:40" s="127" customFormat="1" ht="21" customHeight="1" x14ac:dyDescent="0.25">
      <c r="A372" s="51" t="str">
        <f t="shared" si="15"/>
        <v/>
      </c>
      <c r="B372" s="77"/>
      <c r="C372" s="133"/>
      <c r="D372" s="50"/>
      <c r="E372" s="141"/>
      <c r="F372" s="133"/>
      <c r="G372" s="133"/>
      <c r="H372" s="50"/>
      <c r="I372" s="51" t="str">
        <f t="shared" si="16"/>
        <v/>
      </c>
      <c r="J372" s="52" t="str">
        <f t="shared" si="17"/>
        <v/>
      </c>
      <c r="K372" s="142" t="str">
        <f>IF(OR($I372="",$I372="?",$D372&lt;&gt;"Advance",$B372=""),"",$I372&amp;"|"&amp;$J372&amp;"|"&amp;COUNTIFS($I$7:$I372,$I372,$J$7:$J372,$J372,$D$7:$D372,"Advance"))</f>
        <v/>
      </c>
      <c r="L372" s="143" t="str">
        <f>IF(OR($I372="",$I372="?",$B372=""),"",SUMPRODUCT((Weeks!$A$7:$A$59&lt;=$J372)*(Weeks!$X$5:$AI$5=$I372)*Weeks!$X$7:$AI$59)-SUMIFS($E$7:$E$1006,$I$7:$I$1006,$I372,$B$7:$B$1006,"&lt;="&amp;$B372))</f>
        <v/>
      </c>
      <c r="M372" s="132" t="str">
        <f>IF($B372&amp;$C372&amp;$D372&amp;$E372="","",IF($B372="","missing date",IF($C372="","missing worker",IF($I372="?","unknown worker - was the name changed on Workers?",IF($D372="","missing type",IF(N($E372)=0,"missing amount",IF(AND($E372&lt;0,$D372&lt;&gt;"Correction"),"negative amount - use a Correction to undo",IF(OR($B372&lt;Weeks!$A$7,$B372&gt;Weeks!$B$59),"date outside this workbook's year",IF(AND($D372="Advance",N($L372)&lt;0),"Warning: more than earned so far - worker now owes "&amp;TEXT(ROUND(-$L372,0),"#,##0"),"")))))))))</f>
        <v/>
      </c>
      <c r="N372" s="125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</row>
    <row r="373" spans="1:40" s="127" customFormat="1" ht="21" customHeight="1" x14ac:dyDescent="0.25">
      <c r="A373" s="51" t="str">
        <f t="shared" si="15"/>
        <v/>
      </c>
      <c r="B373" s="77"/>
      <c r="C373" s="133"/>
      <c r="D373" s="50"/>
      <c r="E373" s="141"/>
      <c r="F373" s="133"/>
      <c r="G373" s="133"/>
      <c r="H373" s="50"/>
      <c r="I373" s="51" t="str">
        <f t="shared" si="16"/>
        <v/>
      </c>
      <c r="J373" s="52" t="str">
        <f t="shared" si="17"/>
        <v/>
      </c>
      <c r="K373" s="142" t="str">
        <f>IF(OR($I373="",$I373="?",$D373&lt;&gt;"Advance",$B373=""),"",$I373&amp;"|"&amp;$J373&amp;"|"&amp;COUNTIFS($I$7:$I373,$I373,$J$7:$J373,$J373,$D$7:$D373,"Advance"))</f>
        <v/>
      </c>
      <c r="L373" s="143" t="str">
        <f>IF(OR($I373="",$I373="?",$B373=""),"",SUMPRODUCT((Weeks!$A$7:$A$59&lt;=$J373)*(Weeks!$X$5:$AI$5=$I373)*Weeks!$X$7:$AI$59)-SUMIFS($E$7:$E$1006,$I$7:$I$1006,$I373,$B$7:$B$1006,"&lt;="&amp;$B373))</f>
        <v/>
      </c>
      <c r="M373" s="132" t="str">
        <f>IF($B373&amp;$C373&amp;$D373&amp;$E373="","",IF($B373="","missing date",IF($C373="","missing worker",IF($I373="?","unknown worker - was the name changed on Workers?",IF($D373="","missing type",IF(N($E373)=0,"missing amount",IF(AND($E373&lt;0,$D373&lt;&gt;"Correction"),"negative amount - use a Correction to undo",IF(OR($B373&lt;Weeks!$A$7,$B373&gt;Weeks!$B$59),"date outside this workbook's year",IF(AND($D373="Advance",N($L373)&lt;0),"Warning: more than earned so far - worker now owes "&amp;TEXT(ROUND(-$L373,0),"#,##0"),"")))))))))</f>
        <v/>
      </c>
      <c r="N373" s="125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</row>
    <row r="374" spans="1:40" s="127" customFormat="1" ht="21" customHeight="1" x14ac:dyDescent="0.25">
      <c r="A374" s="51" t="str">
        <f t="shared" si="15"/>
        <v/>
      </c>
      <c r="B374" s="77"/>
      <c r="C374" s="133"/>
      <c r="D374" s="50"/>
      <c r="E374" s="141"/>
      <c r="F374" s="133"/>
      <c r="G374" s="133"/>
      <c r="H374" s="50"/>
      <c r="I374" s="51" t="str">
        <f t="shared" si="16"/>
        <v/>
      </c>
      <c r="J374" s="52" t="str">
        <f t="shared" si="17"/>
        <v/>
      </c>
      <c r="K374" s="142" t="str">
        <f>IF(OR($I374="",$I374="?",$D374&lt;&gt;"Advance",$B374=""),"",$I374&amp;"|"&amp;$J374&amp;"|"&amp;COUNTIFS($I$7:$I374,$I374,$J$7:$J374,$J374,$D$7:$D374,"Advance"))</f>
        <v/>
      </c>
      <c r="L374" s="143" t="str">
        <f>IF(OR($I374="",$I374="?",$B374=""),"",SUMPRODUCT((Weeks!$A$7:$A$59&lt;=$J374)*(Weeks!$X$5:$AI$5=$I374)*Weeks!$X$7:$AI$59)-SUMIFS($E$7:$E$1006,$I$7:$I$1006,$I374,$B$7:$B$1006,"&lt;="&amp;$B374))</f>
        <v/>
      </c>
      <c r="M374" s="132" t="str">
        <f>IF($B374&amp;$C374&amp;$D374&amp;$E374="","",IF($B374="","missing date",IF($C374="","missing worker",IF($I374="?","unknown worker - was the name changed on Workers?",IF($D374="","missing type",IF(N($E374)=0,"missing amount",IF(AND($E374&lt;0,$D374&lt;&gt;"Correction"),"negative amount - use a Correction to undo",IF(OR($B374&lt;Weeks!$A$7,$B374&gt;Weeks!$B$59),"date outside this workbook's year",IF(AND($D374="Advance",N($L374)&lt;0),"Warning: more than earned so far - worker now owes "&amp;TEXT(ROUND(-$L374,0),"#,##0"),"")))))))))</f>
        <v/>
      </c>
      <c r="N374" s="125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</row>
    <row r="375" spans="1:40" s="127" customFormat="1" ht="21" customHeight="1" x14ac:dyDescent="0.25">
      <c r="A375" s="51" t="str">
        <f t="shared" si="15"/>
        <v/>
      </c>
      <c r="B375" s="77"/>
      <c r="C375" s="133"/>
      <c r="D375" s="50"/>
      <c r="E375" s="141"/>
      <c r="F375" s="133"/>
      <c r="G375" s="133"/>
      <c r="H375" s="50"/>
      <c r="I375" s="51" t="str">
        <f t="shared" si="16"/>
        <v/>
      </c>
      <c r="J375" s="52" t="str">
        <f t="shared" si="17"/>
        <v/>
      </c>
      <c r="K375" s="142" t="str">
        <f>IF(OR($I375="",$I375="?",$D375&lt;&gt;"Advance",$B375=""),"",$I375&amp;"|"&amp;$J375&amp;"|"&amp;COUNTIFS($I$7:$I375,$I375,$J$7:$J375,$J375,$D$7:$D375,"Advance"))</f>
        <v/>
      </c>
      <c r="L375" s="143" t="str">
        <f>IF(OR($I375="",$I375="?",$B375=""),"",SUMPRODUCT((Weeks!$A$7:$A$59&lt;=$J375)*(Weeks!$X$5:$AI$5=$I375)*Weeks!$X$7:$AI$59)-SUMIFS($E$7:$E$1006,$I$7:$I$1006,$I375,$B$7:$B$1006,"&lt;="&amp;$B375))</f>
        <v/>
      </c>
      <c r="M375" s="132" t="str">
        <f>IF($B375&amp;$C375&amp;$D375&amp;$E375="","",IF($B375="","missing date",IF($C375="","missing worker",IF($I375="?","unknown worker - was the name changed on Workers?",IF($D375="","missing type",IF(N($E375)=0,"missing amount",IF(AND($E375&lt;0,$D375&lt;&gt;"Correction"),"negative amount - use a Correction to undo",IF(OR($B375&lt;Weeks!$A$7,$B375&gt;Weeks!$B$59),"date outside this workbook's year",IF(AND($D375="Advance",N($L375)&lt;0),"Warning: more than earned so far - worker now owes "&amp;TEXT(ROUND(-$L375,0),"#,##0"),"")))))))))</f>
        <v/>
      </c>
      <c r="N375" s="125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</row>
    <row r="376" spans="1:40" s="127" customFormat="1" ht="21" customHeight="1" x14ac:dyDescent="0.25">
      <c r="A376" s="51" t="str">
        <f t="shared" si="15"/>
        <v/>
      </c>
      <c r="B376" s="77"/>
      <c r="C376" s="133"/>
      <c r="D376" s="50"/>
      <c r="E376" s="141"/>
      <c r="F376" s="133"/>
      <c r="G376" s="133"/>
      <c r="H376" s="50"/>
      <c r="I376" s="51" t="str">
        <f t="shared" si="16"/>
        <v/>
      </c>
      <c r="J376" s="52" t="str">
        <f t="shared" si="17"/>
        <v/>
      </c>
      <c r="K376" s="142" t="str">
        <f>IF(OR($I376="",$I376="?",$D376&lt;&gt;"Advance",$B376=""),"",$I376&amp;"|"&amp;$J376&amp;"|"&amp;COUNTIFS($I$7:$I376,$I376,$J$7:$J376,$J376,$D$7:$D376,"Advance"))</f>
        <v/>
      </c>
      <c r="L376" s="143" t="str">
        <f>IF(OR($I376="",$I376="?",$B376=""),"",SUMPRODUCT((Weeks!$A$7:$A$59&lt;=$J376)*(Weeks!$X$5:$AI$5=$I376)*Weeks!$X$7:$AI$59)-SUMIFS($E$7:$E$1006,$I$7:$I$1006,$I376,$B$7:$B$1006,"&lt;="&amp;$B376))</f>
        <v/>
      </c>
      <c r="M376" s="132" t="str">
        <f>IF($B376&amp;$C376&amp;$D376&amp;$E376="","",IF($B376="","missing date",IF($C376="","missing worker",IF($I376="?","unknown worker - was the name changed on Workers?",IF($D376="","missing type",IF(N($E376)=0,"missing amount",IF(AND($E376&lt;0,$D376&lt;&gt;"Correction"),"negative amount - use a Correction to undo",IF(OR($B376&lt;Weeks!$A$7,$B376&gt;Weeks!$B$59),"date outside this workbook's year",IF(AND($D376="Advance",N($L376)&lt;0),"Warning: more than earned so far - worker now owes "&amp;TEXT(ROUND(-$L376,0),"#,##0"),"")))))))))</f>
        <v/>
      </c>
      <c r="N376" s="125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</row>
    <row r="377" spans="1:40" s="127" customFormat="1" ht="21" customHeight="1" x14ac:dyDescent="0.25">
      <c r="A377" s="51" t="str">
        <f t="shared" si="15"/>
        <v/>
      </c>
      <c r="B377" s="77"/>
      <c r="C377" s="133"/>
      <c r="D377" s="50"/>
      <c r="E377" s="141"/>
      <c r="F377" s="133"/>
      <c r="G377" s="133"/>
      <c r="H377" s="50"/>
      <c r="I377" s="51" t="str">
        <f t="shared" si="16"/>
        <v/>
      </c>
      <c r="J377" s="52" t="str">
        <f t="shared" si="17"/>
        <v/>
      </c>
      <c r="K377" s="142" t="str">
        <f>IF(OR($I377="",$I377="?",$D377&lt;&gt;"Advance",$B377=""),"",$I377&amp;"|"&amp;$J377&amp;"|"&amp;COUNTIFS($I$7:$I377,$I377,$J$7:$J377,$J377,$D$7:$D377,"Advance"))</f>
        <v/>
      </c>
      <c r="L377" s="143" t="str">
        <f>IF(OR($I377="",$I377="?",$B377=""),"",SUMPRODUCT((Weeks!$A$7:$A$59&lt;=$J377)*(Weeks!$X$5:$AI$5=$I377)*Weeks!$X$7:$AI$59)-SUMIFS($E$7:$E$1006,$I$7:$I$1006,$I377,$B$7:$B$1006,"&lt;="&amp;$B377))</f>
        <v/>
      </c>
      <c r="M377" s="132" t="str">
        <f>IF($B377&amp;$C377&amp;$D377&amp;$E377="","",IF($B377="","missing date",IF($C377="","missing worker",IF($I377="?","unknown worker - was the name changed on Workers?",IF($D377="","missing type",IF(N($E377)=0,"missing amount",IF(AND($E377&lt;0,$D377&lt;&gt;"Correction"),"negative amount - use a Correction to undo",IF(OR($B377&lt;Weeks!$A$7,$B377&gt;Weeks!$B$59),"date outside this workbook's year",IF(AND($D377="Advance",N($L377)&lt;0),"Warning: more than earned so far - worker now owes "&amp;TEXT(ROUND(-$L377,0),"#,##0"),"")))))))))</f>
        <v/>
      </c>
      <c r="N377" s="125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</row>
    <row r="378" spans="1:40" s="127" customFormat="1" ht="21" customHeight="1" x14ac:dyDescent="0.25">
      <c r="A378" s="51" t="str">
        <f t="shared" si="15"/>
        <v/>
      </c>
      <c r="B378" s="77"/>
      <c r="C378" s="133"/>
      <c r="D378" s="50"/>
      <c r="E378" s="141"/>
      <c r="F378" s="133"/>
      <c r="G378" s="133"/>
      <c r="H378" s="50"/>
      <c r="I378" s="51" t="str">
        <f t="shared" si="16"/>
        <v/>
      </c>
      <c r="J378" s="52" t="str">
        <f t="shared" si="17"/>
        <v/>
      </c>
      <c r="K378" s="142" t="str">
        <f>IF(OR($I378="",$I378="?",$D378&lt;&gt;"Advance",$B378=""),"",$I378&amp;"|"&amp;$J378&amp;"|"&amp;COUNTIFS($I$7:$I378,$I378,$J$7:$J378,$J378,$D$7:$D378,"Advance"))</f>
        <v/>
      </c>
      <c r="L378" s="143" t="str">
        <f>IF(OR($I378="",$I378="?",$B378=""),"",SUMPRODUCT((Weeks!$A$7:$A$59&lt;=$J378)*(Weeks!$X$5:$AI$5=$I378)*Weeks!$X$7:$AI$59)-SUMIFS($E$7:$E$1006,$I$7:$I$1006,$I378,$B$7:$B$1006,"&lt;="&amp;$B378))</f>
        <v/>
      </c>
      <c r="M378" s="132" t="str">
        <f>IF($B378&amp;$C378&amp;$D378&amp;$E378="","",IF($B378="","missing date",IF($C378="","missing worker",IF($I378="?","unknown worker - was the name changed on Workers?",IF($D378="","missing type",IF(N($E378)=0,"missing amount",IF(AND($E378&lt;0,$D378&lt;&gt;"Correction"),"negative amount - use a Correction to undo",IF(OR($B378&lt;Weeks!$A$7,$B378&gt;Weeks!$B$59),"date outside this workbook's year",IF(AND($D378="Advance",N($L378)&lt;0),"Warning: more than earned so far - worker now owes "&amp;TEXT(ROUND(-$L378,0),"#,##0"),"")))))))))</f>
        <v/>
      </c>
      <c r="N378" s="125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</row>
    <row r="379" spans="1:40" s="127" customFormat="1" ht="21" customHeight="1" x14ac:dyDescent="0.25">
      <c r="A379" s="51" t="str">
        <f t="shared" si="15"/>
        <v/>
      </c>
      <c r="B379" s="77"/>
      <c r="C379" s="133"/>
      <c r="D379" s="50"/>
      <c r="E379" s="141"/>
      <c r="F379" s="133"/>
      <c r="G379" s="133"/>
      <c r="H379" s="50"/>
      <c r="I379" s="51" t="str">
        <f t="shared" si="16"/>
        <v/>
      </c>
      <c r="J379" s="52" t="str">
        <f t="shared" si="17"/>
        <v/>
      </c>
      <c r="K379" s="142" t="str">
        <f>IF(OR($I379="",$I379="?",$D379&lt;&gt;"Advance",$B379=""),"",$I379&amp;"|"&amp;$J379&amp;"|"&amp;COUNTIFS($I$7:$I379,$I379,$J$7:$J379,$J379,$D$7:$D379,"Advance"))</f>
        <v/>
      </c>
      <c r="L379" s="143" t="str">
        <f>IF(OR($I379="",$I379="?",$B379=""),"",SUMPRODUCT((Weeks!$A$7:$A$59&lt;=$J379)*(Weeks!$X$5:$AI$5=$I379)*Weeks!$X$7:$AI$59)-SUMIFS($E$7:$E$1006,$I$7:$I$1006,$I379,$B$7:$B$1006,"&lt;="&amp;$B379))</f>
        <v/>
      </c>
      <c r="M379" s="132" t="str">
        <f>IF($B379&amp;$C379&amp;$D379&amp;$E379="","",IF($B379="","missing date",IF($C379="","missing worker",IF($I379="?","unknown worker - was the name changed on Workers?",IF($D379="","missing type",IF(N($E379)=0,"missing amount",IF(AND($E379&lt;0,$D379&lt;&gt;"Correction"),"negative amount - use a Correction to undo",IF(OR($B379&lt;Weeks!$A$7,$B379&gt;Weeks!$B$59),"date outside this workbook's year",IF(AND($D379="Advance",N($L379)&lt;0),"Warning: more than earned so far - worker now owes "&amp;TEXT(ROUND(-$L379,0),"#,##0"),"")))))))))</f>
        <v/>
      </c>
      <c r="N379" s="125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</row>
    <row r="380" spans="1:40" s="127" customFormat="1" ht="21" customHeight="1" x14ac:dyDescent="0.25">
      <c r="A380" s="51" t="str">
        <f t="shared" si="15"/>
        <v/>
      </c>
      <c r="B380" s="77"/>
      <c r="C380" s="133"/>
      <c r="D380" s="50"/>
      <c r="E380" s="141"/>
      <c r="F380" s="133"/>
      <c r="G380" s="133"/>
      <c r="H380" s="50"/>
      <c r="I380" s="51" t="str">
        <f t="shared" si="16"/>
        <v/>
      </c>
      <c r="J380" s="52" t="str">
        <f t="shared" si="17"/>
        <v/>
      </c>
      <c r="K380" s="142" t="str">
        <f>IF(OR($I380="",$I380="?",$D380&lt;&gt;"Advance",$B380=""),"",$I380&amp;"|"&amp;$J380&amp;"|"&amp;COUNTIFS($I$7:$I380,$I380,$J$7:$J380,$J380,$D$7:$D380,"Advance"))</f>
        <v/>
      </c>
      <c r="L380" s="143" t="str">
        <f>IF(OR($I380="",$I380="?",$B380=""),"",SUMPRODUCT((Weeks!$A$7:$A$59&lt;=$J380)*(Weeks!$X$5:$AI$5=$I380)*Weeks!$X$7:$AI$59)-SUMIFS($E$7:$E$1006,$I$7:$I$1006,$I380,$B$7:$B$1006,"&lt;="&amp;$B380))</f>
        <v/>
      </c>
      <c r="M380" s="132" t="str">
        <f>IF($B380&amp;$C380&amp;$D380&amp;$E380="","",IF($B380="","missing date",IF($C380="","missing worker",IF($I380="?","unknown worker - was the name changed on Workers?",IF($D380="","missing type",IF(N($E380)=0,"missing amount",IF(AND($E380&lt;0,$D380&lt;&gt;"Correction"),"negative amount - use a Correction to undo",IF(OR($B380&lt;Weeks!$A$7,$B380&gt;Weeks!$B$59),"date outside this workbook's year",IF(AND($D380="Advance",N($L380)&lt;0),"Warning: more than earned so far - worker now owes "&amp;TEXT(ROUND(-$L380,0),"#,##0"),"")))))))))</f>
        <v/>
      </c>
      <c r="N380" s="125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</row>
    <row r="381" spans="1:40" s="127" customFormat="1" ht="21" customHeight="1" x14ac:dyDescent="0.25">
      <c r="A381" s="51" t="str">
        <f t="shared" si="15"/>
        <v/>
      </c>
      <c r="B381" s="77"/>
      <c r="C381" s="133"/>
      <c r="D381" s="50"/>
      <c r="E381" s="141"/>
      <c r="F381" s="133"/>
      <c r="G381" s="133"/>
      <c r="H381" s="50"/>
      <c r="I381" s="51" t="str">
        <f t="shared" si="16"/>
        <v/>
      </c>
      <c r="J381" s="52" t="str">
        <f t="shared" si="17"/>
        <v/>
      </c>
      <c r="K381" s="142" t="str">
        <f>IF(OR($I381="",$I381="?",$D381&lt;&gt;"Advance",$B381=""),"",$I381&amp;"|"&amp;$J381&amp;"|"&amp;COUNTIFS($I$7:$I381,$I381,$J$7:$J381,$J381,$D$7:$D381,"Advance"))</f>
        <v/>
      </c>
      <c r="L381" s="143" t="str">
        <f>IF(OR($I381="",$I381="?",$B381=""),"",SUMPRODUCT((Weeks!$A$7:$A$59&lt;=$J381)*(Weeks!$X$5:$AI$5=$I381)*Weeks!$X$7:$AI$59)-SUMIFS($E$7:$E$1006,$I$7:$I$1006,$I381,$B$7:$B$1006,"&lt;="&amp;$B381))</f>
        <v/>
      </c>
      <c r="M381" s="132" t="str">
        <f>IF($B381&amp;$C381&amp;$D381&amp;$E381="","",IF($B381="","missing date",IF($C381="","missing worker",IF($I381="?","unknown worker - was the name changed on Workers?",IF($D381="","missing type",IF(N($E381)=0,"missing amount",IF(AND($E381&lt;0,$D381&lt;&gt;"Correction"),"negative amount - use a Correction to undo",IF(OR($B381&lt;Weeks!$A$7,$B381&gt;Weeks!$B$59),"date outside this workbook's year",IF(AND($D381="Advance",N($L381)&lt;0),"Warning: more than earned so far - worker now owes "&amp;TEXT(ROUND(-$L381,0),"#,##0"),"")))))))))</f>
        <v/>
      </c>
      <c r="N381" s="125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</row>
    <row r="382" spans="1:40" s="127" customFormat="1" ht="21" customHeight="1" x14ac:dyDescent="0.25">
      <c r="A382" s="51" t="str">
        <f t="shared" si="15"/>
        <v/>
      </c>
      <c r="B382" s="77"/>
      <c r="C382" s="133"/>
      <c r="D382" s="50"/>
      <c r="E382" s="141"/>
      <c r="F382" s="133"/>
      <c r="G382" s="133"/>
      <c r="H382" s="50"/>
      <c r="I382" s="51" t="str">
        <f t="shared" si="16"/>
        <v/>
      </c>
      <c r="J382" s="52" t="str">
        <f t="shared" si="17"/>
        <v/>
      </c>
      <c r="K382" s="142" t="str">
        <f>IF(OR($I382="",$I382="?",$D382&lt;&gt;"Advance",$B382=""),"",$I382&amp;"|"&amp;$J382&amp;"|"&amp;COUNTIFS($I$7:$I382,$I382,$J$7:$J382,$J382,$D$7:$D382,"Advance"))</f>
        <v/>
      </c>
      <c r="L382" s="143" t="str">
        <f>IF(OR($I382="",$I382="?",$B382=""),"",SUMPRODUCT((Weeks!$A$7:$A$59&lt;=$J382)*(Weeks!$X$5:$AI$5=$I382)*Weeks!$X$7:$AI$59)-SUMIFS($E$7:$E$1006,$I$7:$I$1006,$I382,$B$7:$B$1006,"&lt;="&amp;$B382))</f>
        <v/>
      </c>
      <c r="M382" s="132" t="str">
        <f>IF($B382&amp;$C382&amp;$D382&amp;$E382="","",IF($B382="","missing date",IF($C382="","missing worker",IF($I382="?","unknown worker - was the name changed on Workers?",IF($D382="","missing type",IF(N($E382)=0,"missing amount",IF(AND($E382&lt;0,$D382&lt;&gt;"Correction"),"negative amount - use a Correction to undo",IF(OR($B382&lt;Weeks!$A$7,$B382&gt;Weeks!$B$59),"date outside this workbook's year",IF(AND($D382="Advance",N($L382)&lt;0),"Warning: more than earned so far - worker now owes "&amp;TEXT(ROUND(-$L382,0),"#,##0"),"")))))))))</f>
        <v/>
      </c>
      <c r="N382" s="125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</row>
    <row r="383" spans="1:40" s="127" customFormat="1" ht="21" customHeight="1" x14ac:dyDescent="0.25">
      <c r="A383" s="51" t="str">
        <f t="shared" si="15"/>
        <v/>
      </c>
      <c r="B383" s="77"/>
      <c r="C383" s="133"/>
      <c r="D383" s="50"/>
      <c r="E383" s="141"/>
      <c r="F383" s="133"/>
      <c r="G383" s="133"/>
      <c r="H383" s="50"/>
      <c r="I383" s="51" t="str">
        <f t="shared" si="16"/>
        <v/>
      </c>
      <c r="J383" s="52" t="str">
        <f t="shared" si="17"/>
        <v/>
      </c>
      <c r="K383" s="142" t="str">
        <f>IF(OR($I383="",$I383="?",$D383&lt;&gt;"Advance",$B383=""),"",$I383&amp;"|"&amp;$J383&amp;"|"&amp;COUNTIFS($I$7:$I383,$I383,$J$7:$J383,$J383,$D$7:$D383,"Advance"))</f>
        <v/>
      </c>
      <c r="L383" s="143" t="str">
        <f>IF(OR($I383="",$I383="?",$B383=""),"",SUMPRODUCT((Weeks!$A$7:$A$59&lt;=$J383)*(Weeks!$X$5:$AI$5=$I383)*Weeks!$X$7:$AI$59)-SUMIFS($E$7:$E$1006,$I$7:$I$1006,$I383,$B$7:$B$1006,"&lt;="&amp;$B383))</f>
        <v/>
      </c>
      <c r="M383" s="132" t="str">
        <f>IF($B383&amp;$C383&amp;$D383&amp;$E383="","",IF($B383="","missing date",IF($C383="","missing worker",IF($I383="?","unknown worker - was the name changed on Workers?",IF($D383="","missing type",IF(N($E383)=0,"missing amount",IF(AND($E383&lt;0,$D383&lt;&gt;"Correction"),"negative amount - use a Correction to undo",IF(OR($B383&lt;Weeks!$A$7,$B383&gt;Weeks!$B$59),"date outside this workbook's year",IF(AND($D383="Advance",N($L383)&lt;0),"Warning: more than earned so far - worker now owes "&amp;TEXT(ROUND(-$L383,0),"#,##0"),"")))))))))</f>
        <v/>
      </c>
      <c r="N383" s="125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</row>
    <row r="384" spans="1:40" s="127" customFormat="1" ht="21" customHeight="1" x14ac:dyDescent="0.25">
      <c r="A384" s="51" t="str">
        <f t="shared" si="15"/>
        <v/>
      </c>
      <c r="B384" s="77"/>
      <c r="C384" s="133"/>
      <c r="D384" s="50"/>
      <c r="E384" s="141"/>
      <c r="F384" s="133"/>
      <c r="G384" s="133"/>
      <c r="H384" s="50"/>
      <c r="I384" s="51" t="str">
        <f t="shared" si="16"/>
        <v/>
      </c>
      <c r="J384" s="52" t="str">
        <f t="shared" si="17"/>
        <v/>
      </c>
      <c r="K384" s="142" t="str">
        <f>IF(OR($I384="",$I384="?",$D384&lt;&gt;"Advance",$B384=""),"",$I384&amp;"|"&amp;$J384&amp;"|"&amp;COUNTIFS($I$7:$I384,$I384,$J$7:$J384,$J384,$D$7:$D384,"Advance"))</f>
        <v/>
      </c>
      <c r="L384" s="143" t="str">
        <f>IF(OR($I384="",$I384="?",$B384=""),"",SUMPRODUCT((Weeks!$A$7:$A$59&lt;=$J384)*(Weeks!$X$5:$AI$5=$I384)*Weeks!$X$7:$AI$59)-SUMIFS($E$7:$E$1006,$I$7:$I$1006,$I384,$B$7:$B$1006,"&lt;="&amp;$B384))</f>
        <v/>
      </c>
      <c r="M384" s="132" t="str">
        <f>IF($B384&amp;$C384&amp;$D384&amp;$E384="","",IF($B384="","missing date",IF($C384="","missing worker",IF($I384="?","unknown worker - was the name changed on Workers?",IF($D384="","missing type",IF(N($E384)=0,"missing amount",IF(AND($E384&lt;0,$D384&lt;&gt;"Correction"),"negative amount - use a Correction to undo",IF(OR($B384&lt;Weeks!$A$7,$B384&gt;Weeks!$B$59),"date outside this workbook's year",IF(AND($D384="Advance",N($L384)&lt;0),"Warning: more than earned so far - worker now owes "&amp;TEXT(ROUND(-$L384,0),"#,##0"),"")))))))))</f>
        <v/>
      </c>
      <c r="N384" s="125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</row>
    <row r="385" spans="1:40" s="127" customFormat="1" ht="21" customHeight="1" x14ac:dyDescent="0.25">
      <c r="A385" s="51" t="str">
        <f t="shared" si="15"/>
        <v/>
      </c>
      <c r="B385" s="77"/>
      <c r="C385" s="133"/>
      <c r="D385" s="50"/>
      <c r="E385" s="141"/>
      <c r="F385" s="133"/>
      <c r="G385" s="133"/>
      <c r="H385" s="50"/>
      <c r="I385" s="51" t="str">
        <f t="shared" si="16"/>
        <v/>
      </c>
      <c r="J385" s="52" t="str">
        <f t="shared" si="17"/>
        <v/>
      </c>
      <c r="K385" s="142" t="str">
        <f>IF(OR($I385="",$I385="?",$D385&lt;&gt;"Advance",$B385=""),"",$I385&amp;"|"&amp;$J385&amp;"|"&amp;COUNTIFS($I$7:$I385,$I385,$J$7:$J385,$J385,$D$7:$D385,"Advance"))</f>
        <v/>
      </c>
      <c r="L385" s="143" t="str">
        <f>IF(OR($I385="",$I385="?",$B385=""),"",SUMPRODUCT((Weeks!$A$7:$A$59&lt;=$J385)*(Weeks!$X$5:$AI$5=$I385)*Weeks!$X$7:$AI$59)-SUMIFS($E$7:$E$1006,$I$7:$I$1006,$I385,$B$7:$B$1006,"&lt;="&amp;$B385))</f>
        <v/>
      </c>
      <c r="M385" s="132" t="str">
        <f>IF($B385&amp;$C385&amp;$D385&amp;$E385="","",IF($B385="","missing date",IF($C385="","missing worker",IF($I385="?","unknown worker - was the name changed on Workers?",IF($D385="","missing type",IF(N($E385)=0,"missing amount",IF(AND($E385&lt;0,$D385&lt;&gt;"Correction"),"negative amount - use a Correction to undo",IF(OR($B385&lt;Weeks!$A$7,$B385&gt;Weeks!$B$59),"date outside this workbook's year",IF(AND($D385="Advance",N($L385)&lt;0),"Warning: more than earned so far - worker now owes "&amp;TEXT(ROUND(-$L385,0),"#,##0"),"")))))))))</f>
        <v/>
      </c>
      <c r="N385" s="125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</row>
    <row r="386" spans="1:40" s="127" customFormat="1" ht="21" customHeight="1" x14ac:dyDescent="0.25">
      <c r="A386" s="51" t="str">
        <f t="shared" si="15"/>
        <v/>
      </c>
      <c r="B386" s="77"/>
      <c r="C386" s="133"/>
      <c r="D386" s="50"/>
      <c r="E386" s="141"/>
      <c r="F386" s="133"/>
      <c r="G386" s="133"/>
      <c r="H386" s="50"/>
      <c r="I386" s="51" t="str">
        <f t="shared" si="16"/>
        <v/>
      </c>
      <c r="J386" s="52" t="str">
        <f t="shared" si="17"/>
        <v/>
      </c>
      <c r="K386" s="142" t="str">
        <f>IF(OR($I386="",$I386="?",$D386&lt;&gt;"Advance",$B386=""),"",$I386&amp;"|"&amp;$J386&amp;"|"&amp;COUNTIFS($I$7:$I386,$I386,$J$7:$J386,$J386,$D$7:$D386,"Advance"))</f>
        <v/>
      </c>
      <c r="L386" s="143" t="str">
        <f>IF(OR($I386="",$I386="?",$B386=""),"",SUMPRODUCT((Weeks!$A$7:$A$59&lt;=$J386)*(Weeks!$X$5:$AI$5=$I386)*Weeks!$X$7:$AI$59)-SUMIFS($E$7:$E$1006,$I$7:$I$1006,$I386,$B$7:$B$1006,"&lt;="&amp;$B386))</f>
        <v/>
      </c>
      <c r="M386" s="132" t="str">
        <f>IF($B386&amp;$C386&amp;$D386&amp;$E386="","",IF($B386="","missing date",IF($C386="","missing worker",IF($I386="?","unknown worker - was the name changed on Workers?",IF($D386="","missing type",IF(N($E386)=0,"missing amount",IF(AND($E386&lt;0,$D386&lt;&gt;"Correction"),"negative amount - use a Correction to undo",IF(OR($B386&lt;Weeks!$A$7,$B386&gt;Weeks!$B$59),"date outside this workbook's year",IF(AND($D386="Advance",N($L386)&lt;0),"Warning: more than earned so far - worker now owes "&amp;TEXT(ROUND(-$L386,0),"#,##0"),"")))))))))</f>
        <v/>
      </c>
      <c r="N386" s="125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</row>
    <row r="387" spans="1:40" s="127" customFormat="1" ht="21" customHeight="1" x14ac:dyDescent="0.25">
      <c r="A387" s="51" t="str">
        <f t="shared" si="15"/>
        <v/>
      </c>
      <c r="B387" s="77"/>
      <c r="C387" s="133"/>
      <c r="D387" s="50"/>
      <c r="E387" s="141"/>
      <c r="F387" s="133"/>
      <c r="G387" s="133"/>
      <c r="H387" s="50"/>
      <c r="I387" s="51" t="str">
        <f t="shared" si="16"/>
        <v/>
      </c>
      <c r="J387" s="52" t="str">
        <f t="shared" si="17"/>
        <v/>
      </c>
      <c r="K387" s="142" t="str">
        <f>IF(OR($I387="",$I387="?",$D387&lt;&gt;"Advance",$B387=""),"",$I387&amp;"|"&amp;$J387&amp;"|"&amp;COUNTIFS($I$7:$I387,$I387,$J$7:$J387,$J387,$D$7:$D387,"Advance"))</f>
        <v/>
      </c>
      <c r="L387" s="143" t="str">
        <f>IF(OR($I387="",$I387="?",$B387=""),"",SUMPRODUCT((Weeks!$A$7:$A$59&lt;=$J387)*(Weeks!$X$5:$AI$5=$I387)*Weeks!$X$7:$AI$59)-SUMIFS($E$7:$E$1006,$I$7:$I$1006,$I387,$B$7:$B$1006,"&lt;="&amp;$B387))</f>
        <v/>
      </c>
      <c r="M387" s="132" t="str">
        <f>IF($B387&amp;$C387&amp;$D387&amp;$E387="","",IF($B387="","missing date",IF($C387="","missing worker",IF($I387="?","unknown worker - was the name changed on Workers?",IF($D387="","missing type",IF(N($E387)=0,"missing amount",IF(AND($E387&lt;0,$D387&lt;&gt;"Correction"),"negative amount - use a Correction to undo",IF(OR($B387&lt;Weeks!$A$7,$B387&gt;Weeks!$B$59),"date outside this workbook's year",IF(AND($D387="Advance",N($L387)&lt;0),"Warning: more than earned so far - worker now owes "&amp;TEXT(ROUND(-$L387,0),"#,##0"),"")))))))))</f>
        <v/>
      </c>
      <c r="N387" s="125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</row>
    <row r="388" spans="1:40" s="127" customFormat="1" ht="21" customHeight="1" x14ac:dyDescent="0.25">
      <c r="A388" s="51" t="str">
        <f t="shared" si="15"/>
        <v/>
      </c>
      <c r="B388" s="77"/>
      <c r="C388" s="133"/>
      <c r="D388" s="50"/>
      <c r="E388" s="141"/>
      <c r="F388" s="133"/>
      <c r="G388" s="133"/>
      <c r="H388" s="50"/>
      <c r="I388" s="51" t="str">
        <f t="shared" si="16"/>
        <v/>
      </c>
      <c r="J388" s="52" t="str">
        <f t="shared" si="17"/>
        <v/>
      </c>
      <c r="K388" s="142" t="str">
        <f>IF(OR($I388="",$I388="?",$D388&lt;&gt;"Advance",$B388=""),"",$I388&amp;"|"&amp;$J388&amp;"|"&amp;COUNTIFS($I$7:$I388,$I388,$J$7:$J388,$J388,$D$7:$D388,"Advance"))</f>
        <v/>
      </c>
      <c r="L388" s="143" t="str">
        <f>IF(OR($I388="",$I388="?",$B388=""),"",SUMPRODUCT((Weeks!$A$7:$A$59&lt;=$J388)*(Weeks!$X$5:$AI$5=$I388)*Weeks!$X$7:$AI$59)-SUMIFS($E$7:$E$1006,$I$7:$I$1006,$I388,$B$7:$B$1006,"&lt;="&amp;$B388))</f>
        <v/>
      </c>
      <c r="M388" s="132" t="str">
        <f>IF($B388&amp;$C388&amp;$D388&amp;$E388="","",IF($B388="","missing date",IF($C388="","missing worker",IF($I388="?","unknown worker - was the name changed on Workers?",IF($D388="","missing type",IF(N($E388)=0,"missing amount",IF(AND($E388&lt;0,$D388&lt;&gt;"Correction"),"negative amount - use a Correction to undo",IF(OR($B388&lt;Weeks!$A$7,$B388&gt;Weeks!$B$59),"date outside this workbook's year",IF(AND($D388="Advance",N($L388)&lt;0),"Warning: more than earned so far - worker now owes "&amp;TEXT(ROUND(-$L388,0),"#,##0"),"")))))))))</f>
        <v/>
      </c>
      <c r="N388" s="125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</row>
    <row r="389" spans="1:40" s="127" customFormat="1" ht="21" customHeight="1" x14ac:dyDescent="0.25">
      <c r="A389" s="51" t="str">
        <f t="shared" si="15"/>
        <v/>
      </c>
      <c r="B389" s="77"/>
      <c r="C389" s="133"/>
      <c r="D389" s="50"/>
      <c r="E389" s="141"/>
      <c r="F389" s="133"/>
      <c r="G389" s="133"/>
      <c r="H389" s="50"/>
      <c r="I389" s="51" t="str">
        <f t="shared" si="16"/>
        <v/>
      </c>
      <c r="J389" s="52" t="str">
        <f t="shared" si="17"/>
        <v/>
      </c>
      <c r="K389" s="142" t="str">
        <f>IF(OR($I389="",$I389="?",$D389&lt;&gt;"Advance",$B389=""),"",$I389&amp;"|"&amp;$J389&amp;"|"&amp;COUNTIFS($I$7:$I389,$I389,$J$7:$J389,$J389,$D$7:$D389,"Advance"))</f>
        <v/>
      </c>
      <c r="L389" s="143" t="str">
        <f>IF(OR($I389="",$I389="?",$B389=""),"",SUMPRODUCT((Weeks!$A$7:$A$59&lt;=$J389)*(Weeks!$X$5:$AI$5=$I389)*Weeks!$X$7:$AI$59)-SUMIFS($E$7:$E$1006,$I$7:$I$1006,$I389,$B$7:$B$1006,"&lt;="&amp;$B389))</f>
        <v/>
      </c>
      <c r="M389" s="132" t="str">
        <f>IF($B389&amp;$C389&amp;$D389&amp;$E389="","",IF($B389="","missing date",IF($C389="","missing worker",IF($I389="?","unknown worker - was the name changed on Workers?",IF($D389="","missing type",IF(N($E389)=0,"missing amount",IF(AND($E389&lt;0,$D389&lt;&gt;"Correction"),"negative amount - use a Correction to undo",IF(OR($B389&lt;Weeks!$A$7,$B389&gt;Weeks!$B$59),"date outside this workbook's year",IF(AND($D389="Advance",N($L389)&lt;0),"Warning: more than earned so far - worker now owes "&amp;TEXT(ROUND(-$L389,0),"#,##0"),"")))))))))</f>
        <v/>
      </c>
      <c r="N389" s="125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</row>
    <row r="390" spans="1:40" s="127" customFormat="1" ht="21" customHeight="1" x14ac:dyDescent="0.25">
      <c r="A390" s="51" t="str">
        <f t="shared" si="15"/>
        <v/>
      </c>
      <c r="B390" s="77"/>
      <c r="C390" s="133"/>
      <c r="D390" s="50"/>
      <c r="E390" s="141"/>
      <c r="F390" s="133"/>
      <c r="G390" s="133"/>
      <c r="H390" s="50"/>
      <c r="I390" s="51" t="str">
        <f t="shared" si="16"/>
        <v/>
      </c>
      <c r="J390" s="52" t="str">
        <f t="shared" si="17"/>
        <v/>
      </c>
      <c r="K390" s="142" t="str">
        <f>IF(OR($I390="",$I390="?",$D390&lt;&gt;"Advance",$B390=""),"",$I390&amp;"|"&amp;$J390&amp;"|"&amp;COUNTIFS($I$7:$I390,$I390,$J$7:$J390,$J390,$D$7:$D390,"Advance"))</f>
        <v/>
      </c>
      <c r="L390" s="143" t="str">
        <f>IF(OR($I390="",$I390="?",$B390=""),"",SUMPRODUCT((Weeks!$A$7:$A$59&lt;=$J390)*(Weeks!$X$5:$AI$5=$I390)*Weeks!$X$7:$AI$59)-SUMIFS($E$7:$E$1006,$I$7:$I$1006,$I390,$B$7:$B$1006,"&lt;="&amp;$B390))</f>
        <v/>
      </c>
      <c r="M390" s="132" t="str">
        <f>IF($B390&amp;$C390&amp;$D390&amp;$E390="","",IF($B390="","missing date",IF($C390="","missing worker",IF($I390="?","unknown worker - was the name changed on Workers?",IF($D390="","missing type",IF(N($E390)=0,"missing amount",IF(AND($E390&lt;0,$D390&lt;&gt;"Correction"),"negative amount - use a Correction to undo",IF(OR($B390&lt;Weeks!$A$7,$B390&gt;Weeks!$B$59),"date outside this workbook's year",IF(AND($D390="Advance",N($L390)&lt;0),"Warning: more than earned so far - worker now owes "&amp;TEXT(ROUND(-$L390,0),"#,##0"),"")))))))))</f>
        <v/>
      </c>
      <c r="N390" s="125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</row>
    <row r="391" spans="1:40" s="127" customFormat="1" ht="21" customHeight="1" x14ac:dyDescent="0.25">
      <c r="A391" s="51" t="str">
        <f t="shared" ref="A391:A454" si="18">IF($B391="","",ROW()-6)</f>
        <v/>
      </c>
      <c r="B391" s="77"/>
      <c r="C391" s="133"/>
      <c r="D391" s="50"/>
      <c r="E391" s="141"/>
      <c r="F391" s="133"/>
      <c r="G391" s="133"/>
      <c r="H391" s="50"/>
      <c r="I391" s="51" t="str">
        <f t="shared" ref="I391:I454" si="19">IF($C391="","",IFERROR(INDEX(WorkerIDs,MATCH($C391,WorkerNames,0)),"?"))</f>
        <v/>
      </c>
      <c r="J391" s="52" t="str">
        <f t="shared" ref="J391:J454" si="20">IF($B391="","",$B391-WEEKDAY($B391,2)+1)</f>
        <v/>
      </c>
      <c r="K391" s="142" t="str">
        <f>IF(OR($I391="",$I391="?",$D391&lt;&gt;"Advance",$B391=""),"",$I391&amp;"|"&amp;$J391&amp;"|"&amp;COUNTIFS($I$7:$I391,$I391,$J$7:$J391,$J391,$D$7:$D391,"Advance"))</f>
        <v/>
      </c>
      <c r="L391" s="143" t="str">
        <f>IF(OR($I391="",$I391="?",$B391=""),"",SUMPRODUCT((Weeks!$A$7:$A$59&lt;=$J391)*(Weeks!$X$5:$AI$5=$I391)*Weeks!$X$7:$AI$59)-SUMIFS($E$7:$E$1006,$I$7:$I$1006,$I391,$B$7:$B$1006,"&lt;="&amp;$B391))</f>
        <v/>
      </c>
      <c r="M391" s="132" t="str">
        <f>IF($B391&amp;$C391&amp;$D391&amp;$E391="","",IF($B391="","missing date",IF($C391="","missing worker",IF($I391="?","unknown worker - was the name changed on Workers?",IF($D391="","missing type",IF(N($E391)=0,"missing amount",IF(AND($E391&lt;0,$D391&lt;&gt;"Correction"),"negative amount - use a Correction to undo",IF(OR($B391&lt;Weeks!$A$7,$B391&gt;Weeks!$B$59),"date outside this workbook's year",IF(AND($D391="Advance",N($L391)&lt;0),"Warning: more than earned so far - worker now owes "&amp;TEXT(ROUND(-$L391,0),"#,##0"),"")))))))))</f>
        <v/>
      </c>
      <c r="N391" s="125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</row>
    <row r="392" spans="1:40" s="127" customFormat="1" ht="21" customHeight="1" x14ac:dyDescent="0.25">
      <c r="A392" s="51" t="str">
        <f t="shared" si="18"/>
        <v/>
      </c>
      <c r="B392" s="77"/>
      <c r="C392" s="133"/>
      <c r="D392" s="50"/>
      <c r="E392" s="141"/>
      <c r="F392" s="133"/>
      <c r="G392" s="133"/>
      <c r="H392" s="50"/>
      <c r="I392" s="51" t="str">
        <f t="shared" si="19"/>
        <v/>
      </c>
      <c r="J392" s="52" t="str">
        <f t="shared" si="20"/>
        <v/>
      </c>
      <c r="K392" s="142" t="str">
        <f>IF(OR($I392="",$I392="?",$D392&lt;&gt;"Advance",$B392=""),"",$I392&amp;"|"&amp;$J392&amp;"|"&amp;COUNTIFS($I$7:$I392,$I392,$J$7:$J392,$J392,$D$7:$D392,"Advance"))</f>
        <v/>
      </c>
      <c r="L392" s="143" t="str">
        <f>IF(OR($I392="",$I392="?",$B392=""),"",SUMPRODUCT((Weeks!$A$7:$A$59&lt;=$J392)*(Weeks!$X$5:$AI$5=$I392)*Weeks!$X$7:$AI$59)-SUMIFS($E$7:$E$1006,$I$7:$I$1006,$I392,$B$7:$B$1006,"&lt;="&amp;$B392))</f>
        <v/>
      </c>
      <c r="M392" s="132" t="str">
        <f>IF($B392&amp;$C392&amp;$D392&amp;$E392="","",IF($B392="","missing date",IF($C392="","missing worker",IF($I392="?","unknown worker - was the name changed on Workers?",IF($D392="","missing type",IF(N($E392)=0,"missing amount",IF(AND($E392&lt;0,$D392&lt;&gt;"Correction"),"negative amount - use a Correction to undo",IF(OR($B392&lt;Weeks!$A$7,$B392&gt;Weeks!$B$59),"date outside this workbook's year",IF(AND($D392="Advance",N($L392)&lt;0),"Warning: more than earned so far - worker now owes "&amp;TEXT(ROUND(-$L392,0),"#,##0"),"")))))))))</f>
        <v/>
      </c>
      <c r="N392" s="125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</row>
    <row r="393" spans="1:40" s="127" customFormat="1" ht="21" customHeight="1" x14ac:dyDescent="0.25">
      <c r="A393" s="51" t="str">
        <f t="shared" si="18"/>
        <v/>
      </c>
      <c r="B393" s="77"/>
      <c r="C393" s="133"/>
      <c r="D393" s="50"/>
      <c r="E393" s="141"/>
      <c r="F393" s="133"/>
      <c r="G393" s="133"/>
      <c r="H393" s="50"/>
      <c r="I393" s="51" t="str">
        <f t="shared" si="19"/>
        <v/>
      </c>
      <c r="J393" s="52" t="str">
        <f t="shared" si="20"/>
        <v/>
      </c>
      <c r="K393" s="142" t="str">
        <f>IF(OR($I393="",$I393="?",$D393&lt;&gt;"Advance",$B393=""),"",$I393&amp;"|"&amp;$J393&amp;"|"&amp;COUNTIFS($I$7:$I393,$I393,$J$7:$J393,$J393,$D$7:$D393,"Advance"))</f>
        <v/>
      </c>
      <c r="L393" s="143" t="str">
        <f>IF(OR($I393="",$I393="?",$B393=""),"",SUMPRODUCT((Weeks!$A$7:$A$59&lt;=$J393)*(Weeks!$X$5:$AI$5=$I393)*Weeks!$X$7:$AI$59)-SUMIFS($E$7:$E$1006,$I$7:$I$1006,$I393,$B$7:$B$1006,"&lt;="&amp;$B393))</f>
        <v/>
      </c>
      <c r="M393" s="132" t="str">
        <f>IF($B393&amp;$C393&amp;$D393&amp;$E393="","",IF($B393="","missing date",IF($C393="","missing worker",IF($I393="?","unknown worker - was the name changed on Workers?",IF($D393="","missing type",IF(N($E393)=0,"missing amount",IF(AND($E393&lt;0,$D393&lt;&gt;"Correction"),"negative amount - use a Correction to undo",IF(OR($B393&lt;Weeks!$A$7,$B393&gt;Weeks!$B$59),"date outside this workbook's year",IF(AND($D393="Advance",N($L393)&lt;0),"Warning: more than earned so far - worker now owes "&amp;TEXT(ROUND(-$L393,0),"#,##0"),"")))))))))</f>
        <v/>
      </c>
      <c r="N393" s="125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</row>
    <row r="394" spans="1:40" s="127" customFormat="1" ht="21" customHeight="1" x14ac:dyDescent="0.25">
      <c r="A394" s="51" t="str">
        <f t="shared" si="18"/>
        <v/>
      </c>
      <c r="B394" s="77"/>
      <c r="C394" s="133"/>
      <c r="D394" s="50"/>
      <c r="E394" s="141"/>
      <c r="F394" s="133"/>
      <c r="G394" s="133"/>
      <c r="H394" s="50"/>
      <c r="I394" s="51" t="str">
        <f t="shared" si="19"/>
        <v/>
      </c>
      <c r="J394" s="52" t="str">
        <f t="shared" si="20"/>
        <v/>
      </c>
      <c r="K394" s="142" t="str">
        <f>IF(OR($I394="",$I394="?",$D394&lt;&gt;"Advance",$B394=""),"",$I394&amp;"|"&amp;$J394&amp;"|"&amp;COUNTIFS($I$7:$I394,$I394,$J$7:$J394,$J394,$D$7:$D394,"Advance"))</f>
        <v/>
      </c>
      <c r="L394" s="143" t="str">
        <f>IF(OR($I394="",$I394="?",$B394=""),"",SUMPRODUCT((Weeks!$A$7:$A$59&lt;=$J394)*(Weeks!$X$5:$AI$5=$I394)*Weeks!$X$7:$AI$59)-SUMIFS($E$7:$E$1006,$I$7:$I$1006,$I394,$B$7:$B$1006,"&lt;="&amp;$B394))</f>
        <v/>
      </c>
      <c r="M394" s="132" t="str">
        <f>IF($B394&amp;$C394&amp;$D394&amp;$E394="","",IF($B394="","missing date",IF($C394="","missing worker",IF($I394="?","unknown worker - was the name changed on Workers?",IF($D394="","missing type",IF(N($E394)=0,"missing amount",IF(AND($E394&lt;0,$D394&lt;&gt;"Correction"),"negative amount - use a Correction to undo",IF(OR($B394&lt;Weeks!$A$7,$B394&gt;Weeks!$B$59),"date outside this workbook's year",IF(AND($D394="Advance",N($L394)&lt;0),"Warning: more than earned so far - worker now owes "&amp;TEXT(ROUND(-$L394,0),"#,##0"),"")))))))))</f>
        <v/>
      </c>
      <c r="N394" s="125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</row>
    <row r="395" spans="1:40" s="127" customFormat="1" ht="21" customHeight="1" x14ac:dyDescent="0.25">
      <c r="A395" s="51" t="str">
        <f t="shared" si="18"/>
        <v/>
      </c>
      <c r="B395" s="77"/>
      <c r="C395" s="133"/>
      <c r="D395" s="50"/>
      <c r="E395" s="141"/>
      <c r="F395" s="133"/>
      <c r="G395" s="133"/>
      <c r="H395" s="50"/>
      <c r="I395" s="51" t="str">
        <f t="shared" si="19"/>
        <v/>
      </c>
      <c r="J395" s="52" t="str">
        <f t="shared" si="20"/>
        <v/>
      </c>
      <c r="K395" s="142" t="str">
        <f>IF(OR($I395="",$I395="?",$D395&lt;&gt;"Advance",$B395=""),"",$I395&amp;"|"&amp;$J395&amp;"|"&amp;COUNTIFS($I$7:$I395,$I395,$J$7:$J395,$J395,$D$7:$D395,"Advance"))</f>
        <v/>
      </c>
      <c r="L395" s="143" t="str">
        <f>IF(OR($I395="",$I395="?",$B395=""),"",SUMPRODUCT((Weeks!$A$7:$A$59&lt;=$J395)*(Weeks!$X$5:$AI$5=$I395)*Weeks!$X$7:$AI$59)-SUMIFS($E$7:$E$1006,$I$7:$I$1006,$I395,$B$7:$B$1006,"&lt;="&amp;$B395))</f>
        <v/>
      </c>
      <c r="M395" s="132" t="str">
        <f>IF($B395&amp;$C395&amp;$D395&amp;$E395="","",IF($B395="","missing date",IF($C395="","missing worker",IF($I395="?","unknown worker - was the name changed on Workers?",IF($D395="","missing type",IF(N($E395)=0,"missing amount",IF(AND($E395&lt;0,$D395&lt;&gt;"Correction"),"negative amount - use a Correction to undo",IF(OR($B395&lt;Weeks!$A$7,$B395&gt;Weeks!$B$59),"date outside this workbook's year",IF(AND($D395="Advance",N($L395)&lt;0),"Warning: more than earned so far - worker now owes "&amp;TEXT(ROUND(-$L395,0),"#,##0"),"")))))))))</f>
        <v/>
      </c>
      <c r="N395" s="125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</row>
    <row r="396" spans="1:40" s="127" customFormat="1" ht="21" customHeight="1" x14ac:dyDescent="0.25">
      <c r="A396" s="51" t="str">
        <f t="shared" si="18"/>
        <v/>
      </c>
      <c r="B396" s="77"/>
      <c r="C396" s="133"/>
      <c r="D396" s="50"/>
      <c r="E396" s="141"/>
      <c r="F396" s="133"/>
      <c r="G396" s="133"/>
      <c r="H396" s="50"/>
      <c r="I396" s="51" t="str">
        <f t="shared" si="19"/>
        <v/>
      </c>
      <c r="J396" s="52" t="str">
        <f t="shared" si="20"/>
        <v/>
      </c>
      <c r="K396" s="142" t="str">
        <f>IF(OR($I396="",$I396="?",$D396&lt;&gt;"Advance",$B396=""),"",$I396&amp;"|"&amp;$J396&amp;"|"&amp;COUNTIFS($I$7:$I396,$I396,$J$7:$J396,$J396,$D$7:$D396,"Advance"))</f>
        <v/>
      </c>
      <c r="L396" s="143" t="str">
        <f>IF(OR($I396="",$I396="?",$B396=""),"",SUMPRODUCT((Weeks!$A$7:$A$59&lt;=$J396)*(Weeks!$X$5:$AI$5=$I396)*Weeks!$X$7:$AI$59)-SUMIFS($E$7:$E$1006,$I$7:$I$1006,$I396,$B$7:$B$1006,"&lt;="&amp;$B396))</f>
        <v/>
      </c>
      <c r="M396" s="132" t="str">
        <f>IF($B396&amp;$C396&amp;$D396&amp;$E396="","",IF($B396="","missing date",IF($C396="","missing worker",IF($I396="?","unknown worker - was the name changed on Workers?",IF($D396="","missing type",IF(N($E396)=0,"missing amount",IF(AND($E396&lt;0,$D396&lt;&gt;"Correction"),"negative amount - use a Correction to undo",IF(OR($B396&lt;Weeks!$A$7,$B396&gt;Weeks!$B$59),"date outside this workbook's year",IF(AND($D396="Advance",N($L396)&lt;0),"Warning: more than earned so far - worker now owes "&amp;TEXT(ROUND(-$L396,0),"#,##0"),"")))))))))</f>
        <v/>
      </c>
      <c r="N396" s="125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</row>
    <row r="397" spans="1:40" s="127" customFormat="1" ht="21" customHeight="1" x14ac:dyDescent="0.25">
      <c r="A397" s="51" t="str">
        <f t="shared" si="18"/>
        <v/>
      </c>
      <c r="B397" s="77"/>
      <c r="C397" s="133"/>
      <c r="D397" s="50"/>
      <c r="E397" s="141"/>
      <c r="F397" s="133"/>
      <c r="G397" s="133"/>
      <c r="H397" s="50"/>
      <c r="I397" s="51" t="str">
        <f t="shared" si="19"/>
        <v/>
      </c>
      <c r="J397" s="52" t="str">
        <f t="shared" si="20"/>
        <v/>
      </c>
      <c r="K397" s="142" t="str">
        <f>IF(OR($I397="",$I397="?",$D397&lt;&gt;"Advance",$B397=""),"",$I397&amp;"|"&amp;$J397&amp;"|"&amp;COUNTIFS($I$7:$I397,$I397,$J$7:$J397,$J397,$D$7:$D397,"Advance"))</f>
        <v/>
      </c>
      <c r="L397" s="143" t="str">
        <f>IF(OR($I397="",$I397="?",$B397=""),"",SUMPRODUCT((Weeks!$A$7:$A$59&lt;=$J397)*(Weeks!$X$5:$AI$5=$I397)*Weeks!$X$7:$AI$59)-SUMIFS($E$7:$E$1006,$I$7:$I$1006,$I397,$B$7:$B$1006,"&lt;="&amp;$B397))</f>
        <v/>
      </c>
      <c r="M397" s="132" t="str">
        <f>IF($B397&amp;$C397&amp;$D397&amp;$E397="","",IF($B397="","missing date",IF($C397="","missing worker",IF($I397="?","unknown worker - was the name changed on Workers?",IF($D397="","missing type",IF(N($E397)=0,"missing amount",IF(AND($E397&lt;0,$D397&lt;&gt;"Correction"),"negative amount - use a Correction to undo",IF(OR($B397&lt;Weeks!$A$7,$B397&gt;Weeks!$B$59),"date outside this workbook's year",IF(AND($D397="Advance",N($L397)&lt;0),"Warning: more than earned so far - worker now owes "&amp;TEXT(ROUND(-$L397,0),"#,##0"),"")))))))))</f>
        <v/>
      </c>
      <c r="N397" s="125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</row>
    <row r="398" spans="1:40" s="127" customFormat="1" ht="21" customHeight="1" x14ac:dyDescent="0.25">
      <c r="A398" s="51" t="str">
        <f t="shared" si="18"/>
        <v/>
      </c>
      <c r="B398" s="77"/>
      <c r="C398" s="133"/>
      <c r="D398" s="50"/>
      <c r="E398" s="141"/>
      <c r="F398" s="133"/>
      <c r="G398" s="133"/>
      <c r="H398" s="50"/>
      <c r="I398" s="51" t="str">
        <f t="shared" si="19"/>
        <v/>
      </c>
      <c r="J398" s="52" t="str">
        <f t="shared" si="20"/>
        <v/>
      </c>
      <c r="K398" s="142" t="str">
        <f>IF(OR($I398="",$I398="?",$D398&lt;&gt;"Advance",$B398=""),"",$I398&amp;"|"&amp;$J398&amp;"|"&amp;COUNTIFS($I$7:$I398,$I398,$J$7:$J398,$J398,$D$7:$D398,"Advance"))</f>
        <v/>
      </c>
      <c r="L398" s="143" t="str">
        <f>IF(OR($I398="",$I398="?",$B398=""),"",SUMPRODUCT((Weeks!$A$7:$A$59&lt;=$J398)*(Weeks!$X$5:$AI$5=$I398)*Weeks!$X$7:$AI$59)-SUMIFS($E$7:$E$1006,$I$7:$I$1006,$I398,$B$7:$B$1006,"&lt;="&amp;$B398))</f>
        <v/>
      </c>
      <c r="M398" s="132" t="str">
        <f>IF($B398&amp;$C398&amp;$D398&amp;$E398="","",IF($B398="","missing date",IF($C398="","missing worker",IF($I398="?","unknown worker - was the name changed on Workers?",IF($D398="","missing type",IF(N($E398)=0,"missing amount",IF(AND($E398&lt;0,$D398&lt;&gt;"Correction"),"negative amount - use a Correction to undo",IF(OR($B398&lt;Weeks!$A$7,$B398&gt;Weeks!$B$59),"date outside this workbook's year",IF(AND($D398="Advance",N($L398)&lt;0),"Warning: more than earned so far - worker now owes "&amp;TEXT(ROUND(-$L398,0),"#,##0"),"")))))))))</f>
        <v/>
      </c>
      <c r="N398" s="125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</row>
    <row r="399" spans="1:40" s="127" customFormat="1" ht="21" customHeight="1" x14ac:dyDescent="0.25">
      <c r="A399" s="51" t="str">
        <f t="shared" si="18"/>
        <v/>
      </c>
      <c r="B399" s="77"/>
      <c r="C399" s="133"/>
      <c r="D399" s="50"/>
      <c r="E399" s="141"/>
      <c r="F399" s="133"/>
      <c r="G399" s="133"/>
      <c r="H399" s="50"/>
      <c r="I399" s="51" t="str">
        <f t="shared" si="19"/>
        <v/>
      </c>
      <c r="J399" s="52" t="str">
        <f t="shared" si="20"/>
        <v/>
      </c>
      <c r="K399" s="142" t="str">
        <f>IF(OR($I399="",$I399="?",$D399&lt;&gt;"Advance",$B399=""),"",$I399&amp;"|"&amp;$J399&amp;"|"&amp;COUNTIFS($I$7:$I399,$I399,$J$7:$J399,$J399,$D$7:$D399,"Advance"))</f>
        <v/>
      </c>
      <c r="L399" s="143" t="str">
        <f>IF(OR($I399="",$I399="?",$B399=""),"",SUMPRODUCT((Weeks!$A$7:$A$59&lt;=$J399)*(Weeks!$X$5:$AI$5=$I399)*Weeks!$X$7:$AI$59)-SUMIFS($E$7:$E$1006,$I$7:$I$1006,$I399,$B$7:$B$1006,"&lt;="&amp;$B399))</f>
        <v/>
      </c>
      <c r="M399" s="132" t="str">
        <f>IF($B399&amp;$C399&amp;$D399&amp;$E399="","",IF($B399="","missing date",IF($C399="","missing worker",IF($I399="?","unknown worker - was the name changed on Workers?",IF($D399="","missing type",IF(N($E399)=0,"missing amount",IF(AND($E399&lt;0,$D399&lt;&gt;"Correction"),"negative amount - use a Correction to undo",IF(OR($B399&lt;Weeks!$A$7,$B399&gt;Weeks!$B$59),"date outside this workbook's year",IF(AND($D399="Advance",N($L399)&lt;0),"Warning: more than earned so far - worker now owes "&amp;TEXT(ROUND(-$L399,0),"#,##0"),"")))))))))</f>
        <v/>
      </c>
      <c r="N399" s="125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</row>
    <row r="400" spans="1:40" s="127" customFormat="1" ht="21" customHeight="1" x14ac:dyDescent="0.25">
      <c r="A400" s="51" t="str">
        <f t="shared" si="18"/>
        <v/>
      </c>
      <c r="B400" s="77"/>
      <c r="C400" s="133"/>
      <c r="D400" s="50"/>
      <c r="E400" s="141"/>
      <c r="F400" s="133"/>
      <c r="G400" s="133"/>
      <c r="H400" s="50"/>
      <c r="I400" s="51" t="str">
        <f t="shared" si="19"/>
        <v/>
      </c>
      <c r="J400" s="52" t="str">
        <f t="shared" si="20"/>
        <v/>
      </c>
      <c r="K400" s="142" t="str">
        <f>IF(OR($I400="",$I400="?",$D400&lt;&gt;"Advance",$B400=""),"",$I400&amp;"|"&amp;$J400&amp;"|"&amp;COUNTIFS($I$7:$I400,$I400,$J$7:$J400,$J400,$D$7:$D400,"Advance"))</f>
        <v/>
      </c>
      <c r="L400" s="143" t="str">
        <f>IF(OR($I400="",$I400="?",$B400=""),"",SUMPRODUCT((Weeks!$A$7:$A$59&lt;=$J400)*(Weeks!$X$5:$AI$5=$I400)*Weeks!$X$7:$AI$59)-SUMIFS($E$7:$E$1006,$I$7:$I$1006,$I400,$B$7:$B$1006,"&lt;="&amp;$B400))</f>
        <v/>
      </c>
      <c r="M400" s="132" t="str">
        <f>IF($B400&amp;$C400&amp;$D400&amp;$E400="","",IF($B400="","missing date",IF($C400="","missing worker",IF($I400="?","unknown worker - was the name changed on Workers?",IF($D400="","missing type",IF(N($E400)=0,"missing amount",IF(AND($E400&lt;0,$D400&lt;&gt;"Correction"),"negative amount - use a Correction to undo",IF(OR($B400&lt;Weeks!$A$7,$B400&gt;Weeks!$B$59),"date outside this workbook's year",IF(AND($D400="Advance",N($L400)&lt;0),"Warning: more than earned so far - worker now owes "&amp;TEXT(ROUND(-$L400,0),"#,##0"),"")))))))))</f>
        <v/>
      </c>
      <c r="N400" s="125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</row>
    <row r="401" spans="1:40" s="127" customFormat="1" ht="21" customHeight="1" x14ac:dyDescent="0.25">
      <c r="A401" s="51" t="str">
        <f t="shared" si="18"/>
        <v/>
      </c>
      <c r="B401" s="77"/>
      <c r="C401" s="133"/>
      <c r="D401" s="50"/>
      <c r="E401" s="141"/>
      <c r="F401" s="133"/>
      <c r="G401" s="133"/>
      <c r="H401" s="50"/>
      <c r="I401" s="51" t="str">
        <f t="shared" si="19"/>
        <v/>
      </c>
      <c r="J401" s="52" t="str">
        <f t="shared" si="20"/>
        <v/>
      </c>
      <c r="K401" s="142" t="str">
        <f>IF(OR($I401="",$I401="?",$D401&lt;&gt;"Advance",$B401=""),"",$I401&amp;"|"&amp;$J401&amp;"|"&amp;COUNTIFS($I$7:$I401,$I401,$J$7:$J401,$J401,$D$7:$D401,"Advance"))</f>
        <v/>
      </c>
      <c r="L401" s="143" t="str">
        <f>IF(OR($I401="",$I401="?",$B401=""),"",SUMPRODUCT((Weeks!$A$7:$A$59&lt;=$J401)*(Weeks!$X$5:$AI$5=$I401)*Weeks!$X$7:$AI$59)-SUMIFS($E$7:$E$1006,$I$7:$I$1006,$I401,$B$7:$B$1006,"&lt;="&amp;$B401))</f>
        <v/>
      </c>
      <c r="M401" s="132" t="str">
        <f>IF($B401&amp;$C401&amp;$D401&amp;$E401="","",IF($B401="","missing date",IF($C401="","missing worker",IF($I401="?","unknown worker - was the name changed on Workers?",IF($D401="","missing type",IF(N($E401)=0,"missing amount",IF(AND($E401&lt;0,$D401&lt;&gt;"Correction"),"negative amount - use a Correction to undo",IF(OR($B401&lt;Weeks!$A$7,$B401&gt;Weeks!$B$59),"date outside this workbook's year",IF(AND($D401="Advance",N($L401)&lt;0),"Warning: more than earned so far - worker now owes "&amp;TEXT(ROUND(-$L401,0),"#,##0"),"")))))))))</f>
        <v/>
      </c>
      <c r="N401" s="125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</row>
    <row r="402" spans="1:40" s="127" customFormat="1" ht="21" customHeight="1" x14ac:dyDescent="0.25">
      <c r="A402" s="51" t="str">
        <f t="shared" si="18"/>
        <v/>
      </c>
      <c r="B402" s="77"/>
      <c r="C402" s="133"/>
      <c r="D402" s="50"/>
      <c r="E402" s="141"/>
      <c r="F402" s="133"/>
      <c r="G402" s="133"/>
      <c r="H402" s="50"/>
      <c r="I402" s="51" t="str">
        <f t="shared" si="19"/>
        <v/>
      </c>
      <c r="J402" s="52" t="str">
        <f t="shared" si="20"/>
        <v/>
      </c>
      <c r="K402" s="142" t="str">
        <f>IF(OR($I402="",$I402="?",$D402&lt;&gt;"Advance",$B402=""),"",$I402&amp;"|"&amp;$J402&amp;"|"&amp;COUNTIFS($I$7:$I402,$I402,$J$7:$J402,$J402,$D$7:$D402,"Advance"))</f>
        <v/>
      </c>
      <c r="L402" s="143" t="str">
        <f>IF(OR($I402="",$I402="?",$B402=""),"",SUMPRODUCT((Weeks!$A$7:$A$59&lt;=$J402)*(Weeks!$X$5:$AI$5=$I402)*Weeks!$X$7:$AI$59)-SUMIFS($E$7:$E$1006,$I$7:$I$1006,$I402,$B$7:$B$1006,"&lt;="&amp;$B402))</f>
        <v/>
      </c>
      <c r="M402" s="132" t="str">
        <f>IF($B402&amp;$C402&amp;$D402&amp;$E402="","",IF($B402="","missing date",IF($C402="","missing worker",IF($I402="?","unknown worker - was the name changed on Workers?",IF($D402="","missing type",IF(N($E402)=0,"missing amount",IF(AND($E402&lt;0,$D402&lt;&gt;"Correction"),"negative amount - use a Correction to undo",IF(OR($B402&lt;Weeks!$A$7,$B402&gt;Weeks!$B$59),"date outside this workbook's year",IF(AND($D402="Advance",N($L402)&lt;0),"Warning: more than earned so far - worker now owes "&amp;TEXT(ROUND(-$L402,0),"#,##0"),"")))))))))</f>
        <v/>
      </c>
      <c r="N402" s="125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</row>
    <row r="403" spans="1:40" s="127" customFormat="1" ht="21" customHeight="1" x14ac:dyDescent="0.25">
      <c r="A403" s="51" t="str">
        <f t="shared" si="18"/>
        <v/>
      </c>
      <c r="B403" s="77"/>
      <c r="C403" s="133"/>
      <c r="D403" s="50"/>
      <c r="E403" s="141"/>
      <c r="F403" s="133"/>
      <c r="G403" s="133"/>
      <c r="H403" s="50"/>
      <c r="I403" s="51" t="str">
        <f t="shared" si="19"/>
        <v/>
      </c>
      <c r="J403" s="52" t="str">
        <f t="shared" si="20"/>
        <v/>
      </c>
      <c r="K403" s="142" t="str">
        <f>IF(OR($I403="",$I403="?",$D403&lt;&gt;"Advance",$B403=""),"",$I403&amp;"|"&amp;$J403&amp;"|"&amp;COUNTIFS($I$7:$I403,$I403,$J$7:$J403,$J403,$D$7:$D403,"Advance"))</f>
        <v/>
      </c>
      <c r="L403" s="143" t="str">
        <f>IF(OR($I403="",$I403="?",$B403=""),"",SUMPRODUCT((Weeks!$A$7:$A$59&lt;=$J403)*(Weeks!$X$5:$AI$5=$I403)*Weeks!$X$7:$AI$59)-SUMIFS($E$7:$E$1006,$I$7:$I$1006,$I403,$B$7:$B$1006,"&lt;="&amp;$B403))</f>
        <v/>
      </c>
      <c r="M403" s="132" t="str">
        <f>IF($B403&amp;$C403&amp;$D403&amp;$E403="","",IF($B403="","missing date",IF($C403="","missing worker",IF($I403="?","unknown worker - was the name changed on Workers?",IF($D403="","missing type",IF(N($E403)=0,"missing amount",IF(AND($E403&lt;0,$D403&lt;&gt;"Correction"),"negative amount - use a Correction to undo",IF(OR($B403&lt;Weeks!$A$7,$B403&gt;Weeks!$B$59),"date outside this workbook's year",IF(AND($D403="Advance",N($L403)&lt;0),"Warning: more than earned so far - worker now owes "&amp;TEXT(ROUND(-$L403,0),"#,##0"),"")))))))))</f>
        <v/>
      </c>
      <c r="N403" s="125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</row>
    <row r="404" spans="1:40" s="127" customFormat="1" ht="21" customHeight="1" x14ac:dyDescent="0.25">
      <c r="A404" s="51" t="str">
        <f t="shared" si="18"/>
        <v/>
      </c>
      <c r="B404" s="77"/>
      <c r="C404" s="133"/>
      <c r="D404" s="50"/>
      <c r="E404" s="141"/>
      <c r="F404" s="133"/>
      <c r="G404" s="133"/>
      <c r="H404" s="50"/>
      <c r="I404" s="51" t="str">
        <f t="shared" si="19"/>
        <v/>
      </c>
      <c r="J404" s="52" t="str">
        <f t="shared" si="20"/>
        <v/>
      </c>
      <c r="K404" s="142" t="str">
        <f>IF(OR($I404="",$I404="?",$D404&lt;&gt;"Advance",$B404=""),"",$I404&amp;"|"&amp;$J404&amp;"|"&amp;COUNTIFS($I$7:$I404,$I404,$J$7:$J404,$J404,$D$7:$D404,"Advance"))</f>
        <v/>
      </c>
      <c r="L404" s="143" t="str">
        <f>IF(OR($I404="",$I404="?",$B404=""),"",SUMPRODUCT((Weeks!$A$7:$A$59&lt;=$J404)*(Weeks!$X$5:$AI$5=$I404)*Weeks!$X$7:$AI$59)-SUMIFS($E$7:$E$1006,$I$7:$I$1006,$I404,$B$7:$B$1006,"&lt;="&amp;$B404))</f>
        <v/>
      </c>
      <c r="M404" s="132" t="str">
        <f>IF($B404&amp;$C404&amp;$D404&amp;$E404="","",IF($B404="","missing date",IF($C404="","missing worker",IF($I404="?","unknown worker - was the name changed on Workers?",IF($D404="","missing type",IF(N($E404)=0,"missing amount",IF(AND($E404&lt;0,$D404&lt;&gt;"Correction"),"negative amount - use a Correction to undo",IF(OR($B404&lt;Weeks!$A$7,$B404&gt;Weeks!$B$59),"date outside this workbook's year",IF(AND($D404="Advance",N($L404)&lt;0),"Warning: more than earned so far - worker now owes "&amp;TEXT(ROUND(-$L404,0),"#,##0"),"")))))))))</f>
        <v/>
      </c>
      <c r="N404" s="125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</row>
    <row r="405" spans="1:40" s="127" customFormat="1" ht="21" customHeight="1" x14ac:dyDescent="0.25">
      <c r="A405" s="51" t="str">
        <f t="shared" si="18"/>
        <v/>
      </c>
      <c r="B405" s="77"/>
      <c r="C405" s="133"/>
      <c r="D405" s="50"/>
      <c r="E405" s="141"/>
      <c r="F405" s="133"/>
      <c r="G405" s="133"/>
      <c r="H405" s="50"/>
      <c r="I405" s="51" t="str">
        <f t="shared" si="19"/>
        <v/>
      </c>
      <c r="J405" s="52" t="str">
        <f t="shared" si="20"/>
        <v/>
      </c>
      <c r="K405" s="142" t="str">
        <f>IF(OR($I405="",$I405="?",$D405&lt;&gt;"Advance",$B405=""),"",$I405&amp;"|"&amp;$J405&amp;"|"&amp;COUNTIFS($I$7:$I405,$I405,$J$7:$J405,$J405,$D$7:$D405,"Advance"))</f>
        <v/>
      </c>
      <c r="L405" s="143" t="str">
        <f>IF(OR($I405="",$I405="?",$B405=""),"",SUMPRODUCT((Weeks!$A$7:$A$59&lt;=$J405)*(Weeks!$X$5:$AI$5=$I405)*Weeks!$X$7:$AI$59)-SUMIFS($E$7:$E$1006,$I$7:$I$1006,$I405,$B$7:$B$1006,"&lt;="&amp;$B405))</f>
        <v/>
      </c>
      <c r="M405" s="132" t="str">
        <f>IF($B405&amp;$C405&amp;$D405&amp;$E405="","",IF($B405="","missing date",IF($C405="","missing worker",IF($I405="?","unknown worker - was the name changed on Workers?",IF($D405="","missing type",IF(N($E405)=0,"missing amount",IF(AND($E405&lt;0,$D405&lt;&gt;"Correction"),"negative amount - use a Correction to undo",IF(OR($B405&lt;Weeks!$A$7,$B405&gt;Weeks!$B$59),"date outside this workbook's year",IF(AND($D405="Advance",N($L405)&lt;0),"Warning: more than earned so far - worker now owes "&amp;TEXT(ROUND(-$L405,0),"#,##0"),"")))))))))</f>
        <v/>
      </c>
      <c r="N405" s="125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</row>
    <row r="406" spans="1:40" s="127" customFormat="1" ht="21" customHeight="1" x14ac:dyDescent="0.25">
      <c r="A406" s="51" t="str">
        <f t="shared" si="18"/>
        <v/>
      </c>
      <c r="B406" s="77"/>
      <c r="C406" s="133"/>
      <c r="D406" s="50"/>
      <c r="E406" s="141"/>
      <c r="F406" s="133"/>
      <c r="G406" s="133"/>
      <c r="H406" s="50"/>
      <c r="I406" s="51" t="str">
        <f t="shared" si="19"/>
        <v/>
      </c>
      <c r="J406" s="52" t="str">
        <f t="shared" si="20"/>
        <v/>
      </c>
      <c r="K406" s="142" t="str">
        <f>IF(OR($I406="",$I406="?",$D406&lt;&gt;"Advance",$B406=""),"",$I406&amp;"|"&amp;$J406&amp;"|"&amp;COUNTIFS($I$7:$I406,$I406,$J$7:$J406,$J406,$D$7:$D406,"Advance"))</f>
        <v/>
      </c>
      <c r="L406" s="143" t="str">
        <f>IF(OR($I406="",$I406="?",$B406=""),"",SUMPRODUCT((Weeks!$A$7:$A$59&lt;=$J406)*(Weeks!$X$5:$AI$5=$I406)*Weeks!$X$7:$AI$59)-SUMIFS($E$7:$E$1006,$I$7:$I$1006,$I406,$B$7:$B$1006,"&lt;="&amp;$B406))</f>
        <v/>
      </c>
      <c r="M406" s="132" t="str">
        <f>IF($B406&amp;$C406&amp;$D406&amp;$E406="","",IF($B406="","missing date",IF($C406="","missing worker",IF($I406="?","unknown worker - was the name changed on Workers?",IF($D406="","missing type",IF(N($E406)=0,"missing amount",IF(AND($E406&lt;0,$D406&lt;&gt;"Correction"),"negative amount - use a Correction to undo",IF(OR($B406&lt;Weeks!$A$7,$B406&gt;Weeks!$B$59),"date outside this workbook's year",IF(AND($D406="Advance",N($L406)&lt;0),"Warning: more than earned so far - worker now owes "&amp;TEXT(ROUND(-$L406,0),"#,##0"),"")))))))))</f>
        <v/>
      </c>
      <c r="N406" s="125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</row>
    <row r="407" spans="1:40" s="127" customFormat="1" ht="21" customHeight="1" x14ac:dyDescent="0.25">
      <c r="A407" s="51" t="str">
        <f t="shared" si="18"/>
        <v/>
      </c>
      <c r="B407" s="77"/>
      <c r="C407" s="133"/>
      <c r="D407" s="50"/>
      <c r="E407" s="141"/>
      <c r="F407" s="133"/>
      <c r="G407" s="133"/>
      <c r="H407" s="50"/>
      <c r="I407" s="51" t="str">
        <f t="shared" si="19"/>
        <v/>
      </c>
      <c r="J407" s="52" t="str">
        <f t="shared" si="20"/>
        <v/>
      </c>
      <c r="K407" s="142" t="str">
        <f>IF(OR($I407="",$I407="?",$D407&lt;&gt;"Advance",$B407=""),"",$I407&amp;"|"&amp;$J407&amp;"|"&amp;COUNTIFS($I$7:$I407,$I407,$J$7:$J407,$J407,$D$7:$D407,"Advance"))</f>
        <v/>
      </c>
      <c r="L407" s="143" t="str">
        <f>IF(OR($I407="",$I407="?",$B407=""),"",SUMPRODUCT((Weeks!$A$7:$A$59&lt;=$J407)*(Weeks!$X$5:$AI$5=$I407)*Weeks!$X$7:$AI$59)-SUMIFS($E$7:$E$1006,$I$7:$I$1006,$I407,$B$7:$B$1006,"&lt;="&amp;$B407))</f>
        <v/>
      </c>
      <c r="M407" s="132" t="str">
        <f>IF($B407&amp;$C407&amp;$D407&amp;$E407="","",IF($B407="","missing date",IF($C407="","missing worker",IF($I407="?","unknown worker - was the name changed on Workers?",IF($D407="","missing type",IF(N($E407)=0,"missing amount",IF(AND($E407&lt;0,$D407&lt;&gt;"Correction"),"negative amount - use a Correction to undo",IF(OR($B407&lt;Weeks!$A$7,$B407&gt;Weeks!$B$59),"date outside this workbook's year",IF(AND($D407="Advance",N($L407)&lt;0),"Warning: more than earned so far - worker now owes "&amp;TEXT(ROUND(-$L407,0),"#,##0"),"")))))))))</f>
        <v/>
      </c>
      <c r="N407" s="125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</row>
    <row r="408" spans="1:40" s="127" customFormat="1" ht="21" customHeight="1" x14ac:dyDescent="0.25">
      <c r="A408" s="51" t="str">
        <f t="shared" si="18"/>
        <v/>
      </c>
      <c r="B408" s="77"/>
      <c r="C408" s="133"/>
      <c r="D408" s="50"/>
      <c r="E408" s="141"/>
      <c r="F408" s="133"/>
      <c r="G408" s="133"/>
      <c r="H408" s="50"/>
      <c r="I408" s="51" t="str">
        <f t="shared" si="19"/>
        <v/>
      </c>
      <c r="J408" s="52" t="str">
        <f t="shared" si="20"/>
        <v/>
      </c>
      <c r="K408" s="142" t="str">
        <f>IF(OR($I408="",$I408="?",$D408&lt;&gt;"Advance",$B408=""),"",$I408&amp;"|"&amp;$J408&amp;"|"&amp;COUNTIFS($I$7:$I408,$I408,$J$7:$J408,$J408,$D$7:$D408,"Advance"))</f>
        <v/>
      </c>
      <c r="L408" s="143" t="str">
        <f>IF(OR($I408="",$I408="?",$B408=""),"",SUMPRODUCT((Weeks!$A$7:$A$59&lt;=$J408)*(Weeks!$X$5:$AI$5=$I408)*Weeks!$X$7:$AI$59)-SUMIFS($E$7:$E$1006,$I$7:$I$1006,$I408,$B$7:$B$1006,"&lt;="&amp;$B408))</f>
        <v/>
      </c>
      <c r="M408" s="132" t="str">
        <f>IF($B408&amp;$C408&amp;$D408&amp;$E408="","",IF($B408="","missing date",IF($C408="","missing worker",IF($I408="?","unknown worker - was the name changed on Workers?",IF($D408="","missing type",IF(N($E408)=0,"missing amount",IF(AND($E408&lt;0,$D408&lt;&gt;"Correction"),"negative amount - use a Correction to undo",IF(OR($B408&lt;Weeks!$A$7,$B408&gt;Weeks!$B$59),"date outside this workbook's year",IF(AND($D408="Advance",N($L408)&lt;0),"Warning: more than earned so far - worker now owes "&amp;TEXT(ROUND(-$L408,0),"#,##0"),"")))))))))</f>
        <v/>
      </c>
      <c r="N408" s="125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</row>
    <row r="409" spans="1:40" s="127" customFormat="1" ht="21" customHeight="1" x14ac:dyDescent="0.25">
      <c r="A409" s="51" t="str">
        <f t="shared" si="18"/>
        <v/>
      </c>
      <c r="B409" s="77"/>
      <c r="C409" s="133"/>
      <c r="D409" s="50"/>
      <c r="E409" s="141"/>
      <c r="F409" s="133"/>
      <c r="G409" s="133"/>
      <c r="H409" s="50"/>
      <c r="I409" s="51" t="str">
        <f t="shared" si="19"/>
        <v/>
      </c>
      <c r="J409" s="52" t="str">
        <f t="shared" si="20"/>
        <v/>
      </c>
      <c r="K409" s="142" t="str">
        <f>IF(OR($I409="",$I409="?",$D409&lt;&gt;"Advance",$B409=""),"",$I409&amp;"|"&amp;$J409&amp;"|"&amp;COUNTIFS($I$7:$I409,$I409,$J$7:$J409,$J409,$D$7:$D409,"Advance"))</f>
        <v/>
      </c>
      <c r="L409" s="143" t="str">
        <f>IF(OR($I409="",$I409="?",$B409=""),"",SUMPRODUCT((Weeks!$A$7:$A$59&lt;=$J409)*(Weeks!$X$5:$AI$5=$I409)*Weeks!$X$7:$AI$59)-SUMIFS($E$7:$E$1006,$I$7:$I$1006,$I409,$B$7:$B$1006,"&lt;="&amp;$B409))</f>
        <v/>
      </c>
      <c r="M409" s="132" t="str">
        <f>IF($B409&amp;$C409&amp;$D409&amp;$E409="","",IF($B409="","missing date",IF($C409="","missing worker",IF($I409="?","unknown worker - was the name changed on Workers?",IF($D409="","missing type",IF(N($E409)=0,"missing amount",IF(AND($E409&lt;0,$D409&lt;&gt;"Correction"),"negative amount - use a Correction to undo",IF(OR($B409&lt;Weeks!$A$7,$B409&gt;Weeks!$B$59),"date outside this workbook's year",IF(AND($D409="Advance",N($L409)&lt;0),"Warning: more than earned so far - worker now owes "&amp;TEXT(ROUND(-$L409,0),"#,##0"),"")))))))))</f>
        <v/>
      </c>
      <c r="N409" s="125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</row>
    <row r="410" spans="1:40" s="127" customFormat="1" ht="21" customHeight="1" x14ac:dyDescent="0.25">
      <c r="A410" s="51" t="str">
        <f t="shared" si="18"/>
        <v/>
      </c>
      <c r="B410" s="77"/>
      <c r="C410" s="133"/>
      <c r="D410" s="50"/>
      <c r="E410" s="141"/>
      <c r="F410" s="133"/>
      <c r="G410" s="133"/>
      <c r="H410" s="50"/>
      <c r="I410" s="51" t="str">
        <f t="shared" si="19"/>
        <v/>
      </c>
      <c r="J410" s="52" t="str">
        <f t="shared" si="20"/>
        <v/>
      </c>
      <c r="K410" s="142" t="str">
        <f>IF(OR($I410="",$I410="?",$D410&lt;&gt;"Advance",$B410=""),"",$I410&amp;"|"&amp;$J410&amp;"|"&amp;COUNTIFS($I$7:$I410,$I410,$J$7:$J410,$J410,$D$7:$D410,"Advance"))</f>
        <v/>
      </c>
      <c r="L410" s="143" t="str">
        <f>IF(OR($I410="",$I410="?",$B410=""),"",SUMPRODUCT((Weeks!$A$7:$A$59&lt;=$J410)*(Weeks!$X$5:$AI$5=$I410)*Weeks!$X$7:$AI$59)-SUMIFS($E$7:$E$1006,$I$7:$I$1006,$I410,$B$7:$B$1006,"&lt;="&amp;$B410))</f>
        <v/>
      </c>
      <c r="M410" s="132" t="str">
        <f>IF($B410&amp;$C410&amp;$D410&amp;$E410="","",IF($B410="","missing date",IF($C410="","missing worker",IF($I410="?","unknown worker - was the name changed on Workers?",IF($D410="","missing type",IF(N($E410)=0,"missing amount",IF(AND($E410&lt;0,$D410&lt;&gt;"Correction"),"negative amount - use a Correction to undo",IF(OR($B410&lt;Weeks!$A$7,$B410&gt;Weeks!$B$59),"date outside this workbook's year",IF(AND($D410="Advance",N($L410)&lt;0),"Warning: more than earned so far - worker now owes "&amp;TEXT(ROUND(-$L410,0),"#,##0"),"")))))))))</f>
        <v/>
      </c>
      <c r="N410" s="125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</row>
    <row r="411" spans="1:40" s="127" customFormat="1" ht="21" customHeight="1" x14ac:dyDescent="0.25">
      <c r="A411" s="51" t="str">
        <f t="shared" si="18"/>
        <v/>
      </c>
      <c r="B411" s="77"/>
      <c r="C411" s="133"/>
      <c r="D411" s="50"/>
      <c r="E411" s="141"/>
      <c r="F411" s="133"/>
      <c r="G411" s="133"/>
      <c r="H411" s="50"/>
      <c r="I411" s="51" t="str">
        <f t="shared" si="19"/>
        <v/>
      </c>
      <c r="J411" s="52" t="str">
        <f t="shared" si="20"/>
        <v/>
      </c>
      <c r="K411" s="142" t="str">
        <f>IF(OR($I411="",$I411="?",$D411&lt;&gt;"Advance",$B411=""),"",$I411&amp;"|"&amp;$J411&amp;"|"&amp;COUNTIFS($I$7:$I411,$I411,$J$7:$J411,$J411,$D$7:$D411,"Advance"))</f>
        <v/>
      </c>
      <c r="L411" s="143" t="str">
        <f>IF(OR($I411="",$I411="?",$B411=""),"",SUMPRODUCT((Weeks!$A$7:$A$59&lt;=$J411)*(Weeks!$X$5:$AI$5=$I411)*Weeks!$X$7:$AI$59)-SUMIFS($E$7:$E$1006,$I$7:$I$1006,$I411,$B$7:$B$1006,"&lt;="&amp;$B411))</f>
        <v/>
      </c>
      <c r="M411" s="132" t="str">
        <f>IF($B411&amp;$C411&amp;$D411&amp;$E411="","",IF($B411="","missing date",IF($C411="","missing worker",IF($I411="?","unknown worker - was the name changed on Workers?",IF($D411="","missing type",IF(N($E411)=0,"missing amount",IF(AND($E411&lt;0,$D411&lt;&gt;"Correction"),"negative amount - use a Correction to undo",IF(OR($B411&lt;Weeks!$A$7,$B411&gt;Weeks!$B$59),"date outside this workbook's year",IF(AND($D411="Advance",N($L411)&lt;0),"Warning: more than earned so far - worker now owes "&amp;TEXT(ROUND(-$L411,0),"#,##0"),"")))))))))</f>
        <v/>
      </c>
      <c r="N411" s="125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</row>
    <row r="412" spans="1:40" s="127" customFormat="1" ht="21" customHeight="1" x14ac:dyDescent="0.25">
      <c r="A412" s="51" t="str">
        <f t="shared" si="18"/>
        <v/>
      </c>
      <c r="B412" s="77"/>
      <c r="C412" s="133"/>
      <c r="D412" s="50"/>
      <c r="E412" s="141"/>
      <c r="F412" s="133"/>
      <c r="G412" s="133"/>
      <c r="H412" s="50"/>
      <c r="I412" s="51" t="str">
        <f t="shared" si="19"/>
        <v/>
      </c>
      <c r="J412" s="52" t="str">
        <f t="shared" si="20"/>
        <v/>
      </c>
      <c r="K412" s="142" t="str">
        <f>IF(OR($I412="",$I412="?",$D412&lt;&gt;"Advance",$B412=""),"",$I412&amp;"|"&amp;$J412&amp;"|"&amp;COUNTIFS($I$7:$I412,$I412,$J$7:$J412,$J412,$D$7:$D412,"Advance"))</f>
        <v/>
      </c>
      <c r="L412" s="143" t="str">
        <f>IF(OR($I412="",$I412="?",$B412=""),"",SUMPRODUCT((Weeks!$A$7:$A$59&lt;=$J412)*(Weeks!$X$5:$AI$5=$I412)*Weeks!$X$7:$AI$59)-SUMIFS($E$7:$E$1006,$I$7:$I$1006,$I412,$B$7:$B$1006,"&lt;="&amp;$B412))</f>
        <v/>
      </c>
      <c r="M412" s="132" t="str">
        <f>IF($B412&amp;$C412&amp;$D412&amp;$E412="","",IF($B412="","missing date",IF($C412="","missing worker",IF($I412="?","unknown worker - was the name changed on Workers?",IF($D412="","missing type",IF(N($E412)=0,"missing amount",IF(AND($E412&lt;0,$D412&lt;&gt;"Correction"),"negative amount - use a Correction to undo",IF(OR($B412&lt;Weeks!$A$7,$B412&gt;Weeks!$B$59),"date outside this workbook's year",IF(AND($D412="Advance",N($L412)&lt;0),"Warning: more than earned so far - worker now owes "&amp;TEXT(ROUND(-$L412,0),"#,##0"),"")))))))))</f>
        <v/>
      </c>
      <c r="N412" s="125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</row>
    <row r="413" spans="1:40" s="127" customFormat="1" ht="21" customHeight="1" x14ac:dyDescent="0.25">
      <c r="A413" s="51" t="str">
        <f t="shared" si="18"/>
        <v/>
      </c>
      <c r="B413" s="77"/>
      <c r="C413" s="133"/>
      <c r="D413" s="50"/>
      <c r="E413" s="141"/>
      <c r="F413" s="133"/>
      <c r="G413" s="133"/>
      <c r="H413" s="50"/>
      <c r="I413" s="51" t="str">
        <f t="shared" si="19"/>
        <v/>
      </c>
      <c r="J413" s="52" t="str">
        <f t="shared" si="20"/>
        <v/>
      </c>
      <c r="K413" s="142" t="str">
        <f>IF(OR($I413="",$I413="?",$D413&lt;&gt;"Advance",$B413=""),"",$I413&amp;"|"&amp;$J413&amp;"|"&amp;COUNTIFS($I$7:$I413,$I413,$J$7:$J413,$J413,$D$7:$D413,"Advance"))</f>
        <v/>
      </c>
      <c r="L413" s="143" t="str">
        <f>IF(OR($I413="",$I413="?",$B413=""),"",SUMPRODUCT((Weeks!$A$7:$A$59&lt;=$J413)*(Weeks!$X$5:$AI$5=$I413)*Weeks!$X$7:$AI$59)-SUMIFS($E$7:$E$1006,$I$7:$I$1006,$I413,$B$7:$B$1006,"&lt;="&amp;$B413))</f>
        <v/>
      </c>
      <c r="M413" s="132" t="str">
        <f>IF($B413&amp;$C413&amp;$D413&amp;$E413="","",IF($B413="","missing date",IF($C413="","missing worker",IF($I413="?","unknown worker - was the name changed on Workers?",IF($D413="","missing type",IF(N($E413)=0,"missing amount",IF(AND($E413&lt;0,$D413&lt;&gt;"Correction"),"negative amount - use a Correction to undo",IF(OR($B413&lt;Weeks!$A$7,$B413&gt;Weeks!$B$59),"date outside this workbook's year",IF(AND($D413="Advance",N($L413)&lt;0),"Warning: more than earned so far - worker now owes "&amp;TEXT(ROUND(-$L413,0),"#,##0"),"")))))))))</f>
        <v/>
      </c>
      <c r="N413" s="125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</row>
    <row r="414" spans="1:40" s="127" customFormat="1" ht="21" customHeight="1" x14ac:dyDescent="0.25">
      <c r="A414" s="51" t="str">
        <f t="shared" si="18"/>
        <v/>
      </c>
      <c r="B414" s="77"/>
      <c r="C414" s="133"/>
      <c r="D414" s="50"/>
      <c r="E414" s="141"/>
      <c r="F414" s="133"/>
      <c r="G414" s="133"/>
      <c r="H414" s="50"/>
      <c r="I414" s="51" t="str">
        <f t="shared" si="19"/>
        <v/>
      </c>
      <c r="J414" s="52" t="str">
        <f t="shared" si="20"/>
        <v/>
      </c>
      <c r="K414" s="142" t="str">
        <f>IF(OR($I414="",$I414="?",$D414&lt;&gt;"Advance",$B414=""),"",$I414&amp;"|"&amp;$J414&amp;"|"&amp;COUNTIFS($I$7:$I414,$I414,$J$7:$J414,$J414,$D$7:$D414,"Advance"))</f>
        <v/>
      </c>
      <c r="L414" s="143" t="str">
        <f>IF(OR($I414="",$I414="?",$B414=""),"",SUMPRODUCT((Weeks!$A$7:$A$59&lt;=$J414)*(Weeks!$X$5:$AI$5=$I414)*Weeks!$X$7:$AI$59)-SUMIFS($E$7:$E$1006,$I$7:$I$1006,$I414,$B$7:$B$1006,"&lt;="&amp;$B414))</f>
        <v/>
      </c>
      <c r="M414" s="132" t="str">
        <f>IF($B414&amp;$C414&amp;$D414&amp;$E414="","",IF($B414="","missing date",IF($C414="","missing worker",IF($I414="?","unknown worker - was the name changed on Workers?",IF($D414="","missing type",IF(N($E414)=0,"missing amount",IF(AND($E414&lt;0,$D414&lt;&gt;"Correction"),"negative amount - use a Correction to undo",IF(OR($B414&lt;Weeks!$A$7,$B414&gt;Weeks!$B$59),"date outside this workbook's year",IF(AND($D414="Advance",N($L414)&lt;0),"Warning: more than earned so far - worker now owes "&amp;TEXT(ROUND(-$L414,0),"#,##0"),"")))))))))</f>
        <v/>
      </c>
      <c r="N414" s="125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</row>
    <row r="415" spans="1:40" s="127" customFormat="1" ht="21" customHeight="1" x14ac:dyDescent="0.25">
      <c r="A415" s="51" t="str">
        <f t="shared" si="18"/>
        <v/>
      </c>
      <c r="B415" s="77"/>
      <c r="C415" s="133"/>
      <c r="D415" s="50"/>
      <c r="E415" s="141"/>
      <c r="F415" s="133"/>
      <c r="G415" s="133"/>
      <c r="H415" s="50"/>
      <c r="I415" s="51" t="str">
        <f t="shared" si="19"/>
        <v/>
      </c>
      <c r="J415" s="52" t="str">
        <f t="shared" si="20"/>
        <v/>
      </c>
      <c r="K415" s="142" t="str">
        <f>IF(OR($I415="",$I415="?",$D415&lt;&gt;"Advance",$B415=""),"",$I415&amp;"|"&amp;$J415&amp;"|"&amp;COUNTIFS($I$7:$I415,$I415,$J$7:$J415,$J415,$D$7:$D415,"Advance"))</f>
        <v/>
      </c>
      <c r="L415" s="143" t="str">
        <f>IF(OR($I415="",$I415="?",$B415=""),"",SUMPRODUCT((Weeks!$A$7:$A$59&lt;=$J415)*(Weeks!$X$5:$AI$5=$I415)*Weeks!$X$7:$AI$59)-SUMIFS($E$7:$E$1006,$I$7:$I$1006,$I415,$B$7:$B$1006,"&lt;="&amp;$B415))</f>
        <v/>
      </c>
      <c r="M415" s="132" t="str">
        <f>IF($B415&amp;$C415&amp;$D415&amp;$E415="","",IF($B415="","missing date",IF($C415="","missing worker",IF($I415="?","unknown worker - was the name changed on Workers?",IF($D415="","missing type",IF(N($E415)=0,"missing amount",IF(AND($E415&lt;0,$D415&lt;&gt;"Correction"),"negative amount - use a Correction to undo",IF(OR($B415&lt;Weeks!$A$7,$B415&gt;Weeks!$B$59),"date outside this workbook's year",IF(AND($D415="Advance",N($L415)&lt;0),"Warning: more than earned so far - worker now owes "&amp;TEXT(ROUND(-$L415,0),"#,##0"),"")))))))))</f>
        <v/>
      </c>
      <c r="N415" s="125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</row>
    <row r="416" spans="1:40" s="127" customFormat="1" ht="21" customHeight="1" x14ac:dyDescent="0.25">
      <c r="A416" s="51" t="str">
        <f t="shared" si="18"/>
        <v/>
      </c>
      <c r="B416" s="77"/>
      <c r="C416" s="133"/>
      <c r="D416" s="50"/>
      <c r="E416" s="141"/>
      <c r="F416" s="133"/>
      <c r="G416" s="133"/>
      <c r="H416" s="50"/>
      <c r="I416" s="51" t="str">
        <f t="shared" si="19"/>
        <v/>
      </c>
      <c r="J416" s="52" t="str">
        <f t="shared" si="20"/>
        <v/>
      </c>
      <c r="K416" s="142" t="str">
        <f>IF(OR($I416="",$I416="?",$D416&lt;&gt;"Advance",$B416=""),"",$I416&amp;"|"&amp;$J416&amp;"|"&amp;COUNTIFS($I$7:$I416,$I416,$J$7:$J416,$J416,$D$7:$D416,"Advance"))</f>
        <v/>
      </c>
      <c r="L416" s="143" t="str">
        <f>IF(OR($I416="",$I416="?",$B416=""),"",SUMPRODUCT((Weeks!$A$7:$A$59&lt;=$J416)*(Weeks!$X$5:$AI$5=$I416)*Weeks!$X$7:$AI$59)-SUMIFS($E$7:$E$1006,$I$7:$I$1006,$I416,$B$7:$B$1006,"&lt;="&amp;$B416))</f>
        <v/>
      </c>
      <c r="M416" s="132" t="str">
        <f>IF($B416&amp;$C416&amp;$D416&amp;$E416="","",IF($B416="","missing date",IF($C416="","missing worker",IF($I416="?","unknown worker - was the name changed on Workers?",IF($D416="","missing type",IF(N($E416)=0,"missing amount",IF(AND($E416&lt;0,$D416&lt;&gt;"Correction"),"negative amount - use a Correction to undo",IF(OR($B416&lt;Weeks!$A$7,$B416&gt;Weeks!$B$59),"date outside this workbook's year",IF(AND($D416="Advance",N($L416)&lt;0),"Warning: more than earned so far - worker now owes "&amp;TEXT(ROUND(-$L416,0),"#,##0"),"")))))))))</f>
        <v/>
      </c>
      <c r="N416" s="125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</row>
    <row r="417" spans="1:40" s="127" customFormat="1" ht="21" customHeight="1" x14ac:dyDescent="0.25">
      <c r="A417" s="51" t="str">
        <f t="shared" si="18"/>
        <v/>
      </c>
      <c r="B417" s="77"/>
      <c r="C417" s="133"/>
      <c r="D417" s="50"/>
      <c r="E417" s="141"/>
      <c r="F417" s="133"/>
      <c r="G417" s="133"/>
      <c r="H417" s="50"/>
      <c r="I417" s="51" t="str">
        <f t="shared" si="19"/>
        <v/>
      </c>
      <c r="J417" s="52" t="str">
        <f t="shared" si="20"/>
        <v/>
      </c>
      <c r="K417" s="142" t="str">
        <f>IF(OR($I417="",$I417="?",$D417&lt;&gt;"Advance",$B417=""),"",$I417&amp;"|"&amp;$J417&amp;"|"&amp;COUNTIFS($I$7:$I417,$I417,$J$7:$J417,$J417,$D$7:$D417,"Advance"))</f>
        <v/>
      </c>
      <c r="L417" s="143" t="str">
        <f>IF(OR($I417="",$I417="?",$B417=""),"",SUMPRODUCT((Weeks!$A$7:$A$59&lt;=$J417)*(Weeks!$X$5:$AI$5=$I417)*Weeks!$X$7:$AI$59)-SUMIFS($E$7:$E$1006,$I$7:$I$1006,$I417,$B$7:$B$1006,"&lt;="&amp;$B417))</f>
        <v/>
      </c>
      <c r="M417" s="132" t="str">
        <f>IF($B417&amp;$C417&amp;$D417&amp;$E417="","",IF($B417="","missing date",IF($C417="","missing worker",IF($I417="?","unknown worker - was the name changed on Workers?",IF($D417="","missing type",IF(N($E417)=0,"missing amount",IF(AND($E417&lt;0,$D417&lt;&gt;"Correction"),"negative amount - use a Correction to undo",IF(OR($B417&lt;Weeks!$A$7,$B417&gt;Weeks!$B$59),"date outside this workbook's year",IF(AND($D417="Advance",N($L417)&lt;0),"Warning: more than earned so far - worker now owes "&amp;TEXT(ROUND(-$L417,0),"#,##0"),"")))))))))</f>
        <v/>
      </c>
      <c r="N417" s="125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</row>
    <row r="418" spans="1:40" s="127" customFormat="1" ht="21" customHeight="1" x14ac:dyDescent="0.25">
      <c r="A418" s="51" t="str">
        <f t="shared" si="18"/>
        <v/>
      </c>
      <c r="B418" s="77"/>
      <c r="C418" s="133"/>
      <c r="D418" s="50"/>
      <c r="E418" s="141"/>
      <c r="F418" s="133"/>
      <c r="G418" s="133"/>
      <c r="H418" s="50"/>
      <c r="I418" s="51" t="str">
        <f t="shared" si="19"/>
        <v/>
      </c>
      <c r="J418" s="52" t="str">
        <f t="shared" si="20"/>
        <v/>
      </c>
      <c r="K418" s="142" t="str">
        <f>IF(OR($I418="",$I418="?",$D418&lt;&gt;"Advance",$B418=""),"",$I418&amp;"|"&amp;$J418&amp;"|"&amp;COUNTIFS($I$7:$I418,$I418,$J$7:$J418,$J418,$D$7:$D418,"Advance"))</f>
        <v/>
      </c>
      <c r="L418" s="143" t="str">
        <f>IF(OR($I418="",$I418="?",$B418=""),"",SUMPRODUCT((Weeks!$A$7:$A$59&lt;=$J418)*(Weeks!$X$5:$AI$5=$I418)*Weeks!$X$7:$AI$59)-SUMIFS($E$7:$E$1006,$I$7:$I$1006,$I418,$B$7:$B$1006,"&lt;="&amp;$B418))</f>
        <v/>
      </c>
      <c r="M418" s="132" t="str">
        <f>IF($B418&amp;$C418&amp;$D418&amp;$E418="","",IF($B418="","missing date",IF($C418="","missing worker",IF($I418="?","unknown worker - was the name changed on Workers?",IF($D418="","missing type",IF(N($E418)=0,"missing amount",IF(AND($E418&lt;0,$D418&lt;&gt;"Correction"),"negative amount - use a Correction to undo",IF(OR($B418&lt;Weeks!$A$7,$B418&gt;Weeks!$B$59),"date outside this workbook's year",IF(AND($D418="Advance",N($L418)&lt;0),"Warning: more than earned so far - worker now owes "&amp;TEXT(ROUND(-$L418,0),"#,##0"),"")))))))))</f>
        <v/>
      </c>
      <c r="N418" s="125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</row>
    <row r="419" spans="1:40" s="127" customFormat="1" ht="21" customHeight="1" x14ac:dyDescent="0.25">
      <c r="A419" s="51" t="str">
        <f t="shared" si="18"/>
        <v/>
      </c>
      <c r="B419" s="77"/>
      <c r="C419" s="133"/>
      <c r="D419" s="50"/>
      <c r="E419" s="141"/>
      <c r="F419" s="133"/>
      <c r="G419" s="133"/>
      <c r="H419" s="50"/>
      <c r="I419" s="51" t="str">
        <f t="shared" si="19"/>
        <v/>
      </c>
      <c r="J419" s="52" t="str">
        <f t="shared" si="20"/>
        <v/>
      </c>
      <c r="K419" s="142" t="str">
        <f>IF(OR($I419="",$I419="?",$D419&lt;&gt;"Advance",$B419=""),"",$I419&amp;"|"&amp;$J419&amp;"|"&amp;COUNTIFS($I$7:$I419,$I419,$J$7:$J419,$J419,$D$7:$D419,"Advance"))</f>
        <v/>
      </c>
      <c r="L419" s="143" t="str">
        <f>IF(OR($I419="",$I419="?",$B419=""),"",SUMPRODUCT((Weeks!$A$7:$A$59&lt;=$J419)*(Weeks!$X$5:$AI$5=$I419)*Weeks!$X$7:$AI$59)-SUMIFS($E$7:$E$1006,$I$7:$I$1006,$I419,$B$7:$B$1006,"&lt;="&amp;$B419))</f>
        <v/>
      </c>
      <c r="M419" s="132" t="str">
        <f>IF($B419&amp;$C419&amp;$D419&amp;$E419="","",IF($B419="","missing date",IF($C419="","missing worker",IF($I419="?","unknown worker - was the name changed on Workers?",IF($D419="","missing type",IF(N($E419)=0,"missing amount",IF(AND($E419&lt;0,$D419&lt;&gt;"Correction"),"negative amount - use a Correction to undo",IF(OR($B419&lt;Weeks!$A$7,$B419&gt;Weeks!$B$59),"date outside this workbook's year",IF(AND($D419="Advance",N($L419)&lt;0),"Warning: more than earned so far - worker now owes "&amp;TEXT(ROUND(-$L419,0),"#,##0"),"")))))))))</f>
        <v/>
      </c>
      <c r="N419" s="125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</row>
    <row r="420" spans="1:40" s="127" customFormat="1" ht="21" customHeight="1" x14ac:dyDescent="0.25">
      <c r="A420" s="51" t="str">
        <f t="shared" si="18"/>
        <v/>
      </c>
      <c r="B420" s="77"/>
      <c r="C420" s="133"/>
      <c r="D420" s="50"/>
      <c r="E420" s="141"/>
      <c r="F420" s="133"/>
      <c r="G420" s="133"/>
      <c r="H420" s="50"/>
      <c r="I420" s="51" t="str">
        <f t="shared" si="19"/>
        <v/>
      </c>
      <c r="J420" s="52" t="str">
        <f t="shared" si="20"/>
        <v/>
      </c>
      <c r="K420" s="142" t="str">
        <f>IF(OR($I420="",$I420="?",$D420&lt;&gt;"Advance",$B420=""),"",$I420&amp;"|"&amp;$J420&amp;"|"&amp;COUNTIFS($I$7:$I420,$I420,$J$7:$J420,$J420,$D$7:$D420,"Advance"))</f>
        <v/>
      </c>
      <c r="L420" s="143" t="str">
        <f>IF(OR($I420="",$I420="?",$B420=""),"",SUMPRODUCT((Weeks!$A$7:$A$59&lt;=$J420)*(Weeks!$X$5:$AI$5=$I420)*Weeks!$X$7:$AI$59)-SUMIFS($E$7:$E$1006,$I$7:$I$1006,$I420,$B$7:$B$1006,"&lt;="&amp;$B420))</f>
        <v/>
      </c>
      <c r="M420" s="132" t="str">
        <f>IF($B420&amp;$C420&amp;$D420&amp;$E420="","",IF($B420="","missing date",IF($C420="","missing worker",IF($I420="?","unknown worker - was the name changed on Workers?",IF($D420="","missing type",IF(N($E420)=0,"missing amount",IF(AND($E420&lt;0,$D420&lt;&gt;"Correction"),"negative amount - use a Correction to undo",IF(OR($B420&lt;Weeks!$A$7,$B420&gt;Weeks!$B$59),"date outside this workbook's year",IF(AND($D420="Advance",N($L420)&lt;0),"Warning: more than earned so far - worker now owes "&amp;TEXT(ROUND(-$L420,0),"#,##0"),"")))))))))</f>
        <v/>
      </c>
      <c r="N420" s="125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</row>
    <row r="421" spans="1:40" s="127" customFormat="1" ht="21" customHeight="1" x14ac:dyDescent="0.25">
      <c r="A421" s="51" t="str">
        <f t="shared" si="18"/>
        <v/>
      </c>
      <c r="B421" s="77"/>
      <c r="C421" s="133"/>
      <c r="D421" s="50"/>
      <c r="E421" s="141"/>
      <c r="F421" s="133"/>
      <c r="G421" s="133"/>
      <c r="H421" s="50"/>
      <c r="I421" s="51" t="str">
        <f t="shared" si="19"/>
        <v/>
      </c>
      <c r="J421" s="52" t="str">
        <f t="shared" si="20"/>
        <v/>
      </c>
      <c r="K421" s="142" t="str">
        <f>IF(OR($I421="",$I421="?",$D421&lt;&gt;"Advance",$B421=""),"",$I421&amp;"|"&amp;$J421&amp;"|"&amp;COUNTIFS($I$7:$I421,$I421,$J$7:$J421,$J421,$D$7:$D421,"Advance"))</f>
        <v/>
      </c>
      <c r="L421" s="143" t="str">
        <f>IF(OR($I421="",$I421="?",$B421=""),"",SUMPRODUCT((Weeks!$A$7:$A$59&lt;=$J421)*(Weeks!$X$5:$AI$5=$I421)*Weeks!$X$7:$AI$59)-SUMIFS($E$7:$E$1006,$I$7:$I$1006,$I421,$B$7:$B$1006,"&lt;="&amp;$B421))</f>
        <v/>
      </c>
      <c r="M421" s="132" t="str">
        <f>IF($B421&amp;$C421&amp;$D421&amp;$E421="","",IF($B421="","missing date",IF($C421="","missing worker",IF($I421="?","unknown worker - was the name changed on Workers?",IF($D421="","missing type",IF(N($E421)=0,"missing amount",IF(AND($E421&lt;0,$D421&lt;&gt;"Correction"),"negative amount - use a Correction to undo",IF(OR($B421&lt;Weeks!$A$7,$B421&gt;Weeks!$B$59),"date outside this workbook's year",IF(AND($D421="Advance",N($L421)&lt;0),"Warning: more than earned so far - worker now owes "&amp;TEXT(ROUND(-$L421,0),"#,##0"),"")))))))))</f>
        <v/>
      </c>
      <c r="N421" s="125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</row>
    <row r="422" spans="1:40" s="127" customFormat="1" ht="21" customHeight="1" x14ac:dyDescent="0.25">
      <c r="A422" s="51" t="str">
        <f t="shared" si="18"/>
        <v/>
      </c>
      <c r="B422" s="77"/>
      <c r="C422" s="133"/>
      <c r="D422" s="50"/>
      <c r="E422" s="141"/>
      <c r="F422" s="133"/>
      <c r="G422" s="133"/>
      <c r="H422" s="50"/>
      <c r="I422" s="51" t="str">
        <f t="shared" si="19"/>
        <v/>
      </c>
      <c r="J422" s="52" t="str">
        <f t="shared" si="20"/>
        <v/>
      </c>
      <c r="K422" s="142" t="str">
        <f>IF(OR($I422="",$I422="?",$D422&lt;&gt;"Advance",$B422=""),"",$I422&amp;"|"&amp;$J422&amp;"|"&amp;COUNTIFS($I$7:$I422,$I422,$J$7:$J422,$J422,$D$7:$D422,"Advance"))</f>
        <v/>
      </c>
      <c r="L422" s="143" t="str">
        <f>IF(OR($I422="",$I422="?",$B422=""),"",SUMPRODUCT((Weeks!$A$7:$A$59&lt;=$J422)*(Weeks!$X$5:$AI$5=$I422)*Weeks!$X$7:$AI$59)-SUMIFS($E$7:$E$1006,$I$7:$I$1006,$I422,$B$7:$B$1006,"&lt;="&amp;$B422))</f>
        <v/>
      </c>
      <c r="M422" s="132" t="str">
        <f>IF($B422&amp;$C422&amp;$D422&amp;$E422="","",IF($B422="","missing date",IF($C422="","missing worker",IF($I422="?","unknown worker - was the name changed on Workers?",IF($D422="","missing type",IF(N($E422)=0,"missing amount",IF(AND($E422&lt;0,$D422&lt;&gt;"Correction"),"negative amount - use a Correction to undo",IF(OR($B422&lt;Weeks!$A$7,$B422&gt;Weeks!$B$59),"date outside this workbook's year",IF(AND($D422="Advance",N($L422)&lt;0),"Warning: more than earned so far - worker now owes "&amp;TEXT(ROUND(-$L422,0),"#,##0"),"")))))))))</f>
        <v/>
      </c>
      <c r="N422" s="125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</row>
    <row r="423" spans="1:40" s="127" customFormat="1" ht="21" customHeight="1" x14ac:dyDescent="0.25">
      <c r="A423" s="51" t="str">
        <f t="shared" si="18"/>
        <v/>
      </c>
      <c r="B423" s="77"/>
      <c r="C423" s="133"/>
      <c r="D423" s="50"/>
      <c r="E423" s="141"/>
      <c r="F423" s="133"/>
      <c r="G423" s="133"/>
      <c r="H423" s="50"/>
      <c r="I423" s="51" t="str">
        <f t="shared" si="19"/>
        <v/>
      </c>
      <c r="J423" s="52" t="str">
        <f t="shared" si="20"/>
        <v/>
      </c>
      <c r="K423" s="142" t="str">
        <f>IF(OR($I423="",$I423="?",$D423&lt;&gt;"Advance",$B423=""),"",$I423&amp;"|"&amp;$J423&amp;"|"&amp;COUNTIFS($I$7:$I423,$I423,$J$7:$J423,$J423,$D$7:$D423,"Advance"))</f>
        <v/>
      </c>
      <c r="L423" s="143" t="str">
        <f>IF(OR($I423="",$I423="?",$B423=""),"",SUMPRODUCT((Weeks!$A$7:$A$59&lt;=$J423)*(Weeks!$X$5:$AI$5=$I423)*Weeks!$X$7:$AI$59)-SUMIFS($E$7:$E$1006,$I$7:$I$1006,$I423,$B$7:$B$1006,"&lt;="&amp;$B423))</f>
        <v/>
      </c>
      <c r="M423" s="132" t="str">
        <f>IF($B423&amp;$C423&amp;$D423&amp;$E423="","",IF($B423="","missing date",IF($C423="","missing worker",IF($I423="?","unknown worker - was the name changed on Workers?",IF($D423="","missing type",IF(N($E423)=0,"missing amount",IF(AND($E423&lt;0,$D423&lt;&gt;"Correction"),"negative amount - use a Correction to undo",IF(OR($B423&lt;Weeks!$A$7,$B423&gt;Weeks!$B$59),"date outside this workbook's year",IF(AND($D423="Advance",N($L423)&lt;0),"Warning: more than earned so far - worker now owes "&amp;TEXT(ROUND(-$L423,0),"#,##0"),"")))))))))</f>
        <v/>
      </c>
      <c r="N423" s="125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</row>
    <row r="424" spans="1:40" s="127" customFormat="1" ht="21" customHeight="1" x14ac:dyDescent="0.25">
      <c r="A424" s="51" t="str">
        <f t="shared" si="18"/>
        <v/>
      </c>
      <c r="B424" s="77"/>
      <c r="C424" s="133"/>
      <c r="D424" s="50"/>
      <c r="E424" s="141"/>
      <c r="F424" s="133"/>
      <c r="G424" s="133"/>
      <c r="H424" s="50"/>
      <c r="I424" s="51" t="str">
        <f t="shared" si="19"/>
        <v/>
      </c>
      <c r="J424" s="52" t="str">
        <f t="shared" si="20"/>
        <v/>
      </c>
      <c r="K424" s="142" t="str">
        <f>IF(OR($I424="",$I424="?",$D424&lt;&gt;"Advance",$B424=""),"",$I424&amp;"|"&amp;$J424&amp;"|"&amp;COUNTIFS($I$7:$I424,$I424,$J$7:$J424,$J424,$D$7:$D424,"Advance"))</f>
        <v/>
      </c>
      <c r="L424" s="143" t="str">
        <f>IF(OR($I424="",$I424="?",$B424=""),"",SUMPRODUCT((Weeks!$A$7:$A$59&lt;=$J424)*(Weeks!$X$5:$AI$5=$I424)*Weeks!$X$7:$AI$59)-SUMIFS($E$7:$E$1006,$I$7:$I$1006,$I424,$B$7:$B$1006,"&lt;="&amp;$B424))</f>
        <v/>
      </c>
      <c r="M424" s="132" t="str">
        <f>IF($B424&amp;$C424&amp;$D424&amp;$E424="","",IF($B424="","missing date",IF($C424="","missing worker",IF($I424="?","unknown worker - was the name changed on Workers?",IF($D424="","missing type",IF(N($E424)=0,"missing amount",IF(AND($E424&lt;0,$D424&lt;&gt;"Correction"),"negative amount - use a Correction to undo",IF(OR($B424&lt;Weeks!$A$7,$B424&gt;Weeks!$B$59),"date outside this workbook's year",IF(AND($D424="Advance",N($L424)&lt;0),"Warning: more than earned so far - worker now owes "&amp;TEXT(ROUND(-$L424,0),"#,##0"),"")))))))))</f>
        <v/>
      </c>
      <c r="N424" s="125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</row>
    <row r="425" spans="1:40" s="127" customFormat="1" ht="21" customHeight="1" x14ac:dyDescent="0.25">
      <c r="A425" s="51" t="str">
        <f t="shared" si="18"/>
        <v/>
      </c>
      <c r="B425" s="77"/>
      <c r="C425" s="133"/>
      <c r="D425" s="50"/>
      <c r="E425" s="141"/>
      <c r="F425" s="133"/>
      <c r="G425" s="133"/>
      <c r="H425" s="50"/>
      <c r="I425" s="51" t="str">
        <f t="shared" si="19"/>
        <v/>
      </c>
      <c r="J425" s="52" t="str">
        <f t="shared" si="20"/>
        <v/>
      </c>
      <c r="K425" s="142" t="str">
        <f>IF(OR($I425="",$I425="?",$D425&lt;&gt;"Advance",$B425=""),"",$I425&amp;"|"&amp;$J425&amp;"|"&amp;COUNTIFS($I$7:$I425,$I425,$J$7:$J425,$J425,$D$7:$D425,"Advance"))</f>
        <v/>
      </c>
      <c r="L425" s="143" t="str">
        <f>IF(OR($I425="",$I425="?",$B425=""),"",SUMPRODUCT((Weeks!$A$7:$A$59&lt;=$J425)*(Weeks!$X$5:$AI$5=$I425)*Weeks!$X$7:$AI$59)-SUMIFS($E$7:$E$1006,$I$7:$I$1006,$I425,$B$7:$B$1006,"&lt;="&amp;$B425))</f>
        <v/>
      </c>
      <c r="M425" s="132" t="str">
        <f>IF($B425&amp;$C425&amp;$D425&amp;$E425="","",IF($B425="","missing date",IF($C425="","missing worker",IF($I425="?","unknown worker - was the name changed on Workers?",IF($D425="","missing type",IF(N($E425)=0,"missing amount",IF(AND($E425&lt;0,$D425&lt;&gt;"Correction"),"negative amount - use a Correction to undo",IF(OR($B425&lt;Weeks!$A$7,$B425&gt;Weeks!$B$59),"date outside this workbook's year",IF(AND($D425="Advance",N($L425)&lt;0),"Warning: more than earned so far - worker now owes "&amp;TEXT(ROUND(-$L425,0),"#,##0"),"")))))))))</f>
        <v/>
      </c>
      <c r="N425" s="125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</row>
    <row r="426" spans="1:40" s="127" customFormat="1" ht="21" customHeight="1" x14ac:dyDescent="0.25">
      <c r="A426" s="51" t="str">
        <f t="shared" si="18"/>
        <v/>
      </c>
      <c r="B426" s="77"/>
      <c r="C426" s="133"/>
      <c r="D426" s="50"/>
      <c r="E426" s="141"/>
      <c r="F426" s="133"/>
      <c r="G426" s="133"/>
      <c r="H426" s="50"/>
      <c r="I426" s="51" t="str">
        <f t="shared" si="19"/>
        <v/>
      </c>
      <c r="J426" s="52" t="str">
        <f t="shared" si="20"/>
        <v/>
      </c>
      <c r="K426" s="142" t="str">
        <f>IF(OR($I426="",$I426="?",$D426&lt;&gt;"Advance",$B426=""),"",$I426&amp;"|"&amp;$J426&amp;"|"&amp;COUNTIFS($I$7:$I426,$I426,$J$7:$J426,$J426,$D$7:$D426,"Advance"))</f>
        <v/>
      </c>
      <c r="L426" s="143" t="str">
        <f>IF(OR($I426="",$I426="?",$B426=""),"",SUMPRODUCT((Weeks!$A$7:$A$59&lt;=$J426)*(Weeks!$X$5:$AI$5=$I426)*Weeks!$X$7:$AI$59)-SUMIFS($E$7:$E$1006,$I$7:$I$1006,$I426,$B$7:$B$1006,"&lt;="&amp;$B426))</f>
        <v/>
      </c>
      <c r="M426" s="132" t="str">
        <f>IF($B426&amp;$C426&amp;$D426&amp;$E426="","",IF($B426="","missing date",IF($C426="","missing worker",IF($I426="?","unknown worker - was the name changed on Workers?",IF($D426="","missing type",IF(N($E426)=0,"missing amount",IF(AND($E426&lt;0,$D426&lt;&gt;"Correction"),"negative amount - use a Correction to undo",IF(OR($B426&lt;Weeks!$A$7,$B426&gt;Weeks!$B$59),"date outside this workbook's year",IF(AND($D426="Advance",N($L426)&lt;0),"Warning: more than earned so far - worker now owes "&amp;TEXT(ROUND(-$L426,0),"#,##0"),"")))))))))</f>
        <v/>
      </c>
      <c r="N426" s="125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</row>
    <row r="427" spans="1:40" s="127" customFormat="1" ht="21" customHeight="1" x14ac:dyDescent="0.25">
      <c r="A427" s="51" t="str">
        <f t="shared" si="18"/>
        <v/>
      </c>
      <c r="B427" s="77"/>
      <c r="C427" s="133"/>
      <c r="D427" s="50"/>
      <c r="E427" s="141"/>
      <c r="F427" s="133"/>
      <c r="G427" s="133"/>
      <c r="H427" s="50"/>
      <c r="I427" s="51" t="str">
        <f t="shared" si="19"/>
        <v/>
      </c>
      <c r="J427" s="52" t="str">
        <f t="shared" si="20"/>
        <v/>
      </c>
      <c r="K427" s="142" t="str">
        <f>IF(OR($I427="",$I427="?",$D427&lt;&gt;"Advance",$B427=""),"",$I427&amp;"|"&amp;$J427&amp;"|"&amp;COUNTIFS($I$7:$I427,$I427,$J$7:$J427,$J427,$D$7:$D427,"Advance"))</f>
        <v/>
      </c>
      <c r="L427" s="143" t="str">
        <f>IF(OR($I427="",$I427="?",$B427=""),"",SUMPRODUCT((Weeks!$A$7:$A$59&lt;=$J427)*(Weeks!$X$5:$AI$5=$I427)*Weeks!$X$7:$AI$59)-SUMIFS($E$7:$E$1006,$I$7:$I$1006,$I427,$B$7:$B$1006,"&lt;="&amp;$B427))</f>
        <v/>
      </c>
      <c r="M427" s="132" t="str">
        <f>IF($B427&amp;$C427&amp;$D427&amp;$E427="","",IF($B427="","missing date",IF($C427="","missing worker",IF($I427="?","unknown worker - was the name changed on Workers?",IF($D427="","missing type",IF(N($E427)=0,"missing amount",IF(AND($E427&lt;0,$D427&lt;&gt;"Correction"),"negative amount - use a Correction to undo",IF(OR($B427&lt;Weeks!$A$7,$B427&gt;Weeks!$B$59),"date outside this workbook's year",IF(AND($D427="Advance",N($L427)&lt;0),"Warning: more than earned so far - worker now owes "&amp;TEXT(ROUND(-$L427,0),"#,##0"),"")))))))))</f>
        <v/>
      </c>
      <c r="N427" s="125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</row>
    <row r="428" spans="1:40" s="127" customFormat="1" ht="21" customHeight="1" x14ac:dyDescent="0.25">
      <c r="A428" s="51" t="str">
        <f t="shared" si="18"/>
        <v/>
      </c>
      <c r="B428" s="77"/>
      <c r="C428" s="133"/>
      <c r="D428" s="50"/>
      <c r="E428" s="141"/>
      <c r="F428" s="133"/>
      <c r="G428" s="133"/>
      <c r="H428" s="50"/>
      <c r="I428" s="51" t="str">
        <f t="shared" si="19"/>
        <v/>
      </c>
      <c r="J428" s="52" t="str">
        <f t="shared" si="20"/>
        <v/>
      </c>
      <c r="K428" s="142" t="str">
        <f>IF(OR($I428="",$I428="?",$D428&lt;&gt;"Advance",$B428=""),"",$I428&amp;"|"&amp;$J428&amp;"|"&amp;COUNTIFS($I$7:$I428,$I428,$J$7:$J428,$J428,$D$7:$D428,"Advance"))</f>
        <v/>
      </c>
      <c r="L428" s="143" t="str">
        <f>IF(OR($I428="",$I428="?",$B428=""),"",SUMPRODUCT((Weeks!$A$7:$A$59&lt;=$J428)*(Weeks!$X$5:$AI$5=$I428)*Weeks!$X$7:$AI$59)-SUMIFS($E$7:$E$1006,$I$7:$I$1006,$I428,$B$7:$B$1006,"&lt;="&amp;$B428))</f>
        <v/>
      </c>
      <c r="M428" s="132" t="str">
        <f>IF($B428&amp;$C428&amp;$D428&amp;$E428="","",IF($B428="","missing date",IF($C428="","missing worker",IF($I428="?","unknown worker - was the name changed on Workers?",IF($D428="","missing type",IF(N($E428)=0,"missing amount",IF(AND($E428&lt;0,$D428&lt;&gt;"Correction"),"negative amount - use a Correction to undo",IF(OR($B428&lt;Weeks!$A$7,$B428&gt;Weeks!$B$59),"date outside this workbook's year",IF(AND($D428="Advance",N($L428)&lt;0),"Warning: more than earned so far - worker now owes "&amp;TEXT(ROUND(-$L428,0),"#,##0"),"")))))))))</f>
        <v/>
      </c>
      <c r="N428" s="125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</row>
    <row r="429" spans="1:40" s="127" customFormat="1" ht="21" customHeight="1" x14ac:dyDescent="0.25">
      <c r="A429" s="51" t="str">
        <f t="shared" si="18"/>
        <v/>
      </c>
      <c r="B429" s="77"/>
      <c r="C429" s="133"/>
      <c r="D429" s="50"/>
      <c r="E429" s="141"/>
      <c r="F429" s="133"/>
      <c r="G429" s="133"/>
      <c r="H429" s="50"/>
      <c r="I429" s="51" t="str">
        <f t="shared" si="19"/>
        <v/>
      </c>
      <c r="J429" s="52" t="str">
        <f t="shared" si="20"/>
        <v/>
      </c>
      <c r="K429" s="142" t="str">
        <f>IF(OR($I429="",$I429="?",$D429&lt;&gt;"Advance",$B429=""),"",$I429&amp;"|"&amp;$J429&amp;"|"&amp;COUNTIFS($I$7:$I429,$I429,$J$7:$J429,$J429,$D$7:$D429,"Advance"))</f>
        <v/>
      </c>
      <c r="L429" s="143" t="str">
        <f>IF(OR($I429="",$I429="?",$B429=""),"",SUMPRODUCT((Weeks!$A$7:$A$59&lt;=$J429)*(Weeks!$X$5:$AI$5=$I429)*Weeks!$X$7:$AI$59)-SUMIFS($E$7:$E$1006,$I$7:$I$1006,$I429,$B$7:$B$1006,"&lt;="&amp;$B429))</f>
        <v/>
      </c>
      <c r="M429" s="132" t="str">
        <f>IF($B429&amp;$C429&amp;$D429&amp;$E429="","",IF($B429="","missing date",IF($C429="","missing worker",IF($I429="?","unknown worker - was the name changed on Workers?",IF($D429="","missing type",IF(N($E429)=0,"missing amount",IF(AND($E429&lt;0,$D429&lt;&gt;"Correction"),"negative amount - use a Correction to undo",IF(OR($B429&lt;Weeks!$A$7,$B429&gt;Weeks!$B$59),"date outside this workbook's year",IF(AND($D429="Advance",N($L429)&lt;0),"Warning: more than earned so far - worker now owes "&amp;TEXT(ROUND(-$L429,0),"#,##0"),"")))))))))</f>
        <v/>
      </c>
      <c r="N429" s="125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</row>
    <row r="430" spans="1:40" s="127" customFormat="1" ht="21" customHeight="1" x14ac:dyDescent="0.25">
      <c r="A430" s="51" t="str">
        <f t="shared" si="18"/>
        <v/>
      </c>
      <c r="B430" s="77"/>
      <c r="C430" s="133"/>
      <c r="D430" s="50"/>
      <c r="E430" s="141"/>
      <c r="F430" s="133"/>
      <c r="G430" s="133"/>
      <c r="H430" s="50"/>
      <c r="I430" s="51" t="str">
        <f t="shared" si="19"/>
        <v/>
      </c>
      <c r="J430" s="52" t="str">
        <f t="shared" si="20"/>
        <v/>
      </c>
      <c r="K430" s="142" t="str">
        <f>IF(OR($I430="",$I430="?",$D430&lt;&gt;"Advance",$B430=""),"",$I430&amp;"|"&amp;$J430&amp;"|"&amp;COUNTIFS($I$7:$I430,$I430,$J$7:$J430,$J430,$D$7:$D430,"Advance"))</f>
        <v/>
      </c>
      <c r="L430" s="143" t="str">
        <f>IF(OR($I430="",$I430="?",$B430=""),"",SUMPRODUCT((Weeks!$A$7:$A$59&lt;=$J430)*(Weeks!$X$5:$AI$5=$I430)*Weeks!$X$7:$AI$59)-SUMIFS($E$7:$E$1006,$I$7:$I$1006,$I430,$B$7:$B$1006,"&lt;="&amp;$B430))</f>
        <v/>
      </c>
      <c r="M430" s="132" t="str">
        <f>IF($B430&amp;$C430&amp;$D430&amp;$E430="","",IF($B430="","missing date",IF($C430="","missing worker",IF($I430="?","unknown worker - was the name changed on Workers?",IF($D430="","missing type",IF(N($E430)=0,"missing amount",IF(AND($E430&lt;0,$D430&lt;&gt;"Correction"),"negative amount - use a Correction to undo",IF(OR($B430&lt;Weeks!$A$7,$B430&gt;Weeks!$B$59),"date outside this workbook's year",IF(AND($D430="Advance",N($L430)&lt;0),"Warning: more than earned so far - worker now owes "&amp;TEXT(ROUND(-$L430,0),"#,##0"),"")))))))))</f>
        <v/>
      </c>
      <c r="N430" s="125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</row>
    <row r="431" spans="1:40" s="127" customFormat="1" ht="21" customHeight="1" x14ac:dyDescent="0.25">
      <c r="A431" s="51" t="str">
        <f t="shared" si="18"/>
        <v/>
      </c>
      <c r="B431" s="77"/>
      <c r="C431" s="133"/>
      <c r="D431" s="50"/>
      <c r="E431" s="141"/>
      <c r="F431" s="133"/>
      <c r="G431" s="133"/>
      <c r="H431" s="50"/>
      <c r="I431" s="51" t="str">
        <f t="shared" si="19"/>
        <v/>
      </c>
      <c r="J431" s="52" t="str">
        <f t="shared" si="20"/>
        <v/>
      </c>
      <c r="K431" s="142" t="str">
        <f>IF(OR($I431="",$I431="?",$D431&lt;&gt;"Advance",$B431=""),"",$I431&amp;"|"&amp;$J431&amp;"|"&amp;COUNTIFS($I$7:$I431,$I431,$J$7:$J431,$J431,$D$7:$D431,"Advance"))</f>
        <v/>
      </c>
      <c r="L431" s="143" t="str">
        <f>IF(OR($I431="",$I431="?",$B431=""),"",SUMPRODUCT((Weeks!$A$7:$A$59&lt;=$J431)*(Weeks!$X$5:$AI$5=$I431)*Weeks!$X$7:$AI$59)-SUMIFS($E$7:$E$1006,$I$7:$I$1006,$I431,$B$7:$B$1006,"&lt;="&amp;$B431))</f>
        <v/>
      </c>
      <c r="M431" s="132" t="str">
        <f>IF($B431&amp;$C431&amp;$D431&amp;$E431="","",IF($B431="","missing date",IF($C431="","missing worker",IF($I431="?","unknown worker - was the name changed on Workers?",IF($D431="","missing type",IF(N($E431)=0,"missing amount",IF(AND($E431&lt;0,$D431&lt;&gt;"Correction"),"negative amount - use a Correction to undo",IF(OR($B431&lt;Weeks!$A$7,$B431&gt;Weeks!$B$59),"date outside this workbook's year",IF(AND($D431="Advance",N($L431)&lt;0),"Warning: more than earned so far - worker now owes "&amp;TEXT(ROUND(-$L431,0),"#,##0"),"")))))))))</f>
        <v/>
      </c>
      <c r="N431" s="125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</row>
    <row r="432" spans="1:40" s="127" customFormat="1" ht="21" customHeight="1" x14ac:dyDescent="0.25">
      <c r="A432" s="51" t="str">
        <f t="shared" si="18"/>
        <v/>
      </c>
      <c r="B432" s="77"/>
      <c r="C432" s="133"/>
      <c r="D432" s="50"/>
      <c r="E432" s="141"/>
      <c r="F432" s="133"/>
      <c r="G432" s="133"/>
      <c r="H432" s="50"/>
      <c r="I432" s="51" t="str">
        <f t="shared" si="19"/>
        <v/>
      </c>
      <c r="J432" s="52" t="str">
        <f t="shared" si="20"/>
        <v/>
      </c>
      <c r="K432" s="142" t="str">
        <f>IF(OR($I432="",$I432="?",$D432&lt;&gt;"Advance",$B432=""),"",$I432&amp;"|"&amp;$J432&amp;"|"&amp;COUNTIFS($I$7:$I432,$I432,$J$7:$J432,$J432,$D$7:$D432,"Advance"))</f>
        <v/>
      </c>
      <c r="L432" s="143" t="str">
        <f>IF(OR($I432="",$I432="?",$B432=""),"",SUMPRODUCT((Weeks!$A$7:$A$59&lt;=$J432)*(Weeks!$X$5:$AI$5=$I432)*Weeks!$X$7:$AI$59)-SUMIFS($E$7:$E$1006,$I$7:$I$1006,$I432,$B$7:$B$1006,"&lt;="&amp;$B432))</f>
        <v/>
      </c>
      <c r="M432" s="132" t="str">
        <f>IF($B432&amp;$C432&amp;$D432&amp;$E432="","",IF($B432="","missing date",IF($C432="","missing worker",IF($I432="?","unknown worker - was the name changed on Workers?",IF($D432="","missing type",IF(N($E432)=0,"missing amount",IF(AND($E432&lt;0,$D432&lt;&gt;"Correction"),"negative amount - use a Correction to undo",IF(OR($B432&lt;Weeks!$A$7,$B432&gt;Weeks!$B$59),"date outside this workbook's year",IF(AND($D432="Advance",N($L432)&lt;0),"Warning: more than earned so far - worker now owes "&amp;TEXT(ROUND(-$L432,0),"#,##0"),"")))))))))</f>
        <v/>
      </c>
      <c r="N432" s="125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</row>
    <row r="433" spans="1:40" s="127" customFormat="1" ht="21" customHeight="1" x14ac:dyDescent="0.25">
      <c r="A433" s="51" t="str">
        <f t="shared" si="18"/>
        <v/>
      </c>
      <c r="B433" s="77"/>
      <c r="C433" s="133"/>
      <c r="D433" s="50"/>
      <c r="E433" s="141"/>
      <c r="F433" s="133"/>
      <c r="G433" s="133"/>
      <c r="H433" s="50"/>
      <c r="I433" s="51" t="str">
        <f t="shared" si="19"/>
        <v/>
      </c>
      <c r="J433" s="52" t="str">
        <f t="shared" si="20"/>
        <v/>
      </c>
      <c r="K433" s="142" t="str">
        <f>IF(OR($I433="",$I433="?",$D433&lt;&gt;"Advance",$B433=""),"",$I433&amp;"|"&amp;$J433&amp;"|"&amp;COUNTIFS($I$7:$I433,$I433,$J$7:$J433,$J433,$D$7:$D433,"Advance"))</f>
        <v/>
      </c>
      <c r="L433" s="143" t="str">
        <f>IF(OR($I433="",$I433="?",$B433=""),"",SUMPRODUCT((Weeks!$A$7:$A$59&lt;=$J433)*(Weeks!$X$5:$AI$5=$I433)*Weeks!$X$7:$AI$59)-SUMIFS($E$7:$E$1006,$I$7:$I$1006,$I433,$B$7:$B$1006,"&lt;="&amp;$B433))</f>
        <v/>
      </c>
      <c r="M433" s="132" t="str">
        <f>IF($B433&amp;$C433&amp;$D433&amp;$E433="","",IF($B433="","missing date",IF($C433="","missing worker",IF($I433="?","unknown worker - was the name changed on Workers?",IF($D433="","missing type",IF(N($E433)=0,"missing amount",IF(AND($E433&lt;0,$D433&lt;&gt;"Correction"),"negative amount - use a Correction to undo",IF(OR($B433&lt;Weeks!$A$7,$B433&gt;Weeks!$B$59),"date outside this workbook's year",IF(AND($D433="Advance",N($L433)&lt;0),"Warning: more than earned so far - worker now owes "&amp;TEXT(ROUND(-$L433,0),"#,##0"),"")))))))))</f>
        <v/>
      </c>
      <c r="N433" s="125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</row>
    <row r="434" spans="1:40" s="127" customFormat="1" ht="21" customHeight="1" x14ac:dyDescent="0.25">
      <c r="A434" s="51" t="str">
        <f t="shared" si="18"/>
        <v/>
      </c>
      <c r="B434" s="77"/>
      <c r="C434" s="133"/>
      <c r="D434" s="50"/>
      <c r="E434" s="141"/>
      <c r="F434" s="133"/>
      <c r="G434" s="133"/>
      <c r="H434" s="50"/>
      <c r="I434" s="51" t="str">
        <f t="shared" si="19"/>
        <v/>
      </c>
      <c r="J434" s="52" t="str">
        <f t="shared" si="20"/>
        <v/>
      </c>
      <c r="K434" s="142" t="str">
        <f>IF(OR($I434="",$I434="?",$D434&lt;&gt;"Advance",$B434=""),"",$I434&amp;"|"&amp;$J434&amp;"|"&amp;COUNTIFS($I$7:$I434,$I434,$J$7:$J434,$J434,$D$7:$D434,"Advance"))</f>
        <v/>
      </c>
      <c r="L434" s="143" t="str">
        <f>IF(OR($I434="",$I434="?",$B434=""),"",SUMPRODUCT((Weeks!$A$7:$A$59&lt;=$J434)*(Weeks!$X$5:$AI$5=$I434)*Weeks!$X$7:$AI$59)-SUMIFS($E$7:$E$1006,$I$7:$I$1006,$I434,$B$7:$B$1006,"&lt;="&amp;$B434))</f>
        <v/>
      </c>
      <c r="M434" s="132" t="str">
        <f>IF($B434&amp;$C434&amp;$D434&amp;$E434="","",IF($B434="","missing date",IF($C434="","missing worker",IF($I434="?","unknown worker - was the name changed on Workers?",IF($D434="","missing type",IF(N($E434)=0,"missing amount",IF(AND($E434&lt;0,$D434&lt;&gt;"Correction"),"negative amount - use a Correction to undo",IF(OR($B434&lt;Weeks!$A$7,$B434&gt;Weeks!$B$59),"date outside this workbook's year",IF(AND($D434="Advance",N($L434)&lt;0),"Warning: more than earned so far - worker now owes "&amp;TEXT(ROUND(-$L434,0),"#,##0"),"")))))))))</f>
        <v/>
      </c>
      <c r="N434" s="125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</row>
    <row r="435" spans="1:40" s="127" customFormat="1" ht="21" customHeight="1" x14ac:dyDescent="0.25">
      <c r="A435" s="51" t="str">
        <f t="shared" si="18"/>
        <v/>
      </c>
      <c r="B435" s="77"/>
      <c r="C435" s="133"/>
      <c r="D435" s="50"/>
      <c r="E435" s="141"/>
      <c r="F435" s="133"/>
      <c r="G435" s="133"/>
      <c r="H435" s="50"/>
      <c r="I435" s="51" t="str">
        <f t="shared" si="19"/>
        <v/>
      </c>
      <c r="J435" s="52" t="str">
        <f t="shared" si="20"/>
        <v/>
      </c>
      <c r="K435" s="142" t="str">
        <f>IF(OR($I435="",$I435="?",$D435&lt;&gt;"Advance",$B435=""),"",$I435&amp;"|"&amp;$J435&amp;"|"&amp;COUNTIFS($I$7:$I435,$I435,$J$7:$J435,$J435,$D$7:$D435,"Advance"))</f>
        <v/>
      </c>
      <c r="L435" s="143" t="str">
        <f>IF(OR($I435="",$I435="?",$B435=""),"",SUMPRODUCT((Weeks!$A$7:$A$59&lt;=$J435)*(Weeks!$X$5:$AI$5=$I435)*Weeks!$X$7:$AI$59)-SUMIFS($E$7:$E$1006,$I$7:$I$1006,$I435,$B$7:$B$1006,"&lt;="&amp;$B435))</f>
        <v/>
      </c>
      <c r="M435" s="132" t="str">
        <f>IF($B435&amp;$C435&amp;$D435&amp;$E435="","",IF($B435="","missing date",IF($C435="","missing worker",IF($I435="?","unknown worker - was the name changed on Workers?",IF($D435="","missing type",IF(N($E435)=0,"missing amount",IF(AND($E435&lt;0,$D435&lt;&gt;"Correction"),"negative amount - use a Correction to undo",IF(OR($B435&lt;Weeks!$A$7,$B435&gt;Weeks!$B$59),"date outside this workbook's year",IF(AND($D435="Advance",N($L435)&lt;0),"Warning: more than earned so far - worker now owes "&amp;TEXT(ROUND(-$L435,0),"#,##0"),"")))))))))</f>
        <v/>
      </c>
      <c r="N435" s="125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</row>
    <row r="436" spans="1:40" s="127" customFormat="1" ht="21" customHeight="1" x14ac:dyDescent="0.25">
      <c r="A436" s="51" t="str">
        <f t="shared" si="18"/>
        <v/>
      </c>
      <c r="B436" s="77"/>
      <c r="C436" s="133"/>
      <c r="D436" s="50"/>
      <c r="E436" s="141"/>
      <c r="F436" s="133"/>
      <c r="G436" s="133"/>
      <c r="H436" s="50"/>
      <c r="I436" s="51" t="str">
        <f t="shared" si="19"/>
        <v/>
      </c>
      <c r="J436" s="52" t="str">
        <f t="shared" si="20"/>
        <v/>
      </c>
      <c r="K436" s="142" t="str">
        <f>IF(OR($I436="",$I436="?",$D436&lt;&gt;"Advance",$B436=""),"",$I436&amp;"|"&amp;$J436&amp;"|"&amp;COUNTIFS($I$7:$I436,$I436,$J$7:$J436,$J436,$D$7:$D436,"Advance"))</f>
        <v/>
      </c>
      <c r="L436" s="143" t="str">
        <f>IF(OR($I436="",$I436="?",$B436=""),"",SUMPRODUCT((Weeks!$A$7:$A$59&lt;=$J436)*(Weeks!$X$5:$AI$5=$I436)*Weeks!$X$7:$AI$59)-SUMIFS($E$7:$E$1006,$I$7:$I$1006,$I436,$B$7:$B$1006,"&lt;="&amp;$B436))</f>
        <v/>
      </c>
      <c r="M436" s="132" t="str">
        <f>IF($B436&amp;$C436&amp;$D436&amp;$E436="","",IF($B436="","missing date",IF($C436="","missing worker",IF($I436="?","unknown worker - was the name changed on Workers?",IF($D436="","missing type",IF(N($E436)=0,"missing amount",IF(AND($E436&lt;0,$D436&lt;&gt;"Correction"),"negative amount - use a Correction to undo",IF(OR($B436&lt;Weeks!$A$7,$B436&gt;Weeks!$B$59),"date outside this workbook's year",IF(AND($D436="Advance",N($L436)&lt;0),"Warning: more than earned so far - worker now owes "&amp;TEXT(ROUND(-$L436,0),"#,##0"),"")))))))))</f>
        <v/>
      </c>
      <c r="N436" s="125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</row>
    <row r="437" spans="1:40" s="127" customFormat="1" ht="21" customHeight="1" x14ac:dyDescent="0.25">
      <c r="A437" s="51" t="str">
        <f t="shared" si="18"/>
        <v/>
      </c>
      <c r="B437" s="77"/>
      <c r="C437" s="133"/>
      <c r="D437" s="50"/>
      <c r="E437" s="141"/>
      <c r="F437" s="133"/>
      <c r="G437" s="133"/>
      <c r="H437" s="50"/>
      <c r="I437" s="51" t="str">
        <f t="shared" si="19"/>
        <v/>
      </c>
      <c r="J437" s="52" t="str">
        <f t="shared" si="20"/>
        <v/>
      </c>
      <c r="K437" s="142" t="str">
        <f>IF(OR($I437="",$I437="?",$D437&lt;&gt;"Advance",$B437=""),"",$I437&amp;"|"&amp;$J437&amp;"|"&amp;COUNTIFS($I$7:$I437,$I437,$J$7:$J437,$J437,$D$7:$D437,"Advance"))</f>
        <v/>
      </c>
      <c r="L437" s="143" t="str">
        <f>IF(OR($I437="",$I437="?",$B437=""),"",SUMPRODUCT((Weeks!$A$7:$A$59&lt;=$J437)*(Weeks!$X$5:$AI$5=$I437)*Weeks!$X$7:$AI$59)-SUMIFS($E$7:$E$1006,$I$7:$I$1006,$I437,$B$7:$B$1006,"&lt;="&amp;$B437))</f>
        <v/>
      </c>
      <c r="M437" s="132" t="str">
        <f>IF($B437&amp;$C437&amp;$D437&amp;$E437="","",IF($B437="","missing date",IF($C437="","missing worker",IF($I437="?","unknown worker - was the name changed on Workers?",IF($D437="","missing type",IF(N($E437)=0,"missing amount",IF(AND($E437&lt;0,$D437&lt;&gt;"Correction"),"negative amount - use a Correction to undo",IF(OR($B437&lt;Weeks!$A$7,$B437&gt;Weeks!$B$59),"date outside this workbook's year",IF(AND($D437="Advance",N($L437)&lt;0),"Warning: more than earned so far - worker now owes "&amp;TEXT(ROUND(-$L437,0),"#,##0"),"")))))))))</f>
        <v/>
      </c>
      <c r="N437" s="125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</row>
    <row r="438" spans="1:40" s="127" customFormat="1" ht="21" customHeight="1" x14ac:dyDescent="0.25">
      <c r="A438" s="51" t="str">
        <f t="shared" si="18"/>
        <v/>
      </c>
      <c r="B438" s="77"/>
      <c r="C438" s="133"/>
      <c r="D438" s="50"/>
      <c r="E438" s="141"/>
      <c r="F438" s="133"/>
      <c r="G438" s="133"/>
      <c r="H438" s="50"/>
      <c r="I438" s="51" t="str">
        <f t="shared" si="19"/>
        <v/>
      </c>
      <c r="J438" s="52" t="str">
        <f t="shared" si="20"/>
        <v/>
      </c>
      <c r="K438" s="142" t="str">
        <f>IF(OR($I438="",$I438="?",$D438&lt;&gt;"Advance",$B438=""),"",$I438&amp;"|"&amp;$J438&amp;"|"&amp;COUNTIFS($I$7:$I438,$I438,$J$7:$J438,$J438,$D$7:$D438,"Advance"))</f>
        <v/>
      </c>
      <c r="L438" s="143" t="str">
        <f>IF(OR($I438="",$I438="?",$B438=""),"",SUMPRODUCT((Weeks!$A$7:$A$59&lt;=$J438)*(Weeks!$X$5:$AI$5=$I438)*Weeks!$X$7:$AI$59)-SUMIFS($E$7:$E$1006,$I$7:$I$1006,$I438,$B$7:$B$1006,"&lt;="&amp;$B438))</f>
        <v/>
      </c>
      <c r="M438" s="132" t="str">
        <f>IF($B438&amp;$C438&amp;$D438&amp;$E438="","",IF($B438="","missing date",IF($C438="","missing worker",IF($I438="?","unknown worker - was the name changed on Workers?",IF($D438="","missing type",IF(N($E438)=0,"missing amount",IF(AND($E438&lt;0,$D438&lt;&gt;"Correction"),"negative amount - use a Correction to undo",IF(OR($B438&lt;Weeks!$A$7,$B438&gt;Weeks!$B$59),"date outside this workbook's year",IF(AND($D438="Advance",N($L438)&lt;0),"Warning: more than earned so far - worker now owes "&amp;TEXT(ROUND(-$L438,0),"#,##0"),"")))))))))</f>
        <v/>
      </c>
      <c r="N438" s="125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</row>
    <row r="439" spans="1:40" s="127" customFormat="1" ht="21" customHeight="1" x14ac:dyDescent="0.25">
      <c r="A439" s="51" t="str">
        <f t="shared" si="18"/>
        <v/>
      </c>
      <c r="B439" s="77"/>
      <c r="C439" s="133"/>
      <c r="D439" s="50"/>
      <c r="E439" s="141"/>
      <c r="F439" s="133"/>
      <c r="G439" s="133"/>
      <c r="H439" s="50"/>
      <c r="I439" s="51" t="str">
        <f t="shared" si="19"/>
        <v/>
      </c>
      <c r="J439" s="52" t="str">
        <f t="shared" si="20"/>
        <v/>
      </c>
      <c r="K439" s="142" t="str">
        <f>IF(OR($I439="",$I439="?",$D439&lt;&gt;"Advance",$B439=""),"",$I439&amp;"|"&amp;$J439&amp;"|"&amp;COUNTIFS($I$7:$I439,$I439,$J$7:$J439,$J439,$D$7:$D439,"Advance"))</f>
        <v/>
      </c>
      <c r="L439" s="143" t="str">
        <f>IF(OR($I439="",$I439="?",$B439=""),"",SUMPRODUCT((Weeks!$A$7:$A$59&lt;=$J439)*(Weeks!$X$5:$AI$5=$I439)*Weeks!$X$7:$AI$59)-SUMIFS($E$7:$E$1006,$I$7:$I$1006,$I439,$B$7:$B$1006,"&lt;="&amp;$B439))</f>
        <v/>
      </c>
      <c r="M439" s="132" t="str">
        <f>IF($B439&amp;$C439&amp;$D439&amp;$E439="","",IF($B439="","missing date",IF($C439="","missing worker",IF($I439="?","unknown worker - was the name changed on Workers?",IF($D439="","missing type",IF(N($E439)=0,"missing amount",IF(AND($E439&lt;0,$D439&lt;&gt;"Correction"),"negative amount - use a Correction to undo",IF(OR($B439&lt;Weeks!$A$7,$B439&gt;Weeks!$B$59),"date outside this workbook's year",IF(AND($D439="Advance",N($L439)&lt;0),"Warning: more than earned so far - worker now owes "&amp;TEXT(ROUND(-$L439,0),"#,##0"),"")))))))))</f>
        <v/>
      </c>
      <c r="N439" s="125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</row>
    <row r="440" spans="1:40" s="127" customFormat="1" ht="21" customHeight="1" x14ac:dyDescent="0.25">
      <c r="A440" s="51" t="str">
        <f t="shared" si="18"/>
        <v/>
      </c>
      <c r="B440" s="77"/>
      <c r="C440" s="133"/>
      <c r="D440" s="50"/>
      <c r="E440" s="141"/>
      <c r="F440" s="133"/>
      <c r="G440" s="133"/>
      <c r="H440" s="50"/>
      <c r="I440" s="51" t="str">
        <f t="shared" si="19"/>
        <v/>
      </c>
      <c r="J440" s="52" t="str">
        <f t="shared" si="20"/>
        <v/>
      </c>
      <c r="K440" s="142" t="str">
        <f>IF(OR($I440="",$I440="?",$D440&lt;&gt;"Advance",$B440=""),"",$I440&amp;"|"&amp;$J440&amp;"|"&amp;COUNTIFS($I$7:$I440,$I440,$J$7:$J440,$J440,$D$7:$D440,"Advance"))</f>
        <v/>
      </c>
      <c r="L440" s="143" t="str">
        <f>IF(OR($I440="",$I440="?",$B440=""),"",SUMPRODUCT((Weeks!$A$7:$A$59&lt;=$J440)*(Weeks!$X$5:$AI$5=$I440)*Weeks!$X$7:$AI$59)-SUMIFS($E$7:$E$1006,$I$7:$I$1006,$I440,$B$7:$B$1006,"&lt;="&amp;$B440))</f>
        <v/>
      </c>
      <c r="M440" s="132" t="str">
        <f>IF($B440&amp;$C440&amp;$D440&amp;$E440="","",IF($B440="","missing date",IF($C440="","missing worker",IF($I440="?","unknown worker - was the name changed on Workers?",IF($D440="","missing type",IF(N($E440)=0,"missing amount",IF(AND($E440&lt;0,$D440&lt;&gt;"Correction"),"negative amount - use a Correction to undo",IF(OR($B440&lt;Weeks!$A$7,$B440&gt;Weeks!$B$59),"date outside this workbook's year",IF(AND($D440="Advance",N($L440)&lt;0),"Warning: more than earned so far - worker now owes "&amp;TEXT(ROUND(-$L440,0),"#,##0"),"")))))))))</f>
        <v/>
      </c>
      <c r="N440" s="125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</row>
    <row r="441" spans="1:40" s="127" customFormat="1" ht="21" customHeight="1" x14ac:dyDescent="0.25">
      <c r="A441" s="51" t="str">
        <f t="shared" si="18"/>
        <v/>
      </c>
      <c r="B441" s="77"/>
      <c r="C441" s="133"/>
      <c r="D441" s="50"/>
      <c r="E441" s="141"/>
      <c r="F441" s="133"/>
      <c r="G441" s="133"/>
      <c r="H441" s="50"/>
      <c r="I441" s="51" t="str">
        <f t="shared" si="19"/>
        <v/>
      </c>
      <c r="J441" s="52" t="str">
        <f t="shared" si="20"/>
        <v/>
      </c>
      <c r="K441" s="142" t="str">
        <f>IF(OR($I441="",$I441="?",$D441&lt;&gt;"Advance",$B441=""),"",$I441&amp;"|"&amp;$J441&amp;"|"&amp;COUNTIFS($I$7:$I441,$I441,$J$7:$J441,$J441,$D$7:$D441,"Advance"))</f>
        <v/>
      </c>
      <c r="L441" s="143" t="str">
        <f>IF(OR($I441="",$I441="?",$B441=""),"",SUMPRODUCT((Weeks!$A$7:$A$59&lt;=$J441)*(Weeks!$X$5:$AI$5=$I441)*Weeks!$X$7:$AI$59)-SUMIFS($E$7:$E$1006,$I$7:$I$1006,$I441,$B$7:$B$1006,"&lt;="&amp;$B441))</f>
        <v/>
      </c>
      <c r="M441" s="132" t="str">
        <f>IF($B441&amp;$C441&amp;$D441&amp;$E441="","",IF($B441="","missing date",IF($C441="","missing worker",IF($I441="?","unknown worker - was the name changed on Workers?",IF($D441="","missing type",IF(N($E441)=0,"missing amount",IF(AND($E441&lt;0,$D441&lt;&gt;"Correction"),"negative amount - use a Correction to undo",IF(OR($B441&lt;Weeks!$A$7,$B441&gt;Weeks!$B$59),"date outside this workbook's year",IF(AND($D441="Advance",N($L441)&lt;0),"Warning: more than earned so far - worker now owes "&amp;TEXT(ROUND(-$L441,0),"#,##0"),"")))))))))</f>
        <v/>
      </c>
      <c r="N441" s="125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</row>
    <row r="442" spans="1:40" s="127" customFormat="1" ht="21" customHeight="1" x14ac:dyDescent="0.25">
      <c r="A442" s="51" t="str">
        <f t="shared" si="18"/>
        <v/>
      </c>
      <c r="B442" s="77"/>
      <c r="C442" s="133"/>
      <c r="D442" s="50"/>
      <c r="E442" s="141"/>
      <c r="F442" s="133"/>
      <c r="G442" s="133"/>
      <c r="H442" s="50"/>
      <c r="I442" s="51" t="str">
        <f t="shared" si="19"/>
        <v/>
      </c>
      <c r="J442" s="52" t="str">
        <f t="shared" si="20"/>
        <v/>
      </c>
      <c r="K442" s="142" t="str">
        <f>IF(OR($I442="",$I442="?",$D442&lt;&gt;"Advance",$B442=""),"",$I442&amp;"|"&amp;$J442&amp;"|"&amp;COUNTIFS($I$7:$I442,$I442,$J$7:$J442,$J442,$D$7:$D442,"Advance"))</f>
        <v/>
      </c>
      <c r="L442" s="143" t="str">
        <f>IF(OR($I442="",$I442="?",$B442=""),"",SUMPRODUCT((Weeks!$A$7:$A$59&lt;=$J442)*(Weeks!$X$5:$AI$5=$I442)*Weeks!$X$7:$AI$59)-SUMIFS($E$7:$E$1006,$I$7:$I$1006,$I442,$B$7:$B$1006,"&lt;="&amp;$B442))</f>
        <v/>
      </c>
      <c r="M442" s="132" t="str">
        <f>IF($B442&amp;$C442&amp;$D442&amp;$E442="","",IF($B442="","missing date",IF($C442="","missing worker",IF($I442="?","unknown worker - was the name changed on Workers?",IF($D442="","missing type",IF(N($E442)=0,"missing amount",IF(AND($E442&lt;0,$D442&lt;&gt;"Correction"),"negative amount - use a Correction to undo",IF(OR($B442&lt;Weeks!$A$7,$B442&gt;Weeks!$B$59),"date outside this workbook's year",IF(AND($D442="Advance",N($L442)&lt;0),"Warning: more than earned so far - worker now owes "&amp;TEXT(ROUND(-$L442,0),"#,##0"),"")))))))))</f>
        <v/>
      </c>
      <c r="N442" s="125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</row>
    <row r="443" spans="1:40" s="127" customFormat="1" ht="21" customHeight="1" x14ac:dyDescent="0.25">
      <c r="A443" s="51" t="str">
        <f t="shared" si="18"/>
        <v/>
      </c>
      <c r="B443" s="77"/>
      <c r="C443" s="133"/>
      <c r="D443" s="50"/>
      <c r="E443" s="141"/>
      <c r="F443" s="133"/>
      <c r="G443" s="133"/>
      <c r="H443" s="50"/>
      <c r="I443" s="51" t="str">
        <f t="shared" si="19"/>
        <v/>
      </c>
      <c r="J443" s="52" t="str">
        <f t="shared" si="20"/>
        <v/>
      </c>
      <c r="K443" s="142" t="str">
        <f>IF(OR($I443="",$I443="?",$D443&lt;&gt;"Advance",$B443=""),"",$I443&amp;"|"&amp;$J443&amp;"|"&amp;COUNTIFS($I$7:$I443,$I443,$J$7:$J443,$J443,$D$7:$D443,"Advance"))</f>
        <v/>
      </c>
      <c r="L443" s="143" t="str">
        <f>IF(OR($I443="",$I443="?",$B443=""),"",SUMPRODUCT((Weeks!$A$7:$A$59&lt;=$J443)*(Weeks!$X$5:$AI$5=$I443)*Weeks!$X$7:$AI$59)-SUMIFS($E$7:$E$1006,$I$7:$I$1006,$I443,$B$7:$B$1006,"&lt;="&amp;$B443))</f>
        <v/>
      </c>
      <c r="M443" s="132" t="str">
        <f>IF($B443&amp;$C443&amp;$D443&amp;$E443="","",IF($B443="","missing date",IF($C443="","missing worker",IF($I443="?","unknown worker - was the name changed on Workers?",IF($D443="","missing type",IF(N($E443)=0,"missing amount",IF(AND($E443&lt;0,$D443&lt;&gt;"Correction"),"negative amount - use a Correction to undo",IF(OR($B443&lt;Weeks!$A$7,$B443&gt;Weeks!$B$59),"date outside this workbook's year",IF(AND($D443="Advance",N($L443)&lt;0),"Warning: more than earned so far - worker now owes "&amp;TEXT(ROUND(-$L443,0),"#,##0"),"")))))))))</f>
        <v/>
      </c>
      <c r="N443" s="125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</row>
    <row r="444" spans="1:40" s="127" customFormat="1" ht="21" customHeight="1" x14ac:dyDescent="0.25">
      <c r="A444" s="51" t="str">
        <f t="shared" si="18"/>
        <v/>
      </c>
      <c r="B444" s="77"/>
      <c r="C444" s="133"/>
      <c r="D444" s="50"/>
      <c r="E444" s="141"/>
      <c r="F444" s="133"/>
      <c r="G444" s="133"/>
      <c r="H444" s="50"/>
      <c r="I444" s="51" t="str">
        <f t="shared" si="19"/>
        <v/>
      </c>
      <c r="J444" s="52" t="str">
        <f t="shared" si="20"/>
        <v/>
      </c>
      <c r="K444" s="142" t="str">
        <f>IF(OR($I444="",$I444="?",$D444&lt;&gt;"Advance",$B444=""),"",$I444&amp;"|"&amp;$J444&amp;"|"&amp;COUNTIFS($I$7:$I444,$I444,$J$7:$J444,$J444,$D$7:$D444,"Advance"))</f>
        <v/>
      </c>
      <c r="L444" s="143" t="str">
        <f>IF(OR($I444="",$I444="?",$B444=""),"",SUMPRODUCT((Weeks!$A$7:$A$59&lt;=$J444)*(Weeks!$X$5:$AI$5=$I444)*Weeks!$X$7:$AI$59)-SUMIFS($E$7:$E$1006,$I$7:$I$1006,$I444,$B$7:$B$1006,"&lt;="&amp;$B444))</f>
        <v/>
      </c>
      <c r="M444" s="132" t="str">
        <f>IF($B444&amp;$C444&amp;$D444&amp;$E444="","",IF($B444="","missing date",IF($C444="","missing worker",IF($I444="?","unknown worker - was the name changed on Workers?",IF($D444="","missing type",IF(N($E444)=0,"missing amount",IF(AND($E444&lt;0,$D444&lt;&gt;"Correction"),"negative amount - use a Correction to undo",IF(OR($B444&lt;Weeks!$A$7,$B444&gt;Weeks!$B$59),"date outside this workbook's year",IF(AND($D444="Advance",N($L444)&lt;0),"Warning: more than earned so far - worker now owes "&amp;TEXT(ROUND(-$L444,0),"#,##0"),"")))))))))</f>
        <v/>
      </c>
      <c r="N444" s="125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</row>
    <row r="445" spans="1:40" s="127" customFormat="1" ht="21" customHeight="1" x14ac:dyDescent="0.25">
      <c r="A445" s="51" t="str">
        <f t="shared" si="18"/>
        <v/>
      </c>
      <c r="B445" s="77"/>
      <c r="C445" s="133"/>
      <c r="D445" s="50"/>
      <c r="E445" s="141"/>
      <c r="F445" s="133"/>
      <c r="G445" s="133"/>
      <c r="H445" s="50"/>
      <c r="I445" s="51" t="str">
        <f t="shared" si="19"/>
        <v/>
      </c>
      <c r="J445" s="52" t="str">
        <f t="shared" si="20"/>
        <v/>
      </c>
      <c r="K445" s="142" t="str">
        <f>IF(OR($I445="",$I445="?",$D445&lt;&gt;"Advance",$B445=""),"",$I445&amp;"|"&amp;$J445&amp;"|"&amp;COUNTIFS($I$7:$I445,$I445,$J$7:$J445,$J445,$D$7:$D445,"Advance"))</f>
        <v/>
      </c>
      <c r="L445" s="143" t="str">
        <f>IF(OR($I445="",$I445="?",$B445=""),"",SUMPRODUCT((Weeks!$A$7:$A$59&lt;=$J445)*(Weeks!$X$5:$AI$5=$I445)*Weeks!$X$7:$AI$59)-SUMIFS($E$7:$E$1006,$I$7:$I$1006,$I445,$B$7:$B$1006,"&lt;="&amp;$B445))</f>
        <v/>
      </c>
      <c r="M445" s="132" t="str">
        <f>IF($B445&amp;$C445&amp;$D445&amp;$E445="","",IF($B445="","missing date",IF($C445="","missing worker",IF($I445="?","unknown worker - was the name changed on Workers?",IF($D445="","missing type",IF(N($E445)=0,"missing amount",IF(AND($E445&lt;0,$D445&lt;&gt;"Correction"),"negative amount - use a Correction to undo",IF(OR($B445&lt;Weeks!$A$7,$B445&gt;Weeks!$B$59),"date outside this workbook's year",IF(AND($D445="Advance",N($L445)&lt;0),"Warning: more than earned so far - worker now owes "&amp;TEXT(ROUND(-$L445,0),"#,##0"),"")))))))))</f>
        <v/>
      </c>
      <c r="N445" s="125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</row>
    <row r="446" spans="1:40" s="127" customFormat="1" ht="21" customHeight="1" x14ac:dyDescent="0.25">
      <c r="A446" s="51" t="str">
        <f t="shared" si="18"/>
        <v/>
      </c>
      <c r="B446" s="77"/>
      <c r="C446" s="133"/>
      <c r="D446" s="50"/>
      <c r="E446" s="141"/>
      <c r="F446" s="133"/>
      <c r="G446" s="133"/>
      <c r="H446" s="50"/>
      <c r="I446" s="51" t="str">
        <f t="shared" si="19"/>
        <v/>
      </c>
      <c r="J446" s="52" t="str">
        <f t="shared" si="20"/>
        <v/>
      </c>
      <c r="K446" s="142" t="str">
        <f>IF(OR($I446="",$I446="?",$D446&lt;&gt;"Advance",$B446=""),"",$I446&amp;"|"&amp;$J446&amp;"|"&amp;COUNTIFS($I$7:$I446,$I446,$J$7:$J446,$J446,$D$7:$D446,"Advance"))</f>
        <v/>
      </c>
      <c r="L446" s="143" t="str">
        <f>IF(OR($I446="",$I446="?",$B446=""),"",SUMPRODUCT((Weeks!$A$7:$A$59&lt;=$J446)*(Weeks!$X$5:$AI$5=$I446)*Weeks!$X$7:$AI$59)-SUMIFS($E$7:$E$1006,$I$7:$I$1006,$I446,$B$7:$B$1006,"&lt;="&amp;$B446))</f>
        <v/>
      </c>
      <c r="M446" s="132" t="str">
        <f>IF($B446&amp;$C446&amp;$D446&amp;$E446="","",IF($B446="","missing date",IF($C446="","missing worker",IF($I446="?","unknown worker - was the name changed on Workers?",IF($D446="","missing type",IF(N($E446)=0,"missing amount",IF(AND($E446&lt;0,$D446&lt;&gt;"Correction"),"negative amount - use a Correction to undo",IF(OR($B446&lt;Weeks!$A$7,$B446&gt;Weeks!$B$59),"date outside this workbook's year",IF(AND($D446="Advance",N($L446)&lt;0),"Warning: more than earned so far - worker now owes "&amp;TEXT(ROUND(-$L446,0),"#,##0"),"")))))))))</f>
        <v/>
      </c>
      <c r="N446" s="125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</row>
    <row r="447" spans="1:40" s="127" customFormat="1" ht="21" customHeight="1" x14ac:dyDescent="0.25">
      <c r="A447" s="51" t="str">
        <f t="shared" si="18"/>
        <v/>
      </c>
      <c r="B447" s="77"/>
      <c r="C447" s="133"/>
      <c r="D447" s="50"/>
      <c r="E447" s="141"/>
      <c r="F447" s="133"/>
      <c r="G447" s="133"/>
      <c r="H447" s="50"/>
      <c r="I447" s="51" t="str">
        <f t="shared" si="19"/>
        <v/>
      </c>
      <c r="J447" s="52" t="str">
        <f t="shared" si="20"/>
        <v/>
      </c>
      <c r="K447" s="142" t="str">
        <f>IF(OR($I447="",$I447="?",$D447&lt;&gt;"Advance",$B447=""),"",$I447&amp;"|"&amp;$J447&amp;"|"&amp;COUNTIFS($I$7:$I447,$I447,$J$7:$J447,$J447,$D$7:$D447,"Advance"))</f>
        <v/>
      </c>
      <c r="L447" s="143" t="str">
        <f>IF(OR($I447="",$I447="?",$B447=""),"",SUMPRODUCT((Weeks!$A$7:$A$59&lt;=$J447)*(Weeks!$X$5:$AI$5=$I447)*Weeks!$X$7:$AI$59)-SUMIFS($E$7:$E$1006,$I$7:$I$1006,$I447,$B$7:$B$1006,"&lt;="&amp;$B447))</f>
        <v/>
      </c>
      <c r="M447" s="132" t="str">
        <f>IF($B447&amp;$C447&amp;$D447&amp;$E447="","",IF($B447="","missing date",IF($C447="","missing worker",IF($I447="?","unknown worker - was the name changed on Workers?",IF($D447="","missing type",IF(N($E447)=0,"missing amount",IF(AND($E447&lt;0,$D447&lt;&gt;"Correction"),"negative amount - use a Correction to undo",IF(OR($B447&lt;Weeks!$A$7,$B447&gt;Weeks!$B$59),"date outside this workbook's year",IF(AND($D447="Advance",N($L447)&lt;0),"Warning: more than earned so far - worker now owes "&amp;TEXT(ROUND(-$L447,0),"#,##0"),"")))))))))</f>
        <v/>
      </c>
      <c r="N447" s="125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</row>
    <row r="448" spans="1:40" s="127" customFormat="1" ht="21" customHeight="1" x14ac:dyDescent="0.25">
      <c r="A448" s="51" t="str">
        <f t="shared" si="18"/>
        <v/>
      </c>
      <c r="B448" s="77"/>
      <c r="C448" s="133"/>
      <c r="D448" s="50"/>
      <c r="E448" s="141"/>
      <c r="F448" s="133"/>
      <c r="G448" s="133"/>
      <c r="H448" s="50"/>
      <c r="I448" s="51" t="str">
        <f t="shared" si="19"/>
        <v/>
      </c>
      <c r="J448" s="52" t="str">
        <f t="shared" si="20"/>
        <v/>
      </c>
      <c r="K448" s="142" t="str">
        <f>IF(OR($I448="",$I448="?",$D448&lt;&gt;"Advance",$B448=""),"",$I448&amp;"|"&amp;$J448&amp;"|"&amp;COUNTIFS($I$7:$I448,$I448,$J$7:$J448,$J448,$D$7:$D448,"Advance"))</f>
        <v/>
      </c>
      <c r="L448" s="143" t="str">
        <f>IF(OR($I448="",$I448="?",$B448=""),"",SUMPRODUCT((Weeks!$A$7:$A$59&lt;=$J448)*(Weeks!$X$5:$AI$5=$I448)*Weeks!$X$7:$AI$59)-SUMIFS($E$7:$E$1006,$I$7:$I$1006,$I448,$B$7:$B$1006,"&lt;="&amp;$B448))</f>
        <v/>
      </c>
      <c r="M448" s="132" t="str">
        <f>IF($B448&amp;$C448&amp;$D448&amp;$E448="","",IF($B448="","missing date",IF($C448="","missing worker",IF($I448="?","unknown worker - was the name changed on Workers?",IF($D448="","missing type",IF(N($E448)=0,"missing amount",IF(AND($E448&lt;0,$D448&lt;&gt;"Correction"),"negative amount - use a Correction to undo",IF(OR($B448&lt;Weeks!$A$7,$B448&gt;Weeks!$B$59),"date outside this workbook's year",IF(AND($D448="Advance",N($L448)&lt;0),"Warning: more than earned so far - worker now owes "&amp;TEXT(ROUND(-$L448,0),"#,##0"),"")))))))))</f>
        <v/>
      </c>
      <c r="N448" s="125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</row>
    <row r="449" spans="1:40" s="127" customFormat="1" ht="21" customHeight="1" x14ac:dyDescent="0.25">
      <c r="A449" s="51" t="str">
        <f t="shared" si="18"/>
        <v/>
      </c>
      <c r="B449" s="77"/>
      <c r="C449" s="133"/>
      <c r="D449" s="50"/>
      <c r="E449" s="141"/>
      <c r="F449" s="133"/>
      <c r="G449" s="133"/>
      <c r="H449" s="50"/>
      <c r="I449" s="51" t="str">
        <f t="shared" si="19"/>
        <v/>
      </c>
      <c r="J449" s="52" t="str">
        <f t="shared" si="20"/>
        <v/>
      </c>
      <c r="K449" s="142" t="str">
        <f>IF(OR($I449="",$I449="?",$D449&lt;&gt;"Advance",$B449=""),"",$I449&amp;"|"&amp;$J449&amp;"|"&amp;COUNTIFS($I$7:$I449,$I449,$J$7:$J449,$J449,$D$7:$D449,"Advance"))</f>
        <v/>
      </c>
      <c r="L449" s="143" t="str">
        <f>IF(OR($I449="",$I449="?",$B449=""),"",SUMPRODUCT((Weeks!$A$7:$A$59&lt;=$J449)*(Weeks!$X$5:$AI$5=$I449)*Weeks!$X$7:$AI$59)-SUMIFS($E$7:$E$1006,$I$7:$I$1006,$I449,$B$7:$B$1006,"&lt;="&amp;$B449))</f>
        <v/>
      </c>
      <c r="M449" s="132" t="str">
        <f>IF($B449&amp;$C449&amp;$D449&amp;$E449="","",IF($B449="","missing date",IF($C449="","missing worker",IF($I449="?","unknown worker - was the name changed on Workers?",IF($D449="","missing type",IF(N($E449)=0,"missing amount",IF(AND($E449&lt;0,$D449&lt;&gt;"Correction"),"negative amount - use a Correction to undo",IF(OR($B449&lt;Weeks!$A$7,$B449&gt;Weeks!$B$59),"date outside this workbook's year",IF(AND($D449="Advance",N($L449)&lt;0),"Warning: more than earned so far - worker now owes "&amp;TEXT(ROUND(-$L449,0),"#,##0"),"")))))))))</f>
        <v/>
      </c>
      <c r="N449" s="125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</row>
    <row r="450" spans="1:40" s="127" customFormat="1" ht="21" customHeight="1" x14ac:dyDescent="0.25">
      <c r="A450" s="51" t="str">
        <f t="shared" si="18"/>
        <v/>
      </c>
      <c r="B450" s="77"/>
      <c r="C450" s="133"/>
      <c r="D450" s="50"/>
      <c r="E450" s="141"/>
      <c r="F450" s="133"/>
      <c r="G450" s="133"/>
      <c r="H450" s="50"/>
      <c r="I450" s="51" t="str">
        <f t="shared" si="19"/>
        <v/>
      </c>
      <c r="J450" s="52" t="str">
        <f t="shared" si="20"/>
        <v/>
      </c>
      <c r="K450" s="142" t="str">
        <f>IF(OR($I450="",$I450="?",$D450&lt;&gt;"Advance",$B450=""),"",$I450&amp;"|"&amp;$J450&amp;"|"&amp;COUNTIFS($I$7:$I450,$I450,$J$7:$J450,$J450,$D$7:$D450,"Advance"))</f>
        <v/>
      </c>
      <c r="L450" s="143" t="str">
        <f>IF(OR($I450="",$I450="?",$B450=""),"",SUMPRODUCT((Weeks!$A$7:$A$59&lt;=$J450)*(Weeks!$X$5:$AI$5=$I450)*Weeks!$X$7:$AI$59)-SUMIFS($E$7:$E$1006,$I$7:$I$1006,$I450,$B$7:$B$1006,"&lt;="&amp;$B450))</f>
        <v/>
      </c>
      <c r="M450" s="132" t="str">
        <f>IF($B450&amp;$C450&amp;$D450&amp;$E450="","",IF($B450="","missing date",IF($C450="","missing worker",IF($I450="?","unknown worker - was the name changed on Workers?",IF($D450="","missing type",IF(N($E450)=0,"missing amount",IF(AND($E450&lt;0,$D450&lt;&gt;"Correction"),"negative amount - use a Correction to undo",IF(OR($B450&lt;Weeks!$A$7,$B450&gt;Weeks!$B$59),"date outside this workbook's year",IF(AND($D450="Advance",N($L450)&lt;0),"Warning: more than earned so far - worker now owes "&amp;TEXT(ROUND(-$L450,0),"#,##0"),"")))))))))</f>
        <v/>
      </c>
      <c r="N450" s="125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</row>
    <row r="451" spans="1:40" s="127" customFormat="1" ht="21" customHeight="1" x14ac:dyDescent="0.25">
      <c r="A451" s="51" t="str">
        <f t="shared" si="18"/>
        <v/>
      </c>
      <c r="B451" s="77"/>
      <c r="C451" s="133"/>
      <c r="D451" s="50"/>
      <c r="E451" s="141"/>
      <c r="F451" s="133"/>
      <c r="G451" s="133"/>
      <c r="H451" s="50"/>
      <c r="I451" s="51" t="str">
        <f t="shared" si="19"/>
        <v/>
      </c>
      <c r="J451" s="52" t="str">
        <f t="shared" si="20"/>
        <v/>
      </c>
      <c r="K451" s="142" t="str">
        <f>IF(OR($I451="",$I451="?",$D451&lt;&gt;"Advance",$B451=""),"",$I451&amp;"|"&amp;$J451&amp;"|"&amp;COUNTIFS($I$7:$I451,$I451,$J$7:$J451,$J451,$D$7:$D451,"Advance"))</f>
        <v/>
      </c>
      <c r="L451" s="143" t="str">
        <f>IF(OR($I451="",$I451="?",$B451=""),"",SUMPRODUCT((Weeks!$A$7:$A$59&lt;=$J451)*(Weeks!$X$5:$AI$5=$I451)*Weeks!$X$7:$AI$59)-SUMIFS($E$7:$E$1006,$I$7:$I$1006,$I451,$B$7:$B$1006,"&lt;="&amp;$B451))</f>
        <v/>
      </c>
      <c r="M451" s="132" t="str">
        <f>IF($B451&amp;$C451&amp;$D451&amp;$E451="","",IF($B451="","missing date",IF($C451="","missing worker",IF($I451="?","unknown worker - was the name changed on Workers?",IF($D451="","missing type",IF(N($E451)=0,"missing amount",IF(AND($E451&lt;0,$D451&lt;&gt;"Correction"),"negative amount - use a Correction to undo",IF(OR($B451&lt;Weeks!$A$7,$B451&gt;Weeks!$B$59),"date outside this workbook's year",IF(AND($D451="Advance",N($L451)&lt;0),"Warning: more than earned so far - worker now owes "&amp;TEXT(ROUND(-$L451,0),"#,##0"),"")))))))))</f>
        <v/>
      </c>
      <c r="N451" s="125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</row>
    <row r="452" spans="1:40" s="127" customFormat="1" ht="21" customHeight="1" x14ac:dyDescent="0.25">
      <c r="A452" s="51" t="str">
        <f t="shared" si="18"/>
        <v/>
      </c>
      <c r="B452" s="77"/>
      <c r="C452" s="133"/>
      <c r="D452" s="50"/>
      <c r="E452" s="141"/>
      <c r="F452" s="133"/>
      <c r="G452" s="133"/>
      <c r="H452" s="50"/>
      <c r="I452" s="51" t="str">
        <f t="shared" si="19"/>
        <v/>
      </c>
      <c r="J452" s="52" t="str">
        <f t="shared" si="20"/>
        <v/>
      </c>
      <c r="K452" s="142" t="str">
        <f>IF(OR($I452="",$I452="?",$D452&lt;&gt;"Advance",$B452=""),"",$I452&amp;"|"&amp;$J452&amp;"|"&amp;COUNTIFS($I$7:$I452,$I452,$J$7:$J452,$J452,$D$7:$D452,"Advance"))</f>
        <v/>
      </c>
      <c r="L452" s="143" t="str">
        <f>IF(OR($I452="",$I452="?",$B452=""),"",SUMPRODUCT((Weeks!$A$7:$A$59&lt;=$J452)*(Weeks!$X$5:$AI$5=$I452)*Weeks!$X$7:$AI$59)-SUMIFS($E$7:$E$1006,$I$7:$I$1006,$I452,$B$7:$B$1006,"&lt;="&amp;$B452))</f>
        <v/>
      </c>
      <c r="M452" s="132" t="str">
        <f>IF($B452&amp;$C452&amp;$D452&amp;$E452="","",IF($B452="","missing date",IF($C452="","missing worker",IF($I452="?","unknown worker - was the name changed on Workers?",IF($D452="","missing type",IF(N($E452)=0,"missing amount",IF(AND($E452&lt;0,$D452&lt;&gt;"Correction"),"negative amount - use a Correction to undo",IF(OR($B452&lt;Weeks!$A$7,$B452&gt;Weeks!$B$59),"date outside this workbook's year",IF(AND($D452="Advance",N($L452)&lt;0),"Warning: more than earned so far - worker now owes "&amp;TEXT(ROUND(-$L452,0),"#,##0"),"")))))))))</f>
        <v/>
      </c>
      <c r="N452" s="125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</row>
    <row r="453" spans="1:40" s="127" customFormat="1" ht="21" customHeight="1" x14ac:dyDescent="0.25">
      <c r="A453" s="51" t="str">
        <f t="shared" si="18"/>
        <v/>
      </c>
      <c r="B453" s="77"/>
      <c r="C453" s="133"/>
      <c r="D453" s="50"/>
      <c r="E453" s="141"/>
      <c r="F453" s="133"/>
      <c r="G453" s="133"/>
      <c r="H453" s="50"/>
      <c r="I453" s="51" t="str">
        <f t="shared" si="19"/>
        <v/>
      </c>
      <c r="J453" s="52" t="str">
        <f t="shared" si="20"/>
        <v/>
      </c>
      <c r="K453" s="142" t="str">
        <f>IF(OR($I453="",$I453="?",$D453&lt;&gt;"Advance",$B453=""),"",$I453&amp;"|"&amp;$J453&amp;"|"&amp;COUNTIFS($I$7:$I453,$I453,$J$7:$J453,$J453,$D$7:$D453,"Advance"))</f>
        <v/>
      </c>
      <c r="L453" s="143" t="str">
        <f>IF(OR($I453="",$I453="?",$B453=""),"",SUMPRODUCT((Weeks!$A$7:$A$59&lt;=$J453)*(Weeks!$X$5:$AI$5=$I453)*Weeks!$X$7:$AI$59)-SUMIFS($E$7:$E$1006,$I$7:$I$1006,$I453,$B$7:$B$1006,"&lt;="&amp;$B453))</f>
        <v/>
      </c>
      <c r="M453" s="132" t="str">
        <f>IF($B453&amp;$C453&amp;$D453&amp;$E453="","",IF($B453="","missing date",IF($C453="","missing worker",IF($I453="?","unknown worker - was the name changed on Workers?",IF($D453="","missing type",IF(N($E453)=0,"missing amount",IF(AND($E453&lt;0,$D453&lt;&gt;"Correction"),"negative amount - use a Correction to undo",IF(OR($B453&lt;Weeks!$A$7,$B453&gt;Weeks!$B$59),"date outside this workbook's year",IF(AND($D453="Advance",N($L453)&lt;0),"Warning: more than earned so far - worker now owes "&amp;TEXT(ROUND(-$L453,0),"#,##0"),"")))))))))</f>
        <v/>
      </c>
      <c r="N453" s="125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</row>
    <row r="454" spans="1:40" s="127" customFormat="1" ht="21" customHeight="1" x14ac:dyDescent="0.25">
      <c r="A454" s="51" t="str">
        <f t="shared" si="18"/>
        <v/>
      </c>
      <c r="B454" s="77"/>
      <c r="C454" s="133"/>
      <c r="D454" s="50"/>
      <c r="E454" s="141"/>
      <c r="F454" s="133"/>
      <c r="G454" s="133"/>
      <c r="H454" s="50"/>
      <c r="I454" s="51" t="str">
        <f t="shared" si="19"/>
        <v/>
      </c>
      <c r="J454" s="52" t="str">
        <f t="shared" si="20"/>
        <v/>
      </c>
      <c r="K454" s="142" t="str">
        <f>IF(OR($I454="",$I454="?",$D454&lt;&gt;"Advance",$B454=""),"",$I454&amp;"|"&amp;$J454&amp;"|"&amp;COUNTIFS($I$7:$I454,$I454,$J$7:$J454,$J454,$D$7:$D454,"Advance"))</f>
        <v/>
      </c>
      <c r="L454" s="143" t="str">
        <f>IF(OR($I454="",$I454="?",$B454=""),"",SUMPRODUCT((Weeks!$A$7:$A$59&lt;=$J454)*(Weeks!$X$5:$AI$5=$I454)*Weeks!$X$7:$AI$59)-SUMIFS($E$7:$E$1006,$I$7:$I$1006,$I454,$B$7:$B$1006,"&lt;="&amp;$B454))</f>
        <v/>
      </c>
      <c r="M454" s="132" t="str">
        <f>IF($B454&amp;$C454&amp;$D454&amp;$E454="","",IF($B454="","missing date",IF($C454="","missing worker",IF($I454="?","unknown worker - was the name changed on Workers?",IF($D454="","missing type",IF(N($E454)=0,"missing amount",IF(AND($E454&lt;0,$D454&lt;&gt;"Correction"),"negative amount - use a Correction to undo",IF(OR($B454&lt;Weeks!$A$7,$B454&gt;Weeks!$B$59),"date outside this workbook's year",IF(AND($D454="Advance",N($L454)&lt;0),"Warning: more than earned so far - worker now owes "&amp;TEXT(ROUND(-$L454,0),"#,##0"),"")))))))))</f>
        <v/>
      </c>
      <c r="N454" s="125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</row>
    <row r="455" spans="1:40" s="127" customFormat="1" ht="21" customHeight="1" x14ac:dyDescent="0.25">
      <c r="A455" s="51" t="str">
        <f t="shared" ref="A455:A518" si="21">IF($B455="","",ROW()-6)</f>
        <v/>
      </c>
      <c r="B455" s="77"/>
      <c r="C455" s="133"/>
      <c r="D455" s="50"/>
      <c r="E455" s="141"/>
      <c r="F455" s="133"/>
      <c r="G455" s="133"/>
      <c r="H455" s="50"/>
      <c r="I455" s="51" t="str">
        <f t="shared" ref="I455:I518" si="22">IF($C455="","",IFERROR(INDEX(WorkerIDs,MATCH($C455,WorkerNames,0)),"?"))</f>
        <v/>
      </c>
      <c r="J455" s="52" t="str">
        <f t="shared" ref="J455:J518" si="23">IF($B455="","",$B455-WEEKDAY($B455,2)+1)</f>
        <v/>
      </c>
      <c r="K455" s="142" t="str">
        <f>IF(OR($I455="",$I455="?",$D455&lt;&gt;"Advance",$B455=""),"",$I455&amp;"|"&amp;$J455&amp;"|"&amp;COUNTIFS($I$7:$I455,$I455,$J$7:$J455,$J455,$D$7:$D455,"Advance"))</f>
        <v/>
      </c>
      <c r="L455" s="143" t="str">
        <f>IF(OR($I455="",$I455="?",$B455=""),"",SUMPRODUCT((Weeks!$A$7:$A$59&lt;=$J455)*(Weeks!$X$5:$AI$5=$I455)*Weeks!$X$7:$AI$59)-SUMIFS($E$7:$E$1006,$I$7:$I$1006,$I455,$B$7:$B$1006,"&lt;="&amp;$B455))</f>
        <v/>
      </c>
      <c r="M455" s="132" t="str">
        <f>IF($B455&amp;$C455&amp;$D455&amp;$E455="","",IF($B455="","missing date",IF($C455="","missing worker",IF($I455="?","unknown worker - was the name changed on Workers?",IF($D455="","missing type",IF(N($E455)=0,"missing amount",IF(AND($E455&lt;0,$D455&lt;&gt;"Correction"),"negative amount - use a Correction to undo",IF(OR($B455&lt;Weeks!$A$7,$B455&gt;Weeks!$B$59),"date outside this workbook's year",IF(AND($D455="Advance",N($L455)&lt;0),"Warning: more than earned so far - worker now owes "&amp;TEXT(ROUND(-$L455,0),"#,##0"),"")))))))))</f>
        <v/>
      </c>
      <c r="N455" s="125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</row>
    <row r="456" spans="1:40" s="127" customFormat="1" ht="21" customHeight="1" x14ac:dyDescent="0.25">
      <c r="A456" s="51" t="str">
        <f t="shared" si="21"/>
        <v/>
      </c>
      <c r="B456" s="77"/>
      <c r="C456" s="133"/>
      <c r="D456" s="50"/>
      <c r="E456" s="141"/>
      <c r="F456" s="133"/>
      <c r="G456" s="133"/>
      <c r="H456" s="50"/>
      <c r="I456" s="51" t="str">
        <f t="shared" si="22"/>
        <v/>
      </c>
      <c r="J456" s="52" t="str">
        <f t="shared" si="23"/>
        <v/>
      </c>
      <c r="K456" s="142" t="str">
        <f>IF(OR($I456="",$I456="?",$D456&lt;&gt;"Advance",$B456=""),"",$I456&amp;"|"&amp;$J456&amp;"|"&amp;COUNTIFS($I$7:$I456,$I456,$J$7:$J456,$J456,$D$7:$D456,"Advance"))</f>
        <v/>
      </c>
      <c r="L456" s="143" t="str">
        <f>IF(OR($I456="",$I456="?",$B456=""),"",SUMPRODUCT((Weeks!$A$7:$A$59&lt;=$J456)*(Weeks!$X$5:$AI$5=$I456)*Weeks!$X$7:$AI$59)-SUMIFS($E$7:$E$1006,$I$7:$I$1006,$I456,$B$7:$B$1006,"&lt;="&amp;$B456))</f>
        <v/>
      </c>
      <c r="M456" s="132" t="str">
        <f>IF($B456&amp;$C456&amp;$D456&amp;$E456="","",IF($B456="","missing date",IF($C456="","missing worker",IF($I456="?","unknown worker - was the name changed on Workers?",IF($D456="","missing type",IF(N($E456)=0,"missing amount",IF(AND($E456&lt;0,$D456&lt;&gt;"Correction"),"negative amount - use a Correction to undo",IF(OR($B456&lt;Weeks!$A$7,$B456&gt;Weeks!$B$59),"date outside this workbook's year",IF(AND($D456="Advance",N($L456)&lt;0),"Warning: more than earned so far - worker now owes "&amp;TEXT(ROUND(-$L456,0),"#,##0"),"")))))))))</f>
        <v/>
      </c>
      <c r="N456" s="125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</row>
    <row r="457" spans="1:40" s="127" customFormat="1" ht="21" customHeight="1" x14ac:dyDescent="0.25">
      <c r="A457" s="51" t="str">
        <f t="shared" si="21"/>
        <v/>
      </c>
      <c r="B457" s="77"/>
      <c r="C457" s="133"/>
      <c r="D457" s="50"/>
      <c r="E457" s="141"/>
      <c r="F457" s="133"/>
      <c r="G457" s="133"/>
      <c r="H457" s="50"/>
      <c r="I457" s="51" t="str">
        <f t="shared" si="22"/>
        <v/>
      </c>
      <c r="J457" s="52" t="str">
        <f t="shared" si="23"/>
        <v/>
      </c>
      <c r="K457" s="142" t="str">
        <f>IF(OR($I457="",$I457="?",$D457&lt;&gt;"Advance",$B457=""),"",$I457&amp;"|"&amp;$J457&amp;"|"&amp;COUNTIFS($I$7:$I457,$I457,$J$7:$J457,$J457,$D$7:$D457,"Advance"))</f>
        <v/>
      </c>
      <c r="L457" s="143" t="str">
        <f>IF(OR($I457="",$I457="?",$B457=""),"",SUMPRODUCT((Weeks!$A$7:$A$59&lt;=$J457)*(Weeks!$X$5:$AI$5=$I457)*Weeks!$X$7:$AI$59)-SUMIFS($E$7:$E$1006,$I$7:$I$1006,$I457,$B$7:$B$1006,"&lt;="&amp;$B457))</f>
        <v/>
      </c>
      <c r="M457" s="132" t="str">
        <f>IF($B457&amp;$C457&amp;$D457&amp;$E457="","",IF($B457="","missing date",IF($C457="","missing worker",IF($I457="?","unknown worker - was the name changed on Workers?",IF($D457="","missing type",IF(N($E457)=0,"missing amount",IF(AND($E457&lt;0,$D457&lt;&gt;"Correction"),"negative amount - use a Correction to undo",IF(OR($B457&lt;Weeks!$A$7,$B457&gt;Weeks!$B$59),"date outside this workbook's year",IF(AND($D457="Advance",N($L457)&lt;0),"Warning: more than earned so far - worker now owes "&amp;TEXT(ROUND(-$L457,0),"#,##0"),"")))))))))</f>
        <v/>
      </c>
      <c r="N457" s="125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</row>
    <row r="458" spans="1:40" s="127" customFormat="1" ht="21" customHeight="1" x14ac:dyDescent="0.25">
      <c r="A458" s="51" t="str">
        <f t="shared" si="21"/>
        <v/>
      </c>
      <c r="B458" s="77"/>
      <c r="C458" s="133"/>
      <c r="D458" s="50"/>
      <c r="E458" s="141"/>
      <c r="F458" s="133"/>
      <c r="G458" s="133"/>
      <c r="H458" s="50"/>
      <c r="I458" s="51" t="str">
        <f t="shared" si="22"/>
        <v/>
      </c>
      <c r="J458" s="52" t="str">
        <f t="shared" si="23"/>
        <v/>
      </c>
      <c r="K458" s="142" t="str">
        <f>IF(OR($I458="",$I458="?",$D458&lt;&gt;"Advance",$B458=""),"",$I458&amp;"|"&amp;$J458&amp;"|"&amp;COUNTIFS($I$7:$I458,$I458,$J$7:$J458,$J458,$D$7:$D458,"Advance"))</f>
        <v/>
      </c>
      <c r="L458" s="143" t="str">
        <f>IF(OR($I458="",$I458="?",$B458=""),"",SUMPRODUCT((Weeks!$A$7:$A$59&lt;=$J458)*(Weeks!$X$5:$AI$5=$I458)*Weeks!$X$7:$AI$59)-SUMIFS($E$7:$E$1006,$I$7:$I$1006,$I458,$B$7:$B$1006,"&lt;="&amp;$B458))</f>
        <v/>
      </c>
      <c r="M458" s="132" t="str">
        <f>IF($B458&amp;$C458&amp;$D458&amp;$E458="","",IF($B458="","missing date",IF($C458="","missing worker",IF($I458="?","unknown worker - was the name changed on Workers?",IF($D458="","missing type",IF(N($E458)=0,"missing amount",IF(AND($E458&lt;0,$D458&lt;&gt;"Correction"),"negative amount - use a Correction to undo",IF(OR($B458&lt;Weeks!$A$7,$B458&gt;Weeks!$B$59),"date outside this workbook's year",IF(AND($D458="Advance",N($L458)&lt;0),"Warning: more than earned so far - worker now owes "&amp;TEXT(ROUND(-$L458,0),"#,##0"),"")))))))))</f>
        <v/>
      </c>
      <c r="N458" s="125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</row>
    <row r="459" spans="1:40" s="127" customFormat="1" ht="21" customHeight="1" x14ac:dyDescent="0.25">
      <c r="A459" s="51" t="str">
        <f t="shared" si="21"/>
        <v/>
      </c>
      <c r="B459" s="77"/>
      <c r="C459" s="133"/>
      <c r="D459" s="50"/>
      <c r="E459" s="141"/>
      <c r="F459" s="133"/>
      <c r="G459" s="133"/>
      <c r="H459" s="50"/>
      <c r="I459" s="51" t="str">
        <f t="shared" si="22"/>
        <v/>
      </c>
      <c r="J459" s="52" t="str">
        <f t="shared" si="23"/>
        <v/>
      </c>
      <c r="K459" s="142" t="str">
        <f>IF(OR($I459="",$I459="?",$D459&lt;&gt;"Advance",$B459=""),"",$I459&amp;"|"&amp;$J459&amp;"|"&amp;COUNTIFS($I$7:$I459,$I459,$J$7:$J459,$J459,$D$7:$D459,"Advance"))</f>
        <v/>
      </c>
      <c r="L459" s="143" t="str">
        <f>IF(OR($I459="",$I459="?",$B459=""),"",SUMPRODUCT((Weeks!$A$7:$A$59&lt;=$J459)*(Weeks!$X$5:$AI$5=$I459)*Weeks!$X$7:$AI$59)-SUMIFS($E$7:$E$1006,$I$7:$I$1006,$I459,$B$7:$B$1006,"&lt;="&amp;$B459))</f>
        <v/>
      </c>
      <c r="M459" s="132" t="str">
        <f>IF($B459&amp;$C459&amp;$D459&amp;$E459="","",IF($B459="","missing date",IF($C459="","missing worker",IF($I459="?","unknown worker - was the name changed on Workers?",IF($D459="","missing type",IF(N($E459)=0,"missing amount",IF(AND($E459&lt;0,$D459&lt;&gt;"Correction"),"negative amount - use a Correction to undo",IF(OR($B459&lt;Weeks!$A$7,$B459&gt;Weeks!$B$59),"date outside this workbook's year",IF(AND($D459="Advance",N($L459)&lt;0),"Warning: more than earned so far - worker now owes "&amp;TEXT(ROUND(-$L459,0),"#,##0"),"")))))))))</f>
        <v/>
      </c>
      <c r="N459" s="125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</row>
    <row r="460" spans="1:40" s="127" customFormat="1" ht="21" customHeight="1" x14ac:dyDescent="0.25">
      <c r="A460" s="51" t="str">
        <f t="shared" si="21"/>
        <v/>
      </c>
      <c r="B460" s="77"/>
      <c r="C460" s="133"/>
      <c r="D460" s="50"/>
      <c r="E460" s="141"/>
      <c r="F460" s="133"/>
      <c r="G460" s="133"/>
      <c r="H460" s="50"/>
      <c r="I460" s="51" t="str">
        <f t="shared" si="22"/>
        <v/>
      </c>
      <c r="J460" s="52" t="str">
        <f t="shared" si="23"/>
        <v/>
      </c>
      <c r="K460" s="142" t="str">
        <f>IF(OR($I460="",$I460="?",$D460&lt;&gt;"Advance",$B460=""),"",$I460&amp;"|"&amp;$J460&amp;"|"&amp;COUNTIFS($I$7:$I460,$I460,$J$7:$J460,$J460,$D$7:$D460,"Advance"))</f>
        <v/>
      </c>
      <c r="L460" s="143" t="str">
        <f>IF(OR($I460="",$I460="?",$B460=""),"",SUMPRODUCT((Weeks!$A$7:$A$59&lt;=$J460)*(Weeks!$X$5:$AI$5=$I460)*Weeks!$X$7:$AI$59)-SUMIFS($E$7:$E$1006,$I$7:$I$1006,$I460,$B$7:$B$1006,"&lt;="&amp;$B460))</f>
        <v/>
      </c>
      <c r="M460" s="132" t="str">
        <f>IF($B460&amp;$C460&amp;$D460&amp;$E460="","",IF($B460="","missing date",IF($C460="","missing worker",IF($I460="?","unknown worker - was the name changed on Workers?",IF($D460="","missing type",IF(N($E460)=0,"missing amount",IF(AND($E460&lt;0,$D460&lt;&gt;"Correction"),"negative amount - use a Correction to undo",IF(OR($B460&lt;Weeks!$A$7,$B460&gt;Weeks!$B$59),"date outside this workbook's year",IF(AND($D460="Advance",N($L460)&lt;0),"Warning: more than earned so far - worker now owes "&amp;TEXT(ROUND(-$L460,0),"#,##0"),"")))))))))</f>
        <v/>
      </c>
      <c r="N460" s="125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</row>
    <row r="461" spans="1:40" s="127" customFormat="1" ht="21" customHeight="1" x14ac:dyDescent="0.25">
      <c r="A461" s="51" t="str">
        <f t="shared" si="21"/>
        <v/>
      </c>
      <c r="B461" s="77"/>
      <c r="C461" s="133"/>
      <c r="D461" s="50"/>
      <c r="E461" s="141"/>
      <c r="F461" s="133"/>
      <c r="G461" s="133"/>
      <c r="H461" s="50"/>
      <c r="I461" s="51" t="str">
        <f t="shared" si="22"/>
        <v/>
      </c>
      <c r="J461" s="52" t="str">
        <f t="shared" si="23"/>
        <v/>
      </c>
      <c r="K461" s="142" t="str">
        <f>IF(OR($I461="",$I461="?",$D461&lt;&gt;"Advance",$B461=""),"",$I461&amp;"|"&amp;$J461&amp;"|"&amp;COUNTIFS($I$7:$I461,$I461,$J$7:$J461,$J461,$D$7:$D461,"Advance"))</f>
        <v/>
      </c>
      <c r="L461" s="143" t="str">
        <f>IF(OR($I461="",$I461="?",$B461=""),"",SUMPRODUCT((Weeks!$A$7:$A$59&lt;=$J461)*(Weeks!$X$5:$AI$5=$I461)*Weeks!$X$7:$AI$59)-SUMIFS($E$7:$E$1006,$I$7:$I$1006,$I461,$B$7:$B$1006,"&lt;="&amp;$B461))</f>
        <v/>
      </c>
      <c r="M461" s="132" t="str">
        <f>IF($B461&amp;$C461&amp;$D461&amp;$E461="","",IF($B461="","missing date",IF($C461="","missing worker",IF($I461="?","unknown worker - was the name changed on Workers?",IF($D461="","missing type",IF(N($E461)=0,"missing amount",IF(AND($E461&lt;0,$D461&lt;&gt;"Correction"),"negative amount - use a Correction to undo",IF(OR($B461&lt;Weeks!$A$7,$B461&gt;Weeks!$B$59),"date outside this workbook's year",IF(AND($D461="Advance",N($L461)&lt;0),"Warning: more than earned so far - worker now owes "&amp;TEXT(ROUND(-$L461,0),"#,##0"),"")))))))))</f>
        <v/>
      </c>
      <c r="N461" s="125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</row>
    <row r="462" spans="1:40" s="127" customFormat="1" ht="21" customHeight="1" x14ac:dyDescent="0.25">
      <c r="A462" s="51" t="str">
        <f t="shared" si="21"/>
        <v/>
      </c>
      <c r="B462" s="77"/>
      <c r="C462" s="133"/>
      <c r="D462" s="50"/>
      <c r="E462" s="141"/>
      <c r="F462" s="133"/>
      <c r="G462" s="133"/>
      <c r="H462" s="50"/>
      <c r="I462" s="51" t="str">
        <f t="shared" si="22"/>
        <v/>
      </c>
      <c r="J462" s="52" t="str">
        <f t="shared" si="23"/>
        <v/>
      </c>
      <c r="K462" s="142" t="str">
        <f>IF(OR($I462="",$I462="?",$D462&lt;&gt;"Advance",$B462=""),"",$I462&amp;"|"&amp;$J462&amp;"|"&amp;COUNTIFS($I$7:$I462,$I462,$J$7:$J462,$J462,$D$7:$D462,"Advance"))</f>
        <v/>
      </c>
      <c r="L462" s="143" t="str">
        <f>IF(OR($I462="",$I462="?",$B462=""),"",SUMPRODUCT((Weeks!$A$7:$A$59&lt;=$J462)*(Weeks!$X$5:$AI$5=$I462)*Weeks!$X$7:$AI$59)-SUMIFS($E$7:$E$1006,$I$7:$I$1006,$I462,$B$7:$B$1006,"&lt;="&amp;$B462))</f>
        <v/>
      </c>
      <c r="M462" s="132" t="str">
        <f>IF($B462&amp;$C462&amp;$D462&amp;$E462="","",IF($B462="","missing date",IF($C462="","missing worker",IF($I462="?","unknown worker - was the name changed on Workers?",IF($D462="","missing type",IF(N($E462)=0,"missing amount",IF(AND($E462&lt;0,$D462&lt;&gt;"Correction"),"negative amount - use a Correction to undo",IF(OR($B462&lt;Weeks!$A$7,$B462&gt;Weeks!$B$59),"date outside this workbook's year",IF(AND($D462="Advance",N($L462)&lt;0),"Warning: more than earned so far - worker now owes "&amp;TEXT(ROUND(-$L462,0),"#,##0"),"")))))))))</f>
        <v/>
      </c>
      <c r="N462" s="125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</row>
    <row r="463" spans="1:40" s="127" customFormat="1" ht="21" customHeight="1" x14ac:dyDescent="0.25">
      <c r="A463" s="51" t="str">
        <f t="shared" si="21"/>
        <v/>
      </c>
      <c r="B463" s="77"/>
      <c r="C463" s="133"/>
      <c r="D463" s="50"/>
      <c r="E463" s="141"/>
      <c r="F463" s="133"/>
      <c r="G463" s="133"/>
      <c r="H463" s="50"/>
      <c r="I463" s="51" t="str">
        <f t="shared" si="22"/>
        <v/>
      </c>
      <c r="J463" s="52" t="str">
        <f t="shared" si="23"/>
        <v/>
      </c>
      <c r="K463" s="142" t="str">
        <f>IF(OR($I463="",$I463="?",$D463&lt;&gt;"Advance",$B463=""),"",$I463&amp;"|"&amp;$J463&amp;"|"&amp;COUNTIFS($I$7:$I463,$I463,$J$7:$J463,$J463,$D$7:$D463,"Advance"))</f>
        <v/>
      </c>
      <c r="L463" s="143" t="str">
        <f>IF(OR($I463="",$I463="?",$B463=""),"",SUMPRODUCT((Weeks!$A$7:$A$59&lt;=$J463)*(Weeks!$X$5:$AI$5=$I463)*Weeks!$X$7:$AI$59)-SUMIFS($E$7:$E$1006,$I$7:$I$1006,$I463,$B$7:$B$1006,"&lt;="&amp;$B463))</f>
        <v/>
      </c>
      <c r="M463" s="132" t="str">
        <f>IF($B463&amp;$C463&amp;$D463&amp;$E463="","",IF($B463="","missing date",IF($C463="","missing worker",IF($I463="?","unknown worker - was the name changed on Workers?",IF($D463="","missing type",IF(N($E463)=0,"missing amount",IF(AND($E463&lt;0,$D463&lt;&gt;"Correction"),"negative amount - use a Correction to undo",IF(OR($B463&lt;Weeks!$A$7,$B463&gt;Weeks!$B$59),"date outside this workbook's year",IF(AND($D463="Advance",N($L463)&lt;0),"Warning: more than earned so far - worker now owes "&amp;TEXT(ROUND(-$L463,0),"#,##0"),"")))))))))</f>
        <v/>
      </c>
      <c r="N463" s="125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</row>
    <row r="464" spans="1:40" s="127" customFormat="1" ht="21" customHeight="1" x14ac:dyDescent="0.25">
      <c r="A464" s="51" t="str">
        <f t="shared" si="21"/>
        <v/>
      </c>
      <c r="B464" s="77"/>
      <c r="C464" s="133"/>
      <c r="D464" s="50"/>
      <c r="E464" s="141"/>
      <c r="F464" s="133"/>
      <c r="G464" s="133"/>
      <c r="H464" s="50"/>
      <c r="I464" s="51" t="str">
        <f t="shared" si="22"/>
        <v/>
      </c>
      <c r="J464" s="52" t="str">
        <f t="shared" si="23"/>
        <v/>
      </c>
      <c r="K464" s="142" t="str">
        <f>IF(OR($I464="",$I464="?",$D464&lt;&gt;"Advance",$B464=""),"",$I464&amp;"|"&amp;$J464&amp;"|"&amp;COUNTIFS($I$7:$I464,$I464,$J$7:$J464,$J464,$D$7:$D464,"Advance"))</f>
        <v/>
      </c>
      <c r="L464" s="143" t="str">
        <f>IF(OR($I464="",$I464="?",$B464=""),"",SUMPRODUCT((Weeks!$A$7:$A$59&lt;=$J464)*(Weeks!$X$5:$AI$5=$I464)*Weeks!$X$7:$AI$59)-SUMIFS($E$7:$E$1006,$I$7:$I$1006,$I464,$B$7:$B$1006,"&lt;="&amp;$B464))</f>
        <v/>
      </c>
      <c r="M464" s="132" t="str">
        <f>IF($B464&amp;$C464&amp;$D464&amp;$E464="","",IF($B464="","missing date",IF($C464="","missing worker",IF($I464="?","unknown worker - was the name changed on Workers?",IF($D464="","missing type",IF(N($E464)=0,"missing amount",IF(AND($E464&lt;0,$D464&lt;&gt;"Correction"),"negative amount - use a Correction to undo",IF(OR($B464&lt;Weeks!$A$7,$B464&gt;Weeks!$B$59),"date outside this workbook's year",IF(AND($D464="Advance",N($L464)&lt;0),"Warning: more than earned so far - worker now owes "&amp;TEXT(ROUND(-$L464,0),"#,##0"),"")))))))))</f>
        <v/>
      </c>
      <c r="N464" s="125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</row>
    <row r="465" spans="1:40" s="127" customFormat="1" ht="21" customHeight="1" x14ac:dyDescent="0.25">
      <c r="A465" s="51" t="str">
        <f t="shared" si="21"/>
        <v/>
      </c>
      <c r="B465" s="77"/>
      <c r="C465" s="133"/>
      <c r="D465" s="50"/>
      <c r="E465" s="141"/>
      <c r="F465" s="133"/>
      <c r="G465" s="133"/>
      <c r="H465" s="50"/>
      <c r="I465" s="51" t="str">
        <f t="shared" si="22"/>
        <v/>
      </c>
      <c r="J465" s="52" t="str">
        <f t="shared" si="23"/>
        <v/>
      </c>
      <c r="K465" s="142" t="str">
        <f>IF(OR($I465="",$I465="?",$D465&lt;&gt;"Advance",$B465=""),"",$I465&amp;"|"&amp;$J465&amp;"|"&amp;COUNTIFS($I$7:$I465,$I465,$J$7:$J465,$J465,$D$7:$D465,"Advance"))</f>
        <v/>
      </c>
      <c r="L465" s="143" t="str">
        <f>IF(OR($I465="",$I465="?",$B465=""),"",SUMPRODUCT((Weeks!$A$7:$A$59&lt;=$J465)*(Weeks!$X$5:$AI$5=$I465)*Weeks!$X$7:$AI$59)-SUMIFS($E$7:$E$1006,$I$7:$I$1006,$I465,$B$7:$B$1006,"&lt;="&amp;$B465))</f>
        <v/>
      </c>
      <c r="M465" s="132" t="str">
        <f>IF($B465&amp;$C465&amp;$D465&amp;$E465="","",IF($B465="","missing date",IF($C465="","missing worker",IF($I465="?","unknown worker - was the name changed on Workers?",IF($D465="","missing type",IF(N($E465)=0,"missing amount",IF(AND($E465&lt;0,$D465&lt;&gt;"Correction"),"negative amount - use a Correction to undo",IF(OR($B465&lt;Weeks!$A$7,$B465&gt;Weeks!$B$59),"date outside this workbook's year",IF(AND($D465="Advance",N($L465)&lt;0),"Warning: more than earned so far - worker now owes "&amp;TEXT(ROUND(-$L465,0),"#,##0"),"")))))))))</f>
        <v/>
      </c>
      <c r="N465" s="125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</row>
    <row r="466" spans="1:40" s="127" customFormat="1" ht="21" customHeight="1" x14ac:dyDescent="0.25">
      <c r="A466" s="51" t="str">
        <f t="shared" si="21"/>
        <v/>
      </c>
      <c r="B466" s="77"/>
      <c r="C466" s="133"/>
      <c r="D466" s="50"/>
      <c r="E466" s="141"/>
      <c r="F466" s="133"/>
      <c r="G466" s="133"/>
      <c r="H466" s="50"/>
      <c r="I466" s="51" t="str">
        <f t="shared" si="22"/>
        <v/>
      </c>
      <c r="J466" s="52" t="str">
        <f t="shared" si="23"/>
        <v/>
      </c>
      <c r="K466" s="142" t="str">
        <f>IF(OR($I466="",$I466="?",$D466&lt;&gt;"Advance",$B466=""),"",$I466&amp;"|"&amp;$J466&amp;"|"&amp;COUNTIFS($I$7:$I466,$I466,$J$7:$J466,$J466,$D$7:$D466,"Advance"))</f>
        <v/>
      </c>
      <c r="L466" s="143" t="str">
        <f>IF(OR($I466="",$I466="?",$B466=""),"",SUMPRODUCT((Weeks!$A$7:$A$59&lt;=$J466)*(Weeks!$X$5:$AI$5=$I466)*Weeks!$X$7:$AI$59)-SUMIFS($E$7:$E$1006,$I$7:$I$1006,$I466,$B$7:$B$1006,"&lt;="&amp;$B466))</f>
        <v/>
      </c>
      <c r="M466" s="132" t="str">
        <f>IF($B466&amp;$C466&amp;$D466&amp;$E466="","",IF($B466="","missing date",IF($C466="","missing worker",IF($I466="?","unknown worker - was the name changed on Workers?",IF($D466="","missing type",IF(N($E466)=0,"missing amount",IF(AND($E466&lt;0,$D466&lt;&gt;"Correction"),"negative amount - use a Correction to undo",IF(OR($B466&lt;Weeks!$A$7,$B466&gt;Weeks!$B$59),"date outside this workbook's year",IF(AND($D466="Advance",N($L466)&lt;0),"Warning: more than earned so far - worker now owes "&amp;TEXT(ROUND(-$L466,0),"#,##0"),"")))))))))</f>
        <v/>
      </c>
      <c r="N466" s="125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</row>
    <row r="467" spans="1:40" s="127" customFormat="1" ht="21" customHeight="1" x14ac:dyDescent="0.25">
      <c r="A467" s="51" t="str">
        <f t="shared" si="21"/>
        <v/>
      </c>
      <c r="B467" s="77"/>
      <c r="C467" s="133"/>
      <c r="D467" s="50"/>
      <c r="E467" s="141"/>
      <c r="F467" s="133"/>
      <c r="G467" s="133"/>
      <c r="H467" s="50"/>
      <c r="I467" s="51" t="str">
        <f t="shared" si="22"/>
        <v/>
      </c>
      <c r="J467" s="52" t="str">
        <f t="shared" si="23"/>
        <v/>
      </c>
      <c r="K467" s="142" t="str">
        <f>IF(OR($I467="",$I467="?",$D467&lt;&gt;"Advance",$B467=""),"",$I467&amp;"|"&amp;$J467&amp;"|"&amp;COUNTIFS($I$7:$I467,$I467,$J$7:$J467,$J467,$D$7:$D467,"Advance"))</f>
        <v/>
      </c>
      <c r="L467" s="143" t="str">
        <f>IF(OR($I467="",$I467="?",$B467=""),"",SUMPRODUCT((Weeks!$A$7:$A$59&lt;=$J467)*(Weeks!$X$5:$AI$5=$I467)*Weeks!$X$7:$AI$59)-SUMIFS($E$7:$E$1006,$I$7:$I$1006,$I467,$B$7:$B$1006,"&lt;="&amp;$B467))</f>
        <v/>
      </c>
      <c r="M467" s="132" t="str">
        <f>IF($B467&amp;$C467&amp;$D467&amp;$E467="","",IF($B467="","missing date",IF($C467="","missing worker",IF($I467="?","unknown worker - was the name changed on Workers?",IF($D467="","missing type",IF(N($E467)=0,"missing amount",IF(AND($E467&lt;0,$D467&lt;&gt;"Correction"),"negative amount - use a Correction to undo",IF(OR($B467&lt;Weeks!$A$7,$B467&gt;Weeks!$B$59),"date outside this workbook's year",IF(AND($D467="Advance",N($L467)&lt;0),"Warning: more than earned so far - worker now owes "&amp;TEXT(ROUND(-$L467,0),"#,##0"),"")))))))))</f>
        <v/>
      </c>
      <c r="N467" s="125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</row>
    <row r="468" spans="1:40" s="127" customFormat="1" ht="21" customHeight="1" x14ac:dyDescent="0.25">
      <c r="A468" s="51" t="str">
        <f t="shared" si="21"/>
        <v/>
      </c>
      <c r="B468" s="77"/>
      <c r="C468" s="133"/>
      <c r="D468" s="50"/>
      <c r="E468" s="141"/>
      <c r="F468" s="133"/>
      <c r="G468" s="133"/>
      <c r="H468" s="50"/>
      <c r="I468" s="51" t="str">
        <f t="shared" si="22"/>
        <v/>
      </c>
      <c r="J468" s="52" t="str">
        <f t="shared" si="23"/>
        <v/>
      </c>
      <c r="K468" s="142" t="str">
        <f>IF(OR($I468="",$I468="?",$D468&lt;&gt;"Advance",$B468=""),"",$I468&amp;"|"&amp;$J468&amp;"|"&amp;COUNTIFS($I$7:$I468,$I468,$J$7:$J468,$J468,$D$7:$D468,"Advance"))</f>
        <v/>
      </c>
      <c r="L468" s="143" t="str">
        <f>IF(OR($I468="",$I468="?",$B468=""),"",SUMPRODUCT((Weeks!$A$7:$A$59&lt;=$J468)*(Weeks!$X$5:$AI$5=$I468)*Weeks!$X$7:$AI$59)-SUMIFS($E$7:$E$1006,$I$7:$I$1006,$I468,$B$7:$B$1006,"&lt;="&amp;$B468))</f>
        <v/>
      </c>
      <c r="M468" s="132" t="str">
        <f>IF($B468&amp;$C468&amp;$D468&amp;$E468="","",IF($B468="","missing date",IF($C468="","missing worker",IF($I468="?","unknown worker - was the name changed on Workers?",IF($D468="","missing type",IF(N($E468)=0,"missing amount",IF(AND($E468&lt;0,$D468&lt;&gt;"Correction"),"negative amount - use a Correction to undo",IF(OR($B468&lt;Weeks!$A$7,$B468&gt;Weeks!$B$59),"date outside this workbook's year",IF(AND($D468="Advance",N($L468)&lt;0),"Warning: more than earned so far - worker now owes "&amp;TEXT(ROUND(-$L468,0),"#,##0"),"")))))))))</f>
        <v/>
      </c>
      <c r="N468" s="125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</row>
    <row r="469" spans="1:40" s="127" customFormat="1" ht="21" customHeight="1" x14ac:dyDescent="0.25">
      <c r="A469" s="51" t="str">
        <f t="shared" si="21"/>
        <v/>
      </c>
      <c r="B469" s="77"/>
      <c r="C469" s="133"/>
      <c r="D469" s="50"/>
      <c r="E469" s="141"/>
      <c r="F469" s="133"/>
      <c r="G469" s="133"/>
      <c r="H469" s="50"/>
      <c r="I469" s="51" t="str">
        <f t="shared" si="22"/>
        <v/>
      </c>
      <c r="J469" s="52" t="str">
        <f t="shared" si="23"/>
        <v/>
      </c>
      <c r="K469" s="142" t="str">
        <f>IF(OR($I469="",$I469="?",$D469&lt;&gt;"Advance",$B469=""),"",$I469&amp;"|"&amp;$J469&amp;"|"&amp;COUNTIFS($I$7:$I469,$I469,$J$7:$J469,$J469,$D$7:$D469,"Advance"))</f>
        <v/>
      </c>
      <c r="L469" s="143" t="str">
        <f>IF(OR($I469="",$I469="?",$B469=""),"",SUMPRODUCT((Weeks!$A$7:$A$59&lt;=$J469)*(Weeks!$X$5:$AI$5=$I469)*Weeks!$X$7:$AI$59)-SUMIFS($E$7:$E$1006,$I$7:$I$1006,$I469,$B$7:$B$1006,"&lt;="&amp;$B469))</f>
        <v/>
      </c>
      <c r="M469" s="132" t="str">
        <f>IF($B469&amp;$C469&amp;$D469&amp;$E469="","",IF($B469="","missing date",IF($C469="","missing worker",IF($I469="?","unknown worker - was the name changed on Workers?",IF($D469="","missing type",IF(N($E469)=0,"missing amount",IF(AND($E469&lt;0,$D469&lt;&gt;"Correction"),"negative amount - use a Correction to undo",IF(OR($B469&lt;Weeks!$A$7,$B469&gt;Weeks!$B$59),"date outside this workbook's year",IF(AND($D469="Advance",N($L469)&lt;0),"Warning: more than earned so far - worker now owes "&amp;TEXT(ROUND(-$L469,0),"#,##0"),"")))))))))</f>
        <v/>
      </c>
      <c r="N469" s="125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</row>
    <row r="470" spans="1:40" s="127" customFormat="1" ht="21" customHeight="1" x14ac:dyDescent="0.25">
      <c r="A470" s="51" t="str">
        <f t="shared" si="21"/>
        <v/>
      </c>
      <c r="B470" s="77"/>
      <c r="C470" s="133"/>
      <c r="D470" s="50"/>
      <c r="E470" s="141"/>
      <c r="F470" s="133"/>
      <c r="G470" s="133"/>
      <c r="H470" s="50"/>
      <c r="I470" s="51" t="str">
        <f t="shared" si="22"/>
        <v/>
      </c>
      <c r="J470" s="52" t="str">
        <f t="shared" si="23"/>
        <v/>
      </c>
      <c r="K470" s="142" t="str">
        <f>IF(OR($I470="",$I470="?",$D470&lt;&gt;"Advance",$B470=""),"",$I470&amp;"|"&amp;$J470&amp;"|"&amp;COUNTIFS($I$7:$I470,$I470,$J$7:$J470,$J470,$D$7:$D470,"Advance"))</f>
        <v/>
      </c>
      <c r="L470" s="143" t="str">
        <f>IF(OR($I470="",$I470="?",$B470=""),"",SUMPRODUCT((Weeks!$A$7:$A$59&lt;=$J470)*(Weeks!$X$5:$AI$5=$I470)*Weeks!$X$7:$AI$59)-SUMIFS($E$7:$E$1006,$I$7:$I$1006,$I470,$B$7:$B$1006,"&lt;="&amp;$B470))</f>
        <v/>
      </c>
      <c r="M470" s="132" t="str">
        <f>IF($B470&amp;$C470&amp;$D470&amp;$E470="","",IF($B470="","missing date",IF($C470="","missing worker",IF($I470="?","unknown worker - was the name changed on Workers?",IF($D470="","missing type",IF(N($E470)=0,"missing amount",IF(AND($E470&lt;0,$D470&lt;&gt;"Correction"),"negative amount - use a Correction to undo",IF(OR($B470&lt;Weeks!$A$7,$B470&gt;Weeks!$B$59),"date outside this workbook's year",IF(AND($D470="Advance",N($L470)&lt;0),"Warning: more than earned so far - worker now owes "&amp;TEXT(ROUND(-$L470,0),"#,##0"),"")))))))))</f>
        <v/>
      </c>
      <c r="N470" s="125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</row>
    <row r="471" spans="1:40" s="127" customFormat="1" ht="21" customHeight="1" x14ac:dyDescent="0.25">
      <c r="A471" s="51" t="str">
        <f t="shared" si="21"/>
        <v/>
      </c>
      <c r="B471" s="77"/>
      <c r="C471" s="133"/>
      <c r="D471" s="50"/>
      <c r="E471" s="141"/>
      <c r="F471" s="133"/>
      <c r="G471" s="133"/>
      <c r="H471" s="50"/>
      <c r="I471" s="51" t="str">
        <f t="shared" si="22"/>
        <v/>
      </c>
      <c r="J471" s="52" t="str">
        <f t="shared" si="23"/>
        <v/>
      </c>
      <c r="K471" s="142" t="str">
        <f>IF(OR($I471="",$I471="?",$D471&lt;&gt;"Advance",$B471=""),"",$I471&amp;"|"&amp;$J471&amp;"|"&amp;COUNTIFS($I$7:$I471,$I471,$J$7:$J471,$J471,$D$7:$D471,"Advance"))</f>
        <v/>
      </c>
      <c r="L471" s="143" t="str">
        <f>IF(OR($I471="",$I471="?",$B471=""),"",SUMPRODUCT((Weeks!$A$7:$A$59&lt;=$J471)*(Weeks!$X$5:$AI$5=$I471)*Weeks!$X$7:$AI$59)-SUMIFS($E$7:$E$1006,$I$7:$I$1006,$I471,$B$7:$B$1006,"&lt;="&amp;$B471))</f>
        <v/>
      </c>
      <c r="M471" s="132" t="str">
        <f>IF($B471&amp;$C471&amp;$D471&amp;$E471="","",IF($B471="","missing date",IF($C471="","missing worker",IF($I471="?","unknown worker - was the name changed on Workers?",IF($D471="","missing type",IF(N($E471)=0,"missing amount",IF(AND($E471&lt;0,$D471&lt;&gt;"Correction"),"negative amount - use a Correction to undo",IF(OR($B471&lt;Weeks!$A$7,$B471&gt;Weeks!$B$59),"date outside this workbook's year",IF(AND($D471="Advance",N($L471)&lt;0),"Warning: more than earned so far - worker now owes "&amp;TEXT(ROUND(-$L471,0),"#,##0"),"")))))))))</f>
        <v/>
      </c>
      <c r="N471" s="125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</row>
    <row r="472" spans="1:40" s="127" customFormat="1" ht="21" customHeight="1" x14ac:dyDescent="0.25">
      <c r="A472" s="51" t="str">
        <f t="shared" si="21"/>
        <v/>
      </c>
      <c r="B472" s="77"/>
      <c r="C472" s="133"/>
      <c r="D472" s="50"/>
      <c r="E472" s="141"/>
      <c r="F472" s="133"/>
      <c r="G472" s="133"/>
      <c r="H472" s="50"/>
      <c r="I472" s="51" t="str">
        <f t="shared" si="22"/>
        <v/>
      </c>
      <c r="J472" s="52" t="str">
        <f t="shared" si="23"/>
        <v/>
      </c>
      <c r="K472" s="142" t="str">
        <f>IF(OR($I472="",$I472="?",$D472&lt;&gt;"Advance",$B472=""),"",$I472&amp;"|"&amp;$J472&amp;"|"&amp;COUNTIFS($I$7:$I472,$I472,$J$7:$J472,$J472,$D$7:$D472,"Advance"))</f>
        <v/>
      </c>
      <c r="L472" s="143" t="str">
        <f>IF(OR($I472="",$I472="?",$B472=""),"",SUMPRODUCT((Weeks!$A$7:$A$59&lt;=$J472)*(Weeks!$X$5:$AI$5=$I472)*Weeks!$X$7:$AI$59)-SUMIFS($E$7:$E$1006,$I$7:$I$1006,$I472,$B$7:$B$1006,"&lt;="&amp;$B472))</f>
        <v/>
      </c>
      <c r="M472" s="132" t="str">
        <f>IF($B472&amp;$C472&amp;$D472&amp;$E472="","",IF($B472="","missing date",IF($C472="","missing worker",IF($I472="?","unknown worker - was the name changed on Workers?",IF($D472="","missing type",IF(N($E472)=0,"missing amount",IF(AND($E472&lt;0,$D472&lt;&gt;"Correction"),"negative amount - use a Correction to undo",IF(OR($B472&lt;Weeks!$A$7,$B472&gt;Weeks!$B$59),"date outside this workbook's year",IF(AND($D472="Advance",N($L472)&lt;0),"Warning: more than earned so far - worker now owes "&amp;TEXT(ROUND(-$L472,0),"#,##0"),"")))))))))</f>
        <v/>
      </c>
      <c r="N472" s="125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</row>
    <row r="473" spans="1:40" s="127" customFormat="1" ht="21" customHeight="1" x14ac:dyDescent="0.25">
      <c r="A473" s="51" t="str">
        <f t="shared" si="21"/>
        <v/>
      </c>
      <c r="B473" s="77"/>
      <c r="C473" s="133"/>
      <c r="D473" s="50"/>
      <c r="E473" s="141"/>
      <c r="F473" s="133"/>
      <c r="G473" s="133"/>
      <c r="H473" s="50"/>
      <c r="I473" s="51" t="str">
        <f t="shared" si="22"/>
        <v/>
      </c>
      <c r="J473" s="52" t="str">
        <f t="shared" si="23"/>
        <v/>
      </c>
      <c r="K473" s="142" t="str">
        <f>IF(OR($I473="",$I473="?",$D473&lt;&gt;"Advance",$B473=""),"",$I473&amp;"|"&amp;$J473&amp;"|"&amp;COUNTIFS($I$7:$I473,$I473,$J$7:$J473,$J473,$D$7:$D473,"Advance"))</f>
        <v/>
      </c>
      <c r="L473" s="143" t="str">
        <f>IF(OR($I473="",$I473="?",$B473=""),"",SUMPRODUCT((Weeks!$A$7:$A$59&lt;=$J473)*(Weeks!$X$5:$AI$5=$I473)*Weeks!$X$7:$AI$59)-SUMIFS($E$7:$E$1006,$I$7:$I$1006,$I473,$B$7:$B$1006,"&lt;="&amp;$B473))</f>
        <v/>
      </c>
      <c r="M473" s="132" t="str">
        <f>IF($B473&amp;$C473&amp;$D473&amp;$E473="","",IF($B473="","missing date",IF($C473="","missing worker",IF($I473="?","unknown worker - was the name changed on Workers?",IF($D473="","missing type",IF(N($E473)=0,"missing amount",IF(AND($E473&lt;0,$D473&lt;&gt;"Correction"),"negative amount - use a Correction to undo",IF(OR($B473&lt;Weeks!$A$7,$B473&gt;Weeks!$B$59),"date outside this workbook's year",IF(AND($D473="Advance",N($L473)&lt;0),"Warning: more than earned so far - worker now owes "&amp;TEXT(ROUND(-$L473,0),"#,##0"),"")))))))))</f>
        <v/>
      </c>
      <c r="N473" s="125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</row>
    <row r="474" spans="1:40" s="127" customFormat="1" ht="21" customHeight="1" x14ac:dyDescent="0.25">
      <c r="A474" s="51" t="str">
        <f t="shared" si="21"/>
        <v/>
      </c>
      <c r="B474" s="77"/>
      <c r="C474" s="133"/>
      <c r="D474" s="50"/>
      <c r="E474" s="141"/>
      <c r="F474" s="133"/>
      <c r="G474" s="133"/>
      <c r="H474" s="50"/>
      <c r="I474" s="51" t="str">
        <f t="shared" si="22"/>
        <v/>
      </c>
      <c r="J474" s="52" t="str">
        <f t="shared" si="23"/>
        <v/>
      </c>
      <c r="K474" s="142" t="str">
        <f>IF(OR($I474="",$I474="?",$D474&lt;&gt;"Advance",$B474=""),"",$I474&amp;"|"&amp;$J474&amp;"|"&amp;COUNTIFS($I$7:$I474,$I474,$J$7:$J474,$J474,$D$7:$D474,"Advance"))</f>
        <v/>
      </c>
      <c r="L474" s="143" t="str">
        <f>IF(OR($I474="",$I474="?",$B474=""),"",SUMPRODUCT((Weeks!$A$7:$A$59&lt;=$J474)*(Weeks!$X$5:$AI$5=$I474)*Weeks!$X$7:$AI$59)-SUMIFS($E$7:$E$1006,$I$7:$I$1006,$I474,$B$7:$B$1006,"&lt;="&amp;$B474))</f>
        <v/>
      </c>
      <c r="M474" s="132" t="str">
        <f>IF($B474&amp;$C474&amp;$D474&amp;$E474="","",IF($B474="","missing date",IF($C474="","missing worker",IF($I474="?","unknown worker - was the name changed on Workers?",IF($D474="","missing type",IF(N($E474)=0,"missing amount",IF(AND($E474&lt;0,$D474&lt;&gt;"Correction"),"negative amount - use a Correction to undo",IF(OR($B474&lt;Weeks!$A$7,$B474&gt;Weeks!$B$59),"date outside this workbook's year",IF(AND($D474="Advance",N($L474)&lt;0),"Warning: more than earned so far - worker now owes "&amp;TEXT(ROUND(-$L474,0),"#,##0"),"")))))))))</f>
        <v/>
      </c>
      <c r="N474" s="125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</row>
    <row r="475" spans="1:40" s="127" customFormat="1" ht="21" customHeight="1" x14ac:dyDescent="0.25">
      <c r="A475" s="51" t="str">
        <f t="shared" si="21"/>
        <v/>
      </c>
      <c r="B475" s="77"/>
      <c r="C475" s="133"/>
      <c r="D475" s="50"/>
      <c r="E475" s="141"/>
      <c r="F475" s="133"/>
      <c r="G475" s="133"/>
      <c r="H475" s="50"/>
      <c r="I475" s="51" t="str">
        <f t="shared" si="22"/>
        <v/>
      </c>
      <c r="J475" s="52" t="str">
        <f t="shared" si="23"/>
        <v/>
      </c>
      <c r="K475" s="142" t="str">
        <f>IF(OR($I475="",$I475="?",$D475&lt;&gt;"Advance",$B475=""),"",$I475&amp;"|"&amp;$J475&amp;"|"&amp;COUNTIFS($I$7:$I475,$I475,$J$7:$J475,$J475,$D$7:$D475,"Advance"))</f>
        <v/>
      </c>
      <c r="L475" s="143" t="str">
        <f>IF(OR($I475="",$I475="?",$B475=""),"",SUMPRODUCT((Weeks!$A$7:$A$59&lt;=$J475)*(Weeks!$X$5:$AI$5=$I475)*Weeks!$X$7:$AI$59)-SUMIFS($E$7:$E$1006,$I$7:$I$1006,$I475,$B$7:$B$1006,"&lt;="&amp;$B475))</f>
        <v/>
      </c>
      <c r="M475" s="132" t="str">
        <f>IF($B475&amp;$C475&amp;$D475&amp;$E475="","",IF($B475="","missing date",IF($C475="","missing worker",IF($I475="?","unknown worker - was the name changed on Workers?",IF($D475="","missing type",IF(N($E475)=0,"missing amount",IF(AND($E475&lt;0,$D475&lt;&gt;"Correction"),"negative amount - use a Correction to undo",IF(OR($B475&lt;Weeks!$A$7,$B475&gt;Weeks!$B$59),"date outside this workbook's year",IF(AND($D475="Advance",N($L475)&lt;0),"Warning: more than earned so far - worker now owes "&amp;TEXT(ROUND(-$L475,0),"#,##0"),"")))))))))</f>
        <v/>
      </c>
      <c r="N475" s="125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</row>
    <row r="476" spans="1:40" s="127" customFormat="1" ht="21" customHeight="1" x14ac:dyDescent="0.25">
      <c r="A476" s="51" t="str">
        <f t="shared" si="21"/>
        <v/>
      </c>
      <c r="B476" s="77"/>
      <c r="C476" s="133"/>
      <c r="D476" s="50"/>
      <c r="E476" s="141"/>
      <c r="F476" s="133"/>
      <c r="G476" s="133"/>
      <c r="H476" s="50"/>
      <c r="I476" s="51" t="str">
        <f t="shared" si="22"/>
        <v/>
      </c>
      <c r="J476" s="52" t="str">
        <f t="shared" si="23"/>
        <v/>
      </c>
      <c r="K476" s="142" t="str">
        <f>IF(OR($I476="",$I476="?",$D476&lt;&gt;"Advance",$B476=""),"",$I476&amp;"|"&amp;$J476&amp;"|"&amp;COUNTIFS($I$7:$I476,$I476,$J$7:$J476,$J476,$D$7:$D476,"Advance"))</f>
        <v/>
      </c>
      <c r="L476" s="143" t="str">
        <f>IF(OR($I476="",$I476="?",$B476=""),"",SUMPRODUCT((Weeks!$A$7:$A$59&lt;=$J476)*(Weeks!$X$5:$AI$5=$I476)*Weeks!$X$7:$AI$59)-SUMIFS($E$7:$E$1006,$I$7:$I$1006,$I476,$B$7:$B$1006,"&lt;="&amp;$B476))</f>
        <v/>
      </c>
      <c r="M476" s="132" t="str">
        <f>IF($B476&amp;$C476&amp;$D476&amp;$E476="","",IF($B476="","missing date",IF($C476="","missing worker",IF($I476="?","unknown worker - was the name changed on Workers?",IF($D476="","missing type",IF(N($E476)=0,"missing amount",IF(AND($E476&lt;0,$D476&lt;&gt;"Correction"),"negative amount - use a Correction to undo",IF(OR($B476&lt;Weeks!$A$7,$B476&gt;Weeks!$B$59),"date outside this workbook's year",IF(AND($D476="Advance",N($L476)&lt;0),"Warning: more than earned so far - worker now owes "&amp;TEXT(ROUND(-$L476,0),"#,##0"),"")))))))))</f>
        <v/>
      </c>
      <c r="N476" s="125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</row>
    <row r="477" spans="1:40" s="127" customFormat="1" ht="21" customHeight="1" x14ac:dyDescent="0.25">
      <c r="A477" s="51" t="str">
        <f t="shared" si="21"/>
        <v/>
      </c>
      <c r="B477" s="77"/>
      <c r="C477" s="133"/>
      <c r="D477" s="50"/>
      <c r="E477" s="141"/>
      <c r="F477" s="133"/>
      <c r="G477" s="133"/>
      <c r="H477" s="50"/>
      <c r="I477" s="51" t="str">
        <f t="shared" si="22"/>
        <v/>
      </c>
      <c r="J477" s="52" t="str">
        <f t="shared" si="23"/>
        <v/>
      </c>
      <c r="K477" s="142" t="str">
        <f>IF(OR($I477="",$I477="?",$D477&lt;&gt;"Advance",$B477=""),"",$I477&amp;"|"&amp;$J477&amp;"|"&amp;COUNTIFS($I$7:$I477,$I477,$J$7:$J477,$J477,$D$7:$D477,"Advance"))</f>
        <v/>
      </c>
      <c r="L477" s="143" t="str">
        <f>IF(OR($I477="",$I477="?",$B477=""),"",SUMPRODUCT((Weeks!$A$7:$A$59&lt;=$J477)*(Weeks!$X$5:$AI$5=$I477)*Weeks!$X$7:$AI$59)-SUMIFS($E$7:$E$1006,$I$7:$I$1006,$I477,$B$7:$B$1006,"&lt;="&amp;$B477))</f>
        <v/>
      </c>
      <c r="M477" s="132" t="str">
        <f>IF($B477&amp;$C477&amp;$D477&amp;$E477="","",IF($B477="","missing date",IF($C477="","missing worker",IF($I477="?","unknown worker - was the name changed on Workers?",IF($D477="","missing type",IF(N($E477)=0,"missing amount",IF(AND($E477&lt;0,$D477&lt;&gt;"Correction"),"negative amount - use a Correction to undo",IF(OR($B477&lt;Weeks!$A$7,$B477&gt;Weeks!$B$59),"date outside this workbook's year",IF(AND($D477="Advance",N($L477)&lt;0),"Warning: more than earned so far - worker now owes "&amp;TEXT(ROUND(-$L477,0),"#,##0"),"")))))))))</f>
        <v/>
      </c>
      <c r="N477" s="125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</row>
    <row r="478" spans="1:40" s="127" customFormat="1" ht="21" customHeight="1" x14ac:dyDescent="0.25">
      <c r="A478" s="51" t="str">
        <f t="shared" si="21"/>
        <v/>
      </c>
      <c r="B478" s="77"/>
      <c r="C478" s="133"/>
      <c r="D478" s="50"/>
      <c r="E478" s="141"/>
      <c r="F478" s="133"/>
      <c r="G478" s="133"/>
      <c r="H478" s="50"/>
      <c r="I478" s="51" t="str">
        <f t="shared" si="22"/>
        <v/>
      </c>
      <c r="J478" s="52" t="str">
        <f t="shared" si="23"/>
        <v/>
      </c>
      <c r="K478" s="142" t="str">
        <f>IF(OR($I478="",$I478="?",$D478&lt;&gt;"Advance",$B478=""),"",$I478&amp;"|"&amp;$J478&amp;"|"&amp;COUNTIFS($I$7:$I478,$I478,$J$7:$J478,$J478,$D$7:$D478,"Advance"))</f>
        <v/>
      </c>
      <c r="L478" s="143" t="str">
        <f>IF(OR($I478="",$I478="?",$B478=""),"",SUMPRODUCT((Weeks!$A$7:$A$59&lt;=$J478)*(Weeks!$X$5:$AI$5=$I478)*Weeks!$X$7:$AI$59)-SUMIFS($E$7:$E$1006,$I$7:$I$1006,$I478,$B$7:$B$1006,"&lt;="&amp;$B478))</f>
        <v/>
      </c>
      <c r="M478" s="132" t="str">
        <f>IF($B478&amp;$C478&amp;$D478&amp;$E478="","",IF($B478="","missing date",IF($C478="","missing worker",IF($I478="?","unknown worker - was the name changed on Workers?",IF($D478="","missing type",IF(N($E478)=0,"missing amount",IF(AND($E478&lt;0,$D478&lt;&gt;"Correction"),"negative amount - use a Correction to undo",IF(OR($B478&lt;Weeks!$A$7,$B478&gt;Weeks!$B$59),"date outside this workbook's year",IF(AND($D478="Advance",N($L478)&lt;0),"Warning: more than earned so far - worker now owes "&amp;TEXT(ROUND(-$L478,0),"#,##0"),"")))))))))</f>
        <v/>
      </c>
      <c r="N478" s="125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</row>
    <row r="479" spans="1:40" s="127" customFormat="1" ht="21" customHeight="1" x14ac:dyDescent="0.25">
      <c r="A479" s="51" t="str">
        <f t="shared" si="21"/>
        <v/>
      </c>
      <c r="B479" s="77"/>
      <c r="C479" s="133"/>
      <c r="D479" s="50"/>
      <c r="E479" s="141"/>
      <c r="F479" s="133"/>
      <c r="G479" s="133"/>
      <c r="H479" s="50"/>
      <c r="I479" s="51" t="str">
        <f t="shared" si="22"/>
        <v/>
      </c>
      <c r="J479" s="52" t="str">
        <f t="shared" si="23"/>
        <v/>
      </c>
      <c r="K479" s="142" t="str">
        <f>IF(OR($I479="",$I479="?",$D479&lt;&gt;"Advance",$B479=""),"",$I479&amp;"|"&amp;$J479&amp;"|"&amp;COUNTIFS($I$7:$I479,$I479,$J$7:$J479,$J479,$D$7:$D479,"Advance"))</f>
        <v/>
      </c>
      <c r="L479" s="143" t="str">
        <f>IF(OR($I479="",$I479="?",$B479=""),"",SUMPRODUCT((Weeks!$A$7:$A$59&lt;=$J479)*(Weeks!$X$5:$AI$5=$I479)*Weeks!$X$7:$AI$59)-SUMIFS($E$7:$E$1006,$I$7:$I$1006,$I479,$B$7:$B$1006,"&lt;="&amp;$B479))</f>
        <v/>
      </c>
      <c r="M479" s="132" t="str">
        <f>IF($B479&amp;$C479&amp;$D479&amp;$E479="","",IF($B479="","missing date",IF($C479="","missing worker",IF($I479="?","unknown worker - was the name changed on Workers?",IF($D479="","missing type",IF(N($E479)=0,"missing amount",IF(AND($E479&lt;0,$D479&lt;&gt;"Correction"),"negative amount - use a Correction to undo",IF(OR($B479&lt;Weeks!$A$7,$B479&gt;Weeks!$B$59),"date outside this workbook's year",IF(AND($D479="Advance",N($L479)&lt;0),"Warning: more than earned so far - worker now owes "&amp;TEXT(ROUND(-$L479,0),"#,##0"),"")))))))))</f>
        <v/>
      </c>
      <c r="N479" s="125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</row>
    <row r="480" spans="1:40" s="127" customFormat="1" ht="21" customHeight="1" x14ac:dyDescent="0.25">
      <c r="A480" s="51" t="str">
        <f t="shared" si="21"/>
        <v/>
      </c>
      <c r="B480" s="77"/>
      <c r="C480" s="133"/>
      <c r="D480" s="50"/>
      <c r="E480" s="141"/>
      <c r="F480" s="133"/>
      <c r="G480" s="133"/>
      <c r="H480" s="50"/>
      <c r="I480" s="51" t="str">
        <f t="shared" si="22"/>
        <v/>
      </c>
      <c r="J480" s="52" t="str">
        <f t="shared" si="23"/>
        <v/>
      </c>
      <c r="K480" s="142" t="str">
        <f>IF(OR($I480="",$I480="?",$D480&lt;&gt;"Advance",$B480=""),"",$I480&amp;"|"&amp;$J480&amp;"|"&amp;COUNTIFS($I$7:$I480,$I480,$J$7:$J480,$J480,$D$7:$D480,"Advance"))</f>
        <v/>
      </c>
      <c r="L480" s="143" t="str">
        <f>IF(OR($I480="",$I480="?",$B480=""),"",SUMPRODUCT((Weeks!$A$7:$A$59&lt;=$J480)*(Weeks!$X$5:$AI$5=$I480)*Weeks!$X$7:$AI$59)-SUMIFS($E$7:$E$1006,$I$7:$I$1006,$I480,$B$7:$B$1006,"&lt;="&amp;$B480))</f>
        <v/>
      </c>
      <c r="M480" s="132" t="str">
        <f>IF($B480&amp;$C480&amp;$D480&amp;$E480="","",IF($B480="","missing date",IF($C480="","missing worker",IF($I480="?","unknown worker - was the name changed on Workers?",IF($D480="","missing type",IF(N($E480)=0,"missing amount",IF(AND($E480&lt;0,$D480&lt;&gt;"Correction"),"negative amount - use a Correction to undo",IF(OR($B480&lt;Weeks!$A$7,$B480&gt;Weeks!$B$59),"date outside this workbook's year",IF(AND($D480="Advance",N($L480)&lt;0),"Warning: more than earned so far - worker now owes "&amp;TEXT(ROUND(-$L480,0),"#,##0"),"")))))))))</f>
        <v/>
      </c>
      <c r="N480" s="125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</row>
    <row r="481" spans="1:40" s="127" customFormat="1" ht="21" customHeight="1" x14ac:dyDescent="0.25">
      <c r="A481" s="51" t="str">
        <f t="shared" si="21"/>
        <v/>
      </c>
      <c r="B481" s="77"/>
      <c r="C481" s="133"/>
      <c r="D481" s="50"/>
      <c r="E481" s="141"/>
      <c r="F481" s="133"/>
      <c r="G481" s="133"/>
      <c r="H481" s="50"/>
      <c r="I481" s="51" t="str">
        <f t="shared" si="22"/>
        <v/>
      </c>
      <c r="J481" s="52" t="str">
        <f t="shared" si="23"/>
        <v/>
      </c>
      <c r="K481" s="142" t="str">
        <f>IF(OR($I481="",$I481="?",$D481&lt;&gt;"Advance",$B481=""),"",$I481&amp;"|"&amp;$J481&amp;"|"&amp;COUNTIFS($I$7:$I481,$I481,$J$7:$J481,$J481,$D$7:$D481,"Advance"))</f>
        <v/>
      </c>
      <c r="L481" s="143" t="str">
        <f>IF(OR($I481="",$I481="?",$B481=""),"",SUMPRODUCT((Weeks!$A$7:$A$59&lt;=$J481)*(Weeks!$X$5:$AI$5=$I481)*Weeks!$X$7:$AI$59)-SUMIFS($E$7:$E$1006,$I$7:$I$1006,$I481,$B$7:$B$1006,"&lt;="&amp;$B481))</f>
        <v/>
      </c>
      <c r="M481" s="132" t="str">
        <f>IF($B481&amp;$C481&amp;$D481&amp;$E481="","",IF($B481="","missing date",IF($C481="","missing worker",IF($I481="?","unknown worker - was the name changed on Workers?",IF($D481="","missing type",IF(N($E481)=0,"missing amount",IF(AND($E481&lt;0,$D481&lt;&gt;"Correction"),"negative amount - use a Correction to undo",IF(OR($B481&lt;Weeks!$A$7,$B481&gt;Weeks!$B$59),"date outside this workbook's year",IF(AND($D481="Advance",N($L481)&lt;0),"Warning: more than earned so far - worker now owes "&amp;TEXT(ROUND(-$L481,0),"#,##0"),"")))))))))</f>
        <v/>
      </c>
      <c r="N481" s="125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</row>
    <row r="482" spans="1:40" s="127" customFormat="1" ht="21" customHeight="1" x14ac:dyDescent="0.25">
      <c r="A482" s="51" t="str">
        <f t="shared" si="21"/>
        <v/>
      </c>
      <c r="B482" s="77"/>
      <c r="C482" s="133"/>
      <c r="D482" s="50"/>
      <c r="E482" s="141"/>
      <c r="F482" s="133"/>
      <c r="G482" s="133"/>
      <c r="H482" s="50"/>
      <c r="I482" s="51" t="str">
        <f t="shared" si="22"/>
        <v/>
      </c>
      <c r="J482" s="52" t="str">
        <f t="shared" si="23"/>
        <v/>
      </c>
      <c r="K482" s="142" t="str">
        <f>IF(OR($I482="",$I482="?",$D482&lt;&gt;"Advance",$B482=""),"",$I482&amp;"|"&amp;$J482&amp;"|"&amp;COUNTIFS($I$7:$I482,$I482,$J$7:$J482,$J482,$D$7:$D482,"Advance"))</f>
        <v/>
      </c>
      <c r="L482" s="143" t="str">
        <f>IF(OR($I482="",$I482="?",$B482=""),"",SUMPRODUCT((Weeks!$A$7:$A$59&lt;=$J482)*(Weeks!$X$5:$AI$5=$I482)*Weeks!$X$7:$AI$59)-SUMIFS($E$7:$E$1006,$I$7:$I$1006,$I482,$B$7:$B$1006,"&lt;="&amp;$B482))</f>
        <v/>
      </c>
      <c r="M482" s="132" t="str">
        <f>IF($B482&amp;$C482&amp;$D482&amp;$E482="","",IF($B482="","missing date",IF($C482="","missing worker",IF($I482="?","unknown worker - was the name changed on Workers?",IF($D482="","missing type",IF(N($E482)=0,"missing amount",IF(AND($E482&lt;0,$D482&lt;&gt;"Correction"),"negative amount - use a Correction to undo",IF(OR($B482&lt;Weeks!$A$7,$B482&gt;Weeks!$B$59),"date outside this workbook's year",IF(AND($D482="Advance",N($L482)&lt;0),"Warning: more than earned so far - worker now owes "&amp;TEXT(ROUND(-$L482,0),"#,##0"),"")))))))))</f>
        <v/>
      </c>
      <c r="N482" s="125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</row>
    <row r="483" spans="1:40" s="127" customFormat="1" ht="21" customHeight="1" x14ac:dyDescent="0.25">
      <c r="A483" s="51" t="str">
        <f t="shared" si="21"/>
        <v/>
      </c>
      <c r="B483" s="77"/>
      <c r="C483" s="133"/>
      <c r="D483" s="50"/>
      <c r="E483" s="141"/>
      <c r="F483" s="133"/>
      <c r="G483" s="133"/>
      <c r="H483" s="50"/>
      <c r="I483" s="51" t="str">
        <f t="shared" si="22"/>
        <v/>
      </c>
      <c r="J483" s="52" t="str">
        <f t="shared" si="23"/>
        <v/>
      </c>
      <c r="K483" s="142" t="str">
        <f>IF(OR($I483="",$I483="?",$D483&lt;&gt;"Advance",$B483=""),"",$I483&amp;"|"&amp;$J483&amp;"|"&amp;COUNTIFS($I$7:$I483,$I483,$J$7:$J483,$J483,$D$7:$D483,"Advance"))</f>
        <v/>
      </c>
      <c r="L483" s="143" t="str">
        <f>IF(OR($I483="",$I483="?",$B483=""),"",SUMPRODUCT((Weeks!$A$7:$A$59&lt;=$J483)*(Weeks!$X$5:$AI$5=$I483)*Weeks!$X$7:$AI$59)-SUMIFS($E$7:$E$1006,$I$7:$I$1006,$I483,$B$7:$B$1006,"&lt;="&amp;$B483))</f>
        <v/>
      </c>
      <c r="M483" s="132" t="str">
        <f>IF($B483&amp;$C483&amp;$D483&amp;$E483="","",IF($B483="","missing date",IF($C483="","missing worker",IF($I483="?","unknown worker - was the name changed on Workers?",IF($D483="","missing type",IF(N($E483)=0,"missing amount",IF(AND($E483&lt;0,$D483&lt;&gt;"Correction"),"negative amount - use a Correction to undo",IF(OR($B483&lt;Weeks!$A$7,$B483&gt;Weeks!$B$59),"date outside this workbook's year",IF(AND($D483="Advance",N($L483)&lt;0),"Warning: more than earned so far - worker now owes "&amp;TEXT(ROUND(-$L483,0),"#,##0"),"")))))))))</f>
        <v/>
      </c>
      <c r="N483" s="125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</row>
    <row r="484" spans="1:40" s="127" customFormat="1" ht="21" customHeight="1" x14ac:dyDescent="0.25">
      <c r="A484" s="51" t="str">
        <f t="shared" si="21"/>
        <v/>
      </c>
      <c r="B484" s="77"/>
      <c r="C484" s="133"/>
      <c r="D484" s="50"/>
      <c r="E484" s="141"/>
      <c r="F484" s="133"/>
      <c r="G484" s="133"/>
      <c r="H484" s="50"/>
      <c r="I484" s="51" t="str">
        <f t="shared" si="22"/>
        <v/>
      </c>
      <c r="J484" s="52" t="str">
        <f t="shared" si="23"/>
        <v/>
      </c>
      <c r="K484" s="142" t="str">
        <f>IF(OR($I484="",$I484="?",$D484&lt;&gt;"Advance",$B484=""),"",$I484&amp;"|"&amp;$J484&amp;"|"&amp;COUNTIFS($I$7:$I484,$I484,$J$7:$J484,$J484,$D$7:$D484,"Advance"))</f>
        <v/>
      </c>
      <c r="L484" s="143" t="str">
        <f>IF(OR($I484="",$I484="?",$B484=""),"",SUMPRODUCT((Weeks!$A$7:$A$59&lt;=$J484)*(Weeks!$X$5:$AI$5=$I484)*Weeks!$X$7:$AI$59)-SUMIFS($E$7:$E$1006,$I$7:$I$1006,$I484,$B$7:$B$1006,"&lt;="&amp;$B484))</f>
        <v/>
      </c>
      <c r="M484" s="132" t="str">
        <f>IF($B484&amp;$C484&amp;$D484&amp;$E484="","",IF($B484="","missing date",IF($C484="","missing worker",IF($I484="?","unknown worker - was the name changed on Workers?",IF($D484="","missing type",IF(N($E484)=0,"missing amount",IF(AND($E484&lt;0,$D484&lt;&gt;"Correction"),"negative amount - use a Correction to undo",IF(OR($B484&lt;Weeks!$A$7,$B484&gt;Weeks!$B$59),"date outside this workbook's year",IF(AND($D484="Advance",N($L484)&lt;0),"Warning: more than earned so far - worker now owes "&amp;TEXT(ROUND(-$L484,0),"#,##0"),"")))))))))</f>
        <v/>
      </c>
      <c r="N484" s="125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</row>
    <row r="485" spans="1:40" s="127" customFormat="1" ht="21" customHeight="1" x14ac:dyDescent="0.25">
      <c r="A485" s="51" t="str">
        <f t="shared" si="21"/>
        <v/>
      </c>
      <c r="B485" s="77"/>
      <c r="C485" s="133"/>
      <c r="D485" s="50"/>
      <c r="E485" s="141"/>
      <c r="F485" s="133"/>
      <c r="G485" s="133"/>
      <c r="H485" s="50"/>
      <c r="I485" s="51" t="str">
        <f t="shared" si="22"/>
        <v/>
      </c>
      <c r="J485" s="52" t="str">
        <f t="shared" si="23"/>
        <v/>
      </c>
      <c r="K485" s="142" t="str">
        <f>IF(OR($I485="",$I485="?",$D485&lt;&gt;"Advance",$B485=""),"",$I485&amp;"|"&amp;$J485&amp;"|"&amp;COUNTIFS($I$7:$I485,$I485,$J$7:$J485,$J485,$D$7:$D485,"Advance"))</f>
        <v/>
      </c>
      <c r="L485" s="143" t="str">
        <f>IF(OR($I485="",$I485="?",$B485=""),"",SUMPRODUCT((Weeks!$A$7:$A$59&lt;=$J485)*(Weeks!$X$5:$AI$5=$I485)*Weeks!$X$7:$AI$59)-SUMIFS($E$7:$E$1006,$I$7:$I$1006,$I485,$B$7:$B$1006,"&lt;="&amp;$B485))</f>
        <v/>
      </c>
      <c r="M485" s="132" t="str">
        <f>IF($B485&amp;$C485&amp;$D485&amp;$E485="","",IF($B485="","missing date",IF($C485="","missing worker",IF($I485="?","unknown worker - was the name changed on Workers?",IF($D485="","missing type",IF(N($E485)=0,"missing amount",IF(AND($E485&lt;0,$D485&lt;&gt;"Correction"),"negative amount - use a Correction to undo",IF(OR($B485&lt;Weeks!$A$7,$B485&gt;Weeks!$B$59),"date outside this workbook's year",IF(AND($D485="Advance",N($L485)&lt;0),"Warning: more than earned so far - worker now owes "&amp;TEXT(ROUND(-$L485,0),"#,##0"),"")))))))))</f>
        <v/>
      </c>
      <c r="N485" s="125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</row>
    <row r="486" spans="1:40" s="127" customFormat="1" ht="21" customHeight="1" x14ac:dyDescent="0.25">
      <c r="A486" s="51" t="str">
        <f t="shared" si="21"/>
        <v/>
      </c>
      <c r="B486" s="77"/>
      <c r="C486" s="133"/>
      <c r="D486" s="50"/>
      <c r="E486" s="141"/>
      <c r="F486" s="133"/>
      <c r="G486" s="133"/>
      <c r="H486" s="50"/>
      <c r="I486" s="51" t="str">
        <f t="shared" si="22"/>
        <v/>
      </c>
      <c r="J486" s="52" t="str">
        <f t="shared" si="23"/>
        <v/>
      </c>
      <c r="K486" s="142" t="str">
        <f>IF(OR($I486="",$I486="?",$D486&lt;&gt;"Advance",$B486=""),"",$I486&amp;"|"&amp;$J486&amp;"|"&amp;COUNTIFS($I$7:$I486,$I486,$J$7:$J486,$J486,$D$7:$D486,"Advance"))</f>
        <v/>
      </c>
      <c r="L486" s="143" t="str">
        <f>IF(OR($I486="",$I486="?",$B486=""),"",SUMPRODUCT((Weeks!$A$7:$A$59&lt;=$J486)*(Weeks!$X$5:$AI$5=$I486)*Weeks!$X$7:$AI$59)-SUMIFS($E$7:$E$1006,$I$7:$I$1006,$I486,$B$7:$B$1006,"&lt;="&amp;$B486))</f>
        <v/>
      </c>
      <c r="M486" s="132" t="str">
        <f>IF($B486&amp;$C486&amp;$D486&amp;$E486="","",IF($B486="","missing date",IF($C486="","missing worker",IF($I486="?","unknown worker - was the name changed on Workers?",IF($D486="","missing type",IF(N($E486)=0,"missing amount",IF(AND($E486&lt;0,$D486&lt;&gt;"Correction"),"negative amount - use a Correction to undo",IF(OR($B486&lt;Weeks!$A$7,$B486&gt;Weeks!$B$59),"date outside this workbook's year",IF(AND($D486="Advance",N($L486)&lt;0),"Warning: more than earned so far - worker now owes "&amp;TEXT(ROUND(-$L486,0),"#,##0"),"")))))))))</f>
        <v/>
      </c>
      <c r="N486" s="125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</row>
    <row r="487" spans="1:40" s="127" customFormat="1" ht="21" customHeight="1" x14ac:dyDescent="0.25">
      <c r="A487" s="51" t="str">
        <f t="shared" si="21"/>
        <v/>
      </c>
      <c r="B487" s="77"/>
      <c r="C487" s="133"/>
      <c r="D487" s="50"/>
      <c r="E487" s="141"/>
      <c r="F487" s="133"/>
      <c r="G487" s="133"/>
      <c r="H487" s="50"/>
      <c r="I487" s="51" t="str">
        <f t="shared" si="22"/>
        <v/>
      </c>
      <c r="J487" s="52" t="str">
        <f t="shared" si="23"/>
        <v/>
      </c>
      <c r="K487" s="142" t="str">
        <f>IF(OR($I487="",$I487="?",$D487&lt;&gt;"Advance",$B487=""),"",$I487&amp;"|"&amp;$J487&amp;"|"&amp;COUNTIFS($I$7:$I487,$I487,$J$7:$J487,$J487,$D$7:$D487,"Advance"))</f>
        <v/>
      </c>
      <c r="L487" s="143" t="str">
        <f>IF(OR($I487="",$I487="?",$B487=""),"",SUMPRODUCT((Weeks!$A$7:$A$59&lt;=$J487)*(Weeks!$X$5:$AI$5=$I487)*Weeks!$X$7:$AI$59)-SUMIFS($E$7:$E$1006,$I$7:$I$1006,$I487,$B$7:$B$1006,"&lt;="&amp;$B487))</f>
        <v/>
      </c>
      <c r="M487" s="132" t="str">
        <f>IF($B487&amp;$C487&amp;$D487&amp;$E487="","",IF($B487="","missing date",IF($C487="","missing worker",IF($I487="?","unknown worker - was the name changed on Workers?",IF($D487="","missing type",IF(N($E487)=0,"missing amount",IF(AND($E487&lt;0,$D487&lt;&gt;"Correction"),"negative amount - use a Correction to undo",IF(OR($B487&lt;Weeks!$A$7,$B487&gt;Weeks!$B$59),"date outside this workbook's year",IF(AND($D487="Advance",N($L487)&lt;0),"Warning: more than earned so far - worker now owes "&amp;TEXT(ROUND(-$L487,0),"#,##0"),"")))))))))</f>
        <v/>
      </c>
      <c r="N487" s="125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</row>
    <row r="488" spans="1:40" s="127" customFormat="1" ht="21" customHeight="1" x14ac:dyDescent="0.25">
      <c r="A488" s="51" t="str">
        <f t="shared" si="21"/>
        <v/>
      </c>
      <c r="B488" s="77"/>
      <c r="C488" s="133"/>
      <c r="D488" s="50"/>
      <c r="E488" s="141"/>
      <c r="F488" s="133"/>
      <c r="G488" s="133"/>
      <c r="H488" s="50"/>
      <c r="I488" s="51" t="str">
        <f t="shared" si="22"/>
        <v/>
      </c>
      <c r="J488" s="52" t="str">
        <f t="shared" si="23"/>
        <v/>
      </c>
      <c r="K488" s="142" t="str">
        <f>IF(OR($I488="",$I488="?",$D488&lt;&gt;"Advance",$B488=""),"",$I488&amp;"|"&amp;$J488&amp;"|"&amp;COUNTIFS($I$7:$I488,$I488,$J$7:$J488,$J488,$D$7:$D488,"Advance"))</f>
        <v/>
      </c>
      <c r="L488" s="143" t="str">
        <f>IF(OR($I488="",$I488="?",$B488=""),"",SUMPRODUCT((Weeks!$A$7:$A$59&lt;=$J488)*(Weeks!$X$5:$AI$5=$I488)*Weeks!$X$7:$AI$59)-SUMIFS($E$7:$E$1006,$I$7:$I$1006,$I488,$B$7:$B$1006,"&lt;="&amp;$B488))</f>
        <v/>
      </c>
      <c r="M488" s="132" t="str">
        <f>IF($B488&amp;$C488&amp;$D488&amp;$E488="","",IF($B488="","missing date",IF($C488="","missing worker",IF($I488="?","unknown worker - was the name changed on Workers?",IF($D488="","missing type",IF(N($E488)=0,"missing amount",IF(AND($E488&lt;0,$D488&lt;&gt;"Correction"),"negative amount - use a Correction to undo",IF(OR($B488&lt;Weeks!$A$7,$B488&gt;Weeks!$B$59),"date outside this workbook's year",IF(AND($D488="Advance",N($L488)&lt;0),"Warning: more than earned so far - worker now owes "&amp;TEXT(ROUND(-$L488,0),"#,##0"),"")))))))))</f>
        <v/>
      </c>
      <c r="N488" s="125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</row>
    <row r="489" spans="1:40" s="127" customFormat="1" ht="21" customHeight="1" x14ac:dyDescent="0.25">
      <c r="A489" s="51" t="str">
        <f t="shared" si="21"/>
        <v/>
      </c>
      <c r="B489" s="77"/>
      <c r="C489" s="133"/>
      <c r="D489" s="50"/>
      <c r="E489" s="141"/>
      <c r="F489" s="133"/>
      <c r="G489" s="133"/>
      <c r="H489" s="50"/>
      <c r="I489" s="51" t="str">
        <f t="shared" si="22"/>
        <v/>
      </c>
      <c r="J489" s="52" t="str">
        <f t="shared" si="23"/>
        <v/>
      </c>
      <c r="K489" s="142" t="str">
        <f>IF(OR($I489="",$I489="?",$D489&lt;&gt;"Advance",$B489=""),"",$I489&amp;"|"&amp;$J489&amp;"|"&amp;COUNTIFS($I$7:$I489,$I489,$J$7:$J489,$J489,$D$7:$D489,"Advance"))</f>
        <v/>
      </c>
      <c r="L489" s="143" t="str">
        <f>IF(OR($I489="",$I489="?",$B489=""),"",SUMPRODUCT((Weeks!$A$7:$A$59&lt;=$J489)*(Weeks!$X$5:$AI$5=$I489)*Weeks!$X$7:$AI$59)-SUMIFS($E$7:$E$1006,$I$7:$I$1006,$I489,$B$7:$B$1006,"&lt;="&amp;$B489))</f>
        <v/>
      </c>
      <c r="M489" s="132" t="str">
        <f>IF($B489&amp;$C489&amp;$D489&amp;$E489="","",IF($B489="","missing date",IF($C489="","missing worker",IF($I489="?","unknown worker - was the name changed on Workers?",IF($D489="","missing type",IF(N($E489)=0,"missing amount",IF(AND($E489&lt;0,$D489&lt;&gt;"Correction"),"negative amount - use a Correction to undo",IF(OR($B489&lt;Weeks!$A$7,$B489&gt;Weeks!$B$59),"date outside this workbook's year",IF(AND($D489="Advance",N($L489)&lt;0),"Warning: more than earned so far - worker now owes "&amp;TEXT(ROUND(-$L489,0),"#,##0"),"")))))))))</f>
        <v/>
      </c>
      <c r="N489" s="125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</row>
    <row r="490" spans="1:40" s="127" customFormat="1" ht="21" customHeight="1" x14ac:dyDescent="0.25">
      <c r="A490" s="51" t="str">
        <f t="shared" si="21"/>
        <v/>
      </c>
      <c r="B490" s="77"/>
      <c r="C490" s="133"/>
      <c r="D490" s="50"/>
      <c r="E490" s="141"/>
      <c r="F490" s="133"/>
      <c r="G490" s="133"/>
      <c r="H490" s="50"/>
      <c r="I490" s="51" t="str">
        <f t="shared" si="22"/>
        <v/>
      </c>
      <c r="J490" s="52" t="str">
        <f t="shared" si="23"/>
        <v/>
      </c>
      <c r="K490" s="142" t="str">
        <f>IF(OR($I490="",$I490="?",$D490&lt;&gt;"Advance",$B490=""),"",$I490&amp;"|"&amp;$J490&amp;"|"&amp;COUNTIFS($I$7:$I490,$I490,$J$7:$J490,$J490,$D$7:$D490,"Advance"))</f>
        <v/>
      </c>
      <c r="L490" s="143" t="str">
        <f>IF(OR($I490="",$I490="?",$B490=""),"",SUMPRODUCT((Weeks!$A$7:$A$59&lt;=$J490)*(Weeks!$X$5:$AI$5=$I490)*Weeks!$X$7:$AI$59)-SUMIFS($E$7:$E$1006,$I$7:$I$1006,$I490,$B$7:$B$1006,"&lt;="&amp;$B490))</f>
        <v/>
      </c>
      <c r="M490" s="132" t="str">
        <f>IF($B490&amp;$C490&amp;$D490&amp;$E490="","",IF($B490="","missing date",IF($C490="","missing worker",IF($I490="?","unknown worker - was the name changed on Workers?",IF($D490="","missing type",IF(N($E490)=0,"missing amount",IF(AND($E490&lt;0,$D490&lt;&gt;"Correction"),"negative amount - use a Correction to undo",IF(OR($B490&lt;Weeks!$A$7,$B490&gt;Weeks!$B$59),"date outside this workbook's year",IF(AND($D490="Advance",N($L490)&lt;0),"Warning: more than earned so far - worker now owes "&amp;TEXT(ROUND(-$L490,0),"#,##0"),"")))))))))</f>
        <v/>
      </c>
      <c r="N490" s="125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</row>
    <row r="491" spans="1:40" s="127" customFormat="1" ht="21" customHeight="1" x14ac:dyDescent="0.25">
      <c r="A491" s="51" t="str">
        <f t="shared" si="21"/>
        <v/>
      </c>
      <c r="B491" s="77"/>
      <c r="C491" s="133"/>
      <c r="D491" s="50"/>
      <c r="E491" s="141"/>
      <c r="F491" s="133"/>
      <c r="G491" s="133"/>
      <c r="H491" s="50"/>
      <c r="I491" s="51" t="str">
        <f t="shared" si="22"/>
        <v/>
      </c>
      <c r="J491" s="52" t="str">
        <f t="shared" si="23"/>
        <v/>
      </c>
      <c r="K491" s="142" t="str">
        <f>IF(OR($I491="",$I491="?",$D491&lt;&gt;"Advance",$B491=""),"",$I491&amp;"|"&amp;$J491&amp;"|"&amp;COUNTIFS($I$7:$I491,$I491,$J$7:$J491,$J491,$D$7:$D491,"Advance"))</f>
        <v/>
      </c>
      <c r="L491" s="143" t="str">
        <f>IF(OR($I491="",$I491="?",$B491=""),"",SUMPRODUCT((Weeks!$A$7:$A$59&lt;=$J491)*(Weeks!$X$5:$AI$5=$I491)*Weeks!$X$7:$AI$59)-SUMIFS($E$7:$E$1006,$I$7:$I$1006,$I491,$B$7:$B$1006,"&lt;="&amp;$B491))</f>
        <v/>
      </c>
      <c r="M491" s="132" t="str">
        <f>IF($B491&amp;$C491&amp;$D491&amp;$E491="","",IF($B491="","missing date",IF($C491="","missing worker",IF($I491="?","unknown worker - was the name changed on Workers?",IF($D491="","missing type",IF(N($E491)=0,"missing amount",IF(AND($E491&lt;0,$D491&lt;&gt;"Correction"),"negative amount - use a Correction to undo",IF(OR($B491&lt;Weeks!$A$7,$B491&gt;Weeks!$B$59),"date outside this workbook's year",IF(AND($D491="Advance",N($L491)&lt;0),"Warning: more than earned so far - worker now owes "&amp;TEXT(ROUND(-$L491,0),"#,##0"),"")))))))))</f>
        <v/>
      </c>
      <c r="N491" s="125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</row>
    <row r="492" spans="1:40" s="127" customFormat="1" ht="21" customHeight="1" x14ac:dyDescent="0.25">
      <c r="A492" s="51" t="str">
        <f t="shared" si="21"/>
        <v/>
      </c>
      <c r="B492" s="77"/>
      <c r="C492" s="133"/>
      <c r="D492" s="50"/>
      <c r="E492" s="141"/>
      <c r="F492" s="133"/>
      <c r="G492" s="133"/>
      <c r="H492" s="50"/>
      <c r="I492" s="51" t="str">
        <f t="shared" si="22"/>
        <v/>
      </c>
      <c r="J492" s="52" t="str">
        <f t="shared" si="23"/>
        <v/>
      </c>
      <c r="K492" s="142" t="str">
        <f>IF(OR($I492="",$I492="?",$D492&lt;&gt;"Advance",$B492=""),"",$I492&amp;"|"&amp;$J492&amp;"|"&amp;COUNTIFS($I$7:$I492,$I492,$J$7:$J492,$J492,$D$7:$D492,"Advance"))</f>
        <v/>
      </c>
      <c r="L492" s="143" t="str">
        <f>IF(OR($I492="",$I492="?",$B492=""),"",SUMPRODUCT((Weeks!$A$7:$A$59&lt;=$J492)*(Weeks!$X$5:$AI$5=$I492)*Weeks!$X$7:$AI$59)-SUMIFS($E$7:$E$1006,$I$7:$I$1006,$I492,$B$7:$B$1006,"&lt;="&amp;$B492))</f>
        <v/>
      </c>
      <c r="M492" s="132" t="str">
        <f>IF($B492&amp;$C492&amp;$D492&amp;$E492="","",IF($B492="","missing date",IF($C492="","missing worker",IF($I492="?","unknown worker - was the name changed on Workers?",IF($D492="","missing type",IF(N($E492)=0,"missing amount",IF(AND($E492&lt;0,$D492&lt;&gt;"Correction"),"negative amount - use a Correction to undo",IF(OR($B492&lt;Weeks!$A$7,$B492&gt;Weeks!$B$59),"date outside this workbook's year",IF(AND($D492="Advance",N($L492)&lt;0),"Warning: more than earned so far - worker now owes "&amp;TEXT(ROUND(-$L492,0),"#,##0"),"")))))))))</f>
        <v/>
      </c>
      <c r="N492" s="125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</row>
    <row r="493" spans="1:40" s="127" customFormat="1" ht="21" customHeight="1" x14ac:dyDescent="0.25">
      <c r="A493" s="51" t="str">
        <f t="shared" si="21"/>
        <v/>
      </c>
      <c r="B493" s="77"/>
      <c r="C493" s="133"/>
      <c r="D493" s="50"/>
      <c r="E493" s="141"/>
      <c r="F493" s="133"/>
      <c r="G493" s="133"/>
      <c r="H493" s="50"/>
      <c r="I493" s="51" t="str">
        <f t="shared" si="22"/>
        <v/>
      </c>
      <c r="J493" s="52" t="str">
        <f t="shared" si="23"/>
        <v/>
      </c>
      <c r="K493" s="142" t="str">
        <f>IF(OR($I493="",$I493="?",$D493&lt;&gt;"Advance",$B493=""),"",$I493&amp;"|"&amp;$J493&amp;"|"&amp;COUNTIFS($I$7:$I493,$I493,$J$7:$J493,$J493,$D$7:$D493,"Advance"))</f>
        <v/>
      </c>
      <c r="L493" s="143" t="str">
        <f>IF(OR($I493="",$I493="?",$B493=""),"",SUMPRODUCT((Weeks!$A$7:$A$59&lt;=$J493)*(Weeks!$X$5:$AI$5=$I493)*Weeks!$X$7:$AI$59)-SUMIFS($E$7:$E$1006,$I$7:$I$1006,$I493,$B$7:$B$1006,"&lt;="&amp;$B493))</f>
        <v/>
      </c>
      <c r="M493" s="132" t="str">
        <f>IF($B493&amp;$C493&amp;$D493&amp;$E493="","",IF($B493="","missing date",IF($C493="","missing worker",IF($I493="?","unknown worker - was the name changed on Workers?",IF($D493="","missing type",IF(N($E493)=0,"missing amount",IF(AND($E493&lt;0,$D493&lt;&gt;"Correction"),"negative amount - use a Correction to undo",IF(OR($B493&lt;Weeks!$A$7,$B493&gt;Weeks!$B$59),"date outside this workbook's year",IF(AND($D493="Advance",N($L493)&lt;0),"Warning: more than earned so far - worker now owes "&amp;TEXT(ROUND(-$L493,0),"#,##0"),"")))))))))</f>
        <v/>
      </c>
      <c r="N493" s="125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</row>
    <row r="494" spans="1:40" s="127" customFormat="1" ht="21" customHeight="1" x14ac:dyDescent="0.25">
      <c r="A494" s="51" t="str">
        <f t="shared" si="21"/>
        <v/>
      </c>
      <c r="B494" s="77"/>
      <c r="C494" s="133"/>
      <c r="D494" s="50"/>
      <c r="E494" s="141"/>
      <c r="F494" s="133"/>
      <c r="G494" s="133"/>
      <c r="H494" s="50"/>
      <c r="I494" s="51" t="str">
        <f t="shared" si="22"/>
        <v/>
      </c>
      <c r="J494" s="52" t="str">
        <f t="shared" si="23"/>
        <v/>
      </c>
      <c r="K494" s="142" t="str">
        <f>IF(OR($I494="",$I494="?",$D494&lt;&gt;"Advance",$B494=""),"",$I494&amp;"|"&amp;$J494&amp;"|"&amp;COUNTIFS($I$7:$I494,$I494,$J$7:$J494,$J494,$D$7:$D494,"Advance"))</f>
        <v/>
      </c>
      <c r="L494" s="143" t="str">
        <f>IF(OR($I494="",$I494="?",$B494=""),"",SUMPRODUCT((Weeks!$A$7:$A$59&lt;=$J494)*(Weeks!$X$5:$AI$5=$I494)*Weeks!$X$7:$AI$59)-SUMIFS($E$7:$E$1006,$I$7:$I$1006,$I494,$B$7:$B$1006,"&lt;="&amp;$B494))</f>
        <v/>
      </c>
      <c r="M494" s="132" t="str">
        <f>IF($B494&amp;$C494&amp;$D494&amp;$E494="","",IF($B494="","missing date",IF($C494="","missing worker",IF($I494="?","unknown worker - was the name changed on Workers?",IF($D494="","missing type",IF(N($E494)=0,"missing amount",IF(AND($E494&lt;0,$D494&lt;&gt;"Correction"),"negative amount - use a Correction to undo",IF(OR($B494&lt;Weeks!$A$7,$B494&gt;Weeks!$B$59),"date outside this workbook's year",IF(AND($D494="Advance",N($L494)&lt;0),"Warning: more than earned so far - worker now owes "&amp;TEXT(ROUND(-$L494,0),"#,##0"),"")))))))))</f>
        <v/>
      </c>
      <c r="N494" s="125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</row>
    <row r="495" spans="1:40" s="127" customFormat="1" ht="21" customHeight="1" x14ac:dyDescent="0.25">
      <c r="A495" s="51" t="str">
        <f t="shared" si="21"/>
        <v/>
      </c>
      <c r="B495" s="77"/>
      <c r="C495" s="133"/>
      <c r="D495" s="50"/>
      <c r="E495" s="141"/>
      <c r="F495" s="133"/>
      <c r="G495" s="133"/>
      <c r="H495" s="50"/>
      <c r="I495" s="51" t="str">
        <f t="shared" si="22"/>
        <v/>
      </c>
      <c r="J495" s="52" t="str">
        <f t="shared" si="23"/>
        <v/>
      </c>
      <c r="K495" s="142" t="str">
        <f>IF(OR($I495="",$I495="?",$D495&lt;&gt;"Advance",$B495=""),"",$I495&amp;"|"&amp;$J495&amp;"|"&amp;COUNTIFS($I$7:$I495,$I495,$J$7:$J495,$J495,$D$7:$D495,"Advance"))</f>
        <v/>
      </c>
      <c r="L495" s="143" t="str">
        <f>IF(OR($I495="",$I495="?",$B495=""),"",SUMPRODUCT((Weeks!$A$7:$A$59&lt;=$J495)*(Weeks!$X$5:$AI$5=$I495)*Weeks!$X$7:$AI$59)-SUMIFS($E$7:$E$1006,$I$7:$I$1006,$I495,$B$7:$B$1006,"&lt;="&amp;$B495))</f>
        <v/>
      </c>
      <c r="M495" s="132" t="str">
        <f>IF($B495&amp;$C495&amp;$D495&amp;$E495="","",IF($B495="","missing date",IF($C495="","missing worker",IF($I495="?","unknown worker - was the name changed on Workers?",IF($D495="","missing type",IF(N($E495)=0,"missing amount",IF(AND($E495&lt;0,$D495&lt;&gt;"Correction"),"negative amount - use a Correction to undo",IF(OR($B495&lt;Weeks!$A$7,$B495&gt;Weeks!$B$59),"date outside this workbook's year",IF(AND($D495="Advance",N($L495)&lt;0),"Warning: more than earned so far - worker now owes "&amp;TEXT(ROUND(-$L495,0),"#,##0"),"")))))))))</f>
        <v/>
      </c>
      <c r="N495" s="125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</row>
    <row r="496" spans="1:40" s="127" customFormat="1" ht="21" customHeight="1" x14ac:dyDescent="0.25">
      <c r="A496" s="51" t="str">
        <f t="shared" si="21"/>
        <v/>
      </c>
      <c r="B496" s="77"/>
      <c r="C496" s="133"/>
      <c r="D496" s="50"/>
      <c r="E496" s="141"/>
      <c r="F496" s="133"/>
      <c r="G496" s="133"/>
      <c r="H496" s="50"/>
      <c r="I496" s="51" t="str">
        <f t="shared" si="22"/>
        <v/>
      </c>
      <c r="J496" s="52" t="str">
        <f t="shared" si="23"/>
        <v/>
      </c>
      <c r="K496" s="142" t="str">
        <f>IF(OR($I496="",$I496="?",$D496&lt;&gt;"Advance",$B496=""),"",$I496&amp;"|"&amp;$J496&amp;"|"&amp;COUNTIFS($I$7:$I496,$I496,$J$7:$J496,$J496,$D$7:$D496,"Advance"))</f>
        <v/>
      </c>
      <c r="L496" s="143" t="str">
        <f>IF(OR($I496="",$I496="?",$B496=""),"",SUMPRODUCT((Weeks!$A$7:$A$59&lt;=$J496)*(Weeks!$X$5:$AI$5=$I496)*Weeks!$X$7:$AI$59)-SUMIFS($E$7:$E$1006,$I$7:$I$1006,$I496,$B$7:$B$1006,"&lt;="&amp;$B496))</f>
        <v/>
      </c>
      <c r="M496" s="132" t="str">
        <f>IF($B496&amp;$C496&amp;$D496&amp;$E496="","",IF($B496="","missing date",IF($C496="","missing worker",IF($I496="?","unknown worker - was the name changed on Workers?",IF($D496="","missing type",IF(N($E496)=0,"missing amount",IF(AND($E496&lt;0,$D496&lt;&gt;"Correction"),"negative amount - use a Correction to undo",IF(OR($B496&lt;Weeks!$A$7,$B496&gt;Weeks!$B$59),"date outside this workbook's year",IF(AND($D496="Advance",N($L496)&lt;0),"Warning: more than earned so far - worker now owes "&amp;TEXT(ROUND(-$L496,0),"#,##0"),"")))))))))</f>
        <v/>
      </c>
      <c r="N496" s="125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</row>
    <row r="497" spans="1:40" s="127" customFormat="1" ht="21" customHeight="1" x14ac:dyDescent="0.25">
      <c r="A497" s="51" t="str">
        <f t="shared" si="21"/>
        <v/>
      </c>
      <c r="B497" s="77"/>
      <c r="C497" s="133"/>
      <c r="D497" s="50"/>
      <c r="E497" s="141"/>
      <c r="F497" s="133"/>
      <c r="G497" s="133"/>
      <c r="H497" s="50"/>
      <c r="I497" s="51" t="str">
        <f t="shared" si="22"/>
        <v/>
      </c>
      <c r="J497" s="52" t="str">
        <f t="shared" si="23"/>
        <v/>
      </c>
      <c r="K497" s="142" t="str">
        <f>IF(OR($I497="",$I497="?",$D497&lt;&gt;"Advance",$B497=""),"",$I497&amp;"|"&amp;$J497&amp;"|"&amp;COUNTIFS($I$7:$I497,$I497,$J$7:$J497,$J497,$D$7:$D497,"Advance"))</f>
        <v/>
      </c>
      <c r="L497" s="143" t="str">
        <f>IF(OR($I497="",$I497="?",$B497=""),"",SUMPRODUCT((Weeks!$A$7:$A$59&lt;=$J497)*(Weeks!$X$5:$AI$5=$I497)*Weeks!$X$7:$AI$59)-SUMIFS($E$7:$E$1006,$I$7:$I$1006,$I497,$B$7:$B$1006,"&lt;="&amp;$B497))</f>
        <v/>
      </c>
      <c r="M497" s="132" t="str">
        <f>IF($B497&amp;$C497&amp;$D497&amp;$E497="","",IF($B497="","missing date",IF($C497="","missing worker",IF($I497="?","unknown worker - was the name changed on Workers?",IF($D497="","missing type",IF(N($E497)=0,"missing amount",IF(AND($E497&lt;0,$D497&lt;&gt;"Correction"),"negative amount - use a Correction to undo",IF(OR($B497&lt;Weeks!$A$7,$B497&gt;Weeks!$B$59),"date outside this workbook's year",IF(AND($D497="Advance",N($L497)&lt;0),"Warning: more than earned so far - worker now owes "&amp;TEXT(ROUND(-$L497,0),"#,##0"),"")))))))))</f>
        <v/>
      </c>
      <c r="N497" s="125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</row>
    <row r="498" spans="1:40" s="127" customFormat="1" ht="21" customHeight="1" x14ac:dyDescent="0.25">
      <c r="A498" s="51" t="str">
        <f t="shared" si="21"/>
        <v/>
      </c>
      <c r="B498" s="77"/>
      <c r="C498" s="133"/>
      <c r="D498" s="50"/>
      <c r="E498" s="141"/>
      <c r="F498" s="133"/>
      <c r="G498" s="133"/>
      <c r="H498" s="50"/>
      <c r="I498" s="51" t="str">
        <f t="shared" si="22"/>
        <v/>
      </c>
      <c r="J498" s="52" t="str">
        <f t="shared" si="23"/>
        <v/>
      </c>
      <c r="K498" s="142" t="str">
        <f>IF(OR($I498="",$I498="?",$D498&lt;&gt;"Advance",$B498=""),"",$I498&amp;"|"&amp;$J498&amp;"|"&amp;COUNTIFS($I$7:$I498,$I498,$J$7:$J498,$J498,$D$7:$D498,"Advance"))</f>
        <v/>
      </c>
      <c r="L498" s="143" t="str">
        <f>IF(OR($I498="",$I498="?",$B498=""),"",SUMPRODUCT((Weeks!$A$7:$A$59&lt;=$J498)*(Weeks!$X$5:$AI$5=$I498)*Weeks!$X$7:$AI$59)-SUMIFS($E$7:$E$1006,$I$7:$I$1006,$I498,$B$7:$B$1006,"&lt;="&amp;$B498))</f>
        <v/>
      </c>
      <c r="M498" s="132" t="str">
        <f>IF($B498&amp;$C498&amp;$D498&amp;$E498="","",IF($B498="","missing date",IF($C498="","missing worker",IF($I498="?","unknown worker - was the name changed on Workers?",IF($D498="","missing type",IF(N($E498)=0,"missing amount",IF(AND($E498&lt;0,$D498&lt;&gt;"Correction"),"negative amount - use a Correction to undo",IF(OR($B498&lt;Weeks!$A$7,$B498&gt;Weeks!$B$59),"date outside this workbook's year",IF(AND($D498="Advance",N($L498)&lt;0),"Warning: more than earned so far - worker now owes "&amp;TEXT(ROUND(-$L498,0),"#,##0"),"")))))))))</f>
        <v/>
      </c>
      <c r="N498" s="125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</row>
    <row r="499" spans="1:40" s="127" customFormat="1" ht="21" customHeight="1" x14ac:dyDescent="0.25">
      <c r="A499" s="51" t="str">
        <f t="shared" si="21"/>
        <v/>
      </c>
      <c r="B499" s="77"/>
      <c r="C499" s="133"/>
      <c r="D499" s="50"/>
      <c r="E499" s="141"/>
      <c r="F499" s="133"/>
      <c r="G499" s="133"/>
      <c r="H499" s="50"/>
      <c r="I499" s="51" t="str">
        <f t="shared" si="22"/>
        <v/>
      </c>
      <c r="J499" s="52" t="str">
        <f t="shared" si="23"/>
        <v/>
      </c>
      <c r="K499" s="142" t="str">
        <f>IF(OR($I499="",$I499="?",$D499&lt;&gt;"Advance",$B499=""),"",$I499&amp;"|"&amp;$J499&amp;"|"&amp;COUNTIFS($I$7:$I499,$I499,$J$7:$J499,$J499,$D$7:$D499,"Advance"))</f>
        <v/>
      </c>
      <c r="L499" s="143" t="str">
        <f>IF(OR($I499="",$I499="?",$B499=""),"",SUMPRODUCT((Weeks!$A$7:$A$59&lt;=$J499)*(Weeks!$X$5:$AI$5=$I499)*Weeks!$X$7:$AI$59)-SUMIFS($E$7:$E$1006,$I$7:$I$1006,$I499,$B$7:$B$1006,"&lt;="&amp;$B499))</f>
        <v/>
      </c>
      <c r="M499" s="132" t="str">
        <f>IF($B499&amp;$C499&amp;$D499&amp;$E499="","",IF($B499="","missing date",IF($C499="","missing worker",IF($I499="?","unknown worker - was the name changed on Workers?",IF($D499="","missing type",IF(N($E499)=0,"missing amount",IF(AND($E499&lt;0,$D499&lt;&gt;"Correction"),"negative amount - use a Correction to undo",IF(OR($B499&lt;Weeks!$A$7,$B499&gt;Weeks!$B$59),"date outside this workbook's year",IF(AND($D499="Advance",N($L499)&lt;0),"Warning: more than earned so far - worker now owes "&amp;TEXT(ROUND(-$L499,0),"#,##0"),"")))))))))</f>
        <v/>
      </c>
      <c r="N499" s="125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</row>
    <row r="500" spans="1:40" s="127" customFormat="1" ht="21" customHeight="1" x14ac:dyDescent="0.25">
      <c r="A500" s="51" t="str">
        <f t="shared" si="21"/>
        <v/>
      </c>
      <c r="B500" s="77"/>
      <c r="C500" s="133"/>
      <c r="D500" s="50"/>
      <c r="E500" s="141"/>
      <c r="F500" s="133"/>
      <c r="G500" s="133"/>
      <c r="H500" s="50"/>
      <c r="I500" s="51" t="str">
        <f t="shared" si="22"/>
        <v/>
      </c>
      <c r="J500" s="52" t="str">
        <f t="shared" si="23"/>
        <v/>
      </c>
      <c r="K500" s="142" t="str">
        <f>IF(OR($I500="",$I500="?",$D500&lt;&gt;"Advance",$B500=""),"",$I500&amp;"|"&amp;$J500&amp;"|"&amp;COUNTIFS($I$7:$I500,$I500,$J$7:$J500,$J500,$D$7:$D500,"Advance"))</f>
        <v/>
      </c>
      <c r="L500" s="143" t="str">
        <f>IF(OR($I500="",$I500="?",$B500=""),"",SUMPRODUCT((Weeks!$A$7:$A$59&lt;=$J500)*(Weeks!$X$5:$AI$5=$I500)*Weeks!$X$7:$AI$59)-SUMIFS($E$7:$E$1006,$I$7:$I$1006,$I500,$B$7:$B$1006,"&lt;="&amp;$B500))</f>
        <v/>
      </c>
      <c r="M500" s="132" t="str">
        <f>IF($B500&amp;$C500&amp;$D500&amp;$E500="","",IF($B500="","missing date",IF($C500="","missing worker",IF($I500="?","unknown worker - was the name changed on Workers?",IF($D500="","missing type",IF(N($E500)=0,"missing amount",IF(AND($E500&lt;0,$D500&lt;&gt;"Correction"),"negative amount - use a Correction to undo",IF(OR($B500&lt;Weeks!$A$7,$B500&gt;Weeks!$B$59),"date outside this workbook's year",IF(AND($D500="Advance",N($L500)&lt;0),"Warning: more than earned so far - worker now owes "&amp;TEXT(ROUND(-$L500,0),"#,##0"),"")))))))))</f>
        <v/>
      </c>
      <c r="N500" s="125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</row>
    <row r="501" spans="1:40" s="127" customFormat="1" ht="21" customHeight="1" x14ac:dyDescent="0.25">
      <c r="A501" s="51" t="str">
        <f t="shared" si="21"/>
        <v/>
      </c>
      <c r="B501" s="77"/>
      <c r="C501" s="133"/>
      <c r="D501" s="50"/>
      <c r="E501" s="141"/>
      <c r="F501" s="133"/>
      <c r="G501" s="133"/>
      <c r="H501" s="50"/>
      <c r="I501" s="51" t="str">
        <f t="shared" si="22"/>
        <v/>
      </c>
      <c r="J501" s="52" t="str">
        <f t="shared" si="23"/>
        <v/>
      </c>
      <c r="K501" s="142" t="str">
        <f>IF(OR($I501="",$I501="?",$D501&lt;&gt;"Advance",$B501=""),"",$I501&amp;"|"&amp;$J501&amp;"|"&amp;COUNTIFS($I$7:$I501,$I501,$J$7:$J501,$J501,$D$7:$D501,"Advance"))</f>
        <v/>
      </c>
      <c r="L501" s="143" t="str">
        <f>IF(OR($I501="",$I501="?",$B501=""),"",SUMPRODUCT((Weeks!$A$7:$A$59&lt;=$J501)*(Weeks!$X$5:$AI$5=$I501)*Weeks!$X$7:$AI$59)-SUMIFS($E$7:$E$1006,$I$7:$I$1006,$I501,$B$7:$B$1006,"&lt;="&amp;$B501))</f>
        <v/>
      </c>
      <c r="M501" s="132" t="str">
        <f>IF($B501&amp;$C501&amp;$D501&amp;$E501="","",IF($B501="","missing date",IF($C501="","missing worker",IF($I501="?","unknown worker - was the name changed on Workers?",IF($D501="","missing type",IF(N($E501)=0,"missing amount",IF(AND($E501&lt;0,$D501&lt;&gt;"Correction"),"negative amount - use a Correction to undo",IF(OR($B501&lt;Weeks!$A$7,$B501&gt;Weeks!$B$59),"date outside this workbook's year",IF(AND($D501="Advance",N($L501)&lt;0),"Warning: more than earned so far - worker now owes "&amp;TEXT(ROUND(-$L501,0),"#,##0"),"")))))))))</f>
        <v/>
      </c>
      <c r="N501" s="125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</row>
    <row r="502" spans="1:40" s="127" customFormat="1" ht="21" customHeight="1" x14ac:dyDescent="0.25">
      <c r="A502" s="51" t="str">
        <f t="shared" si="21"/>
        <v/>
      </c>
      <c r="B502" s="77"/>
      <c r="C502" s="133"/>
      <c r="D502" s="50"/>
      <c r="E502" s="141"/>
      <c r="F502" s="133"/>
      <c r="G502" s="133"/>
      <c r="H502" s="50"/>
      <c r="I502" s="51" t="str">
        <f t="shared" si="22"/>
        <v/>
      </c>
      <c r="J502" s="52" t="str">
        <f t="shared" si="23"/>
        <v/>
      </c>
      <c r="K502" s="142" t="str">
        <f>IF(OR($I502="",$I502="?",$D502&lt;&gt;"Advance",$B502=""),"",$I502&amp;"|"&amp;$J502&amp;"|"&amp;COUNTIFS($I$7:$I502,$I502,$J$7:$J502,$J502,$D$7:$D502,"Advance"))</f>
        <v/>
      </c>
      <c r="L502" s="143" t="str">
        <f>IF(OR($I502="",$I502="?",$B502=""),"",SUMPRODUCT((Weeks!$A$7:$A$59&lt;=$J502)*(Weeks!$X$5:$AI$5=$I502)*Weeks!$X$7:$AI$59)-SUMIFS($E$7:$E$1006,$I$7:$I$1006,$I502,$B$7:$B$1006,"&lt;="&amp;$B502))</f>
        <v/>
      </c>
      <c r="M502" s="132" t="str">
        <f>IF($B502&amp;$C502&amp;$D502&amp;$E502="","",IF($B502="","missing date",IF($C502="","missing worker",IF($I502="?","unknown worker - was the name changed on Workers?",IF($D502="","missing type",IF(N($E502)=0,"missing amount",IF(AND($E502&lt;0,$D502&lt;&gt;"Correction"),"negative amount - use a Correction to undo",IF(OR($B502&lt;Weeks!$A$7,$B502&gt;Weeks!$B$59),"date outside this workbook's year",IF(AND($D502="Advance",N($L502)&lt;0),"Warning: more than earned so far - worker now owes "&amp;TEXT(ROUND(-$L502,0),"#,##0"),"")))))))))</f>
        <v/>
      </c>
      <c r="N502" s="125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</row>
    <row r="503" spans="1:40" s="127" customFormat="1" ht="21" customHeight="1" x14ac:dyDescent="0.25">
      <c r="A503" s="51" t="str">
        <f t="shared" si="21"/>
        <v/>
      </c>
      <c r="B503" s="77"/>
      <c r="C503" s="133"/>
      <c r="D503" s="50"/>
      <c r="E503" s="141"/>
      <c r="F503" s="133"/>
      <c r="G503" s="133"/>
      <c r="H503" s="50"/>
      <c r="I503" s="51" t="str">
        <f t="shared" si="22"/>
        <v/>
      </c>
      <c r="J503" s="52" t="str">
        <f t="shared" si="23"/>
        <v/>
      </c>
      <c r="K503" s="142" t="str">
        <f>IF(OR($I503="",$I503="?",$D503&lt;&gt;"Advance",$B503=""),"",$I503&amp;"|"&amp;$J503&amp;"|"&amp;COUNTIFS($I$7:$I503,$I503,$J$7:$J503,$J503,$D$7:$D503,"Advance"))</f>
        <v/>
      </c>
      <c r="L503" s="143" t="str">
        <f>IF(OR($I503="",$I503="?",$B503=""),"",SUMPRODUCT((Weeks!$A$7:$A$59&lt;=$J503)*(Weeks!$X$5:$AI$5=$I503)*Weeks!$X$7:$AI$59)-SUMIFS($E$7:$E$1006,$I$7:$I$1006,$I503,$B$7:$B$1006,"&lt;="&amp;$B503))</f>
        <v/>
      </c>
      <c r="M503" s="132" t="str">
        <f>IF($B503&amp;$C503&amp;$D503&amp;$E503="","",IF($B503="","missing date",IF($C503="","missing worker",IF($I503="?","unknown worker - was the name changed on Workers?",IF($D503="","missing type",IF(N($E503)=0,"missing amount",IF(AND($E503&lt;0,$D503&lt;&gt;"Correction"),"negative amount - use a Correction to undo",IF(OR($B503&lt;Weeks!$A$7,$B503&gt;Weeks!$B$59),"date outside this workbook's year",IF(AND($D503="Advance",N($L503)&lt;0),"Warning: more than earned so far - worker now owes "&amp;TEXT(ROUND(-$L503,0),"#,##0"),"")))))))))</f>
        <v/>
      </c>
      <c r="N503" s="125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</row>
    <row r="504" spans="1:40" s="127" customFormat="1" ht="21" customHeight="1" x14ac:dyDescent="0.25">
      <c r="A504" s="51" t="str">
        <f t="shared" si="21"/>
        <v/>
      </c>
      <c r="B504" s="77"/>
      <c r="C504" s="133"/>
      <c r="D504" s="50"/>
      <c r="E504" s="141"/>
      <c r="F504" s="133"/>
      <c r="G504" s="133"/>
      <c r="H504" s="50"/>
      <c r="I504" s="51" t="str">
        <f t="shared" si="22"/>
        <v/>
      </c>
      <c r="J504" s="52" t="str">
        <f t="shared" si="23"/>
        <v/>
      </c>
      <c r="K504" s="142" t="str">
        <f>IF(OR($I504="",$I504="?",$D504&lt;&gt;"Advance",$B504=""),"",$I504&amp;"|"&amp;$J504&amp;"|"&amp;COUNTIFS($I$7:$I504,$I504,$J$7:$J504,$J504,$D$7:$D504,"Advance"))</f>
        <v/>
      </c>
      <c r="L504" s="143" t="str">
        <f>IF(OR($I504="",$I504="?",$B504=""),"",SUMPRODUCT((Weeks!$A$7:$A$59&lt;=$J504)*(Weeks!$X$5:$AI$5=$I504)*Weeks!$X$7:$AI$59)-SUMIFS($E$7:$E$1006,$I$7:$I$1006,$I504,$B$7:$B$1006,"&lt;="&amp;$B504))</f>
        <v/>
      </c>
      <c r="M504" s="132" t="str">
        <f>IF($B504&amp;$C504&amp;$D504&amp;$E504="","",IF($B504="","missing date",IF($C504="","missing worker",IF($I504="?","unknown worker - was the name changed on Workers?",IF($D504="","missing type",IF(N($E504)=0,"missing amount",IF(AND($E504&lt;0,$D504&lt;&gt;"Correction"),"negative amount - use a Correction to undo",IF(OR($B504&lt;Weeks!$A$7,$B504&gt;Weeks!$B$59),"date outside this workbook's year",IF(AND($D504="Advance",N($L504)&lt;0),"Warning: more than earned so far - worker now owes "&amp;TEXT(ROUND(-$L504,0),"#,##0"),"")))))))))</f>
        <v/>
      </c>
      <c r="N504" s="125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</row>
    <row r="505" spans="1:40" s="127" customFormat="1" ht="21" customHeight="1" x14ac:dyDescent="0.25">
      <c r="A505" s="51" t="str">
        <f t="shared" si="21"/>
        <v/>
      </c>
      <c r="B505" s="77"/>
      <c r="C505" s="133"/>
      <c r="D505" s="50"/>
      <c r="E505" s="141"/>
      <c r="F505" s="133"/>
      <c r="G505" s="133"/>
      <c r="H505" s="50"/>
      <c r="I505" s="51" t="str">
        <f t="shared" si="22"/>
        <v/>
      </c>
      <c r="J505" s="52" t="str">
        <f t="shared" si="23"/>
        <v/>
      </c>
      <c r="K505" s="142" t="str">
        <f>IF(OR($I505="",$I505="?",$D505&lt;&gt;"Advance",$B505=""),"",$I505&amp;"|"&amp;$J505&amp;"|"&amp;COUNTIFS($I$7:$I505,$I505,$J$7:$J505,$J505,$D$7:$D505,"Advance"))</f>
        <v/>
      </c>
      <c r="L505" s="143" t="str">
        <f>IF(OR($I505="",$I505="?",$B505=""),"",SUMPRODUCT((Weeks!$A$7:$A$59&lt;=$J505)*(Weeks!$X$5:$AI$5=$I505)*Weeks!$X$7:$AI$59)-SUMIFS($E$7:$E$1006,$I$7:$I$1006,$I505,$B$7:$B$1006,"&lt;="&amp;$B505))</f>
        <v/>
      </c>
      <c r="M505" s="132" t="str">
        <f>IF($B505&amp;$C505&amp;$D505&amp;$E505="","",IF($B505="","missing date",IF($C505="","missing worker",IF($I505="?","unknown worker - was the name changed on Workers?",IF($D505="","missing type",IF(N($E505)=0,"missing amount",IF(AND($E505&lt;0,$D505&lt;&gt;"Correction"),"negative amount - use a Correction to undo",IF(OR($B505&lt;Weeks!$A$7,$B505&gt;Weeks!$B$59),"date outside this workbook's year",IF(AND($D505="Advance",N($L505)&lt;0),"Warning: more than earned so far - worker now owes "&amp;TEXT(ROUND(-$L505,0),"#,##0"),"")))))))))</f>
        <v/>
      </c>
      <c r="N505" s="125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</row>
    <row r="506" spans="1:40" s="127" customFormat="1" ht="21" customHeight="1" x14ac:dyDescent="0.25">
      <c r="A506" s="51" t="str">
        <f t="shared" si="21"/>
        <v/>
      </c>
      <c r="B506" s="77"/>
      <c r="C506" s="133"/>
      <c r="D506" s="50"/>
      <c r="E506" s="141"/>
      <c r="F506" s="133"/>
      <c r="G506" s="133"/>
      <c r="H506" s="50"/>
      <c r="I506" s="51" t="str">
        <f t="shared" si="22"/>
        <v/>
      </c>
      <c r="J506" s="52" t="str">
        <f t="shared" si="23"/>
        <v/>
      </c>
      <c r="K506" s="142" t="str">
        <f>IF(OR($I506="",$I506="?",$D506&lt;&gt;"Advance",$B506=""),"",$I506&amp;"|"&amp;$J506&amp;"|"&amp;COUNTIFS($I$7:$I506,$I506,$J$7:$J506,$J506,$D$7:$D506,"Advance"))</f>
        <v/>
      </c>
      <c r="L506" s="143" t="str">
        <f>IF(OR($I506="",$I506="?",$B506=""),"",SUMPRODUCT((Weeks!$A$7:$A$59&lt;=$J506)*(Weeks!$X$5:$AI$5=$I506)*Weeks!$X$7:$AI$59)-SUMIFS($E$7:$E$1006,$I$7:$I$1006,$I506,$B$7:$B$1006,"&lt;="&amp;$B506))</f>
        <v/>
      </c>
      <c r="M506" s="132" t="str">
        <f>IF($B506&amp;$C506&amp;$D506&amp;$E506="","",IF($B506="","missing date",IF($C506="","missing worker",IF($I506="?","unknown worker - was the name changed on Workers?",IF($D506="","missing type",IF(N($E506)=0,"missing amount",IF(AND($E506&lt;0,$D506&lt;&gt;"Correction"),"negative amount - use a Correction to undo",IF(OR($B506&lt;Weeks!$A$7,$B506&gt;Weeks!$B$59),"date outside this workbook's year",IF(AND($D506="Advance",N($L506)&lt;0),"Warning: more than earned so far - worker now owes "&amp;TEXT(ROUND(-$L506,0),"#,##0"),"")))))))))</f>
        <v/>
      </c>
      <c r="N506" s="125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</row>
    <row r="507" spans="1:40" s="127" customFormat="1" ht="21" customHeight="1" x14ac:dyDescent="0.25">
      <c r="A507" s="51" t="str">
        <f t="shared" si="21"/>
        <v/>
      </c>
      <c r="B507" s="77"/>
      <c r="C507" s="133"/>
      <c r="D507" s="50"/>
      <c r="E507" s="141"/>
      <c r="F507" s="133"/>
      <c r="G507" s="133"/>
      <c r="H507" s="50"/>
      <c r="I507" s="51" t="str">
        <f t="shared" si="22"/>
        <v/>
      </c>
      <c r="J507" s="52" t="str">
        <f t="shared" si="23"/>
        <v/>
      </c>
      <c r="K507" s="142" t="str">
        <f>IF(OR($I507="",$I507="?",$D507&lt;&gt;"Advance",$B507=""),"",$I507&amp;"|"&amp;$J507&amp;"|"&amp;COUNTIFS($I$7:$I507,$I507,$J$7:$J507,$J507,$D$7:$D507,"Advance"))</f>
        <v/>
      </c>
      <c r="L507" s="143" t="str">
        <f>IF(OR($I507="",$I507="?",$B507=""),"",SUMPRODUCT((Weeks!$A$7:$A$59&lt;=$J507)*(Weeks!$X$5:$AI$5=$I507)*Weeks!$X$7:$AI$59)-SUMIFS($E$7:$E$1006,$I$7:$I$1006,$I507,$B$7:$B$1006,"&lt;="&amp;$B507))</f>
        <v/>
      </c>
      <c r="M507" s="132" t="str">
        <f>IF($B507&amp;$C507&amp;$D507&amp;$E507="","",IF($B507="","missing date",IF($C507="","missing worker",IF($I507="?","unknown worker - was the name changed on Workers?",IF($D507="","missing type",IF(N($E507)=0,"missing amount",IF(AND($E507&lt;0,$D507&lt;&gt;"Correction"),"negative amount - use a Correction to undo",IF(OR($B507&lt;Weeks!$A$7,$B507&gt;Weeks!$B$59),"date outside this workbook's year",IF(AND($D507="Advance",N($L507)&lt;0),"Warning: more than earned so far - worker now owes "&amp;TEXT(ROUND(-$L507,0),"#,##0"),"")))))))))</f>
        <v/>
      </c>
      <c r="N507" s="125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</row>
    <row r="508" spans="1:40" s="127" customFormat="1" ht="21" customHeight="1" x14ac:dyDescent="0.25">
      <c r="A508" s="51" t="str">
        <f t="shared" si="21"/>
        <v/>
      </c>
      <c r="B508" s="77"/>
      <c r="C508" s="133"/>
      <c r="D508" s="50"/>
      <c r="E508" s="141"/>
      <c r="F508" s="133"/>
      <c r="G508" s="133"/>
      <c r="H508" s="50"/>
      <c r="I508" s="51" t="str">
        <f t="shared" si="22"/>
        <v/>
      </c>
      <c r="J508" s="52" t="str">
        <f t="shared" si="23"/>
        <v/>
      </c>
      <c r="K508" s="142" t="str">
        <f>IF(OR($I508="",$I508="?",$D508&lt;&gt;"Advance",$B508=""),"",$I508&amp;"|"&amp;$J508&amp;"|"&amp;COUNTIFS($I$7:$I508,$I508,$J$7:$J508,$J508,$D$7:$D508,"Advance"))</f>
        <v/>
      </c>
      <c r="L508" s="143" t="str">
        <f>IF(OR($I508="",$I508="?",$B508=""),"",SUMPRODUCT((Weeks!$A$7:$A$59&lt;=$J508)*(Weeks!$X$5:$AI$5=$I508)*Weeks!$X$7:$AI$59)-SUMIFS($E$7:$E$1006,$I$7:$I$1006,$I508,$B$7:$B$1006,"&lt;="&amp;$B508))</f>
        <v/>
      </c>
      <c r="M508" s="132" t="str">
        <f>IF($B508&amp;$C508&amp;$D508&amp;$E508="","",IF($B508="","missing date",IF($C508="","missing worker",IF($I508="?","unknown worker - was the name changed on Workers?",IF($D508="","missing type",IF(N($E508)=0,"missing amount",IF(AND($E508&lt;0,$D508&lt;&gt;"Correction"),"negative amount - use a Correction to undo",IF(OR($B508&lt;Weeks!$A$7,$B508&gt;Weeks!$B$59),"date outside this workbook's year",IF(AND($D508="Advance",N($L508)&lt;0),"Warning: more than earned so far - worker now owes "&amp;TEXT(ROUND(-$L508,0),"#,##0"),"")))))))))</f>
        <v/>
      </c>
      <c r="N508" s="125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</row>
    <row r="509" spans="1:40" s="127" customFormat="1" ht="21" customHeight="1" x14ac:dyDescent="0.25">
      <c r="A509" s="51" t="str">
        <f t="shared" si="21"/>
        <v/>
      </c>
      <c r="B509" s="77"/>
      <c r="C509" s="133"/>
      <c r="D509" s="50"/>
      <c r="E509" s="141"/>
      <c r="F509" s="133"/>
      <c r="G509" s="133"/>
      <c r="H509" s="50"/>
      <c r="I509" s="51" t="str">
        <f t="shared" si="22"/>
        <v/>
      </c>
      <c r="J509" s="52" t="str">
        <f t="shared" si="23"/>
        <v/>
      </c>
      <c r="K509" s="142" t="str">
        <f>IF(OR($I509="",$I509="?",$D509&lt;&gt;"Advance",$B509=""),"",$I509&amp;"|"&amp;$J509&amp;"|"&amp;COUNTIFS($I$7:$I509,$I509,$J$7:$J509,$J509,$D$7:$D509,"Advance"))</f>
        <v/>
      </c>
      <c r="L509" s="143" t="str">
        <f>IF(OR($I509="",$I509="?",$B509=""),"",SUMPRODUCT((Weeks!$A$7:$A$59&lt;=$J509)*(Weeks!$X$5:$AI$5=$I509)*Weeks!$X$7:$AI$59)-SUMIFS($E$7:$E$1006,$I$7:$I$1006,$I509,$B$7:$B$1006,"&lt;="&amp;$B509))</f>
        <v/>
      </c>
      <c r="M509" s="132" t="str">
        <f>IF($B509&amp;$C509&amp;$D509&amp;$E509="","",IF($B509="","missing date",IF($C509="","missing worker",IF($I509="?","unknown worker - was the name changed on Workers?",IF($D509="","missing type",IF(N($E509)=0,"missing amount",IF(AND($E509&lt;0,$D509&lt;&gt;"Correction"),"negative amount - use a Correction to undo",IF(OR($B509&lt;Weeks!$A$7,$B509&gt;Weeks!$B$59),"date outside this workbook's year",IF(AND($D509="Advance",N($L509)&lt;0),"Warning: more than earned so far - worker now owes "&amp;TEXT(ROUND(-$L509,0),"#,##0"),"")))))))))</f>
        <v/>
      </c>
      <c r="N509" s="125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</row>
    <row r="510" spans="1:40" s="127" customFormat="1" ht="21" customHeight="1" x14ac:dyDescent="0.25">
      <c r="A510" s="51" t="str">
        <f t="shared" si="21"/>
        <v/>
      </c>
      <c r="B510" s="77"/>
      <c r="C510" s="133"/>
      <c r="D510" s="50"/>
      <c r="E510" s="141"/>
      <c r="F510" s="133"/>
      <c r="G510" s="133"/>
      <c r="H510" s="50"/>
      <c r="I510" s="51" t="str">
        <f t="shared" si="22"/>
        <v/>
      </c>
      <c r="J510" s="52" t="str">
        <f t="shared" si="23"/>
        <v/>
      </c>
      <c r="K510" s="142" t="str">
        <f>IF(OR($I510="",$I510="?",$D510&lt;&gt;"Advance",$B510=""),"",$I510&amp;"|"&amp;$J510&amp;"|"&amp;COUNTIFS($I$7:$I510,$I510,$J$7:$J510,$J510,$D$7:$D510,"Advance"))</f>
        <v/>
      </c>
      <c r="L510" s="143" t="str">
        <f>IF(OR($I510="",$I510="?",$B510=""),"",SUMPRODUCT((Weeks!$A$7:$A$59&lt;=$J510)*(Weeks!$X$5:$AI$5=$I510)*Weeks!$X$7:$AI$59)-SUMIFS($E$7:$E$1006,$I$7:$I$1006,$I510,$B$7:$B$1006,"&lt;="&amp;$B510))</f>
        <v/>
      </c>
      <c r="M510" s="132" t="str">
        <f>IF($B510&amp;$C510&amp;$D510&amp;$E510="","",IF($B510="","missing date",IF($C510="","missing worker",IF($I510="?","unknown worker - was the name changed on Workers?",IF($D510="","missing type",IF(N($E510)=0,"missing amount",IF(AND($E510&lt;0,$D510&lt;&gt;"Correction"),"negative amount - use a Correction to undo",IF(OR($B510&lt;Weeks!$A$7,$B510&gt;Weeks!$B$59),"date outside this workbook's year",IF(AND($D510="Advance",N($L510)&lt;0),"Warning: more than earned so far - worker now owes "&amp;TEXT(ROUND(-$L510,0),"#,##0"),"")))))))))</f>
        <v/>
      </c>
      <c r="N510" s="125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</row>
    <row r="511" spans="1:40" s="127" customFormat="1" ht="21" customHeight="1" x14ac:dyDescent="0.25">
      <c r="A511" s="51" t="str">
        <f t="shared" si="21"/>
        <v/>
      </c>
      <c r="B511" s="77"/>
      <c r="C511" s="133"/>
      <c r="D511" s="50"/>
      <c r="E511" s="141"/>
      <c r="F511" s="133"/>
      <c r="G511" s="133"/>
      <c r="H511" s="50"/>
      <c r="I511" s="51" t="str">
        <f t="shared" si="22"/>
        <v/>
      </c>
      <c r="J511" s="52" t="str">
        <f t="shared" si="23"/>
        <v/>
      </c>
      <c r="K511" s="142" t="str">
        <f>IF(OR($I511="",$I511="?",$D511&lt;&gt;"Advance",$B511=""),"",$I511&amp;"|"&amp;$J511&amp;"|"&amp;COUNTIFS($I$7:$I511,$I511,$J$7:$J511,$J511,$D$7:$D511,"Advance"))</f>
        <v/>
      </c>
      <c r="L511" s="143" t="str">
        <f>IF(OR($I511="",$I511="?",$B511=""),"",SUMPRODUCT((Weeks!$A$7:$A$59&lt;=$J511)*(Weeks!$X$5:$AI$5=$I511)*Weeks!$X$7:$AI$59)-SUMIFS($E$7:$E$1006,$I$7:$I$1006,$I511,$B$7:$B$1006,"&lt;="&amp;$B511))</f>
        <v/>
      </c>
      <c r="M511" s="132" t="str">
        <f>IF($B511&amp;$C511&amp;$D511&amp;$E511="","",IF($B511="","missing date",IF($C511="","missing worker",IF($I511="?","unknown worker - was the name changed on Workers?",IF($D511="","missing type",IF(N($E511)=0,"missing amount",IF(AND($E511&lt;0,$D511&lt;&gt;"Correction"),"negative amount - use a Correction to undo",IF(OR($B511&lt;Weeks!$A$7,$B511&gt;Weeks!$B$59),"date outside this workbook's year",IF(AND($D511="Advance",N($L511)&lt;0),"Warning: more than earned so far - worker now owes "&amp;TEXT(ROUND(-$L511,0),"#,##0"),"")))))))))</f>
        <v/>
      </c>
      <c r="N511" s="125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</row>
    <row r="512" spans="1:40" s="127" customFormat="1" ht="21" customHeight="1" x14ac:dyDescent="0.25">
      <c r="A512" s="51" t="str">
        <f t="shared" si="21"/>
        <v/>
      </c>
      <c r="B512" s="77"/>
      <c r="C512" s="133"/>
      <c r="D512" s="50"/>
      <c r="E512" s="141"/>
      <c r="F512" s="133"/>
      <c r="G512" s="133"/>
      <c r="H512" s="50"/>
      <c r="I512" s="51" t="str">
        <f t="shared" si="22"/>
        <v/>
      </c>
      <c r="J512" s="52" t="str">
        <f t="shared" si="23"/>
        <v/>
      </c>
      <c r="K512" s="142" t="str">
        <f>IF(OR($I512="",$I512="?",$D512&lt;&gt;"Advance",$B512=""),"",$I512&amp;"|"&amp;$J512&amp;"|"&amp;COUNTIFS($I$7:$I512,$I512,$J$7:$J512,$J512,$D$7:$D512,"Advance"))</f>
        <v/>
      </c>
      <c r="L512" s="143" t="str">
        <f>IF(OR($I512="",$I512="?",$B512=""),"",SUMPRODUCT((Weeks!$A$7:$A$59&lt;=$J512)*(Weeks!$X$5:$AI$5=$I512)*Weeks!$X$7:$AI$59)-SUMIFS($E$7:$E$1006,$I$7:$I$1006,$I512,$B$7:$B$1006,"&lt;="&amp;$B512))</f>
        <v/>
      </c>
      <c r="M512" s="132" t="str">
        <f>IF($B512&amp;$C512&amp;$D512&amp;$E512="","",IF($B512="","missing date",IF($C512="","missing worker",IF($I512="?","unknown worker - was the name changed on Workers?",IF($D512="","missing type",IF(N($E512)=0,"missing amount",IF(AND($E512&lt;0,$D512&lt;&gt;"Correction"),"negative amount - use a Correction to undo",IF(OR($B512&lt;Weeks!$A$7,$B512&gt;Weeks!$B$59),"date outside this workbook's year",IF(AND($D512="Advance",N($L512)&lt;0),"Warning: more than earned so far - worker now owes "&amp;TEXT(ROUND(-$L512,0),"#,##0"),"")))))))))</f>
        <v/>
      </c>
      <c r="N512" s="125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</row>
    <row r="513" spans="1:40" s="127" customFormat="1" ht="21" customHeight="1" x14ac:dyDescent="0.25">
      <c r="A513" s="51" t="str">
        <f t="shared" si="21"/>
        <v/>
      </c>
      <c r="B513" s="77"/>
      <c r="C513" s="133"/>
      <c r="D513" s="50"/>
      <c r="E513" s="141"/>
      <c r="F513" s="133"/>
      <c r="G513" s="133"/>
      <c r="H513" s="50"/>
      <c r="I513" s="51" t="str">
        <f t="shared" si="22"/>
        <v/>
      </c>
      <c r="J513" s="52" t="str">
        <f t="shared" si="23"/>
        <v/>
      </c>
      <c r="K513" s="142" t="str">
        <f>IF(OR($I513="",$I513="?",$D513&lt;&gt;"Advance",$B513=""),"",$I513&amp;"|"&amp;$J513&amp;"|"&amp;COUNTIFS($I$7:$I513,$I513,$J$7:$J513,$J513,$D$7:$D513,"Advance"))</f>
        <v/>
      </c>
      <c r="L513" s="143" t="str">
        <f>IF(OR($I513="",$I513="?",$B513=""),"",SUMPRODUCT((Weeks!$A$7:$A$59&lt;=$J513)*(Weeks!$X$5:$AI$5=$I513)*Weeks!$X$7:$AI$59)-SUMIFS($E$7:$E$1006,$I$7:$I$1006,$I513,$B$7:$B$1006,"&lt;="&amp;$B513))</f>
        <v/>
      </c>
      <c r="M513" s="132" t="str">
        <f>IF($B513&amp;$C513&amp;$D513&amp;$E513="","",IF($B513="","missing date",IF($C513="","missing worker",IF($I513="?","unknown worker - was the name changed on Workers?",IF($D513="","missing type",IF(N($E513)=0,"missing amount",IF(AND($E513&lt;0,$D513&lt;&gt;"Correction"),"negative amount - use a Correction to undo",IF(OR($B513&lt;Weeks!$A$7,$B513&gt;Weeks!$B$59),"date outside this workbook's year",IF(AND($D513="Advance",N($L513)&lt;0),"Warning: more than earned so far - worker now owes "&amp;TEXT(ROUND(-$L513,0),"#,##0"),"")))))))))</f>
        <v/>
      </c>
      <c r="N513" s="125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</row>
    <row r="514" spans="1:40" s="127" customFormat="1" ht="21" customHeight="1" x14ac:dyDescent="0.25">
      <c r="A514" s="51" t="str">
        <f t="shared" si="21"/>
        <v/>
      </c>
      <c r="B514" s="77"/>
      <c r="C514" s="133"/>
      <c r="D514" s="50"/>
      <c r="E514" s="141"/>
      <c r="F514" s="133"/>
      <c r="G514" s="133"/>
      <c r="H514" s="50"/>
      <c r="I514" s="51" t="str">
        <f t="shared" si="22"/>
        <v/>
      </c>
      <c r="J514" s="52" t="str">
        <f t="shared" si="23"/>
        <v/>
      </c>
      <c r="K514" s="142" t="str">
        <f>IF(OR($I514="",$I514="?",$D514&lt;&gt;"Advance",$B514=""),"",$I514&amp;"|"&amp;$J514&amp;"|"&amp;COUNTIFS($I$7:$I514,$I514,$J$7:$J514,$J514,$D$7:$D514,"Advance"))</f>
        <v/>
      </c>
      <c r="L514" s="143" t="str">
        <f>IF(OR($I514="",$I514="?",$B514=""),"",SUMPRODUCT((Weeks!$A$7:$A$59&lt;=$J514)*(Weeks!$X$5:$AI$5=$I514)*Weeks!$X$7:$AI$59)-SUMIFS($E$7:$E$1006,$I$7:$I$1006,$I514,$B$7:$B$1006,"&lt;="&amp;$B514))</f>
        <v/>
      </c>
      <c r="M514" s="132" t="str">
        <f>IF($B514&amp;$C514&amp;$D514&amp;$E514="","",IF($B514="","missing date",IF($C514="","missing worker",IF($I514="?","unknown worker - was the name changed on Workers?",IF($D514="","missing type",IF(N($E514)=0,"missing amount",IF(AND($E514&lt;0,$D514&lt;&gt;"Correction"),"negative amount - use a Correction to undo",IF(OR($B514&lt;Weeks!$A$7,$B514&gt;Weeks!$B$59),"date outside this workbook's year",IF(AND($D514="Advance",N($L514)&lt;0),"Warning: more than earned so far - worker now owes "&amp;TEXT(ROUND(-$L514,0),"#,##0"),"")))))))))</f>
        <v/>
      </c>
      <c r="N514" s="125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</row>
    <row r="515" spans="1:40" s="127" customFormat="1" ht="21" customHeight="1" x14ac:dyDescent="0.25">
      <c r="A515" s="51" t="str">
        <f t="shared" si="21"/>
        <v/>
      </c>
      <c r="B515" s="77"/>
      <c r="C515" s="133"/>
      <c r="D515" s="50"/>
      <c r="E515" s="141"/>
      <c r="F515" s="133"/>
      <c r="G515" s="133"/>
      <c r="H515" s="50"/>
      <c r="I515" s="51" t="str">
        <f t="shared" si="22"/>
        <v/>
      </c>
      <c r="J515" s="52" t="str">
        <f t="shared" si="23"/>
        <v/>
      </c>
      <c r="K515" s="142" t="str">
        <f>IF(OR($I515="",$I515="?",$D515&lt;&gt;"Advance",$B515=""),"",$I515&amp;"|"&amp;$J515&amp;"|"&amp;COUNTIFS($I$7:$I515,$I515,$J$7:$J515,$J515,$D$7:$D515,"Advance"))</f>
        <v/>
      </c>
      <c r="L515" s="143" t="str">
        <f>IF(OR($I515="",$I515="?",$B515=""),"",SUMPRODUCT((Weeks!$A$7:$A$59&lt;=$J515)*(Weeks!$X$5:$AI$5=$I515)*Weeks!$X$7:$AI$59)-SUMIFS($E$7:$E$1006,$I$7:$I$1006,$I515,$B$7:$B$1006,"&lt;="&amp;$B515))</f>
        <v/>
      </c>
      <c r="M515" s="132" t="str">
        <f>IF($B515&amp;$C515&amp;$D515&amp;$E515="","",IF($B515="","missing date",IF($C515="","missing worker",IF($I515="?","unknown worker - was the name changed on Workers?",IF($D515="","missing type",IF(N($E515)=0,"missing amount",IF(AND($E515&lt;0,$D515&lt;&gt;"Correction"),"negative amount - use a Correction to undo",IF(OR($B515&lt;Weeks!$A$7,$B515&gt;Weeks!$B$59),"date outside this workbook's year",IF(AND($D515="Advance",N($L515)&lt;0),"Warning: more than earned so far - worker now owes "&amp;TEXT(ROUND(-$L515,0),"#,##0"),"")))))))))</f>
        <v/>
      </c>
      <c r="N515" s="125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</row>
    <row r="516" spans="1:40" s="127" customFormat="1" ht="21" customHeight="1" x14ac:dyDescent="0.25">
      <c r="A516" s="51" t="str">
        <f t="shared" si="21"/>
        <v/>
      </c>
      <c r="B516" s="77"/>
      <c r="C516" s="133"/>
      <c r="D516" s="50"/>
      <c r="E516" s="141"/>
      <c r="F516" s="133"/>
      <c r="G516" s="133"/>
      <c r="H516" s="50"/>
      <c r="I516" s="51" t="str">
        <f t="shared" si="22"/>
        <v/>
      </c>
      <c r="J516" s="52" t="str">
        <f t="shared" si="23"/>
        <v/>
      </c>
      <c r="K516" s="142" t="str">
        <f>IF(OR($I516="",$I516="?",$D516&lt;&gt;"Advance",$B516=""),"",$I516&amp;"|"&amp;$J516&amp;"|"&amp;COUNTIFS($I$7:$I516,$I516,$J$7:$J516,$J516,$D$7:$D516,"Advance"))</f>
        <v/>
      </c>
      <c r="L516" s="143" t="str">
        <f>IF(OR($I516="",$I516="?",$B516=""),"",SUMPRODUCT((Weeks!$A$7:$A$59&lt;=$J516)*(Weeks!$X$5:$AI$5=$I516)*Weeks!$X$7:$AI$59)-SUMIFS($E$7:$E$1006,$I$7:$I$1006,$I516,$B$7:$B$1006,"&lt;="&amp;$B516))</f>
        <v/>
      </c>
      <c r="M516" s="132" t="str">
        <f>IF($B516&amp;$C516&amp;$D516&amp;$E516="","",IF($B516="","missing date",IF($C516="","missing worker",IF($I516="?","unknown worker - was the name changed on Workers?",IF($D516="","missing type",IF(N($E516)=0,"missing amount",IF(AND($E516&lt;0,$D516&lt;&gt;"Correction"),"negative amount - use a Correction to undo",IF(OR($B516&lt;Weeks!$A$7,$B516&gt;Weeks!$B$59),"date outside this workbook's year",IF(AND($D516="Advance",N($L516)&lt;0),"Warning: more than earned so far - worker now owes "&amp;TEXT(ROUND(-$L516,0),"#,##0"),"")))))))))</f>
        <v/>
      </c>
      <c r="N516" s="125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</row>
    <row r="517" spans="1:40" s="127" customFormat="1" ht="21" customHeight="1" x14ac:dyDescent="0.25">
      <c r="A517" s="51" t="str">
        <f t="shared" si="21"/>
        <v/>
      </c>
      <c r="B517" s="77"/>
      <c r="C517" s="133"/>
      <c r="D517" s="50"/>
      <c r="E517" s="141"/>
      <c r="F517" s="133"/>
      <c r="G517" s="133"/>
      <c r="H517" s="50"/>
      <c r="I517" s="51" t="str">
        <f t="shared" si="22"/>
        <v/>
      </c>
      <c r="J517" s="52" t="str">
        <f t="shared" si="23"/>
        <v/>
      </c>
      <c r="K517" s="142" t="str">
        <f>IF(OR($I517="",$I517="?",$D517&lt;&gt;"Advance",$B517=""),"",$I517&amp;"|"&amp;$J517&amp;"|"&amp;COUNTIFS($I$7:$I517,$I517,$J$7:$J517,$J517,$D$7:$D517,"Advance"))</f>
        <v/>
      </c>
      <c r="L517" s="143" t="str">
        <f>IF(OR($I517="",$I517="?",$B517=""),"",SUMPRODUCT((Weeks!$A$7:$A$59&lt;=$J517)*(Weeks!$X$5:$AI$5=$I517)*Weeks!$X$7:$AI$59)-SUMIFS($E$7:$E$1006,$I$7:$I$1006,$I517,$B$7:$B$1006,"&lt;="&amp;$B517))</f>
        <v/>
      </c>
      <c r="M517" s="132" t="str">
        <f>IF($B517&amp;$C517&amp;$D517&amp;$E517="","",IF($B517="","missing date",IF($C517="","missing worker",IF($I517="?","unknown worker - was the name changed on Workers?",IF($D517="","missing type",IF(N($E517)=0,"missing amount",IF(AND($E517&lt;0,$D517&lt;&gt;"Correction"),"negative amount - use a Correction to undo",IF(OR($B517&lt;Weeks!$A$7,$B517&gt;Weeks!$B$59),"date outside this workbook's year",IF(AND($D517="Advance",N($L517)&lt;0),"Warning: more than earned so far - worker now owes "&amp;TEXT(ROUND(-$L517,0),"#,##0"),"")))))))))</f>
        <v/>
      </c>
      <c r="N517" s="125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</row>
    <row r="518" spans="1:40" s="127" customFormat="1" ht="21" customHeight="1" x14ac:dyDescent="0.25">
      <c r="A518" s="51" t="str">
        <f t="shared" si="21"/>
        <v/>
      </c>
      <c r="B518" s="77"/>
      <c r="C518" s="133"/>
      <c r="D518" s="50"/>
      <c r="E518" s="141"/>
      <c r="F518" s="133"/>
      <c r="G518" s="133"/>
      <c r="H518" s="50"/>
      <c r="I518" s="51" t="str">
        <f t="shared" si="22"/>
        <v/>
      </c>
      <c r="J518" s="52" t="str">
        <f t="shared" si="23"/>
        <v/>
      </c>
      <c r="K518" s="142" t="str">
        <f>IF(OR($I518="",$I518="?",$D518&lt;&gt;"Advance",$B518=""),"",$I518&amp;"|"&amp;$J518&amp;"|"&amp;COUNTIFS($I$7:$I518,$I518,$J$7:$J518,$J518,$D$7:$D518,"Advance"))</f>
        <v/>
      </c>
      <c r="L518" s="143" t="str">
        <f>IF(OR($I518="",$I518="?",$B518=""),"",SUMPRODUCT((Weeks!$A$7:$A$59&lt;=$J518)*(Weeks!$X$5:$AI$5=$I518)*Weeks!$X$7:$AI$59)-SUMIFS($E$7:$E$1006,$I$7:$I$1006,$I518,$B$7:$B$1006,"&lt;="&amp;$B518))</f>
        <v/>
      </c>
      <c r="M518" s="132" t="str">
        <f>IF($B518&amp;$C518&amp;$D518&amp;$E518="","",IF($B518="","missing date",IF($C518="","missing worker",IF($I518="?","unknown worker - was the name changed on Workers?",IF($D518="","missing type",IF(N($E518)=0,"missing amount",IF(AND($E518&lt;0,$D518&lt;&gt;"Correction"),"negative amount - use a Correction to undo",IF(OR($B518&lt;Weeks!$A$7,$B518&gt;Weeks!$B$59),"date outside this workbook's year",IF(AND($D518="Advance",N($L518)&lt;0),"Warning: more than earned so far - worker now owes "&amp;TEXT(ROUND(-$L518,0),"#,##0"),"")))))))))</f>
        <v/>
      </c>
      <c r="N518" s="125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</row>
    <row r="519" spans="1:40" s="127" customFormat="1" ht="21" customHeight="1" x14ac:dyDescent="0.25">
      <c r="A519" s="51" t="str">
        <f t="shared" ref="A519:A582" si="24">IF($B519="","",ROW()-6)</f>
        <v/>
      </c>
      <c r="B519" s="77"/>
      <c r="C519" s="133"/>
      <c r="D519" s="50"/>
      <c r="E519" s="141"/>
      <c r="F519" s="133"/>
      <c r="G519" s="133"/>
      <c r="H519" s="50"/>
      <c r="I519" s="51" t="str">
        <f t="shared" ref="I519:I582" si="25">IF($C519="","",IFERROR(INDEX(WorkerIDs,MATCH($C519,WorkerNames,0)),"?"))</f>
        <v/>
      </c>
      <c r="J519" s="52" t="str">
        <f t="shared" ref="J519:J582" si="26">IF($B519="","",$B519-WEEKDAY($B519,2)+1)</f>
        <v/>
      </c>
      <c r="K519" s="142" t="str">
        <f>IF(OR($I519="",$I519="?",$D519&lt;&gt;"Advance",$B519=""),"",$I519&amp;"|"&amp;$J519&amp;"|"&amp;COUNTIFS($I$7:$I519,$I519,$J$7:$J519,$J519,$D$7:$D519,"Advance"))</f>
        <v/>
      </c>
      <c r="L519" s="143" t="str">
        <f>IF(OR($I519="",$I519="?",$B519=""),"",SUMPRODUCT((Weeks!$A$7:$A$59&lt;=$J519)*(Weeks!$X$5:$AI$5=$I519)*Weeks!$X$7:$AI$59)-SUMIFS($E$7:$E$1006,$I$7:$I$1006,$I519,$B$7:$B$1006,"&lt;="&amp;$B519))</f>
        <v/>
      </c>
      <c r="M519" s="132" t="str">
        <f>IF($B519&amp;$C519&amp;$D519&amp;$E519="","",IF($B519="","missing date",IF($C519="","missing worker",IF($I519="?","unknown worker - was the name changed on Workers?",IF($D519="","missing type",IF(N($E519)=0,"missing amount",IF(AND($E519&lt;0,$D519&lt;&gt;"Correction"),"negative amount - use a Correction to undo",IF(OR($B519&lt;Weeks!$A$7,$B519&gt;Weeks!$B$59),"date outside this workbook's year",IF(AND($D519="Advance",N($L519)&lt;0),"Warning: more than earned so far - worker now owes "&amp;TEXT(ROUND(-$L519,0),"#,##0"),"")))))))))</f>
        <v/>
      </c>
      <c r="N519" s="125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</row>
    <row r="520" spans="1:40" s="127" customFormat="1" ht="21" customHeight="1" x14ac:dyDescent="0.25">
      <c r="A520" s="51" t="str">
        <f t="shared" si="24"/>
        <v/>
      </c>
      <c r="B520" s="77"/>
      <c r="C520" s="133"/>
      <c r="D520" s="50"/>
      <c r="E520" s="141"/>
      <c r="F520" s="133"/>
      <c r="G520" s="133"/>
      <c r="H520" s="50"/>
      <c r="I520" s="51" t="str">
        <f t="shared" si="25"/>
        <v/>
      </c>
      <c r="J520" s="52" t="str">
        <f t="shared" si="26"/>
        <v/>
      </c>
      <c r="K520" s="142" t="str">
        <f>IF(OR($I520="",$I520="?",$D520&lt;&gt;"Advance",$B520=""),"",$I520&amp;"|"&amp;$J520&amp;"|"&amp;COUNTIFS($I$7:$I520,$I520,$J$7:$J520,$J520,$D$7:$D520,"Advance"))</f>
        <v/>
      </c>
      <c r="L520" s="143" t="str">
        <f>IF(OR($I520="",$I520="?",$B520=""),"",SUMPRODUCT((Weeks!$A$7:$A$59&lt;=$J520)*(Weeks!$X$5:$AI$5=$I520)*Weeks!$X$7:$AI$59)-SUMIFS($E$7:$E$1006,$I$7:$I$1006,$I520,$B$7:$B$1006,"&lt;="&amp;$B520))</f>
        <v/>
      </c>
      <c r="M520" s="132" t="str">
        <f>IF($B520&amp;$C520&amp;$D520&amp;$E520="","",IF($B520="","missing date",IF($C520="","missing worker",IF($I520="?","unknown worker - was the name changed on Workers?",IF($D520="","missing type",IF(N($E520)=0,"missing amount",IF(AND($E520&lt;0,$D520&lt;&gt;"Correction"),"negative amount - use a Correction to undo",IF(OR($B520&lt;Weeks!$A$7,$B520&gt;Weeks!$B$59),"date outside this workbook's year",IF(AND($D520="Advance",N($L520)&lt;0),"Warning: more than earned so far - worker now owes "&amp;TEXT(ROUND(-$L520,0),"#,##0"),"")))))))))</f>
        <v/>
      </c>
      <c r="N520" s="125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</row>
    <row r="521" spans="1:40" s="127" customFormat="1" ht="21" customHeight="1" x14ac:dyDescent="0.25">
      <c r="A521" s="51" t="str">
        <f t="shared" si="24"/>
        <v/>
      </c>
      <c r="B521" s="77"/>
      <c r="C521" s="133"/>
      <c r="D521" s="50"/>
      <c r="E521" s="141"/>
      <c r="F521" s="133"/>
      <c r="G521" s="133"/>
      <c r="H521" s="50"/>
      <c r="I521" s="51" t="str">
        <f t="shared" si="25"/>
        <v/>
      </c>
      <c r="J521" s="52" t="str">
        <f t="shared" si="26"/>
        <v/>
      </c>
      <c r="K521" s="142" t="str">
        <f>IF(OR($I521="",$I521="?",$D521&lt;&gt;"Advance",$B521=""),"",$I521&amp;"|"&amp;$J521&amp;"|"&amp;COUNTIFS($I$7:$I521,$I521,$J$7:$J521,$J521,$D$7:$D521,"Advance"))</f>
        <v/>
      </c>
      <c r="L521" s="143" t="str">
        <f>IF(OR($I521="",$I521="?",$B521=""),"",SUMPRODUCT((Weeks!$A$7:$A$59&lt;=$J521)*(Weeks!$X$5:$AI$5=$I521)*Weeks!$X$7:$AI$59)-SUMIFS($E$7:$E$1006,$I$7:$I$1006,$I521,$B$7:$B$1006,"&lt;="&amp;$B521))</f>
        <v/>
      </c>
      <c r="M521" s="132" t="str">
        <f>IF($B521&amp;$C521&amp;$D521&amp;$E521="","",IF($B521="","missing date",IF($C521="","missing worker",IF($I521="?","unknown worker - was the name changed on Workers?",IF($D521="","missing type",IF(N($E521)=0,"missing amount",IF(AND($E521&lt;0,$D521&lt;&gt;"Correction"),"negative amount - use a Correction to undo",IF(OR($B521&lt;Weeks!$A$7,$B521&gt;Weeks!$B$59),"date outside this workbook's year",IF(AND($D521="Advance",N($L521)&lt;0),"Warning: more than earned so far - worker now owes "&amp;TEXT(ROUND(-$L521,0),"#,##0"),"")))))))))</f>
        <v/>
      </c>
      <c r="N521" s="125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</row>
    <row r="522" spans="1:40" s="127" customFormat="1" ht="21" customHeight="1" x14ac:dyDescent="0.25">
      <c r="A522" s="51" t="str">
        <f t="shared" si="24"/>
        <v/>
      </c>
      <c r="B522" s="77"/>
      <c r="C522" s="133"/>
      <c r="D522" s="50"/>
      <c r="E522" s="141"/>
      <c r="F522" s="133"/>
      <c r="G522" s="133"/>
      <c r="H522" s="50"/>
      <c r="I522" s="51" t="str">
        <f t="shared" si="25"/>
        <v/>
      </c>
      <c r="J522" s="52" t="str">
        <f t="shared" si="26"/>
        <v/>
      </c>
      <c r="K522" s="142" t="str">
        <f>IF(OR($I522="",$I522="?",$D522&lt;&gt;"Advance",$B522=""),"",$I522&amp;"|"&amp;$J522&amp;"|"&amp;COUNTIFS($I$7:$I522,$I522,$J$7:$J522,$J522,$D$7:$D522,"Advance"))</f>
        <v/>
      </c>
      <c r="L522" s="143" t="str">
        <f>IF(OR($I522="",$I522="?",$B522=""),"",SUMPRODUCT((Weeks!$A$7:$A$59&lt;=$J522)*(Weeks!$X$5:$AI$5=$I522)*Weeks!$X$7:$AI$59)-SUMIFS($E$7:$E$1006,$I$7:$I$1006,$I522,$B$7:$B$1006,"&lt;="&amp;$B522))</f>
        <v/>
      </c>
      <c r="M522" s="132" t="str">
        <f>IF($B522&amp;$C522&amp;$D522&amp;$E522="","",IF($B522="","missing date",IF($C522="","missing worker",IF($I522="?","unknown worker - was the name changed on Workers?",IF($D522="","missing type",IF(N($E522)=0,"missing amount",IF(AND($E522&lt;0,$D522&lt;&gt;"Correction"),"negative amount - use a Correction to undo",IF(OR($B522&lt;Weeks!$A$7,$B522&gt;Weeks!$B$59),"date outside this workbook's year",IF(AND($D522="Advance",N($L522)&lt;0),"Warning: more than earned so far - worker now owes "&amp;TEXT(ROUND(-$L522,0),"#,##0"),"")))))))))</f>
        <v/>
      </c>
      <c r="N522" s="125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</row>
    <row r="523" spans="1:40" s="127" customFormat="1" ht="21" customHeight="1" x14ac:dyDescent="0.25">
      <c r="A523" s="51" t="str">
        <f t="shared" si="24"/>
        <v/>
      </c>
      <c r="B523" s="77"/>
      <c r="C523" s="133"/>
      <c r="D523" s="50"/>
      <c r="E523" s="141"/>
      <c r="F523" s="133"/>
      <c r="G523" s="133"/>
      <c r="H523" s="50"/>
      <c r="I523" s="51" t="str">
        <f t="shared" si="25"/>
        <v/>
      </c>
      <c r="J523" s="52" t="str">
        <f t="shared" si="26"/>
        <v/>
      </c>
      <c r="K523" s="142" t="str">
        <f>IF(OR($I523="",$I523="?",$D523&lt;&gt;"Advance",$B523=""),"",$I523&amp;"|"&amp;$J523&amp;"|"&amp;COUNTIFS($I$7:$I523,$I523,$J$7:$J523,$J523,$D$7:$D523,"Advance"))</f>
        <v/>
      </c>
      <c r="L523" s="143" t="str">
        <f>IF(OR($I523="",$I523="?",$B523=""),"",SUMPRODUCT((Weeks!$A$7:$A$59&lt;=$J523)*(Weeks!$X$5:$AI$5=$I523)*Weeks!$X$7:$AI$59)-SUMIFS($E$7:$E$1006,$I$7:$I$1006,$I523,$B$7:$B$1006,"&lt;="&amp;$B523))</f>
        <v/>
      </c>
      <c r="M523" s="132" t="str">
        <f>IF($B523&amp;$C523&amp;$D523&amp;$E523="","",IF($B523="","missing date",IF($C523="","missing worker",IF($I523="?","unknown worker - was the name changed on Workers?",IF($D523="","missing type",IF(N($E523)=0,"missing amount",IF(AND($E523&lt;0,$D523&lt;&gt;"Correction"),"negative amount - use a Correction to undo",IF(OR($B523&lt;Weeks!$A$7,$B523&gt;Weeks!$B$59),"date outside this workbook's year",IF(AND($D523="Advance",N($L523)&lt;0),"Warning: more than earned so far - worker now owes "&amp;TEXT(ROUND(-$L523,0),"#,##0"),"")))))))))</f>
        <v/>
      </c>
      <c r="N523" s="125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</row>
    <row r="524" spans="1:40" s="127" customFormat="1" ht="21" customHeight="1" x14ac:dyDescent="0.25">
      <c r="A524" s="51" t="str">
        <f t="shared" si="24"/>
        <v/>
      </c>
      <c r="B524" s="77"/>
      <c r="C524" s="133"/>
      <c r="D524" s="50"/>
      <c r="E524" s="141"/>
      <c r="F524" s="133"/>
      <c r="G524" s="133"/>
      <c r="H524" s="50"/>
      <c r="I524" s="51" t="str">
        <f t="shared" si="25"/>
        <v/>
      </c>
      <c r="J524" s="52" t="str">
        <f t="shared" si="26"/>
        <v/>
      </c>
      <c r="K524" s="142" t="str">
        <f>IF(OR($I524="",$I524="?",$D524&lt;&gt;"Advance",$B524=""),"",$I524&amp;"|"&amp;$J524&amp;"|"&amp;COUNTIFS($I$7:$I524,$I524,$J$7:$J524,$J524,$D$7:$D524,"Advance"))</f>
        <v/>
      </c>
      <c r="L524" s="143" t="str">
        <f>IF(OR($I524="",$I524="?",$B524=""),"",SUMPRODUCT((Weeks!$A$7:$A$59&lt;=$J524)*(Weeks!$X$5:$AI$5=$I524)*Weeks!$X$7:$AI$59)-SUMIFS($E$7:$E$1006,$I$7:$I$1006,$I524,$B$7:$B$1006,"&lt;="&amp;$B524))</f>
        <v/>
      </c>
      <c r="M524" s="132" t="str">
        <f>IF($B524&amp;$C524&amp;$D524&amp;$E524="","",IF($B524="","missing date",IF($C524="","missing worker",IF($I524="?","unknown worker - was the name changed on Workers?",IF($D524="","missing type",IF(N($E524)=0,"missing amount",IF(AND($E524&lt;0,$D524&lt;&gt;"Correction"),"negative amount - use a Correction to undo",IF(OR($B524&lt;Weeks!$A$7,$B524&gt;Weeks!$B$59),"date outside this workbook's year",IF(AND($D524="Advance",N($L524)&lt;0),"Warning: more than earned so far - worker now owes "&amp;TEXT(ROUND(-$L524,0),"#,##0"),"")))))))))</f>
        <v/>
      </c>
      <c r="N524" s="125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</row>
    <row r="525" spans="1:40" s="127" customFormat="1" ht="21" customHeight="1" x14ac:dyDescent="0.25">
      <c r="A525" s="51" t="str">
        <f t="shared" si="24"/>
        <v/>
      </c>
      <c r="B525" s="77"/>
      <c r="C525" s="133"/>
      <c r="D525" s="50"/>
      <c r="E525" s="141"/>
      <c r="F525" s="133"/>
      <c r="G525" s="133"/>
      <c r="H525" s="50"/>
      <c r="I525" s="51" t="str">
        <f t="shared" si="25"/>
        <v/>
      </c>
      <c r="J525" s="52" t="str">
        <f t="shared" si="26"/>
        <v/>
      </c>
      <c r="K525" s="142" t="str">
        <f>IF(OR($I525="",$I525="?",$D525&lt;&gt;"Advance",$B525=""),"",$I525&amp;"|"&amp;$J525&amp;"|"&amp;COUNTIFS($I$7:$I525,$I525,$J$7:$J525,$J525,$D$7:$D525,"Advance"))</f>
        <v/>
      </c>
      <c r="L525" s="143" t="str">
        <f>IF(OR($I525="",$I525="?",$B525=""),"",SUMPRODUCT((Weeks!$A$7:$A$59&lt;=$J525)*(Weeks!$X$5:$AI$5=$I525)*Weeks!$X$7:$AI$59)-SUMIFS($E$7:$E$1006,$I$7:$I$1006,$I525,$B$7:$B$1006,"&lt;="&amp;$B525))</f>
        <v/>
      </c>
      <c r="M525" s="132" t="str">
        <f>IF($B525&amp;$C525&amp;$D525&amp;$E525="","",IF($B525="","missing date",IF($C525="","missing worker",IF($I525="?","unknown worker - was the name changed on Workers?",IF($D525="","missing type",IF(N($E525)=0,"missing amount",IF(AND($E525&lt;0,$D525&lt;&gt;"Correction"),"negative amount - use a Correction to undo",IF(OR($B525&lt;Weeks!$A$7,$B525&gt;Weeks!$B$59),"date outside this workbook's year",IF(AND($D525="Advance",N($L525)&lt;0),"Warning: more than earned so far - worker now owes "&amp;TEXT(ROUND(-$L525,0),"#,##0"),"")))))))))</f>
        <v/>
      </c>
      <c r="N525" s="125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</row>
    <row r="526" spans="1:40" s="127" customFormat="1" ht="21" customHeight="1" x14ac:dyDescent="0.25">
      <c r="A526" s="51" t="str">
        <f t="shared" si="24"/>
        <v/>
      </c>
      <c r="B526" s="77"/>
      <c r="C526" s="133"/>
      <c r="D526" s="50"/>
      <c r="E526" s="141"/>
      <c r="F526" s="133"/>
      <c r="G526" s="133"/>
      <c r="H526" s="50"/>
      <c r="I526" s="51" t="str">
        <f t="shared" si="25"/>
        <v/>
      </c>
      <c r="J526" s="52" t="str">
        <f t="shared" si="26"/>
        <v/>
      </c>
      <c r="K526" s="142" t="str">
        <f>IF(OR($I526="",$I526="?",$D526&lt;&gt;"Advance",$B526=""),"",$I526&amp;"|"&amp;$J526&amp;"|"&amp;COUNTIFS($I$7:$I526,$I526,$J$7:$J526,$J526,$D$7:$D526,"Advance"))</f>
        <v/>
      </c>
      <c r="L526" s="143" t="str">
        <f>IF(OR($I526="",$I526="?",$B526=""),"",SUMPRODUCT((Weeks!$A$7:$A$59&lt;=$J526)*(Weeks!$X$5:$AI$5=$I526)*Weeks!$X$7:$AI$59)-SUMIFS($E$7:$E$1006,$I$7:$I$1006,$I526,$B$7:$B$1006,"&lt;="&amp;$B526))</f>
        <v/>
      </c>
      <c r="M526" s="132" t="str">
        <f>IF($B526&amp;$C526&amp;$D526&amp;$E526="","",IF($B526="","missing date",IF($C526="","missing worker",IF($I526="?","unknown worker - was the name changed on Workers?",IF($D526="","missing type",IF(N($E526)=0,"missing amount",IF(AND($E526&lt;0,$D526&lt;&gt;"Correction"),"negative amount - use a Correction to undo",IF(OR($B526&lt;Weeks!$A$7,$B526&gt;Weeks!$B$59),"date outside this workbook's year",IF(AND($D526="Advance",N($L526)&lt;0),"Warning: more than earned so far - worker now owes "&amp;TEXT(ROUND(-$L526,0),"#,##0"),"")))))))))</f>
        <v/>
      </c>
      <c r="N526" s="125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</row>
    <row r="527" spans="1:40" s="127" customFormat="1" ht="21" customHeight="1" x14ac:dyDescent="0.25">
      <c r="A527" s="51" t="str">
        <f t="shared" si="24"/>
        <v/>
      </c>
      <c r="B527" s="77"/>
      <c r="C527" s="133"/>
      <c r="D527" s="50"/>
      <c r="E527" s="141"/>
      <c r="F527" s="133"/>
      <c r="G527" s="133"/>
      <c r="H527" s="50"/>
      <c r="I527" s="51" t="str">
        <f t="shared" si="25"/>
        <v/>
      </c>
      <c r="J527" s="52" t="str">
        <f t="shared" si="26"/>
        <v/>
      </c>
      <c r="K527" s="142" t="str">
        <f>IF(OR($I527="",$I527="?",$D527&lt;&gt;"Advance",$B527=""),"",$I527&amp;"|"&amp;$J527&amp;"|"&amp;COUNTIFS($I$7:$I527,$I527,$J$7:$J527,$J527,$D$7:$D527,"Advance"))</f>
        <v/>
      </c>
      <c r="L527" s="143" t="str">
        <f>IF(OR($I527="",$I527="?",$B527=""),"",SUMPRODUCT((Weeks!$A$7:$A$59&lt;=$J527)*(Weeks!$X$5:$AI$5=$I527)*Weeks!$X$7:$AI$59)-SUMIFS($E$7:$E$1006,$I$7:$I$1006,$I527,$B$7:$B$1006,"&lt;="&amp;$B527))</f>
        <v/>
      </c>
      <c r="M527" s="132" t="str">
        <f>IF($B527&amp;$C527&amp;$D527&amp;$E527="","",IF($B527="","missing date",IF($C527="","missing worker",IF($I527="?","unknown worker - was the name changed on Workers?",IF($D527="","missing type",IF(N($E527)=0,"missing amount",IF(AND($E527&lt;0,$D527&lt;&gt;"Correction"),"negative amount - use a Correction to undo",IF(OR($B527&lt;Weeks!$A$7,$B527&gt;Weeks!$B$59),"date outside this workbook's year",IF(AND($D527="Advance",N($L527)&lt;0),"Warning: more than earned so far - worker now owes "&amp;TEXT(ROUND(-$L527,0),"#,##0"),"")))))))))</f>
        <v/>
      </c>
      <c r="N527" s="125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</row>
    <row r="528" spans="1:40" s="127" customFormat="1" ht="21" customHeight="1" x14ac:dyDescent="0.25">
      <c r="A528" s="51" t="str">
        <f t="shared" si="24"/>
        <v/>
      </c>
      <c r="B528" s="77"/>
      <c r="C528" s="133"/>
      <c r="D528" s="50"/>
      <c r="E528" s="141"/>
      <c r="F528" s="133"/>
      <c r="G528" s="133"/>
      <c r="H528" s="50"/>
      <c r="I528" s="51" t="str">
        <f t="shared" si="25"/>
        <v/>
      </c>
      <c r="J528" s="52" t="str">
        <f t="shared" si="26"/>
        <v/>
      </c>
      <c r="K528" s="142" t="str">
        <f>IF(OR($I528="",$I528="?",$D528&lt;&gt;"Advance",$B528=""),"",$I528&amp;"|"&amp;$J528&amp;"|"&amp;COUNTIFS($I$7:$I528,$I528,$J$7:$J528,$J528,$D$7:$D528,"Advance"))</f>
        <v/>
      </c>
      <c r="L528" s="143" t="str">
        <f>IF(OR($I528="",$I528="?",$B528=""),"",SUMPRODUCT((Weeks!$A$7:$A$59&lt;=$J528)*(Weeks!$X$5:$AI$5=$I528)*Weeks!$X$7:$AI$59)-SUMIFS($E$7:$E$1006,$I$7:$I$1006,$I528,$B$7:$B$1006,"&lt;="&amp;$B528))</f>
        <v/>
      </c>
      <c r="M528" s="132" t="str">
        <f>IF($B528&amp;$C528&amp;$D528&amp;$E528="","",IF($B528="","missing date",IF($C528="","missing worker",IF($I528="?","unknown worker - was the name changed on Workers?",IF($D528="","missing type",IF(N($E528)=0,"missing amount",IF(AND($E528&lt;0,$D528&lt;&gt;"Correction"),"negative amount - use a Correction to undo",IF(OR($B528&lt;Weeks!$A$7,$B528&gt;Weeks!$B$59),"date outside this workbook's year",IF(AND($D528="Advance",N($L528)&lt;0),"Warning: more than earned so far - worker now owes "&amp;TEXT(ROUND(-$L528,0),"#,##0"),"")))))))))</f>
        <v/>
      </c>
      <c r="N528" s="125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</row>
    <row r="529" spans="1:40" s="127" customFormat="1" ht="21" customHeight="1" x14ac:dyDescent="0.25">
      <c r="A529" s="51" t="str">
        <f t="shared" si="24"/>
        <v/>
      </c>
      <c r="B529" s="77"/>
      <c r="C529" s="133"/>
      <c r="D529" s="50"/>
      <c r="E529" s="141"/>
      <c r="F529" s="133"/>
      <c r="G529" s="133"/>
      <c r="H529" s="50"/>
      <c r="I529" s="51" t="str">
        <f t="shared" si="25"/>
        <v/>
      </c>
      <c r="J529" s="52" t="str">
        <f t="shared" si="26"/>
        <v/>
      </c>
      <c r="K529" s="142" t="str">
        <f>IF(OR($I529="",$I529="?",$D529&lt;&gt;"Advance",$B529=""),"",$I529&amp;"|"&amp;$J529&amp;"|"&amp;COUNTIFS($I$7:$I529,$I529,$J$7:$J529,$J529,$D$7:$D529,"Advance"))</f>
        <v/>
      </c>
      <c r="L529" s="143" t="str">
        <f>IF(OR($I529="",$I529="?",$B529=""),"",SUMPRODUCT((Weeks!$A$7:$A$59&lt;=$J529)*(Weeks!$X$5:$AI$5=$I529)*Weeks!$X$7:$AI$59)-SUMIFS($E$7:$E$1006,$I$7:$I$1006,$I529,$B$7:$B$1006,"&lt;="&amp;$B529))</f>
        <v/>
      </c>
      <c r="M529" s="132" t="str">
        <f>IF($B529&amp;$C529&amp;$D529&amp;$E529="","",IF($B529="","missing date",IF($C529="","missing worker",IF($I529="?","unknown worker - was the name changed on Workers?",IF($D529="","missing type",IF(N($E529)=0,"missing amount",IF(AND($E529&lt;0,$D529&lt;&gt;"Correction"),"negative amount - use a Correction to undo",IF(OR($B529&lt;Weeks!$A$7,$B529&gt;Weeks!$B$59),"date outside this workbook's year",IF(AND($D529="Advance",N($L529)&lt;0),"Warning: more than earned so far - worker now owes "&amp;TEXT(ROUND(-$L529,0),"#,##0"),"")))))))))</f>
        <v/>
      </c>
      <c r="N529" s="125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</row>
    <row r="530" spans="1:40" s="127" customFormat="1" ht="21" customHeight="1" x14ac:dyDescent="0.25">
      <c r="A530" s="51" t="str">
        <f t="shared" si="24"/>
        <v/>
      </c>
      <c r="B530" s="77"/>
      <c r="C530" s="133"/>
      <c r="D530" s="50"/>
      <c r="E530" s="141"/>
      <c r="F530" s="133"/>
      <c r="G530" s="133"/>
      <c r="H530" s="50"/>
      <c r="I530" s="51" t="str">
        <f t="shared" si="25"/>
        <v/>
      </c>
      <c r="J530" s="52" t="str">
        <f t="shared" si="26"/>
        <v/>
      </c>
      <c r="K530" s="142" t="str">
        <f>IF(OR($I530="",$I530="?",$D530&lt;&gt;"Advance",$B530=""),"",$I530&amp;"|"&amp;$J530&amp;"|"&amp;COUNTIFS($I$7:$I530,$I530,$J$7:$J530,$J530,$D$7:$D530,"Advance"))</f>
        <v/>
      </c>
      <c r="L530" s="143" t="str">
        <f>IF(OR($I530="",$I530="?",$B530=""),"",SUMPRODUCT((Weeks!$A$7:$A$59&lt;=$J530)*(Weeks!$X$5:$AI$5=$I530)*Weeks!$X$7:$AI$59)-SUMIFS($E$7:$E$1006,$I$7:$I$1006,$I530,$B$7:$B$1006,"&lt;="&amp;$B530))</f>
        <v/>
      </c>
      <c r="M530" s="132" t="str">
        <f>IF($B530&amp;$C530&amp;$D530&amp;$E530="","",IF($B530="","missing date",IF($C530="","missing worker",IF($I530="?","unknown worker - was the name changed on Workers?",IF($D530="","missing type",IF(N($E530)=0,"missing amount",IF(AND($E530&lt;0,$D530&lt;&gt;"Correction"),"negative amount - use a Correction to undo",IF(OR($B530&lt;Weeks!$A$7,$B530&gt;Weeks!$B$59),"date outside this workbook's year",IF(AND($D530="Advance",N($L530)&lt;0),"Warning: more than earned so far - worker now owes "&amp;TEXT(ROUND(-$L530,0),"#,##0"),"")))))))))</f>
        <v/>
      </c>
      <c r="N530" s="125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</row>
    <row r="531" spans="1:40" s="127" customFormat="1" ht="21" customHeight="1" x14ac:dyDescent="0.25">
      <c r="A531" s="51" t="str">
        <f t="shared" si="24"/>
        <v/>
      </c>
      <c r="B531" s="77"/>
      <c r="C531" s="133"/>
      <c r="D531" s="50"/>
      <c r="E531" s="141"/>
      <c r="F531" s="133"/>
      <c r="G531" s="133"/>
      <c r="H531" s="50"/>
      <c r="I531" s="51" t="str">
        <f t="shared" si="25"/>
        <v/>
      </c>
      <c r="J531" s="52" t="str">
        <f t="shared" si="26"/>
        <v/>
      </c>
      <c r="K531" s="142" t="str">
        <f>IF(OR($I531="",$I531="?",$D531&lt;&gt;"Advance",$B531=""),"",$I531&amp;"|"&amp;$J531&amp;"|"&amp;COUNTIFS($I$7:$I531,$I531,$J$7:$J531,$J531,$D$7:$D531,"Advance"))</f>
        <v/>
      </c>
      <c r="L531" s="143" t="str">
        <f>IF(OR($I531="",$I531="?",$B531=""),"",SUMPRODUCT((Weeks!$A$7:$A$59&lt;=$J531)*(Weeks!$X$5:$AI$5=$I531)*Weeks!$X$7:$AI$59)-SUMIFS($E$7:$E$1006,$I$7:$I$1006,$I531,$B$7:$B$1006,"&lt;="&amp;$B531))</f>
        <v/>
      </c>
      <c r="M531" s="132" t="str">
        <f>IF($B531&amp;$C531&amp;$D531&amp;$E531="","",IF($B531="","missing date",IF($C531="","missing worker",IF($I531="?","unknown worker - was the name changed on Workers?",IF($D531="","missing type",IF(N($E531)=0,"missing amount",IF(AND($E531&lt;0,$D531&lt;&gt;"Correction"),"negative amount - use a Correction to undo",IF(OR($B531&lt;Weeks!$A$7,$B531&gt;Weeks!$B$59),"date outside this workbook's year",IF(AND($D531="Advance",N($L531)&lt;0),"Warning: more than earned so far - worker now owes "&amp;TEXT(ROUND(-$L531,0),"#,##0"),"")))))))))</f>
        <v/>
      </c>
      <c r="N531" s="125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</row>
    <row r="532" spans="1:40" s="127" customFormat="1" ht="21" customHeight="1" x14ac:dyDescent="0.25">
      <c r="A532" s="51" t="str">
        <f t="shared" si="24"/>
        <v/>
      </c>
      <c r="B532" s="77"/>
      <c r="C532" s="133"/>
      <c r="D532" s="50"/>
      <c r="E532" s="141"/>
      <c r="F532" s="133"/>
      <c r="G532" s="133"/>
      <c r="H532" s="50"/>
      <c r="I532" s="51" t="str">
        <f t="shared" si="25"/>
        <v/>
      </c>
      <c r="J532" s="52" t="str">
        <f t="shared" si="26"/>
        <v/>
      </c>
      <c r="K532" s="142" t="str">
        <f>IF(OR($I532="",$I532="?",$D532&lt;&gt;"Advance",$B532=""),"",$I532&amp;"|"&amp;$J532&amp;"|"&amp;COUNTIFS($I$7:$I532,$I532,$J$7:$J532,$J532,$D$7:$D532,"Advance"))</f>
        <v/>
      </c>
      <c r="L532" s="143" t="str">
        <f>IF(OR($I532="",$I532="?",$B532=""),"",SUMPRODUCT((Weeks!$A$7:$A$59&lt;=$J532)*(Weeks!$X$5:$AI$5=$I532)*Weeks!$X$7:$AI$59)-SUMIFS($E$7:$E$1006,$I$7:$I$1006,$I532,$B$7:$B$1006,"&lt;="&amp;$B532))</f>
        <v/>
      </c>
      <c r="M532" s="132" t="str">
        <f>IF($B532&amp;$C532&amp;$D532&amp;$E532="","",IF($B532="","missing date",IF($C532="","missing worker",IF($I532="?","unknown worker - was the name changed on Workers?",IF($D532="","missing type",IF(N($E532)=0,"missing amount",IF(AND($E532&lt;0,$D532&lt;&gt;"Correction"),"negative amount - use a Correction to undo",IF(OR($B532&lt;Weeks!$A$7,$B532&gt;Weeks!$B$59),"date outside this workbook's year",IF(AND($D532="Advance",N($L532)&lt;0),"Warning: more than earned so far - worker now owes "&amp;TEXT(ROUND(-$L532,0),"#,##0"),"")))))))))</f>
        <v/>
      </c>
      <c r="N532" s="125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</row>
    <row r="533" spans="1:40" s="127" customFormat="1" ht="21" customHeight="1" x14ac:dyDescent="0.25">
      <c r="A533" s="51" t="str">
        <f t="shared" si="24"/>
        <v/>
      </c>
      <c r="B533" s="77"/>
      <c r="C533" s="133"/>
      <c r="D533" s="50"/>
      <c r="E533" s="141"/>
      <c r="F533" s="133"/>
      <c r="G533" s="133"/>
      <c r="H533" s="50"/>
      <c r="I533" s="51" t="str">
        <f t="shared" si="25"/>
        <v/>
      </c>
      <c r="J533" s="52" t="str">
        <f t="shared" si="26"/>
        <v/>
      </c>
      <c r="K533" s="142" t="str">
        <f>IF(OR($I533="",$I533="?",$D533&lt;&gt;"Advance",$B533=""),"",$I533&amp;"|"&amp;$J533&amp;"|"&amp;COUNTIFS($I$7:$I533,$I533,$J$7:$J533,$J533,$D$7:$D533,"Advance"))</f>
        <v/>
      </c>
      <c r="L533" s="143" t="str">
        <f>IF(OR($I533="",$I533="?",$B533=""),"",SUMPRODUCT((Weeks!$A$7:$A$59&lt;=$J533)*(Weeks!$X$5:$AI$5=$I533)*Weeks!$X$7:$AI$59)-SUMIFS($E$7:$E$1006,$I$7:$I$1006,$I533,$B$7:$B$1006,"&lt;="&amp;$B533))</f>
        <v/>
      </c>
      <c r="M533" s="132" t="str">
        <f>IF($B533&amp;$C533&amp;$D533&amp;$E533="","",IF($B533="","missing date",IF($C533="","missing worker",IF($I533="?","unknown worker - was the name changed on Workers?",IF($D533="","missing type",IF(N($E533)=0,"missing amount",IF(AND($E533&lt;0,$D533&lt;&gt;"Correction"),"negative amount - use a Correction to undo",IF(OR($B533&lt;Weeks!$A$7,$B533&gt;Weeks!$B$59),"date outside this workbook's year",IF(AND($D533="Advance",N($L533)&lt;0),"Warning: more than earned so far - worker now owes "&amp;TEXT(ROUND(-$L533,0),"#,##0"),"")))))))))</f>
        <v/>
      </c>
      <c r="N533" s="125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</row>
    <row r="534" spans="1:40" s="127" customFormat="1" ht="21" customHeight="1" x14ac:dyDescent="0.25">
      <c r="A534" s="51" t="str">
        <f t="shared" si="24"/>
        <v/>
      </c>
      <c r="B534" s="77"/>
      <c r="C534" s="133"/>
      <c r="D534" s="50"/>
      <c r="E534" s="141"/>
      <c r="F534" s="133"/>
      <c r="G534" s="133"/>
      <c r="H534" s="50"/>
      <c r="I534" s="51" t="str">
        <f t="shared" si="25"/>
        <v/>
      </c>
      <c r="J534" s="52" t="str">
        <f t="shared" si="26"/>
        <v/>
      </c>
      <c r="K534" s="142" t="str">
        <f>IF(OR($I534="",$I534="?",$D534&lt;&gt;"Advance",$B534=""),"",$I534&amp;"|"&amp;$J534&amp;"|"&amp;COUNTIFS($I$7:$I534,$I534,$J$7:$J534,$J534,$D$7:$D534,"Advance"))</f>
        <v/>
      </c>
      <c r="L534" s="143" t="str">
        <f>IF(OR($I534="",$I534="?",$B534=""),"",SUMPRODUCT((Weeks!$A$7:$A$59&lt;=$J534)*(Weeks!$X$5:$AI$5=$I534)*Weeks!$X$7:$AI$59)-SUMIFS($E$7:$E$1006,$I$7:$I$1006,$I534,$B$7:$B$1006,"&lt;="&amp;$B534))</f>
        <v/>
      </c>
      <c r="M534" s="132" t="str">
        <f>IF($B534&amp;$C534&amp;$D534&amp;$E534="","",IF($B534="","missing date",IF($C534="","missing worker",IF($I534="?","unknown worker - was the name changed on Workers?",IF($D534="","missing type",IF(N($E534)=0,"missing amount",IF(AND($E534&lt;0,$D534&lt;&gt;"Correction"),"negative amount - use a Correction to undo",IF(OR($B534&lt;Weeks!$A$7,$B534&gt;Weeks!$B$59),"date outside this workbook's year",IF(AND($D534="Advance",N($L534)&lt;0),"Warning: more than earned so far - worker now owes "&amp;TEXT(ROUND(-$L534,0),"#,##0"),"")))))))))</f>
        <v/>
      </c>
      <c r="N534" s="125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</row>
    <row r="535" spans="1:40" s="127" customFormat="1" ht="21" customHeight="1" x14ac:dyDescent="0.25">
      <c r="A535" s="51" t="str">
        <f t="shared" si="24"/>
        <v/>
      </c>
      <c r="B535" s="77"/>
      <c r="C535" s="133"/>
      <c r="D535" s="50"/>
      <c r="E535" s="141"/>
      <c r="F535" s="133"/>
      <c r="G535" s="133"/>
      <c r="H535" s="50"/>
      <c r="I535" s="51" t="str">
        <f t="shared" si="25"/>
        <v/>
      </c>
      <c r="J535" s="52" t="str">
        <f t="shared" si="26"/>
        <v/>
      </c>
      <c r="K535" s="142" t="str">
        <f>IF(OR($I535="",$I535="?",$D535&lt;&gt;"Advance",$B535=""),"",$I535&amp;"|"&amp;$J535&amp;"|"&amp;COUNTIFS($I$7:$I535,$I535,$J$7:$J535,$J535,$D$7:$D535,"Advance"))</f>
        <v/>
      </c>
      <c r="L535" s="143" t="str">
        <f>IF(OR($I535="",$I535="?",$B535=""),"",SUMPRODUCT((Weeks!$A$7:$A$59&lt;=$J535)*(Weeks!$X$5:$AI$5=$I535)*Weeks!$X$7:$AI$59)-SUMIFS($E$7:$E$1006,$I$7:$I$1006,$I535,$B$7:$B$1006,"&lt;="&amp;$B535))</f>
        <v/>
      </c>
      <c r="M535" s="132" t="str">
        <f>IF($B535&amp;$C535&amp;$D535&amp;$E535="","",IF($B535="","missing date",IF($C535="","missing worker",IF($I535="?","unknown worker - was the name changed on Workers?",IF($D535="","missing type",IF(N($E535)=0,"missing amount",IF(AND($E535&lt;0,$D535&lt;&gt;"Correction"),"negative amount - use a Correction to undo",IF(OR($B535&lt;Weeks!$A$7,$B535&gt;Weeks!$B$59),"date outside this workbook's year",IF(AND($D535="Advance",N($L535)&lt;0),"Warning: more than earned so far - worker now owes "&amp;TEXT(ROUND(-$L535,0),"#,##0"),"")))))))))</f>
        <v/>
      </c>
      <c r="N535" s="125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</row>
    <row r="536" spans="1:40" s="127" customFormat="1" ht="21" customHeight="1" x14ac:dyDescent="0.25">
      <c r="A536" s="51" t="str">
        <f t="shared" si="24"/>
        <v/>
      </c>
      <c r="B536" s="77"/>
      <c r="C536" s="133"/>
      <c r="D536" s="50"/>
      <c r="E536" s="141"/>
      <c r="F536" s="133"/>
      <c r="G536" s="133"/>
      <c r="H536" s="50"/>
      <c r="I536" s="51" t="str">
        <f t="shared" si="25"/>
        <v/>
      </c>
      <c r="J536" s="52" t="str">
        <f t="shared" si="26"/>
        <v/>
      </c>
      <c r="K536" s="142" t="str">
        <f>IF(OR($I536="",$I536="?",$D536&lt;&gt;"Advance",$B536=""),"",$I536&amp;"|"&amp;$J536&amp;"|"&amp;COUNTIFS($I$7:$I536,$I536,$J$7:$J536,$J536,$D$7:$D536,"Advance"))</f>
        <v/>
      </c>
      <c r="L536" s="143" t="str">
        <f>IF(OR($I536="",$I536="?",$B536=""),"",SUMPRODUCT((Weeks!$A$7:$A$59&lt;=$J536)*(Weeks!$X$5:$AI$5=$I536)*Weeks!$X$7:$AI$59)-SUMIFS($E$7:$E$1006,$I$7:$I$1006,$I536,$B$7:$B$1006,"&lt;="&amp;$B536))</f>
        <v/>
      </c>
      <c r="M536" s="132" t="str">
        <f>IF($B536&amp;$C536&amp;$D536&amp;$E536="","",IF($B536="","missing date",IF($C536="","missing worker",IF($I536="?","unknown worker - was the name changed on Workers?",IF($D536="","missing type",IF(N($E536)=0,"missing amount",IF(AND($E536&lt;0,$D536&lt;&gt;"Correction"),"negative amount - use a Correction to undo",IF(OR($B536&lt;Weeks!$A$7,$B536&gt;Weeks!$B$59),"date outside this workbook's year",IF(AND($D536="Advance",N($L536)&lt;0),"Warning: more than earned so far - worker now owes "&amp;TEXT(ROUND(-$L536,0),"#,##0"),"")))))))))</f>
        <v/>
      </c>
      <c r="N536" s="125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</row>
    <row r="537" spans="1:40" s="127" customFormat="1" ht="21" customHeight="1" x14ac:dyDescent="0.25">
      <c r="A537" s="51" t="str">
        <f t="shared" si="24"/>
        <v/>
      </c>
      <c r="B537" s="77"/>
      <c r="C537" s="133"/>
      <c r="D537" s="50"/>
      <c r="E537" s="141"/>
      <c r="F537" s="133"/>
      <c r="G537" s="133"/>
      <c r="H537" s="50"/>
      <c r="I537" s="51" t="str">
        <f t="shared" si="25"/>
        <v/>
      </c>
      <c r="J537" s="52" t="str">
        <f t="shared" si="26"/>
        <v/>
      </c>
      <c r="K537" s="142" t="str">
        <f>IF(OR($I537="",$I537="?",$D537&lt;&gt;"Advance",$B537=""),"",$I537&amp;"|"&amp;$J537&amp;"|"&amp;COUNTIFS($I$7:$I537,$I537,$J$7:$J537,$J537,$D$7:$D537,"Advance"))</f>
        <v/>
      </c>
      <c r="L537" s="143" t="str">
        <f>IF(OR($I537="",$I537="?",$B537=""),"",SUMPRODUCT((Weeks!$A$7:$A$59&lt;=$J537)*(Weeks!$X$5:$AI$5=$I537)*Weeks!$X$7:$AI$59)-SUMIFS($E$7:$E$1006,$I$7:$I$1006,$I537,$B$7:$B$1006,"&lt;="&amp;$B537))</f>
        <v/>
      </c>
      <c r="M537" s="132" t="str">
        <f>IF($B537&amp;$C537&amp;$D537&amp;$E537="","",IF($B537="","missing date",IF($C537="","missing worker",IF($I537="?","unknown worker - was the name changed on Workers?",IF($D537="","missing type",IF(N($E537)=0,"missing amount",IF(AND($E537&lt;0,$D537&lt;&gt;"Correction"),"negative amount - use a Correction to undo",IF(OR($B537&lt;Weeks!$A$7,$B537&gt;Weeks!$B$59),"date outside this workbook's year",IF(AND($D537="Advance",N($L537)&lt;0),"Warning: more than earned so far - worker now owes "&amp;TEXT(ROUND(-$L537,0),"#,##0"),"")))))))))</f>
        <v/>
      </c>
      <c r="N537" s="125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</row>
    <row r="538" spans="1:40" s="127" customFormat="1" ht="21" customHeight="1" x14ac:dyDescent="0.25">
      <c r="A538" s="51" t="str">
        <f t="shared" si="24"/>
        <v/>
      </c>
      <c r="B538" s="77"/>
      <c r="C538" s="133"/>
      <c r="D538" s="50"/>
      <c r="E538" s="141"/>
      <c r="F538" s="133"/>
      <c r="G538" s="133"/>
      <c r="H538" s="50"/>
      <c r="I538" s="51" t="str">
        <f t="shared" si="25"/>
        <v/>
      </c>
      <c r="J538" s="52" t="str">
        <f t="shared" si="26"/>
        <v/>
      </c>
      <c r="K538" s="142" t="str">
        <f>IF(OR($I538="",$I538="?",$D538&lt;&gt;"Advance",$B538=""),"",$I538&amp;"|"&amp;$J538&amp;"|"&amp;COUNTIFS($I$7:$I538,$I538,$J$7:$J538,$J538,$D$7:$D538,"Advance"))</f>
        <v/>
      </c>
      <c r="L538" s="143" t="str">
        <f>IF(OR($I538="",$I538="?",$B538=""),"",SUMPRODUCT((Weeks!$A$7:$A$59&lt;=$J538)*(Weeks!$X$5:$AI$5=$I538)*Weeks!$X$7:$AI$59)-SUMIFS($E$7:$E$1006,$I$7:$I$1006,$I538,$B$7:$B$1006,"&lt;="&amp;$B538))</f>
        <v/>
      </c>
      <c r="M538" s="132" t="str">
        <f>IF($B538&amp;$C538&amp;$D538&amp;$E538="","",IF($B538="","missing date",IF($C538="","missing worker",IF($I538="?","unknown worker - was the name changed on Workers?",IF($D538="","missing type",IF(N($E538)=0,"missing amount",IF(AND($E538&lt;0,$D538&lt;&gt;"Correction"),"negative amount - use a Correction to undo",IF(OR($B538&lt;Weeks!$A$7,$B538&gt;Weeks!$B$59),"date outside this workbook's year",IF(AND($D538="Advance",N($L538)&lt;0),"Warning: more than earned so far - worker now owes "&amp;TEXT(ROUND(-$L538,0),"#,##0"),"")))))))))</f>
        <v/>
      </c>
      <c r="N538" s="125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</row>
    <row r="539" spans="1:40" s="127" customFormat="1" ht="21" customHeight="1" x14ac:dyDescent="0.25">
      <c r="A539" s="51" t="str">
        <f t="shared" si="24"/>
        <v/>
      </c>
      <c r="B539" s="77"/>
      <c r="C539" s="133"/>
      <c r="D539" s="50"/>
      <c r="E539" s="141"/>
      <c r="F539" s="133"/>
      <c r="G539" s="133"/>
      <c r="H539" s="50"/>
      <c r="I539" s="51" t="str">
        <f t="shared" si="25"/>
        <v/>
      </c>
      <c r="J539" s="52" t="str">
        <f t="shared" si="26"/>
        <v/>
      </c>
      <c r="K539" s="142" t="str">
        <f>IF(OR($I539="",$I539="?",$D539&lt;&gt;"Advance",$B539=""),"",$I539&amp;"|"&amp;$J539&amp;"|"&amp;COUNTIFS($I$7:$I539,$I539,$J$7:$J539,$J539,$D$7:$D539,"Advance"))</f>
        <v/>
      </c>
      <c r="L539" s="143" t="str">
        <f>IF(OR($I539="",$I539="?",$B539=""),"",SUMPRODUCT((Weeks!$A$7:$A$59&lt;=$J539)*(Weeks!$X$5:$AI$5=$I539)*Weeks!$X$7:$AI$59)-SUMIFS($E$7:$E$1006,$I$7:$I$1006,$I539,$B$7:$B$1006,"&lt;="&amp;$B539))</f>
        <v/>
      </c>
      <c r="M539" s="132" t="str">
        <f>IF($B539&amp;$C539&amp;$D539&amp;$E539="","",IF($B539="","missing date",IF($C539="","missing worker",IF($I539="?","unknown worker - was the name changed on Workers?",IF($D539="","missing type",IF(N($E539)=0,"missing amount",IF(AND($E539&lt;0,$D539&lt;&gt;"Correction"),"negative amount - use a Correction to undo",IF(OR($B539&lt;Weeks!$A$7,$B539&gt;Weeks!$B$59),"date outside this workbook's year",IF(AND($D539="Advance",N($L539)&lt;0),"Warning: more than earned so far - worker now owes "&amp;TEXT(ROUND(-$L539,0),"#,##0"),"")))))))))</f>
        <v/>
      </c>
      <c r="N539" s="125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</row>
    <row r="540" spans="1:40" s="127" customFormat="1" ht="21" customHeight="1" x14ac:dyDescent="0.25">
      <c r="A540" s="51" t="str">
        <f t="shared" si="24"/>
        <v/>
      </c>
      <c r="B540" s="77"/>
      <c r="C540" s="133"/>
      <c r="D540" s="50"/>
      <c r="E540" s="141"/>
      <c r="F540" s="133"/>
      <c r="G540" s="133"/>
      <c r="H540" s="50"/>
      <c r="I540" s="51" t="str">
        <f t="shared" si="25"/>
        <v/>
      </c>
      <c r="J540" s="52" t="str">
        <f t="shared" si="26"/>
        <v/>
      </c>
      <c r="K540" s="142" t="str">
        <f>IF(OR($I540="",$I540="?",$D540&lt;&gt;"Advance",$B540=""),"",$I540&amp;"|"&amp;$J540&amp;"|"&amp;COUNTIFS($I$7:$I540,$I540,$J$7:$J540,$J540,$D$7:$D540,"Advance"))</f>
        <v/>
      </c>
      <c r="L540" s="143" t="str">
        <f>IF(OR($I540="",$I540="?",$B540=""),"",SUMPRODUCT((Weeks!$A$7:$A$59&lt;=$J540)*(Weeks!$X$5:$AI$5=$I540)*Weeks!$X$7:$AI$59)-SUMIFS($E$7:$E$1006,$I$7:$I$1006,$I540,$B$7:$B$1006,"&lt;="&amp;$B540))</f>
        <v/>
      </c>
      <c r="M540" s="132" t="str">
        <f>IF($B540&amp;$C540&amp;$D540&amp;$E540="","",IF($B540="","missing date",IF($C540="","missing worker",IF($I540="?","unknown worker - was the name changed on Workers?",IF($D540="","missing type",IF(N($E540)=0,"missing amount",IF(AND($E540&lt;0,$D540&lt;&gt;"Correction"),"negative amount - use a Correction to undo",IF(OR($B540&lt;Weeks!$A$7,$B540&gt;Weeks!$B$59),"date outside this workbook's year",IF(AND($D540="Advance",N($L540)&lt;0),"Warning: more than earned so far - worker now owes "&amp;TEXT(ROUND(-$L540,0),"#,##0"),"")))))))))</f>
        <v/>
      </c>
      <c r="N540" s="125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</row>
    <row r="541" spans="1:40" s="127" customFormat="1" ht="21" customHeight="1" x14ac:dyDescent="0.25">
      <c r="A541" s="51" t="str">
        <f t="shared" si="24"/>
        <v/>
      </c>
      <c r="B541" s="77"/>
      <c r="C541" s="133"/>
      <c r="D541" s="50"/>
      <c r="E541" s="141"/>
      <c r="F541" s="133"/>
      <c r="G541" s="133"/>
      <c r="H541" s="50"/>
      <c r="I541" s="51" t="str">
        <f t="shared" si="25"/>
        <v/>
      </c>
      <c r="J541" s="52" t="str">
        <f t="shared" si="26"/>
        <v/>
      </c>
      <c r="K541" s="142" t="str">
        <f>IF(OR($I541="",$I541="?",$D541&lt;&gt;"Advance",$B541=""),"",$I541&amp;"|"&amp;$J541&amp;"|"&amp;COUNTIFS($I$7:$I541,$I541,$J$7:$J541,$J541,$D$7:$D541,"Advance"))</f>
        <v/>
      </c>
      <c r="L541" s="143" t="str">
        <f>IF(OR($I541="",$I541="?",$B541=""),"",SUMPRODUCT((Weeks!$A$7:$A$59&lt;=$J541)*(Weeks!$X$5:$AI$5=$I541)*Weeks!$X$7:$AI$59)-SUMIFS($E$7:$E$1006,$I$7:$I$1006,$I541,$B$7:$B$1006,"&lt;="&amp;$B541))</f>
        <v/>
      </c>
      <c r="M541" s="132" t="str">
        <f>IF($B541&amp;$C541&amp;$D541&amp;$E541="","",IF($B541="","missing date",IF($C541="","missing worker",IF($I541="?","unknown worker - was the name changed on Workers?",IF($D541="","missing type",IF(N($E541)=0,"missing amount",IF(AND($E541&lt;0,$D541&lt;&gt;"Correction"),"negative amount - use a Correction to undo",IF(OR($B541&lt;Weeks!$A$7,$B541&gt;Weeks!$B$59),"date outside this workbook's year",IF(AND($D541="Advance",N($L541)&lt;0),"Warning: more than earned so far - worker now owes "&amp;TEXT(ROUND(-$L541,0),"#,##0"),"")))))))))</f>
        <v/>
      </c>
      <c r="N541" s="125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</row>
    <row r="542" spans="1:40" s="127" customFormat="1" ht="21" customHeight="1" x14ac:dyDescent="0.25">
      <c r="A542" s="51" t="str">
        <f t="shared" si="24"/>
        <v/>
      </c>
      <c r="B542" s="77"/>
      <c r="C542" s="133"/>
      <c r="D542" s="50"/>
      <c r="E542" s="141"/>
      <c r="F542" s="133"/>
      <c r="G542" s="133"/>
      <c r="H542" s="50"/>
      <c r="I542" s="51" t="str">
        <f t="shared" si="25"/>
        <v/>
      </c>
      <c r="J542" s="52" t="str">
        <f t="shared" si="26"/>
        <v/>
      </c>
      <c r="K542" s="142" t="str">
        <f>IF(OR($I542="",$I542="?",$D542&lt;&gt;"Advance",$B542=""),"",$I542&amp;"|"&amp;$J542&amp;"|"&amp;COUNTIFS($I$7:$I542,$I542,$J$7:$J542,$J542,$D$7:$D542,"Advance"))</f>
        <v/>
      </c>
      <c r="L542" s="143" t="str">
        <f>IF(OR($I542="",$I542="?",$B542=""),"",SUMPRODUCT((Weeks!$A$7:$A$59&lt;=$J542)*(Weeks!$X$5:$AI$5=$I542)*Weeks!$X$7:$AI$59)-SUMIFS($E$7:$E$1006,$I$7:$I$1006,$I542,$B$7:$B$1006,"&lt;="&amp;$B542))</f>
        <v/>
      </c>
      <c r="M542" s="132" t="str">
        <f>IF($B542&amp;$C542&amp;$D542&amp;$E542="","",IF($B542="","missing date",IF($C542="","missing worker",IF($I542="?","unknown worker - was the name changed on Workers?",IF($D542="","missing type",IF(N($E542)=0,"missing amount",IF(AND($E542&lt;0,$D542&lt;&gt;"Correction"),"negative amount - use a Correction to undo",IF(OR($B542&lt;Weeks!$A$7,$B542&gt;Weeks!$B$59),"date outside this workbook's year",IF(AND($D542="Advance",N($L542)&lt;0),"Warning: more than earned so far - worker now owes "&amp;TEXT(ROUND(-$L542,0),"#,##0"),"")))))))))</f>
        <v/>
      </c>
      <c r="N542" s="125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</row>
    <row r="543" spans="1:40" s="127" customFormat="1" ht="21" customHeight="1" x14ac:dyDescent="0.25">
      <c r="A543" s="51" t="str">
        <f t="shared" si="24"/>
        <v/>
      </c>
      <c r="B543" s="77"/>
      <c r="C543" s="133"/>
      <c r="D543" s="50"/>
      <c r="E543" s="141"/>
      <c r="F543" s="133"/>
      <c r="G543" s="133"/>
      <c r="H543" s="50"/>
      <c r="I543" s="51" t="str">
        <f t="shared" si="25"/>
        <v/>
      </c>
      <c r="J543" s="52" t="str">
        <f t="shared" si="26"/>
        <v/>
      </c>
      <c r="K543" s="142" t="str">
        <f>IF(OR($I543="",$I543="?",$D543&lt;&gt;"Advance",$B543=""),"",$I543&amp;"|"&amp;$J543&amp;"|"&amp;COUNTIFS($I$7:$I543,$I543,$J$7:$J543,$J543,$D$7:$D543,"Advance"))</f>
        <v/>
      </c>
      <c r="L543" s="143" t="str">
        <f>IF(OR($I543="",$I543="?",$B543=""),"",SUMPRODUCT((Weeks!$A$7:$A$59&lt;=$J543)*(Weeks!$X$5:$AI$5=$I543)*Weeks!$X$7:$AI$59)-SUMIFS($E$7:$E$1006,$I$7:$I$1006,$I543,$B$7:$B$1006,"&lt;="&amp;$B543))</f>
        <v/>
      </c>
      <c r="M543" s="132" t="str">
        <f>IF($B543&amp;$C543&amp;$D543&amp;$E543="","",IF($B543="","missing date",IF($C543="","missing worker",IF($I543="?","unknown worker - was the name changed on Workers?",IF($D543="","missing type",IF(N($E543)=0,"missing amount",IF(AND($E543&lt;0,$D543&lt;&gt;"Correction"),"negative amount - use a Correction to undo",IF(OR($B543&lt;Weeks!$A$7,$B543&gt;Weeks!$B$59),"date outside this workbook's year",IF(AND($D543="Advance",N($L543)&lt;0),"Warning: more than earned so far - worker now owes "&amp;TEXT(ROUND(-$L543,0),"#,##0"),"")))))))))</f>
        <v/>
      </c>
      <c r="N543" s="125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</row>
    <row r="544" spans="1:40" s="127" customFormat="1" ht="21" customHeight="1" x14ac:dyDescent="0.25">
      <c r="A544" s="51" t="str">
        <f t="shared" si="24"/>
        <v/>
      </c>
      <c r="B544" s="77"/>
      <c r="C544" s="133"/>
      <c r="D544" s="50"/>
      <c r="E544" s="141"/>
      <c r="F544" s="133"/>
      <c r="G544" s="133"/>
      <c r="H544" s="50"/>
      <c r="I544" s="51" t="str">
        <f t="shared" si="25"/>
        <v/>
      </c>
      <c r="J544" s="52" t="str">
        <f t="shared" si="26"/>
        <v/>
      </c>
      <c r="K544" s="142" t="str">
        <f>IF(OR($I544="",$I544="?",$D544&lt;&gt;"Advance",$B544=""),"",$I544&amp;"|"&amp;$J544&amp;"|"&amp;COUNTIFS($I$7:$I544,$I544,$J$7:$J544,$J544,$D$7:$D544,"Advance"))</f>
        <v/>
      </c>
      <c r="L544" s="143" t="str">
        <f>IF(OR($I544="",$I544="?",$B544=""),"",SUMPRODUCT((Weeks!$A$7:$A$59&lt;=$J544)*(Weeks!$X$5:$AI$5=$I544)*Weeks!$X$7:$AI$59)-SUMIFS($E$7:$E$1006,$I$7:$I$1006,$I544,$B$7:$B$1006,"&lt;="&amp;$B544))</f>
        <v/>
      </c>
      <c r="M544" s="132" t="str">
        <f>IF($B544&amp;$C544&amp;$D544&amp;$E544="","",IF($B544="","missing date",IF($C544="","missing worker",IF($I544="?","unknown worker - was the name changed on Workers?",IF($D544="","missing type",IF(N($E544)=0,"missing amount",IF(AND($E544&lt;0,$D544&lt;&gt;"Correction"),"negative amount - use a Correction to undo",IF(OR($B544&lt;Weeks!$A$7,$B544&gt;Weeks!$B$59),"date outside this workbook's year",IF(AND($D544="Advance",N($L544)&lt;0),"Warning: more than earned so far - worker now owes "&amp;TEXT(ROUND(-$L544,0),"#,##0"),"")))))))))</f>
        <v/>
      </c>
      <c r="N544" s="125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</row>
    <row r="545" spans="1:40" s="127" customFormat="1" ht="21" customHeight="1" x14ac:dyDescent="0.25">
      <c r="A545" s="51" t="str">
        <f t="shared" si="24"/>
        <v/>
      </c>
      <c r="B545" s="77"/>
      <c r="C545" s="133"/>
      <c r="D545" s="50"/>
      <c r="E545" s="141"/>
      <c r="F545" s="133"/>
      <c r="G545" s="133"/>
      <c r="H545" s="50"/>
      <c r="I545" s="51" t="str">
        <f t="shared" si="25"/>
        <v/>
      </c>
      <c r="J545" s="52" t="str">
        <f t="shared" si="26"/>
        <v/>
      </c>
      <c r="K545" s="142" t="str">
        <f>IF(OR($I545="",$I545="?",$D545&lt;&gt;"Advance",$B545=""),"",$I545&amp;"|"&amp;$J545&amp;"|"&amp;COUNTIFS($I$7:$I545,$I545,$J$7:$J545,$J545,$D$7:$D545,"Advance"))</f>
        <v/>
      </c>
      <c r="L545" s="143" t="str">
        <f>IF(OR($I545="",$I545="?",$B545=""),"",SUMPRODUCT((Weeks!$A$7:$A$59&lt;=$J545)*(Weeks!$X$5:$AI$5=$I545)*Weeks!$X$7:$AI$59)-SUMIFS($E$7:$E$1006,$I$7:$I$1006,$I545,$B$7:$B$1006,"&lt;="&amp;$B545))</f>
        <v/>
      </c>
      <c r="M545" s="132" t="str">
        <f>IF($B545&amp;$C545&amp;$D545&amp;$E545="","",IF($B545="","missing date",IF($C545="","missing worker",IF($I545="?","unknown worker - was the name changed on Workers?",IF($D545="","missing type",IF(N($E545)=0,"missing amount",IF(AND($E545&lt;0,$D545&lt;&gt;"Correction"),"negative amount - use a Correction to undo",IF(OR($B545&lt;Weeks!$A$7,$B545&gt;Weeks!$B$59),"date outside this workbook's year",IF(AND($D545="Advance",N($L545)&lt;0),"Warning: more than earned so far - worker now owes "&amp;TEXT(ROUND(-$L545,0),"#,##0"),"")))))))))</f>
        <v/>
      </c>
      <c r="N545" s="125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</row>
    <row r="546" spans="1:40" s="127" customFormat="1" ht="21" customHeight="1" x14ac:dyDescent="0.25">
      <c r="A546" s="51" t="str">
        <f t="shared" si="24"/>
        <v/>
      </c>
      <c r="B546" s="77"/>
      <c r="C546" s="133"/>
      <c r="D546" s="50"/>
      <c r="E546" s="141"/>
      <c r="F546" s="133"/>
      <c r="G546" s="133"/>
      <c r="H546" s="50"/>
      <c r="I546" s="51" t="str">
        <f t="shared" si="25"/>
        <v/>
      </c>
      <c r="J546" s="52" t="str">
        <f t="shared" si="26"/>
        <v/>
      </c>
      <c r="K546" s="142" t="str">
        <f>IF(OR($I546="",$I546="?",$D546&lt;&gt;"Advance",$B546=""),"",$I546&amp;"|"&amp;$J546&amp;"|"&amp;COUNTIFS($I$7:$I546,$I546,$J$7:$J546,$J546,$D$7:$D546,"Advance"))</f>
        <v/>
      </c>
      <c r="L546" s="143" t="str">
        <f>IF(OR($I546="",$I546="?",$B546=""),"",SUMPRODUCT((Weeks!$A$7:$A$59&lt;=$J546)*(Weeks!$X$5:$AI$5=$I546)*Weeks!$X$7:$AI$59)-SUMIFS($E$7:$E$1006,$I$7:$I$1006,$I546,$B$7:$B$1006,"&lt;="&amp;$B546))</f>
        <v/>
      </c>
      <c r="M546" s="132" t="str">
        <f>IF($B546&amp;$C546&amp;$D546&amp;$E546="","",IF($B546="","missing date",IF($C546="","missing worker",IF($I546="?","unknown worker - was the name changed on Workers?",IF($D546="","missing type",IF(N($E546)=0,"missing amount",IF(AND($E546&lt;0,$D546&lt;&gt;"Correction"),"negative amount - use a Correction to undo",IF(OR($B546&lt;Weeks!$A$7,$B546&gt;Weeks!$B$59),"date outside this workbook's year",IF(AND($D546="Advance",N($L546)&lt;0),"Warning: more than earned so far - worker now owes "&amp;TEXT(ROUND(-$L546,0),"#,##0"),"")))))))))</f>
        <v/>
      </c>
      <c r="N546" s="125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</row>
    <row r="547" spans="1:40" s="127" customFormat="1" ht="21" customHeight="1" x14ac:dyDescent="0.25">
      <c r="A547" s="51" t="str">
        <f t="shared" si="24"/>
        <v/>
      </c>
      <c r="B547" s="77"/>
      <c r="C547" s="133"/>
      <c r="D547" s="50"/>
      <c r="E547" s="141"/>
      <c r="F547" s="133"/>
      <c r="G547" s="133"/>
      <c r="H547" s="50"/>
      <c r="I547" s="51" t="str">
        <f t="shared" si="25"/>
        <v/>
      </c>
      <c r="J547" s="52" t="str">
        <f t="shared" si="26"/>
        <v/>
      </c>
      <c r="K547" s="142" t="str">
        <f>IF(OR($I547="",$I547="?",$D547&lt;&gt;"Advance",$B547=""),"",$I547&amp;"|"&amp;$J547&amp;"|"&amp;COUNTIFS($I$7:$I547,$I547,$J$7:$J547,$J547,$D$7:$D547,"Advance"))</f>
        <v/>
      </c>
      <c r="L547" s="143" t="str">
        <f>IF(OR($I547="",$I547="?",$B547=""),"",SUMPRODUCT((Weeks!$A$7:$A$59&lt;=$J547)*(Weeks!$X$5:$AI$5=$I547)*Weeks!$X$7:$AI$59)-SUMIFS($E$7:$E$1006,$I$7:$I$1006,$I547,$B$7:$B$1006,"&lt;="&amp;$B547))</f>
        <v/>
      </c>
      <c r="M547" s="132" t="str">
        <f>IF($B547&amp;$C547&amp;$D547&amp;$E547="","",IF($B547="","missing date",IF($C547="","missing worker",IF($I547="?","unknown worker - was the name changed on Workers?",IF($D547="","missing type",IF(N($E547)=0,"missing amount",IF(AND($E547&lt;0,$D547&lt;&gt;"Correction"),"negative amount - use a Correction to undo",IF(OR($B547&lt;Weeks!$A$7,$B547&gt;Weeks!$B$59),"date outside this workbook's year",IF(AND($D547="Advance",N($L547)&lt;0),"Warning: more than earned so far - worker now owes "&amp;TEXT(ROUND(-$L547,0),"#,##0"),"")))))))))</f>
        <v/>
      </c>
      <c r="N547" s="125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</row>
    <row r="548" spans="1:40" s="127" customFormat="1" ht="21" customHeight="1" x14ac:dyDescent="0.25">
      <c r="A548" s="51" t="str">
        <f t="shared" si="24"/>
        <v/>
      </c>
      <c r="B548" s="77"/>
      <c r="C548" s="133"/>
      <c r="D548" s="50"/>
      <c r="E548" s="141"/>
      <c r="F548" s="133"/>
      <c r="G548" s="133"/>
      <c r="H548" s="50"/>
      <c r="I548" s="51" t="str">
        <f t="shared" si="25"/>
        <v/>
      </c>
      <c r="J548" s="52" t="str">
        <f t="shared" si="26"/>
        <v/>
      </c>
      <c r="K548" s="142" t="str">
        <f>IF(OR($I548="",$I548="?",$D548&lt;&gt;"Advance",$B548=""),"",$I548&amp;"|"&amp;$J548&amp;"|"&amp;COUNTIFS($I$7:$I548,$I548,$J$7:$J548,$J548,$D$7:$D548,"Advance"))</f>
        <v/>
      </c>
      <c r="L548" s="143" t="str">
        <f>IF(OR($I548="",$I548="?",$B548=""),"",SUMPRODUCT((Weeks!$A$7:$A$59&lt;=$J548)*(Weeks!$X$5:$AI$5=$I548)*Weeks!$X$7:$AI$59)-SUMIFS($E$7:$E$1006,$I$7:$I$1006,$I548,$B$7:$B$1006,"&lt;="&amp;$B548))</f>
        <v/>
      </c>
      <c r="M548" s="132" t="str">
        <f>IF($B548&amp;$C548&amp;$D548&amp;$E548="","",IF($B548="","missing date",IF($C548="","missing worker",IF($I548="?","unknown worker - was the name changed on Workers?",IF($D548="","missing type",IF(N($E548)=0,"missing amount",IF(AND($E548&lt;0,$D548&lt;&gt;"Correction"),"negative amount - use a Correction to undo",IF(OR($B548&lt;Weeks!$A$7,$B548&gt;Weeks!$B$59),"date outside this workbook's year",IF(AND($D548="Advance",N($L548)&lt;0),"Warning: more than earned so far - worker now owes "&amp;TEXT(ROUND(-$L548,0),"#,##0"),"")))))))))</f>
        <v/>
      </c>
      <c r="N548" s="125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</row>
    <row r="549" spans="1:40" s="127" customFormat="1" ht="21" customHeight="1" x14ac:dyDescent="0.25">
      <c r="A549" s="51" t="str">
        <f t="shared" si="24"/>
        <v/>
      </c>
      <c r="B549" s="77"/>
      <c r="C549" s="133"/>
      <c r="D549" s="50"/>
      <c r="E549" s="141"/>
      <c r="F549" s="133"/>
      <c r="G549" s="133"/>
      <c r="H549" s="50"/>
      <c r="I549" s="51" t="str">
        <f t="shared" si="25"/>
        <v/>
      </c>
      <c r="J549" s="52" t="str">
        <f t="shared" si="26"/>
        <v/>
      </c>
      <c r="K549" s="142" t="str">
        <f>IF(OR($I549="",$I549="?",$D549&lt;&gt;"Advance",$B549=""),"",$I549&amp;"|"&amp;$J549&amp;"|"&amp;COUNTIFS($I$7:$I549,$I549,$J$7:$J549,$J549,$D$7:$D549,"Advance"))</f>
        <v/>
      </c>
      <c r="L549" s="143" t="str">
        <f>IF(OR($I549="",$I549="?",$B549=""),"",SUMPRODUCT((Weeks!$A$7:$A$59&lt;=$J549)*(Weeks!$X$5:$AI$5=$I549)*Weeks!$X$7:$AI$59)-SUMIFS($E$7:$E$1006,$I$7:$I$1006,$I549,$B$7:$B$1006,"&lt;="&amp;$B549))</f>
        <v/>
      </c>
      <c r="M549" s="132" t="str">
        <f>IF($B549&amp;$C549&amp;$D549&amp;$E549="","",IF($B549="","missing date",IF($C549="","missing worker",IF($I549="?","unknown worker - was the name changed on Workers?",IF($D549="","missing type",IF(N($E549)=0,"missing amount",IF(AND($E549&lt;0,$D549&lt;&gt;"Correction"),"negative amount - use a Correction to undo",IF(OR($B549&lt;Weeks!$A$7,$B549&gt;Weeks!$B$59),"date outside this workbook's year",IF(AND($D549="Advance",N($L549)&lt;0),"Warning: more than earned so far - worker now owes "&amp;TEXT(ROUND(-$L549,0),"#,##0"),"")))))))))</f>
        <v/>
      </c>
      <c r="N549" s="125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  <c r="AK549" s="126"/>
      <c r="AL549" s="126"/>
      <c r="AM549" s="126"/>
      <c r="AN549" s="126"/>
    </row>
    <row r="550" spans="1:40" s="127" customFormat="1" ht="21" customHeight="1" x14ac:dyDescent="0.25">
      <c r="A550" s="51" t="str">
        <f t="shared" si="24"/>
        <v/>
      </c>
      <c r="B550" s="77"/>
      <c r="C550" s="133"/>
      <c r="D550" s="50"/>
      <c r="E550" s="141"/>
      <c r="F550" s="133"/>
      <c r="G550" s="133"/>
      <c r="H550" s="50"/>
      <c r="I550" s="51" t="str">
        <f t="shared" si="25"/>
        <v/>
      </c>
      <c r="J550" s="52" t="str">
        <f t="shared" si="26"/>
        <v/>
      </c>
      <c r="K550" s="142" t="str">
        <f>IF(OR($I550="",$I550="?",$D550&lt;&gt;"Advance",$B550=""),"",$I550&amp;"|"&amp;$J550&amp;"|"&amp;COUNTIFS($I$7:$I550,$I550,$J$7:$J550,$J550,$D$7:$D550,"Advance"))</f>
        <v/>
      </c>
      <c r="L550" s="143" t="str">
        <f>IF(OR($I550="",$I550="?",$B550=""),"",SUMPRODUCT((Weeks!$A$7:$A$59&lt;=$J550)*(Weeks!$X$5:$AI$5=$I550)*Weeks!$X$7:$AI$59)-SUMIFS($E$7:$E$1006,$I$7:$I$1006,$I550,$B$7:$B$1006,"&lt;="&amp;$B550))</f>
        <v/>
      </c>
      <c r="M550" s="132" t="str">
        <f>IF($B550&amp;$C550&amp;$D550&amp;$E550="","",IF($B550="","missing date",IF($C550="","missing worker",IF($I550="?","unknown worker - was the name changed on Workers?",IF($D550="","missing type",IF(N($E550)=0,"missing amount",IF(AND($E550&lt;0,$D550&lt;&gt;"Correction"),"negative amount - use a Correction to undo",IF(OR($B550&lt;Weeks!$A$7,$B550&gt;Weeks!$B$59),"date outside this workbook's year",IF(AND($D550="Advance",N($L550)&lt;0),"Warning: more than earned so far - worker now owes "&amp;TEXT(ROUND(-$L550,0),"#,##0"),"")))))))))</f>
        <v/>
      </c>
      <c r="N550" s="125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  <c r="AE550" s="126"/>
      <c r="AF550" s="126"/>
      <c r="AG550" s="126"/>
      <c r="AH550" s="126"/>
      <c r="AI550" s="126"/>
      <c r="AJ550" s="126"/>
      <c r="AK550" s="126"/>
      <c r="AL550" s="126"/>
      <c r="AM550" s="126"/>
      <c r="AN550" s="126"/>
    </row>
    <row r="551" spans="1:40" s="127" customFormat="1" ht="21" customHeight="1" x14ac:dyDescent="0.25">
      <c r="A551" s="51" t="str">
        <f t="shared" si="24"/>
        <v/>
      </c>
      <c r="B551" s="77"/>
      <c r="C551" s="133"/>
      <c r="D551" s="50"/>
      <c r="E551" s="141"/>
      <c r="F551" s="133"/>
      <c r="G551" s="133"/>
      <c r="H551" s="50"/>
      <c r="I551" s="51" t="str">
        <f t="shared" si="25"/>
        <v/>
      </c>
      <c r="J551" s="52" t="str">
        <f t="shared" si="26"/>
        <v/>
      </c>
      <c r="K551" s="142" t="str">
        <f>IF(OR($I551="",$I551="?",$D551&lt;&gt;"Advance",$B551=""),"",$I551&amp;"|"&amp;$J551&amp;"|"&amp;COUNTIFS($I$7:$I551,$I551,$J$7:$J551,$J551,$D$7:$D551,"Advance"))</f>
        <v/>
      </c>
      <c r="L551" s="143" t="str">
        <f>IF(OR($I551="",$I551="?",$B551=""),"",SUMPRODUCT((Weeks!$A$7:$A$59&lt;=$J551)*(Weeks!$X$5:$AI$5=$I551)*Weeks!$X$7:$AI$59)-SUMIFS($E$7:$E$1006,$I$7:$I$1006,$I551,$B$7:$B$1006,"&lt;="&amp;$B551))</f>
        <v/>
      </c>
      <c r="M551" s="132" t="str">
        <f>IF($B551&amp;$C551&amp;$D551&amp;$E551="","",IF($B551="","missing date",IF($C551="","missing worker",IF($I551="?","unknown worker - was the name changed on Workers?",IF($D551="","missing type",IF(N($E551)=0,"missing amount",IF(AND($E551&lt;0,$D551&lt;&gt;"Correction"),"negative amount - use a Correction to undo",IF(OR($B551&lt;Weeks!$A$7,$B551&gt;Weeks!$B$59),"date outside this workbook's year",IF(AND($D551="Advance",N($L551)&lt;0),"Warning: more than earned so far - worker now owes "&amp;TEXT(ROUND(-$L551,0),"#,##0"),"")))))))))</f>
        <v/>
      </c>
      <c r="N551" s="125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  <c r="AE551" s="126"/>
      <c r="AF551" s="126"/>
      <c r="AG551" s="126"/>
      <c r="AH551" s="126"/>
      <c r="AI551" s="126"/>
      <c r="AJ551" s="126"/>
      <c r="AK551" s="126"/>
      <c r="AL551" s="126"/>
      <c r="AM551" s="126"/>
      <c r="AN551" s="126"/>
    </row>
    <row r="552" spans="1:40" s="127" customFormat="1" ht="21" customHeight="1" x14ac:dyDescent="0.25">
      <c r="A552" s="51" t="str">
        <f t="shared" si="24"/>
        <v/>
      </c>
      <c r="B552" s="77"/>
      <c r="C552" s="133"/>
      <c r="D552" s="50"/>
      <c r="E552" s="141"/>
      <c r="F552" s="133"/>
      <c r="G552" s="133"/>
      <c r="H552" s="50"/>
      <c r="I552" s="51" t="str">
        <f t="shared" si="25"/>
        <v/>
      </c>
      <c r="J552" s="52" t="str">
        <f t="shared" si="26"/>
        <v/>
      </c>
      <c r="K552" s="142" t="str">
        <f>IF(OR($I552="",$I552="?",$D552&lt;&gt;"Advance",$B552=""),"",$I552&amp;"|"&amp;$J552&amp;"|"&amp;COUNTIFS($I$7:$I552,$I552,$J$7:$J552,$J552,$D$7:$D552,"Advance"))</f>
        <v/>
      </c>
      <c r="L552" s="143" t="str">
        <f>IF(OR($I552="",$I552="?",$B552=""),"",SUMPRODUCT((Weeks!$A$7:$A$59&lt;=$J552)*(Weeks!$X$5:$AI$5=$I552)*Weeks!$X$7:$AI$59)-SUMIFS($E$7:$E$1006,$I$7:$I$1006,$I552,$B$7:$B$1006,"&lt;="&amp;$B552))</f>
        <v/>
      </c>
      <c r="M552" s="132" t="str">
        <f>IF($B552&amp;$C552&amp;$D552&amp;$E552="","",IF($B552="","missing date",IF($C552="","missing worker",IF($I552="?","unknown worker - was the name changed on Workers?",IF($D552="","missing type",IF(N($E552)=0,"missing amount",IF(AND($E552&lt;0,$D552&lt;&gt;"Correction"),"negative amount - use a Correction to undo",IF(OR($B552&lt;Weeks!$A$7,$B552&gt;Weeks!$B$59),"date outside this workbook's year",IF(AND($D552="Advance",N($L552)&lt;0),"Warning: more than earned so far - worker now owes "&amp;TEXT(ROUND(-$L552,0),"#,##0"),"")))))))))</f>
        <v/>
      </c>
      <c r="N552" s="125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  <c r="AE552" s="126"/>
      <c r="AF552" s="126"/>
      <c r="AG552" s="126"/>
      <c r="AH552" s="126"/>
      <c r="AI552" s="126"/>
      <c r="AJ552" s="126"/>
      <c r="AK552" s="126"/>
      <c r="AL552" s="126"/>
      <c r="AM552" s="126"/>
      <c r="AN552" s="126"/>
    </row>
    <row r="553" spans="1:40" s="127" customFormat="1" ht="21" customHeight="1" x14ac:dyDescent="0.25">
      <c r="A553" s="51" t="str">
        <f t="shared" si="24"/>
        <v/>
      </c>
      <c r="B553" s="77"/>
      <c r="C553" s="133"/>
      <c r="D553" s="50"/>
      <c r="E553" s="141"/>
      <c r="F553" s="133"/>
      <c r="G553" s="133"/>
      <c r="H553" s="50"/>
      <c r="I553" s="51" t="str">
        <f t="shared" si="25"/>
        <v/>
      </c>
      <c r="J553" s="52" t="str">
        <f t="shared" si="26"/>
        <v/>
      </c>
      <c r="K553" s="142" t="str">
        <f>IF(OR($I553="",$I553="?",$D553&lt;&gt;"Advance",$B553=""),"",$I553&amp;"|"&amp;$J553&amp;"|"&amp;COUNTIFS($I$7:$I553,$I553,$J$7:$J553,$J553,$D$7:$D553,"Advance"))</f>
        <v/>
      </c>
      <c r="L553" s="143" t="str">
        <f>IF(OR($I553="",$I553="?",$B553=""),"",SUMPRODUCT((Weeks!$A$7:$A$59&lt;=$J553)*(Weeks!$X$5:$AI$5=$I553)*Weeks!$X$7:$AI$59)-SUMIFS($E$7:$E$1006,$I$7:$I$1006,$I553,$B$7:$B$1006,"&lt;="&amp;$B553))</f>
        <v/>
      </c>
      <c r="M553" s="132" t="str">
        <f>IF($B553&amp;$C553&amp;$D553&amp;$E553="","",IF($B553="","missing date",IF($C553="","missing worker",IF($I553="?","unknown worker - was the name changed on Workers?",IF($D553="","missing type",IF(N($E553)=0,"missing amount",IF(AND($E553&lt;0,$D553&lt;&gt;"Correction"),"negative amount - use a Correction to undo",IF(OR($B553&lt;Weeks!$A$7,$B553&gt;Weeks!$B$59),"date outside this workbook's year",IF(AND($D553="Advance",N($L553)&lt;0),"Warning: more than earned so far - worker now owes "&amp;TEXT(ROUND(-$L553,0),"#,##0"),"")))))))))</f>
        <v/>
      </c>
      <c r="N553" s="125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  <c r="AE553" s="126"/>
      <c r="AF553" s="126"/>
      <c r="AG553" s="126"/>
      <c r="AH553" s="126"/>
      <c r="AI553" s="126"/>
      <c r="AJ553" s="126"/>
      <c r="AK553" s="126"/>
      <c r="AL553" s="126"/>
      <c r="AM553" s="126"/>
      <c r="AN553" s="126"/>
    </row>
    <row r="554" spans="1:40" s="127" customFormat="1" ht="21" customHeight="1" x14ac:dyDescent="0.25">
      <c r="A554" s="51" t="str">
        <f t="shared" si="24"/>
        <v/>
      </c>
      <c r="B554" s="77"/>
      <c r="C554" s="133"/>
      <c r="D554" s="50"/>
      <c r="E554" s="141"/>
      <c r="F554" s="133"/>
      <c r="G554" s="133"/>
      <c r="H554" s="50"/>
      <c r="I554" s="51" t="str">
        <f t="shared" si="25"/>
        <v/>
      </c>
      <c r="J554" s="52" t="str">
        <f t="shared" si="26"/>
        <v/>
      </c>
      <c r="K554" s="142" t="str">
        <f>IF(OR($I554="",$I554="?",$D554&lt;&gt;"Advance",$B554=""),"",$I554&amp;"|"&amp;$J554&amp;"|"&amp;COUNTIFS($I$7:$I554,$I554,$J$7:$J554,$J554,$D$7:$D554,"Advance"))</f>
        <v/>
      </c>
      <c r="L554" s="143" t="str">
        <f>IF(OR($I554="",$I554="?",$B554=""),"",SUMPRODUCT((Weeks!$A$7:$A$59&lt;=$J554)*(Weeks!$X$5:$AI$5=$I554)*Weeks!$X$7:$AI$59)-SUMIFS($E$7:$E$1006,$I$7:$I$1006,$I554,$B$7:$B$1006,"&lt;="&amp;$B554))</f>
        <v/>
      </c>
      <c r="M554" s="132" t="str">
        <f>IF($B554&amp;$C554&amp;$D554&amp;$E554="","",IF($B554="","missing date",IF($C554="","missing worker",IF($I554="?","unknown worker - was the name changed on Workers?",IF($D554="","missing type",IF(N($E554)=0,"missing amount",IF(AND($E554&lt;0,$D554&lt;&gt;"Correction"),"negative amount - use a Correction to undo",IF(OR($B554&lt;Weeks!$A$7,$B554&gt;Weeks!$B$59),"date outside this workbook's year",IF(AND($D554="Advance",N($L554)&lt;0),"Warning: more than earned so far - worker now owes "&amp;TEXT(ROUND(-$L554,0),"#,##0"),"")))))))))</f>
        <v/>
      </c>
      <c r="N554" s="125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  <c r="AE554" s="126"/>
      <c r="AF554" s="126"/>
      <c r="AG554" s="126"/>
      <c r="AH554" s="126"/>
      <c r="AI554" s="126"/>
      <c r="AJ554" s="126"/>
      <c r="AK554" s="126"/>
      <c r="AL554" s="126"/>
      <c r="AM554" s="126"/>
      <c r="AN554" s="126"/>
    </row>
    <row r="555" spans="1:40" s="127" customFormat="1" ht="21" customHeight="1" x14ac:dyDescent="0.25">
      <c r="A555" s="51" t="str">
        <f t="shared" si="24"/>
        <v/>
      </c>
      <c r="B555" s="77"/>
      <c r="C555" s="133"/>
      <c r="D555" s="50"/>
      <c r="E555" s="141"/>
      <c r="F555" s="133"/>
      <c r="G555" s="133"/>
      <c r="H555" s="50"/>
      <c r="I555" s="51" t="str">
        <f t="shared" si="25"/>
        <v/>
      </c>
      <c r="J555" s="52" t="str">
        <f t="shared" si="26"/>
        <v/>
      </c>
      <c r="K555" s="142" t="str">
        <f>IF(OR($I555="",$I555="?",$D555&lt;&gt;"Advance",$B555=""),"",$I555&amp;"|"&amp;$J555&amp;"|"&amp;COUNTIFS($I$7:$I555,$I555,$J$7:$J555,$J555,$D$7:$D555,"Advance"))</f>
        <v/>
      </c>
      <c r="L555" s="143" t="str">
        <f>IF(OR($I555="",$I555="?",$B555=""),"",SUMPRODUCT((Weeks!$A$7:$A$59&lt;=$J555)*(Weeks!$X$5:$AI$5=$I555)*Weeks!$X$7:$AI$59)-SUMIFS($E$7:$E$1006,$I$7:$I$1006,$I555,$B$7:$B$1006,"&lt;="&amp;$B555))</f>
        <v/>
      </c>
      <c r="M555" s="132" t="str">
        <f>IF($B555&amp;$C555&amp;$D555&amp;$E555="","",IF($B555="","missing date",IF($C555="","missing worker",IF($I555="?","unknown worker - was the name changed on Workers?",IF($D555="","missing type",IF(N($E555)=0,"missing amount",IF(AND($E555&lt;0,$D555&lt;&gt;"Correction"),"negative amount - use a Correction to undo",IF(OR($B555&lt;Weeks!$A$7,$B555&gt;Weeks!$B$59),"date outside this workbook's year",IF(AND($D555="Advance",N($L555)&lt;0),"Warning: more than earned so far - worker now owes "&amp;TEXT(ROUND(-$L555,0),"#,##0"),"")))))))))</f>
        <v/>
      </c>
      <c r="N555" s="125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  <c r="AE555" s="126"/>
      <c r="AF555" s="126"/>
      <c r="AG555" s="126"/>
      <c r="AH555" s="126"/>
      <c r="AI555" s="126"/>
      <c r="AJ555" s="126"/>
      <c r="AK555" s="126"/>
      <c r="AL555" s="126"/>
      <c r="AM555" s="126"/>
      <c r="AN555" s="126"/>
    </row>
    <row r="556" spans="1:40" s="127" customFormat="1" ht="21" customHeight="1" x14ac:dyDescent="0.25">
      <c r="A556" s="51" t="str">
        <f t="shared" si="24"/>
        <v/>
      </c>
      <c r="B556" s="77"/>
      <c r="C556" s="133"/>
      <c r="D556" s="50"/>
      <c r="E556" s="141"/>
      <c r="F556" s="133"/>
      <c r="G556" s="133"/>
      <c r="H556" s="50"/>
      <c r="I556" s="51" t="str">
        <f t="shared" si="25"/>
        <v/>
      </c>
      <c r="J556" s="52" t="str">
        <f t="shared" si="26"/>
        <v/>
      </c>
      <c r="K556" s="142" t="str">
        <f>IF(OR($I556="",$I556="?",$D556&lt;&gt;"Advance",$B556=""),"",$I556&amp;"|"&amp;$J556&amp;"|"&amp;COUNTIFS($I$7:$I556,$I556,$J$7:$J556,$J556,$D$7:$D556,"Advance"))</f>
        <v/>
      </c>
      <c r="L556" s="143" t="str">
        <f>IF(OR($I556="",$I556="?",$B556=""),"",SUMPRODUCT((Weeks!$A$7:$A$59&lt;=$J556)*(Weeks!$X$5:$AI$5=$I556)*Weeks!$X$7:$AI$59)-SUMIFS($E$7:$E$1006,$I$7:$I$1006,$I556,$B$7:$B$1006,"&lt;="&amp;$B556))</f>
        <v/>
      </c>
      <c r="M556" s="132" t="str">
        <f>IF($B556&amp;$C556&amp;$D556&amp;$E556="","",IF($B556="","missing date",IF($C556="","missing worker",IF($I556="?","unknown worker - was the name changed on Workers?",IF($D556="","missing type",IF(N($E556)=0,"missing amount",IF(AND($E556&lt;0,$D556&lt;&gt;"Correction"),"negative amount - use a Correction to undo",IF(OR($B556&lt;Weeks!$A$7,$B556&gt;Weeks!$B$59),"date outside this workbook's year",IF(AND($D556="Advance",N($L556)&lt;0),"Warning: more than earned so far - worker now owes "&amp;TEXT(ROUND(-$L556,0),"#,##0"),"")))))))))</f>
        <v/>
      </c>
      <c r="N556" s="125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  <c r="AE556" s="126"/>
      <c r="AF556" s="126"/>
      <c r="AG556" s="126"/>
      <c r="AH556" s="126"/>
      <c r="AI556" s="126"/>
      <c r="AJ556" s="126"/>
      <c r="AK556" s="126"/>
      <c r="AL556" s="126"/>
      <c r="AM556" s="126"/>
      <c r="AN556" s="126"/>
    </row>
    <row r="557" spans="1:40" s="127" customFormat="1" ht="21" customHeight="1" x14ac:dyDescent="0.25">
      <c r="A557" s="51" t="str">
        <f t="shared" si="24"/>
        <v/>
      </c>
      <c r="B557" s="77"/>
      <c r="C557" s="133"/>
      <c r="D557" s="50"/>
      <c r="E557" s="141"/>
      <c r="F557" s="133"/>
      <c r="G557" s="133"/>
      <c r="H557" s="50"/>
      <c r="I557" s="51" t="str">
        <f t="shared" si="25"/>
        <v/>
      </c>
      <c r="J557" s="52" t="str">
        <f t="shared" si="26"/>
        <v/>
      </c>
      <c r="K557" s="142" t="str">
        <f>IF(OR($I557="",$I557="?",$D557&lt;&gt;"Advance",$B557=""),"",$I557&amp;"|"&amp;$J557&amp;"|"&amp;COUNTIFS($I$7:$I557,$I557,$J$7:$J557,$J557,$D$7:$D557,"Advance"))</f>
        <v/>
      </c>
      <c r="L557" s="143" t="str">
        <f>IF(OR($I557="",$I557="?",$B557=""),"",SUMPRODUCT((Weeks!$A$7:$A$59&lt;=$J557)*(Weeks!$X$5:$AI$5=$I557)*Weeks!$X$7:$AI$59)-SUMIFS($E$7:$E$1006,$I$7:$I$1006,$I557,$B$7:$B$1006,"&lt;="&amp;$B557))</f>
        <v/>
      </c>
      <c r="M557" s="132" t="str">
        <f>IF($B557&amp;$C557&amp;$D557&amp;$E557="","",IF($B557="","missing date",IF($C557="","missing worker",IF($I557="?","unknown worker - was the name changed on Workers?",IF($D557="","missing type",IF(N($E557)=0,"missing amount",IF(AND($E557&lt;0,$D557&lt;&gt;"Correction"),"negative amount - use a Correction to undo",IF(OR($B557&lt;Weeks!$A$7,$B557&gt;Weeks!$B$59),"date outside this workbook's year",IF(AND($D557="Advance",N($L557)&lt;0),"Warning: more than earned so far - worker now owes "&amp;TEXT(ROUND(-$L557,0),"#,##0"),"")))))))))</f>
        <v/>
      </c>
      <c r="N557" s="125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  <c r="AE557" s="126"/>
      <c r="AF557" s="126"/>
      <c r="AG557" s="126"/>
      <c r="AH557" s="126"/>
      <c r="AI557" s="126"/>
      <c r="AJ557" s="126"/>
      <c r="AK557" s="126"/>
      <c r="AL557" s="126"/>
      <c r="AM557" s="126"/>
      <c r="AN557" s="126"/>
    </row>
    <row r="558" spans="1:40" s="127" customFormat="1" ht="21" customHeight="1" x14ac:dyDescent="0.25">
      <c r="A558" s="51" t="str">
        <f t="shared" si="24"/>
        <v/>
      </c>
      <c r="B558" s="77"/>
      <c r="C558" s="133"/>
      <c r="D558" s="50"/>
      <c r="E558" s="141"/>
      <c r="F558" s="133"/>
      <c r="G558" s="133"/>
      <c r="H558" s="50"/>
      <c r="I558" s="51" t="str">
        <f t="shared" si="25"/>
        <v/>
      </c>
      <c r="J558" s="52" t="str">
        <f t="shared" si="26"/>
        <v/>
      </c>
      <c r="K558" s="142" t="str">
        <f>IF(OR($I558="",$I558="?",$D558&lt;&gt;"Advance",$B558=""),"",$I558&amp;"|"&amp;$J558&amp;"|"&amp;COUNTIFS($I$7:$I558,$I558,$J$7:$J558,$J558,$D$7:$D558,"Advance"))</f>
        <v/>
      </c>
      <c r="L558" s="143" t="str">
        <f>IF(OR($I558="",$I558="?",$B558=""),"",SUMPRODUCT((Weeks!$A$7:$A$59&lt;=$J558)*(Weeks!$X$5:$AI$5=$I558)*Weeks!$X$7:$AI$59)-SUMIFS($E$7:$E$1006,$I$7:$I$1006,$I558,$B$7:$B$1006,"&lt;="&amp;$B558))</f>
        <v/>
      </c>
      <c r="M558" s="132" t="str">
        <f>IF($B558&amp;$C558&amp;$D558&amp;$E558="","",IF($B558="","missing date",IF($C558="","missing worker",IF($I558="?","unknown worker - was the name changed on Workers?",IF($D558="","missing type",IF(N($E558)=0,"missing amount",IF(AND($E558&lt;0,$D558&lt;&gt;"Correction"),"negative amount - use a Correction to undo",IF(OR($B558&lt;Weeks!$A$7,$B558&gt;Weeks!$B$59),"date outside this workbook's year",IF(AND($D558="Advance",N($L558)&lt;0),"Warning: more than earned so far - worker now owes "&amp;TEXT(ROUND(-$L558,0),"#,##0"),"")))))))))</f>
        <v/>
      </c>
      <c r="N558" s="125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  <c r="AE558" s="126"/>
      <c r="AF558" s="126"/>
      <c r="AG558" s="126"/>
      <c r="AH558" s="126"/>
      <c r="AI558" s="126"/>
      <c r="AJ558" s="126"/>
      <c r="AK558" s="126"/>
      <c r="AL558" s="126"/>
      <c r="AM558" s="126"/>
      <c r="AN558" s="126"/>
    </row>
    <row r="559" spans="1:40" s="127" customFormat="1" ht="21" customHeight="1" x14ac:dyDescent="0.25">
      <c r="A559" s="51" t="str">
        <f t="shared" si="24"/>
        <v/>
      </c>
      <c r="B559" s="77"/>
      <c r="C559" s="133"/>
      <c r="D559" s="50"/>
      <c r="E559" s="141"/>
      <c r="F559" s="133"/>
      <c r="G559" s="133"/>
      <c r="H559" s="50"/>
      <c r="I559" s="51" t="str">
        <f t="shared" si="25"/>
        <v/>
      </c>
      <c r="J559" s="52" t="str">
        <f t="shared" si="26"/>
        <v/>
      </c>
      <c r="K559" s="142" t="str">
        <f>IF(OR($I559="",$I559="?",$D559&lt;&gt;"Advance",$B559=""),"",$I559&amp;"|"&amp;$J559&amp;"|"&amp;COUNTIFS($I$7:$I559,$I559,$J$7:$J559,$J559,$D$7:$D559,"Advance"))</f>
        <v/>
      </c>
      <c r="L559" s="143" t="str">
        <f>IF(OR($I559="",$I559="?",$B559=""),"",SUMPRODUCT((Weeks!$A$7:$A$59&lt;=$J559)*(Weeks!$X$5:$AI$5=$I559)*Weeks!$X$7:$AI$59)-SUMIFS($E$7:$E$1006,$I$7:$I$1006,$I559,$B$7:$B$1006,"&lt;="&amp;$B559))</f>
        <v/>
      </c>
      <c r="M559" s="132" t="str">
        <f>IF($B559&amp;$C559&amp;$D559&amp;$E559="","",IF($B559="","missing date",IF($C559="","missing worker",IF($I559="?","unknown worker - was the name changed on Workers?",IF($D559="","missing type",IF(N($E559)=0,"missing amount",IF(AND($E559&lt;0,$D559&lt;&gt;"Correction"),"negative amount - use a Correction to undo",IF(OR($B559&lt;Weeks!$A$7,$B559&gt;Weeks!$B$59),"date outside this workbook's year",IF(AND($D559="Advance",N($L559)&lt;0),"Warning: more than earned so far - worker now owes "&amp;TEXT(ROUND(-$L559,0),"#,##0"),"")))))))))</f>
        <v/>
      </c>
      <c r="N559" s="125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  <c r="AE559" s="126"/>
      <c r="AF559" s="126"/>
      <c r="AG559" s="126"/>
      <c r="AH559" s="126"/>
      <c r="AI559" s="126"/>
      <c r="AJ559" s="126"/>
      <c r="AK559" s="126"/>
      <c r="AL559" s="126"/>
      <c r="AM559" s="126"/>
      <c r="AN559" s="126"/>
    </row>
    <row r="560" spans="1:40" s="127" customFormat="1" ht="21" customHeight="1" x14ac:dyDescent="0.25">
      <c r="A560" s="51" t="str">
        <f t="shared" si="24"/>
        <v/>
      </c>
      <c r="B560" s="77"/>
      <c r="C560" s="133"/>
      <c r="D560" s="50"/>
      <c r="E560" s="141"/>
      <c r="F560" s="133"/>
      <c r="G560" s="133"/>
      <c r="H560" s="50"/>
      <c r="I560" s="51" t="str">
        <f t="shared" si="25"/>
        <v/>
      </c>
      <c r="J560" s="52" t="str">
        <f t="shared" si="26"/>
        <v/>
      </c>
      <c r="K560" s="142" t="str">
        <f>IF(OR($I560="",$I560="?",$D560&lt;&gt;"Advance",$B560=""),"",$I560&amp;"|"&amp;$J560&amp;"|"&amp;COUNTIFS($I$7:$I560,$I560,$J$7:$J560,$J560,$D$7:$D560,"Advance"))</f>
        <v/>
      </c>
      <c r="L560" s="143" t="str">
        <f>IF(OR($I560="",$I560="?",$B560=""),"",SUMPRODUCT((Weeks!$A$7:$A$59&lt;=$J560)*(Weeks!$X$5:$AI$5=$I560)*Weeks!$X$7:$AI$59)-SUMIFS($E$7:$E$1006,$I$7:$I$1006,$I560,$B$7:$B$1006,"&lt;="&amp;$B560))</f>
        <v/>
      </c>
      <c r="M560" s="132" t="str">
        <f>IF($B560&amp;$C560&amp;$D560&amp;$E560="","",IF($B560="","missing date",IF($C560="","missing worker",IF($I560="?","unknown worker - was the name changed on Workers?",IF($D560="","missing type",IF(N($E560)=0,"missing amount",IF(AND($E560&lt;0,$D560&lt;&gt;"Correction"),"negative amount - use a Correction to undo",IF(OR($B560&lt;Weeks!$A$7,$B560&gt;Weeks!$B$59),"date outside this workbook's year",IF(AND($D560="Advance",N($L560)&lt;0),"Warning: more than earned so far - worker now owes "&amp;TEXT(ROUND(-$L560,0),"#,##0"),"")))))))))</f>
        <v/>
      </c>
      <c r="N560" s="125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  <c r="AE560" s="126"/>
      <c r="AF560" s="126"/>
      <c r="AG560" s="126"/>
      <c r="AH560" s="126"/>
      <c r="AI560" s="126"/>
      <c r="AJ560" s="126"/>
      <c r="AK560" s="126"/>
      <c r="AL560" s="126"/>
      <c r="AM560" s="126"/>
      <c r="AN560" s="126"/>
    </row>
    <row r="561" spans="1:40" s="127" customFormat="1" ht="21" customHeight="1" x14ac:dyDescent="0.25">
      <c r="A561" s="51" t="str">
        <f t="shared" si="24"/>
        <v/>
      </c>
      <c r="B561" s="77"/>
      <c r="C561" s="133"/>
      <c r="D561" s="50"/>
      <c r="E561" s="141"/>
      <c r="F561" s="133"/>
      <c r="G561" s="133"/>
      <c r="H561" s="50"/>
      <c r="I561" s="51" t="str">
        <f t="shared" si="25"/>
        <v/>
      </c>
      <c r="J561" s="52" t="str">
        <f t="shared" si="26"/>
        <v/>
      </c>
      <c r="K561" s="142" t="str">
        <f>IF(OR($I561="",$I561="?",$D561&lt;&gt;"Advance",$B561=""),"",$I561&amp;"|"&amp;$J561&amp;"|"&amp;COUNTIFS($I$7:$I561,$I561,$J$7:$J561,$J561,$D$7:$D561,"Advance"))</f>
        <v/>
      </c>
      <c r="L561" s="143" t="str">
        <f>IF(OR($I561="",$I561="?",$B561=""),"",SUMPRODUCT((Weeks!$A$7:$A$59&lt;=$J561)*(Weeks!$X$5:$AI$5=$I561)*Weeks!$X$7:$AI$59)-SUMIFS($E$7:$E$1006,$I$7:$I$1006,$I561,$B$7:$B$1006,"&lt;="&amp;$B561))</f>
        <v/>
      </c>
      <c r="M561" s="132" t="str">
        <f>IF($B561&amp;$C561&amp;$D561&amp;$E561="","",IF($B561="","missing date",IF($C561="","missing worker",IF($I561="?","unknown worker - was the name changed on Workers?",IF($D561="","missing type",IF(N($E561)=0,"missing amount",IF(AND($E561&lt;0,$D561&lt;&gt;"Correction"),"negative amount - use a Correction to undo",IF(OR($B561&lt;Weeks!$A$7,$B561&gt;Weeks!$B$59),"date outside this workbook's year",IF(AND($D561="Advance",N($L561)&lt;0),"Warning: more than earned so far - worker now owes "&amp;TEXT(ROUND(-$L561,0),"#,##0"),"")))))))))</f>
        <v/>
      </c>
      <c r="N561" s="125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  <c r="AE561" s="126"/>
      <c r="AF561" s="126"/>
      <c r="AG561" s="126"/>
      <c r="AH561" s="126"/>
      <c r="AI561" s="126"/>
      <c r="AJ561" s="126"/>
      <c r="AK561" s="126"/>
      <c r="AL561" s="126"/>
      <c r="AM561" s="126"/>
      <c r="AN561" s="126"/>
    </row>
    <row r="562" spans="1:40" s="127" customFormat="1" ht="21" customHeight="1" x14ac:dyDescent="0.25">
      <c r="A562" s="51" t="str">
        <f t="shared" si="24"/>
        <v/>
      </c>
      <c r="B562" s="77"/>
      <c r="C562" s="133"/>
      <c r="D562" s="50"/>
      <c r="E562" s="141"/>
      <c r="F562" s="133"/>
      <c r="G562" s="133"/>
      <c r="H562" s="50"/>
      <c r="I562" s="51" t="str">
        <f t="shared" si="25"/>
        <v/>
      </c>
      <c r="J562" s="52" t="str">
        <f t="shared" si="26"/>
        <v/>
      </c>
      <c r="K562" s="142" t="str">
        <f>IF(OR($I562="",$I562="?",$D562&lt;&gt;"Advance",$B562=""),"",$I562&amp;"|"&amp;$J562&amp;"|"&amp;COUNTIFS($I$7:$I562,$I562,$J$7:$J562,$J562,$D$7:$D562,"Advance"))</f>
        <v/>
      </c>
      <c r="L562" s="143" t="str">
        <f>IF(OR($I562="",$I562="?",$B562=""),"",SUMPRODUCT((Weeks!$A$7:$A$59&lt;=$J562)*(Weeks!$X$5:$AI$5=$I562)*Weeks!$X$7:$AI$59)-SUMIFS($E$7:$E$1006,$I$7:$I$1006,$I562,$B$7:$B$1006,"&lt;="&amp;$B562))</f>
        <v/>
      </c>
      <c r="M562" s="132" t="str">
        <f>IF($B562&amp;$C562&amp;$D562&amp;$E562="","",IF($B562="","missing date",IF($C562="","missing worker",IF($I562="?","unknown worker - was the name changed on Workers?",IF($D562="","missing type",IF(N($E562)=0,"missing amount",IF(AND($E562&lt;0,$D562&lt;&gt;"Correction"),"negative amount - use a Correction to undo",IF(OR($B562&lt;Weeks!$A$7,$B562&gt;Weeks!$B$59),"date outside this workbook's year",IF(AND($D562="Advance",N($L562)&lt;0),"Warning: more than earned so far - worker now owes "&amp;TEXT(ROUND(-$L562,0),"#,##0"),"")))))))))</f>
        <v/>
      </c>
      <c r="N562" s="125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  <c r="AE562" s="126"/>
      <c r="AF562" s="126"/>
      <c r="AG562" s="126"/>
      <c r="AH562" s="126"/>
      <c r="AI562" s="126"/>
      <c r="AJ562" s="126"/>
      <c r="AK562" s="126"/>
      <c r="AL562" s="126"/>
      <c r="AM562" s="126"/>
      <c r="AN562" s="126"/>
    </row>
    <row r="563" spans="1:40" s="127" customFormat="1" ht="21" customHeight="1" x14ac:dyDescent="0.25">
      <c r="A563" s="51" t="str">
        <f t="shared" si="24"/>
        <v/>
      </c>
      <c r="B563" s="77"/>
      <c r="C563" s="133"/>
      <c r="D563" s="50"/>
      <c r="E563" s="141"/>
      <c r="F563" s="133"/>
      <c r="G563" s="133"/>
      <c r="H563" s="50"/>
      <c r="I563" s="51" t="str">
        <f t="shared" si="25"/>
        <v/>
      </c>
      <c r="J563" s="52" t="str">
        <f t="shared" si="26"/>
        <v/>
      </c>
      <c r="K563" s="142" t="str">
        <f>IF(OR($I563="",$I563="?",$D563&lt;&gt;"Advance",$B563=""),"",$I563&amp;"|"&amp;$J563&amp;"|"&amp;COUNTIFS($I$7:$I563,$I563,$J$7:$J563,$J563,$D$7:$D563,"Advance"))</f>
        <v/>
      </c>
      <c r="L563" s="143" t="str">
        <f>IF(OR($I563="",$I563="?",$B563=""),"",SUMPRODUCT((Weeks!$A$7:$A$59&lt;=$J563)*(Weeks!$X$5:$AI$5=$I563)*Weeks!$X$7:$AI$59)-SUMIFS($E$7:$E$1006,$I$7:$I$1006,$I563,$B$7:$B$1006,"&lt;="&amp;$B563))</f>
        <v/>
      </c>
      <c r="M563" s="132" t="str">
        <f>IF($B563&amp;$C563&amp;$D563&amp;$E563="","",IF($B563="","missing date",IF($C563="","missing worker",IF($I563="?","unknown worker - was the name changed on Workers?",IF($D563="","missing type",IF(N($E563)=0,"missing amount",IF(AND($E563&lt;0,$D563&lt;&gt;"Correction"),"negative amount - use a Correction to undo",IF(OR($B563&lt;Weeks!$A$7,$B563&gt;Weeks!$B$59),"date outside this workbook's year",IF(AND($D563="Advance",N($L563)&lt;0),"Warning: more than earned so far - worker now owes "&amp;TEXT(ROUND(-$L563,0),"#,##0"),"")))))))))</f>
        <v/>
      </c>
      <c r="N563" s="125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  <c r="AE563" s="126"/>
      <c r="AF563" s="126"/>
      <c r="AG563" s="126"/>
      <c r="AH563" s="126"/>
      <c r="AI563" s="126"/>
      <c r="AJ563" s="126"/>
      <c r="AK563" s="126"/>
      <c r="AL563" s="126"/>
      <c r="AM563" s="126"/>
      <c r="AN563" s="126"/>
    </row>
    <row r="564" spans="1:40" s="127" customFormat="1" ht="21" customHeight="1" x14ac:dyDescent="0.25">
      <c r="A564" s="51" t="str">
        <f t="shared" si="24"/>
        <v/>
      </c>
      <c r="B564" s="77"/>
      <c r="C564" s="133"/>
      <c r="D564" s="50"/>
      <c r="E564" s="141"/>
      <c r="F564" s="133"/>
      <c r="G564" s="133"/>
      <c r="H564" s="50"/>
      <c r="I564" s="51" t="str">
        <f t="shared" si="25"/>
        <v/>
      </c>
      <c r="J564" s="52" t="str">
        <f t="shared" si="26"/>
        <v/>
      </c>
      <c r="K564" s="142" t="str">
        <f>IF(OR($I564="",$I564="?",$D564&lt;&gt;"Advance",$B564=""),"",$I564&amp;"|"&amp;$J564&amp;"|"&amp;COUNTIFS($I$7:$I564,$I564,$J$7:$J564,$J564,$D$7:$D564,"Advance"))</f>
        <v/>
      </c>
      <c r="L564" s="143" t="str">
        <f>IF(OR($I564="",$I564="?",$B564=""),"",SUMPRODUCT((Weeks!$A$7:$A$59&lt;=$J564)*(Weeks!$X$5:$AI$5=$I564)*Weeks!$X$7:$AI$59)-SUMIFS($E$7:$E$1006,$I$7:$I$1006,$I564,$B$7:$B$1006,"&lt;="&amp;$B564))</f>
        <v/>
      </c>
      <c r="M564" s="132" t="str">
        <f>IF($B564&amp;$C564&amp;$D564&amp;$E564="","",IF($B564="","missing date",IF($C564="","missing worker",IF($I564="?","unknown worker - was the name changed on Workers?",IF($D564="","missing type",IF(N($E564)=0,"missing amount",IF(AND($E564&lt;0,$D564&lt;&gt;"Correction"),"negative amount - use a Correction to undo",IF(OR($B564&lt;Weeks!$A$7,$B564&gt;Weeks!$B$59),"date outside this workbook's year",IF(AND($D564="Advance",N($L564)&lt;0),"Warning: more than earned so far - worker now owes "&amp;TEXT(ROUND(-$L564,0),"#,##0"),"")))))))))</f>
        <v/>
      </c>
      <c r="N564" s="125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  <c r="AE564" s="126"/>
      <c r="AF564" s="126"/>
      <c r="AG564" s="126"/>
      <c r="AH564" s="126"/>
      <c r="AI564" s="126"/>
      <c r="AJ564" s="126"/>
      <c r="AK564" s="126"/>
      <c r="AL564" s="126"/>
      <c r="AM564" s="126"/>
      <c r="AN564" s="126"/>
    </row>
    <row r="565" spans="1:40" s="127" customFormat="1" ht="21" customHeight="1" x14ac:dyDescent="0.25">
      <c r="A565" s="51" t="str">
        <f t="shared" si="24"/>
        <v/>
      </c>
      <c r="B565" s="77"/>
      <c r="C565" s="133"/>
      <c r="D565" s="50"/>
      <c r="E565" s="141"/>
      <c r="F565" s="133"/>
      <c r="G565" s="133"/>
      <c r="H565" s="50"/>
      <c r="I565" s="51" t="str">
        <f t="shared" si="25"/>
        <v/>
      </c>
      <c r="J565" s="52" t="str">
        <f t="shared" si="26"/>
        <v/>
      </c>
      <c r="K565" s="142" t="str">
        <f>IF(OR($I565="",$I565="?",$D565&lt;&gt;"Advance",$B565=""),"",$I565&amp;"|"&amp;$J565&amp;"|"&amp;COUNTIFS($I$7:$I565,$I565,$J$7:$J565,$J565,$D$7:$D565,"Advance"))</f>
        <v/>
      </c>
      <c r="L565" s="143" t="str">
        <f>IF(OR($I565="",$I565="?",$B565=""),"",SUMPRODUCT((Weeks!$A$7:$A$59&lt;=$J565)*(Weeks!$X$5:$AI$5=$I565)*Weeks!$X$7:$AI$59)-SUMIFS($E$7:$E$1006,$I$7:$I$1006,$I565,$B$7:$B$1006,"&lt;="&amp;$B565))</f>
        <v/>
      </c>
      <c r="M565" s="132" t="str">
        <f>IF($B565&amp;$C565&amp;$D565&amp;$E565="","",IF($B565="","missing date",IF($C565="","missing worker",IF($I565="?","unknown worker - was the name changed on Workers?",IF($D565="","missing type",IF(N($E565)=0,"missing amount",IF(AND($E565&lt;0,$D565&lt;&gt;"Correction"),"negative amount - use a Correction to undo",IF(OR($B565&lt;Weeks!$A$7,$B565&gt;Weeks!$B$59),"date outside this workbook's year",IF(AND($D565="Advance",N($L565)&lt;0),"Warning: more than earned so far - worker now owes "&amp;TEXT(ROUND(-$L565,0),"#,##0"),"")))))))))</f>
        <v/>
      </c>
      <c r="N565" s="125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126"/>
      <c r="AH565" s="126"/>
      <c r="AI565" s="126"/>
      <c r="AJ565" s="126"/>
      <c r="AK565" s="126"/>
      <c r="AL565" s="126"/>
      <c r="AM565" s="126"/>
      <c r="AN565" s="126"/>
    </row>
    <row r="566" spans="1:40" s="127" customFormat="1" ht="21" customHeight="1" x14ac:dyDescent="0.25">
      <c r="A566" s="51" t="str">
        <f t="shared" si="24"/>
        <v/>
      </c>
      <c r="B566" s="77"/>
      <c r="C566" s="133"/>
      <c r="D566" s="50"/>
      <c r="E566" s="141"/>
      <c r="F566" s="133"/>
      <c r="G566" s="133"/>
      <c r="H566" s="50"/>
      <c r="I566" s="51" t="str">
        <f t="shared" si="25"/>
        <v/>
      </c>
      <c r="J566" s="52" t="str">
        <f t="shared" si="26"/>
        <v/>
      </c>
      <c r="K566" s="142" t="str">
        <f>IF(OR($I566="",$I566="?",$D566&lt;&gt;"Advance",$B566=""),"",$I566&amp;"|"&amp;$J566&amp;"|"&amp;COUNTIFS($I$7:$I566,$I566,$J$7:$J566,$J566,$D$7:$D566,"Advance"))</f>
        <v/>
      </c>
      <c r="L566" s="143" t="str">
        <f>IF(OR($I566="",$I566="?",$B566=""),"",SUMPRODUCT((Weeks!$A$7:$A$59&lt;=$J566)*(Weeks!$X$5:$AI$5=$I566)*Weeks!$X$7:$AI$59)-SUMIFS($E$7:$E$1006,$I$7:$I$1006,$I566,$B$7:$B$1006,"&lt;="&amp;$B566))</f>
        <v/>
      </c>
      <c r="M566" s="132" t="str">
        <f>IF($B566&amp;$C566&amp;$D566&amp;$E566="","",IF($B566="","missing date",IF($C566="","missing worker",IF($I566="?","unknown worker - was the name changed on Workers?",IF($D566="","missing type",IF(N($E566)=0,"missing amount",IF(AND($E566&lt;0,$D566&lt;&gt;"Correction"),"negative amount - use a Correction to undo",IF(OR($B566&lt;Weeks!$A$7,$B566&gt;Weeks!$B$59),"date outside this workbook's year",IF(AND($D566="Advance",N($L566)&lt;0),"Warning: more than earned so far - worker now owes "&amp;TEXT(ROUND(-$L566,0),"#,##0"),"")))))))))</f>
        <v/>
      </c>
      <c r="N566" s="125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126"/>
      <c r="AH566" s="126"/>
      <c r="AI566" s="126"/>
      <c r="AJ566" s="126"/>
      <c r="AK566" s="126"/>
      <c r="AL566" s="126"/>
      <c r="AM566" s="126"/>
      <c r="AN566" s="126"/>
    </row>
    <row r="567" spans="1:40" s="127" customFormat="1" ht="21" customHeight="1" x14ac:dyDescent="0.25">
      <c r="A567" s="51" t="str">
        <f t="shared" si="24"/>
        <v/>
      </c>
      <c r="B567" s="77"/>
      <c r="C567" s="133"/>
      <c r="D567" s="50"/>
      <c r="E567" s="141"/>
      <c r="F567" s="133"/>
      <c r="G567" s="133"/>
      <c r="H567" s="50"/>
      <c r="I567" s="51" t="str">
        <f t="shared" si="25"/>
        <v/>
      </c>
      <c r="J567" s="52" t="str">
        <f t="shared" si="26"/>
        <v/>
      </c>
      <c r="K567" s="142" t="str">
        <f>IF(OR($I567="",$I567="?",$D567&lt;&gt;"Advance",$B567=""),"",$I567&amp;"|"&amp;$J567&amp;"|"&amp;COUNTIFS($I$7:$I567,$I567,$J$7:$J567,$J567,$D$7:$D567,"Advance"))</f>
        <v/>
      </c>
      <c r="L567" s="143" t="str">
        <f>IF(OR($I567="",$I567="?",$B567=""),"",SUMPRODUCT((Weeks!$A$7:$A$59&lt;=$J567)*(Weeks!$X$5:$AI$5=$I567)*Weeks!$X$7:$AI$59)-SUMIFS($E$7:$E$1006,$I$7:$I$1006,$I567,$B$7:$B$1006,"&lt;="&amp;$B567))</f>
        <v/>
      </c>
      <c r="M567" s="132" t="str">
        <f>IF($B567&amp;$C567&amp;$D567&amp;$E567="","",IF($B567="","missing date",IF($C567="","missing worker",IF($I567="?","unknown worker - was the name changed on Workers?",IF($D567="","missing type",IF(N($E567)=0,"missing amount",IF(AND($E567&lt;0,$D567&lt;&gt;"Correction"),"negative amount - use a Correction to undo",IF(OR($B567&lt;Weeks!$A$7,$B567&gt;Weeks!$B$59),"date outside this workbook's year",IF(AND($D567="Advance",N($L567)&lt;0),"Warning: more than earned so far - worker now owes "&amp;TEXT(ROUND(-$L567,0),"#,##0"),"")))))))))</f>
        <v/>
      </c>
      <c r="N567" s="125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  <c r="AE567" s="126"/>
      <c r="AF567" s="126"/>
      <c r="AG567" s="126"/>
      <c r="AH567" s="126"/>
      <c r="AI567" s="126"/>
      <c r="AJ567" s="126"/>
      <c r="AK567" s="126"/>
      <c r="AL567" s="126"/>
      <c r="AM567" s="126"/>
      <c r="AN567" s="126"/>
    </row>
    <row r="568" spans="1:40" s="127" customFormat="1" ht="21" customHeight="1" x14ac:dyDescent="0.25">
      <c r="A568" s="51" t="str">
        <f t="shared" si="24"/>
        <v/>
      </c>
      <c r="B568" s="77"/>
      <c r="C568" s="133"/>
      <c r="D568" s="50"/>
      <c r="E568" s="141"/>
      <c r="F568" s="133"/>
      <c r="G568" s="133"/>
      <c r="H568" s="50"/>
      <c r="I568" s="51" t="str">
        <f t="shared" si="25"/>
        <v/>
      </c>
      <c r="J568" s="52" t="str">
        <f t="shared" si="26"/>
        <v/>
      </c>
      <c r="K568" s="142" t="str">
        <f>IF(OR($I568="",$I568="?",$D568&lt;&gt;"Advance",$B568=""),"",$I568&amp;"|"&amp;$J568&amp;"|"&amp;COUNTIFS($I$7:$I568,$I568,$J$7:$J568,$J568,$D$7:$D568,"Advance"))</f>
        <v/>
      </c>
      <c r="L568" s="143" t="str">
        <f>IF(OR($I568="",$I568="?",$B568=""),"",SUMPRODUCT((Weeks!$A$7:$A$59&lt;=$J568)*(Weeks!$X$5:$AI$5=$I568)*Weeks!$X$7:$AI$59)-SUMIFS($E$7:$E$1006,$I$7:$I$1006,$I568,$B$7:$B$1006,"&lt;="&amp;$B568))</f>
        <v/>
      </c>
      <c r="M568" s="132" t="str">
        <f>IF($B568&amp;$C568&amp;$D568&amp;$E568="","",IF($B568="","missing date",IF($C568="","missing worker",IF($I568="?","unknown worker - was the name changed on Workers?",IF($D568="","missing type",IF(N($E568)=0,"missing amount",IF(AND($E568&lt;0,$D568&lt;&gt;"Correction"),"negative amount - use a Correction to undo",IF(OR($B568&lt;Weeks!$A$7,$B568&gt;Weeks!$B$59),"date outside this workbook's year",IF(AND($D568="Advance",N($L568)&lt;0),"Warning: more than earned so far - worker now owes "&amp;TEXT(ROUND(-$L568,0),"#,##0"),"")))))))))</f>
        <v/>
      </c>
      <c r="N568" s="125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  <c r="AE568" s="126"/>
      <c r="AF568" s="126"/>
      <c r="AG568" s="126"/>
      <c r="AH568" s="126"/>
      <c r="AI568" s="126"/>
      <c r="AJ568" s="126"/>
      <c r="AK568" s="126"/>
      <c r="AL568" s="126"/>
      <c r="AM568" s="126"/>
      <c r="AN568" s="126"/>
    </row>
    <row r="569" spans="1:40" s="127" customFormat="1" ht="21" customHeight="1" x14ac:dyDescent="0.25">
      <c r="A569" s="51" t="str">
        <f t="shared" si="24"/>
        <v/>
      </c>
      <c r="B569" s="77"/>
      <c r="C569" s="133"/>
      <c r="D569" s="50"/>
      <c r="E569" s="141"/>
      <c r="F569" s="133"/>
      <c r="G569" s="133"/>
      <c r="H569" s="50"/>
      <c r="I569" s="51" t="str">
        <f t="shared" si="25"/>
        <v/>
      </c>
      <c r="J569" s="52" t="str">
        <f t="shared" si="26"/>
        <v/>
      </c>
      <c r="K569" s="142" t="str">
        <f>IF(OR($I569="",$I569="?",$D569&lt;&gt;"Advance",$B569=""),"",$I569&amp;"|"&amp;$J569&amp;"|"&amp;COUNTIFS($I$7:$I569,$I569,$J$7:$J569,$J569,$D$7:$D569,"Advance"))</f>
        <v/>
      </c>
      <c r="L569" s="143" t="str">
        <f>IF(OR($I569="",$I569="?",$B569=""),"",SUMPRODUCT((Weeks!$A$7:$A$59&lt;=$J569)*(Weeks!$X$5:$AI$5=$I569)*Weeks!$X$7:$AI$59)-SUMIFS($E$7:$E$1006,$I$7:$I$1006,$I569,$B$7:$B$1006,"&lt;="&amp;$B569))</f>
        <v/>
      </c>
      <c r="M569" s="132" t="str">
        <f>IF($B569&amp;$C569&amp;$D569&amp;$E569="","",IF($B569="","missing date",IF($C569="","missing worker",IF($I569="?","unknown worker - was the name changed on Workers?",IF($D569="","missing type",IF(N($E569)=0,"missing amount",IF(AND($E569&lt;0,$D569&lt;&gt;"Correction"),"negative amount - use a Correction to undo",IF(OR($B569&lt;Weeks!$A$7,$B569&gt;Weeks!$B$59),"date outside this workbook's year",IF(AND($D569="Advance",N($L569)&lt;0),"Warning: more than earned so far - worker now owes "&amp;TEXT(ROUND(-$L569,0),"#,##0"),"")))))))))</f>
        <v/>
      </c>
      <c r="N569" s="125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  <c r="AE569" s="126"/>
      <c r="AF569" s="126"/>
      <c r="AG569" s="126"/>
      <c r="AH569" s="126"/>
      <c r="AI569" s="126"/>
      <c r="AJ569" s="126"/>
      <c r="AK569" s="126"/>
      <c r="AL569" s="126"/>
      <c r="AM569" s="126"/>
      <c r="AN569" s="126"/>
    </row>
    <row r="570" spans="1:40" s="127" customFormat="1" ht="21" customHeight="1" x14ac:dyDescent="0.25">
      <c r="A570" s="51" t="str">
        <f t="shared" si="24"/>
        <v/>
      </c>
      <c r="B570" s="77"/>
      <c r="C570" s="133"/>
      <c r="D570" s="50"/>
      <c r="E570" s="141"/>
      <c r="F570" s="133"/>
      <c r="G570" s="133"/>
      <c r="H570" s="50"/>
      <c r="I570" s="51" t="str">
        <f t="shared" si="25"/>
        <v/>
      </c>
      <c r="J570" s="52" t="str">
        <f t="shared" si="26"/>
        <v/>
      </c>
      <c r="K570" s="142" t="str">
        <f>IF(OR($I570="",$I570="?",$D570&lt;&gt;"Advance",$B570=""),"",$I570&amp;"|"&amp;$J570&amp;"|"&amp;COUNTIFS($I$7:$I570,$I570,$J$7:$J570,$J570,$D$7:$D570,"Advance"))</f>
        <v/>
      </c>
      <c r="L570" s="143" t="str">
        <f>IF(OR($I570="",$I570="?",$B570=""),"",SUMPRODUCT((Weeks!$A$7:$A$59&lt;=$J570)*(Weeks!$X$5:$AI$5=$I570)*Weeks!$X$7:$AI$59)-SUMIFS($E$7:$E$1006,$I$7:$I$1006,$I570,$B$7:$B$1006,"&lt;="&amp;$B570))</f>
        <v/>
      </c>
      <c r="M570" s="132" t="str">
        <f>IF($B570&amp;$C570&amp;$D570&amp;$E570="","",IF($B570="","missing date",IF($C570="","missing worker",IF($I570="?","unknown worker - was the name changed on Workers?",IF($D570="","missing type",IF(N($E570)=0,"missing amount",IF(AND($E570&lt;0,$D570&lt;&gt;"Correction"),"negative amount - use a Correction to undo",IF(OR($B570&lt;Weeks!$A$7,$B570&gt;Weeks!$B$59),"date outside this workbook's year",IF(AND($D570="Advance",N($L570)&lt;0),"Warning: more than earned so far - worker now owes "&amp;TEXT(ROUND(-$L570,0),"#,##0"),"")))))))))</f>
        <v/>
      </c>
      <c r="N570" s="125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  <c r="AE570" s="126"/>
      <c r="AF570" s="126"/>
      <c r="AG570" s="126"/>
      <c r="AH570" s="126"/>
      <c r="AI570" s="126"/>
      <c r="AJ570" s="126"/>
      <c r="AK570" s="126"/>
      <c r="AL570" s="126"/>
      <c r="AM570" s="126"/>
      <c r="AN570" s="126"/>
    </row>
    <row r="571" spans="1:40" s="127" customFormat="1" ht="21" customHeight="1" x14ac:dyDescent="0.25">
      <c r="A571" s="51" t="str">
        <f t="shared" si="24"/>
        <v/>
      </c>
      <c r="B571" s="77"/>
      <c r="C571" s="133"/>
      <c r="D571" s="50"/>
      <c r="E571" s="141"/>
      <c r="F571" s="133"/>
      <c r="G571" s="133"/>
      <c r="H571" s="50"/>
      <c r="I571" s="51" t="str">
        <f t="shared" si="25"/>
        <v/>
      </c>
      <c r="J571" s="52" t="str">
        <f t="shared" si="26"/>
        <v/>
      </c>
      <c r="K571" s="142" t="str">
        <f>IF(OR($I571="",$I571="?",$D571&lt;&gt;"Advance",$B571=""),"",$I571&amp;"|"&amp;$J571&amp;"|"&amp;COUNTIFS($I$7:$I571,$I571,$J$7:$J571,$J571,$D$7:$D571,"Advance"))</f>
        <v/>
      </c>
      <c r="L571" s="143" t="str">
        <f>IF(OR($I571="",$I571="?",$B571=""),"",SUMPRODUCT((Weeks!$A$7:$A$59&lt;=$J571)*(Weeks!$X$5:$AI$5=$I571)*Weeks!$X$7:$AI$59)-SUMIFS($E$7:$E$1006,$I$7:$I$1006,$I571,$B$7:$B$1006,"&lt;="&amp;$B571))</f>
        <v/>
      </c>
      <c r="M571" s="132" t="str">
        <f>IF($B571&amp;$C571&amp;$D571&amp;$E571="","",IF($B571="","missing date",IF($C571="","missing worker",IF($I571="?","unknown worker - was the name changed on Workers?",IF($D571="","missing type",IF(N($E571)=0,"missing amount",IF(AND($E571&lt;0,$D571&lt;&gt;"Correction"),"negative amount - use a Correction to undo",IF(OR($B571&lt;Weeks!$A$7,$B571&gt;Weeks!$B$59),"date outside this workbook's year",IF(AND($D571="Advance",N($L571)&lt;0),"Warning: more than earned so far - worker now owes "&amp;TEXT(ROUND(-$L571,0),"#,##0"),"")))))))))</f>
        <v/>
      </c>
      <c r="N571" s="125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  <c r="AE571" s="126"/>
      <c r="AF571" s="126"/>
      <c r="AG571" s="126"/>
      <c r="AH571" s="126"/>
      <c r="AI571" s="126"/>
      <c r="AJ571" s="126"/>
      <c r="AK571" s="126"/>
      <c r="AL571" s="126"/>
      <c r="AM571" s="126"/>
      <c r="AN571" s="126"/>
    </row>
    <row r="572" spans="1:40" s="127" customFormat="1" ht="21" customHeight="1" x14ac:dyDescent="0.25">
      <c r="A572" s="51" t="str">
        <f t="shared" si="24"/>
        <v/>
      </c>
      <c r="B572" s="77"/>
      <c r="C572" s="133"/>
      <c r="D572" s="50"/>
      <c r="E572" s="141"/>
      <c r="F572" s="133"/>
      <c r="G572" s="133"/>
      <c r="H572" s="50"/>
      <c r="I572" s="51" t="str">
        <f t="shared" si="25"/>
        <v/>
      </c>
      <c r="J572" s="52" t="str">
        <f t="shared" si="26"/>
        <v/>
      </c>
      <c r="K572" s="142" t="str">
        <f>IF(OR($I572="",$I572="?",$D572&lt;&gt;"Advance",$B572=""),"",$I572&amp;"|"&amp;$J572&amp;"|"&amp;COUNTIFS($I$7:$I572,$I572,$J$7:$J572,$J572,$D$7:$D572,"Advance"))</f>
        <v/>
      </c>
      <c r="L572" s="143" t="str">
        <f>IF(OR($I572="",$I572="?",$B572=""),"",SUMPRODUCT((Weeks!$A$7:$A$59&lt;=$J572)*(Weeks!$X$5:$AI$5=$I572)*Weeks!$X$7:$AI$59)-SUMIFS($E$7:$E$1006,$I$7:$I$1006,$I572,$B$7:$B$1006,"&lt;="&amp;$B572))</f>
        <v/>
      </c>
      <c r="M572" s="132" t="str">
        <f>IF($B572&amp;$C572&amp;$D572&amp;$E572="","",IF($B572="","missing date",IF($C572="","missing worker",IF($I572="?","unknown worker - was the name changed on Workers?",IF($D572="","missing type",IF(N($E572)=0,"missing amount",IF(AND($E572&lt;0,$D572&lt;&gt;"Correction"),"negative amount - use a Correction to undo",IF(OR($B572&lt;Weeks!$A$7,$B572&gt;Weeks!$B$59),"date outside this workbook's year",IF(AND($D572="Advance",N($L572)&lt;0),"Warning: more than earned so far - worker now owes "&amp;TEXT(ROUND(-$L572,0),"#,##0"),"")))))))))</f>
        <v/>
      </c>
      <c r="N572" s="125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  <c r="AE572" s="126"/>
      <c r="AF572" s="126"/>
      <c r="AG572" s="126"/>
      <c r="AH572" s="126"/>
      <c r="AI572" s="126"/>
      <c r="AJ572" s="126"/>
      <c r="AK572" s="126"/>
      <c r="AL572" s="126"/>
      <c r="AM572" s="126"/>
      <c r="AN572" s="126"/>
    </row>
    <row r="573" spans="1:40" s="127" customFormat="1" ht="21" customHeight="1" x14ac:dyDescent="0.25">
      <c r="A573" s="51" t="str">
        <f t="shared" si="24"/>
        <v/>
      </c>
      <c r="B573" s="77"/>
      <c r="C573" s="133"/>
      <c r="D573" s="50"/>
      <c r="E573" s="141"/>
      <c r="F573" s="133"/>
      <c r="G573" s="133"/>
      <c r="H573" s="50"/>
      <c r="I573" s="51" t="str">
        <f t="shared" si="25"/>
        <v/>
      </c>
      <c r="J573" s="52" t="str">
        <f t="shared" si="26"/>
        <v/>
      </c>
      <c r="K573" s="142" t="str">
        <f>IF(OR($I573="",$I573="?",$D573&lt;&gt;"Advance",$B573=""),"",$I573&amp;"|"&amp;$J573&amp;"|"&amp;COUNTIFS($I$7:$I573,$I573,$J$7:$J573,$J573,$D$7:$D573,"Advance"))</f>
        <v/>
      </c>
      <c r="L573" s="143" t="str">
        <f>IF(OR($I573="",$I573="?",$B573=""),"",SUMPRODUCT((Weeks!$A$7:$A$59&lt;=$J573)*(Weeks!$X$5:$AI$5=$I573)*Weeks!$X$7:$AI$59)-SUMIFS($E$7:$E$1006,$I$7:$I$1006,$I573,$B$7:$B$1006,"&lt;="&amp;$B573))</f>
        <v/>
      </c>
      <c r="M573" s="132" t="str">
        <f>IF($B573&amp;$C573&amp;$D573&amp;$E573="","",IF($B573="","missing date",IF($C573="","missing worker",IF($I573="?","unknown worker - was the name changed on Workers?",IF($D573="","missing type",IF(N($E573)=0,"missing amount",IF(AND($E573&lt;0,$D573&lt;&gt;"Correction"),"negative amount - use a Correction to undo",IF(OR($B573&lt;Weeks!$A$7,$B573&gt;Weeks!$B$59),"date outside this workbook's year",IF(AND($D573="Advance",N($L573)&lt;0),"Warning: more than earned so far - worker now owes "&amp;TEXT(ROUND(-$L573,0),"#,##0"),"")))))))))</f>
        <v/>
      </c>
      <c r="N573" s="125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  <c r="AE573" s="126"/>
      <c r="AF573" s="126"/>
      <c r="AG573" s="126"/>
      <c r="AH573" s="126"/>
      <c r="AI573" s="126"/>
      <c r="AJ573" s="126"/>
      <c r="AK573" s="126"/>
      <c r="AL573" s="126"/>
      <c r="AM573" s="126"/>
      <c r="AN573" s="126"/>
    </row>
    <row r="574" spans="1:40" s="127" customFormat="1" ht="21" customHeight="1" x14ac:dyDescent="0.25">
      <c r="A574" s="51" t="str">
        <f t="shared" si="24"/>
        <v/>
      </c>
      <c r="B574" s="77"/>
      <c r="C574" s="133"/>
      <c r="D574" s="50"/>
      <c r="E574" s="141"/>
      <c r="F574" s="133"/>
      <c r="G574" s="133"/>
      <c r="H574" s="50"/>
      <c r="I574" s="51" t="str">
        <f t="shared" si="25"/>
        <v/>
      </c>
      <c r="J574" s="52" t="str">
        <f t="shared" si="26"/>
        <v/>
      </c>
      <c r="K574" s="142" t="str">
        <f>IF(OR($I574="",$I574="?",$D574&lt;&gt;"Advance",$B574=""),"",$I574&amp;"|"&amp;$J574&amp;"|"&amp;COUNTIFS($I$7:$I574,$I574,$J$7:$J574,$J574,$D$7:$D574,"Advance"))</f>
        <v/>
      </c>
      <c r="L574" s="143" t="str">
        <f>IF(OR($I574="",$I574="?",$B574=""),"",SUMPRODUCT((Weeks!$A$7:$A$59&lt;=$J574)*(Weeks!$X$5:$AI$5=$I574)*Weeks!$X$7:$AI$59)-SUMIFS($E$7:$E$1006,$I$7:$I$1006,$I574,$B$7:$B$1006,"&lt;="&amp;$B574))</f>
        <v/>
      </c>
      <c r="M574" s="132" t="str">
        <f>IF($B574&amp;$C574&amp;$D574&amp;$E574="","",IF($B574="","missing date",IF($C574="","missing worker",IF($I574="?","unknown worker - was the name changed on Workers?",IF($D574="","missing type",IF(N($E574)=0,"missing amount",IF(AND($E574&lt;0,$D574&lt;&gt;"Correction"),"negative amount - use a Correction to undo",IF(OR($B574&lt;Weeks!$A$7,$B574&gt;Weeks!$B$59),"date outside this workbook's year",IF(AND($D574="Advance",N($L574)&lt;0),"Warning: more than earned so far - worker now owes "&amp;TEXT(ROUND(-$L574,0),"#,##0"),"")))))))))</f>
        <v/>
      </c>
      <c r="N574" s="125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  <c r="AE574" s="126"/>
      <c r="AF574" s="126"/>
      <c r="AG574" s="126"/>
      <c r="AH574" s="126"/>
      <c r="AI574" s="126"/>
      <c r="AJ574" s="126"/>
      <c r="AK574" s="126"/>
      <c r="AL574" s="126"/>
      <c r="AM574" s="126"/>
      <c r="AN574" s="126"/>
    </row>
    <row r="575" spans="1:40" s="127" customFormat="1" ht="21" customHeight="1" x14ac:dyDescent="0.25">
      <c r="A575" s="51" t="str">
        <f t="shared" si="24"/>
        <v/>
      </c>
      <c r="B575" s="77"/>
      <c r="C575" s="133"/>
      <c r="D575" s="50"/>
      <c r="E575" s="141"/>
      <c r="F575" s="133"/>
      <c r="G575" s="133"/>
      <c r="H575" s="50"/>
      <c r="I575" s="51" t="str">
        <f t="shared" si="25"/>
        <v/>
      </c>
      <c r="J575" s="52" t="str">
        <f t="shared" si="26"/>
        <v/>
      </c>
      <c r="K575" s="142" t="str">
        <f>IF(OR($I575="",$I575="?",$D575&lt;&gt;"Advance",$B575=""),"",$I575&amp;"|"&amp;$J575&amp;"|"&amp;COUNTIFS($I$7:$I575,$I575,$J$7:$J575,$J575,$D$7:$D575,"Advance"))</f>
        <v/>
      </c>
      <c r="L575" s="143" t="str">
        <f>IF(OR($I575="",$I575="?",$B575=""),"",SUMPRODUCT((Weeks!$A$7:$A$59&lt;=$J575)*(Weeks!$X$5:$AI$5=$I575)*Weeks!$X$7:$AI$59)-SUMIFS($E$7:$E$1006,$I$7:$I$1006,$I575,$B$7:$B$1006,"&lt;="&amp;$B575))</f>
        <v/>
      </c>
      <c r="M575" s="132" t="str">
        <f>IF($B575&amp;$C575&amp;$D575&amp;$E575="","",IF($B575="","missing date",IF($C575="","missing worker",IF($I575="?","unknown worker - was the name changed on Workers?",IF($D575="","missing type",IF(N($E575)=0,"missing amount",IF(AND($E575&lt;0,$D575&lt;&gt;"Correction"),"negative amount - use a Correction to undo",IF(OR($B575&lt;Weeks!$A$7,$B575&gt;Weeks!$B$59),"date outside this workbook's year",IF(AND($D575="Advance",N($L575)&lt;0),"Warning: more than earned so far - worker now owes "&amp;TEXT(ROUND(-$L575,0),"#,##0"),"")))))))))</f>
        <v/>
      </c>
      <c r="N575" s="125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  <c r="AE575" s="126"/>
      <c r="AF575" s="126"/>
      <c r="AG575" s="126"/>
      <c r="AH575" s="126"/>
      <c r="AI575" s="126"/>
      <c r="AJ575" s="126"/>
      <c r="AK575" s="126"/>
      <c r="AL575" s="126"/>
      <c r="AM575" s="126"/>
      <c r="AN575" s="126"/>
    </row>
    <row r="576" spans="1:40" s="127" customFormat="1" ht="21" customHeight="1" x14ac:dyDescent="0.25">
      <c r="A576" s="51" t="str">
        <f t="shared" si="24"/>
        <v/>
      </c>
      <c r="B576" s="77"/>
      <c r="C576" s="133"/>
      <c r="D576" s="50"/>
      <c r="E576" s="141"/>
      <c r="F576" s="133"/>
      <c r="G576" s="133"/>
      <c r="H576" s="50"/>
      <c r="I576" s="51" t="str">
        <f t="shared" si="25"/>
        <v/>
      </c>
      <c r="J576" s="52" t="str">
        <f t="shared" si="26"/>
        <v/>
      </c>
      <c r="K576" s="142" t="str">
        <f>IF(OR($I576="",$I576="?",$D576&lt;&gt;"Advance",$B576=""),"",$I576&amp;"|"&amp;$J576&amp;"|"&amp;COUNTIFS($I$7:$I576,$I576,$J$7:$J576,$J576,$D$7:$D576,"Advance"))</f>
        <v/>
      </c>
      <c r="L576" s="143" t="str">
        <f>IF(OR($I576="",$I576="?",$B576=""),"",SUMPRODUCT((Weeks!$A$7:$A$59&lt;=$J576)*(Weeks!$X$5:$AI$5=$I576)*Weeks!$X$7:$AI$59)-SUMIFS($E$7:$E$1006,$I$7:$I$1006,$I576,$B$7:$B$1006,"&lt;="&amp;$B576))</f>
        <v/>
      </c>
      <c r="M576" s="132" t="str">
        <f>IF($B576&amp;$C576&amp;$D576&amp;$E576="","",IF($B576="","missing date",IF($C576="","missing worker",IF($I576="?","unknown worker - was the name changed on Workers?",IF($D576="","missing type",IF(N($E576)=0,"missing amount",IF(AND($E576&lt;0,$D576&lt;&gt;"Correction"),"negative amount - use a Correction to undo",IF(OR($B576&lt;Weeks!$A$7,$B576&gt;Weeks!$B$59),"date outside this workbook's year",IF(AND($D576="Advance",N($L576)&lt;0),"Warning: more than earned so far - worker now owes "&amp;TEXT(ROUND(-$L576,0),"#,##0"),"")))))))))</f>
        <v/>
      </c>
      <c r="N576" s="125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  <c r="AE576" s="126"/>
      <c r="AF576" s="126"/>
      <c r="AG576" s="126"/>
      <c r="AH576" s="126"/>
      <c r="AI576" s="126"/>
      <c r="AJ576" s="126"/>
      <c r="AK576" s="126"/>
      <c r="AL576" s="126"/>
      <c r="AM576" s="126"/>
      <c r="AN576" s="126"/>
    </row>
    <row r="577" spans="1:40" s="127" customFormat="1" ht="21" customHeight="1" x14ac:dyDescent="0.25">
      <c r="A577" s="51" t="str">
        <f t="shared" si="24"/>
        <v/>
      </c>
      <c r="B577" s="77"/>
      <c r="C577" s="133"/>
      <c r="D577" s="50"/>
      <c r="E577" s="141"/>
      <c r="F577" s="133"/>
      <c r="G577" s="133"/>
      <c r="H577" s="50"/>
      <c r="I577" s="51" t="str">
        <f t="shared" si="25"/>
        <v/>
      </c>
      <c r="J577" s="52" t="str">
        <f t="shared" si="26"/>
        <v/>
      </c>
      <c r="K577" s="142" t="str">
        <f>IF(OR($I577="",$I577="?",$D577&lt;&gt;"Advance",$B577=""),"",$I577&amp;"|"&amp;$J577&amp;"|"&amp;COUNTIFS($I$7:$I577,$I577,$J$7:$J577,$J577,$D$7:$D577,"Advance"))</f>
        <v/>
      </c>
      <c r="L577" s="143" t="str">
        <f>IF(OR($I577="",$I577="?",$B577=""),"",SUMPRODUCT((Weeks!$A$7:$A$59&lt;=$J577)*(Weeks!$X$5:$AI$5=$I577)*Weeks!$X$7:$AI$59)-SUMIFS($E$7:$E$1006,$I$7:$I$1006,$I577,$B$7:$B$1006,"&lt;="&amp;$B577))</f>
        <v/>
      </c>
      <c r="M577" s="132" t="str">
        <f>IF($B577&amp;$C577&amp;$D577&amp;$E577="","",IF($B577="","missing date",IF($C577="","missing worker",IF($I577="?","unknown worker - was the name changed on Workers?",IF($D577="","missing type",IF(N($E577)=0,"missing amount",IF(AND($E577&lt;0,$D577&lt;&gt;"Correction"),"negative amount - use a Correction to undo",IF(OR($B577&lt;Weeks!$A$7,$B577&gt;Weeks!$B$59),"date outside this workbook's year",IF(AND($D577="Advance",N($L577)&lt;0),"Warning: more than earned so far - worker now owes "&amp;TEXT(ROUND(-$L577,0),"#,##0"),"")))))))))</f>
        <v/>
      </c>
      <c r="N577" s="125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  <c r="AE577" s="126"/>
      <c r="AF577" s="126"/>
      <c r="AG577" s="126"/>
      <c r="AH577" s="126"/>
      <c r="AI577" s="126"/>
      <c r="AJ577" s="126"/>
      <c r="AK577" s="126"/>
      <c r="AL577" s="126"/>
      <c r="AM577" s="126"/>
      <c r="AN577" s="126"/>
    </row>
    <row r="578" spans="1:40" s="127" customFormat="1" ht="21" customHeight="1" x14ac:dyDescent="0.25">
      <c r="A578" s="51" t="str">
        <f t="shared" si="24"/>
        <v/>
      </c>
      <c r="B578" s="77"/>
      <c r="C578" s="133"/>
      <c r="D578" s="50"/>
      <c r="E578" s="141"/>
      <c r="F578" s="133"/>
      <c r="G578" s="133"/>
      <c r="H578" s="50"/>
      <c r="I578" s="51" t="str">
        <f t="shared" si="25"/>
        <v/>
      </c>
      <c r="J578" s="52" t="str">
        <f t="shared" si="26"/>
        <v/>
      </c>
      <c r="K578" s="142" t="str">
        <f>IF(OR($I578="",$I578="?",$D578&lt;&gt;"Advance",$B578=""),"",$I578&amp;"|"&amp;$J578&amp;"|"&amp;COUNTIFS($I$7:$I578,$I578,$J$7:$J578,$J578,$D$7:$D578,"Advance"))</f>
        <v/>
      </c>
      <c r="L578" s="143" t="str">
        <f>IF(OR($I578="",$I578="?",$B578=""),"",SUMPRODUCT((Weeks!$A$7:$A$59&lt;=$J578)*(Weeks!$X$5:$AI$5=$I578)*Weeks!$X$7:$AI$59)-SUMIFS($E$7:$E$1006,$I$7:$I$1006,$I578,$B$7:$B$1006,"&lt;="&amp;$B578))</f>
        <v/>
      </c>
      <c r="M578" s="132" t="str">
        <f>IF($B578&amp;$C578&amp;$D578&amp;$E578="","",IF($B578="","missing date",IF($C578="","missing worker",IF($I578="?","unknown worker - was the name changed on Workers?",IF($D578="","missing type",IF(N($E578)=0,"missing amount",IF(AND($E578&lt;0,$D578&lt;&gt;"Correction"),"negative amount - use a Correction to undo",IF(OR($B578&lt;Weeks!$A$7,$B578&gt;Weeks!$B$59),"date outside this workbook's year",IF(AND($D578="Advance",N($L578)&lt;0),"Warning: more than earned so far - worker now owes "&amp;TEXT(ROUND(-$L578,0),"#,##0"),"")))))))))</f>
        <v/>
      </c>
      <c r="N578" s="125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  <c r="AE578" s="126"/>
      <c r="AF578" s="126"/>
      <c r="AG578" s="126"/>
      <c r="AH578" s="126"/>
      <c r="AI578" s="126"/>
      <c r="AJ578" s="126"/>
      <c r="AK578" s="126"/>
      <c r="AL578" s="126"/>
      <c r="AM578" s="126"/>
      <c r="AN578" s="126"/>
    </row>
    <row r="579" spans="1:40" s="127" customFormat="1" ht="21" customHeight="1" x14ac:dyDescent="0.25">
      <c r="A579" s="51" t="str">
        <f t="shared" si="24"/>
        <v/>
      </c>
      <c r="B579" s="77"/>
      <c r="C579" s="133"/>
      <c r="D579" s="50"/>
      <c r="E579" s="141"/>
      <c r="F579" s="133"/>
      <c r="G579" s="133"/>
      <c r="H579" s="50"/>
      <c r="I579" s="51" t="str">
        <f t="shared" si="25"/>
        <v/>
      </c>
      <c r="J579" s="52" t="str">
        <f t="shared" si="26"/>
        <v/>
      </c>
      <c r="K579" s="142" t="str">
        <f>IF(OR($I579="",$I579="?",$D579&lt;&gt;"Advance",$B579=""),"",$I579&amp;"|"&amp;$J579&amp;"|"&amp;COUNTIFS($I$7:$I579,$I579,$J$7:$J579,$J579,$D$7:$D579,"Advance"))</f>
        <v/>
      </c>
      <c r="L579" s="143" t="str">
        <f>IF(OR($I579="",$I579="?",$B579=""),"",SUMPRODUCT((Weeks!$A$7:$A$59&lt;=$J579)*(Weeks!$X$5:$AI$5=$I579)*Weeks!$X$7:$AI$59)-SUMIFS($E$7:$E$1006,$I$7:$I$1006,$I579,$B$7:$B$1006,"&lt;="&amp;$B579))</f>
        <v/>
      </c>
      <c r="M579" s="132" t="str">
        <f>IF($B579&amp;$C579&amp;$D579&amp;$E579="","",IF($B579="","missing date",IF($C579="","missing worker",IF($I579="?","unknown worker - was the name changed on Workers?",IF($D579="","missing type",IF(N($E579)=0,"missing amount",IF(AND($E579&lt;0,$D579&lt;&gt;"Correction"),"negative amount - use a Correction to undo",IF(OR($B579&lt;Weeks!$A$7,$B579&gt;Weeks!$B$59),"date outside this workbook's year",IF(AND($D579="Advance",N($L579)&lt;0),"Warning: more than earned so far - worker now owes "&amp;TEXT(ROUND(-$L579,0),"#,##0"),"")))))))))</f>
        <v/>
      </c>
      <c r="N579" s="125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  <c r="AE579" s="126"/>
      <c r="AF579" s="126"/>
      <c r="AG579" s="126"/>
      <c r="AH579" s="126"/>
      <c r="AI579" s="126"/>
      <c r="AJ579" s="126"/>
      <c r="AK579" s="126"/>
      <c r="AL579" s="126"/>
      <c r="AM579" s="126"/>
      <c r="AN579" s="126"/>
    </row>
    <row r="580" spans="1:40" s="127" customFormat="1" ht="21" customHeight="1" x14ac:dyDescent="0.25">
      <c r="A580" s="51" t="str">
        <f t="shared" si="24"/>
        <v/>
      </c>
      <c r="B580" s="77"/>
      <c r="C580" s="133"/>
      <c r="D580" s="50"/>
      <c r="E580" s="141"/>
      <c r="F580" s="133"/>
      <c r="G580" s="133"/>
      <c r="H580" s="50"/>
      <c r="I580" s="51" t="str">
        <f t="shared" si="25"/>
        <v/>
      </c>
      <c r="J580" s="52" t="str">
        <f t="shared" si="26"/>
        <v/>
      </c>
      <c r="K580" s="142" t="str">
        <f>IF(OR($I580="",$I580="?",$D580&lt;&gt;"Advance",$B580=""),"",$I580&amp;"|"&amp;$J580&amp;"|"&amp;COUNTIFS($I$7:$I580,$I580,$J$7:$J580,$J580,$D$7:$D580,"Advance"))</f>
        <v/>
      </c>
      <c r="L580" s="143" t="str">
        <f>IF(OR($I580="",$I580="?",$B580=""),"",SUMPRODUCT((Weeks!$A$7:$A$59&lt;=$J580)*(Weeks!$X$5:$AI$5=$I580)*Weeks!$X$7:$AI$59)-SUMIFS($E$7:$E$1006,$I$7:$I$1006,$I580,$B$7:$B$1006,"&lt;="&amp;$B580))</f>
        <v/>
      </c>
      <c r="M580" s="132" t="str">
        <f>IF($B580&amp;$C580&amp;$D580&amp;$E580="","",IF($B580="","missing date",IF($C580="","missing worker",IF($I580="?","unknown worker - was the name changed on Workers?",IF($D580="","missing type",IF(N($E580)=0,"missing amount",IF(AND($E580&lt;0,$D580&lt;&gt;"Correction"),"negative amount - use a Correction to undo",IF(OR($B580&lt;Weeks!$A$7,$B580&gt;Weeks!$B$59),"date outside this workbook's year",IF(AND($D580="Advance",N($L580)&lt;0),"Warning: more than earned so far - worker now owes "&amp;TEXT(ROUND(-$L580,0),"#,##0"),"")))))))))</f>
        <v/>
      </c>
      <c r="N580" s="125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  <c r="AE580" s="126"/>
      <c r="AF580" s="126"/>
      <c r="AG580" s="126"/>
      <c r="AH580" s="126"/>
      <c r="AI580" s="126"/>
      <c r="AJ580" s="126"/>
      <c r="AK580" s="126"/>
      <c r="AL580" s="126"/>
      <c r="AM580" s="126"/>
      <c r="AN580" s="126"/>
    </row>
    <row r="581" spans="1:40" s="127" customFormat="1" ht="21" customHeight="1" x14ac:dyDescent="0.25">
      <c r="A581" s="51" t="str">
        <f t="shared" si="24"/>
        <v/>
      </c>
      <c r="B581" s="77"/>
      <c r="C581" s="133"/>
      <c r="D581" s="50"/>
      <c r="E581" s="141"/>
      <c r="F581" s="133"/>
      <c r="G581" s="133"/>
      <c r="H581" s="50"/>
      <c r="I581" s="51" t="str">
        <f t="shared" si="25"/>
        <v/>
      </c>
      <c r="J581" s="52" t="str">
        <f t="shared" si="26"/>
        <v/>
      </c>
      <c r="K581" s="142" t="str">
        <f>IF(OR($I581="",$I581="?",$D581&lt;&gt;"Advance",$B581=""),"",$I581&amp;"|"&amp;$J581&amp;"|"&amp;COUNTIFS($I$7:$I581,$I581,$J$7:$J581,$J581,$D$7:$D581,"Advance"))</f>
        <v/>
      </c>
      <c r="L581" s="143" t="str">
        <f>IF(OR($I581="",$I581="?",$B581=""),"",SUMPRODUCT((Weeks!$A$7:$A$59&lt;=$J581)*(Weeks!$X$5:$AI$5=$I581)*Weeks!$X$7:$AI$59)-SUMIFS($E$7:$E$1006,$I$7:$I$1006,$I581,$B$7:$B$1006,"&lt;="&amp;$B581))</f>
        <v/>
      </c>
      <c r="M581" s="132" t="str">
        <f>IF($B581&amp;$C581&amp;$D581&amp;$E581="","",IF($B581="","missing date",IF($C581="","missing worker",IF($I581="?","unknown worker - was the name changed on Workers?",IF($D581="","missing type",IF(N($E581)=0,"missing amount",IF(AND($E581&lt;0,$D581&lt;&gt;"Correction"),"negative amount - use a Correction to undo",IF(OR($B581&lt;Weeks!$A$7,$B581&gt;Weeks!$B$59),"date outside this workbook's year",IF(AND($D581="Advance",N($L581)&lt;0),"Warning: more than earned so far - worker now owes "&amp;TEXT(ROUND(-$L581,0),"#,##0"),"")))))))))</f>
        <v/>
      </c>
      <c r="N581" s="125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  <c r="AE581" s="126"/>
      <c r="AF581" s="126"/>
      <c r="AG581" s="126"/>
      <c r="AH581" s="126"/>
      <c r="AI581" s="126"/>
      <c r="AJ581" s="126"/>
      <c r="AK581" s="126"/>
      <c r="AL581" s="126"/>
      <c r="AM581" s="126"/>
      <c r="AN581" s="126"/>
    </row>
    <row r="582" spans="1:40" s="127" customFormat="1" ht="21" customHeight="1" x14ac:dyDescent="0.25">
      <c r="A582" s="51" t="str">
        <f t="shared" si="24"/>
        <v/>
      </c>
      <c r="B582" s="77"/>
      <c r="C582" s="133"/>
      <c r="D582" s="50"/>
      <c r="E582" s="141"/>
      <c r="F582" s="133"/>
      <c r="G582" s="133"/>
      <c r="H582" s="50"/>
      <c r="I582" s="51" t="str">
        <f t="shared" si="25"/>
        <v/>
      </c>
      <c r="J582" s="52" t="str">
        <f t="shared" si="26"/>
        <v/>
      </c>
      <c r="K582" s="142" t="str">
        <f>IF(OR($I582="",$I582="?",$D582&lt;&gt;"Advance",$B582=""),"",$I582&amp;"|"&amp;$J582&amp;"|"&amp;COUNTIFS($I$7:$I582,$I582,$J$7:$J582,$J582,$D$7:$D582,"Advance"))</f>
        <v/>
      </c>
      <c r="L582" s="143" t="str">
        <f>IF(OR($I582="",$I582="?",$B582=""),"",SUMPRODUCT((Weeks!$A$7:$A$59&lt;=$J582)*(Weeks!$X$5:$AI$5=$I582)*Weeks!$X$7:$AI$59)-SUMIFS($E$7:$E$1006,$I$7:$I$1006,$I582,$B$7:$B$1006,"&lt;="&amp;$B582))</f>
        <v/>
      </c>
      <c r="M582" s="132" t="str">
        <f>IF($B582&amp;$C582&amp;$D582&amp;$E582="","",IF($B582="","missing date",IF($C582="","missing worker",IF($I582="?","unknown worker - was the name changed on Workers?",IF($D582="","missing type",IF(N($E582)=0,"missing amount",IF(AND($E582&lt;0,$D582&lt;&gt;"Correction"),"negative amount - use a Correction to undo",IF(OR($B582&lt;Weeks!$A$7,$B582&gt;Weeks!$B$59),"date outside this workbook's year",IF(AND($D582="Advance",N($L582)&lt;0),"Warning: more than earned so far - worker now owes "&amp;TEXT(ROUND(-$L582,0),"#,##0"),"")))))))))</f>
        <v/>
      </c>
      <c r="N582" s="125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  <c r="AE582" s="126"/>
      <c r="AF582" s="126"/>
      <c r="AG582" s="126"/>
      <c r="AH582" s="126"/>
      <c r="AI582" s="126"/>
      <c r="AJ582" s="126"/>
      <c r="AK582" s="126"/>
      <c r="AL582" s="126"/>
      <c r="AM582" s="126"/>
      <c r="AN582" s="126"/>
    </row>
    <row r="583" spans="1:40" s="127" customFormat="1" ht="21" customHeight="1" x14ac:dyDescent="0.25">
      <c r="A583" s="51" t="str">
        <f t="shared" ref="A583:A646" si="27">IF($B583="","",ROW()-6)</f>
        <v/>
      </c>
      <c r="B583" s="77"/>
      <c r="C583" s="133"/>
      <c r="D583" s="50"/>
      <c r="E583" s="141"/>
      <c r="F583" s="133"/>
      <c r="G583" s="133"/>
      <c r="H583" s="50"/>
      <c r="I583" s="51" t="str">
        <f t="shared" ref="I583:I646" si="28">IF($C583="","",IFERROR(INDEX(WorkerIDs,MATCH($C583,WorkerNames,0)),"?"))</f>
        <v/>
      </c>
      <c r="J583" s="52" t="str">
        <f t="shared" ref="J583:J646" si="29">IF($B583="","",$B583-WEEKDAY($B583,2)+1)</f>
        <v/>
      </c>
      <c r="K583" s="142" t="str">
        <f>IF(OR($I583="",$I583="?",$D583&lt;&gt;"Advance",$B583=""),"",$I583&amp;"|"&amp;$J583&amp;"|"&amp;COUNTIFS($I$7:$I583,$I583,$J$7:$J583,$J583,$D$7:$D583,"Advance"))</f>
        <v/>
      </c>
      <c r="L583" s="143" t="str">
        <f>IF(OR($I583="",$I583="?",$B583=""),"",SUMPRODUCT((Weeks!$A$7:$A$59&lt;=$J583)*(Weeks!$X$5:$AI$5=$I583)*Weeks!$X$7:$AI$59)-SUMIFS($E$7:$E$1006,$I$7:$I$1006,$I583,$B$7:$B$1006,"&lt;="&amp;$B583))</f>
        <v/>
      </c>
      <c r="M583" s="132" t="str">
        <f>IF($B583&amp;$C583&amp;$D583&amp;$E583="","",IF($B583="","missing date",IF($C583="","missing worker",IF($I583="?","unknown worker - was the name changed on Workers?",IF($D583="","missing type",IF(N($E583)=0,"missing amount",IF(AND($E583&lt;0,$D583&lt;&gt;"Correction"),"negative amount - use a Correction to undo",IF(OR($B583&lt;Weeks!$A$7,$B583&gt;Weeks!$B$59),"date outside this workbook's year",IF(AND($D583="Advance",N($L583)&lt;0),"Warning: more than earned so far - worker now owes "&amp;TEXT(ROUND(-$L583,0),"#,##0"),"")))))))))</f>
        <v/>
      </c>
      <c r="N583" s="125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  <c r="AE583" s="126"/>
      <c r="AF583" s="126"/>
      <c r="AG583" s="126"/>
      <c r="AH583" s="126"/>
      <c r="AI583" s="126"/>
      <c r="AJ583" s="126"/>
      <c r="AK583" s="126"/>
      <c r="AL583" s="126"/>
      <c r="AM583" s="126"/>
      <c r="AN583" s="126"/>
    </row>
    <row r="584" spans="1:40" s="127" customFormat="1" ht="21" customHeight="1" x14ac:dyDescent="0.25">
      <c r="A584" s="51" t="str">
        <f t="shared" si="27"/>
        <v/>
      </c>
      <c r="B584" s="77"/>
      <c r="C584" s="133"/>
      <c r="D584" s="50"/>
      <c r="E584" s="141"/>
      <c r="F584" s="133"/>
      <c r="G584" s="133"/>
      <c r="H584" s="50"/>
      <c r="I584" s="51" t="str">
        <f t="shared" si="28"/>
        <v/>
      </c>
      <c r="J584" s="52" t="str">
        <f t="shared" si="29"/>
        <v/>
      </c>
      <c r="K584" s="142" t="str">
        <f>IF(OR($I584="",$I584="?",$D584&lt;&gt;"Advance",$B584=""),"",$I584&amp;"|"&amp;$J584&amp;"|"&amp;COUNTIFS($I$7:$I584,$I584,$J$7:$J584,$J584,$D$7:$D584,"Advance"))</f>
        <v/>
      </c>
      <c r="L584" s="143" t="str">
        <f>IF(OR($I584="",$I584="?",$B584=""),"",SUMPRODUCT((Weeks!$A$7:$A$59&lt;=$J584)*(Weeks!$X$5:$AI$5=$I584)*Weeks!$X$7:$AI$59)-SUMIFS($E$7:$E$1006,$I$7:$I$1006,$I584,$B$7:$B$1006,"&lt;="&amp;$B584))</f>
        <v/>
      </c>
      <c r="M584" s="132" t="str">
        <f>IF($B584&amp;$C584&amp;$D584&amp;$E584="","",IF($B584="","missing date",IF($C584="","missing worker",IF($I584="?","unknown worker - was the name changed on Workers?",IF($D584="","missing type",IF(N($E584)=0,"missing amount",IF(AND($E584&lt;0,$D584&lt;&gt;"Correction"),"negative amount - use a Correction to undo",IF(OR($B584&lt;Weeks!$A$7,$B584&gt;Weeks!$B$59),"date outside this workbook's year",IF(AND($D584="Advance",N($L584)&lt;0),"Warning: more than earned so far - worker now owes "&amp;TEXT(ROUND(-$L584,0),"#,##0"),"")))))))))</f>
        <v/>
      </c>
      <c r="N584" s="125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  <c r="AE584" s="126"/>
      <c r="AF584" s="126"/>
      <c r="AG584" s="126"/>
      <c r="AH584" s="126"/>
      <c r="AI584" s="126"/>
      <c r="AJ584" s="126"/>
      <c r="AK584" s="126"/>
      <c r="AL584" s="126"/>
      <c r="AM584" s="126"/>
      <c r="AN584" s="126"/>
    </row>
    <row r="585" spans="1:40" s="127" customFormat="1" ht="21" customHeight="1" x14ac:dyDescent="0.25">
      <c r="A585" s="51" t="str">
        <f t="shared" si="27"/>
        <v/>
      </c>
      <c r="B585" s="77"/>
      <c r="C585" s="133"/>
      <c r="D585" s="50"/>
      <c r="E585" s="141"/>
      <c r="F585" s="133"/>
      <c r="G585" s="133"/>
      <c r="H585" s="50"/>
      <c r="I585" s="51" t="str">
        <f t="shared" si="28"/>
        <v/>
      </c>
      <c r="J585" s="52" t="str">
        <f t="shared" si="29"/>
        <v/>
      </c>
      <c r="K585" s="142" t="str">
        <f>IF(OR($I585="",$I585="?",$D585&lt;&gt;"Advance",$B585=""),"",$I585&amp;"|"&amp;$J585&amp;"|"&amp;COUNTIFS($I$7:$I585,$I585,$J$7:$J585,$J585,$D$7:$D585,"Advance"))</f>
        <v/>
      </c>
      <c r="L585" s="143" t="str">
        <f>IF(OR($I585="",$I585="?",$B585=""),"",SUMPRODUCT((Weeks!$A$7:$A$59&lt;=$J585)*(Weeks!$X$5:$AI$5=$I585)*Weeks!$X$7:$AI$59)-SUMIFS($E$7:$E$1006,$I$7:$I$1006,$I585,$B$7:$B$1006,"&lt;="&amp;$B585))</f>
        <v/>
      </c>
      <c r="M585" s="132" t="str">
        <f>IF($B585&amp;$C585&amp;$D585&amp;$E585="","",IF($B585="","missing date",IF($C585="","missing worker",IF($I585="?","unknown worker - was the name changed on Workers?",IF($D585="","missing type",IF(N($E585)=0,"missing amount",IF(AND($E585&lt;0,$D585&lt;&gt;"Correction"),"negative amount - use a Correction to undo",IF(OR($B585&lt;Weeks!$A$7,$B585&gt;Weeks!$B$59),"date outside this workbook's year",IF(AND($D585="Advance",N($L585)&lt;0),"Warning: more than earned so far - worker now owes "&amp;TEXT(ROUND(-$L585,0),"#,##0"),"")))))))))</f>
        <v/>
      </c>
      <c r="N585" s="125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  <c r="AE585" s="126"/>
      <c r="AF585" s="126"/>
      <c r="AG585" s="126"/>
      <c r="AH585" s="126"/>
      <c r="AI585" s="126"/>
      <c r="AJ585" s="126"/>
      <c r="AK585" s="126"/>
      <c r="AL585" s="126"/>
      <c r="AM585" s="126"/>
      <c r="AN585" s="126"/>
    </row>
    <row r="586" spans="1:40" s="127" customFormat="1" ht="21" customHeight="1" x14ac:dyDescent="0.25">
      <c r="A586" s="51" t="str">
        <f t="shared" si="27"/>
        <v/>
      </c>
      <c r="B586" s="77"/>
      <c r="C586" s="133"/>
      <c r="D586" s="50"/>
      <c r="E586" s="141"/>
      <c r="F586" s="133"/>
      <c r="G586" s="133"/>
      <c r="H586" s="50"/>
      <c r="I586" s="51" t="str">
        <f t="shared" si="28"/>
        <v/>
      </c>
      <c r="J586" s="52" t="str">
        <f t="shared" si="29"/>
        <v/>
      </c>
      <c r="K586" s="142" t="str">
        <f>IF(OR($I586="",$I586="?",$D586&lt;&gt;"Advance",$B586=""),"",$I586&amp;"|"&amp;$J586&amp;"|"&amp;COUNTIFS($I$7:$I586,$I586,$J$7:$J586,$J586,$D$7:$D586,"Advance"))</f>
        <v/>
      </c>
      <c r="L586" s="143" t="str">
        <f>IF(OR($I586="",$I586="?",$B586=""),"",SUMPRODUCT((Weeks!$A$7:$A$59&lt;=$J586)*(Weeks!$X$5:$AI$5=$I586)*Weeks!$X$7:$AI$59)-SUMIFS($E$7:$E$1006,$I$7:$I$1006,$I586,$B$7:$B$1006,"&lt;="&amp;$B586))</f>
        <v/>
      </c>
      <c r="M586" s="132" t="str">
        <f>IF($B586&amp;$C586&amp;$D586&amp;$E586="","",IF($B586="","missing date",IF($C586="","missing worker",IF($I586="?","unknown worker - was the name changed on Workers?",IF($D586="","missing type",IF(N($E586)=0,"missing amount",IF(AND($E586&lt;0,$D586&lt;&gt;"Correction"),"negative amount - use a Correction to undo",IF(OR($B586&lt;Weeks!$A$7,$B586&gt;Weeks!$B$59),"date outside this workbook's year",IF(AND($D586="Advance",N($L586)&lt;0),"Warning: more than earned so far - worker now owes "&amp;TEXT(ROUND(-$L586,0),"#,##0"),"")))))))))</f>
        <v/>
      </c>
      <c r="N586" s="125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  <c r="AE586" s="126"/>
      <c r="AF586" s="126"/>
      <c r="AG586" s="126"/>
      <c r="AH586" s="126"/>
      <c r="AI586" s="126"/>
      <c r="AJ586" s="126"/>
      <c r="AK586" s="126"/>
      <c r="AL586" s="126"/>
      <c r="AM586" s="126"/>
      <c r="AN586" s="126"/>
    </row>
    <row r="587" spans="1:40" s="127" customFormat="1" ht="21" customHeight="1" x14ac:dyDescent="0.25">
      <c r="A587" s="51" t="str">
        <f t="shared" si="27"/>
        <v/>
      </c>
      <c r="B587" s="77"/>
      <c r="C587" s="133"/>
      <c r="D587" s="50"/>
      <c r="E587" s="141"/>
      <c r="F587" s="133"/>
      <c r="G587" s="133"/>
      <c r="H587" s="50"/>
      <c r="I587" s="51" t="str">
        <f t="shared" si="28"/>
        <v/>
      </c>
      <c r="J587" s="52" t="str">
        <f t="shared" si="29"/>
        <v/>
      </c>
      <c r="K587" s="142" t="str">
        <f>IF(OR($I587="",$I587="?",$D587&lt;&gt;"Advance",$B587=""),"",$I587&amp;"|"&amp;$J587&amp;"|"&amp;COUNTIFS($I$7:$I587,$I587,$J$7:$J587,$J587,$D$7:$D587,"Advance"))</f>
        <v/>
      </c>
      <c r="L587" s="143" t="str">
        <f>IF(OR($I587="",$I587="?",$B587=""),"",SUMPRODUCT((Weeks!$A$7:$A$59&lt;=$J587)*(Weeks!$X$5:$AI$5=$I587)*Weeks!$X$7:$AI$59)-SUMIFS($E$7:$E$1006,$I$7:$I$1006,$I587,$B$7:$B$1006,"&lt;="&amp;$B587))</f>
        <v/>
      </c>
      <c r="M587" s="132" t="str">
        <f>IF($B587&amp;$C587&amp;$D587&amp;$E587="","",IF($B587="","missing date",IF($C587="","missing worker",IF($I587="?","unknown worker - was the name changed on Workers?",IF($D587="","missing type",IF(N($E587)=0,"missing amount",IF(AND($E587&lt;0,$D587&lt;&gt;"Correction"),"negative amount - use a Correction to undo",IF(OR($B587&lt;Weeks!$A$7,$B587&gt;Weeks!$B$59),"date outside this workbook's year",IF(AND($D587="Advance",N($L587)&lt;0),"Warning: more than earned so far - worker now owes "&amp;TEXT(ROUND(-$L587,0),"#,##0"),"")))))))))</f>
        <v/>
      </c>
      <c r="N587" s="125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  <c r="AE587" s="126"/>
      <c r="AF587" s="126"/>
      <c r="AG587" s="126"/>
      <c r="AH587" s="126"/>
      <c r="AI587" s="126"/>
      <c r="AJ587" s="126"/>
      <c r="AK587" s="126"/>
      <c r="AL587" s="126"/>
      <c r="AM587" s="126"/>
      <c r="AN587" s="126"/>
    </row>
    <row r="588" spans="1:40" s="127" customFormat="1" ht="21" customHeight="1" x14ac:dyDescent="0.25">
      <c r="A588" s="51" t="str">
        <f t="shared" si="27"/>
        <v/>
      </c>
      <c r="B588" s="77"/>
      <c r="C588" s="133"/>
      <c r="D588" s="50"/>
      <c r="E588" s="141"/>
      <c r="F588" s="133"/>
      <c r="G588" s="133"/>
      <c r="H588" s="50"/>
      <c r="I588" s="51" t="str">
        <f t="shared" si="28"/>
        <v/>
      </c>
      <c r="J588" s="52" t="str">
        <f t="shared" si="29"/>
        <v/>
      </c>
      <c r="K588" s="142" t="str">
        <f>IF(OR($I588="",$I588="?",$D588&lt;&gt;"Advance",$B588=""),"",$I588&amp;"|"&amp;$J588&amp;"|"&amp;COUNTIFS($I$7:$I588,$I588,$J$7:$J588,$J588,$D$7:$D588,"Advance"))</f>
        <v/>
      </c>
      <c r="L588" s="143" t="str">
        <f>IF(OR($I588="",$I588="?",$B588=""),"",SUMPRODUCT((Weeks!$A$7:$A$59&lt;=$J588)*(Weeks!$X$5:$AI$5=$I588)*Weeks!$X$7:$AI$59)-SUMIFS($E$7:$E$1006,$I$7:$I$1006,$I588,$B$7:$B$1006,"&lt;="&amp;$B588))</f>
        <v/>
      </c>
      <c r="M588" s="132" t="str">
        <f>IF($B588&amp;$C588&amp;$D588&amp;$E588="","",IF($B588="","missing date",IF($C588="","missing worker",IF($I588="?","unknown worker - was the name changed on Workers?",IF($D588="","missing type",IF(N($E588)=0,"missing amount",IF(AND($E588&lt;0,$D588&lt;&gt;"Correction"),"negative amount - use a Correction to undo",IF(OR($B588&lt;Weeks!$A$7,$B588&gt;Weeks!$B$59),"date outside this workbook's year",IF(AND($D588="Advance",N($L588)&lt;0),"Warning: more than earned so far - worker now owes "&amp;TEXT(ROUND(-$L588,0),"#,##0"),"")))))))))</f>
        <v/>
      </c>
      <c r="N588" s="125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  <c r="AE588" s="126"/>
      <c r="AF588" s="126"/>
      <c r="AG588" s="126"/>
      <c r="AH588" s="126"/>
      <c r="AI588" s="126"/>
      <c r="AJ588" s="126"/>
      <c r="AK588" s="126"/>
      <c r="AL588" s="126"/>
      <c r="AM588" s="126"/>
      <c r="AN588" s="126"/>
    </row>
    <row r="589" spans="1:40" s="127" customFormat="1" ht="21" customHeight="1" x14ac:dyDescent="0.25">
      <c r="A589" s="51" t="str">
        <f t="shared" si="27"/>
        <v/>
      </c>
      <c r="B589" s="77"/>
      <c r="C589" s="133"/>
      <c r="D589" s="50"/>
      <c r="E589" s="141"/>
      <c r="F589" s="133"/>
      <c r="G589" s="133"/>
      <c r="H589" s="50"/>
      <c r="I589" s="51" t="str">
        <f t="shared" si="28"/>
        <v/>
      </c>
      <c r="J589" s="52" t="str">
        <f t="shared" si="29"/>
        <v/>
      </c>
      <c r="K589" s="142" t="str">
        <f>IF(OR($I589="",$I589="?",$D589&lt;&gt;"Advance",$B589=""),"",$I589&amp;"|"&amp;$J589&amp;"|"&amp;COUNTIFS($I$7:$I589,$I589,$J$7:$J589,$J589,$D$7:$D589,"Advance"))</f>
        <v/>
      </c>
      <c r="L589" s="143" t="str">
        <f>IF(OR($I589="",$I589="?",$B589=""),"",SUMPRODUCT((Weeks!$A$7:$A$59&lt;=$J589)*(Weeks!$X$5:$AI$5=$I589)*Weeks!$X$7:$AI$59)-SUMIFS($E$7:$E$1006,$I$7:$I$1006,$I589,$B$7:$B$1006,"&lt;="&amp;$B589))</f>
        <v/>
      </c>
      <c r="M589" s="132" t="str">
        <f>IF($B589&amp;$C589&amp;$D589&amp;$E589="","",IF($B589="","missing date",IF($C589="","missing worker",IF($I589="?","unknown worker - was the name changed on Workers?",IF($D589="","missing type",IF(N($E589)=0,"missing amount",IF(AND($E589&lt;0,$D589&lt;&gt;"Correction"),"negative amount - use a Correction to undo",IF(OR($B589&lt;Weeks!$A$7,$B589&gt;Weeks!$B$59),"date outside this workbook's year",IF(AND($D589="Advance",N($L589)&lt;0),"Warning: more than earned so far - worker now owes "&amp;TEXT(ROUND(-$L589,0),"#,##0"),"")))))))))</f>
        <v/>
      </c>
      <c r="N589" s="125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  <c r="AE589" s="126"/>
      <c r="AF589" s="126"/>
      <c r="AG589" s="126"/>
      <c r="AH589" s="126"/>
      <c r="AI589" s="126"/>
      <c r="AJ589" s="126"/>
      <c r="AK589" s="126"/>
      <c r="AL589" s="126"/>
      <c r="AM589" s="126"/>
      <c r="AN589" s="126"/>
    </row>
    <row r="590" spans="1:40" s="127" customFormat="1" ht="21" customHeight="1" x14ac:dyDescent="0.25">
      <c r="A590" s="51" t="str">
        <f t="shared" si="27"/>
        <v/>
      </c>
      <c r="B590" s="77"/>
      <c r="C590" s="133"/>
      <c r="D590" s="50"/>
      <c r="E590" s="141"/>
      <c r="F590" s="133"/>
      <c r="G590" s="133"/>
      <c r="H590" s="50"/>
      <c r="I590" s="51" t="str">
        <f t="shared" si="28"/>
        <v/>
      </c>
      <c r="J590" s="52" t="str">
        <f t="shared" si="29"/>
        <v/>
      </c>
      <c r="K590" s="142" t="str">
        <f>IF(OR($I590="",$I590="?",$D590&lt;&gt;"Advance",$B590=""),"",$I590&amp;"|"&amp;$J590&amp;"|"&amp;COUNTIFS($I$7:$I590,$I590,$J$7:$J590,$J590,$D$7:$D590,"Advance"))</f>
        <v/>
      </c>
      <c r="L590" s="143" t="str">
        <f>IF(OR($I590="",$I590="?",$B590=""),"",SUMPRODUCT((Weeks!$A$7:$A$59&lt;=$J590)*(Weeks!$X$5:$AI$5=$I590)*Weeks!$X$7:$AI$59)-SUMIFS($E$7:$E$1006,$I$7:$I$1006,$I590,$B$7:$B$1006,"&lt;="&amp;$B590))</f>
        <v/>
      </c>
      <c r="M590" s="132" t="str">
        <f>IF($B590&amp;$C590&amp;$D590&amp;$E590="","",IF($B590="","missing date",IF($C590="","missing worker",IF($I590="?","unknown worker - was the name changed on Workers?",IF($D590="","missing type",IF(N($E590)=0,"missing amount",IF(AND($E590&lt;0,$D590&lt;&gt;"Correction"),"negative amount - use a Correction to undo",IF(OR($B590&lt;Weeks!$A$7,$B590&gt;Weeks!$B$59),"date outside this workbook's year",IF(AND($D590="Advance",N($L590)&lt;0),"Warning: more than earned so far - worker now owes "&amp;TEXT(ROUND(-$L590,0),"#,##0"),"")))))))))</f>
        <v/>
      </c>
      <c r="N590" s="125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  <c r="AE590" s="126"/>
      <c r="AF590" s="126"/>
      <c r="AG590" s="126"/>
      <c r="AH590" s="126"/>
      <c r="AI590" s="126"/>
      <c r="AJ590" s="126"/>
      <c r="AK590" s="126"/>
      <c r="AL590" s="126"/>
      <c r="AM590" s="126"/>
      <c r="AN590" s="126"/>
    </row>
    <row r="591" spans="1:40" s="127" customFormat="1" ht="21" customHeight="1" x14ac:dyDescent="0.25">
      <c r="A591" s="51" t="str">
        <f t="shared" si="27"/>
        <v/>
      </c>
      <c r="B591" s="77"/>
      <c r="C591" s="133"/>
      <c r="D591" s="50"/>
      <c r="E591" s="141"/>
      <c r="F591" s="133"/>
      <c r="G591" s="133"/>
      <c r="H591" s="50"/>
      <c r="I591" s="51" t="str">
        <f t="shared" si="28"/>
        <v/>
      </c>
      <c r="J591" s="52" t="str">
        <f t="shared" si="29"/>
        <v/>
      </c>
      <c r="K591" s="142" t="str">
        <f>IF(OR($I591="",$I591="?",$D591&lt;&gt;"Advance",$B591=""),"",$I591&amp;"|"&amp;$J591&amp;"|"&amp;COUNTIFS($I$7:$I591,$I591,$J$7:$J591,$J591,$D$7:$D591,"Advance"))</f>
        <v/>
      </c>
      <c r="L591" s="143" t="str">
        <f>IF(OR($I591="",$I591="?",$B591=""),"",SUMPRODUCT((Weeks!$A$7:$A$59&lt;=$J591)*(Weeks!$X$5:$AI$5=$I591)*Weeks!$X$7:$AI$59)-SUMIFS($E$7:$E$1006,$I$7:$I$1006,$I591,$B$7:$B$1006,"&lt;="&amp;$B591))</f>
        <v/>
      </c>
      <c r="M591" s="132" t="str">
        <f>IF($B591&amp;$C591&amp;$D591&amp;$E591="","",IF($B591="","missing date",IF($C591="","missing worker",IF($I591="?","unknown worker - was the name changed on Workers?",IF($D591="","missing type",IF(N($E591)=0,"missing amount",IF(AND($E591&lt;0,$D591&lt;&gt;"Correction"),"negative amount - use a Correction to undo",IF(OR($B591&lt;Weeks!$A$7,$B591&gt;Weeks!$B$59),"date outside this workbook's year",IF(AND($D591="Advance",N($L591)&lt;0),"Warning: more than earned so far - worker now owes "&amp;TEXT(ROUND(-$L591,0),"#,##0"),"")))))))))</f>
        <v/>
      </c>
      <c r="N591" s="125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  <c r="AE591" s="126"/>
      <c r="AF591" s="126"/>
      <c r="AG591" s="126"/>
      <c r="AH591" s="126"/>
      <c r="AI591" s="126"/>
      <c r="AJ591" s="126"/>
      <c r="AK591" s="126"/>
      <c r="AL591" s="126"/>
      <c r="AM591" s="126"/>
      <c r="AN591" s="126"/>
    </row>
    <row r="592" spans="1:40" s="127" customFormat="1" ht="21" customHeight="1" x14ac:dyDescent="0.25">
      <c r="A592" s="51" t="str">
        <f t="shared" si="27"/>
        <v/>
      </c>
      <c r="B592" s="77"/>
      <c r="C592" s="133"/>
      <c r="D592" s="50"/>
      <c r="E592" s="141"/>
      <c r="F592" s="133"/>
      <c r="G592" s="133"/>
      <c r="H592" s="50"/>
      <c r="I592" s="51" t="str">
        <f t="shared" si="28"/>
        <v/>
      </c>
      <c r="J592" s="52" t="str">
        <f t="shared" si="29"/>
        <v/>
      </c>
      <c r="K592" s="142" t="str">
        <f>IF(OR($I592="",$I592="?",$D592&lt;&gt;"Advance",$B592=""),"",$I592&amp;"|"&amp;$J592&amp;"|"&amp;COUNTIFS($I$7:$I592,$I592,$J$7:$J592,$J592,$D$7:$D592,"Advance"))</f>
        <v/>
      </c>
      <c r="L592" s="143" t="str">
        <f>IF(OR($I592="",$I592="?",$B592=""),"",SUMPRODUCT((Weeks!$A$7:$A$59&lt;=$J592)*(Weeks!$X$5:$AI$5=$I592)*Weeks!$X$7:$AI$59)-SUMIFS($E$7:$E$1006,$I$7:$I$1006,$I592,$B$7:$B$1006,"&lt;="&amp;$B592))</f>
        <v/>
      </c>
      <c r="M592" s="132" t="str">
        <f>IF($B592&amp;$C592&amp;$D592&amp;$E592="","",IF($B592="","missing date",IF($C592="","missing worker",IF($I592="?","unknown worker - was the name changed on Workers?",IF($D592="","missing type",IF(N($E592)=0,"missing amount",IF(AND($E592&lt;0,$D592&lt;&gt;"Correction"),"negative amount - use a Correction to undo",IF(OR($B592&lt;Weeks!$A$7,$B592&gt;Weeks!$B$59),"date outside this workbook's year",IF(AND($D592="Advance",N($L592)&lt;0),"Warning: more than earned so far - worker now owes "&amp;TEXT(ROUND(-$L592,0),"#,##0"),"")))))))))</f>
        <v/>
      </c>
      <c r="N592" s="125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  <c r="AE592" s="126"/>
      <c r="AF592" s="126"/>
      <c r="AG592" s="126"/>
      <c r="AH592" s="126"/>
      <c r="AI592" s="126"/>
      <c r="AJ592" s="126"/>
      <c r="AK592" s="126"/>
      <c r="AL592" s="126"/>
      <c r="AM592" s="126"/>
      <c r="AN592" s="126"/>
    </row>
    <row r="593" spans="1:40" s="127" customFormat="1" ht="21" customHeight="1" x14ac:dyDescent="0.25">
      <c r="A593" s="51" t="str">
        <f t="shared" si="27"/>
        <v/>
      </c>
      <c r="B593" s="77"/>
      <c r="C593" s="133"/>
      <c r="D593" s="50"/>
      <c r="E593" s="141"/>
      <c r="F593" s="133"/>
      <c r="G593" s="133"/>
      <c r="H593" s="50"/>
      <c r="I593" s="51" t="str">
        <f t="shared" si="28"/>
        <v/>
      </c>
      <c r="J593" s="52" t="str">
        <f t="shared" si="29"/>
        <v/>
      </c>
      <c r="K593" s="142" t="str">
        <f>IF(OR($I593="",$I593="?",$D593&lt;&gt;"Advance",$B593=""),"",$I593&amp;"|"&amp;$J593&amp;"|"&amp;COUNTIFS($I$7:$I593,$I593,$J$7:$J593,$J593,$D$7:$D593,"Advance"))</f>
        <v/>
      </c>
      <c r="L593" s="143" t="str">
        <f>IF(OR($I593="",$I593="?",$B593=""),"",SUMPRODUCT((Weeks!$A$7:$A$59&lt;=$J593)*(Weeks!$X$5:$AI$5=$I593)*Weeks!$X$7:$AI$59)-SUMIFS($E$7:$E$1006,$I$7:$I$1006,$I593,$B$7:$B$1006,"&lt;="&amp;$B593))</f>
        <v/>
      </c>
      <c r="M593" s="132" t="str">
        <f>IF($B593&amp;$C593&amp;$D593&amp;$E593="","",IF($B593="","missing date",IF($C593="","missing worker",IF($I593="?","unknown worker - was the name changed on Workers?",IF($D593="","missing type",IF(N($E593)=0,"missing amount",IF(AND($E593&lt;0,$D593&lt;&gt;"Correction"),"negative amount - use a Correction to undo",IF(OR($B593&lt;Weeks!$A$7,$B593&gt;Weeks!$B$59),"date outside this workbook's year",IF(AND($D593="Advance",N($L593)&lt;0),"Warning: more than earned so far - worker now owes "&amp;TEXT(ROUND(-$L593,0),"#,##0"),"")))))))))</f>
        <v/>
      </c>
      <c r="N593" s="125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  <c r="AE593" s="126"/>
      <c r="AF593" s="126"/>
      <c r="AG593" s="126"/>
      <c r="AH593" s="126"/>
      <c r="AI593" s="126"/>
      <c r="AJ593" s="126"/>
      <c r="AK593" s="126"/>
      <c r="AL593" s="126"/>
      <c r="AM593" s="126"/>
      <c r="AN593" s="126"/>
    </row>
    <row r="594" spans="1:40" s="127" customFormat="1" ht="21" customHeight="1" x14ac:dyDescent="0.25">
      <c r="A594" s="51" t="str">
        <f t="shared" si="27"/>
        <v/>
      </c>
      <c r="B594" s="77"/>
      <c r="C594" s="133"/>
      <c r="D594" s="50"/>
      <c r="E594" s="141"/>
      <c r="F594" s="133"/>
      <c r="G594" s="133"/>
      <c r="H594" s="50"/>
      <c r="I594" s="51" t="str">
        <f t="shared" si="28"/>
        <v/>
      </c>
      <c r="J594" s="52" t="str">
        <f t="shared" si="29"/>
        <v/>
      </c>
      <c r="K594" s="142" t="str">
        <f>IF(OR($I594="",$I594="?",$D594&lt;&gt;"Advance",$B594=""),"",$I594&amp;"|"&amp;$J594&amp;"|"&amp;COUNTIFS($I$7:$I594,$I594,$J$7:$J594,$J594,$D$7:$D594,"Advance"))</f>
        <v/>
      </c>
      <c r="L594" s="143" t="str">
        <f>IF(OR($I594="",$I594="?",$B594=""),"",SUMPRODUCT((Weeks!$A$7:$A$59&lt;=$J594)*(Weeks!$X$5:$AI$5=$I594)*Weeks!$X$7:$AI$59)-SUMIFS($E$7:$E$1006,$I$7:$I$1006,$I594,$B$7:$B$1006,"&lt;="&amp;$B594))</f>
        <v/>
      </c>
      <c r="M594" s="132" t="str">
        <f>IF($B594&amp;$C594&amp;$D594&amp;$E594="","",IF($B594="","missing date",IF($C594="","missing worker",IF($I594="?","unknown worker - was the name changed on Workers?",IF($D594="","missing type",IF(N($E594)=0,"missing amount",IF(AND($E594&lt;0,$D594&lt;&gt;"Correction"),"negative amount - use a Correction to undo",IF(OR($B594&lt;Weeks!$A$7,$B594&gt;Weeks!$B$59),"date outside this workbook's year",IF(AND($D594="Advance",N($L594)&lt;0),"Warning: more than earned so far - worker now owes "&amp;TEXT(ROUND(-$L594,0),"#,##0"),"")))))))))</f>
        <v/>
      </c>
      <c r="N594" s="125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  <c r="AE594" s="126"/>
      <c r="AF594" s="126"/>
      <c r="AG594" s="126"/>
      <c r="AH594" s="126"/>
      <c r="AI594" s="126"/>
      <c r="AJ594" s="126"/>
      <c r="AK594" s="126"/>
      <c r="AL594" s="126"/>
      <c r="AM594" s="126"/>
      <c r="AN594" s="126"/>
    </row>
    <row r="595" spans="1:40" s="127" customFormat="1" ht="21" customHeight="1" x14ac:dyDescent="0.25">
      <c r="A595" s="51" t="str">
        <f t="shared" si="27"/>
        <v/>
      </c>
      <c r="B595" s="77"/>
      <c r="C595" s="133"/>
      <c r="D595" s="50"/>
      <c r="E595" s="141"/>
      <c r="F595" s="133"/>
      <c r="G595" s="133"/>
      <c r="H595" s="50"/>
      <c r="I595" s="51" t="str">
        <f t="shared" si="28"/>
        <v/>
      </c>
      <c r="J595" s="52" t="str">
        <f t="shared" si="29"/>
        <v/>
      </c>
      <c r="K595" s="142" t="str">
        <f>IF(OR($I595="",$I595="?",$D595&lt;&gt;"Advance",$B595=""),"",$I595&amp;"|"&amp;$J595&amp;"|"&amp;COUNTIFS($I$7:$I595,$I595,$J$7:$J595,$J595,$D$7:$D595,"Advance"))</f>
        <v/>
      </c>
      <c r="L595" s="143" t="str">
        <f>IF(OR($I595="",$I595="?",$B595=""),"",SUMPRODUCT((Weeks!$A$7:$A$59&lt;=$J595)*(Weeks!$X$5:$AI$5=$I595)*Weeks!$X$7:$AI$59)-SUMIFS($E$7:$E$1006,$I$7:$I$1006,$I595,$B$7:$B$1006,"&lt;="&amp;$B595))</f>
        <v/>
      </c>
      <c r="M595" s="132" t="str">
        <f>IF($B595&amp;$C595&amp;$D595&amp;$E595="","",IF($B595="","missing date",IF($C595="","missing worker",IF($I595="?","unknown worker - was the name changed on Workers?",IF($D595="","missing type",IF(N($E595)=0,"missing amount",IF(AND($E595&lt;0,$D595&lt;&gt;"Correction"),"negative amount - use a Correction to undo",IF(OR($B595&lt;Weeks!$A$7,$B595&gt;Weeks!$B$59),"date outside this workbook's year",IF(AND($D595="Advance",N($L595)&lt;0),"Warning: more than earned so far - worker now owes "&amp;TEXT(ROUND(-$L595,0),"#,##0"),"")))))))))</f>
        <v/>
      </c>
      <c r="N595" s="125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  <c r="AE595" s="126"/>
      <c r="AF595" s="126"/>
      <c r="AG595" s="126"/>
      <c r="AH595" s="126"/>
      <c r="AI595" s="126"/>
      <c r="AJ595" s="126"/>
      <c r="AK595" s="126"/>
      <c r="AL595" s="126"/>
      <c r="AM595" s="126"/>
      <c r="AN595" s="126"/>
    </row>
    <row r="596" spans="1:40" s="127" customFormat="1" ht="21" customHeight="1" x14ac:dyDescent="0.25">
      <c r="A596" s="51" t="str">
        <f t="shared" si="27"/>
        <v/>
      </c>
      <c r="B596" s="77"/>
      <c r="C596" s="133"/>
      <c r="D596" s="50"/>
      <c r="E596" s="141"/>
      <c r="F596" s="133"/>
      <c r="G596" s="133"/>
      <c r="H596" s="50"/>
      <c r="I596" s="51" t="str">
        <f t="shared" si="28"/>
        <v/>
      </c>
      <c r="J596" s="52" t="str">
        <f t="shared" si="29"/>
        <v/>
      </c>
      <c r="K596" s="142" t="str">
        <f>IF(OR($I596="",$I596="?",$D596&lt;&gt;"Advance",$B596=""),"",$I596&amp;"|"&amp;$J596&amp;"|"&amp;COUNTIFS($I$7:$I596,$I596,$J$7:$J596,$J596,$D$7:$D596,"Advance"))</f>
        <v/>
      </c>
      <c r="L596" s="143" t="str">
        <f>IF(OR($I596="",$I596="?",$B596=""),"",SUMPRODUCT((Weeks!$A$7:$A$59&lt;=$J596)*(Weeks!$X$5:$AI$5=$I596)*Weeks!$X$7:$AI$59)-SUMIFS($E$7:$E$1006,$I$7:$I$1006,$I596,$B$7:$B$1006,"&lt;="&amp;$B596))</f>
        <v/>
      </c>
      <c r="M596" s="132" t="str">
        <f>IF($B596&amp;$C596&amp;$D596&amp;$E596="","",IF($B596="","missing date",IF($C596="","missing worker",IF($I596="?","unknown worker - was the name changed on Workers?",IF($D596="","missing type",IF(N($E596)=0,"missing amount",IF(AND($E596&lt;0,$D596&lt;&gt;"Correction"),"negative amount - use a Correction to undo",IF(OR($B596&lt;Weeks!$A$7,$B596&gt;Weeks!$B$59),"date outside this workbook's year",IF(AND($D596="Advance",N($L596)&lt;0),"Warning: more than earned so far - worker now owes "&amp;TEXT(ROUND(-$L596,0),"#,##0"),"")))))))))</f>
        <v/>
      </c>
      <c r="N596" s="125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  <c r="AE596" s="126"/>
      <c r="AF596" s="126"/>
      <c r="AG596" s="126"/>
      <c r="AH596" s="126"/>
      <c r="AI596" s="126"/>
      <c r="AJ596" s="126"/>
      <c r="AK596" s="126"/>
      <c r="AL596" s="126"/>
      <c r="AM596" s="126"/>
      <c r="AN596" s="126"/>
    </row>
    <row r="597" spans="1:40" s="127" customFormat="1" ht="21" customHeight="1" x14ac:dyDescent="0.25">
      <c r="A597" s="51" t="str">
        <f t="shared" si="27"/>
        <v/>
      </c>
      <c r="B597" s="77"/>
      <c r="C597" s="133"/>
      <c r="D597" s="50"/>
      <c r="E597" s="141"/>
      <c r="F597" s="133"/>
      <c r="G597" s="133"/>
      <c r="H597" s="50"/>
      <c r="I597" s="51" t="str">
        <f t="shared" si="28"/>
        <v/>
      </c>
      <c r="J597" s="52" t="str">
        <f t="shared" si="29"/>
        <v/>
      </c>
      <c r="K597" s="142" t="str">
        <f>IF(OR($I597="",$I597="?",$D597&lt;&gt;"Advance",$B597=""),"",$I597&amp;"|"&amp;$J597&amp;"|"&amp;COUNTIFS($I$7:$I597,$I597,$J$7:$J597,$J597,$D$7:$D597,"Advance"))</f>
        <v/>
      </c>
      <c r="L597" s="143" t="str">
        <f>IF(OR($I597="",$I597="?",$B597=""),"",SUMPRODUCT((Weeks!$A$7:$A$59&lt;=$J597)*(Weeks!$X$5:$AI$5=$I597)*Weeks!$X$7:$AI$59)-SUMIFS($E$7:$E$1006,$I$7:$I$1006,$I597,$B$7:$B$1006,"&lt;="&amp;$B597))</f>
        <v/>
      </c>
      <c r="M597" s="132" t="str">
        <f>IF($B597&amp;$C597&amp;$D597&amp;$E597="","",IF($B597="","missing date",IF($C597="","missing worker",IF($I597="?","unknown worker - was the name changed on Workers?",IF($D597="","missing type",IF(N($E597)=0,"missing amount",IF(AND($E597&lt;0,$D597&lt;&gt;"Correction"),"negative amount - use a Correction to undo",IF(OR($B597&lt;Weeks!$A$7,$B597&gt;Weeks!$B$59),"date outside this workbook's year",IF(AND($D597="Advance",N($L597)&lt;0),"Warning: more than earned so far - worker now owes "&amp;TEXT(ROUND(-$L597,0),"#,##0"),"")))))))))</f>
        <v/>
      </c>
      <c r="N597" s="125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  <c r="AE597" s="126"/>
      <c r="AF597" s="126"/>
      <c r="AG597" s="126"/>
      <c r="AH597" s="126"/>
      <c r="AI597" s="126"/>
      <c r="AJ597" s="126"/>
      <c r="AK597" s="126"/>
      <c r="AL597" s="126"/>
      <c r="AM597" s="126"/>
      <c r="AN597" s="126"/>
    </row>
    <row r="598" spans="1:40" s="127" customFormat="1" ht="21" customHeight="1" x14ac:dyDescent="0.25">
      <c r="A598" s="51" t="str">
        <f t="shared" si="27"/>
        <v/>
      </c>
      <c r="B598" s="77"/>
      <c r="C598" s="133"/>
      <c r="D598" s="50"/>
      <c r="E598" s="141"/>
      <c r="F598" s="133"/>
      <c r="G598" s="133"/>
      <c r="H598" s="50"/>
      <c r="I598" s="51" t="str">
        <f t="shared" si="28"/>
        <v/>
      </c>
      <c r="J598" s="52" t="str">
        <f t="shared" si="29"/>
        <v/>
      </c>
      <c r="K598" s="142" t="str">
        <f>IF(OR($I598="",$I598="?",$D598&lt;&gt;"Advance",$B598=""),"",$I598&amp;"|"&amp;$J598&amp;"|"&amp;COUNTIFS($I$7:$I598,$I598,$J$7:$J598,$J598,$D$7:$D598,"Advance"))</f>
        <v/>
      </c>
      <c r="L598" s="143" t="str">
        <f>IF(OR($I598="",$I598="?",$B598=""),"",SUMPRODUCT((Weeks!$A$7:$A$59&lt;=$J598)*(Weeks!$X$5:$AI$5=$I598)*Weeks!$X$7:$AI$59)-SUMIFS($E$7:$E$1006,$I$7:$I$1006,$I598,$B$7:$B$1006,"&lt;="&amp;$B598))</f>
        <v/>
      </c>
      <c r="M598" s="132" t="str">
        <f>IF($B598&amp;$C598&amp;$D598&amp;$E598="","",IF($B598="","missing date",IF($C598="","missing worker",IF($I598="?","unknown worker - was the name changed on Workers?",IF($D598="","missing type",IF(N($E598)=0,"missing amount",IF(AND($E598&lt;0,$D598&lt;&gt;"Correction"),"negative amount - use a Correction to undo",IF(OR($B598&lt;Weeks!$A$7,$B598&gt;Weeks!$B$59),"date outside this workbook's year",IF(AND($D598="Advance",N($L598)&lt;0),"Warning: more than earned so far - worker now owes "&amp;TEXT(ROUND(-$L598,0),"#,##0"),"")))))))))</f>
        <v/>
      </c>
      <c r="N598" s="125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  <c r="AE598" s="126"/>
      <c r="AF598" s="126"/>
      <c r="AG598" s="126"/>
      <c r="AH598" s="126"/>
      <c r="AI598" s="126"/>
      <c r="AJ598" s="126"/>
      <c r="AK598" s="126"/>
      <c r="AL598" s="126"/>
      <c r="AM598" s="126"/>
      <c r="AN598" s="126"/>
    </row>
    <row r="599" spans="1:40" s="127" customFormat="1" ht="21" customHeight="1" x14ac:dyDescent="0.25">
      <c r="A599" s="51" t="str">
        <f t="shared" si="27"/>
        <v/>
      </c>
      <c r="B599" s="77"/>
      <c r="C599" s="133"/>
      <c r="D599" s="50"/>
      <c r="E599" s="141"/>
      <c r="F599" s="133"/>
      <c r="G599" s="133"/>
      <c r="H599" s="50"/>
      <c r="I599" s="51" t="str">
        <f t="shared" si="28"/>
        <v/>
      </c>
      <c r="J599" s="52" t="str">
        <f t="shared" si="29"/>
        <v/>
      </c>
      <c r="K599" s="142" t="str">
        <f>IF(OR($I599="",$I599="?",$D599&lt;&gt;"Advance",$B599=""),"",$I599&amp;"|"&amp;$J599&amp;"|"&amp;COUNTIFS($I$7:$I599,$I599,$J$7:$J599,$J599,$D$7:$D599,"Advance"))</f>
        <v/>
      </c>
      <c r="L599" s="143" t="str">
        <f>IF(OR($I599="",$I599="?",$B599=""),"",SUMPRODUCT((Weeks!$A$7:$A$59&lt;=$J599)*(Weeks!$X$5:$AI$5=$I599)*Weeks!$X$7:$AI$59)-SUMIFS($E$7:$E$1006,$I$7:$I$1006,$I599,$B$7:$B$1006,"&lt;="&amp;$B599))</f>
        <v/>
      </c>
      <c r="M599" s="132" t="str">
        <f>IF($B599&amp;$C599&amp;$D599&amp;$E599="","",IF($B599="","missing date",IF($C599="","missing worker",IF($I599="?","unknown worker - was the name changed on Workers?",IF($D599="","missing type",IF(N($E599)=0,"missing amount",IF(AND($E599&lt;0,$D599&lt;&gt;"Correction"),"negative amount - use a Correction to undo",IF(OR($B599&lt;Weeks!$A$7,$B599&gt;Weeks!$B$59),"date outside this workbook's year",IF(AND($D599="Advance",N($L599)&lt;0),"Warning: more than earned so far - worker now owes "&amp;TEXT(ROUND(-$L599,0),"#,##0"),"")))))))))</f>
        <v/>
      </c>
      <c r="N599" s="125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  <c r="AE599" s="126"/>
      <c r="AF599" s="126"/>
      <c r="AG599" s="126"/>
      <c r="AH599" s="126"/>
      <c r="AI599" s="126"/>
      <c r="AJ599" s="126"/>
      <c r="AK599" s="126"/>
      <c r="AL599" s="126"/>
      <c r="AM599" s="126"/>
      <c r="AN599" s="126"/>
    </row>
    <row r="600" spans="1:40" s="127" customFormat="1" ht="21" customHeight="1" x14ac:dyDescent="0.25">
      <c r="A600" s="51" t="str">
        <f t="shared" si="27"/>
        <v/>
      </c>
      <c r="B600" s="77"/>
      <c r="C600" s="133"/>
      <c r="D600" s="50"/>
      <c r="E600" s="141"/>
      <c r="F600" s="133"/>
      <c r="G600" s="133"/>
      <c r="H600" s="50"/>
      <c r="I600" s="51" t="str">
        <f t="shared" si="28"/>
        <v/>
      </c>
      <c r="J600" s="52" t="str">
        <f t="shared" si="29"/>
        <v/>
      </c>
      <c r="K600" s="142" t="str">
        <f>IF(OR($I600="",$I600="?",$D600&lt;&gt;"Advance",$B600=""),"",$I600&amp;"|"&amp;$J600&amp;"|"&amp;COUNTIFS($I$7:$I600,$I600,$J$7:$J600,$J600,$D$7:$D600,"Advance"))</f>
        <v/>
      </c>
      <c r="L600" s="143" t="str">
        <f>IF(OR($I600="",$I600="?",$B600=""),"",SUMPRODUCT((Weeks!$A$7:$A$59&lt;=$J600)*(Weeks!$X$5:$AI$5=$I600)*Weeks!$X$7:$AI$59)-SUMIFS($E$7:$E$1006,$I$7:$I$1006,$I600,$B$7:$B$1006,"&lt;="&amp;$B600))</f>
        <v/>
      </c>
      <c r="M600" s="132" t="str">
        <f>IF($B600&amp;$C600&amp;$D600&amp;$E600="","",IF($B600="","missing date",IF($C600="","missing worker",IF($I600="?","unknown worker - was the name changed on Workers?",IF($D600="","missing type",IF(N($E600)=0,"missing amount",IF(AND($E600&lt;0,$D600&lt;&gt;"Correction"),"negative amount - use a Correction to undo",IF(OR($B600&lt;Weeks!$A$7,$B600&gt;Weeks!$B$59),"date outside this workbook's year",IF(AND($D600="Advance",N($L600)&lt;0),"Warning: more than earned so far - worker now owes "&amp;TEXT(ROUND(-$L600,0),"#,##0"),"")))))))))</f>
        <v/>
      </c>
      <c r="N600" s="125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  <c r="AE600" s="126"/>
      <c r="AF600" s="126"/>
      <c r="AG600" s="126"/>
      <c r="AH600" s="126"/>
      <c r="AI600" s="126"/>
      <c r="AJ600" s="126"/>
      <c r="AK600" s="126"/>
      <c r="AL600" s="126"/>
      <c r="AM600" s="126"/>
      <c r="AN600" s="126"/>
    </row>
    <row r="601" spans="1:40" s="127" customFormat="1" ht="21" customHeight="1" x14ac:dyDescent="0.25">
      <c r="A601" s="51" t="str">
        <f t="shared" si="27"/>
        <v/>
      </c>
      <c r="B601" s="77"/>
      <c r="C601" s="133"/>
      <c r="D601" s="50"/>
      <c r="E601" s="141"/>
      <c r="F601" s="133"/>
      <c r="G601" s="133"/>
      <c r="H601" s="50"/>
      <c r="I601" s="51" t="str">
        <f t="shared" si="28"/>
        <v/>
      </c>
      <c r="J601" s="52" t="str">
        <f t="shared" si="29"/>
        <v/>
      </c>
      <c r="K601" s="142" t="str">
        <f>IF(OR($I601="",$I601="?",$D601&lt;&gt;"Advance",$B601=""),"",$I601&amp;"|"&amp;$J601&amp;"|"&amp;COUNTIFS($I$7:$I601,$I601,$J$7:$J601,$J601,$D$7:$D601,"Advance"))</f>
        <v/>
      </c>
      <c r="L601" s="143" t="str">
        <f>IF(OR($I601="",$I601="?",$B601=""),"",SUMPRODUCT((Weeks!$A$7:$A$59&lt;=$J601)*(Weeks!$X$5:$AI$5=$I601)*Weeks!$X$7:$AI$59)-SUMIFS($E$7:$E$1006,$I$7:$I$1006,$I601,$B$7:$B$1006,"&lt;="&amp;$B601))</f>
        <v/>
      </c>
      <c r="M601" s="132" t="str">
        <f>IF($B601&amp;$C601&amp;$D601&amp;$E601="","",IF($B601="","missing date",IF($C601="","missing worker",IF($I601="?","unknown worker - was the name changed on Workers?",IF($D601="","missing type",IF(N($E601)=0,"missing amount",IF(AND($E601&lt;0,$D601&lt;&gt;"Correction"),"negative amount - use a Correction to undo",IF(OR($B601&lt;Weeks!$A$7,$B601&gt;Weeks!$B$59),"date outside this workbook's year",IF(AND($D601="Advance",N($L601)&lt;0),"Warning: more than earned so far - worker now owes "&amp;TEXT(ROUND(-$L601,0),"#,##0"),"")))))))))</f>
        <v/>
      </c>
      <c r="N601" s="125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  <c r="AE601" s="126"/>
      <c r="AF601" s="126"/>
      <c r="AG601" s="126"/>
      <c r="AH601" s="126"/>
      <c r="AI601" s="126"/>
      <c r="AJ601" s="126"/>
      <c r="AK601" s="126"/>
      <c r="AL601" s="126"/>
      <c r="AM601" s="126"/>
      <c r="AN601" s="126"/>
    </row>
    <row r="602" spans="1:40" s="127" customFormat="1" ht="21" customHeight="1" x14ac:dyDescent="0.25">
      <c r="A602" s="51" t="str">
        <f t="shared" si="27"/>
        <v/>
      </c>
      <c r="B602" s="77"/>
      <c r="C602" s="133"/>
      <c r="D602" s="50"/>
      <c r="E602" s="141"/>
      <c r="F602" s="133"/>
      <c r="G602" s="133"/>
      <c r="H602" s="50"/>
      <c r="I602" s="51" t="str">
        <f t="shared" si="28"/>
        <v/>
      </c>
      <c r="J602" s="52" t="str">
        <f t="shared" si="29"/>
        <v/>
      </c>
      <c r="K602" s="142" t="str">
        <f>IF(OR($I602="",$I602="?",$D602&lt;&gt;"Advance",$B602=""),"",$I602&amp;"|"&amp;$J602&amp;"|"&amp;COUNTIFS($I$7:$I602,$I602,$J$7:$J602,$J602,$D$7:$D602,"Advance"))</f>
        <v/>
      </c>
      <c r="L602" s="143" t="str">
        <f>IF(OR($I602="",$I602="?",$B602=""),"",SUMPRODUCT((Weeks!$A$7:$A$59&lt;=$J602)*(Weeks!$X$5:$AI$5=$I602)*Weeks!$X$7:$AI$59)-SUMIFS($E$7:$E$1006,$I$7:$I$1006,$I602,$B$7:$B$1006,"&lt;="&amp;$B602))</f>
        <v/>
      </c>
      <c r="M602" s="132" t="str">
        <f>IF($B602&amp;$C602&amp;$D602&amp;$E602="","",IF($B602="","missing date",IF($C602="","missing worker",IF($I602="?","unknown worker - was the name changed on Workers?",IF($D602="","missing type",IF(N($E602)=0,"missing amount",IF(AND($E602&lt;0,$D602&lt;&gt;"Correction"),"negative amount - use a Correction to undo",IF(OR($B602&lt;Weeks!$A$7,$B602&gt;Weeks!$B$59),"date outside this workbook's year",IF(AND($D602="Advance",N($L602)&lt;0),"Warning: more than earned so far - worker now owes "&amp;TEXT(ROUND(-$L602,0),"#,##0"),"")))))))))</f>
        <v/>
      </c>
      <c r="N602" s="125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  <c r="AE602" s="126"/>
      <c r="AF602" s="126"/>
      <c r="AG602" s="126"/>
      <c r="AH602" s="126"/>
      <c r="AI602" s="126"/>
      <c r="AJ602" s="126"/>
      <c r="AK602" s="126"/>
      <c r="AL602" s="126"/>
      <c r="AM602" s="126"/>
      <c r="AN602" s="126"/>
    </row>
    <row r="603" spans="1:40" s="127" customFormat="1" ht="21" customHeight="1" x14ac:dyDescent="0.25">
      <c r="A603" s="51" t="str">
        <f t="shared" si="27"/>
        <v/>
      </c>
      <c r="B603" s="77"/>
      <c r="C603" s="133"/>
      <c r="D603" s="50"/>
      <c r="E603" s="141"/>
      <c r="F603" s="133"/>
      <c r="G603" s="133"/>
      <c r="H603" s="50"/>
      <c r="I603" s="51" t="str">
        <f t="shared" si="28"/>
        <v/>
      </c>
      <c r="J603" s="52" t="str">
        <f t="shared" si="29"/>
        <v/>
      </c>
      <c r="K603" s="142" t="str">
        <f>IF(OR($I603="",$I603="?",$D603&lt;&gt;"Advance",$B603=""),"",$I603&amp;"|"&amp;$J603&amp;"|"&amp;COUNTIFS($I$7:$I603,$I603,$J$7:$J603,$J603,$D$7:$D603,"Advance"))</f>
        <v/>
      </c>
      <c r="L603" s="143" t="str">
        <f>IF(OR($I603="",$I603="?",$B603=""),"",SUMPRODUCT((Weeks!$A$7:$A$59&lt;=$J603)*(Weeks!$X$5:$AI$5=$I603)*Weeks!$X$7:$AI$59)-SUMIFS($E$7:$E$1006,$I$7:$I$1006,$I603,$B$7:$B$1006,"&lt;="&amp;$B603))</f>
        <v/>
      </c>
      <c r="M603" s="132" t="str">
        <f>IF($B603&amp;$C603&amp;$D603&amp;$E603="","",IF($B603="","missing date",IF($C603="","missing worker",IF($I603="?","unknown worker - was the name changed on Workers?",IF($D603="","missing type",IF(N($E603)=0,"missing amount",IF(AND($E603&lt;0,$D603&lt;&gt;"Correction"),"negative amount - use a Correction to undo",IF(OR($B603&lt;Weeks!$A$7,$B603&gt;Weeks!$B$59),"date outside this workbook's year",IF(AND($D603="Advance",N($L603)&lt;0),"Warning: more than earned so far - worker now owes "&amp;TEXT(ROUND(-$L603,0),"#,##0"),"")))))))))</f>
        <v/>
      </c>
      <c r="N603" s="125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  <c r="AE603" s="126"/>
      <c r="AF603" s="126"/>
      <c r="AG603" s="126"/>
      <c r="AH603" s="126"/>
      <c r="AI603" s="126"/>
      <c r="AJ603" s="126"/>
      <c r="AK603" s="126"/>
      <c r="AL603" s="126"/>
      <c r="AM603" s="126"/>
      <c r="AN603" s="126"/>
    </row>
    <row r="604" spans="1:40" s="127" customFormat="1" ht="21" customHeight="1" x14ac:dyDescent="0.25">
      <c r="A604" s="51" t="str">
        <f t="shared" si="27"/>
        <v/>
      </c>
      <c r="B604" s="77"/>
      <c r="C604" s="133"/>
      <c r="D604" s="50"/>
      <c r="E604" s="141"/>
      <c r="F604" s="133"/>
      <c r="G604" s="133"/>
      <c r="H604" s="50"/>
      <c r="I604" s="51" t="str">
        <f t="shared" si="28"/>
        <v/>
      </c>
      <c r="J604" s="52" t="str">
        <f t="shared" si="29"/>
        <v/>
      </c>
      <c r="K604" s="142" t="str">
        <f>IF(OR($I604="",$I604="?",$D604&lt;&gt;"Advance",$B604=""),"",$I604&amp;"|"&amp;$J604&amp;"|"&amp;COUNTIFS($I$7:$I604,$I604,$J$7:$J604,$J604,$D$7:$D604,"Advance"))</f>
        <v/>
      </c>
      <c r="L604" s="143" t="str">
        <f>IF(OR($I604="",$I604="?",$B604=""),"",SUMPRODUCT((Weeks!$A$7:$A$59&lt;=$J604)*(Weeks!$X$5:$AI$5=$I604)*Weeks!$X$7:$AI$59)-SUMIFS($E$7:$E$1006,$I$7:$I$1006,$I604,$B$7:$B$1006,"&lt;="&amp;$B604))</f>
        <v/>
      </c>
      <c r="M604" s="132" t="str">
        <f>IF($B604&amp;$C604&amp;$D604&amp;$E604="","",IF($B604="","missing date",IF($C604="","missing worker",IF($I604="?","unknown worker - was the name changed on Workers?",IF($D604="","missing type",IF(N($E604)=0,"missing amount",IF(AND($E604&lt;0,$D604&lt;&gt;"Correction"),"negative amount - use a Correction to undo",IF(OR($B604&lt;Weeks!$A$7,$B604&gt;Weeks!$B$59),"date outside this workbook's year",IF(AND($D604="Advance",N($L604)&lt;0),"Warning: more than earned so far - worker now owes "&amp;TEXT(ROUND(-$L604,0),"#,##0"),"")))))))))</f>
        <v/>
      </c>
      <c r="N604" s="125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  <c r="AE604" s="126"/>
      <c r="AF604" s="126"/>
      <c r="AG604" s="126"/>
      <c r="AH604" s="126"/>
      <c r="AI604" s="126"/>
      <c r="AJ604" s="126"/>
      <c r="AK604" s="126"/>
      <c r="AL604" s="126"/>
      <c r="AM604" s="126"/>
      <c r="AN604" s="126"/>
    </row>
    <row r="605" spans="1:40" s="127" customFormat="1" ht="21" customHeight="1" x14ac:dyDescent="0.25">
      <c r="A605" s="51" t="str">
        <f t="shared" si="27"/>
        <v/>
      </c>
      <c r="B605" s="77"/>
      <c r="C605" s="133"/>
      <c r="D605" s="50"/>
      <c r="E605" s="141"/>
      <c r="F605" s="133"/>
      <c r="G605" s="133"/>
      <c r="H605" s="50"/>
      <c r="I605" s="51" t="str">
        <f t="shared" si="28"/>
        <v/>
      </c>
      <c r="J605" s="52" t="str">
        <f t="shared" si="29"/>
        <v/>
      </c>
      <c r="K605" s="142" t="str">
        <f>IF(OR($I605="",$I605="?",$D605&lt;&gt;"Advance",$B605=""),"",$I605&amp;"|"&amp;$J605&amp;"|"&amp;COUNTIFS($I$7:$I605,$I605,$J$7:$J605,$J605,$D$7:$D605,"Advance"))</f>
        <v/>
      </c>
      <c r="L605" s="143" t="str">
        <f>IF(OR($I605="",$I605="?",$B605=""),"",SUMPRODUCT((Weeks!$A$7:$A$59&lt;=$J605)*(Weeks!$X$5:$AI$5=$I605)*Weeks!$X$7:$AI$59)-SUMIFS($E$7:$E$1006,$I$7:$I$1006,$I605,$B$7:$B$1006,"&lt;="&amp;$B605))</f>
        <v/>
      </c>
      <c r="M605" s="132" t="str">
        <f>IF($B605&amp;$C605&amp;$D605&amp;$E605="","",IF($B605="","missing date",IF($C605="","missing worker",IF($I605="?","unknown worker - was the name changed on Workers?",IF($D605="","missing type",IF(N($E605)=0,"missing amount",IF(AND($E605&lt;0,$D605&lt;&gt;"Correction"),"negative amount - use a Correction to undo",IF(OR($B605&lt;Weeks!$A$7,$B605&gt;Weeks!$B$59),"date outside this workbook's year",IF(AND($D605="Advance",N($L605)&lt;0),"Warning: more than earned so far - worker now owes "&amp;TEXT(ROUND(-$L605,0),"#,##0"),"")))))))))</f>
        <v/>
      </c>
      <c r="N605" s="125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  <c r="AE605" s="126"/>
      <c r="AF605" s="126"/>
      <c r="AG605" s="126"/>
      <c r="AH605" s="126"/>
      <c r="AI605" s="126"/>
      <c r="AJ605" s="126"/>
      <c r="AK605" s="126"/>
      <c r="AL605" s="126"/>
      <c r="AM605" s="126"/>
      <c r="AN605" s="126"/>
    </row>
    <row r="606" spans="1:40" s="127" customFormat="1" ht="21" customHeight="1" x14ac:dyDescent="0.25">
      <c r="A606" s="51" t="str">
        <f t="shared" si="27"/>
        <v/>
      </c>
      <c r="B606" s="77"/>
      <c r="C606" s="133"/>
      <c r="D606" s="50"/>
      <c r="E606" s="141"/>
      <c r="F606" s="133"/>
      <c r="G606" s="133"/>
      <c r="H606" s="50"/>
      <c r="I606" s="51" t="str">
        <f t="shared" si="28"/>
        <v/>
      </c>
      <c r="J606" s="52" t="str">
        <f t="shared" si="29"/>
        <v/>
      </c>
      <c r="K606" s="142" t="str">
        <f>IF(OR($I606="",$I606="?",$D606&lt;&gt;"Advance",$B606=""),"",$I606&amp;"|"&amp;$J606&amp;"|"&amp;COUNTIFS($I$7:$I606,$I606,$J$7:$J606,$J606,$D$7:$D606,"Advance"))</f>
        <v/>
      </c>
      <c r="L606" s="143" t="str">
        <f>IF(OR($I606="",$I606="?",$B606=""),"",SUMPRODUCT((Weeks!$A$7:$A$59&lt;=$J606)*(Weeks!$X$5:$AI$5=$I606)*Weeks!$X$7:$AI$59)-SUMIFS($E$7:$E$1006,$I$7:$I$1006,$I606,$B$7:$B$1006,"&lt;="&amp;$B606))</f>
        <v/>
      </c>
      <c r="M606" s="132" t="str">
        <f>IF($B606&amp;$C606&amp;$D606&amp;$E606="","",IF($B606="","missing date",IF($C606="","missing worker",IF($I606="?","unknown worker - was the name changed on Workers?",IF($D606="","missing type",IF(N($E606)=0,"missing amount",IF(AND($E606&lt;0,$D606&lt;&gt;"Correction"),"negative amount - use a Correction to undo",IF(OR($B606&lt;Weeks!$A$7,$B606&gt;Weeks!$B$59),"date outside this workbook's year",IF(AND($D606="Advance",N($L606)&lt;0),"Warning: more than earned so far - worker now owes "&amp;TEXT(ROUND(-$L606,0),"#,##0"),"")))))))))</f>
        <v/>
      </c>
      <c r="N606" s="125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  <c r="AE606" s="126"/>
      <c r="AF606" s="126"/>
      <c r="AG606" s="126"/>
      <c r="AH606" s="126"/>
      <c r="AI606" s="126"/>
      <c r="AJ606" s="126"/>
      <c r="AK606" s="126"/>
      <c r="AL606" s="126"/>
      <c r="AM606" s="126"/>
      <c r="AN606" s="126"/>
    </row>
    <row r="607" spans="1:40" s="127" customFormat="1" ht="21" customHeight="1" x14ac:dyDescent="0.25">
      <c r="A607" s="51" t="str">
        <f t="shared" si="27"/>
        <v/>
      </c>
      <c r="B607" s="77"/>
      <c r="C607" s="133"/>
      <c r="D607" s="50"/>
      <c r="E607" s="141"/>
      <c r="F607" s="133"/>
      <c r="G607" s="133"/>
      <c r="H607" s="50"/>
      <c r="I607" s="51" t="str">
        <f t="shared" si="28"/>
        <v/>
      </c>
      <c r="J607" s="52" t="str">
        <f t="shared" si="29"/>
        <v/>
      </c>
      <c r="K607" s="142" t="str">
        <f>IF(OR($I607="",$I607="?",$D607&lt;&gt;"Advance",$B607=""),"",$I607&amp;"|"&amp;$J607&amp;"|"&amp;COUNTIFS($I$7:$I607,$I607,$J$7:$J607,$J607,$D$7:$D607,"Advance"))</f>
        <v/>
      </c>
      <c r="L607" s="143" t="str">
        <f>IF(OR($I607="",$I607="?",$B607=""),"",SUMPRODUCT((Weeks!$A$7:$A$59&lt;=$J607)*(Weeks!$X$5:$AI$5=$I607)*Weeks!$X$7:$AI$59)-SUMIFS($E$7:$E$1006,$I$7:$I$1006,$I607,$B$7:$B$1006,"&lt;="&amp;$B607))</f>
        <v/>
      </c>
      <c r="M607" s="132" t="str">
        <f>IF($B607&amp;$C607&amp;$D607&amp;$E607="","",IF($B607="","missing date",IF($C607="","missing worker",IF($I607="?","unknown worker - was the name changed on Workers?",IF($D607="","missing type",IF(N($E607)=0,"missing amount",IF(AND($E607&lt;0,$D607&lt;&gt;"Correction"),"negative amount - use a Correction to undo",IF(OR($B607&lt;Weeks!$A$7,$B607&gt;Weeks!$B$59),"date outside this workbook's year",IF(AND($D607="Advance",N($L607)&lt;0),"Warning: more than earned so far - worker now owes "&amp;TEXT(ROUND(-$L607,0),"#,##0"),"")))))))))</f>
        <v/>
      </c>
      <c r="N607" s="125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  <c r="AE607" s="126"/>
      <c r="AF607" s="126"/>
      <c r="AG607" s="126"/>
      <c r="AH607" s="126"/>
      <c r="AI607" s="126"/>
      <c r="AJ607" s="126"/>
      <c r="AK607" s="126"/>
      <c r="AL607" s="126"/>
      <c r="AM607" s="126"/>
      <c r="AN607" s="126"/>
    </row>
    <row r="608" spans="1:40" s="127" customFormat="1" ht="21" customHeight="1" x14ac:dyDescent="0.25">
      <c r="A608" s="51" t="str">
        <f t="shared" si="27"/>
        <v/>
      </c>
      <c r="B608" s="77"/>
      <c r="C608" s="133"/>
      <c r="D608" s="50"/>
      <c r="E608" s="141"/>
      <c r="F608" s="133"/>
      <c r="G608" s="133"/>
      <c r="H608" s="50"/>
      <c r="I608" s="51" t="str">
        <f t="shared" si="28"/>
        <v/>
      </c>
      <c r="J608" s="52" t="str">
        <f t="shared" si="29"/>
        <v/>
      </c>
      <c r="K608" s="142" t="str">
        <f>IF(OR($I608="",$I608="?",$D608&lt;&gt;"Advance",$B608=""),"",$I608&amp;"|"&amp;$J608&amp;"|"&amp;COUNTIFS($I$7:$I608,$I608,$J$7:$J608,$J608,$D$7:$D608,"Advance"))</f>
        <v/>
      </c>
      <c r="L608" s="143" t="str">
        <f>IF(OR($I608="",$I608="?",$B608=""),"",SUMPRODUCT((Weeks!$A$7:$A$59&lt;=$J608)*(Weeks!$X$5:$AI$5=$I608)*Weeks!$X$7:$AI$59)-SUMIFS($E$7:$E$1006,$I$7:$I$1006,$I608,$B$7:$B$1006,"&lt;="&amp;$B608))</f>
        <v/>
      </c>
      <c r="M608" s="132" t="str">
        <f>IF($B608&amp;$C608&amp;$D608&amp;$E608="","",IF($B608="","missing date",IF($C608="","missing worker",IF($I608="?","unknown worker - was the name changed on Workers?",IF($D608="","missing type",IF(N($E608)=0,"missing amount",IF(AND($E608&lt;0,$D608&lt;&gt;"Correction"),"negative amount - use a Correction to undo",IF(OR($B608&lt;Weeks!$A$7,$B608&gt;Weeks!$B$59),"date outside this workbook's year",IF(AND($D608="Advance",N($L608)&lt;0),"Warning: more than earned so far - worker now owes "&amp;TEXT(ROUND(-$L608,0),"#,##0"),"")))))))))</f>
        <v/>
      </c>
      <c r="N608" s="125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  <c r="AE608" s="126"/>
      <c r="AF608" s="126"/>
      <c r="AG608" s="126"/>
      <c r="AH608" s="126"/>
      <c r="AI608" s="126"/>
      <c r="AJ608" s="126"/>
      <c r="AK608" s="126"/>
      <c r="AL608" s="126"/>
      <c r="AM608" s="126"/>
      <c r="AN608" s="126"/>
    </row>
    <row r="609" spans="1:40" s="127" customFormat="1" ht="21" customHeight="1" x14ac:dyDescent="0.25">
      <c r="A609" s="51" t="str">
        <f t="shared" si="27"/>
        <v/>
      </c>
      <c r="B609" s="77"/>
      <c r="C609" s="133"/>
      <c r="D609" s="50"/>
      <c r="E609" s="141"/>
      <c r="F609" s="133"/>
      <c r="G609" s="133"/>
      <c r="H609" s="50"/>
      <c r="I609" s="51" t="str">
        <f t="shared" si="28"/>
        <v/>
      </c>
      <c r="J609" s="52" t="str">
        <f t="shared" si="29"/>
        <v/>
      </c>
      <c r="K609" s="142" t="str">
        <f>IF(OR($I609="",$I609="?",$D609&lt;&gt;"Advance",$B609=""),"",$I609&amp;"|"&amp;$J609&amp;"|"&amp;COUNTIFS($I$7:$I609,$I609,$J$7:$J609,$J609,$D$7:$D609,"Advance"))</f>
        <v/>
      </c>
      <c r="L609" s="143" t="str">
        <f>IF(OR($I609="",$I609="?",$B609=""),"",SUMPRODUCT((Weeks!$A$7:$A$59&lt;=$J609)*(Weeks!$X$5:$AI$5=$I609)*Weeks!$X$7:$AI$59)-SUMIFS($E$7:$E$1006,$I$7:$I$1006,$I609,$B$7:$B$1006,"&lt;="&amp;$B609))</f>
        <v/>
      </c>
      <c r="M609" s="132" t="str">
        <f>IF($B609&amp;$C609&amp;$D609&amp;$E609="","",IF($B609="","missing date",IF($C609="","missing worker",IF($I609="?","unknown worker - was the name changed on Workers?",IF($D609="","missing type",IF(N($E609)=0,"missing amount",IF(AND($E609&lt;0,$D609&lt;&gt;"Correction"),"negative amount - use a Correction to undo",IF(OR($B609&lt;Weeks!$A$7,$B609&gt;Weeks!$B$59),"date outside this workbook's year",IF(AND($D609="Advance",N($L609)&lt;0),"Warning: more than earned so far - worker now owes "&amp;TEXT(ROUND(-$L609,0),"#,##0"),"")))))))))</f>
        <v/>
      </c>
      <c r="N609" s="125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  <c r="AE609" s="126"/>
      <c r="AF609" s="126"/>
      <c r="AG609" s="126"/>
      <c r="AH609" s="126"/>
      <c r="AI609" s="126"/>
      <c r="AJ609" s="126"/>
      <c r="AK609" s="126"/>
      <c r="AL609" s="126"/>
      <c r="AM609" s="126"/>
      <c r="AN609" s="126"/>
    </row>
    <row r="610" spans="1:40" s="127" customFormat="1" ht="21" customHeight="1" x14ac:dyDescent="0.25">
      <c r="A610" s="51" t="str">
        <f t="shared" si="27"/>
        <v/>
      </c>
      <c r="B610" s="77"/>
      <c r="C610" s="133"/>
      <c r="D610" s="50"/>
      <c r="E610" s="141"/>
      <c r="F610" s="133"/>
      <c r="G610" s="133"/>
      <c r="H610" s="50"/>
      <c r="I610" s="51" t="str">
        <f t="shared" si="28"/>
        <v/>
      </c>
      <c r="J610" s="52" t="str">
        <f t="shared" si="29"/>
        <v/>
      </c>
      <c r="K610" s="142" t="str">
        <f>IF(OR($I610="",$I610="?",$D610&lt;&gt;"Advance",$B610=""),"",$I610&amp;"|"&amp;$J610&amp;"|"&amp;COUNTIFS($I$7:$I610,$I610,$J$7:$J610,$J610,$D$7:$D610,"Advance"))</f>
        <v/>
      </c>
      <c r="L610" s="143" t="str">
        <f>IF(OR($I610="",$I610="?",$B610=""),"",SUMPRODUCT((Weeks!$A$7:$A$59&lt;=$J610)*(Weeks!$X$5:$AI$5=$I610)*Weeks!$X$7:$AI$59)-SUMIFS($E$7:$E$1006,$I$7:$I$1006,$I610,$B$7:$B$1006,"&lt;="&amp;$B610))</f>
        <v/>
      </c>
      <c r="M610" s="132" t="str">
        <f>IF($B610&amp;$C610&amp;$D610&amp;$E610="","",IF($B610="","missing date",IF($C610="","missing worker",IF($I610="?","unknown worker - was the name changed on Workers?",IF($D610="","missing type",IF(N($E610)=0,"missing amount",IF(AND($E610&lt;0,$D610&lt;&gt;"Correction"),"negative amount - use a Correction to undo",IF(OR($B610&lt;Weeks!$A$7,$B610&gt;Weeks!$B$59),"date outside this workbook's year",IF(AND($D610="Advance",N($L610)&lt;0),"Warning: more than earned so far - worker now owes "&amp;TEXT(ROUND(-$L610,0),"#,##0"),"")))))))))</f>
        <v/>
      </c>
      <c r="N610" s="125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  <c r="AE610" s="126"/>
      <c r="AF610" s="126"/>
      <c r="AG610" s="126"/>
      <c r="AH610" s="126"/>
      <c r="AI610" s="126"/>
      <c r="AJ610" s="126"/>
      <c r="AK610" s="126"/>
      <c r="AL610" s="126"/>
      <c r="AM610" s="126"/>
      <c r="AN610" s="126"/>
    </row>
    <row r="611" spans="1:40" s="127" customFormat="1" ht="21" customHeight="1" x14ac:dyDescent="0.25">
      <c r="A611" s="51" t="str">
        <f t="shared" si="27"/>
        <v/>
      </c>
      <c r="B611" s="77"/>
      <c r="C611" s="133"/>
      <c r="D611" s="50"/>
      <c r="E611" s="141"/>
      <c r="F611" s="133"/>
      <c r="G611" s="133"/>
      <c r="H611" s="50"/>
      <c r="I611" s="51" t="str">
        <f t="shared" si="28"/>
        <v/>
      </c>
      <c r="J611" s="52" t="str">
        <f t="shared" si="29"/>
        <v/>
      </c>
      <c r="K611" s="142" t="str">
        <f>IF(OR($I611="",$I611="?",$D611&lt;&gt;"Advance",$B611=""),"",$I611&amp;"|"&amp;$J611&amp;"|"&amp;COUNTIFS($I$7:$I611,$I611,$J$7:$J611,$J611,$D$7:$D611,"Advance"))</f>
        <v/>
      </c>
      <c r="L611" s="143" t="str">
        <f>IF(OR($I611="",$I611="?",$B611=""),"",SUMPRODUCT((Weeks!$A$7:$A$59&lt;=$J611)*(Weeks!$X$5:$AI$5=$I611)*Weeks!$X$7:$AI$59)-SUMIFS($E$7:$E$1006,$I$7:$I$1006,$I611,$B$7:$B$1006,"&lt;="&amp;$B611))</f>
        <v/>
      </c>
      <c r="M611" s="132" t="str">
        <f>IF($B611&amp;$C611&amp;$D611&amp;$E611="","",IF($B611="","missing date",IF($C611="","missing worker",IF($I611="?","unknown worker - was the name changed on Workers?",IF($D611="","missing type",IF(N($E611)=0,"missing amount",IF(AND($E611&lt;0,$D611&lt;&gt;"Correction"),"negative amount - use a Correction to undo",IF(OR($B611&lt;Weeks!$A$7,$B611&gt;Weeks!$B$59),"date outside this workbook's year",IF(AND($D611="Advance",N($L611)&lt;0),"Warning: more than earned so far - worker now owes "&amp;TEXT(ROUND(-$L611,0),"#,##0"),"")))))))))</f>
        <v/>
      </c>
      <c r="N611" s="125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  <c r="AE611" s="126"/>
      <c r="AF611" s="126"/>
      <c r="AG611" s="126"/>
      <c r="AH611" s="126"/>
      <c r="AI611" s="126"/>
      <c r="AJ611" s="126"/>
      <c r="AK611" s="126"/>
      <c r="AL611" s="126"/>
      <c r="AM611" s="126"/>
      <c r="AN611" s="126"/>
    </row>
    <row r="612" spans="1:40" s="127" customFormat="1" ht="21" customHeight="1" x14ac:dyDescent="0.25">
      <c r="A612" s="51" t="str">
        <f t="shared" si="27"/>
        <v/>
      </c>
      <c r="B612" s="77"/>
      <c r="C612" s="133"/>
      <c r="D612" s="50"/>
      <c r="E612" s="141"/>
      <c r="F612" s="133"/>
      <c r="G612" s="133"/>
      <c r="H612" s="50"/>
      <c r="I612" s="51" t="str">
        <f t="shared" si="28"/>
        <v/>
      </c>
      <c r="J612" s="52" t="str">
        <f t="shared" si="29"/>
        <v/>
      </c>
      <c r="K612" s="142" t="str">
        <f>IF(OR($I612="",$I612="?",$D612&lt;&gt;"Advance",$B612=""),"",$I612&amp;"|"&amp;$J612&amp;"|"&amp;COUNTIFS($I$7:$I612,$I612,$J$7:$J612,$J612,$D$7:$D612,"Advance"))</f>
        <v/>
      </c>
      <c r="L612" s="143" t="str">
        <f>IF(OR($I612="",$I612="?",$B612=""),"",SUMPRODUCT((Weeks!$A$7:$A$59&lt;=$J612)*(Weeks!$X$5:$AI$5=$I612)*Weeks!$X$7:$AI$59)-SUMIFS($E$7:$E$1006,$I$7:$I$1006,$I612,$B$7:$B$1006,"&lt;="&amp;$B612))</f>
        <v/>
      </c>
      <c r="M612" s="132" t="str">
        <f>IF($B612&amp;$C612&amp;$D612&amp;$E612="","",IF($B612="","missing date",IF($C612="","missing worker",IF($I612="?","unknown worker - was the name changed on Workers?",IF($D612="","missing type",IF(N($E612)=0,"missing amount",IF(AND($E612&lt;0,$D612&lt;&gt;"Correction"),"negative amount - use a Correction to undo",IF(OR($B612&lt;Weeks!$A$7,$B612&gt;Weeks!$B$59),"date outside this workbook's year",IF(AND($D612="Advance",N($L612)&lt;0),"Warning: more than earned so far - worker now owes "&amp;TEXT(ROUND(-$L612,0),"#,##0"),"")))))))))</f>
        <v/>
      </c>
      <c r="N612" s="125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  <c r="AE612" s="126"/>
      <c r="AF612" s="126"/>
      <c r="AG612" s="126"/>
      <c r="AH612" s="126"/>
      <c r="AI612" s="126"/>
      <c r="AJ612" s="126"/>
      <c r="AK612" s="126"/>
      <c r="AL612" s="126"/>
      <c r="AM612" s="126"/>
      <c r="AN612" s="126"/>
    </row>
    <row r="613" spans="1:40" s="127" customFormat="1" ht="21" customHeight="1" x14ac:dyDescent="0.25">
      <c r="A613" s="51" t="str">
        <f t="shared" si="27"/>
        <v/>
      </c>
      <c r="B613" s="77"/>
      <c r="C613" s="133"/>
      <c r="D613" s="50"/>
      <c r="E613" s="141"/>
      <c r="F613" s="133"/>
      <c r="G613" s="133"/>
      <c r="H613" s="50"/>
      <c r="I613" s="51" t="str">
        <f t="shared" si="28"/>
        <v/>
      </c>
      <c r="J613" s="52" t="str">
        <f t="shared" si="29"/>
        <v/>
      </c>
      <c r="K613" s="142" t="str">
        <f>IF(OR($I613="",$I613="?",$D613&lt;&gt;"Advance",$B613=""),"",$I613&amp;"|"&amp;$J613&amp;"|"&amp;COUNTIFS($I$7:$I613,$I613,$J$7:$J613,$J613,$D$7:$D613,"Advance"))</f>
        <v/>
      </c>
      <c r="L613" s="143" t="str">
        <f>IF(OR($I613="",$I613="?",$B613=""),"",SUMPRODUCT((Weeks!$A$7:$A$59&lt;=$J613)*(Weeks!$X$5:$AI$5=$I613)*Weeks!$X$7:$AI$59)-SUMIFS($E$7:$E$1006,$I$7:$I$1006,$I613,$B$7:$B$1006,"&lt;="&amp;$B613))</f>
        <v/>
      </c>
      <c r="M613" s="132" t="str">
        <f>IF($B613&amp;$C613&amp;$D613&amp;$E613="","",IF($B613="","missing date",IF($C613="","missing worker",IF($I613="?","unknown worker - was the name changed on Workers?",IF($D613="","missing type",IF(N($E613)=0,"missing amount",IF(AND($E613&lt;0,$D613&lt;&gt;"Correction"),"negative amount - use a Correction to undo",IF(OR($B613&lt;Weeks!$A$7,$B613&gt;Weeks!$B$59),"date outside this workbook's year",IF(AND($D613="Advance",N($L613)&lt;0),"Warning: more than earned so far - worker now owes "&amp;TEXT(ROUND(-$L613,0),"#,##0"),"")))))))))</f>
        <v/>
      </c>
      <c r="N613" s="125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  <c r="AE613" s="126"/>
      <c r="AF613" s="126"/>
      <c r="AG613" s="126"/>
      <c r="AH613" s="126"/>
      <c r="AI613" s="126"/>
      <c r="AJ613" s="126"/>
      <c r="AK613" s="126"/>
      <c r="AL613" s="126"/>
      <c r="AM613" s="126"/>
      <c r="AN613" s="126"/>
    </row>
    <row r="614" spans="1:40" s="127" customFormat="1" ht="21" customHeight="1" x14ac:dyDescent="0.25">
      <c r="A614" s="51" t="str">
        <f t="shared" si="27"/>
        <v/>
      </c>
      <c r="B614" s="77"/>
      <c r="C614" s="133"/>
      <c r="D614" s="50"/>
      <c r="E614" s="141"/>
      <c r="F614" s="133"/>
      <c r="G614" s="133"/>
      <c r="H614" s="50"/>
      <c r="I614" s="51" t="str">
        <f t="shared" si="28"/>
        <v/>
      </c>
      <c r="J614" s="52" t="str">
        <f t="shared" si="29"/>
        <v/>
      </c>
      <c r="K614" s="142" t="str">
        <f>IF(OR($I614="",$I614="?",$D614&lt;&gt;"Advance",$B614=""),"",$I614&amp;"|"&amp;$J614&amp;"|"&amp;COUNTIFS($I$7:$I614,$I614,$J$7:$J614,$J614,$D$7:$D614,"Advance"))</f>
        <v/>
      </c>
      <c r="L614" s="143" t="str">
        <f>IF(OR($I614="",$I614="?",$B614=""),"",SUMPRODUCT((Weeks!$A$7:$A$59&lt;=$J614)*(Weeks!$X$5:$AI$5=$I614)*Weeks!$X$7:$AI$59)-SUMIFS($E$7:$E$1006,$I$7:$I$1006,$I614,$B$7:$B$1006,"&lt;="&amp;$B614))</f>
        <v/>
      </c>
      <c r="M614" s="132" t="str">
        <f>IF($B614&amp;$C614&amp;$D614&amp;$E614="","",IF($B614="","missing date",IF($C614="","missing worker",IF($I614="?","unknown worker - was the name changed on Workers?",IF($D614="","missing type",IF(N($E614)=0,"missing amount",IF(AND($E614&lt;0,$D614&lt;&gt;"Correction"),"negative amount - use a Correction to undo",IF(OR($B614&lt;Weeks!$A$7,$B614&gt;Weeks!$B$59),"date outside this workbook's year",IF(AND($D614="Advance",N($L614)&lt;0),"Warning: more than earned so far - worker now owes "&amp;TEXT(ROUND(-$L614,0),"#,##0"),"")))))))))</f>
        <v/>
      </c>
      <c r="N614" s="125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  <c r="AE614" s="126"/>
      <c r="AF614" s="126"/>
      <c r="AG614" s="126"/>
      <c r="AH614" s="126"/>
      <c r="AI614" s="126"/>
      <c r="AJ614" s="126"/>
      <c r="AK614" s="126"/>
      <c r="AL614" s="126"/>
      <c r="AM614" s="126"/>
      <c r="AN614" s="126"/>
    </row>
    <row r="615" spans="1:40" s="127" customFormat="1" ht="21" customHeight="1" x14ac:dyDescent="0.25">
      <c r="A615" s="51" t="str">
        <f t="shared" si="27"/>
        <v/>
      </c>
      <c r="B615" s="77"/>
      <c r="C615" s="133"/>
      <c r="D615" s="50"/>
      <c r="E615" s="141"/>
      <c r="F615" s="133"/>
      <c r="G615" s="133"/>
      <c r="H615" s="50"/>
      <c r="I615" s="51" t="str">
        <f t="shared" si="28"/>
        <v/>
      </c>
      <c r="J615" s="52" t="str">
        <f t="shared" si="29"/>
        <v/>
      </c>
      <c r="K615" s="142" t="str">
        <f>IF(OR($I615="",$I615="?",$D615&lt;&gt;"Advance",$B615=""),"",$I615&amp;"|"&amp;$J615&amp;"|"&amp;COUNTIFS($I$7:$I615,$I615,$J$7:$J615,$J615,$D$7:$D615,"Advance"))</f>
        <v/>
      </c>
      <c r="L615" s="143" t="str">
        <f>IF(OR($I615="",$I615="?",$B615=""),"",SUMPRODUCT((Weeks!$A$7:$A$59&lt;=$J615)*(Weeks!$X$5:$AI$5=$I615)*Weeks!$X$7:$AI$59)-SUMIFS($E$7:$E$1006,$I$7:$I$1006,$I615,$B$7:$B$1006,"&lt;="&amp;$B615))</f>
        <v/>
      </c>
      <c r="M615" s="132" t="str">
        <f>IF($B615&amp;$C615&amp;$D615&amp;$E615="","",IF($B615="","missing date",IF($C615="","missing worker",IF($I615="?","unknown worker - was the name changed on Workers?",IF($D615="","missing type",IF(N($E615)=0,"missing amount",IF(AND($E615&lt;0,$D615&lt;&gt;"Correction"),"negative amount - use a Correction to undo",IF(OR($B615&lt;Weeks!$A$7,$B615&gt;Weeks!$B$59),"date outside this workbook's year",IF(AND($D615="Advance",N($L615)&lt;0),"Warning: more than earned so far - worker now owes "&amp;TEXT(ROUND(-$L615,0),"#,##0"),"")))))))))</f>
        <v/>
      </c>
      <c r="N615" s="125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  <c r="AE615" s="126"/>
      <c r="AF615" s="126"/>
      <c r="AG615" s="126"/>
      <c r="AH615" s="126"/>
      <c r="AI615" s="126"/>
      <c r="AJ615" s="126"/>
      <c r="AK615" s="126"/>
      <c r="AL615" s="126"/>
      <c r="AM615" s="126"/>
      <c r="AN615" s="126"/>
    </row>
    <row r="616" spans="1:40" s="127" customFormat="1" ht="21" customHeight="1" x14ac:dyDescent="0.25">
      <c r="A616" s="51" t="str">
        <f t="shared" si="27"/>
        <v/>
      </c>
      <c r="B616" s="77"/>
      <c r="C616" s="133"/>
      <c r="D616" s="50"/>
      <c r="E616" s="141"/>
      <c r="F616" s="133"/>
      <c r="G616" s="133"/>
      <c r="H616" s="50"/>
      <c r="I616" s="51" t="str">
        <f t="shared" si="28"/>
        <v/>
      </c>
      <c r="J616" s="52" t="str">
        <f t="shared" si="29"/>
        <v/>
      </c>
      <c r="K616" s="142" t="str">
        <f>IF(OR($I616="",$I616="?",$D616&lt;&gt;"Advance",$B616=""),"",$I616&amp;"|"&amp;$J616&amp;"|"&amp;COUNTIFS($I$7:$I616,$I616,$J$7:$J616,$J616,$D$7:$D616,"Advance"))</f>
        <v/>
      </c>
      <c r="L616" s="143" t="str">
        <f>IF(OR($I616="",$I616="?",$B616=""),"",SUMPRODUCT((Weeks!$A$7:$A$59&lt;=$J616)*(Weeks!$X$5:$AI$5=$I616)*Weeks!$X$7:$AI$59)-SUMIFS($E$7:$E$1006,$I$7:$I$1006,$I616,$B$7:$B$1006,"&lt;="&amp;$B616))</f>
        <v/>
      </c>
      <c r="M616" s="132" t="str">
        <f>IF($B616&amp;$C616&amp;$D616&amp;$E616="","",IF($B616="","missing date",IF($C616="","missing worker",IF($I616="?","unknown worker - was the name changed on Workers?",IF($D616="","missing type",IF(N($E616)=0,"missing amount",IF(AND($E616&lt;0,$D616&lt;&gt;"Correction"),"negative amount - use a Correction to undo",IF(OR($B616&lt;Weeks!$A$7,$B616&gt;Weeks!$B$59),"date outside this workbook's year",IF(AND($D616="Advance",N($L616)&lt;0),"Warning: more than earned so far - worker now owes "&amp;TEXT(ROUND(-$L616,0),"#,##0"),"")))))))))</f>
        <v/>
      </c>
      <c r="N616" s="125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  <c r="AE616" s="126"/>
      <c r="AF616" s="126"/>
      <c r="AG616" s="126"/>
      <c r="AH616" s="126"/>
      <c r="AI616" s="126"/>
      <c r="AJ616" s="126"/>
      <c r="AK616" s="126"/>
      <c r="AL616" s="126"/>
      <c r="AM616" s="126"/>
      <c r="AN616" s="126"/>
    </row>
    <row r="617" spans="1:40" s="127" customFormat="1" ht="21" customHeight="1" x14ac:dyDescent="0.25">
      <c r="A617" s="51" t="str">
        <f t="shared" si="27"/>
        <v/>
      </c>
      <c r="B617" s="77"/>
      <c r="C617" s="133"/>
      <c r="D617" s="50"/>
      <c r="E617" s="141"/>
      <c r="F617" s="133"/>
      <c r="G617" s="133"/>
      <c r="H617" s="50"/>
      <c r="I617" s="51" t="str">
        <f t="shared" si="28"/>
        <v/>
      </c>
      <c r="J617" s="52" t="str">
        <f t="shared" si="29"/>
        <v/>
      </c>
      <c r="K617" s="142" t="str">
        <f>IF(OR($I617="",$I617="?",$D617&lt;&gt;"Advance",$B617=""),"",$I617&amp;"|"&amp;$J617&amp;"|"&amp;COUNTIFS($I$7:$I617,$I617,$J$7:$J617,$J617,$D$7:$D617,"Advance"))</f>
        <v/>
      </c>
      <c r="L617" s="143" t="str">
        <f>IF(OR($I617="",$I617="?",$B617=""),"",SUMPRODUCT((Weeks!$A$7:$A$59&lt;=$J617)*(Weeks!$X$5:$AI$5=$I617)*Weeks!$X$7:$AI$59)-SUMIFS($E$7:$E$1006,$I$7:$I$1006,$I617,$B$7:$B$1006,"&lt;="&amp;$B617))</f>
        <v/>
      </c>
      <c r="M617" s="132" t="str">
        <f>IF($B617&amp;$C617&amp;$D617&amp;$E617="","",IF($B617="","missing date",IF($C617="","missing worker",IF($I617="?","unknown worker - was the name changed on Workers?",IF($D617="","missing type",IF(N($E617)=0,"missing amount",IF(AND($E617&lt;0,$D617&lt;&gt;"Correction"),"negative amount - use a Correction to undo",IF(OR($B617&lt;Weeks!$A$7,$B617&gt;Weeks!$B$59),"date outside this workbook's year",IF(AND($D617="Advance",N($L617)&lt;0),"Warning: more than earned so far - worker now owes "&amp;TEXT(ROUND(-$L617,0),"#,##0"),"")))))))))</f>
        <v/>
      </c>
      <c r="N617" s="125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  <c r="AE617" s="126"/>
      <c r="AF617" s="126"/>
      <c r="AG617" s="126"/>
      <c r="AH617" s="126"/>
      <c r="AI617" s="126"/>
      <c r="AJ617" s="126"/>
      <c r="AK617" s="126"/>
      <c r="AL617" s="126"/>
      <c r="AM617" s="126"/>
      <c r="AN617" s="126"/>
    </row>
    <row r="618" spans="1:40" s="127" customFormat="1" ht="21" customHeight="1" x14ac:dyDescent="0.25">
      <c r="A618" s="51" t="str">
        <f t="shared" si="27"/>
        <v/>
      </c>
      <c r="B618" s="77"/>
      <c r="C618" s="133"/>
      <c r="D618" s="50"/>
      <c r="E618" s="141"/>
      <c r="F618" s="133"/>
      <c r="G618" s="133"/>
      <c r="H618" s="50"/>
      <c r="I618" s="51" t="str">
        <f t="shared" si="28"/>
        <v/>
      </c>
      <c r="J618" s="52" t="str">
        <f t="shared" si="29"/>
        <v/>
      </c>
      <c r="K618" s="142" t="str">
        <f>IF(OR($I618="",$I618="?",$D618&lt;&gt;"Advance",$B618=""),"",$I618&amp;"|"&amp;$J618&amp;"|"&amp;COUNTIFS($I$7:$I618,$I618,$J$7:$J618,$J618,$D$7:$D618,"Advance"))</f>
        <v/>
      </c>
      <c r="L618" s="143" t="str">
        <f>IF(OR($I618="",$I618="?",$B618=""),"",SUMPRODUCT((Weeks!$A$7:$A$59&lt;=$J618)*(Weeks!$X$5:$AI$5=$I618)*Weeks!$X$7:$AI$59)-SUMIFS($E$7:$E$1006,$I$7:$I$1006,$I618,$B$7:$B$1006,"&lt;="&amp;$B618))</f>
        <v/>
      </c>
      <c r="M618" s="132" t="str">
        <f>IF($B618&amp;$C618&amp;$D618&amp;$E618="","",IF($B618="","missing date",IF($C618="","missing worker",IF($I618="?","unknown worker - was the name changed on Workers?",IF($D618="","missing type",IF(N($E618)=0,"missing amount",IF(AND($E618&lt;0,$D618&lt;&gt;"Correction"),"negative amount - use a Correction to undo",IF(OR($B618&lt;Weeks!$A$7,$B618&gt;Weeks!$B$59),"date outside this workbook's year",IF(AND($D618="Advance",N($L618)&lt;0),"Warning: more than earned so far - worker now owes "&amp;TEXT(ROUND(-$L618,0),"#,##0"),"")))))))))</f>
        <v/>
      </c>
      <c r="N618" s="125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  <c r="AE618" s="126"/>
      <c r="AF618" s="126"/>
      <c r="AG618" s="126"/>
      <c r="AH618" s="126"/>
      <c r="AI618" s="126"/>
      <c r="AJ618" s="126"/>
      <c r="AK618" s="126"/>
      <c r="AL618" s="126"/>
      <c r="AM618" s="126"/>
      <c r="AN618" s="126"/>
    </row>
    <row r="619" spans="1:40" s="127" customFormat="1" ht="21" customHeight="1" x14ac:dyDescent="0.25">
      <c r="A619" s="51" t="str">
        <f t="shared" si="27"/>
        <v/>
      </c>
      <c r="B619" s="77"/>
      <c r="C619" s="133"/>
      <c r="D619" s="50"/>
      <c r="E619" s="141"/>
      <c r="F619" s="133"/>
      <c r="G619" s="133"/>
      <c r="H619" s="50"/>
      <c r="I619" s="51" t="str">
        <f t="shared" si="28"/>
        <v/>
      </c>
      <c r="J619" s="52" t="str">
        <f t="shared" si="29"/>
        <v/>
      </c>
      <c r="K619" s="142" t="str">
        <f>IF(OR($I619="",$I619="?",$D619&lt;&gt;"Advance",$B619=""),"",$I619&amp;"|"&amp;$J619&amp;"|"&amp;COUNTIFS($I$7:$I619,$I619,$J$7:$J619,$J619,$D$7:$D619,"Advance"))</f>
        <v/>
      </c>
      <c r="L619" s="143" t="str">
        <f>IF(OR($I619="",$I619="?",$B619=""),"",SUMPRODUCT((Weeks!$A$7:$A$59&lt;=$J619)*(Weeks!$X$5:$AI$5=$I619)*Weeks!$X$7:$AI$59)-SUMIFS($E$7:$E$1006,$I$7:$I$1006,$I619,$B$7:$B$1006,"&lt;="&amp;$B619))</f>
        <v/>
      </c>
      <c r="M619" s="132" t="str">
        <f>IF($B619&amp;$C619&amp;$D619&amp;$E619="","",IF($B619="","missing date",IF($C619="","missing worker",IF($I619="?","unknown worker - was the name changed on Workers?",IF($D619="","missing type",IF(N($E619)=0,"missing amount",IF(AND($E619&lt;0,$D619&lt;&gt;"Correction"),"negative amount - use a Correction to undo",IF(OR($B619&lt;Weeks!$A$7,$B619&gt;Weeks!$B$59),"date outside this workbook's year",IF(AND($D619="Advance",N($L619)&lt;0),"Warning: more than earned so far - worker now owes "&amp;TEXT(ROUND(-$L619,0),"#,##0"),"")))))))))</f>
        <v/>
      </c>
      <c r="N619" s="125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  <c r="AE619" s="126"/>
      <c r="AF619" s="126"/>
      <c r="AG619" s="126"/>
      <c r="AH619" s="126"/>
      <c r="AI619" s="126"/>
      <c r="AJ619" s="126"/>
      <c r="AK619" s="126"/>
      <c r="AL619" s="126"/>
      <c r="AM619" s="126"/>
      <c r="AN619" s="126"/>
    </row>
    <row r="620" spans="1:40" s="127" customFormat="1" ht="21" customHeight="1" x14ac:dyDescent="0.25">
      <c r="A620" s="51" t="str">
        <f t="shared" si="27"/>
        <v/>
      </c>
      <c r="B620" s="77"/>
      <c r="C620" s="133"/>
      <c r="D620" s="50"/>
      <c r="E620" s="141"/>
      <c r="F620" s="133"/>
      <c r="G620" s="133"/>
      <c r="H620" s="50"/>
      <c r="I620" s="51" t="str">
        <f t="shared" si="28"/>
        <v/>
      </c>
      <c r="J620" s="52" t="str">
        <f t="shared" si="29"/>
        <v/>
      </c>
      <c r="K620" s="142" t="str">
        <f>IF(OR($I620="",$I620="?",$D620&lt;&gt;"Advance",$B620=""),"",$I620&amp;"|"&amp;$J620&amp;"|"&amp;COUNTIFS($I$7:$I620,$I620,$J$7:$J620,$J620,$D$7:$D620,"Advance"))</f>
        <v/>
      </c>
      <c r="L620" s="143" t="str">
        <f>IF(OR($I620="",$I620="?",$B620=""),"",SUMPRODUCT((Weeks!$A$7:$A$59&lt;=$J620)*(Weeks!$X$5:$AI$5=$I620)*Weeks!$X$7:$AI$59)-SUMIFS($E$7:$E$1006,$I$7:$I$1006,$I620,$B$7:$B$1006,"&lt;="&amp;$B620))</f>
        <v/>
      </c>
      <c r="M620" s="132" t="str">
        <f>IF($B620&amp;$C620&amp;$D620&amp;$E620="","",IF($B620="","missing date",IF($C620="","missing worker",IF($I620="?","unknown worker - was the name changed on Workers?",IF($D620="","missing type",IF(N($E620)=0,"missing amount",IF(AND($E620&lt;0,$D620&lt;&gt;"Correction"),"negative amount - use a Correction to undo",IF(OR($B620&lt;Weeks!$A$7,$B620&gt;Weeks!$B$59),"date outside this workbook's year",IF(AND($D620="Advance",N($L620)&lt;0),"Warning: more than earned so far - worker now owes "&amp;TEXT(ROUND(-$L620,0),"#,##0"),"")))))))))</f>
        <v/>
      </c>
      <c r="N620" s="125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126"/>
      <c r="AH620" s="126"/>
      <c r="AI620" s="126"/>
      <c r="AJ620" s="126"/>
      <c r="AK620" s="126"/>
      <c r="AL620" s="126"/>
      <c r="AM620" s="126"/>
      <c r="AN620" s="126"/>
    </row>
    <row r="621" spans="1:40" s="127" customFormat="1" ht="21" customHeight="1" x14ac:dyDescent="0.25">
      <c r="A621" s="51" t="str">
        <f t="shared" si="27"/>
        <v/>
      </c>
      <c r="B621" s="77"/>
      <c r="C621" s="133"/>
      <c r="D621" s="50"/>
      <c r="E621" s="141"/>
      <c r="F621" s="133"/>
      <c r="G621" s="133"/>
      <c r="H621" s="50"/>
      <c r="I621" s="51" t="str">
        <f t="shared" si="28"/>
        <v/>
      </c>
      <c r="J621" s="52" t="str">
        <f t="shared" si="29"/>
        <v/>
      </c>
      <c r="K621" s="142" t="str">
        <f>IF(OR($I621="",$I621="?",$D621&lt;&gt;"Advance",$B621=""),"",$I621&amp;"|"&amp;$J621&amp;"|"&amp;COUNTIFS($I$7:$I621,$I621,$J$7:$J621,$J621,$D$7:$D621,"Advance"))</f>
        <v/>
      </c>
      <c r="L621" s="143" t="str">
        <f>IF(OR($I621="",$I621="?",$B621=""),"",SUMPRODUCT((Weeks!$A$7:$A$59&lt;=$J621)*(Weeks!$X$5:$AI$5=$I621)*Weeks!$X$7:$AI$59)-SUMIFS($E$7:$E$1006,$I$7:$I$1006,$I621,$B$7:$B$1006,"&lt;="&amp;$B621))</f>
        <v/>
      </c>
      <c r="M621" s="132" t="str">
        <f>IF($B621&amp;$C621&amp;$D621&amp;$E621="","",IF($B621="","missing date",IF($C621="","missing worker",IF($I621="?","unknown worker - was the name changed on Workers?",IF($D621="","missing type",IF(N($E621)=0,"missing amount",IF(AND($E621&lt;0,$D621&lt;&gt;"Correction"),"negative amount - use a Correction to undo",IF(OR($B621&lt;Weeks!$A$7,$B621&gt;Weeks!$B$59),"date outside this workbook's year",IF(AND($D621="Advance",N($L621)&lt;0),"Warning: more than earned so far - worker now owes "&amp;TEXT(ROUND(-$L621,0),"#,##0"),"")))))))))</f>
        <v/>
      </c>
      <c r="N621" s="125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126"/>
      <c r="AH621" s="126"/>
      <c r="AI621" s="126"/>
      <c r="AJ621" s="126"/>
      <c r="AK621" s="126"/>
      <c r="AL621" s="126"/>
      <c r="AM621" s="126"/>
      <c r="AN621" s="126"/>
    </row>
    <row r="622" spans="1:40" s="127" customFormat="1" ht="21" customHeight="1" x14ac:dyDescent="0.25">
      <c r="A622" s="51" t="str">
        <f t="shared" si="27"/>
        <v/>
      </c>
      <c r="B622" s="77"/>
      <c r="C622" s="133"/>
      <c r="D622" s="50"/>
      <c r="E622" s="141"/>
      <c r="F622" s="133"/>
      <c r="G622" s="133"/>
      <c r="H622" s="50"/>
      <c r="I622" s="51" t="str">
        <f t="shared" si="28"/>
        <v/>
      </c>
      <c r="J622" s="52" t="str">
        <f t="shared" si="29"/>
        <v/>
      </c>
      <c r="K622" s="142" t="str">
        <f>IF(OR($I622="",$I622="?",$D622&lt;&gt;"Advance",$B622=""),"",$I622&amp;"|"&amp;$J622&amp;"|"&amp;COUNTIFS($I$7:$I622,$I622,$J$7:$J622,$J622,$D$7:$D622,"Advance"))</f>
        <v/>
      </c>
      <c r="L622" s="143" t="str">
        <f>IF(OR($I622="",$I622="?",$B622=""),"",SUMPRODUCT((Weeks!$A$7:$A$59&lt;=$J622)*(Weeks!$X$5:$AI$5=$I622)*Weeks!$X$7:$AI$59)-SUMIFS($E$7:$E$1006,$I$7:$I$1006,$I622,$B$7:$B$1006,"&lt;="&amp;$B622))</f>
        <v/>
      </c>
      <c r="M622" s="132" t="str">
        <f>IF($B622&amp;$C622&amp;$D622&amp;$E622="","",IF($B622="","missing date",IF($C622="","missing worker",IF($I622="?","unknown worker - was the name changed on Workers?",IF($D622="","missing type",IF(N($E622)=0,"missing amount",IF(AND($E622&lt;0,$D622&lt;&gt;"Correction"),"negative amount - use a Correction to undo",IF(OR($B622&lt;Weeks!$A$7,$B622&gt;Weeks!$B$59),"date outside this workbook's year",IF(AND($D622="Advance",N($L622)&lt;0),"Warning: more than earned so far - worker now owes "&amp;TEXT(ROUND(-$L622,0),"#,##0"),"")))))))))</f>
        <v/>
      </c>
      <c r="N622" s="125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  <c r="AE622" s="126"/>
      <c r="AF622" s="126"/>
      <c r="AG622" s="126"/>
      <c r="AH622" s="126"/>
      <c r="AI622" s="126"/>
      <c r="AJ622" s="126"/>
      <c r="AK622" s="126"/>
      <c r="AL622" s="126"/>
      <c r="AM622" s="126"/>
      <c r="AN622" s="126"/>
    </row>
    <row r="623" spans="1:40" s="127" customFormat="1" ht="21" customHeight="1" x14ac:dyDescent="0.25">
      <c r="A623" s="51" t="str">
        <f t="shared" si="27"/>
        <v/>
      </c>
      <c r="B623" s="77"/>
      <c r="C623" s="133"/>
      <c r="D623" s="50"/>
      <c r="E623" s="141"/>
      <c r="F623" s="133"/>
      <c r="G623" s="133"/>
      <c r="H623" s="50"/>
      <c r="I623" s="51" t="str">
        <f t="shared" si="28"/>
        <v/>
      </c>
      <c r="J623" s="52" t="str">
        <f t="shared" si="29"/>
        <v/>
      </c>
      <c r="K623" s="142" t="str">
        <f>IF(OR($I623="",$I623="?",$D623&lt;&gt;"Advance",$B623=""),"",$I623&amp;"|"&amp;$J623&amp;"|"&amp;COUNTIFS($I$7:$I623,$I623,$J$7:$J623,$J623,$D$7:$D623,"Advance"))</f>
        <v/>
      </c>
      <c r="L623" s="143" t="str">
        <f>IF(OR($I623="",$I623="?",$B623=""),"",SUMPRODUCT((Weeks!$A$7:$A$59&lt;=$J623)*(Weeks!$X$5:$AI$5=$I623)*Weeks!$X$7:$AI$59)-SUMIFS($E$7:$E$1006,$I$7:$I$1006,$I623,$B$7:$B$1006,"&lt;="&amp;$B623))</f>
        <v/>
      </c>
      <c r="M623" s="132" t="str">
        <f>IF($B623&amp;$C623&amp;$D623&amp;$E623="","",IF($B623="","missing date",IF($C623="","missing worker",IF($I623="?","unknown worker - was the name changed on Workers?",IF($D623="","missing type",IF(N($E623)=0,"missing amount",IF(AND($E623&lt;0,$D623&lt;&gt;"Correction"),"negative amount - use a Correction to undo",IF(OR($B623&lt;Weeks!$A$7,$B623&gt;Weeks!$B$59),"date outside this workbook's year",IF(AND($D623="Advance",N($L623)&lt;0),"Warning: more than earned so far - worker now owes "&amp;TEXT(ROUND(-$L623,0),"#,##0"),"")))))))))</f>
        <v/>
      </c>
      <c r="N623" s="125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  <c r="AE623" s="126"/>
      <c r="AF623" s="126"/>
      <c r="AG623" s="126"/>
      <c r="AH623" s="126"/>
      <c r="AI623" s="126"/>
      <c r="AJ623" s="126"/>
      <c r="AK623" s="126"/>
      <c r="AL623" s="126"/>
      <c r="AM623" s="126"/>
      <c r="AN623" s="126"/>
    </row>
    <row r="624" spans="1:40" s="127" customFormat="1" ht="21" customHeight="1" x14ac:dyDescent="0.25">
      <c r="A624" s="51" t="str">
        <f t="shared" si="27"/>
        <v/>
      </c>
      <c r="B624" s="77"/>
      <c r="C624" s="133"/>
      <c r="D624" s="50"/>
      <c r="E624" s="141"/>
      <c r="F624" s="133"/>
      <c r="G624" s="133"/>
      <c r="H624" s="50"/>
      <c r="I624" s="51" t="str">
        <f t="shared" si="28"/>
        <v/>
      </c>
      <c r="J624" s="52" t="str">
        <f t="shared" si="29"/>
        <v/>
      </c>
      <c r="K624" s="142" t="str">
        <f>IF(OR($I624="",$I624="?",$D624&lt;&gt;"Advance",$B624=""),"",$I624&amp;"|"&amp;$J624&amp;"|"&amp;COUNTIFS($I$7:$I624,$I624,$J$7:$J624,$J624,$D$7:$D624,"Advance"))</f>
        <v/>
      </c>
      <c r="L624" s="143" t="str">
        <f>IF(OR($I624="",$I624="?",$B624=""),"",SUMPRODUCT((Weeks!$A$7:$A$59&lt;=$J624)*(Weeks!$X$5:$AI$5=$I624)*Weeks!$X$7:$AI$59)-SUMIFS($E$7:$E$1006,$I$7:$I$1006,$I624,$B$7:$B$1006,"&lt;="&amp;$B624))</f>
        <v/>
      </c>
      <c r="M624" s="132" t="str">
        <f>IF($B624&amp;$C624&amp;$D624&amp;$E624="","",IF($B624="","missing date",IF($C624="","missing worker",IF($I624="?","unknown worker - was the name changed on Workers?",IF($D624="","missing type",IF(N($E624)=0,"missing amount",IF(AND($E624&lt;0,$D624&lt;&gt;"Correction"),"negative amount - use a Correction to undo",IF(OR($B624&lt;Weeks!$A$7,$B624&gt;Weeks!$B$59),"date outside this workbook's year",IF(AND($D624="Advance",N($L624)&lt;0),"Warning: more than earned so far - worker now owes "&amp;TEXT(ROUND(-$L624,0),"#,##0"),"")))))))))</f>
        <v/>
      </c>
      <c r="N624" s="125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  <c r="AE624" s="126"/>
      <c r="AF624" s="126"/>
      <c r="AG624" s="126"/>
      <c r="AH624" s="126"/>
      <c r="AI624" s="126"/>
      <c r="AJ624" s="126"/>
      <c r="AK624" s="126"/>
      <c r="AL624" s="126"/>
      <c r="AM624" s="126"/>
      <c r="AN624" s="126"/>
    </row>
    <row r="625" spans="1:40" s="127" customFormat="1" ht="21" customHeight="1" x14ac:dyDescent="0.25">
      <c r="A625" s="51" t="str">
        <f t="shared" si="27"/>
        <v/>
      </c>
      <c r="B625" s="77"/>
      <c r="C625" s="133"/>
      <c r="D625" s="50"/>
      <c r="E625" s="141"/>
      <c r="F625" s="133"/>
      <c r="G625" s="133"/>
      <c r="H625" s="50"/>
      <c r="I625" s="51" t="str">
        <f t="shared" si="28"/>
        <v/>
      </c>
      <c r="J625" s="52" t="str">
        <f t="shared" si="29"/>
        <v/>
      </c>
      <c r="K625" s="142" t="str">
        <f>IF(OR($I625="",$I625="?",$D625&lt;&gt;"Advance",$B625=""),"",$I625&amp;"|"&amp;$J625&amp;"|"&amp;COUNTIFS($I$7:$I625,$I625,$J$7:$J625,$J625,$D$7:$D625,"Advance"))</f>
        <v/>
      </c>
      <c r="L625" s="143" t="str">
        <f>IF(OR($I625="",$I625="?",$B625=""),"",SUMPRODUCT((Weeks!$A$7:$A$59&lt;=$J625)*(Weeks!$X$5:$AI$5=$I625)*Weeks!$X$7:$AI$59)-SUMIFS($E$7:$E$1006,$I$7:$I$1006,$I625,$B$7:$B$1006,"&lt;="&amp;$B625))</f>
        <v/>
      </c>
      <c r="M625" s="132" t="str">
        <f>IF($B625&amp;$C625&amp;$D625&amp;$E625="","",IF($B625="","missing date",IF($C625="","missing worker",IF($I625="?","unknown worker - was the name changed on Workers?",IF($D625="","missing type",IF(N($E625)=0,"missing amount",IF(AND($E625&lt;0,$D625&lt;&gt;"Correction"),"negative amount - use a Correction to undo",IF(OR($B625&lt;Weeks!$A$7,$B625&gt;Weeks!$B$59),"date outside this workbook's year",IF(AND($D625="Advance",N($L625)&lt;0),"Warning: more than earned so far - worker now owes "&amp;TEXT(ROUND(-$L625,0),"#,##0"),"")))))))))</f>
        <v/>
      </c>
      <c r="N625" s="125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  <c r="AE625" s="126"/>
      <c r="AF625" s="126"/>
      <c r="AG625" s="126"/>
      <c r="AH625" s="126"/>
      <c r="AI625" s="126"/>
      <c r="AJ625" s="126"/>
      <c r="AK625" s="126"/>
      <c r="AL625" s="126"/>
      <c r="AM625" s="126"/>
      <c r="AN625" s="126"/>
    </row>
    <row r="626" spans="1:40" s="127" customFormat="1" ht="21" customHeight="1" x14ac:dyDescent="0.25">
      <c r="A626" s="51" t="str">
        <f t="shared" si="27"/>
        <v/>
      </c>
      <c r="B626" s="77"/>
      <c r="C626" s="133"/>
      <c r="D626" s="50"/>
      <c r="E626" s="141"/>
      <c r="F626" s="133"/>
      <c r="G626" s="133"/>
      <c r="H626" s="50"/>
      <c r="I626" s="51" t="str">
        <f t="shared" si="28"/>
        <v/>
      </c>
      <c r="J626" s="52" t="str">
        <f t="shared" si="29"/>
        <v/>
      </c>
      <c r="K626" s="142" t="str">
        <f>IF(OR($I626="",$I626="?",$D626&lt;&gt;"Advance",$B626=""),"",$I626&amp;"|"&amp;$J626&amp;"|"&amp;COUNTIFS($I$7:$I626,$I626,$J$7:$J626,$J626,$D$7:$D626,"Advance"))</f>
        <v/>
      </c>
      <c r="L626" s="143" t="str">
        <f>IF(OR($I626="",$I626="?",$B626=""),"",SUMPRODUCT((Weeks!$A$7:$A$59&lt;=$J626)*(Weeks!$X$5:$AI$5=$I626)*Weeks!$X$7:$AI$59)-SUMIFS($E$7:$E$1006,$I$7:$I$1006,$I626,$B$7:$B$1006,"&lt;="&amp;$B626))</f>
        <v/>
      </c>
      <c r="M626" s="132" t="str">
        <f>IF($B626&amp;$C626&amp;$D626&amp;$E626="","",IF($B626="","missing date",IF($C626="","missing worker",IF($I626="?","unknown worker - was the name changed on Workers?",IF($D626="","missing type",IF(N($E626)=0,"missing amount",IF(AND($E626&lt;0,$D626&lt;&gt;"Correction"),"negative amount - use a Correction to undo",IF(OR($B626&lt;Weeks!$A$7,$B626&gt;Weeks!$B$59),"date outside this workbook's year",IF(AND($D626="Advance",N($L626)&lt;0),"Warning: more than earned so far - worker now owes "&amp;TEXT(ROUND(-$L626,0),"#,##0"),"")))))))))</f>
        <v/>
      </c>
      <c r="N626" s="125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  <c r="AE626" s="126"/>
      <c r="AF626" s="126"/>
      <c r="AG626" s="126"/>
      <c r="AH626" s="126"/>
      <c r="AI626" s="126"/>
      <c r="AJ626" s="126"/>
      <c r="AK626" s="126"/>
      <c r="AL626" s="126"/>
      <c r="AM626" s="126"/>
      <c r="AN626" s="126"/>
    </row>
    <row r="627" spans="1:40" s="127" customFormat="1" ht="21" customHeight="1" x14ac:dyDescent="0.25">
      <c r="A627" s="51" t="str">
        <f t="shared" si="27"/>
        <v/>
      </c>
      <c r="B627" s="77"/>
      <c r="C627" s="133"/>
      <c r="D627" s="50"/>
      <c r="E627" s="141"/>
      <c r="F627" s="133"/>
      <c r="G627" s="133"/>
      <c r="H627" s="50"/>
      <c r="I627" s="51" t="str">
        <f t="shared" si="28"/>
        <v/>
      </c>
      <c r="J627" s="52" t="str">
        <f t="shared" si="29"/>
        <v/>
      </c>
      <c r="K627" s="142" t="str">
        <f>IF(OR($I627="",$I627="?",$D627&lt;&gt;"Advance",$B627=""),"",$I627&amp;"|"&amp;$J627&amp;"|"&amp;COUNTIFS($I$7:$I627,$I627,$J$7:$J627,$J627,$D$7:$D627,"Advance"))</f>
        <v/>
      </c>
      <c r="L627" s="143" t="str">
        <f>IF(OR($I627="",$I627="?",$B627=""),"",SUMPRODUCT((Weeks!$A$7:$A$59&lt;=$J627)*(Weeks!$X$5:$AI$5=$I627)*Weeks!$X$7:$AI$59)-SUMIFS($E$7:$E$1006,$I$7:$I$1006,$I627,$B$7:$B$1006,"&lt;="&amp;$B627))</f>
        <v/>
      </c>
      <c r="M627" s="132" t="str">
        <f>IF($B627&amp;$C627&amp;$D627&amp;$E627="","",IF($B627="","missing date",IF($C627="","missing worker",IF($I627="?","unknown worker - was the name changed on Workers?",IF($D627="","missing type",IF(N($E627)=0,"missing amount",IF(AND($E627&lt;0,$D627&lt;&gt;"Correction"),"negative amount - use a Correction to undo",IF(OR($B627&lt;Weeks!$A$7,$B627&gt;Weeks!$B$59),"date outside this workbook's year",IF(AND($D627="Advance",N($L627)&lt;0),"Warning: more than earned so far - worker now owes "&amp;TEXT(ROUND(-$L627,0),"#,##0"),"")))))))))</f>
        <v/>
      </c>
      <c r="N627" s="125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  <c r="AE627" s="126"/>
      <c r="AF627" s="126"/>
      <c r="AG627" s="126"/>
      <c r="AH627" s="126"/>
      <c r="AI627" s="126"/>
      <c r="AJ627" s="126"/>
      <c r="AK627" s="126"/>
      <c r="AL627" s="126"/>
      <c r="AM627" s="126"/>
      <c r="AN627" s="126"/>
    </row>
    <row r="628" spans="1:40" s="127" customFormat="1" ht="21" customHeight="1" x14ac:dyDescent="0.25">
      <c r="A628" s="51" t="str">
        <f t="shared" si="27"/>
        <v/>
      </c>
      <c r="B628" s="77"/>
      <c r="C628" s="133"/>
      <c r="D628" s="50"/>
      <c r="E628" s="141"/>
      <c r="F628" s="133"/>
      <c r="G628" s="133"/>
      <c r="H628" s="50"/>
      <c r="I628" s="51" t="str">
        <f t="shared" si="28"/>
        <v/>
      </c>
      <c r="J628" s="52" t="str">
        <f t="shared" si="29"/>
        <v/>
      </c>
      <c r="K628" s="142" t="str">
        <f>IF(OR($I628="",$I628="?",$D628&lt;&gt;"Advance",$B628=""),"",$I628&amp;"|"&amp;$J628&amp;"|"&amp;COUNTIFS($I$7:$I628,$I628,$J$7:$J628,$J628,$D$7:$D628,"Advance"))</f>
        <v/>
      </c>
      <c r="L628" s="143" t="str">
        <f>IF(OR($I628="",$I628="?",$B628=""),"",SUMPRODUCT((Weeks!$A$7:$A$59&lt;=$J628)*(Weeks!$X$5:$AI$5=$I628)*Weeks!$X$7:$AI$59)-SUMIFS($E$7:$E$1006,$I$7:$I$1006,$I628,$B$7:$B$1006,"&lt;="&amp;$B628))</f>
        <v/>
      </c>
      <c r="M628" s="132" t="str">
        <f>IF($B628&amp;$C628&amp;$D628&amp;$E628="","",IF($B628="","missing date",IF($C628="","missing worker",IF($I628="?","unknown worker - was the name changed on Workers?",IF($D628="","missing type",IF(N($E628)=0,"missing amount",IF(AND($E628&lt;0,$D628&lt;&gt;"Correction"),"negative amount - use a Correction to undo",IF(OR($B628&lt;Weeks!$A$7,$B628&gt;Weeks!$B$59),"date outside this workbook's year",IF(AND($D628="Advance",N($L628)&lt;0),"Warning: more than earned so far - worker now owes "&amp;TEXT(ROUND(-$L628,0),"#,##0"),"")))))))))</f>
        <v/>
      </c>
      <c r="N628" s="125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  <c r="AE628" s="126"/>
      <c r="AF628" s="126"/>
      <c r="AG628" s="126"/>
      <c r="AH628" s="126"/>
      <c r="AI628" s="126"/>
      <c r="AJ628" s="126"/>
      <c r="AK628" s="126"/>
      <c r="AL628" s="126"/>
      <c r="AM628" s="126"/>
      <c r="AN628" s="126"/>
    </row>
    <row r="629" spans="1:40" s="127" customFormat="1" ht="21" customHeight="1" x14ac:dyDescent="0.25">
      <c r="A629" s="51" t="str">
        <f t="shared" si="27"/>
        <v/>
      </c>
      <c r="B629" s="77"/>
      <c r="C629" s="133"/>
      <c r="D629" s="50"/>
      <c r="E629" s="141"/>
      <c r="F629" s="133"/>
      <c r="G629" s="133"/>
      <c r="H629" s="50"/>
      <c r="I629" s="51" t="str">
        <f t="shared" si="28"/>
        <v/>
      </c>
      <c r="J629" s="52" t="str">
        <f t="shared" si="29"/>
        <v/>
      </c>
      <c r="K629" s="142" t="str">
        <f>IF(OR($I629="",$I629="?",$D629&lt;&gt;"Advance",$B629=""),"",$I629&amp;"|"&amp;$J629&amp;"|"&amp;COUNTIFS($I$7:$I629,$I629,$J$7:$J629,$J629,$D$7:$D629,"Advance"))</f>
        <v/>
      </c>
      <c r="L629" s="143" t="str">
        <f>IF(OR($I629="",$I629="?",$B629=""),"",SUMPRODUCT((Weeks!$A$7:$A$59&lt;=$J629)*(Weeks!$X$5:$AI$5=$I629)*Weeks!$X$7:$AI$59)-SUMIFS($E$7:$E$1006,$I$7:$I$1006,$I629,$B$7:$B$1006,"&lt;="&amp;$B629))</f>
        <v/>
      </c>
      <c r="M629" s="132" t="str">
        <f>IF($B629&amp;$C629&amp;$D629&amp;$E629="","",IF($B629="","missing date",IF($C629="","missing worker",IF($I629="?","unknown worker - was the name changed on Workers?",IF($D629="","missing type",IF(N($E629)=0,"missing amount",IF(AND($E629&lt;0,$D629&lt;&gt;"Correction"),"negative amount - use a Correction to undo",IF(OR($B629&lt;Weeks!$A$7,$B629&gt;Weeks!$B$59),"date outside this workbook's year",IF(AND($D629="Advance",N($L629)&lt;0),"Warning: more than earned so far - worker now owes "&amp;TEXT(ROUND(-$L629,0),"#,##0"),"")))))))))</f>
        <v/>
      </c>
      <c r="N629" s="125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  <c r="AE629" s="126"/>
      <c r="AF629" s="126"/>
      <c r="AG629" s="126"/>
      <c r="AH629" s="126"/>
      <c r="AI629" s="126"/>
      <c r="AJ629" s="126"/>
      <c r="AK629" s="126"/>
      <c r="AL629" s="126"/>
      <c r="AM629" s="126"/>
      <c r="AN629" s="126"/>
    </row>
    <row r="630" spans="1:40" s="127" customFormat="1" ht="21" customHeight="1" x14ac:dyDescent="0.25">
      <c r="A630" s="51" t="str">
        <f t="shared" si="27"/>
        <v/>
      </c>
      <c r="B630" s="77"/>
      <c r="C630" s="133"/>
      <c r="D630" s="50"/>
      <c r="E630" s="141"/>
      <c r="F630" s="133"/>
      <c r="G630" s="133"/>
      <c r="H630" s="50"/>
      <c r="I630" s="51" t="str">
        <f t="shared" si="28"/>
        <v/>
      </c>
      <c r="J630" s="52" t="str">
        <f t="shared" si="29"/>
        <v/>
      </c>
      <c r="K630" s="142" t="str">
        <f>IF(OR($I630="",$I630="?",$D630&lt;&gt;"Advance",$B630=""),"",$I630&amp;"|"&amp;$J630&amp;"|"&amp;COUNTIFS($I$7:$I630,$I630,$J$7:$J630,$J630,$D$7:$D630,"Advance"))</f>
        <v/>
      </c>
      <c r="L630" s="143" t="str">
        <f>IF(OR($I630="",$I630="?",$B630=""),"",SUMPRODUCT((Weeks!$A$7:$A$59&lt;=$J630)*(Weeks!$X$5:$AI$5=$I630)*Weeks!$X$7:$AI$59)-SUMIFS($E$7:$E$1006,$I$7:$I$1006,$I630,$B$7:$B$1006,"&lt;="&amp;$B630))</f>
        <v/>
      </c>
      <c r="M630" s="132" t="str">
        <f>IF($B630&amp;$C630&amp;$D630&amp;$E630="","",IF($B630="","missing date",IF($C630="","missing worker",IF($I630="?","unknown worker - was the name changed on Workers?",IF($D630="","missing type",IF(N($E630)=0,"missing amount",IF(AND($E630&lt;0,$D630&lt;&gt;"Correction"),"negative amount - use a Correction to undo",IF(OR($B630&lt;Weeks!$A$7,$B630&gt;Weeks!$B$59),"date outside this workbook's year",IF(AND($D630="Advance",N($L630)&lt;0),"Warning: more than earned so far - worker now owes "&amp;TEXT(ROUND(-$L630,0),"#,##0"),"")))))))))</f>
        <v/>
      </c>
      <c r="N630" s="125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  <c r="AE630" s="126"/>
      <c r="AF630" s="126"/>
      <c r="AG630" s="126"/>
      <c r="AH630" s="126"/>
      <c r="AI630" s="126"/>
      <c r="AJ630" s="126"/>
      <c r="AK630" s="126"/>
      <c r="AL630" s="126"/>
      <c r="AM630" s="126"/>
      <c r="AN630" s="126"/>
    </row>
    <row r="631" spans="1:40" s="127" customFormat="1" ht="21" customHeight="1" x14ac:dyDescent="0.25">
      <c r="A631" s="51" t="str">
        <f t="shared" si="27"/>
        <v/>
      </c>
      <c r="B631" s="77"/>
      <c r="C631" s="133"/>
      <c r="D631" s="50"/>
      <c r="E631" s="141"/>
      <c r="F631" s="133"/>
      <c r="G631" s="133"/>
      <c r="H631" s="50"/>
      <c r="I631" s="51" t="str">
        <f t="shared" si="28"/>
        <v/>
      </c>
      <c r="J631" s="52" t="str">
        <f t="shared" si="29"/>
        <v/>
      </c>
      <c r="K631" s="142" t="str">
        <f>IF(OR($I631="",$I631="?",$D631&lt;&gt;"Advance",$B631=""),"",$I631&amp;"|"&amp;$J631&amp;"|"&amp;COUNTIFS($I$7:$I631,$I631,$J$7:$J631,$J631,$D$7:$D631,"Advance"))</f>
        <v/>
      </c>
      <c r="L631" s="143" t="str">
        <f>IF(OR($I631="",$I631="?",$B631=""),"",SUMPRODUCT((Weeks!$A$7:$A$59&lt;=$J631)*(Weeks!$X$5:$AI$5=$I631)*Weeks!$X$7:$AI$59)-SUMIFS($E$7:$E$1006,$I$7:$I$1006,$I631,$B$7:$B$1006,"&lt;="&amp;$B631))</f>
        <v/>
      </c>
      <c r="M631" s="132" t="str">
        <f>IF($B631&amp;$C631&amp;$D631&amp;$E631="","",IF($B631="","missing date",IF($C631="","missing worker",IF($I631="?","unknown worker - was the name changed on Workers?",IF($D631="","missing type",IF(N($E631)=0,"missing amount",IF(AND($E631&lt;0,$D631&lt;&gt;"Correction"),"negative amount - use a Correction to undo",IF(OR($B631&lt;Weeks!$A$7,$B631&gt;Weeks!$B$59),"date outside this workbook's year",IF(AND($D631="Advance",N($L631)&lt;0),"Warning: more than earned so far - worker now owes "&amp;TEXT(ROUND(-$L631,0),"#,##0"),"")))))))))</f>
        <v/>
      </c>
      <c r="N631" s="125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  <c r="AE631" s="126"/>
      <c r="AF631" s="126"/>
      <c r="AG631" s="126"/>
      <c r="AH631" s="126"/>
      <c r="AI631" s="126"/>
      <c r="AJ631" s="126"/>
      <c r="AK631" s="126"/>
      <c r="AL631" s="126"/>
      <c r="AM631" s="126"/>
      <c r="AN631" s="126"/>
    </row>
    <row r="632" spans="1:40" s="127" customFormat="1" ht="21" customHeight="1" x14ac:dyDescent="0.25">
      <c r="A632" s="51" t="str">
        <f t="shared" si="27"/>
        <v/>
      </c>
      <c r="B632" s="77"/>
      <c r="C632" s="133"/>
      <c r="D632" s="50"/>
      <c r="E632" s="141"/>
      <c r="F632" s="133"/>
      <c r="G632" s="133"/>
      <c r="H632" s="50"/>
      <c r="I632" s="51" t="str">
        <f t="shared" si="28"/>
        <v/>
      </c>
      <c r="J632" s="52" t="str">
        <f t="shared" si="29"/>
        <v/>
      </c>
      <c r="K632" s="142" t="str">
        <f>IF(OR($I632="",$I632="?",$D632&lt;&gt;"Advance",$B632=""),"",$I632&amp;"|"&amp;$J632&amp;"|"&amp;COUNTIFS($I$7:$I632,$I632,$J$7:$J632,$J632,$D$7:$D632,"Advance"))</f>
        <v/>
      </c>
      <c r="L632" s="143" t="str">
        <f>IF(OR($I632="",$I632="?",$B632=""),"",SUMPRODUCT((Weeks!$A$7:$A$59&lt;=$J632)*(Weeks!$X$5:$AI$5=$I632)*Weeks!$X$7:$AI$59)-SUMIFS($E$7:$E$1006,$I$7:$I$1006,$I632,$B$7:$B$1006,"&lt;="&amp;$B632))</f>
        <v/>
      </c>
      <c r="M632" s="132" t="str">
        <f>IF($B632&amp;$C632&amp;$D632&amp;$E632="","",IF($B632="","missing date",IF($C632="","missing worker",IF($I632="?","unknown worker - was the name changed on Workers?",IF($D632="","missing type",IF(N($E632)=0,"missing amount",IF(AND($E632&lt;0,$D632&lt;&gt;"Correction"),"negative amount - use a Correction to undo",IF(OR($B632&lt;Weeks!$A$7,$B632&gt;Weeks!$B$59),"date outside this workbook's year",IF(AND($D632="Advance",N($L632)&lt;0),"Warning: more than earned so far - worker now owes "&amp;TEXT(ROUND(-$L632,0),"#,##0"),"")))))))))</f>
        <v/>
      </c>
      <c r="N632" s="125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  <c r="AE632" s="126"/>
      <c r="AF632" s="126"/>
      <c r="AG632" s="126"/>
      <c r="AH632" s="126"/>
      <c r="AI632" s="126"/>
      <c r="AJ632" s="126"/>
      <c r="AK632" s="126"/>
      <c r="AL632" s="126"/>
      <c r="AM632" s="126"/>
      <c r="AN632" s="126"/>
    </row>
    <row r="633" spans="1:40" s="127" customFormat="1" ht="21" customHeight="1" x14ac:dyDescent="0.25">
      <c r="A633" s="51" t="str">
        <f t="shared" si="27"/>
        <v/>
      </c>
      <c r="B633" s="77"/>
      <c r="C633" s="133"/>
      <c r="D633" s="50"/>
      <c r="E633" s="141"/>
      <c r="F633" s="133"/>
      <c r="G633" s="133"/>
      <c r="H633" s="50"/>
      <c r="I633" s="51" t="str">
        <f t="shared" si="28"/>
        <v/>
      </c>
      <c r="J633" s="52" t="str">
        <f t="shared" si="29"/>
        <v/>
      </c>
      <c r="K633" s="142" t="str">
        <f>IF(OR($I633="",$I633="?",$D633&lt;&gt;"Advance",$B633=""),"",$I633&amp;"|"&amp;$J633&amp;"|"&amp;COUNTIFS($I$7:$I633,$I633,$J$7:$J633,$J633,$D$7:$D633,"Advance"))</f>
        <v/>
      </c>
      <c r="L633" s="143" t="str">
        <f>IF(OR($I633="",$I633="?",$B633=""),"",SUMPRODUCT((Weeks!$A$7:$A$59&lt;=$J633)*(Weeks!$X$5:$AI$5=$I633)*Weeks!$X$7:$AI$59)-SUMIFS($E$7:$E$1006,$I$7:$I$1006,$I633,$B$7:$B$1006,"&lt;="&amp;$B633))</f>
        <v/>
      </c>
      <c r="M633" s="132" t="str">
        <f>IF($B633&amp;$C633&amp;$D633&amp;$E633="","",IF($B633="","missing date",IF($C633="","missing worker",IF($I633="?","unknown worker - was the name changed on Workers?",IF($D633="","missing type",IF(N($E633)=0,"missing amount",IF(AND($E633&lt;0,$D633&lt;&gt;"Correction"),"negative amount - use a Correction to undo",IF(OR($B633&lt;Weeks!$A$7,$B633&gt;Weeks!$B$59),"date outside this workbook's year",IF(AND($D633="Advance",N($L633)&lt;0),"Warning: more than earned so far - worker now owes "&amp;TEXT(ROUND(-$L633,0),"#,##0"),"")))))))))</f>
        <v/>
      </c>
      <c r="N633" s="125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  <c r="AE633" s="126"/>
      <c r="AF633" s="126"/>
      <c r="AG633" s="126"/>
      <c r="AH633" s="126"/>
      <c r="AI633" s="126"/>
      <c r="AJ633" s="126"/>
      <c r="AK633" s="126"/>
      <c r="AL633" s="126"/>
      <c r="AM633" s="126"/>
      <c r="AN633" s="126"/>
    </row>
    <row r="634" spans="1:40" s="127" customFormat="1" ht="21" customHeight="1" x14ac:dyDescent="0.25">
      <c r="A634" s="51" t="str">
        <f t="shared" si="27"/>
        <v/>
      </c>
      <c r="B634" s="77"/>
      <c r="C634" s="133"/>
      <c r="D634" s="50"/>
      <c r="E634" s="141"/>
      <c r="F634" s="133"/>
      <c r="G634" s="133"/>
      <c r="H634" s="50"/>
      <c r="I634" s="51" t="str">
        <f t="shared" si="28"/>
        <v/>
      </c>
      <c r="J634" s="52" t="str">
        <f t="shared" si="29"/>
        <v/>
      </c>
      <c r="K634" s="142" t="str">
        <f>IF(OR($I634="",$I634="?",$D634&lt;&gt;"Advance",$B634=""),"",$I634&amp;"|"&amp;$J634&amp;"|"&amp;COUNTIFS($I$7:$I634,$I634,$J$7:$J634,$J634,$D$7:$D634,"Advance"))</f>
        <v/>
      </c>
      <c r="L634" s="143" t="str">
        <f>IF(OR($I634="",$I634="?",$B634=""),"",SUMPRODUCT((Weeks!$A$7:$A$59&lt;=$J634)*(Weeks!$X$5:$AI$5=$I634)*Weeks!$X$7:$AI$59)-SUMIFS($E$7:$E$1006,$I$7:$I$1006,$I634,$B$7:$B$1006,"&lt;="&amp;$B634))</f>
        <v/>
      </c>
      <c r="M634" s="132" t="str">
        <f>IF($B634&amp;$C634&amp;$D634&amp;$E634="","",IF($B634="","missing date",IF($C634="","missing worker",IF($I634="?","unknown worker - was the name changed on Workers?",IF($D634="","missing type",IF(N($E634)=0,"missing amount",IF(AND($E634&lt;0,$D634&lt;&gt;"Correction"),"negative amount - use a Correction to undo",IF(OR($B634&lt;Weeks!$A$7,$B634&gt;Weeks!$B$59),"date outside this workbook's year",IF(AND($D634="Advance",N($L634)&lt;0),"Warning: more than earned so far - worker now owes "&amp;TEXT(ROUND(-$L634,0),"#,##0"),"")))))))))</f>
        <v/>
      </c>
      <c r="N634" s="125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  <c r="AE634" s="126"/>
      <c r="AF634" s="126"/>
      <c r="AG634" s="126"/>
      <c r="AH634" s="126"/>
      <c r="AI634" s="126"/>
      <c r="AJ634" s="126"/>
      <c r="AK634" s="126"/>
      <c r="AL634" s="126"/>
      <c r="AM634" s="126"/>
      <c r="AN634" s="126"/>
    </row>
    <row r="635" spans="1:40" s="127" customFormat="1" ht="21" customHeight="1" x14ac:dyDescent="0.25">
      <c r="A635" s="51" t="str">
        <f t="shared" si="27"/>
        <v/>
      </c>
      <c r="B635" s="77"/>
      <c r="C635" s="133"/>
      <c r="D635" s="50"/>
      <c r="E635" s="141"/>
      <c r="F635" s="133"/>
      <c r="G635" s="133"/>
      <c r="H635" s="50"/>
      <c r="I635" s="51" t="str">
        <f t="shared" si="28"/>
        <v/>
      </c>
      <c r="J635" s="52" t="str">
        <f t="shared" si="29"/>
        <v/>
      </c>
      <c r="K635" s="142" t="str">
        <f>IF(OR($I635="",$I635="?",$D635&lt;&gt;"Advance",$B635=""),"",$I635&amp;"|"&amp;$J635&amp;"|"&amp;COUNTIFS($I$7:$I635,$I635,$J$7:$J635,$J635,$D$7:$D635,"Advance"))</f>
        <v/>
      </c>
      <c r="L635" s="143" t="str">
        <f>IF(OR($I635="",$I635="?",$B635=""),"",SUMPRODUCT((Weeks!$A$7:$A$59&lt;=$J635)*(Weeks!$X$5:$AI$5=$I635)*Weeks!$X$7:$AI$59)-SUMIFS($E$7:$E$1006,$I$7:$I$1006,$I635,$B$7:$B$1006,"&lt;="&amp;$B635))</f>
        <v/>
      </c>
      <c r="M635" s="132" t="str">
        <f>IF($B635&amp;$C635&amp;$D635&amp;$E635="","",IF($B635="","missing date",IF($C635="","missing worker",IF($I635="?","unknown worker - was the name changed on Workers?",IF($D635="","missing type",IF(N($E635)=0,"missing amount",IF(AND($E635&lt;0,$D635&lt;&gt;"Correction"),"negative amount - use a Correction to undo",IF(OR($B635&lt;Weeks!$A$7,$B635&gt;Weeks!$B$59),"date outside this workbook's year",IF(AND($D635="Advance",N($L635)&lt;0),"Warning: more than earned so far - worker now owes "&amp;TEXT(ROUND(-$L635,0),"#,##0"),"")))))))))</f>
        <v/>
      </c>
      <c r="N635" s="125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  <c r="AE635" s="126"/>
      <c r="AF635" s="126"/>
      <c r="AG635" s="126"/>
      <c r="AH635" s="126"/>
      <c r="AI635" s="126"/>
      <c r="AJ635" s="126"/>
      <c r="AK635" s="126"/>
      <c r="AL635" s="126"/>
      <c r="AM635" s="126"/>
      <c r="AN635" s="126"/>
    </row>
    <row r="636" spans="1:40" s="127" customFormat="1" ht="21" customHeight="1" x14ac:dyDescent="0.25">
      <c r="A636" s="51" t="str">
        <f t="shared" si="27"/>
        <v/>
      </c>
      <c r="B636" s="77"/>
      <c r="C636" s="133"/>
      <c r="D636" s="50"/>
      <c r="E636" s="141"/>
      <c r="F636" s="133"/>
      <c r="G636" s="133"/>
      <c r="H636" s="50"/>
      <c r="I636" s="51" t="str">
        <f t="shared" si="28"/>
        <v/>
      </c>
      <c r="J636" s="52" t="str">
        <f t="shared" si="29"/>
        <v/>
      </c>
      <c r="K636" s="142" t="str">
        <f>IF(OR($I636="",$I636="?",$D636&lt;&gt;"Advance",$B636=""),"",$I636&amp;"|"&amp;$J636&amp;"|"&amp;COUNTIFS($I$7:$I636,$I636,$J$7:$J636,$J636,$D$7:$D636,"Advance"))</f>
        <v/>
      </c>
      <c r="L636" s="143" t="str">
        <f>IF(OR($I636="",$I636="?",$B636=""),"",SUMPRODUCT((Weeks!$A$7:$A$59&lt;=$J636)*(Weeks!$X$5:$AI$5=$I636)*Weeks!$X$7:$AI$59)-SUMIFS($E$7:$E$1006,$I$7:$I$1006,$I636,$B$7:$B$1006,"&lt;="&amp;$B636))</f>
        <v/>
      </c>
      <c r="M636" s="132" t="str">
        <f>IF($B636&amp;$C636&amp;$D636&amp;$E636="","",IF($B636="","missing date",IF($C636="","missing worker",IF($I636="?","unknown worker - was the name changed on Workers?",IF($D636="","missing type",IF(N($E636)=0,"missing amount",IF(AND($E636&lt;0,$D636&lt;&gt;"Correction"),"negative amount - use a Correction to undo",IF(OR($B636&lt;Weeks!$A$7,$B636&gt;Weeks!$B$59),"date outside this workbook's year",IF(AND($D636="Advance",N($L636)&lt;0),"Warning: more than earned so far - worker now owes "&amp;TEXT(ROUND(-$L636,0),"#,##0"),"")))))))))</f>
        <v/>
      </c>
      <c r="N636" s="125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  <c r="AE636" s="126"/>
      <c r="AF636" s="126"/>
      <c r="AG636" s="126"/>
      <c r="AH636" s="126"/>
      <c r="AI636" s="126"/>
      <c r="AJ636" s="126"/>
      <c r="AK636" s="126"/>
      <c r="AL636" s="126"/>
      <c r="AM636" s="126"/>
      <c r="AN636" s="126"/>
    </row>
    <row r="637" spans="1:40" s="127" customFormat="1" ht="21" customHeight="1" x14ac:dyDescent="0.25">
      <c r="A637" s="51" t="str">
        <f t="shared" si="27"/>
        <v/>
      </c>
      <c r="B637" s="77"/>
      <c r="C637" s="133"/>
      <c r="D637" s="50"/>
      <c r="E637" s="141"/>
      <c r="F637" s="133"/>
      <c r="G637" s="133"/>
      <c r="H637" s="50"/>
      <c r="I637" s="51" t="str">
        <f t="shared" si="28"/>
        <v/>
      </c>
      <c r="J637" s="52" t="str">
        <f t="shared" si="29"/>
        <v/>
      </c>
      <c r="K637" s="142" t="str">
        <f>IF(OR($I637="",$I637="?",$D637&lt;&gt;"Advance",$B637=""),"",$I637&amp;"|"&amp;$J637&amp;"|"&amp;COUNTIFS($I$7:$I637,$I637,$J$7:$J637,$J637,$D$7:$D637,"Advance"))</f>
        <v/>
      </c>
      <c r="L637" s="143" t="str">
        <f>IF(OR($I637="",$I637="?",$B637=""),"",SUMPRODUCT((Weeks!$A$7:$A$59&lt;=$J637)*(Weeks!$X$5:$AI$5=$I637)*Weeks!$X$7:$AI$59)-SUMIFS($E$7:$E$1006,$I$7:$I$1006,$I637,$B$7:$B$1006,"&lt;="&amp;$B637))</f>
        <v/>
      </c>
      <c r="M637" s="132" t="str">
        <f>IF($B637&amp;$C637&amp;$D637&amp;$E637="","",IF($B637="","missing date",IF($C637="","missing worker",IF($I637="?","unknown worker - was the name changed on Workers?",IF($D637="","missing type",IF(N($E637)=0,"missing amount",IF(AND($E637&lt;0,$D637&lt;&gt;"Correction"),"negative amount - use a Correction to undo",IF(OR($B637&lt;Weeks!$A$7,$B637&gt;Weeks!$B$59),"date outside this workbook's year",IF(AND($D637="Advance",N($L637)&lt;0),"Warning: more than earned so far - worker now owes "&amp;TEXT(ROUND(-$L637,0),"#,##0"),"")))))))))</f>
        <v/>
      </c>
      <c r="N637" s="125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  <c r="AE637" s="126"/>
      <c r="AF637" s="126"/>
      <c r="AG637" s="126"/>
      <c r="AH637" s="126"/>
      <c r="AI637" s="126"/>
      <c r="AJ637" s="126"/>
      <c r="AK637" s="126"/>
      <c r="AL637" s="126"/>
      <c r="AM637" s="126"/>
      <c r="AN637" s="126"/>
    </row>
    <row r="638" spans="1:40" s="127" customFormat="1" ht="21" customHeight="1" x14ac:dyDescent="0.25">
      <c r="A638" s="51" t="str">
        <f t="shared" si="27"/>
        <v/>
      </c>
      <c r="B638" s="77"/>
      <c r="C638" s="133"/>
      <c r="D638" s="50"/>
      <c r="E638" s="141"/>
      <c r="F638" s="133"/>
      <c r="G638" s="133"/>
      <c r="H638" s="50"/>
      <c r="I638" s="51" t="str">
        <f t="shared" si="28"/>
        <v/>
      </c>
      <c r="J638" s="52" t="str">
        <f t="shared" si="29"/>
        <v/>
      </c>
      <c r="K638" s="142" t="str">
        <f>IF(OR($I638="",$I638="?",$D638&lt;&gt;"Advance",$B638=""),"",$I638&amp;"|"&amp;$J638&amp;"|"&amp;COUNTIFS($I$7:$I638,$I638,$J$7:$J638,$J638,$D$7:$D638,"Advance"))</f>
        <v/>
      </c>
      <c r="L638" s="143" t="str">
        <f>IF(OR($I638="",$I638="?",$B638=""),"",SUMPRODUCT((Weeks!$A$7:$A$59&lt;=$J638)*(Weeks!$X$5:$AI$5=$I638)*Weeks!$X$7:$AI$59)-SUMIFS($E$7:$E$1006,$I$7:$I$1006,$I638,$B$7:$B$1006,"&lt;="&amp;$B638))</f>
        <v/>
      </c>
      <c r="M638" s="132" t="str">
        <f>IF($B638&amp;$C638&amp;$D638&amp;$E638="","",IF($B638="","missing date",IF($C638="","missing worker",IF($I638="?","unknown worker - was the name changed on Workers?",IF($D638="","missing type",IF(N($E638)=0,"missing amount",IF(AND($E638&lt;0,$D638&lt;&gt;"Correction"),"negative amount - use a Correction to undo",IF(OR($B638&lt;Weeks!$A$7,$B638&gt;Weeks!$B$59),"date outside this workbook's year",IF(AND($D638="Advance",N($L638)&lt;0),"Warning: more than earned so far - worker now owes "&amp;TEXT(ROUND(-$L638,0),"#,##0"),"")))))))))</f>
        <v/>
      </c>
      <c r="N638" s="125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  <c r="AE638" s="126"/>
      <c r="AF638" s="126"/>
      <c r="AG638" s="126"/>
      <c r="AH638" s="126"/>
      <c r="AI638" s="126"/>
      <c r="AJ638" s="126"/>
      <c r="AK638" s="126"/>
      <c r="AL638" s="126"/>
      <c r="AM638" s="126"/>
      <c r="AN638" s="126"/>
    </row>
    <row r="639" spans="1:40" s="127" customFormat="1" ht="21" customHeight="1" x14ac:dyDescent="0.25">
      <c r="A639" s="51" t="str">
        <f t="shared" si="27"/>
        <v/>
      </c>
      <c r="B639" s="77"/>
      <c r="C639" s="133"/>
      <c r="D639" s="50"/>
      <c r="E639" s="141"/>
      <c r="F639" s="133"/>
      <c r="G639" s="133"/>
      <c r="H639" s="50"/>
      <c r="I639" s="51" t="str">
        <f t="shared" si="28"/>
        <v/>
      </c>
      <c r="J639" s="52" t="str">
        <f t="shared" si="29"/>
        <v/>
      </c>
      <c r="K639" s="142" t="str">
        <f>IF(OR($I639="",$I639="?",$D639&lt;&gt;"Advance",$B639=""),"",$I639&amp;"|"&amp;$J639&amp;"|"&amp;COUNTIFS($I$7:$I639,$I639,$J$7:$J639,$J639,$D$7:$D639,"Advance"))</f>
        <v/>
      </c>
      <c r="L639" s="143" t="str">
        <f>IF(OR($I639="",$I639="?",$B639=""),"",SUMPRODUCT((Weeks!$A$7:$A$59&lt;=$J639)*(Weeks!$X$5:$AI$5=$I639)*Weeks!$X$7:$AI$59)-SUMIFS($E$7:$E$1006,$I$7:$I$1006,$I639,$B$7:$B$1006,"&lt;="&amp;$B639))</f>
        <v/>
      </c>
      <c r="M639" s="132" t="str">
        <f>IF($B639&amp;$C639&amp;$D639&amp;$E639="","",IF($B639="","missing date",IF($C639="","missing worker",IF($I639="?","unknown worker - was the name changed on Workers?",IF($D639="","missing type",IF(N($E639)=0,"missing amount",IF(AND($E639&lt;0,$D639&lt;&gt;"Correction"),"negative amount - use a Correction to undo",IF(OR($B639&lt;Weeks!$A$7,$B639&gt;Weeks!$B$59),"date outside this workbook's year",IF(AND($D639="Advance",N($L639)&lt;0),"Warning: more than earned so far - worker now owes "&amp;TEXT(ROUND(-$L639,0),"#,##0"),"")))))))))</f>
        <v/>
      </c>
      <c r="N639" s="125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  <c r="AE639" s="126"/>
      <c r="AF639" s="126"/>
      <c r="AG639" s="126"/>
      <c r="AH639" s="126"/>
      <c r="AI639" s="126"/>
      <c r="AJ639" s="126"/>
      <c r="AK639" s="126"/>
      <c r="AL639" s="126"/>
      <c r="AM639" s="126"/>
      <c r="AN639" s="126"/>
    </row>
    <row r="640" spans="1:40" s="127" customFormat="1" ht="21" customHeight="1" x14ac:dyDescent="0.25">
      <c r="A640" s="51" t="str">
        <f t="shared" si="27"/>
        <v/>
      </c>
      <c r="B640" s="77"/>
      <c r="C640" s="133"/>
      <c r="D640" s="50"/>
      <c r="E640" s="141"/>
      <c r="F640" s="133"/>
      <c r="G640" s="133"/>
      <c r="H640" s="50"/>
      <c r="I640" s="51" t="str">
        <f t="shared" si="28"/>
        <v/>
      </c>
      <c r="J640" s="52" t="str">
        <f t="shared" si="29"/>
        <v/>
      </c>
      <c r="K640" s="142" t="str">
        <f>IF(OR($I640="",$I640="?",$D640&lt;&gt;"Advance",$B640=""),"",$I640&amp;"|"&amp;$J640&amp;"|"&amp;COUNTIFS($I$7:$I640,$I640,$J$7:$J640,$J640,$D$7:$D640,"Advance"))</f>
        <v/>
      </c>
      <c r="L640" s="143" t="str">
        <f>IF(OR($I640="",$I640="?",$B640=""),"",SUMPRODUCT((Weeks!$A$7:$A$59&lt;=$J640)*(Weeks!$X$5:$AI$5=$I640)*Weeks!$X$7:$AI$59)-SUMIFS($E$7:$E$1006,$I$7:$I$1006,$I640,$B$7:$B$1006,"&lt;="&amp;$B640))</f>
        <v/>
      </c>
      <c r="M640" s="132" t="str">
        <f>IF($B640&amp;$C640&amp;$D640&amp;$E640="","",IF($B640="","missing date",IF($C640="","missing worker",IF($I640="?","unknown worker - was the name changed on Workers?",IF($D640="","missing type",IF(N($E640)=0,"missing amount",IF(AND($E640&lt;0,$D640&lt;&gt;"Correction"),"negative amount - use a Correction to undo",IF(OR($B640&lt;Weeks!$A$7,$B640&gt;Weeks!$B$59),"date outside this workbook's year",IF(AND($D640="Advance",N($L640)&lt;0),"Warning: more than earned so far - worker now owes "&amp;TEXT(ROUND(-$L640,0),"#,##0"),"")))))))))</f>
        <v/>
      </c>
      <c r="N640" s="125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  <c r="AE640" s="126"/>
      <c r="AF640" s="126"/>
      <c r="AG640" s="126"/>
      <c r="AH640" s="126"/>
      <c r="AI640" s="126"/>
      <c r="AJ640" s="126"/>
      <c r="AK640" s="126"/>
      <c r="AL640" s="126"/>
      <c r="AM640" s="126"/>
      <c r="AN640" s="126"/>
    </row>
    <row r="641" spans="1:40" s="127" customFormat="1" ht="21" customHeight="1" x14ac:dyDescent="0.25">
      <c r="A641" s="51" t="str">
        <f t="shared" si="27"/>
        <v/>
      </c>
      <c r="B641" s="77"/>
      <c r="C641" s="133"/>
      <c r="D641" s="50"/>
      <c r="E641" s="141"/>
      <c r="F641" s="133"/>
      <c r="G641" s="133"/>
      <c r="H641" s="50"/>
      <c r="I641" s="51" t="str">
        <f t="shared" si="28"/>
        <v/>
      </c>
      <c r="J641" s="52" t="str">
        <f t="shared" si="29"/>
        <v/>
      </c>
      <c r="K641" s="142" t="str">
        <f>IF(OR($I641="",$I641="?",$D641&lt;&gt;"Advance",$B641=""),"",$I641&amp;"|"&amp;$J641&amp;"|"&amp;COUNTIFS($I$7:$I641,$I641,$J$7:$J641,$J641,$D$7:$D641,"Advance"))</f>
        <v/>
      </c>
      <c r="L641" s="143" t="str">
        <f>IF(OR($I641="",$I641="?",$B641=""),"",SUMPRODUCT((Weeks!$A$7:$A$59&lt;=$J641)*(Weeks!$X$5:$AI$5=$I641)*Weeks!$X$7:$AI$59)-SUMIFS($E$7:$E$1006,$I$7:$I$1006,$I641,$B$7:$B$1006,"&lt;="&amp;$B641))</f>
        <v/>
      </c>
      <c r="M641" s="132" t="str">
        <f>IF($B641&amp;$C641&amp;$D641&amp;$E641="","",IF($B641="","missing date",IF($C641="","missing worker",IF($I641="?","unknown worker - was the name changed on Workers?",IF($D641="","missing type",IF(N($E641)=0,"missing amount",IF(AND($E641&lt;0,$D641&lt;&gt;"Correction"),"negative amount - use a Correction to undo",IF(OR($B641&lt;Weeks!$A$7,$B641&gt;Weeks!$B$59),"date outside this workbook's year",IF(AND($D641="Advance",N($L641)&lt;0),"Warning: more than earned so far - worker now owes "&amp;TEXT(ROUND(-$L641,0),"#,##0"),"")))))))))</f>
        <v/>
      </c>
      <c r="N641" s="125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  <c r="AE641" s="126"/>
      <c r="AF641" s="126"/>
      <c r="AG641" s="126"/>
      <c r="AH641" s="126"/>
      <c r="AI641" s="126"/>
      <c r="AJ641" s="126"/>
      <c r="AK641" s="126"/>
      <c r="AL641" s="126"/>
      <c r="AM641" s="126"/>
      <c r="AN641" s="126"/>
    </row>
    <row r="642" spans="1:40" s="127" customFormat="1" ht="21" customHeight="1" x14ac:dyDescent="0.25">
      <c r="A642" s="51" t="str">
        <f t="shared" si="27"/>
        <v/>
      </c>
      <c r="B642" s="77"/>
      <c r="C642" s="133"/>
      <c r="D642" s="50"/>
      <c r="E642" s="141"/>
      <c r="F642" s="133"/>
      <c r="G642" s="133"/>
      <c r="H642" s="50"/>
      <c r="I642" s="51" t="str">
        <f t="shared" si="28"/>
        <v/>
      </c>
      <c r="J642" s="52" t="str">
        <f t="shared" si="29"/>
        <v/>
      </c>
      <c r="K642" s="142" t="str">
        <f>IF(OR($I642="",$I642="?",$D642&lt;&gt;"Advance",$B642=""),"",$I642&amp;"|"&amp;$J642&amp;"|"&amp;COUNTIFS($I$7:$I642,$I642,$J$7:$J642,$J642,$D$7:$D642,"Advance"))</f>
        <v/>
      </c>
      <c r="L642" s="143" t="str">
        <f>IF(OR($I642="",$I642="?",$B642=""),"",SUMPRODUCT((Weeks!$A$7:$A$59&lt;=$J642)*(Weeks!$X$5:$AI$5=$I642)*Weeks!$X$7:$AI$59)-SUMIFS($E$7:$E$1006,$I$7:$I$1006,$I642,$B$7:$B$1006,"&lt;="&amp;$B642))</f>
        <v/>
      </c>
      <c r="M642" s="132" t="str">
        <f>IF($B642&amp;$C642&amp;$D642&amp;$E642="","",IF($B642="","missing date",IF($C642="","missing worker",IF($I642="?","unknown worker - was the name changed on Workers?",IF($D642="","missing type",IF(N($E642)=0,"missing amount",IF(AND($E642&lt;0,$D642&lt;&gt;"Correction"),"negative amount - use a Correction to undo",IF(OR($B642&lt;Weeks!$A$7,$B642&gt;Weeks!$B$59),"date outside this workbook's year",IF(AND($D642="Advance",N($L642)&lt;0),"Warning: more than earned so far - worker now owes "&amp;TEXT(ROUND(-$L642,0),"#,##0"),"")))))))))</f>
        <v/>
      </c>
      <c r="N642" s="125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  <c r="AE642" s="126"/>
      <c r="AF642" s="126"/>
      <c r="AG642" s="126"/>
      <c r="AH642" s="126"/>
      <c r="AI642" s="126"/>
      <c r="AJ642" s="126"/>
      <c r="AK642" s="126"/>
      <c r="AL642" s="126"/>
      <c r="AM642" s="126"/>
      <c r="AN642" s="126"/>
    </row>
    <row r="643" spans="1:40" s="127" customFormat="1" ht="21" customHeight="1" x14ac:dyDescent="0.25">
      <c r="A643" s="51" t="str">
        <f t="shared" si="27"/>
        <v/>
      </c>
      <c r="B643" s="77"/>
      <c r="C643" s="133"/>
      <c r="D643" s="50"/>
      <c r="E643" s="141"/>
      <c r="F643" s="133"/>
      <c r="G643" s="133"/>
      <c r="H643" s="50"/>
      <c r="I643" s="51" t="str">
        <f t="shared" si="28"/>
        <v/>
      </c>
      <c r="J643" s="52" t="str">
        <f t="shared" si="29"/>
        <v/>
      </c>
      <c r="K643" s="142" t="str">
        <f>IF(OR($I643="",$I643="?",$D643&lt;&gt;"Advance",$B643=""),"",$I643&amp;"|"&amp;$J643&amp;"|"&amp;COUNTIFS($I$7:$I643,$I643,$J$7:$J643,$J643,$D$7:$D643,"Advance"))</f>
        <v/>
      </c>
      <c r="L643" s="143" t="str">
        <f>IF(OR($I643="",$I643="?",$B643=""),"",SUMPRODUCT((Weeks!$A$7:$A$59&lt;=$J643)*(Weeks!$X$5:$AI$5=$I643)*Weeks!$X$7:$AI$59)-SUMIFS($E$7:$E$1006,$I$7:$I$1006,$I643,$B$7:$B$1006,"&lt;="&amp;$B643))</f>
        <v/>
      </c>
      <c r="M643" s="132" t="str">
        <f>IF($B643&amp;$C643&amp;$D643&amp;$E643="","",IF($B643="","missing date",IF($C643="","missing worker",IF($I643="?","unknown worker - was the name changed on Workers?",IF($D643="","missing type",IF(N($E643)=0,"missing amount",IF(AND($E643&lt;0,$D643&lt;&gt;"Correction"),"negative amount - use a Correction to undo",IF(OR($B643&lt;Weeks!$A$7,$B643&gt;Weeks!$B$59),"date outside this workbook's year",IF(AND($D643="Advance",N($L643)&lt;0),"Warning: more than earned so far - worker now owes "&amp;TEXT(ROUND(-$L643,0),"#,##0"),"")))))))))</f>
        <v/>
      </c>
      <c r="N643" s="125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  <c r="AE643" s="126"/>
      <c r="AF643" s="126"/>
      <c r="AG643" s="126"/>
      <c r="AH643" s="126"/>
      <c r="AI643" s="126"/>
      <c r="AJ643" s="126"/>
      <c r="AK643" s="126"/>
      <c r="AL643" s="126"/>
      <c r="AM643" s="126"/>
      <c r="AN643" s="126"/>
    </row>
    <row r="644" spans="1:40" s="127" customFormat="1" ht="21" customHeight="1" x14ac:dyDescent="0.25">
      <c r="A644" s="51" t="str">
        <f t="shared" si="27"/>
        <v/>
      </c>
      <c r="B644" s="77"/>
      <c r="C644" s="133"/>
      <c r="D644" s="50"/>
      <c r="E644" s="141"/>
      <c r="F644" s="133"/>
      <c r="G644" s="133"/>
      <c r="H644" s="50"/>
      <c r="I644" s="51" t="str">
        <f t="shared" si="28"/>
        <v/>
      </c>
      <c r="J644" s="52" t="str">
        <f t="shared" si="29"/>
        <v/>
      </c>
      <c r="K644" s="142" t="str">
        <f>IF(OR($I644="",$I644="?",$D644&lt;&gt;"Advance",$B644=""),"",$I644&amp;"|"&amp;$J644&amp;"|"&amp;COUNTIFS($I$7:$I644,$I644,$J$7:$J644,$J644,$D$7:$D644,"Advance"))</f>
        <v/>
      </c>
      <c r="L644" s="143" t="str">
        <f>IF(OR($I644="",$I644="?",$B644=""),"",SUMPRODUCT((Weeks!$A$7:$A$59&lt;=$J644)*(Weeks!$X$5:$AI$5=$I644)*Weeks!$X$7:$AI$59)-SUMIFS($E$7:$E$1006,$I$7:$I$1006,$I644,$B$7:$B$1006,"&lt;="&amp;$B644))</f>
        <v/>
      </c>
      <c r="M644" s="132" t="str">
        <f>IF($B644&amp;$C644&amp;$D644&amp;$E644="","",IF($B644="","missing date",IF($C644="","missing worker",IF($I644="?","unknown worker - was the name changed on Workers?",IF($D644="","missing type",IF(N($E644)=0,"missing amount",IF(AND($E644&lt;0,$D644&lt;&gt;"Correction"),"negative amount - use a Correction to undo",IF(OR($B644&lt;Weeks!$A$7,$B644&gt;Weeks!$B$59),"date outside this workbook's year",IF(AND($D644="Advance",N($L644)&lt;0),"Warning: more than earned so far - worker now owes "&amp;TEXT(ROUND(-$L644,0),"#,##0"),"")))))))))</f>
        <v/>
      </c>
      <c r="N644" s="125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  <c r="AE644" s="126"/>
      <c r="AF644" s="126"/>
      <c r="AG644" s="126"/>
      <c r="AH644" s="126"/>
      <c r="AI644" s="126"/>
      <c r="AJ644" s="126"/>
      <c r="AK644" s="126"/>
      <c r="AL644" s="126"/>
      <c r="AM644" s="126"/>
      <c r="AN644" s="126"/>
    </row>
    <row r="645" spans="1:40" s="127" customFormat="1" ht="21" customHeight="1" x14ac:dyDescent="0.25">
      <c r="A645" s="51" t="str">
        <f t="shared" si="27"/>
        <v/>
      </c>
      <c r="B645" s="77"/>
      <c r="C645" s="133"/>
      <c r="D645" s="50"/>
      <c r="E645" s="141"/>
      <c r="F645" s="133"/>
      <c r="G645" s="133"/>
      <c r="H645" s="50"/>
      <c r="I645" s="51" t="str">
        <f t="shared" si="28"/>
        <v/>
      </c>
      <c r="J645" s="52" t="str">
        <f t="shared" si="29"/>
        <v/>
      </c>
      <c r="K645" s="142" t="str">
        <f>IF(OR($I645="",$I645="?",$D645&lt;&gt;"Advance",$B645=""),"",$I645&amp;"|"&amp;$J645&amp;"|"&amp;COUNTIFS($I$7:$I645,$I645,$J$7:$J645,$J645,$D$7:$D645,"Advance"))</f>
        <v/>
      </c>
      <c r="L645" s="143" t="str">
        <f>IF(OR($I645="",$I645="?",$B645=""),"",SUMPRODUCT((Weeks!$A$7:$A$59&lt;=$J645)*(Weeks!$X$5:$AI$5=$I645)*Weeks!$X$7:$AI$59)-SUMIFS($E$7:$E$1006,$I$7:$I$1006,$I645,$B$7:$B$1006,"&lt;="&amp;$B645))</f>
        <v/>
      </c>
      <c r="M645" s="132" t="str">
        <f>IF($B645&amp;$C645&amp;$D645&amp;$E645="","",IF($B645="","missing date",IF($C645="","missing worker",IF($I645="?","unknown worker - was the name changed on Workers?",IF($D645="","missing type",IF(N($E645)=0,"missing amount",IF(AND($E645&lt;0,$D645&lt;&gt;"Correction"),"negative amount - use a Correction to undo",IF(OR($B645&lt;Weeks!$A$7,$B645&gt;Weeks!$B$59),"date outside this workbook's year",IF(AND($D645="Advance",N($L645)&lt;0),"Warning: more than earned so far - worker now owes "&amp;TEXT(ROUND(-$L645,0),"#,##0"),"")))))))))</f>
        <v/>
      </c>
      <c r="N645" s="125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  <c r="AE645" s="126"/>
      <c r="AF645" s="126"/>
      <c r="AG645" s="126"/>
      <c r="AH645" s="126"/>
      <c r="AI645" s="126"/>
      <c r="AJ645" s="126"/>
      <c r="AK645" s="126"/>
      <c r="AL645" s="126"/>
      <c r="AM645" s="126"/>
      <c r="AN645" s="126"/>
    </row>
    <row r="646" spans="1:40" s="127" customFormat="1" ht="21" customHeight="1" x14ac:dyDescent="0.25">
      <c r="A646" s="51" t="str">
        <f t="shared" si="27"/>
        <v/>
      </c>
      <c r="B646" s="77"/>
      <c r="C646" s="133"/>
      <c r="D646" s="50"/>
      <c r="E646" s="141"/>
      <c r="F646" s="133"/>
      <c r="G646" s="133"/>
      <c r="H646" s="50"/>
      <c r="I646" s="51" t="str">
        <f t="shared" si="28"/>
        <v/>
      </c>
      <c r="J646" s="52" t="str">
        <f t="shared" si="29"/>
        <v/>
      </c>
      <c r="K646" s="142" t="str">
        <f>IF(OR($I646="",$I646="?",$D646&lt;&gt;"Advance",$B646=""),"",$I646&amp;"|"&amp;$J646&amp;"|"&amp;COUNTIFS($I$7:$I646,$I646,$J$7:$J646,$J646,$D$7:$D646,"Advance"))</f>
        <v/>
      </c>
      <c r="L646" s="143" t="str">
        <f>IF(OR($I646="",$I646="?",$B646=""),"",SUMPRODUCT((Weeks!$A$7:$A$59&lt;=$J646)*(Weeks!$X$5:$AI$5=$I646)*Weeks!$X$7:$AI$59)-SUMIFS($E$7:$E$1006,$I$7:$I$1006,$I646,$B$7:$B$1006,"&lt;="&amp;$B646))</f>
        <v/>
      </c>
      <c r="M646" s="132" t="str">
        <f>IF($B646&amp;$C646&amp;$D646&amp;$E646="","",IF($B646="","missing date",IF($C646="","missing worker",IF($I646="?","unknown worker - was the name changed on Workers?",IF($D646="","missing type",IF(N($E646)=0,"missing amount",IF(AND($E646&lt;0,$D646&lt;&gt;"Correction"),"negative amount - use a Correction to undo",IF(OR($B646&lt;Weeks!$A$7,$B646&gt;Weeks!$B$59),"date outside this workbook's year",IF(AND($D646="Advance",N($L646)&lt;0),"Warning: more than earned so far - worker now owes "&amp;TEXT(ROUND(-$L646,0),"#,##0"),"")))))))))</f>
        <v/>
      </c>
      <c r="N646" s="125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  <c r="AE646" s="126"/>
      <c r="AF646" s="126"/>
      <c r="AG646" s="126"/>
      <c r="AH646" s="126"/>
      <c r="AI646" s="126"/>
      <c r="AJ646" s="126"/>
      <c r="AK646" s="126"/>
      <c r="AL646" s="126"/>
      <c r="AM646" s="126"/>
      <c r="AN646" s="126"/>
    </row>
    <row r="647" spans="1:40" s="127" customFormat="1" ht="21" customHeight="1" x14ac:dyDescent="0.25">
      <c r="A647" s="51" t="str">
        <f t="shared" ref="A647:A710" si="30">IF($B647="","",ROW()-6)</f>
        <v/>
      </c>
      <c r="B647" s="77"/>
      <c r="C647" s="133"/>
      <c r="D647" s="50"/>
      <c r="E647" s="141"/>
      <c r="F647" s="133"/>
      <c r="G647" s="133"/>
      <c r="H647" s="50"/>
      <c r="I647" s="51" t="str">
        <f t="shared" ref="I647:I710" si="31">IF($C647="","",IFERROR(INDEX(WorkerIDs,MATCH($C647,WorkerNames,0)),"?"))</f>
        <v/>
      </c>
      <c r="J647" s="52" t="str">
        <f t="shared" ref="J647:J710" si="32">IF($B647="","",$B647-WEEKDAY($B647,2)+1)</f>
        <v/>
      </c>
      <c r="K647" s="142" t="str">
        <f>IF(OR($I647="",$I647="?",$D647&lt;&gt;"Advance",$B647=""),"",$I647&amp;"|"&amp;$J647&amp;"|"&amp;COUNTIFS($I$7:$I647,$I647,$J$7:$J647,$J647,$D$7:$D647,"Advance"))</f>
        <v/>
      </c>
      <c r="L647" s="143" t="str">
        <f>IF(OR($I647="",$I647="?",$B647=""),"",SUMPRODUCT((Weeks!$A$7:$A$59&lt;=$J647)*(Weeks!$X$5:$AI$5=$I647)*Weeks!$X$7:$AI$59)-SUMIFS($E$7:$E$1006,$I$7:$I$1006,$I647,$B$7:$B$1006,"&lt;="&amp;$B647))</f>
        <v/>
      </c>
      <c r="M647" s="132" t="str">
        <f>IF($B647&amp;$C647&amp;$D647&amp;$E647="","",IF($B647="","missing date",IF($C647="","missing worker",IF($I647="?","unknown worker - was the name changed on Workers?",IF($D647="","missing type",IF(N($E647)=0,"missing amount",IF(AND($E647&lt;0,$D647&lt;&gt;"Correction"),"negative amount - use a Correction to undo",IF(OR($B647&lt;Weeks!$A$7,$B647&gt;Weeks!$B$59),"date outside this workbook's year",IF(AND($D647="Advance",N($L647)&lt;0),"Warning: more than earned so far - worker now owes "&amp;TEXT(ROUND(-$L647,0),"#,##0"),"")))))))))</f>
        <v/>
      </c>
      <c r="N647" s="125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  <c r="AE647" s="126"/>
      <c r="AF647" s="126"/>
      <c r="AG647" s="126"/>
      <c r="AH647" s="126"/>
      <c r="AI647" s="126"/>
      <c r="AJ647" s="126"/>
      <c r="AK647" s="126"/>
      <c r="AL647" s="126"/>
      <c r="AM647" s="126"/>
      <c r="AN647" s="126"/>
    </row>
    <row r="648" spans="1:40" s="127" customFormat="1" ht="21" customHeight="1" x14ac:dyDescent="0.25">
      <c r="A648" s="51" t="str">
        <f t="shared" si="30"/>
        <v/>
      </c>
      <c r="B648" s="77"/>
      <c r="C648" s="133"/>
      <c r="D648" s="50"/>
      <c r="E648" s="141"/>
      <c r="F648" s="133"/>
      <c r="G648" s="133"/>
      <c r="H648" s="50"/>
      <c r="I648" s="51" t="str">
        <f t="shared" si="31"/>
        <v/>
      </c>
      <c r="J648" s="52" t="str">
        <f t="shared" si="32"/>
        <v/>
      </c>
      <c r="K648" s="142" t="str">
        <f>IF(OR($I648="",$I648="?",$D648&lt;&gt;"Advance",$B648=""),"",$I648&amp;"|"&amp;$J648&amp;"|"&amp;COUNTIFS($I$7:$I648,$I648,$J$7:$J648,$J648,$D$7:$D648,"Advance"))</f>
        <v/>
      </c>
      <c r="L648" s="143" t="str">
        <f>IF(OR($I648="",$I648="?",$B648=""),"",SUMPRODUCT((Weeks!$A$7:$A$59&lt;=$J648)*(Weeks!$X$5:$AI$5=$I648)*Weeks!$X$7:$AI$59)-SUMIFS($E$7:$E$1006,$I$7:$I$1006,$I648,$B$7:$B$1006,"&lt;="&amp;$B648))</f>
        <v/>
      </c>
      <c r="M648" s="132" t="str">
        <f>IF($B648&amp;$C648&amp;$D648&amp;$E648="","",IF($B648="","missing date",IF($C648="","missing worker",IF($I648="?","unknown worker - was the name changed on Workers?",IF($D648="","missing type",IF(N($E648)=0,"missing amount",IF(AND($E648&lt;0,$D648&lt;&gt;"Correction"),"negative amount - use a Correction to undo",IF(OR($B648&lt;Weeks!$A$7,$B648&gt;Weeks!$B$59),"date outside this workbook's year",IF(AND($D648="Advance",N($L648)&lt;0),"Warning: more than earned so far - worker now owes "&amp;TEXT(ROUND(-$L648,0),"#,##0"),"")))))))))</f>
        <v/>
      </c>
      <c r="N648" s="125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  <c r="AE648" s="126"/>
      <c r="AF648" s="126"/>
      <c r="AG648" s="126"/>
      <c r="AH648" s="126"/>
      <c r="AI648" s="126"/>
      <c r="AJ648" s="126"/>
      <c r="AK648" s="126"/>
      <c r="AL648" s="126"/>
      <c r="AM648" s="126"/>
      <c r="AN648" s="126"/>
    </row>
    <row r="649" spans="1:40" s="127" customFormat="1" ht="21" customHeight="1" x14ac:dyDescent="0.25">
      <c r="A649" s="51" t="str">
        <f t="shared" si="30"/>
        <v/>
      </c>
      <c r="B649" s="77"/>
      <c r="C649" s="133"/>
      <c r="D649" s="50"/>
      <c r="E649" s="141"/>
      <c r="F649" s="133"/>
      <c r="G649" s="133"/>
      <c r="H649" s="50"/>
      <c r="I649" s="51" t="str">
        <f t="shared" si="31"/>
        <v/>
      </c>
      <c r="J649" s="52" t="str">
        <f t="shared" si="32"/>
        <v/>
      </c>
      <c r="K649" s="142" t="str">
        <f>IF(OR($I649="",$I649="?",$D649&lt;&gt;"Advance",$B649=""),"",$I649&amp;"|"&amp;$J649&amp;"|"&amp;COUNTIFS($I$7:$I649,$I649,$J$7:$J649,$J649,$D$7:$D649,"Advance"))</f>
        <v/>
      </c>
      <c r="L649" s="143" t="str">
        <f>IF(OR($I649="",$I649="?",$B649=""),"",SUMPRODUCT((Weeks!$A$7:$A$59&lt;=$J649)*(Weeks!$X$5:$AI$5=$I649)*Weeks!$X$7:$AI$59)-SUMIFS($E$7:$E$1006,$I$7:$I$1006,$I649,$B$7:$B$1006,"&lt;="&amp;$B649))</f>
        <v/>
      </c>
      <c r="M649" s="132" t="str">
        <f>IF($B649&amp;$C649&amp;$D649&amp;$E649="","",IF($B649="","missing date",IF($C649="","missing worker",IF($I649="?","unknown worker - was the name changed on Workers?",IF($D649="","missing type",IF(N($E649)=0,"missing amount",IF(AND($E649&lt;0,$D649&lt;&gt;"Correction"),"negative amount - use a Correction to undo",IF(OR($B649&lt;Weeks!$A$7,$B649&gt;Weeks!$B$59),"date outside this workbook's year",IF(AND($D649="Advance",N($L649)&lt;0),"Warning: more than earned so far - worker now owes "&amp;TEXT(ROUND(-$L649,0),"#,##0"),"")))))))))</f>
        <v/>
      </c>
      <c r="N649" s="125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  <c r="AE649" s="126"/>
      <c r="AF649" s="126"/>
      <c r="AG649" s="126"/>
      <c r="AH649" s="126"/>
      <c r="AI649" s="126"/>
      <c r="AJ649" s="126"/>
      <c r="AK649" s="126"/>
      <c r="AL649" s="126"/>
      <c r="AM649" s="126"/>
      <c r="AN649" s="126"/>
    </row>
    <row r="650" spans="1:40" s="127" customFormat="1" ht="21" customHeight="1" x14ac:dyDescent="0.25">
      <c r="A650" s="51" t="str">
        <f t="shared" si="30"/>
        <v/>
      </c>
      <c r="B650" s="77"/>
      <c r="C650" s="133"/>
      <c r="D650" s="50"/>
      <c r="E650" s="141"/>
      <c r="F650" s="133"/>
      <c r="G650" s="133"/>
      <c r="H650" s="50"/>
      <c r="I650" s="51" t="str">
        <f t="shared" si="31"/>
        <v/>
      </c>
      <c r="J650" s="52" t="str">
        <f t="shared" si="32"/>
        <v/>
      </c>
      <c r="K650" s="142" t="str">
        <f>IF(OR($I650="",$I650="?",$D650&lt;&gt;"Advance",$B650=""),"",$I650&amp;"|"&amp;$J650&amp;"|"&amp;COUNTIFS($I$7:$I650,$I650,$J$7:$J650,$J650,$D$7:$D650,"Advance"))</f>
        <v/>
      </c>
      <c r="L650" s="143" t="str">
        <f>IF(OR($I650="",$I650="?",$B650=""),"",SUMPRODUCT((Weeks!$A$7:$A$59&lt;=$J650)*(Weeks!$X$5:$AI$5=$I650)*Weeks!$X$7:$AI$59)-SUMIFS($E$7:$E$1006,$I$7:$I$1006,$I650,$B$7:$B$1006,"&lt;="&amp;$B650))</f>
        <v/>
      </c>
      <c r="M650" s="132" t="str">
        <f>IF($B650&amp;$C650&amp;$D650&amp;$E650="","",IF($B650="","missing date",IF($C650="","missing worker",IF($I650="?","unknown worker - was the name changed on Workers?",IF($D650="","missing type",IF(N($E650)=0,"missing amount",IF(AND($E650&lt;0,$D650&lt;&gt;"Correction"),"negative amount - use a Correction to undo",IF(OR($B650&lt;Weeks!$A$7,$B650&gt;Weeks!$B$59),"date outside this workbook's year",IF(AND($D650="Advance",N($L650)&lt;0),"Warning: more than earned so far - worker now owes "&amp;TEXT(ROUND(-$L650,0),"#,##0"),"")))))))))</f>
        <v/>
      </c>
      <c r="N650" s="125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  <c r="AE650" s="126"/>
      <c r="AF650" s="126"/>
      <c r="AG650" s="126"/>
      <c r="AH650" s="126"/>
      <c r="AI650" s="126"/>
      <c r="AJ650" s="126"/>
      <c r="AK650" s="126"/>
      <c r="AL650" s="126"/>
      <c r="AM650" s="126"/>
      <c r="AN650" s="126"/>
    </row>
    <row r="651" spans="1:40" s="127" customFormat="1" ht="21" customHeight="1" x14ac:dyDescent="0.25">
      <c r="A651" s="51" t="str">
        <f t="shared" si="30"/>
        <v/>
      </c>
      <c r="B651" s="77"/>
      <c r="C651" s="133"/>
      <c r="D651" s="50"/>
      <c r="E651" s="141"/>
      <c r="F651" s="133"/>
      <c r="G651" s="133"/>
      <c r="H651" s="50"/>
      <c r="I651" s="51" t="str">
        <f t="shared" si="31"/>
        <v/>
      </c>
      <c r="J651" s="52" t="str">
        <f t="shared" si="32"/>
        <v/>
      </c>
      <c r="K651" s="142" t="str">
        <f>IF(OR($I651="",$I651="?",$D651&lt;&gt;"Advance",$B651=""),"",$I651&amp;"|"&amp;$J651&amp;"|"&amp;COUNTIFS($I$7:$I651,$I651,$J$7:$J651,$J651,$D$7:$D651,"Advance"))</f>
        <v/>
      </c>
      <c r="L651" s="143" t="str">
        <f>IF(OR($I651="",$I651="?",$B651=""),"",SUMPRODUCT((Weeks!$A$7:$A$59&lt;=$J651)*(Weeks!$X$5:$AI$5=$I651)*Weeks!$X$7:$AI$59)-SUMIFS($E$7:$E$1006,$I$7:$I$1006,$I651,$B$7:$B$1006,"&lt;="&amp;$B651))</f>
        <v/>
      </c>
      <c r="M651" s="132" t="str">
        <f>IF($B651&amp;$C651&amp;$D651&amp;$E651="","",IF($B651="","missing date",IF($C651="","missing worker",IF($I651="?","unknown worker - was the name changed on Workers?",IF($D651="","missing type",IF(N($E651)=0,"missing amount",IF(AND($E651&lt;0,$D651&lt;&gt;"Correction"),"negative amount - use a Correction to undo",IF(OR($B651&lt;Weeks!$A$7,$B651&gt;Weeks!$B$59),"date outside this workbook's year",IF(AND($D651="Advance",N($L651)&lt;0),"Warning: more than earned so far - worker now owes "&amp;TEXT(ROUND(-$L651,0),"#,##0"),"")))))))))</f>
        <v/>
      </c>
      <c r="N651" s="125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  <c r="AE651" s="126"/>
      <c r="AF651" s="126"/>
      <c r="AG651" s="126"/>
      <c r="AH651" s="126"/>
      <c r="AI651" s="126"/>
      <c r="AJ651" s="126"/>
      <c r="AK651" s="126"/>
      <c r="AL651" s="126"/>
      <c r="AM651" s="126"/>
      <c r="AN651" s="126"/>
    </row>
    <row r="652" spans="1:40" s="127" customFormat="1" ht="21" customHeight="1" x14ac:dyDescent="0.25">
      <c r="A652" s="51" t="str">
        <f t="shared" si="30"/>
        <v/>
      </c>
      <c r="B652" s="77"/>
      <c r="C652" s="133"/>
      <c r="D652" s="50"/>
      <c r="E652" s="141"/>
      <c r="F652" s="133"/>
      <c r="G652" s="133"/>
      <c r="H652" s="50"/>
      <c r="I652" s="51" t="str">
        <f t="shared" si="31"/>
        <v/>
      </c>
      <c r="J652" s="52" t="str">
        <f t="shared" si="32"/>
        <v/>
      </c>
      <c r="K652" s="142" t="str">
        <f>IF(OR($I652="",$I652="?",$D652&lt;&gt;"Advance",$B652=""),"",$I652&amp;"|"&amp;$J652&amp;"|"&amp;COUNTIFS($I$7:$I652,$I652,$J$7:$J652,$J652,$D$7:$D652,"Advance"))</f>
        <v/>
      </c>
      <c r="L652" s="143" t="str">
        <f>IF(OR($I652="",$I652="?",$B652=""),"",SUMPRODUCT((Weeks!$A$7:$A$59&lt;=$J652)*(Weeks!$X$5:$AI$5=$I652)*Weeks!$X$7:$AI$59)-SUMIFS($E$7:$E$1006,$I$7:$I$1006,$I652,$B$7:$B$1006,"&lt;="&amp;$B652))</f>
        <v/>
      </c>
      <c r="M652" s="132" t="str">
        <f>IF($B652&amp;$C652&amp;$D652&amp;$E652="","",IF($B652="","missing date",IF($C652="","missing worker",IF($I652="?","unknown worker - was the name changed on Workers?",IF($D652="","missing type",IF(N($E652)=0,"missing amount",IF(AND($E652&lt;0,$D652&lt;&gt;"Correction"),"negative amount - use a Correction to undo",IF(OR($B652&lt;Weeks!$A$7,$B652&gt;Weeks!$B$59),"date outside this workbook's year",IF(AND($D652="Advance",N($L652)&lt;0),"Warning: more than earned so far - worker now owes "&amp;TEXT(ROUND(-$L652,0),"#,##0"),"")))))))))</f>
        <v/>
      </c>
      <c r="N652" s="125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  <c r="AE652" s="126"/>
      <c r="AF652" s="126"/>
      <c r="AG652" s="126"/>
      <c r="AH652" s="126"/>
      <c r="AI652" s="126"/>
      <c r="AJ652" s="126"/>
      <c r="AK652" s="126"/>
      <c r="AL652" s="126"/>
      <c r="AM652" s="126"/>
      <c r="AN652" s="126"/>
    </row>
    <row r="653" spans="1:40" s="127" customFormat="1" ht="21" customHeight="1" x14ac:dyDescent="0.25">
      <c r="A653" s="51" t="str">
        <f t="shared" si="30"/>
        <v/>
      </c>
      <c r="B653" s="77"/>
      <c r="C653" s="133"/>
      <c r="D653" s="50"/>
      <c r="E653" s="141"/>
      <c r="F653" s="133"/>
      <c r="G653" s="133"/>
      <c r="H653" s="50"/>
      <c r="I653" s="51" t="str">
        <f t="shared" si="31"/>
        <v/>
      </c>
      <c r="J653" s="52" t="str">
        <f t="shared" si="32"/>
        <v/>
      </c>
      <c r="K653" s="142" t="str">
        <f>IF(OR($I653="",$I653="?",$D653&lt;&gt;"Advance",$B653=""),"",$I653&amp;"|"&amp;$J653&amp;"|"&amp;COUNTIFS($I$7:$I653,$I653,$J$7:$J653,$J653,$D$7:$D653,"Advance"))</f>
        <v/>
      </c>
      <c r="L653" s="143" t="str">
        <f>IF(OR($I653="",$I653="?",$B653=""),"",SUMPRODUCT((Weeks!$A$7:$A$59&lt;=$J653)*(Weeks!$X$5:$AI$5=$I653)*Weeks!$X$7:$AI$59)-SUMIFS($E$7:$E$1006,$I$7:$I$1006,$I653,$B$7:$B$1006,"&lt;="&amp;$B653))</f>
        <v/>
      </c>
      <c r="M653" s="132" t="str">
        <f>IF($B653&amp;$C653&amp;$D653&amp;$E653="","",IF($B653="","missing date",IF($C653="","missing worker",IF($I653="?","unknown worker - was the name changed on Workers?",IF($D653="","missing type",IF(N($E653)=0,"missing amount",IF(AND($E653&lt;0,$D653&lt;&gt;"Correction"),"negative amount - use a Correction to undo",IF(OR($B653&lt;Weeks!$A$7,$B653&gt;Weeks!$B$59),"date outside this workbook's year",IF(AND($D653="Advance",N($L653)&lt;0),"Warning: more than earned so far - worker now owes "&amp;TEXT(ROUND(-$L653,0),"#,##0"),"")))))))))</f>
        <v/>
      </c>
      <c r="N653" s="125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  <c r="AE653" s="126"/>
      <c r="AF653" s="126"/>
      <c r="AG653" s="126"/>
      <c r="AH653" s="126"/>
      <c r="AI653" s="126"/>
      <c r="AJ653" s="126"/>
      <c r="AK653" s="126"/>
      <c r="AL653" s="126"/>
      <c r="AM653" s="126"/>
      <c r="AN653" s="126"/>
    </row>
    <row r="654" spans="1:40" s="127" customFormat="1" ht="21" customHeight="1" x14ac:dyDescent="0.25">
      <c r="A654" s="51" t="str">
        <f t="shared" si="30"/>
        <v/>
      </c>
      <c r="B654" s="77"/>
      <c r="C654" s="133"/>
      <c r="D654" s="50"/>
      <c r="E654" s="141"/>
      <c r="F654" s="133"/>
      <c r="G654" s="133"/>
      <c r="H654" s="50"/>
      <c r="I654" s="51" t="str">
        <f t="shared" si="31"/>
        <v/>
      </c>
      <c r="J654" s="52" t="str">
        <f t="shared" si="32"/>
        <v/>
      </c>
      <c r="K654" s="142" t="str">
        <f>IF(OR($I654="",$I654="?",$D654&lt;&gt;"Advance",$B654=""),"",$I654&amp;"|"&amp;$J654&amp;"|"&amp;COUNTIFS($I$7:$I654,$I654,$J$7:$J654,$J654,$D$7:$D654,"Advance"))</f>
        <v/>
      </c>
      <c r="L654" s="143" t="str">
        <f>IF(OR($I654="",$I654="?",$B654=""),"",SUMPRODUCT((Weeks!$A$7:$A$59&lt;=$J654)*(Weeks!$X$5:$AI$5=$I654)*Weeks!$X$7:$AI$59)-SUMIFS($E$7:$E$1006,$I$7:$I$1006,$I654,$B$7:$B$1006,"&lt;="&amp;$B654))</f>
        <v/>
      </c>
      <c r="M654" s="132" t="str">
        <f>IF($B654&amp;$C654&amp;$D654&amp;$E654="","",IF($B654="","missing date",IF($C654="","missing worker",IF($I654="?","unknown worker - was the name changed on Workers?",IF($D654="","missing type",IF(N($E654)=0,"missing amount",IF(AND($E654&lt;0,$D654&lt;&gt;"Correction"),"negative amount - use a Correction to undo",IF(OR($B654&lt;Weeks!$A$7,$B654&gt;Weeks!$B$59),"date outside this workbook's year",IF(AND($D654="Advance",N($L654)&lt;0),"Warning: more than earned so far - worker now owes "&amp;TEXT(ROUND(-$L654,0),"#,##0"),"")))))))))</f>
        <v/>
      </c>
      <c r="N654" s="125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  <c r="AE654" s="126"/>
      <c r="AF654" s="126"/>
      <c r="AG654" s="126"/>
      <c r="AH654" s="126"/>
      <c r="AI654" s="126"/>
      <c r="AJ654" s="126"/>
      <c r="AK654" s="126"/>
      <c r="AL654" s="126"/>
      <c r="AM654" s="126"/>
      <c r="AN654" s="126"/>
    </row>
    <row r="655" spans="1:40" s="127" customFormat="1" ht="21" customHeight="1" x14ac:dyDescent="0.25">
      <c r="A655" s="51" t="str">
        <f t="shared" si="30"/>
        <v/>
      </c>
      <c r="B655" s="77"/>
      <c r="C655" s="133"/>
      <c r="D655" s="50"/>
      <c r="E655" s="141"/>
      <c r="F655" s="133"/>
      <c r="G655" s="133"/>
      <c r="H655" s="50"/>
      <c r="I655" s="51" t="str">
        <f t="shared" si="31"/>
        <v/>
      </c>
      <c r="J655" s="52" t="str">
        <f t="shared" si="32"/>
        <v/>
      </c>
      <c r="K655" s="142" t="str">
        <f>IF(OR($I655="",$I655="?",$D655&lt;&gt;"Advance",$B655=""),"",$I655&amp;"|"&amp;$J655&amp;"|"&amp;COUNTIFS($I$7:$I655,$I655,$J$7:$J655,$J655,$D$7:$D655,"Advance"))</f>
        <v/>
      </c>
      <c r="L655" s="143" t="str">
        <f>IF(OR($I655="",$I655="?",$B655=""),"",SUMPRODUCT((Weeks!$A$7:$A$59&lt;=$J655)*(Weeks!$X$5:$AI$5=$I655)*Weeks!$X$7:$AI$59)-SUMIFS($E$7:$E$1006,$I$7:$I$1006,$I655,$B$7:$B$1006,"&lt;="&amp;$B655))</f>
        <v/>
      </c>
      <c r="M655" s="132" t="str">
        <f>IF($B655&amp;$C655&amp;$D655&amp;$E655="","",IF($B655="","missing date",IF($C655="","missing worker",IF($I655="?","unknown worker - was the name changed on Workers?",IF($D655="","missing type",IF(N($E655)=0,"missing amount",IF(AND($E655&lt;0,$D655&lt;&gt;"Correction"),"negative amount - use a Correction to undo",IF(OR($B655&lt;Weeks!$A$7,$B655&gt;Weeks!$B$59),"date outside this workbook's year",IF(AND($D655="Advance",N($L655)&lt;0),"Warning: more than earned so far - worker now owes "&amp;TEXT(ROUND(-$L655,0),"#,##0"),"")))))))))</f>
        <v/>
      </c>
      <c r="N655" s="125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  <c r="AE655" s="126"/>
      <c r="AF655" s="126"/>
      <c r="AG655" s="126"/>
      <c r="AH655" s="126"/>
      <c r="AI655" s="126"/>
      <c r="AJ655" s="126"/>
      <c r="AK655" s="126"/>
      <c r="AL655" s="126"/>
      <c r="AM655" s="126"/>
      <c r="AN655" s="126"/>
    </row>
    <row r="656" spans="1:40" s="127" customFormat="1" ht="21" customHeight="1" x14ac:dyDescent="0.25">
      <c r="A656" s="51" t="str">
        <f t="shared" si="30"/>
        <v/>
      </c>
      <c r="B656" s="77"/>
      <c r="C656" s="133"/>
      <c r="D656" s="50"/>
      <c r="E656" s="141"/>
      <c r="F656" s="133"/>
      <c r="G656" s="133"/>
      <c r="H656" s="50"/>
      <c r="I656" s="51" t="str">
        <f t="shared" si="31"/>
        <v/>
      </c>
      <c r="J656" s="52" t="str">
        <f t="shared" si="32"/>
        <v/>
      </c>
      <c r="K656" s="142" t="str">
        <f>IF(OR($I656="",$I656="?",$D656&lt;&gt;"Advance",$B656=""),"",$I656&amp;"|"&amp;$J656&amp;"|"&amp;COUNTIFS($I$7:$I656,$I656,$J$7:$J656,$J656,$D$7:$D656,"Advance"))</f>
        <v/>
      </c>
      <c r="L656" s="143" t="str">
        <f>IF(OR($I656="",$I656="?",$B656=""),"",SUMPRODUCT((Weeks!$A$7:$A$59&lt;=$J656)*(Weeks!$X$5:$AI$5=$I656)*Weeks!$X$7:$AI$59)-SUMIFS($E$7:$E$1006,$I$7:$I$1006,$I656,$B$7:$B$1006,"&lt;="&amp;$B656))</f>
        <v/>
      </c>
      <c r="M656" s="132" t="str">
        <f>IF($B656&amp;$C656&amp;$D656&amp;$E656="","",IF($B656="","missing date",IF($C656="","missing worker",IF($I656="?","unknown worker - was the name changed on Workers?",IF($D656="","missing type",IF(N($E656)=0,"missing amount",IF(AND($E656&lt;0,$D656&lt;&gt;"Correction"),"negative amount - use a Correction to undo",IF(OR($B656&lt;Weeks!$A$7,$B656&gt;Weeks!$B$59),"date outside this workbook's year",IF(AND($D656="Advance",N($L656)&lt;0),"Warning: more than earned so far - worker now owes "&amp;TEXT(ROUND(-$L656,0),"#,##0"),"")))))))))</f>
        <v/>
      </c>
      <c r="N656" s="125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  <c r="AE656" s="126"/>
      <c r="AF656" s="126"/>
      <c r="AG656" s="126"/>
      <c r="AH656" s="126"/>
      <c r="AI656" s="126"/>
      <c r="AJ656" s="126"/>
      <c r="AK656" s="126"/>
      <c r="AL656" s="126"/>
      <c r="AM656" s="126"/>
      <c r="AN656" s="126"/>
    </row>
    <row r="657" spans="1:40" s="127" customFormat="1" ht="21" customHeight="1" x14ac:dyDescent="0.25">
      <c r="A657" s="51" t="str">
        <f t="shared" si="30"/>
        <v/>
      </c>
      <c r="B657" s="77"/>
      <c r="C657" s="133"/>
      <c r="D657" s="50"/>
      <c r="E657" s="141"/>
      <c r="F657" s="133"/>
      <c r="G657" s="133"/>
      <c r="H657" s="50"/>
      <c r="I657" s="51" t="str">
        <f t="shared" si="31"/>
        <v/>
      </c>
      <c r="J657" s="52" t="str">
        <f t="shared" si="32"/>
        <v/>
      </c>
      <c r="K657" s="142" t="str">
        <f>IF(OR($I657="",$I657="?",$D657&lt;&gt;"Advance",$B657=""),"",$I657&amp;"|"&amp;$J657&amp;"|"&amp;COUNTIFS($I$7:$I657,$I657,$J$7:$J657,$J657,$D$7:$D657,"Advance"))</f>
        <v/>
      </c>
      <c r="L657" s="143" t="str">
        <f>IF(OR($I657="",$I657="?",$B657=""),"",SUMPRODUCT((Weeks!$A$7:$A$59&lt;=$J657)*(Weeks!$X$5:$AI$5=$I657)*Weeks!$X$7:$AI$59)-SUMIFS($E$7:$E$1006,$I$7:$I$1006,$I657,$B$7:$B$1006,"&lt;="&amp;$B657))</f>
        <v/>
      </c>
      <c r="M657" s="132" t="str">
        <f>IF($B657&amp;$C657&amp;$D657&amp;$E657="","",IF($B657="","missing date",IF($C657="","missing worker",IF($I657="?","unknown worker - was the name changed on Workers?",IF($D657="","missing type",IF(N($E657)=0,"missing amount",IF(AND($E657&lt;0,$D657&lt;&gt;"Correction"),"negative amount - use a Correction to undo",IF(OR($B657&lt;Weeks!$A$7,$B657&gt;Weeks!$B$59),"date outside this workbook's year",IF(AND($D657="Advance",N($L657)&lt;0),"Warning: more than earned so far - worker now owes "&amp;TEXT(ROUND(-$L657,0),"#,##0"),"")))))))))</f>
        <v/>
      </c>
      <c r="N657" s="125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  <c r="AE657" s="126"/>
      <c r="AF657" s="126"/>
      <c r="AG657" s="126"/>
      <c r="AH657" s="126"/>
      <c r="AI657" s="126"/>
      <c r="AJ657" s="126"/>
      <c r="AK657" s="126"/>
      <c r="AL657" s="126"/>
      <c r="AM657" s="126"/>
      <c r="AN657" s="126"/>
    </row>
    <row r="658" spans="1:40" s="127" customFormat="1" ht="21" customHeight="1" x14ac:dyDescent="0.25">
      <c r="A658" s="51" t="str">
        <f t="shared" si="30"/>
        <v/>
      </c>
      <c r="B658" s="77"/>
      <c r="C658" s="133"/>
      <c r="D658" s="50"/>
      <c r="E658" s="141"/>
      <c r="F658" s="133"/>
      <c r="G658" s="133"/>
      <c r="H658" s="50"/>
      <c r="I658" s="51" t="str">
        <f t="shared" si="31"/>
        <v/>
      </c>
      <c r="J658" s="52" t="str">
        <f t="shared" si="32"/>
        <v/>
      </c>
      <c r="K658" s="142" t="str">
        <f>IF(OR($I658="",$I658="?",$D658&lt;&gt;"Advance",$B658=""),"",$I658&amp;"|"&amp;$J658&amp;"|"&amp;COUNTIFS($I$7:$I658,$I658,$J$7:$J658,$J658,$D$7:$D658,"Advance"))</f>
        <v/>
      </c>
      <c r="L658" s="143" t="str">
        <f>IF(OR($I658="",$I658="?",$B658=""),"",SUMPRODUCT((Weeks!$A$7:$A$59&lt;=$J658)*(Weeks!$X$5:$AI$5=$I658)*Weeks!$X$7:$AI$59)-SUMIFS($E$7:$E$1006,$I$7:$I$1006,$I658,$B$7:$B$1006,"&lt;="&amp;$B658))</f>
        <v/>
      </c>
      <c r="M658" s="132" t="str">
        <f>IF($B658&amp;$C658&amp;$D658&amp;$E658="","",IF($B658="","missing date",IF($C658="","missing worker",IF($I658="?","unknown worker - was the name changed on Workers?",IF($D658="","missing type",IF(N($E658)=0,"missing amount",IF(AND($E658&lt;0,$D658&lt;&gt;"Correction"),"negative amount - use a Correction to undo",IF(OR($B658&lt;Weeks!$A$7,$B658&gt;Weeks!$B$59),"date outside this workbook's year",IF(AND($D658="Advance",N($L658)&lt;0),"Warning: more than earned so far - worker now owes "&amp;TEXT(ROUND(-$L658,0),"#,##0"),"")))))))))</f>
        <v/>
      </c>
      <c r="N658" s="125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  <c r="AE658" s="126"/>
      <c r="AF658" s="126"/>
      <c r="AG658" s="126"/>
      <c r="AH658" s="126"/>
      <c r="AI658" s="126"/>
      <c r="AJ658" s="126"/>
      <c r="AK658" s="126"/>
      <c r="AL658" s="126"/>
      <c r="AM658" s="126"/>
      <c r="AN658" s="126"/>
    </row>
    <row r="659" spans="1:40" s="127" customFormat="1" ht="21" customHeight="1" x14ac:dyDescent="0.25">
      <c r="A659" s="51" t="str">
        <f t="shared" si="30"/>
        <v/>
      </c>
      <c r="B659" s="77"/>
      <c r="C659" s="133"/>
      <c r="D659" s="50"/>
      <c r="E659" s="141"/>
      <c r="F659" s="133"/>
      <c r="G659" s="133"/>
      <c r="H659" s="50"/>
      <c r="I659" s="51" t="str">
        <f t="shared" si="31"/>
        <v/>
      </c>
      <c r="J659" s="52" t="str">
        <f t="shared" si="32"/>
        <v/>
      </c>
      <c r="K659" s="142" t="str">
        <f>IF(OR($I659="",$I659="?",$D659&lt;&gt;"Advance",$B659=""),"",$I659&amp;"|"&amp;$J659&amp;"|"&amp;COUNTIFS($I$7:$I659,$I659,$J$7:$J659,$J659,$D$7:$D659,"Advance"))</f>
        <v/>
      </c>
      <c r="L659" s="143" t="str">
        <f>IF(OR($I659="",$I659="?",$B659=""),"",SUMPRODUCT((Weeks!$A$7:$A$59&lt;=$J659)*(Weeks!$X$5:$AI$5=$I659)*Weeks!$X$7:$AI$59)-SUMIFS($E$7:$E$1006,$I$7:$I$1006,$I659,$B$7:$B$1006,"&lt;="&amp;$B659))</f>
        <v/>
      </c>
      <c r="M659" s="132" t="str">
        <f>IF($B659&amp;$C659&amp;$D659&amp;$E659="","",IF($B659="","missing date",IF($C659="","missing worker",IF($I659="?","unknown worker - was the name changed on Workers?",IF($D659="","missing type",IF(N($E659)=0,"missing amount",IF(AND($E659&lt;0,$D659&lt;&gt;"Correction"),"negative amount - use a Correction to undo",IF(OR($B659&lt;Weeks!$A$7,$B659&gt;Weeks!$B$59),"date outside this workbook's year",IF(AND($D659="Advance",N($L659)&lt;0),"Warning: more than earned so far - worker now owes "&amp;TEXT(ROUND(-$L659,0),"#,##0"),"")))))))))</f>
        <v/>
      </c>
      <c r="N659" s="125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  <c r="AE659" s="126"/>
      <c r="AF659" s="126"/>
      <c r="AG659" s="126"/>
      <c r="AH659" s="126"/>
      <c r="AI659" s="126"/>
      <c r="AJ659" s="126"/>
      <c r="AK659" s="126"/>
      <c r="AL659" s="126"/>
      <c r="AM659" s="126"/>
      <c r="AN659" s="126"/>
    </row>
    <row r="660" spans="1:40" s="127" customFormat="1" ht="21" customHeight="1" x14ac:dyDescent="0.25">
      <c r="A660" s="51" t="str">
        <f t="shared" si="30"/>
        <v/>
      </c>
      <c r="B660" s="77"/>
      <c r="C660" s="133"/>
      <c r="D660" s="50"/>
      <c r="E660" s="141"/>
      <c r="F660" s="133"/>
      <c r="G660" s="133"/>
      <c r="H660" s="50"/>
      <c r="I660" s="51" t="str">
        <f t="shared" si="31"/>
        <v/>
      </c>
      <c r="J660" s="52" t="str">
        <f t="shared" si="32"/>
        <v/>
      </c>
      <c r="K660" s="142" t="str">
        <f>IF(OR($I660="",$I660="?",$D660&lt;&gt;"Advance",$B660=""),"",$I660&amp;"|"&amp;$J660&amp;"|"&amp;COUNTIFS($I$7:$I660,$I660,$J$7:$J660,$J660,$D$7:$D660,"Advance"))</f>
        <v/>
      </c>
      <c r="L660" s="143" t="str">
        <f>IF(OR($I660="",$I660="?",$B660=""),"",SUMPRODUCT((Weeks!$A$7:$A$59&lt;=$J660)*(Weeks!$X$5:$AI$5=$I660)*Weeks!$X$7:$AI$59)-SUMIFS($E$7:$E$1006,$I$7:$I$1006,$I660,$B$7:$B$1006,"&lt;="&amp;$B660))</f>
        <v/>
      </c>
      <c r="M660" s="132" t="str">
        <f>IF($B660&amp;$C660&amp;$D660&amp;$E660="","",IF($B660="","missing date",IF($C660="","missing worker",IF($I660="?","unknown worker - was the name changed on Workers?",IF($D660="","missing type",IF(N($E660)=0,"missing amount",IF(AND($E660&lt;0,$D660&lt;&gt;"Correction"),"negative amount - use a Correction to undo",IF(OR($B660&lt;Weeks!$A$7,$B660&gt;Weeks!$B$59),"date outside this workbook's year",IF(AND($D660="Advance",N($L660)&lt;0),"Warning: more than earned so far - worker now owes "&amp;TEXT(ROUND(-$L660,0),"#,##0"),"")))))))))</f>
        <v/>
      </c>
      <c r="N660" s="125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  <c r="AE660" s="126"/>
      <c r="AF660" s="126"/>
      <c r="AG660" s="126"/>
      <c r="AH660" s="126"/>
      <c r="AI660" s="126"/>
      <c r="AJ660" s="126"/>
      <c r="AK660" s="126"/>
      <c r="AL660" s="126"/>
      <c r="AM660" s="126"/>
      <c r="AN660" s="126"/>
    </row>
    <row r="661" spans="1:40" s="127" customFormat="1" ht="21" customHeight="1" x14ac:dyDescent="0.25">
      <c r="A661" s="51" t="str">
        <f t="shared" si="30"/>
        <v/>
      </c>
      <c r="B661" s="77"/>
      <c r="C661" s="133"/>
      <c r="D661" s="50"/>
      <c r="E661" s="141"/>
      <c r="F661" s="133"/>
      <c r="G661" s="133"/>
      <c r="H661" s="50"/>
      <c r="I661" s="51" t="str">
        <f t="shared" si="31"/>
        <v/>
      </c>
      <c r="J661" s="52" t="str">
        <f t="shared" si="32"/>
        <v/>
      </c>
      <c r="K661" s="142" t="str">
        <f>IF(OR($I661="",$I661="?",$D661&lt;&gt;"Advance",$B661=""),"",$I661&amp;"|"&amp;$J661&amp;"|"&amp;COUNTIFS($I$7:$I661,$I661,$J$7:$J661,$J661,$D$7:$D661,"Advance"))</f>
        <v/>
      </c>
      <c r="L661" s="143" t="str">
        <f>IF(OR($I661="",$I661="?",$B661=""),"",SUMPRODUCT((Weeks!$A$7:$A$59&lt;=$J661)*(Weeks!$X$5:$AI$5=$I661)*Weeks!$X$7:$AI$59)-SUMIFS($E$7:$E$1006,$I$7:$I$1006,$I661,$B$7:$B$1006,"&lt;="&amp;$B661))</f>
        <v/>
      </c>
      <c r="M661" s="132" t="str">
        <f>IF($B661&amp;$C661&amp;$D661&amp;$E661="","",IF($B661="","missing date",IF($C661="","missing worker",IF($I661="?","unknown worker - was the name changed on Workers?",IF($D661="","missing type",IF(N($E661)=0,"missing amount",IF(AND($E661&lt;0,$D661&lt;&gt;"Correction"),"negative amount - use a Correction to undo",IF(OR($B661&lt;Weeks!$A$7,$B661&gt;Weeks!$B$59),"date outside this workbook's year",IF(AND($D661="Advance",N($L661)&lt;0),"Warning: more than earned so far - worker now owes "&amp;TEXT(ROUND(-$L661,0),"#,##0"),"")))))))))</f>
        <v/>
      </c>
      <c r="N661" s="125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  <c r="AE661" s="126"/>
      <c r="AF661" s="126"/>
      <c r="AG661" s="126"/>
      <c r="AH661" s="126"/>
      <c r="AI661" s="126"/>
      <c r="AJ661" s="126"/>
      <c r="AK661" s="126"/>
      <c r="AL661" s="126"/>
      <c r="AM661" s="126"/>
      <c r="AN661" s="126"/>
    </row>
    <row r="662" spans="1:40" s="127" customFormat="1" ht="21" customHeight="1" x14ac:dyDescent="0.25">
      <c r="A662" s="51" t="str">
        <f t="shared" si="30"/>
        <v/>
      </c>
      <c r="B662" s="77"/>
      <c r="C662" s="133"/>
      <c r="D662" s="50"/>
      <c r="E662" s="141"/>
      <c r="F662" s="133"/>
      <c r="G662" s="133"/>
      <c r="H662" s="50"/>
      <c r="I662" s="51" t="str">
        <f t="shared" si="31"/>
        <v/>
      </c>
      <c r="J662" s="52" t="str">
        <f t="shared" si="32"/>
        <v/>
      </c>
      <c r="K662" s="142" t="str">
        <f>IF(OR($I662="",$I662="?",$D662&lt;&gt;"Advance",$B662=""),"",$I662&amp;"|"&amp;$J662&amp;"|"&amp;COUNTIFS($I$7:$I662,$I662,$J$7:$J662,$J662,$D$7:$D662,"Advance"))</f>
        <v/>
      </c>
      <c r="L662" s="143" t="str">
        <f>IF(OR($I662="",$I662="?",$B662=""),"",SUMPRODUCT((Weeks!$A$7:$A$59&lt;=$J662)*(Weeks!$X$5:$AI$5=$I662)*Weeks!$X$7:$AI$59)-SUMIFS($E$7:$E$1006,$I$7:$I$1006,$I662,$B$7:$B$1006,"&lt;="&amp;$B662))</f>
        <v/>
      </c>
      <c r="M662" s="132" t="str">
        <f>IF($B662&amp;$C662&amp;$D662&amp;$E662="","",IF($B662="","missing date",IF($C662="","missing worker",IF($I662="?","unknown worker - was the name changed on Workers?",IF($D662="","missing type",IF(N($E662)=0,"missing amount",IF(AND($E662&lt;0,$D662&lt;&gt;"Correction"),"negative amount - use a Correction to undo",IF(OR($B662&lt;Weeks!$A$7,$B662&gt;Weeks!$B$59),"date outside this workbook's year",IF(AND($D662="Advance",N($L662)&lt;0),"Warning: more than earned so far - worker now owes "&amp;TEXT(ROUND(-$L662,0),"#,##0"),"")))))))))</f>
        <v/>
      </c>
      <c r="N662" s="125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  <c r="AE662" s="126"/>
      <c r="AF662" s="126"/>
      <c r="AG662" s="126"/>
      <c r="AH662" s="126"/>
      <c r="AI662" s="126"/>
      <c r="AJ662" s="126"/>
      <c r="AK662" s="126"/>
      <c r="AL662" s="126"/>
      <c r="AM662" s="126"/>
      <c r="AN662" s="126"/>
    </row>
    <row r="663" spans="1:40" s="127" customFormat="1" ht="21" customHeight="1" x14ac:dyDescent="0.25">
      <c r="A663" s="51" t="str">
        <f t="shared" si="30"/>
        <v/>
      </c>
      <c r="B663" s="77"/>
      <c r="C663" s="133"/>
      <c r="D663" s="50"/>
      <c r="E663" s="141"/>
      <c r="F663" s="133"/>
      <c r="G663" s="133"/>
      <c r="H663" s="50"/>
      <c r="I663" s="51" t="str">
        <f t="shared" si="31"/>
        <v/>
      </c>
      <c r="J663" s="52" t="str">
        <f t="shared" si="32"/>
        <v/>
      </c>
      <c r="K663" s="142" t="str">
        <f>IF(OR($I663="",$I663="?",$D663&lt;&gt;"Advance",$B663=""),"",$I663&amp;"|"&amp;$J663&amp;"|"&amp;COUNTIFS($I$7:$I663,$I663,$J$7:$J663,$J663,$D$7:$D663,"Advance"))</f>
        <v/>
      </c>
      <c r="L663" s="143" t="str">
        <f>IF(OR($I663="",$I663="?",$B663=""),"",SUMPRODUCT((Weeks!$A$7:$A$59&lt;=$J663)*(Weeks!$X$5:$AI$5=$I663)*Weeks!$X$7:$AI$59)-SUMIFS($E$7:$E$1006,$I$7:$I$1006,$I663,$B$7:$B$1006,"&lt;="&amp;$B663))</f>
        <v/>
      </c>
      <c r="M663" s="132" t="str">
        <f>IF($B663&amp;$C663&amp;$D663&amp;$E663="","",IF($B663="","missing date",IF($C663="","missing worker",IF($I663="?","unknown worker - was the name changed on Workers?",IF($D663="","missing type",IF(N($E663)=0,"missing amount",IF(AND($E663&lt;0,$D663&lt;&gt;"Correction"),"negative amount - use a Correction to undo",IF(OR($B663&lt;Weeks!$A$7,$B663&gt;Weeks!$B$59),"date outside this workbook's year",IF(AND($D663="Advance",N($L663)&lt;0),"Warning: more than earned so far - worker now owes "&amp;TEXT(ROUND(-$L663,0),"#,##0"),"")))))))))</f>
        <v/>
      </c>
      <c r="N663" s="125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  <c r="AE663" s="126"/>
      <c r="AF663" s="126"/>
      <c r="AG663" s="126"/>
      <c r="AH663" s="126"/>
      <c r="AI663" s="126"/>
      <c r="AJ663" s="126"/>
      <c r="AK663" s="126"/>
      <c r="AL663" s="126"/>
      <c r="AM663" s="126"/>
      <c r="AN663" s="126"/>
    </row>
    <row r="664" spans="1:40" s="127" customFormat="1" ht="21" customHeight="1" x14ac:dyDescent="0.25">
      <c r="A664" s="51" t="str">
        <f t="shared" si="30"/>
        <v/>
      </c>
      <c r="B664" s="77"/>
      <c r="C664" s="133"/>
      <c r="D664" s="50"/>
      <c r="E664" s="141"/>
      <c r="F664" s="133"/>
      <c r="G664" s="133"/>
      <c r="H664" s="50"/>
      <c r="I664" s="51" t="str">
        <f t="shared" si="31"/>
        <v/>
      </c>
      <c r="J664" s="52" t="str">
        <f t="shared" si="32"/>
        <v/>
      </c>
      <c r="K664" s="142" t="str">
        <f>IF(OR($I664="",$I664="?",$D664&lt;&gt;"Advance",$B664=""),"",$I664&amp;"|"&amp;$J664&amp;"|"&amp;COUNTIFS($I$7:$I664,$I664,$J$7:$J664,$J664,$D$7:$D664,"Advance"))</f>
        <v/>
      </c>
      <c r="L664" s="143" t="str">
        <f>IF(OR($I664="",$I664="?",$B664=""),"",SUMPRODUCT((Weeks!$A$7:$A$59&lt;=$J664)*(Weeks!$X$5:$AI$5=$I664)*Weeks!$X$7:$AI$59)-SUMIFS($E$7:$E$1006,$I$7:$I$1006,$I664,$B$7:$B$1006,"&lt;="&amp;$B664))</f>
        <v/>
      </c>
      <c r="M664" s="132" t="str">
        <f>IF($B664&amp;$C664&amp;$D664&amp;$E664="","",IF($B664="","missing date",IF($C664="","missing worker",IF($I664="?","unknown worker - was the name changed on Workers?",IF($D664="","missing type",IF(N($E664)=0,"missing amount",IF(AND($E664&lt;0,$D664&lt;&gt;"Correction"),"negative amount - use a Correction to undo",IF(OR($B664&lt;Weeks!$A$7,$B664&gt;Weeks!$B$59),"date outside this workbook's year",IF(AND($D664="Advance",N($L664)&lt;0),"Warning: more than earned so far - worker now owes "&amp;TEXT(ROUND(-$L664,0),"#,##0"),"")))))))))</f>
        <v/>
      </c>
      <c r="N664" s="125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  <c r="AE664" s="126"/>
      <c r="AF664" s="126"/>
      <c r="AG664" s="126"/>
      <c r="AH664" s="126"/>
      <c r="AI664" s="126"/>
      <c r="AJ664" s="126"/>
      <c r="AK664" s="126"/>
      <c r="AL664" s="126"/>
      <c r="AM664" s="126"/>
      <c r="AN664" s="126"/>
    </row>
    <row r="665" spans="1:40" s="127" customFormat="1" ht="21" customHeight="1" x14ac:dyDescent="0.25">
      <c r="A665" s="51" t="str">
        <f t="shared" si="30"/>
        <v/>
      </c>
      <c r="B665" s="77"/>
      <c r="C665" s="133"/>
      <c r="D665" s="50"/>
      <c r="E665" s="141"/>
      <c r="F665" s="133"/>
      <c r="G665" s="133"/>
      <c r="H665" s="50"/>
      <c r="I665" s="51" t="str">
        <f t="shared" si="31"/>
        <v/>
      </c>
      <c r="J665" s="52" t="str">
        <f t="shared" si="32"/>
        <v/>
      </c>
      <c r="K665" s="142" t="str">
        <f>IF(OR($I665="",$I665="?",$D665&lt;&gt;"Advance",$B665=""),"",$I665&amp;"|"&amp;$J665&amp;"|"&amp;COUNTIFS($I$7:$I665,$I665,$J$7:$J665,$J665,$D$7:$D665,"Advance"))</f>
        <v/>
      </c>
      <c r="L665" s="143" t="str">
        <f>IF(OR($I665="",$I665="?",$B665=""),"",SUMPRODUCT((Weeks!$A$7:$A$59&lt;=$J665)*(Weeks!$X$5:$AI$5=$I665)*Weeks!$X$7:$AI$59)-SUMIFS($E$7:$E$1006,$I$7:$I$1006,$I665,$B$7:$B$1006,"&lt;="&amp;$B665))</f>
        <v/>
      </c>
      <c r="M665" s="132" t="str">
        <f>IF($B665&amp;$C665&amp;$D665&amp;$E665="","",IF($B665="","missing date",IF($C665="","missing worker",IF($I665="?","unknown worker - was the name changed on Workers?",IF($D665="","missing type",IF(N($E665)=0,"missing amount",IF(AND($E665&lt;0,$D665&lt;&gt;"Correction"),"negative amount - use a Correction to undo",IF(OR($B665&lt;Weeks!$A$7,$B665&gt;Weeks!$B$59),"date outside this workbook's year",IF(AND($D665="Advance",N($L665)&lt;0),"Warning: more than earned so far - worker now owes "&amp;TEXT(ROUND(-$L665,0),"#,##0"),"")))))))))</f>
        <v/>
      </c>
      <c r="N665" s="125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  <c r="AE665" s="126"/>
      <c r="AF665" s="126"/>
      <c r="AG665" s="126"/>
      <c r="AH665" s="126"/>
      <c r="AI665" s="126"/>
      <c r="AJ665" s="126"/>
      <c r="AK665" s="126"/>
      <c r="AL665" s="126"/>
      <c r="AM665" s="126"/>
      <c r="AN665" s="126"/>
    </row>
    <row r="666" spans="1:40" s="127" customFormat="1" ht="21" customHeight="1" x14ac:dyDescent="0.25">
      <c r="A666" s="51" t="str">
        <f t="shared" si="30"/>
        <v/>
      </c>
      <c r="B666" s="77"/>
      <c r="C666" s="133"/>
      <c r="D666" s="50"/>
      <c r="E666" s="141"/>
      <c r="F666" s="133"/>
      <c r="G666" s="133"/>
      <c r="H666" s="50"/>
      <c r="I666" s="51" t="str">
        <f t="shared" si="31"/>
        <v/>
      </c>
      <c r="J666" s="52" t="str">
        <f t="shared" si="32"/>
        <v/>
      </c>
      <c r="K666" s="142" t="str">
        <f>IF(OR($I666="",$I666="?",$D666&lt;&gt;"Advance",$B666=""),"",$I666&amp;"|"&amp;$J666&amp;"|"&amp;COUNTIFS($I$7:$I666,$I666,$J$7:$J666,$J666,$D$7:$D666,"Advance"))</f>
        <v/>
      </c>
      <c r="L666" s="143" t="str">
        <f>IF(OR($I666="",$I666="?",$B666=""),"",SUMPRODUCT((Weeks!$A$7:$A$59&lt;=$J666)*(Weeks!$X$5:$AI$5=$I666)*Weeks!$X$7:$AI$59)-SUMIFS($E$7:$E$1006,$I$7:$I$1006,$I666,$B$7:$B$1006,"&lt;="&amp;$B666))</f>
        <v/>
      </c>
      <c r="M666" s="132" t="str">
        <f>IF($B666&amp;$C666&amp;$D666&amp;$E666="","",IF($B666="","missing date",IF($C666="","missing worker",IF($I666="?","unknown worker - was the name changed on Workers?",IF($D666="","missing type",IF(N($E666)=0,"missing amount",IF(AND($E666&lt;0,$D666&lt;&gt;"Correction"),"negative amount - use a Correction to undo",IF(OR($B666&lt;Weeks!$A$7,$B666&gt;Weeks!$B$59),"date outside this workbook's year",IF(AND($D666="Advance",N($L666)&lt;0),"Warning: more than earned so far - worker now owes "&amp;TEXT(ROUND(-$L666,0),"#,##0"),"")))))))))</f>
        <v/>
      </c>
      <c r="N666" s="125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  <c r="AE666" s="126"/>
      <c r="AF666" s="126"/>
      <c r="AG666" s="126"/>
      <c r="AH666" s="126"/>
      <c r="AI666" s="126"/>
      <c r="AJ666" s="126"/>
      <c r="AK666" s="126"/>
      <c r="AL666" s="126"/>
      <c r="AM666" s="126"/>
      <c r="AN666" s="126"/>
    </row>
    <row r="667" spans="1:40" s="127" customFormat="1" ht="21" customHeight="1" x14ac:dyDescent="0.25">
      <c r="A667" s="51" t="str">
        <f t="shared" si="30"/>
        <v/>
      </c>
      <c r="B667" s="77"/>
      <c r="C667" s="133"/>
      <c r="D667" s="50"/>
      <c r="E667" s="141"/>
      <c r="F667" s="133"/>
      <c r="G667" s="133"/>
      <c r="H667" s="50"/>
      <c r="I667" s="51" t="str">
        <f t="shared" si="31"/>
        <v/>
      </c>
      <c r="J667" s="52" t="str">
        <f t="shared" si="32"/>
        <v/>
      </c>
      <c r="K667" s="142" t="str">
        <f>IF(OR($I667="",$I667="?",$D667&lt;&gt;"Advance",$B667=""),"",$I667&amp;"|"&amp;$J667&amp;"|"&amp;COUNTIFS($I$7:$I667,$I667,$J$7:$J667,$J667,$D$7:$D667,"Advance"))</f>
        <v/>
      </c>
      <c r="L667" s="143" t="str">
        <f>IF(OR($I667="",$I667="?",$B667=""),"",SUMPRODUCT((Weeks!$A$7:$A$59&lt;=$J667)*(Weeks!$X$5:$AI$5=$I667)*Weeks!$X$7:$AI$59)-SUMIFS($E$7:$E$1006,$I$7:$I$1006,$I667,$B$7:$B$1006,"&lt;="&amp;$B667))</f>
        <v/>
      </c>
      <c r="M667" s="132" t="str">
        <f>IF($B667&amp;$C667&amp;$D667&amp;$E667="","",IF($B667="","missing date",IF($C667="","missing worker",IF($I667="?","unknown worker - was the name changed on Workers?",IF($D667="","missing type",IF(N($E667)=0,"missing amount",IF(AND($E667&lt;0,$D667&lt;&gt;"Correction"),"negative amount - use a Correction to undo",IF(OR($B667&lt;Weeks!$A$7,$B667&gt;Weeks!$B$59),"date outside this workbook's year",IF(AND($D667="Advance",N($L667)&lt;0),"Warning: more than earned so far - worker now owes "&amp;TEXT(ROUND(-$L667,0),"#,##0"),"")))))))))</f>
        <v/>
      </c>
      <c r="N667" s="125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  <c r="AE667" s="126"/>
      <c r="AF667" s="126"/>
      <c r="AG667" s="126"/>
      <c r="AH667" s="126"/>
      <c r="AI667" s="126"/>
      <c r="AJ667" s="126"/>
      <c r="AK667" s="126"/>
      <c r="AL667" s="126"/>
      <c r="AM667" s="126"/>
      <c r="AN667" s="126"/>
    </row>
    <row r="668" spans="1:40" s="127" customFormat="1" ht="21" customHeight="1" x14ac:dyDescent="0.25">
      <c r="A668" s="51" t="str">
        <f t="shared" si="30"/>
        <v/>
      </c>
      <c r="B668" s="77"/>
      <c r="C668" s="133"/>
      <c r="D668" s="50"/>
      <c r="E668" s="141"/>
      <c r="F668" s="133"/>
      <c r="G668" s="133"/>
      <c r="H668" s="50"/>
      <c r="I668" s="51" t="str">
        <f t="shared" si="31"/>
        <v/>
      </c>
      <c r="J668" s="52" t="str">
        <f t="shared" si="32"/>
        <v/>
      </c>
      <c r="K668" s="142" t="str">
        <f>IF(OR($I668="",$I668="?",$D668&lt;&gt;"Advance",$B668=""),"",$I668&amp;"|"&amp;$J668&amp;"|"&amp;COUNTIFS($I$7:$I668,$I668,$J$7:$J668,$J668,$D$7:$D668,"Advance"))</f>
        <v/>
      </c>
      <c r="L668" s="143" t="str">
        <f>IF(OR($I668="",$I668="?",$B668=""),"",SUMPRODUCT((Weeks!$A$7:$A$59&lt;=$J668)*(Weeks!$X$5:$AI$5=$I668)*Weeks!$X$7:$AI$59)-SUMIFS($E$7:$E$1006,$I$7:$I$1006,$I668,$B$7:$B$1006,"&lt;="&amp;$B668))</f>
        <v/>
      </c>
      <c r="M668" s="132" t="str">
        <f>IF($B668&amp;$C668&amp;$D668&amp;$E668="","",IF($B668="","missing date",IF($C668="","missing worker",IF($I668="?","unknown worker - was the name changed on Workers?",IF($D668="","missing type",IF(N($E668)=0,"missing amount",IF(AND($E668&lt;0,$D668&lt;&gt;"Correction"),"negative amount - use a Correction to undo",IF(OR($B668&lt;Weeks!$A$7,$B668&gt;Weeks!$B$59),"date outside this workbook's year",IF(AND($D668="Advance",N($L668)&lt;0),"Warning: more than earned so far - worker now owes "&amp;TEXT(ROUND(-$L668,0),"#,##0"),"")))))))))</f>
        <v/>
      </c>
      <c r="N668" s="125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  <c r="AE668" s="126"/>
      <c r="AF668" s="126"/>
      <c r="AG668" s="126"/>
      <c r="AH668" s="126"/>
      <c r="AI668" s="126"/>
      <c r="AJ668" s="126"/>
      <c r="AK668" s="126"/>
      <c r="AL668" s="126"/>
      <c r="AM668" s="126"/>
      <c r="AN668" s="126"/>
    </row>
    <row r="669" spans="1:40" s="127" customFormat="1" ht="21" customHeight="1" x14ac:dyDescent="0.25">
      <c r="A669" s="51" t="str">
        <f t="shared" si="30"/>
        <v/>
      </c>
      <c r="B669" s="77"/>
      <c r="C669" s="133"/>
      <c r="D669" s="50"/>
      <c r="E669" s="141"/>
      <c r="F669" s="133"/>
      <c r="G669" s="133"/>
      <c r="H669" s="50"/>
      <c r="I669" s="51" t="str">
        <f t="shared" si="31"/>
        <v/>
      </c>
      <c r="J669" s="52" t="str">
        <f t="shared" si="32"/>
        <v/>
      </c>
      <c r="K669" s="142" t="str">
        <f>IF(OR($I669="",$I669="?",$D669&lt;&gt;"Advance",$B669=""),"",$I669&amp;"|"&amp;$J669&amp;"|"&amp;COUNTIFS($I$7:$I669,$I669,$J$7:$J669,$J669,$D$7:$D669,"Advance"))</f>
        <v/>
      </c>
      <c r="L669" s="143" t="str">
        <f>IF(OR($I669="",$I669="?",$B669=""),"",SUMPRODUCT((Weeks!$A$7:$A$59&lt;=$J669)*(Weeks!$X$5:$AI$5=$I669)*Weeks!$X$7:$AI$59)-SUMIFS($E$7:$E$1006,$I$7:$I$1006,$I669,$B$7:$B$1006,"&lt;="&amp;$B669))</f>
        <v/>
      </c>
      <c r="M669" s="132" t="str">
        <f>IF($B669&amp;$C669&amp;$D669&amp;$E669="","",IF($B669="","missing date",IF($C669="","missing worker",IF($I669="?","unknown worker - was the name changed on Workers?",IF($D669="","missing type",IF(N($E669)=0,"missing amount",IF(AND($E669&lt;0,$D669&lt;&gt;"Correction"),"negative amount - use a Correction to undo",IF(OR($B669&lt;Weeks!$A$7,$B669&gt;Weeks!$B$59),"date outside this workbook's year",IF(AND($D669="Advance",N($L669)&lt;0),"Warning: more than earned so far - worker now owes "&amp;TEXT(ROUND(-$L669,0),"#,##0"),"")))))))))</f>
        <v/>
      </c>
      <c r="N669" s="125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  <c r="AE669" s="126"/>
      <c r="AF669" s="126"/>
      <c r="AG669" s="126"/>
      <c r="AH669" s="126"/>
      <c r="AI669" s="126"/>
      <c r="AJ669" s="126"/>
      <c r="AK669" s="126"/>
      <c r="AL669" s="126"/>
      <c r="AM669" s="126"/>
      <c r="AN669" s="126"/>
    </row>
    <row r="670" spans="1:40" s="127" customFormat="1" ht="21" customHeight="1" x14ac:dyDescent="0.25">
      <c r="A670" s="51" t="str">
        <f t="shared" si="30"/>
        <v/>
      </c>
      <c r="B670" s="77"/>
      <c r="C670" s="133"/>
      <c r="D670" s="50"/>
      <c r="E670" s="141"/>
      <c r="F670" s="133"/>
      <c r="G670" s="133"/>
      <c r="H670" s="50"/>
      <c r="I670" s="51" t="str">
        <f t="shared" si="31"/>
        <v/>
      </c>
      <c r="J670" s="52" t="str">
        <f t="shared" si="32"/>
        <v/>
      </c>
      <c r="K670" s="142" t="str">
        <f>IF(OR($I670="",$I670="?",$D670&lt;&gt;"Advance",$B670=""),"",$I670&amp;"|"&amp;$J670&amp;"|"&amp;COUNTIFS($I$7:$I670,$I670,$J$7:$J670,$J670,$D$7:$D670,"Advance"))</f>
        <v/>
      </c>
      <c r="L670" s="143" t="str">
        <f>IF(OR($I670="",$I670="?",$B670=""),"",SUMPRODUCT((Weeks!$A$7:$A$59&lt;=$J670)*(Weeks!$X$5:$AI$5=$I670)*Weeks!$X$7:$AI$59)-SUMIFS($E$7:$E$1006,$I$7:$I$1006,$I670,$B$7:$B$1006,"&lt;="&amp;$B670))</f>
        <v/>
      </c>
      <c r="M670" s="132" t="str">
        <f>IF($B670&amp;$C670&amp;$D670&amp;$E670="","",IF($B670="","missing date",IF($C670="","missing worker",IF($I670="?","unknown worker - was the name changed on Workers?",IF($D670="","missing type",IF(N($E670)=0,"missing amount",IF(AND($E670&lt;0,$D670&lt;&gt;"Correction"),"negative amount - use a Correction to undo",IF(OR($B670&lt;Weeks!$A$7,$B670&gt;Weeks!$B$59),"date outside this workbook's year",IF(AND($D670="Advance",N($L670)&lt;0),"Warning: more than earned so far - worker now owes "&amp;TEXT(ROUND(-$L670,0),"#,##0"),"")))))))))</f>
        <v/>
      </c>
      <c r="N670" s="125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  <c r="AE670" s="126"/>
      <c r="AF670" s="126"/>
      <c r="AG670" s="126"/>
      <c r="AH670" s="126"/>
      <c r="AI670" s="126"/>
      <c r="AJ670" s="126"/>
      <c r="AK670" s="126"/>
      <c r="AL670" s="126"/>
      <c r="AM670" s="126"/>
      <c r="AN670" s="126"/>
    </row>
    <row r="671" spans="1:40" s="127" customFormat="1" ht="21" customHeight="1" x14ac:dyDescent="0.25">
      <c r="A671" s="51" t="str">
        <f t="shared" si="30"/>
        <v/>
      </c>
      <c r="B671" s="77"/>
      <c r="C671" s="133"/>
      <c r="D671" s="50"/>
      <c r="E671" s="141"/>
      <c r="F671" s="133"/>
      <c r="G671" s="133"/>
      <c r="H671" s="50"/>
      <c r="I671" s="51" t="str">
        <f t="shared" si="31"/>
        <v/>
      </c>
      <c r="J671" s="52" t="str">
        <f t="shared" si="32"/>
        <v/>
      </c>
      <c r="K671" s="142" t="str">
        <f>IF(OR($I671="",$I671="?",$D671&lt;&gt;"Advance",$B671=""),"",$I671&amp;"|"&amp;$J671&amp;"|"&amp;COUNTIFS($I$7:$I671,$I671,$J$7:$J671,$J671,$D$7:$D671,"Advance"))</f>
        <v/>
      </c>
      <c r="L671" s="143" t="str">
        <f>IF(OR($I671="",$I671="?",$B671=""),"",SUMPRODUCT((Weeks!$A$7:$A$59&lt;=$J671)*(Weeks!$X$5:$AI$5=$I671)*Weeks!$X$7:$AI$59)-SUMIFS($E$7:$E$1006,$I$7:$I$1006,$I671,$B$7:$B$1006,"&lt;="&amp;$B671))</f>
        <v/>
      </c>
      <c r="M671" s="132" t="str">
        <f>IF($B671&amp;$C671&amp;$D671&amp;$E671="","",IF($B671="","missing date",IF($C671="","missing worker",IF($I671="?","unknown worker - was the name changed on Workers?",IF($D671="","missing type",IF(N($E671)=0,"missing amount",IF(AND($E671&lt;0,$D671&lt;&gt;"Correction"),"negative amount - use a Correction to undo",IF(OR($B671&lt;Weeks!$A$7,$B671&gt;Weeks!$B$59),"date outside this workbook's year",IF(AND($D671="Advance",N($L671)&lt;0),"Warning: more than earned so far - worker now owes "&amp;TEXT(ROUND(-$L671,0),"#,##0"),"")))))))))</f>
        <v/>
      </c>
      <c r="N671" s="125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  <c r="AE671" s="126"/>
      <c r="AF671" s="126"/>
      <c r="AG671" s="126"/>
      <c r="AH671" s="126"/>
      <c r="AI671" s="126"/>
      <c r="AJ671" s="126"/>
      <c r="AK671" s="126"/>
      <c r="AL671" s="126"/>
      <c r="AM671" s="126"/>
      <c r="AN671" s="126"/>
    </row>
    <row r="672" spans="1:40" s="127" customFormat="1" ht="21" customHeight="1" x14ac:dyDescent="0.25">
      <c r="A672" s="51" t="str">
        <f t="shared" si="30"/>
        <v/>
      </c>
      <c r="B672" s="77"/>
      <c r="C672" s="133"/>
      <c r="D672" s="50"/>
      <c r="E672" s="141"/>
      <c r="F672" s="133"/>
      <c r="G672" s="133"/>
      <c r="H672" s="50"/>
      <c r="I672" s="51" t="str">
        <f t="shared" si="31"/>
        <v/>
      </c>
      <c r="J672" s="52" t="str">
        <f t="shared" si="32"/>
        <v/>
      </c>
      <c r="K672" s="142" t="str">
        <f>IF(OR($I672="",$I672="?",$D672&lt;&gt;"Advance",$B672=""),"",$I672&amp;"|"&amp;$J672&amp;"|"&amp;COUNTIFS($I$7:$I672,$I672,$J$7:$J672,$J672,$D$7:$D672,"Advance"))</f>
        <v/>
      </c>
      <c r="L672" s="143" t="str">
        <f>IF(OR($I672="",$I672="?",$B672=""),"",SUMPRODUCT((Weeks!$A$7:$A$59&lt;=$J672)*(Weeks!$X$5:$AI$5=$I672)*Weeks!$X$7:$AI$59)-SUMIFS($E$7:$E$1006,$I$7:$I$1006,$I672,$B$7:$B$1006,"&lt;="&amp;$B672))</f>
        <v/>
      </c>
      <c r="M672" s="132" t="str">
        <f>IF($B672&amp;$C672&amp;$D672&amp;$E672="","",IF($B672="","missing date",IF($C672="","missing worker",IF($I672="?","unknown worker - was the name changed on Workers?",IF($D672="","missing type",IF(N($E672)=0,"missing amount",IF(AND($E672&lt;0,$D672&lt;&gt;"Correction"),"negative amount - use a Correction to undo",IF(OR($B672&lt;Weeks!$A$7,$B672&gt;Weeks!$B$59),"date outside this workbook's year",IF(AND($D672="Advance",N($L672)&lt;0),"Warning: more than earned so far - worker now owes "&amp;TEXT(ROUND(-$L672,0),"#,##0"),"")))))))))</f>
        <v/>
      </c>
      <c r="N672" s="125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  <c r="AE672" s="126"/>
      <c r="AF672" s="126"/>
      <c r="AG672" s="126"/>
      <c r="AH672" s="126"/>
      <c r="AI672" s="126"/>
      <c r="AJ672" s="126"/>
      <c r="AK672" s="126"/>
      <c r="AL672" s="126"/>
      <c r="AM672" s="126"/>
      <c r="AN672" s="126"/>
    </row>
    <row r="673" spans="1:40" s="127" customFormat="1" ht="21" customHeight="1" x14ac:dyDescent="0.25">
      <c r="A673" s="51" t="str">
        <f t="shared" si="30"/>
        <v/>
      </c>
      <c r="B673" s="77"/>
      <c r="C673" s="133"/>
      <c r="D673" s="50"/>
      <c r="E673" s="141"/>
      <c r="F673" s="133"/>
      <c r="G673" s="133"/>
      <c r="H673" s="50"/>
      <c r="I673" s="51" t="str">
        <f t="shared" si="31"/>
        <v/>
      </c>
      <c r="J673" s="52" t="str">
        <f t="shared" si="32"/>
        <v/>
      </c>
      <c r="K673" s="142" t="str">
        <f>IF(OR($I673="",$I673="?",$D673&lt;&gt;"Advance",$B673=""),"",$I673&amp;"|"&amp;$J673&amp;"|"&amp;COUNTIFS($I$7:$I673,$I673,$J$7:$J673,$J673,$D$7:$D673,"Advance"))</f>
        <v/>
      </c>
      <c r="L673" s="143" t="str">
        <f>IF(OR($I673="",$I673="?",$B673=""),"",SUMPRODUCT((Weeks!$A$7:$A$59&lt;=$J673)*(Weeks!$X$5:$AI$5=$I673)*Weeks!$X$7:$AI$59)-SUMIFS($E$7:$E$1006,$I$7:$I$1006,$I673,$B$7:$B$1006,"&lt;="&amp;$B673))</f>
        <v/>
      </c>
      <c r="M673" s="132" t="str">
        <f>IF($B673&amp;$C673&amp;$D673&amp;$E673="","",IF($B673="","missing date",IF($C673="","missing worker",IF($I673="?","unknown worker - was the name changed on Workers?",IF($D673="","missing type",IF(N($E673)=0,"missing amount",IF(AND($E673&lt;0,$D673&lt;&gt;"Correction"),"negative amount - use a Correction to undo",IF(OR($B673&lt;Weeks!$A$7,$B673&gt;Weeks!$B$59),"date outside this workbook's year",IF(AND($D673="Advance",N($L673)&lt;0),"Warning: more than earned so far - worker now owes "&amp;TEXT(ROUND(-$L673,0),"#,##0"),"")))))))))</f>
        <v/>
      </c>
      <c r="N673" s="125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  <c r="AE673" s="126"/>
      <c r="AF673" s="126"/>
      <c r="AG673" s="126"/>
      <c r="AH673" s="126"/>
      <c r="AI673" s="126"/>
      <c r="AJ673" s="126"/>
      <c r="AK673" s="126"/>
      <c r="AL673" s="126"/>
      <c r="AM673" s="126"/>
      <c r="AN673" s="126"/>
    </row>
    <row r="674" spans="1:40" s="127" customFormat="1" ht="21" customHeight="1" x14ac:dyDescent="0.25">
      <c r="A674" s="51" t="str">
        <f t="shared" si="30"/>
        <v/>
      </c>
      <c r="B674" s="77"/>
      <c r="C674" s="133"/>
      <c r="D674" s="50"/>
      <c r="E674" s="141"/>
      <c r="F674" s="133"/>
      <c r="G674" s="133"/>
      <c r="H674" s="50"/>
      <c r="I674" s="51" t="str">
        <f t="shared" si="31"/>
        <v/>
      </c>
      <c r="J674" s="52" t="str">
        <f t="shared" si="32"/>
        <v/>
      </c>
      <c r="K674" s="142" t="str">
        <f>IF(OR($I674="",$I674="?",$D674&lt;&gt;"Advance",$B674=""),"",$I674&amp;"|"&amp;$J674&amp;"|"&amp;COUNTIFS($I$7:$I674,$I674,$J$7:$J674,$J674,$D$7:$D674,"Advance"))</f>
        <v/>
      </c>
      <c r="L674" s="143" t="str">
        <f>IF(OR($I674="",$I674="?",$B674=""),"",SUMPRODUCT((Weeks!$A$7:$A$59&lt;=$J674)*(Weeks!$X$5:$AI$5=$I674)*Weeks!$X$7:$AI$59)-SUMIFS($E$7:$E$1006,$I$7:$I$1006,$I674,$B$7:$B$1006,"&lt;="&amp;$B674))</f>
        <v/>
      </c>
      <c r="M674" s="132" t="str">
        <f>IF($B674&amp;$C674&amp;$D674&amp;$E674="","",IF($B674="","missing date",IF($C674="","missing worker",IF($I674="?","unknown worker - was the name changed on Workers?",IF($D674="","missing type",IF(N($E674)=0,"missing amount",IF(AND($E674&lt;0,$D674&lt;&gt;"Correction"),"negative amount - use a Correction to undo",IF(OR($B674&lt;Weeks!$A$7,$B674&gt;Weeks!$B$59),"date outside this workbook's year",IF(AND($D674="Advance",N($L674)&lt;0),"Warning: more than earned so far - worker now owes "&amp;TEXT(ROUND(-$L674,0),"#,##0"),"")))))))))</f>
        <v/>
      </c>
      <c r="N674" s="125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  <c r="AE674" s="126"/>
      <c r="AF674" s="126"/>
      <c r="AG674" s="126"/>
      <c r="AH674" s="126"/>
      <c r="AI674" s="126"/>
      <c r="AJ674" s="126"/>
      <c r="AK674" s="126"/>
      <c r="AL674" s="126"/>
      <c r="AM674" s="126"/>
      <c r="AN674" s="126"/>
    </row>
    <row r="675" spans="1:40" s="127" customFormat="1" ht="21" customHeight="1" x14ac:dyDescent="0.25">
      <c r="A675" s="51" t="str">
        <f t="shared" si="30"/>
        <v/>
      </c>
      <c r="B675" s="77"/>
      <c r="C675" s="133"/>
      <c r="D675" s="50"/>
      <c r="E675" s="141"/>
      <c r="F675" s="133"/>
      <c r="G675" s="133"/>
      <c r="H675" s="50"/>
      <c r="I675" s="51" t="str">
        <f t="shared" si="31"/>
        <v/>
      </c>
      <c r="J675" s="52" t="str">
        <f t="shared" si="32"/>
        <v/>
      </c>
      <c r="K675" s="142" t="str">
        <f>IF(OR($I675="",$I675="?",$D675&lt;&gt;"Advance",$B675=""),"",$I675&amp;"|"&amp;$J675&amp;"|"&amp;COUNTIFS($I$7:$I675,$I675,$J$7:$J675,$J675,$D$7:$D675,"Advance"))</f>
        <v/>
      </c>
      <c r="L675" s="143" t="str">
        <f>IF(OR($I675="",$I675="?",$B675=""),"",SUMPRODUCT((Weeks!$A$7:$A$59&lt;=$J675)*(Weeks!$X$5:$AI$5=$I675)*Weeks!$X$7:$AI$59)-SUMIFS($E$7:$E$1006,$I$7:$I$1006,$I675,$B$7:$B$1006,"&lt;="&amp;$B675))</f>
        <v/>
      </c>
      <c r="M675" s="132" t="str">
        <f>IF($B675&amp;$C675&amp;$D675&amp;$E675="","",IF($B675="","missing date",IF($C675="","missing worker",IF($I675="?","unknown worker - was the name changed on Workers?",IF($D675="","missing type",IF(N($E675)=0,"missing amount",IF(AND($E675&lt;0,$D675&lt;&gt;"Correction"),"negative amount - use a Correction to undo",IF(OR($B675&lt;Weeks!$A$7,$B675&gt;Weeks!$B$59),"date outside this workbook's year",IF(AND($D675="Advance",N($L675)&lt;0),"Warning: more than earned so far - worker now owes "&amp;TEXT(ROUND(-$L675,0),"#,##0"),"")))))))))</f>
        <v/>
      </c>
      <c r="N675" s="125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  <c r="AE675" s="126"/>
      <c r="AF675" s="126"/>
      <c r="AG675" s="126"/>
      <c r="AH675" s="126"/>
      <c r="AI675" s="126"/>
      <c r="AJ675" s="126"/>
      <c r="AK675" s="126"/>
      <c r="AL675" s="126"/>
      <c r="AM675" s="126"/>
      <c r="AN675" s="126"/>
    </row>
    <row r="676" spans="1:40" s="127" customFormat="1" ht="21" customHeight="1" x14ac:dyDescent="0.25">
      <c r="A676" s="51" t="str">
        <f t="shared" si="30"/>
        <v/>
      </c>
      <c r="B676" s="77"/>
      <c r="C676" s="133"/>
      <c r="D676" s="50"/>
      <c r="E676" s="141"/>
      <c r="F676" s="133"/>
      <c r="G676" s="133"/>
      <c r="H676" s="50"/>
      <c r="I676" s="51" t="str">
        <f t="shared" si="31"/>
        <v/>
      </c>
      <c r="J676" s="52" t="str">
        <f t="shared" si="32"/>
        <v/>
      </c>
      <c r="K676" s="142" t="str">
        <f>IF(OR($I676="",$I676="?",$D676&lt;&gt;"Advance",$B676=""),"",$I676&amp;"|"&amp;$J676&amp;"|"&amp;COUNTIFS($I$7:$I676,$I676,$J$7:$J676,$J676,$D$7:$D676,"Advance"))</f>
        <v/>
      </c>
      <c r="L676" s="143" t="str">
        <f>IF(OR($I676="",$I676="?",$B676=""),"",SUMPRODUCT((Weeks!$A$7:$A$59&lt;=$J676)*(Weeks!$X$5:$AI$5=$I676)*Weeks!$X$7:$AI$59)-SUMIFS($E$7:$E$1006,$I$7:$I$1006,$I676,$B$7:$B$1006,"&lt;="&amp;$B676))</f>
        <v/>
      </c>
      <c r="M676" s="132" t="str">
        <f>IF($B676&amp;$C676&amp;$D676&amp;$E676="","",IF($B676="","missing date",IF($C676="","missing worker",IF($I676="?","unknown worker - was the name changed on Workers?",IF($D676="","missing type",IF(N($E676)=0,"missing amount",IF(AND($E676&lt;0,$D676&lt;&gt;"Correction"),"negative amount - use a Correction to undo",IF(OR($B676&lt;Weeks!$A$7,$B676&gt;Weeks!$B$59),"date outside this workbook's year",IF(AND($D676="Advance",N($L676)&lt;0),"Warning: more than earned so far - worker now owes "&amp;TEXT(ROUND(-$L676,0),"#,##0"),"")))))))))</f>
        <v/>
      </c>
      <c r="N676" s="125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  <c r="AE676" s="126"/>
      <c r="AF676" s="126"/>
      <c r="AG676" s="126"/>
      <c r="AH676" s="126"/>
      <c r="AI676" s="126"/>
      <c r="AJ676" s="126"/>
      <c r="AK676" s="126"/>
      <c r="AL676" s="126"/>
      <c r="AM676" s="126"/>
      <c r="AN676" s="126"/>
    </row>
    <row r="677" spans="1:40" s="127" customFormat="1" ht="21" customHeight="1" x14ac:dyDescent="0.25">
      <c r="A677" s="51" t="str">
        <f t="shared" si="30"/>
        <v/>
      </c>
      <c r="B677" s="77"/>
      <c r="C677" s="133"/>
      <c r="D677" s="50"/>
      <c r="E677" s="141"/>
      <c r="F677" s="133"/>
      <c r="G677" s="133"/>
      <c r="H677" s="50"/>
      <c r="I677" s="51" t="str">
        <f t="shared" si="31"/>
        <v/>
      </c>
      <c r="J677" s="52" t="str">
        <f t="shared" si="32"/>
        <v/>
      </c>
      <c r="K677" s="142" t="str">
        <f>IF(OR($I677="",$I677="?",$D677&lt;&gt;"Advance",$B677=""),"",$I677&amp;"|"&amp;$J677&amp;"|"&amp;COUNTIFS($I$7:$I677,$I677,$J$7:$J677,$J677,$D$7:$D677,"Advance"))</f>
        <v/>
      </c>
      <c r="L677" s="143" t="str">
        <f>IF(OR($I677="",$I677="?",$B677=""),"",SUMPRODUCT((Weeks!$A$7:$A$59&lt;=$J677)*(Weeks!$X$5:$AI$5=$I677)*Weeks!$X$7:$AI$59)-SUMIFS($E$7:$E$1006,$I$7:$I$1006,$I677,$B$7:$B$1006,"&lt;="&amp;$B677))</f>
        <v/>
      </c>
      <c r="M677" s="132" t="str">
        <f>IF($B677&amp;$C677&amp;$D677&amp;$E677="","",IF($B677="","missing date",IF($C677="","missing worker",IF($I677="?","unknown worker - was the name changed on Workers?",IF($D677="","missing type",IF(N($E677)=0,"missing amount",IF(AND($E677&lt;0,$D677&lt;&gt;"Correction"),"negative amount - use a Correction to undo",IF(OR($B677&lt;Weeks!$A$7,$B677&gt;Weeks!$B$59),"date outside this workbook's year",IF(AND($D677="Advance",N($L677)&lt;0),"Warning: more than earned so far - worker now owes "&amp;TEXT(ROUND(-$L677,0),"#,##0"),"")))))))))</f>
        <v/>
      </c>
      <c r="N677" s="125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  <c r="AE677" s="126"/>
      <c r="AF677" s="126"/>
      <c r="AG677" s="126"/>
      <c r="AH677" s="126"/>
      <c r="AI677" s="126"/>
      <c r="AJ677" s="126"/>
      <c r="AK677" s="126"/>
      <c r="AL677" s="126"/>
      <c r="AM677" s="126"/>
      <c r="AN677" s="126"/>
    </row>
    <row r="678" spans="1:40" s="127" customFormat="1" ht="21" customHeight="1" x14ac:dyDescent="0.25">
      <c r="A678" s="51" t="str">
        <f t="shared" si="30"/>
        <v/>
      </c>
      <c r="B678" s="77"/>
      <c r="C678" s="133"/>
      <c r="D678" s="50"/>
      <c r="E678" s="141"/>
      <c r="F678" s="133"/>
      <c r="G678" s="133"/>
      <c r="H678" s="50"/>
      <c r="I678" s="51" t="str">
        <f t="shared" si="31"/>
        <v/>
      </c>
      <c r="J678" s="52" t="str">
        <f t="shared" si="32"/>
        <v/>
      </c>
      <c r="K678" s="142" t="str">
        <f>IF(OR($I678="",$I678="?",$D678&lt;&gt;"Advance",$B678=""),"",$I678&amp;"|"&amp;$J678&amp;"|"&amp;COUNTIFS($I$7:$I678,$I678,$J$7:$J678,$J678,$D$7:$D678,"Advance"))</f>
        <v/>
      </c>
      <c r="L678" s="143" t="str">
        <f>IF(OR($I678="",$I678="?",$B678=""),"",SUMPRODUCT((Weeks!$A$7:$A$59&lt;=$J678)*(Weeks!$X$5:$AI$5=$I678)*Weeks!$X$7:$AI$59)-SUMIFS($E$7:$E$1006,$I$7:$I$1006,$I678,$B$7:$B$1006,"&lt;="&amp;$B678))</f>
        <v/>
      </c>
      <c r="M678" s="132" t="str">
        <f>IF($B678&amp;$C678&amp;$D678&amp;$E678="","",IF($B678="","missing date",IF($C678="","missing worker",IF($I678="?","unknown worker - was the name changed on Workers?",IF($D678="","missing type",IF(N($E678)=0,"missing amount",IF(AND($E678&lt;0,$D678&lt;&gt;"Correction"),"negative amount - use a Correction to undo",IF(OR($B678&lt;Weeks!$A$7,$B678&gt;Weeks!$B$59),"date outside this workbook's year",IF(AND($D678="Advance",N($L678)&lt;0),"Warning: more than earned so far - worker now owes "&amp;TEXT(ROUND(-$L678,0),"#,##0"),"")))))))))</f>
        <v/>
      </c>
      <c r="N678" s="125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  <c r="AE678" s="126"/>
      <c r="AF678" s="126"/>
      <c r="AG678" s="126"/>
      <c r="AH678" s="126"/>
      <c r="AI678" s="126"/>
      <c r="AJ678" s="126"/>
      <c r="AK678" s="126"/>
      <c r="AL678" s="126"/>
      <c r="AM678" s="126"/>
      <c r="AN678" s="126"/>
    </row>
    <row r="679" spans="1:40" s="127" customFormat="1" ht="21" customHeight="1" x14ac:dyDescent="0.25">
      <c r="A679" s="51" t="str">
        <f t="shared" si="30"/>
        <v/>
      </c>
      <c r="B679" s="77"/>
      <c r="C679" s="133"/>
      <c r="D679" s="50"/>
      <c r="E679" s="141"/>
      <c r="F679" s="133"/>
      <c r="G679" s="133"/>
      <c r="H679" s="50"/>
      <c r="I679" s="51" t="str">
        <f t="shared" si="31"/>
        <v/>
      </c>
      <c r="J679" s="52" t="str">
        <f t="shared" si="32"/>
        <v/>
      </c>
      <c r="K679" s="142" t="str">
        <f>IF(OR($I679="",$I679="?",$D679&lt;&gt;"Advance",$B679=""),"",$I679&amp;"|"&amp;$J679&amp;"|"&amp;COUNTIFS($I$7:$I679,$I679,$J$7:$J679,$J679,$D$7:$D679,"Advance"))</f>
        <v/>
      </c>
      <c r="L679" s="143" t="str">
        <f>IF(OR($I679="",$I679="?",$B679=""),"",SUMPRODUCT((Weeks!$A$7:$A$59&lt;=$J679)*(Weeks!$X$5:$AI$5=$I679)*Weeks!$X$7:$AI$59)-SUMIFS($E$7:$E$1006,$I$7:$I$1006,$I679,$B$7:$B$1006,"&lt;="&amp;$B679))</f>
        <v/>
      </c>
      <c r="M679" s="132" t="str">
        <f>IF($B679&amp;$C679&amp;$D679&amp;$E679="","",IF($B679="","missing date",IF($C679="","missing worker",IF($I679="?","unknown worker - was the name changed on Workers?",IF($D679="","missing type",IF(N($E679)=0,"missing amount",IF(AND($E679&lt;0,$D679&lt;&gt;"Correction"),"negative amount - use a Correction to undo",IF(OR($B679&lt;Weeks!$A$7,$B679&gt;Weeks!$B$59),"date outside this workbook's year",IF(AND($D679="Advance",N($L679)&lt;0),"Warning: more than earned so far - worker now owes "&amp;TEXT(ROUND(-$L679,0),"#,##0"),"")))))))))</f>
        <v/>
      </c>
      <c r="N679" s="125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126"/>
      <c r="AH679" s="126"/>
      <c r="AI679" s="126"/>
      <c r="AJ679" s="126"/>
      <c r="AK679" s="126"/>
      <c r="AL679" s="126"/>
      <c r="AM679" s="126"/>
      <c r="AN679" s="126"/>
    </row>
    <row r="680" spans="1:40" s="127" customFormat="1" ht="21" customHeight="1" x14ac:dyDescent="0.25">
      <c r="A680" s="51" t="str">
        <f t="shared" si="30"/>
        <v/>
      </c>
      <c r="B680" s="77"/>
      <c r="C680" s="133"/>
      <c r="D680" s="50"/>
      <c r="E680" s="141"/>
      <c r="F680" s="133"/>
      <c r="G680" s="133"/>
      <c r="H680" s="50"/>
      <c r="I680" s="51" t="str">
        <f t="shared" si="31"/>
        <v/>
      </c>
      <c r="J680" s="52" t="str">
        <f t="shared" si="32"/>
        <v/>
      </c>
      <c r="K680" s="142" t="str">
        <f>IF(OR($I680="",$I680="?",$D680&lt;&gt;"Advance",$B680=""),"",$I680&amp;"|"&amp;$J680&amp;"|"&amp;COUNTIFS($I$7:$I680,$I680,$J$7:$J680,$J680,$D$7:$D680,"Advance"))</f>
        <v/>
      </c>
      <c r="L680" s="143" t="str">
        <f>IF(OR($I680="",$I680="?",$B680=""),"",SUMPRODUCT((Weeks!$A$7:$A$59&lt;=$J680)*(Weeks!$X$5:$AI$5=$I680)*Weeks!$X$7:$AI$59)-SUMIFS($E$7:$E$1006,$I$7:$I$1006,$I680,$B$7:$B$1006,"&lt;="&amp;$B680))</f>
        <v/>
      </c>
      <c r="M680" s="132" t="str">
        <f>IF($B680&amp;$C680&amp;$D680&amp;$E680="","",IF($B680="","missing date",IF($C680="","missing worker",IF($I680="?","unknown worker - was the name changed on Workers?",IF($D680="","missing type",IF(N($E680)=0,"missing amount",IF(AND($E680&lt;0,$D680&lt;&gt;"Correction"),"negative amount - use a Correction to undo",IF(OR($B680&lt;Weeks!$A$7,$B680&gt;Weeks!$B$59),"date outside this workbook's year",IF(AND($D680="Advance",N($L680)&lt;0),"Warning: more than earned so far - worker now owes "&amp;TEXT(ROUND(-$L680,0),"#,##0"),"")))))))))</f>
        <v/>
      </c>
      <c r="N680" s="125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126"/>
      <c r="AH680" s="126"/>
      <c r="AI680" s="126"/>
      <c r="AJ680" s="126"/>
      <c r="AK680" s="126"/>
      <c r="AL680" s="126"/>
      <c r="AM680" s="126"/>
      <c r="AN680" s="126"/>
    </row>
    <row r="681" spans="1:40" s="127" customFormat="1" ht="21" customHeight="1" x14ac:dyDescent="0.25">
      <c r="A681" s="51" t="str">
        <f t="shared" si="30"/>
        <v/>
      </c>
      <c r="B681" s="77"/>
      <c r="C681" s="133"/>
      <c r="D681" s="50"/>
      <c r="E681" s="141"/>
      <c r="F681" s="133"/>
      <c r="G681" s="133"/>
      <c r="H681" s="50"/>
      <c r="I681" s="51" t="str">
        <f t="shared" si="31"/>
        <v/>
      </c>
      <c r="J681" s="52" t="str">
        <f t="shared" si="32"/>
        <v/>
      </c>
      <c r="K681" s="142" t="str">
        <f>IF(OR($I681="",$I681="?",$D681&lt;&gt;"Advance",$B681=""),"",$I681&amp;"|"&amp;$J681&amp;"|"&amp;COUNTIFS($I$7:$I681,$I681,$J$7:$J681,$J681,$D$7:$D681,"Advance"))</f>
        <v/>
      </c>
      <c r="L681" s="143" t="str">
        <f>IF(OR($I681="",$I681="?",$B681=""),"",SUMPRODUCT((Weeks!$A$7:$A$59&lt;=$J681)*(Weeks!$X$5:$AI$5=$I681)*Weeks!$X$7:$AI$59)-SUMIFS($E$7:$E$1006,$I$7:$I$1006,$I681,$B$7:$B$1006,"&lt;="&amp;$B681))</f>
        <v/>
      </c>
      <c r="M681" s="132" t="str">
        <f>IF($B681&amp;$C681&amp;$D681&amp;$E681="","",IF($B681="","missing date",IF($C681="","missing worker",IF($I681="?","unknown worker - was the name changed on Workers?",IF($D681="","missing type",IF(N($E681)=0,"missing amount",IF(AND($E681&lt;0,$D681&lt;&gt;"Correction"),"negative amount - use a Correction to undo",IF(OR($B681&lt;Weeks!$A$7,$B681&gt;Weeks!$B$59),"date outside this workbook's year",IF(AND($D681="Advance",N($L681)&lt;0),"Warning: more than earned so far - worker now owes "&amp;TEXT(ROUND(-$L681,0),"#,##0"),"")))))))))</f>
        <v/>
      </c>
      <c r="N681" s="125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126"/>
      <c r="AH681" s="126"/>
      <c r="AI681" s="126"/>
      <c r="AJ681" s="126"/>
      <c r="AK681" s="126"/>
      <c r="AL681" s="126"/>
      <c r="AM681" s="126"/>
      <c r="AN681" s="126"/>
    </row>
    <row r="682" spans="1:40" s="127" customFormat="1" ht="21" customHeight="1" x14ac:dyDescent="0.25">
      <c r="A682" s="51" t="str">
        <f t="shared" si="30"/>
        <v/>
      </c>
      <c r="B682" s="77"/>
      <c r="C682" s="133"/>
      <c r="D682" s="50"/>
      <c r="E682" s="141"/>
      <c r="F682" s="133"/>
      <c r="G682" s="133"/>
      <c r="H682" s="50"/>
      <c r="I682" s="51" t="str">
        <f t="shared" si="31"/>
        <v/>
      </c>
      <c r="J682" s="52" t="str">
        <f t="shared" si="32"/>
        <v/>
      </c>
      <c r="K682" s="142" t="str">
        <f>IF(OR($I682="",$I682="?",$D682&lt;&gt;"Advance",$B682=""),"",$I682&amp;"|"&amp;$J682&amp;"|"&amp;COUNTIFS($I$7:$I682,$I682,$J$7:$J682,$J682,$D$7:$D682,"Advance"))</f>
        <v/>
      </c>
      <c r="L682" s="143" t="str">
        <f>IF(OR($I682="",$I682="?",$B682=""),"",SUMPRODUCT((Weeks!$A$7:$A$59&lt;=$J682)*(Weeks!$X$5:$AI$5=$I682)*Weeks!$X$7:$AI$59)-SUMIFS($E$7:$E$1006,$I$7:$I$1006,$I682,$B$7:$B$1006,"&lt;="&amp;$B682))</f>
        <v/>
      </c>
      <c r="M682" s="132" t="str">
        <f>IF($B682&amp;$C682&amp;$D682&amp;$E682="","",IF($B682="","missing date",IF($C682="","missing worker",IF($I682="?","unknown worker - was the name changed on Workers?",IF($D682="","missing type",IF(N($E682)=0,"missing amount",IF(AND($E682&lt;0,$D682&lt;&gt;"Correction"),"negative amount - use a Correction to undo",IF(OR($B682&lt;Weeks!$A$7,$B682&gt;Weeks!$B$59),"date outside this workbook's year",IF(AND($D682="Advance",N($L682)&lt;0),"Warning: more than earned so far - worker now owes "&amp;TEXT(ROUND(-$L682,0),"#,##0"),"")))))))))</f>
        <v/>
      </c>
      <c r="N682" s="125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126"/>
      <c r="AH682" s="126"/>
      <c r="AI682" s="126"/>
      <c r="AJ682" s="126"/>
      <c r="AK682" s="126"/>
      <c r="AL682" s="126"/>
      <c r="AM682" s="126"/>
      <c r="AN682" s="126"/>
    </row>
    <row r="683" spans="1:40" s="127" customFormat="1" ht="21" customHeight="1" x14ac:dyDescent="0.25">
      <c r="A683" s="51" t="str">
        <f t="shared" si="30"/>
        <v/>
      </c>
      <c r="B683" s="77"/>
      <c r="C683" s="133"/>
      <c r="D683" s="50"/>
      <c r="E683" s="141"/>
      <c r="F683" s="133"/>
      <c r="G683" s="133"/>
      <c r="H683" s="50"/>
      <c r="I683" s="51" t="str">
        <f t="shared" si="31"/>
        <v/>
      </c>
      <c r="J683" s="52" t="str">
        <f t="shared" si="32"/>
        <v/>
      </c>
      <c r="K683" s="142" t="str">
        <f>IF(OR($I683="",$I683="?",$D683&lt;&gt;"Advance",$B683=""),"",$I683&amp;"|"&amp;$J683&amp;"|"&amp;COUNTIFS($I$7:$I683,$I683,$J$7:$J683,$J683,$D$7:$D683,"Advance"))</f>
        <v/>
      </c>
      <c r="L683" s="143" t="str">
        <f>IF(OR($I683="",$I683="?",$B683=""),"",SUMPRODUCT((Weeks!$A$7:$A$59&lt;=$J683)*(Weeks!$X$5:$AI$5=$I683)*Weeks!$X$7:$AI$59)-SUMIFS($E$7:$E$1006,$I$7:$I$1006,$I683,$B$7:$B$1006,"&lt;="&amp;$B683))</f>
        <v/>
      </c>
      <c r="M683" s="132" t="str">
        <f>IF($B683&amp;$C683&amp;$D683&amp;$E683="","",IF($B683="","missing date",IF($C683="","missing worker",IF($I683="?","unknown worker - was the name changed on Workers?",IF($D683="","missing type",IF(N($E683)=0,"missing amount",IF(AND($E683&lt;0,$D683&lt;&gt;"Correction"),"negative amount - use a Correction to undo",IF(OR($B683&lt;Weeks!$A$7,$B683&gt;Weeks!$B$59),"date outside this workbook's year",IF(AND($D683="Advance",N($L683)&lt;0),"Warning: more than earned so far - worker now owes "&amp;TEXT(ROUND(-$L683,0),"#,##0"),"")))))))))</f>
        <v/>
      </c>
      <c r="N683" s="125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126"/>
      <c r="AH683" s="126"/>
      <c r="AI683" s="126"/>
      <c r="AJ683" s="126"/>
      <c r="AK683" s="126"/>
      <c r="AL683" s="126"/>
      <c r="AM683" s="126"/>
      <c r="AN683" s="126"/>
    </row>
    <row r="684" spans="1:40" s="127" customFormat="1" ht="21" customHeight="1" x14ac:dyDescent="0.25">
      <c r="A684" s="51" t="str">
        <f t="shared" si="30"/>
        <v/>
      </c>
      <c r="B684" s="77"/>
      <c r="C684" s="133"/>
      <c r="D684" s="50"/>
      <c r="E684" s="141"/>
      <c r="F684" s="133"/>
      <c r="G684" s="133"/>
      <c r="H684" s="50"/>
      <c r="I684" s="51" t="str">
        <f t="shared" si="31"/>
        <v/>
      </c>
      <c r="J684" s="52" t="str">
        <f t="shared" si="32"/>
        <v/>
      </c>
      <c r="K684" s="142" t="str">
        <f>IF(OR($I684="",$I684="?",$D684&lt;&gt;"Advance",$B684=""),"",$I684&amp;"|"&amp;$J684&amp;"|"&amp;COUNTIFS($I$7:$I684,$I684,$J$7:$J684,$J684,$D$7:$D684,"Advance"))</f>
        <v/>
      </c>
      <c r="L684" s="143" t="str">
        <f>IF(OR($I684="",$I684="?",$B684=""),"",SUMPRODUCT((Weeks!$A$7:$A$59&lt;=$J684)*(Weeks!$X$5:$AI$5=$I684)*Weeks!$X$7:$AI$59)-SUMIFS($E$7:$E$1006,$I$7:$I$1006,$I684,$B$7:$B$1006,"&lt;="&amp;$B684))</f>
        <v/>
      </c>
      <c r="M684" s="132" t="str">
        <f>IF($B684&amp;$C684&amp;$D684&amp;$E684="","",IF($B684="","missing date",IF($C684="","missing worker",IF($I684="?","unknown worker - was the name changed on Workers?",IF($D684="","missing type",IF(N($E684)=0,"missing amount",IF(AND($E684&lt;0,$D684&lt;&gt;"Correction"),"negative amount - use a Correction to undo",IF(OR($B684&lt;Weeks!$A$7,$B684&gt;Weeks!$B$59),"date outside this workbook's year",IF(AND($D684="Advance",N($L684)&lt;0),"Warning: more than earned so far - worker now owes "&amp;TEXT(ROUND(-$L684,0),"#,##0"),"")))))))))</f>
        <v/>
      </c>
      <c r="N684" s="125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126"/>
      <c r="AH684" s="126"/>
      <c r="AI684" s="126"/>
      <c r="AJ684" s="126"/>
      <c r="AK684" s="126"/>
      <c r="AL684" s="126"/>
      <c r="AM684" s="126"/>
      <c r="AN684" s="126"/>
    </row>
    <row r="685" spans="1:40" s="127" customFormat="1" ht="21" customHeight="1" x14ac:dyDescent="0.25">
      <c r="A685" s="51" t="str">
        <f t="shared" si="30"/>
        <v/>
      </c>
      <c r="B685" s="77"/>
      <c r="C685" s="133"/>
      <c r="D685" s="50"/>
      <c r="E685" s="141"/>
      <c r="F685" s="133"/>
      <c r="G685" s="133"/>
      <c r="H685" s="50"/>
      <c r="I685" s="51" t="str">
        <f t="shared" si="31"/>
        <v/>
      </c>
      <c r="J685" s="52" t="str">
        <f t="shared" si="32"/>
        <v/>
      </c>
      <c r="K685" s="142" t="str">
        <f>IF(OR($I685="",$I685="?",$D685&lt;&gt;"Advance",$B685=""),"",$I685&amp;"|"&amp;$J685&amp;"|"&amp;COUNTIFS($I$7:$I685,$I685,$J$7:$J685,$J685,$D$7:$D685,"Advance"))</f>
        <v/>
      </c>
      <c r="L685" s="143" t="str">
        <f>IF(OR($I685="",$I685="?",$B685=""),"",SUMPRODUCT((Weeks!$A$7:$A$59&lt;=$J685)*(Weeks!$X$5:$AI$5=$I685)*Weeks!$X$7:$AI$59)-SUMIFS($E$7:$E$1006,$I$7:$I$1006,$I685,$B$7:$B$1006,"&lt;="&amp;$B685))</f>
        <v/>
      </c>
      <c r="M685" s="132" t="str">
        <f>IF($B685&amp;$C685&amp;$D685&amp;$E685="","",IF($B685="","missing date",IF($C685="","missing worker",IF($I685="?","unknown worker - was the name changed on Workers?",IF($D685="","missing type",IF(N($E685)=0,"missing amount",IF(AND($E685&lt;0,$D685&lt;&gt;"Correction"),"negative amount - use a Correction to undo",IF(OR($B685&lt;Weeks!$A$7,$B685&gt;Weeks!$B$59),"date outside this workbook's year",IF(AND($D685="Advance",N($L685)&lt;0),"Warning: more than earned so far - worker now owes "&amp;TEXT(ROUND(-$L685,0),"#,##0"),"")))))))))</f>
        <v/>
      </c>
      <c r="N685" s="125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126"/>
      <c r="AH685" s="126"/>
      <c r="AI685" s="126"/>
      <c r="AJ685" s="126"/>
      <c r="AK685" s="126"/>
      <c r="AL685" s="126"/>
      <c r="AM685" s="126"/>
      <c r="AN685" s="126"/>
    </row>
    <row r="686" spans="1:40" s="127" customFormat="1" ht="21" customHeight="1" x14ac:dyDescent="0.25">
      <c r="A686" s="51" t="str">
        <f t="shared" si="30"/>
        <v/>
      </c>
      <c r="B686" s="77"/>
      <c r="C686" s="133"/>
      <c r="D686" s="50"/>
      <c r="E686" s="141"/>
      <c r="F686" s="133"/>
      <c r="G686" s="133"/>
      <c r="H686" s="50"/>
      <c r="I686" s="51" t="str">
        <f t="shared" si="31"/>
        <v/>
      </c>
      <c r="J686" s="52" t="str">
        <f t="shared" si="32"/>
        <v/>
      </c>
      <c r="K686" s="142" t="str">
        <f>IF(OR($I686="",$I686="?",$D686&lt;&gt;"Advance",$B686=""),"",$I686&amp;"|"&amp;$J686&amp;"|"&amp;COUNTIFS($I$7:$I686,$I686,$J$7:$J686,$J686,$D$7:$D686,"Advance"))</f>
        <v/>
      </c>
      <c r="L686" s="143" t="str">
        <f>IF(OR($I686="",$I686="?",$B686=""),"",SUMPRODUCT((Weeks!$A$7:$A$59&lt;=$J686)*(Weeks!$X$5:$AI$5=$I686)*Weeks!$X$7:$AI$59)-SUMIFS($E$7:$E$1006,$I$7:$I$1006,$I686,$B$7:$B$1006,"&lt;="&amp;$B686))</f>
        <v/>
      </c>
      <c r="M686" s="132" t="str">
        <f>IF($B686&amp;$C686&amp;$D686&amp;$E686="","",IF($B686="","missing date",IF($C686="","missing worker",IF($I686="?","unknown worker - was the name changed on Workers?",IF($D686="","missing type",IF(N($E686)=0,"missing amount",IF(AND($E686&lt;0,$D686&lt;&gt;"Correction"),"negative amount - use a Correction to undo",IF(OR($B686&lt;Weeks!$A$7,$B686&gt;Weeks!$B$59),"date outside this workbook's year",IF(AND($D686="Advance",N($L686)&lt;0),"Warning: more than earned so far - worker now owes "&amp;TEXT(ROUND(-$L686,0),"#,##0"),"")))))))))</f>
        <v/>
      </c>
      <c r="N686" s="125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126"/>
      <c r="AH686" s="126"/>
      <c r="AI686" s="126"/>
      <c r="AJ686" s="126"/>
      <c r="AK686" s="126"/>
      <c r="AL686" s="126"/>
      <c r="AM686" s="126"/>
      <c r="AN686" s="126"/>
    </row>
    <row r="687" spans="1:40" s="127" customFormat="1" ht="21" customHeight="1" x14ac:dyDescent="0.25">
      <c r="A687" s="51" t="str">
        <f t="shared" si="30"/>
        <v/>
      </c>
      <c r="B687" s="77"/>
      <c r="C687" s="133"/>
      <c r="D687" s="50"/>
      <c r="E687" s="141"/>
      <c r="F687" s="133"/>
      <c r="G687" s="133"/>
      <c r="H687" s="50"/>
      <c r="I687" s="51" t="str">
        <f t="shared" si="31"/>
        <v/>
      </c>
      <c r="J687" s="52" t="str">
        <f t="shared" si="32"/>
        <v/>
      </c>
      <c r="K687" s="142" t="str">
        <f>IF(OR($I687="",$I687="?",$D687&lt;&gt;"Advance",$B687=""),"",$I687&amp;"|"&amp;$J687&amp;"|"&amp;COUNTIFS($I$7:$I687,$I687,$J$7:$J687,$J687,$D$7:$D687,"Advance"))</f>
        <v/>
      </c>
      <c r="L687" s="143" t="str">
        <f>IF(OR($I687="",$I687="?",$B687=""),"",SUMPRODUCT((Weeks!$A$7:$A$59&lt;=$J687)*(Weeks!$X$5:$AI$5=$I687)*Weeks!$X$7:$AI$59)-SUMIFS($E$7:$E$1006,$I$7:$I$1006,$I687,$B$7:$B$1006,"&lt;="&amp;$B687))</f>
        <v/>
      </c>
      <c r="M687" s="132" t="str">
        <f>IF($B687&amp;$C687&amp;$D687&amp;$E687="","",IF($B687="","missing date",IF($C687="","missing worker",IF($I687="?","unknown worker - was the name changed on Workers?",IF($D687="","missing type",IF(N($E687)=0,"missing amount",IF(AND($E687&lt;0,$D687&lt;&gt;"Correction"),"negative amount - use a Correction to undo",IF(OR($B687&lt;Weeks!$A$7,$B687&gt;Weeks!$B$59),"date outside this workbook's year",IF(AND($D687="Advance",N($L687)&lt;0),"Warning: more than earned so far - worker now owes "&amp;TEXT(ROUND(-$L687,0),"#,##0"),"")))))))))</f>
        <v/>
      </c>
      <c r="N687" s="125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  <c r="AK687" s="126"/>
      <c r="AL687" s="126"/>
      <c r="AM687" s="126"/>
      <c r="AN687" s="126"/>
    </row>
    <row r="688" spans="1:40" s="127" customFormat="1" ht="21" customHeight="1" x14ac:dyDescent="0.25">
      <c r="A688" s="51" t="str">
        <f t="shared" si="30"/>
        <v/>
      </c>
      <c r="B688" s="77"/>
      <c r="C688" s="133"/>
      <c r="D688" s="50"/>
      <c r="E688" s="141"/>
      <c r="F688" s="133"/>
      <c r="G688" s="133"/>
      <c r="H688" s="50"/>
      <c r="I688" s="51" t="str">
        <f t="shared" si="31"/>
        <v/>
      </c>
      <c r="J688" s="52" t="str">
        <f t="shared" si="32"/>
        <v/>
      </c>
      <c r="K688" s="142" t="str">
        <f>IF(OR($I688="",$I688="?",$D688&lt;&gt;"Advance",$B688=""),"",$I688&amp;"|"&amp;$J688&amp;"|"&amp;COUNTIFS($I$7:$I688,$I688,$J$7:$J688,$J688,$D$7:$D688,"Advance"))</f>
        <v/>
      </c>
      <c r="L688" s="143" t="str">
        <f>IF(OR($I688="",$I688="?",$B688=""),"",SUMPRODUCT((Weeks!$A$7:$A$59&lt;=$J688)*(Weeks!$X$5:$AI$5=$I688)*Weeks!$X$7:$AI$59)-SUMIFS($E$7:$E$1006,$I$7:$I$1006,$I688,$B$7:$B$1006,"&lt;="&amp;$B688))</f>
        <v/>
      </c>
      <c r="M688" s="132" t="str">
        <f>IF($B688&amp;$C688&amp;$D688&amp;$E688="","",IF($B688="","missing date",IF($C688="","missing worker",IF($I688="?","unknown worker - was the name changed on Workers?",IF($D688="","missing type",IF(N($E688)=0,"missing amount",IF(AND($E688&lt;0,$D688&lt;&gt;"Correction"),"negative amount - use a Correction to undo",IF(OR($B688&lt;Weeks!$A$7,$B688&gt;Weeks!$B$59),"date outside this workbook's year",IF(AND($D688="Advance",N($L688)&lt;0),"Warning: more than earned so far - worker now owes "&amp;TEXT(ROUND(-$L688,0),"#,##0"),"")))))))))</f>
        <v/>
      </c>
      <c r="N688" s="125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  <c r="AK688" s="126"/>
      <c r="AL688" s="126"/>
      <c r="AM688" s="126"/>
      <c r="AN688" s="126"/>
    </row>
    <row r="689" spans="1:40" s="127" customFormat="1" ht="21" customHeight="1" x14ac:dyDescent="0.25">
      <c r="A689" s="51" t="str">
        <f t="shared" si="30"/>
        <v/>
      </c>
      <c r="B689" s="77"/>
      <c r="C689" s="133"/>
      <c r="D689" s="50"/>
      <c r="E689" s="141"/>
      <c r="F689" s="133"/>
      <c r="G689" s="133"/>
      <c r="H689" s="50"/>
      <c r="I689" s="51" t="str">
        <f t="shared" si="31"/>
        <v/>
      </c>
      <c r="J689" s="52" t="str">
        <f t="shared" si="32"/>
        <v/>
      </c>
      <c r="K689" s="142" t="str">
        <f>IF(OR($I689="",$I689="?",$D689&lt;&gt;"Advance",$B689=""),"",$I689&amp;"|"&amp;$J689&amp;"|"&amp;COUNTIFS($I$7:$I689,$I689,$J$7:$J689,$J689,$D$7:$D689,"Advance"))</f>
        <v/>
      </c>
      <c r="L689" s="143" t="str">
        <f>IF(OR($I689="",$I689="?",$B689=""),"",SUMPRODUCT((Weeks!$A$7:$A$59&lt;=$J689)*(Weeks!$X$5:$AI$5=$I689)*Weeks!$X$7:$AI$59)-SUMIFS($E$7:$E$1006,$I$7:$I$1006,$I689,$B$7:$B$1006,"&lt;="&amp;$B689))</f>
        <v/>
      </c>
      <c r="M689" s="132" t="str">
        <f>IF($B689&amp;$C689&amp;$D689&amp;$E689="","",IF($B689="","missing date",IF($C689="","missing worker",IF($I689="?","unknown worker - was the name changed on Workers?",IF($D689="","missing type",IF(N($E689)=0,"missing amount",IF(AND($E689&lt;0,$D689&lt;&gt;"Correction"),"negative amount - use a Correction to undo",IF(OR($B689&lt;Weeks!$A$7,$B689&gt;Weeks!$B$59),"date outside this workbook's year",IF(AND($D689="Advance",N($L689)&lt;0),"Warning: more than earned so far - worker now owes "&amp;TEXT(ROUND(-$L689,0),"#,##0"),"")))))))))</f>
        <v/>
      </c>
      <c r="N689" s="125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126"/>
      <c r="AH689" s="126"/>
      <c r="AI689" s="126"/>
      <c r="AJ689" s="126"/>
      <c r="AK689" s="126"/>
      <c r="AL689" s="126"/>
      <c r="AM689" s="126"/>
      <c r="AN689" s="126"/>
    </row>
    <row r="690" spans="1:40" s="127" customFormat="1" ht="21" customHeight="1" x14ac:dyDescent="0.25">
      <c r="A690" s="51" t="str">
        <f t="shared" si="30"/>
        <v/>
      </c>
      <c r="B690" s="77"/>
      <c r="C690" s="133"/>
      <c r="D690" s="50"/>
      <c r="E690" s="141"/>
      <c r="F690" s="133"/>
      <c r="G690" s="133"/>
      <c r="H690" s="50"/>
      <c r="I690" s="51" t="str">
        <f t="shared" si="31"/>
        <v/>
      </c>
      <c r="J690" s="52" t="str">
        <f t="shared" si="32"/>
        <v/>
      </c>
      <c r="K690" s="142" t="str">
        <f>IF(OR($I690="",$I690="?",$D690&lt;&gt;"Advance",$B690=""),"",$I690&amp;"|"&amp;$J690&amp;"|"&amp;COUNTIFS($I$7:$I690,$I690,$J$7:$J690,$J690,$D$7:$D690,"Advance"))</f>
        <v/>
      </c>
      <c r="L690" s="143" t="str">
        <f>IF(OR($I690="",$I690="?",$B690=""),"",SUMPRODUCT((Weeks!$A$7:$A$59&lt;=$J690)*(Weeks!$X$5:$AI$5=$I690)*Weeks!$X$7:$AI$59)-SUMIFS($E$7:$E$1006,$I$7:$I$1006,$I690,$B$7:$B$1006,"&lt;="&amp;$B690))</f>
        <v/>
      </c>
      <c r="M690" s="132" t="str">
        <f>IF($B690&amp;$C690&amp;$D690&amp;$E690="","",IF($B690="","missing date",IF($C690="","missing worker",IF($I690="?","unknown worker - was the name changed on Workers?",IF($D690="","missing type",IF(N($E690)=0,"missing amount",IF(AND($E690&lt;0,$D690&lt;&gt;"Correction"),"negative amount - use a Correction to undo",IF(OR($B690&lt;Weeks!$A$7,$B690&gt;Weeks!$B$59),"date outside this workbook's year",IF(AND($D690="Advance",N($L690)&lt;0),"Warning: more than earned so far - worker now owes "&amp;TEXT(ROUND(-$L690,0),"#,##0"),"")))))))))</f>
        <v/>
      </c>
      <c r="N690" s="125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126"/>
      <c r="AH690" s="126"/>
      <c r="AI690" s="126"/>
      <c r="AJ690" s="126"/>
      <c r="AK690" s="126"/>
      <c r="AL690" s="126"/>
      <c r="AM690" s="126"/>
      <c r="AN690" s="126"/>
    </row>
    <row r="691" spans="1:40" s="127" customFormat="1" ht="21" customHeight="1" x14ac:dyDescent="0.25">
      <c r="A691" s="51" t="str">
        <f t="shared" si="30"/>
        <v/>
      </c>
      <c r="B691" s="77"/>
      <c r="C691" s="133"/>
      <c r="D691" s="50"/>
      <c r="E691" s="141"/>
      <c r="F691" s="133"/>
      <c r="G691" s="133"/>
      <c r="H691" s="50"/>
      <c r="I691" s="51" t="str">
        <f t="shared" si="31"/>
        <v/>
      </c>
      <c r="J691" s="52" t="str">
        <f t="shared" si="32"/>
        <v/>
      </c>
      <c r="K691" s="142" t="str">
        <f>IF(OR($I691="",$I691="?",$D691&lt;&gt;"Advance",$B691=""),"",$I691&amp;"|"&amp;$J691&amp;"|"&amp;COUNTIFS($I$7:$I691,$I691,$J$7:$J691,$J691,$D$7:$D691,"Advance"))</f>
        <v/>
      </c>
      <c r="L691" s="143" t="str">
        <f>IF(OR($I691="",$I691="?",$B691=""),"",SUMPRODUCT((Weeks!$A$7:$A$59&lt;=$J691)*(Weeks!$X$5:$AI$5=$I691)*Weeks!$X$7:$AI$59)-SUMIFS($E$7:$E$1006,$I$7:$I$1006,$I691,$B$7:$B$1006,"&lt;="&amp;$B691))</f>
        <v/>
      </c>
      <c r="M691" s="132" t="str">
        <f>IF($B691&amp;$C691&amp;$D691&amp;$E691="","",IF($B691="","missing date",IF($C691="","missing worker",IF($I691="?","unknown worker - was the name changed on Workers?",IF($D691="","missing type",IF(N($E691)=0,"missing amount",IF(AND($E691&lt;0,$D691&lt;&gt;"Correction"),"negative amount - use a Correction to undo",IF(OR($B691&lt;Weeks!$A$7,$B691&gt;Weeks!$B$59),"date outside this workbook's year",IF(AND($D691="Advance",N($L691)&lt;0),"Warning: more than earned so far - worker now owes "&amp;TEXT(ROUND(-$L691,0),"#,##0"),"")))))))))</f>
        <v/>
      </c>
      <c r="N691" s="125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126"/>
      <c r="AH691" s="126"/>
      <c r="AI691" s="126"/>
      <c r="AJ691" s="126"/>
      <c r="AK691" s="126"/>
      <c r="AL691" s="126"/>
      <c r="AM691" s="126"/>
      <c r="AN691" s="126"/>
    </row>
    <row r="692" spans="1:40" s="127" customFormat="1" ht="21" customHeight="1" x14ac:dyDescent="0.25">
      <c r="A692" s="51" t="str">
        <f t="shared" si="30"/>
        <v/>
      </c>
      <c r="B692" s="77"/>
      <c r="C692" s="133"/>
      <c r="D692" s="50"/>
      <c r="E692" s="141"/>
      <c r="F692" s="133"/>
      <c r="G692" s="133"/>
      <c r="H692" s="50"/>
      <c r="I692" s="51" t="str">
        <f t="shared" si="31"/>
        <v/>
      </c>
      <c r="J692" s="52" t="str">
        <f t="shared" si="32"/>
        <v/>
      </c>
      <c r="K692" s="142" t="str">
        <f>IF(OR($I692="",$I692="?",$D692&lt;&gt;"Advance",$B692=""),"",$I692&amp;"|"&amp;$J692&amp;"|"&amp;COUNTIFS($I$7:$I692,$I692,$J$7:$J692,$J692,$D$7:$D692,"Advance"))</f>
        <v/>
      </c>
      <c r="L692" s="143" t="str">
        <f>IF(OR($I692="",$I692="?",$B692=""),"",SUMPRODUCT((Weeks!$A$7:$A$59&lt;=$J692)*(Weeks!$X$5:$AI$5=$I692)*Weeks!$X$7:$AI$59)-SUMIFS($E$7:$E$1006,$I$7:$I$1006,$I692,$B$7:$B$1006,"&lt;="&amp;$B692))</f>
        <v/>
      </c>
      <c r="M692" s="132" t="str">
        <f>IF($B692&amp;$C692&amp;$D692&amp;$E692="","",IF($B692="","missing date",IF($C692="","missing worker",IF($I692="?","unknown worker - was the name changed on Workers?",IF($D692="","missing type",IF(N($E692)=0,"missing amount",IF(AND($E692&lt;0,$D692&lt;&gt;"Correction"),"negative amount - use a Correction to undo",IF(OR($B692&lt;Weeks!$A$7,$B692&gt;Weeks!$B$59),"date outside this workbook's year",IF(AND($D692="Advance",N($L692)&lt;0),"Warning: more than earned so far - worker now owes "&amp;TEXT(ROUND(-$L692,0),"#,##0"),"")))))))))</f>
        <v/>
      </c>
      <c r="N692" s="125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126"/>
      <c r="AH692" s="126"/>
      <c r="AI692" s="126"/>
      <c r="AJ692" s="126"/>
      <c r="AK692" s="126"/>
      <c r="AL692" s="126"/>
      <c r="AM692" s="126"/>
      <c r="AN692" s="126"/>
    </row>
    <row r="693" spans="1:40" s="127" customFormat="1" ht="21" customHeight="1" x14ac:dyDescent="0.25">
      <c r="A693" s="51" t="str">
        <f t="shared" si="30"/>
        <v/>
      </c>
      <c r="B693" s="77"/>
      <c r="C693" s="133"/>
      <c r="D693" s="50"/>
      <c r="E693" s="141"/>
      <c r="F693" s="133"/>
      <c r="G693" s="133"/>
      <c r="H693" s="50"/>
      <c r="I693" s="51" t="str">
        <f t="shared" si="31"/>
        <v/>
      </c>
      <c r="J693" s="52" t="str">
        <f t="shared" si="32"/>
        <v/>
      </c>
      <c r="K693" s="142" t="str">
        <f>IF(OR($I693="",$I693="?",$D693&lt;&gt;"Advance",$B693=""),"",$I693&amp;"|"&amp;$J693&amp;"|"&amp;COUNTIFS($I$7:$I693,$I693,$J$7:$J693,$J693,$D$7:$D693,"Advance"))</f>
        <v/>
      </c>
      <c r="L693" s="143" t="str">
        <f>IF(OR($I693="",$I693="?",$B693=""),"",SUMPRODUCT((Weeks!$A$7:$A$59&lt;=$J693)*(Weeks!$X$5:$AI$5=$I693)*Weeks!$X$7:$AI$59)-SUMIFS($E$7:$E$1006,$I$7:$I$1006,$I693,$B$7:$B$1006,"&lt;="&amp;$B693))</f>
        <v/>
      </c>
      <c r="M693" s="132" t="str">
        <f>IF($B693&amp;$C693&amp;$D693&amp;$E693="","",IF($B693="","missing date",IF($C693="","missing worker",IF($I693="?","unknown worker - was the name changed on Workers?",IF($D693="","missing type",IF(N($E693)=0,"missing amount",IF(AND($E693&lt;0,$D693&lt;&gt;"Correction"),"negative amount - use a Correction to undo",IF(OR($B693&lt;Weeks!$A$7,$B693&gt;Weeks!$B$59),"date outside this workbook's year",IF(AND($D693="Advance",N($L693)&lt;0),"Warning: more than earned so far - worker now owes "&amp;TEXT(ROUND(-$L693,0),"#,##0"),"")))))))))</f>
        <v/>
      </c>
      <c r="N693" s="125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126"/>
      <c r="AH693" s="126"/>
      <c r="AI693" s="126"/>
      <c r="AJ693" s="126"/>
      <c r="AK693" s="126"/>
      <c r="AL693" s="126"/>
      <c r="AM693" s="126"/>
      <c r="AN693" s="126"/>
    </row>
    <row r="694" spans="1:40" s="127" customFormat="1" ht="21" customHeight="1" x14ac:dyDescent="0.25">
      <c r="A694" s="51" t="str">
        <f t="shared" si="30"/>
        <v/>
      </c>
      <c r="B694" s="77"/>
      <c r="C694" s="133"/>
      <c r="D694" s="50"/>
      <c r="E694" s="141"/>
      <c r="F694" s="133"/>
      <c r="G694" s="133"/>
      <c r="H694" s="50"/>
      <c r="I694" s="51" t="str">
        <f t="shared" si="31"/>
        <v/>
      </c>
      <c r="J694" s="52" t="str">
        <f t="shared" si="32"/>
        <v/>
      </c>
      <c r="K694" s="142" t="str">
        <f>IF(OR($I694="",$I694="?",$D694&lt;&gt;"Advance",$B694=""),"",$I694&amp;"|"&amp;$J694&amp;"|"&amp;COUNTIFS($I$7:$I694,$I694,$J$7:$J694,$J694,$D$7:$D694,"Advance"))</f>
        <v/>
      </c>
      <c r="L694" s="143" t="str">
        <f>IF(OR($I694="",$I694="?",$B694=""),"",SUMPRODUCT((Weeks!$A$7:$A$59&lt;=$J694)*(Weeks!$X$5:$AI$5=$I694)*Weeks!$X$7:$AI$59)-SUMIFS($E$7:$E$1006,$I$7:$I$1006,$I694,$B$7:$B$1006,"&lt;="&amp;$B694))</f>
        <v/>
      </c>
      <c r="M694" s="132" t="str">
        <f>IF($B694&amp;$C694&amp;$D694&amp;$E694="","",IF($B694="","missing date",IF($C694="","missing worker",IF($I694="?","unknown worker - was the name changed on Workers?",IF($D694="","missing type",IF(N($E694)=0,"missing amount",IF(AND($E694&lt;0,$D694&lt;&gt;"Correction"),"negative amount - use a Correction to undo",IF(OR($B694&lt;Weeks!$A$7,$B694&gt;Weeks!$B$59),"date outside this workbook's year",IF(AND($D694="Advance",N($L694)&lt;0),"Warning: more than earned so far - worker now owes "&amp;TEXT(ROUND(-$L694,0),"#,##0"),"")))))))))</f>
        <v/>
      </c>
      <c r="N694" s="125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126"/>
      <c r="AH694" s="126"/>
      <c r="AI694" s="126"/>
      <c r="AJ694" s="126"/>
      <c r="AK694" s="126"/>
      <c r="AL694" s="126"/>
      <c r="AM694" s="126"/>
      <c r="AN694" s="126"/>
    </row>
    <row r="695" spans="1:40" s="127" customFormat="1" ht="21" customHeight="1" x14ac:dyDescent="0.25">
      <c r="A695" s="51" t="str">
        <f t="shared" si="30"/>
        <v/>
      </c>
      <c r="B695" s="77"/>
      <c r="C695" s="133"/>
      <c r="D695" s="50"/>
      <c r="E695" s="141"/>
      <c r="F695" s="133"/>
      <c r="G695" s="133"/>
      <c r="H695" s="50"/>
      <c r="I695" s="51" t="str">
        <f t="shared" si="31"/>
        <v/>
      </c>
      <c r="J695" s="52" t="str">
        <f t="shared" si="32"/>
        <v/>
      </c>
      <c r="K695" s="142" t="str">
        <f>IF(OR($I695="",$I695="?",$D695&lt;&gt;"Advance",$B695=""),"",$I695&amp;"|"&amp;$J695&amp;"|"&amp;COUNTIFS($I$7:$I695,$I695,$J$7:$J695,$J695,$D$7:$D695,"Advance"))</f>
        <v/>
      </c>
      <c r="L695" s="143" t="str">
        <f>IF(OR($I695="",$I695="?",$B695=""),"",SUMPRODUCT((Weeks!$A$7:$A$59&lt;=$J695)*(Weeks!$X$5:$AI$5=$I695)*Weeks!$X$7:$AI$59)-SUMIFS($E$7:$E$1006,$I$7:$I$1006,$I695,$B$7:$B$1006,"&lt;="&amp;$B695))</f>
        <v/>
      </c>
      <c r="M695" s="132" t="str">
        <f>IF($B695&amp;$C695&amp;$D695&amp;$E695="","",IF($B695="","missing date",IF($C695="","missing worker",IF($I695="?","unknown worker - was the name changed on Workers?",IF($D695="","missing type",IF(N($E695)=0,"missing amount",IF(AND($E695&lt;0,$D695&lt;&gt;"Correction"),"negative amount - use a Correction to undo",IF(OR($B695&lt;Weeks!$A$7,$B695&gt;Weeks!$B$59),"date outside this workbook's year",IF(AND($D695="Advance",N($L695)&lt;0),"Warning: more than earned so far - worker now owes "&amp;TEXT(ROUND(-$L695,0),"#,##0"),"")))))))))</f>
        <v/>
      </c>
      <c r="N695" s="125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126"/>
      <c r="AH695" s="126"/>
      <c r="AI695" s="126"/>
      <c r="AJ695" s="126"/>
      <c r="AK695" s="126"/>
      <c r="AL695" s="126"/>
      <c r="AM695" s="126"/>
      <c r="AN695" s="126"/>
    </row>
    <row r="696" spans="1:40" s="127" customFormat="1" ht="21" customHeight="1" x14ac:dyDescent="0.25">
      <c r="A696" s="51" t="str">
        <f t="shared" si="30"/>
        <v/>
      </c>
      <c r="B696" s="77"/>
      <c r="C696" s="133"/>
      <c r="D696" s="50"/>
      <c r="E696" s="141"/>
      <c r="F696" s="133"/>
      <c r="G696" s="133"/>
      <c r="H696" s="50"/>
      <c r="I696" s="51" t="str">
        <f t="shared" si="31"/>
        <v/>
      </c>
      <c r="J696" s="52" t="str">
        <f t="shared" si="32"/>
        <v/>
      </c>
      <c r="K696" s="142" t="str">
        <f>IF(OR($I696="",$I696="?",$D696&lt;&gt;"Advance",$B696=""),"",$I696&amp;"|"&amp;$J696&amp;"|"&amp;COUNTIFS($I$7:$I696,$I696,$J$7:$J696,$J696,$D$7:$D696,"Advance"))</f>
        <v/>
      </c>
      <c r="L696" s="143" t="str">
        <f>IF(OR($I696="",$I696="?",$B696=""),"",SUMPRODUCT((Weeks!$A$7:$A$59&lt;=$J696)*(Weeks!$X$5:$AI$5=$I696)*Weeks!$X$7:$AI$59)-SUMIFS($E$7:$E$1006,$I$7:$I$1006,$I696,$B$7:$B$1006,"&lt;="&amp;$B696))</f>
        <v/>
      </c>
      <c r="M696" s="132" t="str">
        <f>IF($B696&amp;$C696&amp;$D696&amp;$E696="","",IF($B696="","missing date",IF($C696="","missing worker",IF($I696="?","unknown worker - was the name changed on Workers?",IF($D696="","missing type",IF(N($E696)=0,"missing amount",IF(AND($E696&lt;0,$D696&lt;&gt;"Correction"),"negative amount - use a Correction to undo",IF(OR($B696&lt;Weeks!$A$7,$B696&gt;Weeks!$B$59),"date outside this workbook's year",IF(AND($D696="Advance",N($L696)&lt;0),"Warning: more than earned so far - worker now owes "&amp;TEXT(ROUND(-$L696,0),"#,##0"),"")))))))))</f>
        <v/>
      </c>
      <c r="N696" s="125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126"/>
      <c r="AH696" s="126"/>
      <c r="AI696" s="126"/>
      <c r="AJ696" s="126"/>
      <c r="AK696" s="126"/>
      <c r="AL696" s="126"/>
      <c r="AM696" s="126"/>
      <c r="AN696" s="126"/>
    </row>
    <row r="697" spans="1:40" s="127" customFormat="1" ht="21" customHeight="1" x14ac:dyDescent="0.25">
      <c r="A697" s="51" t="str">
        <f t="shared" si="30"/>
        <v/>
      </c>
      <c r="B697" s="77"/>
      <c r="C697" s="133"/>
      <c r="D697" s="50"/>
      <c r="E697" s="141"/>
      <c r="F697" s="133"/>
      <c r="G697" s="133"/>
      <c r="H697" s="50"/>
      <c r="I697" s="51" t="str">
        <f t="shared" si="31"/>
        <v/>
      </c>
      <c r="J697" s="52" t="str">
        <f t="shared" si="32"/>
        <v/>
      </c>
      <c r="K697" s="142" t="str">
        <f>IF(OR($I697="",$I697="?",$D697&lt;&gt;"Advance",$B697=""),"",$I697&amp;"|"&amp;$J697&amp;"|"&amp;COUNTIFS($I$7:$I697,$I697,$J$7:$J697,$J697,$D$7:$D697,"Advance"))</f>
        <v/>
      </c>
      <c r="L697" s="143" t="str">
        <f>IF(OR($I697="",$I697="?",$B697=""),"",SUMPRODUCT((Weeks!$A$7:$A$59&lt;=$J697)*(Weeks!$X$5:$AI$5=$I697)*Weeks!$X$7:$AI$59)-SUMIFS($E$7:$E$1006,$I$7:$I$1006,$I697,$B$7:$B$1006,"&lt;="&amp;$B697))</f>
        <v/>
      </c>
      <c r="M697" s="132" t="str">
        <f>IF($B697&amp;$C697&amp;$D697&amp;$E697="","",IF($B697="","missing date",IF($C697="","missing worker",IF($I697="?","unknown worker - was the name changed on Workers?",IF($D697="","missing type",IF(N($E697)=0,"missing amount",IF(AND($E697&lt;0,$D697&lt;&gt;"Correction"),"negative amount - use a Correction to undo",IF(OR($B697&lt;Weeks!$A$7,$B697&gt;Weeks!$B$59),"date outside this workbook's year",IF(AND($D697="Advance",N($L697)&lt;0),"Warning: more than earned so far - worker now owes "&amp;TEXT(ROUND(-$L697,0),"#,##0"),"")))))))))</f>
        <v/>
      </c>
      <c r="N697" s="125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126"/>
      <c r="AH697" s="126"/>
      <c r="AI697" s="126"/>
      <c r="AJ697" s="126"/>
      <c r="AK697" s="126"/>
      <c r="AL697" s="126"/>
      <c r="AM697" s="126"/>
      <c r="AN697" s="126"/>
    </row>
    <row r="698" spans="1:40" s="127" customFormat="1" ht="21" customHeight="1" x14ac:dyDescent="0.25">
      <c r="A698" s="51" t="str">
        <f t="shared" si="30"/>
        <v/>
      </c>
      <c r="B698" s="77"/>
      <c r="C698" s="133"/>
      <c r="D698" s="50"/>
      <c r="E698" s="141"/>
      <c r="F698" s="133"/>
      <c r="G698" s="133"/>
      <c r="H698" s="50"/>
      <c r="I698" s="51" t="str">
        <f t="shared" si="31"/>
        <v/>
      </c>
      <c r="J698" s="52" t="str">
        <f t="shared" si="32"/>
        <v/>
      </c>
      <c r="K698" s="142" t="str">
        <f>IF(OR($I698="",$I698="?",$D698&lt;&gt;"Advance",$B698=""),"",$I698&amp;"|"&amp;$J698&amp;"|"&amp;COUNTIFS($I$7:$I698,$I698,$J$7:$J698,$J698,$D$7:$D698,"Advance"))</f>
        <v/>
      </c>
      <c r="L698" s="143" t="str">
        <f>IF(OR($I698="",$I698="?",$B698=""),"",SUMPRODUCT((Weeks!$A$7:$A$59&lt;=$J698)*(Weeks!$X$5:$AI$5=$I698)*Weeks!$X$7:$AI$59)-SUMIFS($E$7:$E$1006,$I$7:$I$1006,$I698,$B$7:$B$1006,"&lt;="&amp;$B698))</f>
        <v/>
      </c>
      <c r="M698" s="132" t="str">
        <f>IF($B698&amp;$C698&amp;$D698&amp;$E698="","",IF($B698="","missing date",IF($C698="","missing worker",IF($I698="?","unknown worker - was the name changed on Workers?",IF($D698="","missing type",IF(N($E698)=0,"missing amount",IF(AND($E698&lt;0,$D698&lt;&gt;"Correction"),"negative amount - use a Correction to undo",IF(OR($B698&lt;Weeks!$A$7,$B698&gt;Weeks!$B$59),"date outside this workbook's year",IF(AND($D698="Advance",N($L698)&lt;0),"Warning: more than earned so far - worker now owes "&amp;TEXT(ROUND(-$L698,0),"#,##0"),"")))))))))</f>
        <v/>
      </c>
      <c r="N698" s="125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126"/>
      <c r="AH698" s="126"/>
      <c r="AI698" s="126"/>
      <c r="AJ698" s="126"/>
      <c r="AK698" s="126"/>
      <c r="AL698" s="126"/>
      <c r="AM698" s="126"/>
      <c r="AN698" s="126"/>
    </row>
    <row r="699" spans="1:40" s="127" customFormat="1" ht="21" customHeight="1" x14ac:dyDescent="0.25">
      <c r="A699" s="51" t="str">
        <f t="shared" si="30"/>
        <v/>
      </c>
      <c r="B699" s="77"/>
      <c r="C699" s="133"/>
      <c r="D699" s="50"/>
      <c r="E699" s="141"/>
      <c r="F699" s="133"/>
      <c r="G699" s="133"/>
      <c r="H699" s="50"/>
      <c r="I699" s="51" t="str">
        <f t="shared" si="31"/>
        <v/>
      </c>
      <c r="J699" s="52" t="str">
        <f t="shared" si="32"/>
        <v/>
      </c>
      <c r="K699" s="142" t="str">
        <f>IF(OR($I699="",$I699="?",$D699&lt;&gt;"Advance",$B699=""),"",$I699&amp;"|"&amp;$J699&amp;"|"&amp;COUNTIFS($I$7:$I699,$I699,$J$7:$J699,$J699,$D$7:$D699,"Advance"))</f>
        <v/>
      </c>
      <c r="L699" s="143" t="str">
        <f>IF(OR($I699="",$I699="?",$B699=""),"",SUMPRODUCT((Weeks!$A$7:$A$59&lt;=$J699)*(Weeks!$X$5:$AI$5=$I699)*Weeks!$X$7:$AI$59)-SUMIFS($E$7:$E$1006,$I$7:$I$1006,$I699,$B$7:$B$1006,"&lt;="&amp;$B699))</f>
        <v/>
      </c>
      <c r="M699" s="132" t="str">
        <f>IF($B699&amp;$C699&amp;$D699&amp;$E699="","",IF($B699="","missing date",IF($C699="","missing worker",IF($I699="?","unknown worker - was the name changed on Workers?",IF($D699="","missing type",IF(N($E699)=0,"missing amount",IF(AND($E699&lt;0,$D699&lt;&gt;"Correction"),"negative amount - use a Correction to undo",IF(OR($B699&lt;Weeks!$A$7,$B699&gt;Weeks!$B$59),"date outside this workbook's year",IF(AND($D699="Advance",N($L699)&lt;0),"Warning: more than earned so far - worker now owes "&amp;TEXT(ROUND(-$L699,0),"#,##0"),"")))))))))</f>
        <v/>
      </c>
      <c r="N699" s="125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126"/>
      <c r="AH699" s="126"/>
      <c r="AI699" s="126"/>
      <c r="AJ699" s="126"/>
      <c r="AK699" s="126"/>
      <c r="AL699" s="126"/>
      <c r="AM699" s="126"/>
      <c r="AN699" s="126"/>
    </row>
    <row r="700" spans="1:40" s="127" customFormat="1" ht="21" customHeight="1" x14ac:dyDescent="0.25">
      <c r="A700" s="51" t="str">
        <f t="shared" si="30"/>
        <v/>
      </c>
      <c r="B700" s="77"/>
      <c r="C700" s="133"/>
      <c r="D700" s="50"/>
      <c r="E700" s="141"/>
      <c r="F700" s="133"/>
      <c r="G700" s="133"/>
      <c r="H700" s="50"/>
      <c r="I700" s="51" t="str">
        <f t="shared" si="31"/>
        <v/>
      </c>
      <c r="J700" s="52" t="str">
        <f t="shared" si="32"/>
        <v/>
      </c>
      <c r="K700" s="142" t="str">
        <f>IF(OR($I700="",$I700="?",$D700&lt;&gt;"Advance",$B700=""),"",$I700&amp;"|"&amp;$J700&amp;"|"&amp;COUNTIFS($I$7:$I700,$I700,$J$7:$J700,$J700,$D$7:$D700,"Advance"))</f>
        <v/>
      </c>
      <c r="L700" s="143" t="str">
        <f>IF(OR($I700="",$I700="?",$B700=""),"",SUMPRODUCT((Weeks!$A$7:$A$59&lt;=$J700)*(Weeks!$X$5:$AI$5=$I700)*Weeks!$X$7:$AI$59)-SUMIFS($E$7:$E$1006,$I$7:$I$1006,$I700,$B$7:$B$1006,"&lt;="&amp;$B700))</f>
        <v/>
      </c>
      <c r="M700" s="132" t="str">
        <f>IF($B700&amp;$C700&amp;$D700&amp;$E700="","",IF($B700="","missing date",IF($C700="","missing worker",IF($I700="?","unknown worker - was the name changed on Workers?",IF($D700="","missing type",IF(N($E700)=0,"missing amount",IF(AND($E700&lt;0,$D700&lt;&gt;"Correction"),"negative amount - use a Correction to undo",IF(OR($B700&lt;Weeks!$A$7,$B700&gt;Weeks!$B$59),"date outside this workbook's year",IF(AND($D700="Advance",N($L700)&lt;0),"Warning: more than earned so far - worker now owes "&amp;TEXT(ROUND(-$L700,0),"#,##0"),"")))))))))</f>
        <v/>
      </c>
      <c r="N700" s="125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126"/>
      <c r="AH700" s="126"/>
      <c r="AI700" s="126"/>
      <c r="AJ700" s="126"/>
      <c r="AK700" s="126"/>
      <c r="AL700" s="126"/>
      <c r="AM700" s="126"/>
      <c r="AN700" s="126"/>
    </row>
    <row r="701" spans="1:40" s="127" customFormat="1" ht="21" customHeight="1" x14ac:dyDescent="0.25">
      <c r="A701" s="51" t="str">
        <f t="shared" si="30"/>
        <v/>
      </c>
      <c r="B701" s="77"/>
      <c r="C701" s="133"/>
      <c r="D701" s="50"/>
      <c r="E701" s="141"/>
      <c r="F701" s="133"/>
      <c r="G701" s="133"/>
      <c r="H701" s="50"/>
      <c r="I701" s="51" t="str">
        <f t="shared" si="31"/>
        <v/>
      </c>
      <c r="J701" s="52" t="str">
        <f t="shared" si="32"/>
        <v/>
      </c>
      <c r="K701" s="142" t="str">
        <f>IF(OR($I701="",$I701="?",$D701&lt;&gt;"Advance",$B701=""),"",$I701&amp;"|"&amp;$J701&amp;"|"&amp;COUNTIFS($I$7:$I701,$I701,$J$7:$J701,$J701,$D$7:$D701,"Advance"))</f>
        <v/>
      </c>
      <c r="L701" s="143" t="str">
        <f>IF(OR($I701="",$I701="?",$B701=""),"",SUMPRODUCT((Weeks!$A$7:$A$59&lt;=$J701)*(Weeks!$X$5:$AI$5=$I701)*Weeks!$X$7:$AI$59)-SUMIFS($E$7:$E$1006,$I$7:$I$1006,$I701,$B$7:$B$1006,"&lt;="&amp;$B701))</f>
        <v/>
      </c>
      <c r="M701" s="132" t="str">
        <f>IF($B701&amp;$C701&amp;$D701&amp;$E701="","",IF($B701="","missing date",IF($C701="","missing worker",IF($I701="?","unknown worker - was the name changed on Workers?",IF($D701="","missing type",IF(N($E701)=0,"missing amount",IF(AND($E701&lt;0,$D701&lt;&gt;"Correction"),"negative amount - use a Correction to undo",IF(OR($B701&lt;Weeks!$A$7,$B701&gt;Weeks!$B$59),"date outside this workbook's year",IF(AND($D701="Advance",N($L701)&lt;0),"Warning: more than earned so far - worker now owes "&amp;TEXT(ROUND(-$L701,0),"#,##0"),"")))))))))</f>
        <v/>
      </c>
      <c r="N701" s="125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126"/>
      <c r="AH701" s="126"/>
      <c r="AI701" s="126"/>
      <c r="AJ701" s="126"/>
      <c r="AK701" s="126"/>
      <c r="AL701" s="126"/>
      <c r="AM701" s="126"/>
      <c r="AN701" s="126"/>
    </row>
    <row r="702" spans="1:40" s="127" customFormat="1" ht="21" customHeight="1" x14ac:dyDescent="0.25">
      <c r="A702" s="51" t="str">
        <f t="shared" si="30"/>
        <v/>
      </c>
      <c r="B702" s="77"/>
      <c r="C702" s="133"/>
      <c r="D702" s="50"/>
      <c r="E702" s="141"/>
      <c r="F702" s="133"/>
      <c r="G702" s="133"/>
      <c r="H702" s="50"/>
      <c r="I702" s="51" t="str">
        <f t="shared" si="31"/>
        <v/>
      </c>
      <c r="J702" s="52" t="str">
        <f t="shared" si="32"/>
        <v/>
      </c>
      <c r="K702" s="142" t="str">
        <f>IF(OR($I702="",$I702="?",$D702&lt;&gt;"Advance",$B702=""),"",$I702&amp;"|"&amp;$J702&amp;"|"&amp;COUNTIFS($I$7:$I702,$I702,$J$7:$J702,$J702,$D$7:$D702,"Advance"))</f>
        <v/>
      </c>
      <c r="L702" s="143" t="str">
        <f>IF(OR($I702="",$I702="?",$B702=""),"",SUMPRODUCT((Weeks!$A$7:$A$59&lt;=$J702)*(Weeks!$X$5:$AI$5=$I702)*Weeks!$X$7:$AI$59)-SUMIFS($E$7:$E$1006,$I$7:$I$1006,$I702,$B$7:$B$1006,"&lt;="&amp;$B702))</f>
        <v/>
      </c>
      <c r="M702" s="132" t="str">
        <f>IF($B702&amp;$C702&amp;$D702&amp;$E702="","",IF($B702="","missing date",IF($C702="","missing worker",IF($I702="?","unknown worker - was the name changed on Workers?",IF($D702="","missing type",IF(N($E702)=0,"missing amount",IF(AND($E702&lt;0,$D702&lt;&gt;"Correction"),"negative amount - use a Correction to undo",IF(OR($B702&lt;Weeks!$A$7,$B702&gt;Weeks!$B$59),"date outside this workbook's year",IF(AND($D702="Advance",N($L702)&lt;0),"Warning: more than earned so far - worker now owes "&amp;TEXT(ROUND(-$L702,0),"#,##0"),"")))))))))</f>
        <v/>
      </c>
      <c r="N702" s="125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126"/>
      <c r="AH702" s="126"/>
      <c r="AI702" s="126"/>
      <c r="AJ702" s="126"/>
      <c r="AK702" s="126"/>
      <c r="AL702" s="126"/>
      <c r="AM702" s="126"/>
      <c r="AN702" s="126"/>
    </row>
    <row r="703" spans="1:40" s="127" customFormat="1" ht="21" customHeight="1" x14ac:dyDescent="0.25">
      <c r="A703" s="51" t="str">
        <f t="shared" si="30"/>
        <v/>
      </c>
      <c r="B703" s="77"/>
      <c r="C703" s="133"/>
      <c r="D703" s="50"/>
      <c r="E703" s="141"/>
      <c r="F703" s="133"/>
      <c r="G703" s="133"/>
      <c r="H703" s="50"/>
      <c r="I703" s="51" t="str">
        <f t="shared" si="31"/>
        <v/>
      </c>
      <c r="J703" s="52" t="str">
        <f t="shared" si="32"/>
        <v/>
      </c>
      <c r="K703" s="142" t="str">
        <f>IF(OR($I703="",$I703="?",$D703&lt;&gt;"Advance",$B703=""),"",$I703&amp;"|"&amp;$J703&amp;"|"&amp;COUNTIFS($I$7:$I703,$I703,$J$7:$J703,$J703,$D$7:$D703,"Advance"))</f>
        <v/>
      </c>
      <c r="L703" s="143" t="str">
        <f>IF(OR($I703="",$I703="?",$B703=""),"",SUMPRODUCT((Weeks!$A$7:$A$59&lt;=$J703)*(Weeks!$X$5:$AI$5=$I703)*Weeks!$X$7:$AI$59)-SUMIFS($E$7:$E$1006,$I$7:$I$1006,$I703,$B$7:$B$1006,"&lt;="&amp;$B703))</f>
        <v/>
      </c>
      <c r="M703" s="132" t="str">
        <f>IF($B703&amp;$C703&amp;$D703&amp;$E703="","",IF($B703="","missing date",IF($C703="","missing worker",IF($I703="?","unknown worker - was the name changed on Workers?",IF($D703="","missing type",IF(N($E703)=0,"missing amount",IF(AND($E703&lt;0,$D703&lt;&gt;"Correction"),"negative amount - use a Correction to undo",IF(OR($B703&lt;Weeks!$A$7,$B703&gt;Weeks!$B$59),"date outside this workbook's year",IF(AND($D703="Advance",N($L703)&lt;0),"Warning: more than earned so far - worker now owes "&amp;TEXT(ROUND(-$L703,0),"#,##0"),"")))))))))</f>
        <v/>
      </c>
      <c r="N703" s="125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126"/>
      <c r="AH703" s="126"/>
      <c r="AI703" s="126"/>
      <c r="AJ703" s="126"/>
      <c r="AK703" s="126"/>
      <c r="AL703" s="126"/>
      <c r="AM703" s="126"/>
      <c r="AN703" s="126"/>
    </row>
    <row r="704" spans="1:40" s="127" customFormat="1" ht="21" customHeight="1" x14ac:dyDescent="0.25">
      <c r="A704" s="51" t="str">
        <f t="shared" si="30"/>
        <v/>
      </c>
      <c r="B704" s="77"/>
      <c r="C704" s="133"/>
      <c r="D704" s="50"/>
      <c r="E704" s="141"/>
      <c r="F704" s="133"/>
      <c r="G704" s="133"/>
      <c r="H704" s="50"/>
      <c r="I704" s="51" t="str">
        <f t="shared" si="31"/>
        <v/>
      </c>
      <c r="J704" s="52" t="str">
        <f t="shared" si="32"/>
        <v/>
      </c>
      <c r="K704" s="142" t="str">
        <f>IF(OR($I704="",$I704="?",$D704&lt;&gt;"Advance",$B704=""),"",$I704&amp;"|"&amp;$J704&amp;"|"&amp;COUNTIFS($I$7:$I704,$I704,$J$7:$J704,$J704,$D$7:$D704,"Advance"))</f>
        <v/>
      </c>
      <c r="L704" s="143" t="str">
        <f>IF(OR($I704="",$I704="?",$B704=""),"",SUMPRODUCT((Weeks!$A$7:$A$59&lt;=$J704)*(Weeks!$X$5:$AI$5=$I704)*Weeks!$X$7:$AI$59)-SUMIFS($E$7:$E$1006,$I$7:$I$1006,$I704,$B$7:$B$1006,"&lt;="&amp;$B704))</f>
        <v/>
      </c>
      <c r="M704" s="132" t="str">
        <f>IF($B704&amp;$C704&amp;$D704&amp;$E704="","",IF($B704="","missing date",IF($C704="","missing worker",IF($I704="?","unknown worker - was the name changed on Workers?",IF($D704="","missing type",IF(N($E704)=0,"missing amount",IF(AND($E704&lt;0,$D704&lt;&gt;"Correction"),"negative amount - use a Correction to undo",IF(OR($B704&lt;Weeks!$A$7,$B704&gt;Weeks!$B$59),"date outside this workbook's year",IF(AND($D704="Advance",N($L704)&lt;0),"Warning: more than earned so far - worker now owes "&amp;TEXT(ROUND(-$L704,0),"#,##0"),"")))))))))</f>
        <v/>
      </c>
      <c r="N704" s="125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126"/>
      <c r="AH704" s="126"/>
      <c r="AI704" s="126"/>
      <c r="AJ704" s="126"/>
      <c r="AK704" s="126"/>
      <c r="AL704" s="126"/>
      <c r="AM704" s="126"/>
      <c r="AN704" s="126"/>
    </row>
    <row r="705" spans="1:40" s="127" customFormat="1" ht="21" customHeight="1" x14ac:dyDescent="0.25">
      <c r="A705" s="51" t="str">
        <f t="shared" si="30"/>
        <v/>
      </c>
      <c r="B705" s="77"/>
      <c r="C705" s="133"/>
      <c r="D705" s="50"/>
      <c r="E705" s="141"/>
      <c r="F705" s="133"/>
      <c r="G705" s="133"/>
      <c r="H705" s="50"/>
      <c r="I705" s="51" t="str">
        <f t="shared" si="31"/>
        <v/>
      </c>
      <c r="J705" s="52" t="str">
        <f t="shared" si="32"/>
        <v/>
      </c>
      <c r="K705" s="142" t="str">
        <f>IF(OR($I705="",$I705="?",$D705&lt;&gt;"Advance",$B705=""),"",$I705&amp;"|"&amp;$J705&amp;"|"&amp;COUNTIFS($I$7:$I705,$I705,$J$7:$J705,$J705,$D$7:$D705,"Advance"))</f>
        <v/>
      </c>
      <c r="L705" s="143" t="str">
        <f>IF(OR($I705="",$I705="?",$B705=""),"",SUMPRODUCT((Weeks!$A$7:$A$59&lt;=$J705)*(Weeks!$X$5:$AI$5=$I705)*Weeks!$X$7:$AI$59)-SUMIFS($E$7:$E$1006,$I$7:$I$1006,$I705,$B$7:$B$1006,"&lt;="&amp;$B705))</f>
        <v/>
      </c>
      <c r="M705" s="132" t="str">
        <f>IF($B705&amp;$C705&amp;$D705&amp;$E705="","",IF($B705="","missing date",IF($C705="","missing worker",IF($I705="?","unknown worker - was the name changed on Workers?",IF($D705="","missing type",IF(N($E705)=0,"missing amount",IF(AND($E705&lt;0,$D705&lt;&gt;"Correction"),"negative amount - use a Correction to undo",IF(OR($B705&lt;Weeks!$A$7,$B705&gt;Weeks!$B$59),"date outside this workbook's year",IF(AND($D705="Advance",N($L705)&lt;0),"Warning: more than earned so far - worker now owes "&amp;TEXT(ROUND(-$L705,0),"#,##0"),"")))))))))</f>
        <v/>
      </c>
      <c r="N705" s="125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126"/>
      <c r="AH705" s="126"/>
      <c r="AI705" s="126"/>
      <c r="AJ705" s="126"/>
      <c r="AK705" s="126"/>
      <c r="AL705" s="126"/>
      <c r="AM705" s="126"/>
      <c r="AN705" s="126"/>
    </row>
    <row r="706" spans="1:40" s="127" customFormat="1" ht="21" customHeight="1" x14ac:dyDescent="0.25">
      <c r="A706" s="51" t="str">
        <f t="shared" si="30"/>
        <v/>
      </c>
      <c r="B706" s="77"/>
      <c r="C706" s="133"/>
      <c r="D706" s="50"/>
      <c r="E706" s="141"/>
      <c r="F706" s="133"/>
      <c r="G706" s="133"/>
      <c r="H706" s="50"/>
      <c r="I706" s="51" t="str">
        <f t="shared" si="31"/>
        <v/>
      </c>
      <c r="J706" s="52" t="str">
        <f t="shared" si="32"/>
        <v/>
      </c>
      <c r="K706" s="142" t="str">
        <f>IF(OR($I706="",$I706="?",$D706&lt;&gt;"Advance",$B706=""),"",$I706&amp;"|"&amp;$J706&amp;"|"&amp;COUNTIFS($I$7:$I706,$I706,$J$7:$J706,$J706,$D$7:$D706,"Advance"))</f>
        <v/>
      </c>
      <c r="L706" s="143" t="str">
        <f>IF(OR($I706="",$I706="?",$B706=""),"",SUMPRODUCT((Weeks!$A$7:$A$59&lt;=$J706)*(Weeks!$X$5:$AI$5=$I706)*Weeks!$X$7:$AI$59)-SUMIFS($E$7:$E$1006,$I$7:$I$1006,$I706,$B$7:$B$1006,"&lt;="&amp;$B706))</f>
        <v/>
      </c>
      <c r="M706" s="132" t="str">
        <f>IF($B706&amp;$C706&amp;$D706&amp;$E706="","",IF($B706="","missing date",IF($C706="","missing worker",IF($I706="?","unknown worker - was the name changed on Workers?",IF($D706="","missing type",IF(N($E706)=0,"missing amount",IF(AND($E706&lt;0,$D706&lt;&gt;"Correction"),"negative amount - use a Correction to undo",IF(OR($B706&lt;Weeks!$A$7,$B706&gt;Weeks!$B$59),"date outside this workbook's year",IF(AND($D706="Advance",N($L706)&lt;0),"Warning: more than earned so far - worker now owes "&amp;TEXT(ROUND(-$L706,0),"#,##0"),"")))))))))</f>
        <v/>
      </c>
      <c r="N706" s="125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126"/>
      <c r="AH706" s="126"/>
      <c r="AI706" s="126"/>
      <c r="AJ706" s="126"/>
      <c r="AK706" s="126"/>
      <c r="AL706" s="126"/>
      <c r="AM706" s="126"/>
      <c r="AN706" s="126"/>
    </row>
    <row r="707" spans="1:40" s="127" customFormat="1" ht="21" customHeight="1" x14ac:dyDescent="0.25">
      <c r="A707" s="51" t="str">
        <f t="shared" si="30"/>
        <v/>
      </c>
      <c r="B707" s="77"/>
      <c r="C707" s="133"/>
      <c r="D707" s="50"/>
      <c r="E707" s="141"/>
      <c r="F707" s="133"/>
      <c r="G707" s="133"/>
      <c r="H707" s="50"/>
      <c r="I707" s="51" t="str">
        <f t="shared" si="31"/>
        <v/>
      </c>
      <c r="J707" s="52" t="str">
        <f t="shared" si="32"/>
        <v/>
      </c>
      <c r="K707" s="142" t="str">
        <f>IF(OR($I707="",$I707="?",$D707&lt;&gt;"Advance",$B707=""),"",$I707&amp;"|"&amp;$J707&amp;"|"&amp;COUNTIFS($I$7:$I707,$I707,$J$7:$J707,$J707,$D$7:$D707,"Advance"))</f>
        <v/>
      </c>
      <c r="L707" s="143" t="str">
        <f>IF(OR($I707="",$I707="?",$B707=""),"",SUMPRODUCT((Weeks!$A$7:$A$59&lt;=$J707)*(Weeks!$X$5:$AI$5=$I707)*Weeks!$X$7:$AI$59)-SUMIFS($E$7:$E$1006,$I$7:$I$1006,$I707,$B$7:$B$1006,"&lt;="&amp;$B707))</f>
        <v/>
      </c>
      <c r="M707" s="132" t="str">
        <f>IF($B707&amp;$C707&amp;$D707&amp;$E707="","",IF($B707="","missing date",IF($C707="","missing worker",IF($I707="?","unknown worker - was the name changed on Workers?",IF($D707="","missing type",IF(N($E707)=0,"missing amount",IF(AND($E707&lt;0,$D707&lt;&gt;"Correction"),"negative amount - use a Correction to undo",IF(OR($B707&lt;Weeks!$A$7,$B707&gt;Weeks!$B$59),"date outside this workbook's year",IF(AND($D707="Advance",N($L707)&lt;0),"Warning: more than earned so far - worker now owes "&amp;TEXT(ROUND(-$L707,0),"#,##0"),"")))))))))</f>
        <v/>
      </c>
      <c r="N707" s="125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  <c r="AK707" s="126"/>
      <c r="AL707" s="126"/>
      <c r="AM707" s="126"/>
      <c r="AN707" s="126"/>
    </row>
    <row r="708" spans="1:40" s="127" customFormat="1" ht="21" customHeight="1" x14ac:dyDescent="0.25">
      <c r="A708" s="51" t="str">
        <f t="shared" si="30"/>
        <v/>
      </c>
      <c r="B708" s="77"/>
      <c r="C708" s="133"/>
      <c r="D708" s="50"/>
      <c r="E708" s="141"/>
      <c r="F708" s="133"/>
      <c r="G708" s="133"/>
      <c r="H708" s="50"/>
      <c r="I708" s="51" t="str">
        <f t="shared" si="31"/>
        <v/>
      </c>
      <c r="J708" s="52" t="str">
        <f t="shared" si="32"/>
        <v/>
      </c>
      <c r="K708" s="142" t="str">
        <f>IF(OR($I708="",$I708="?",$D708&lt;&gt;"Advance",$B708=""),"",$I708&amp;"|"&amp;$J708&amp;"|"&amp;COUNTIFS($I$7:$I708,$I708,$J$7:$J708,$J708,$D$7:$D708,"Advance"))</f>
        <v/>
      </c>
      <c r="L708" s="143" t="str">
        <f>IF(OR($I708="",$I708="?",$B708=""),"",SUMPRODUCT((Weeks!$A$7:$A$59&lt;=$J708)*(Weeks!$X$5:$AI$5=$I708)*Weeks!$X$7:$AI$59)-SUMIFS($E$7:$E$1006,$I$7:$I$1006,$I708,$B$7:$B$1006,"&lt;="&amp;$B708))</f>
        <v/>
      </c>
      <c r="M708" s="132" t="str">
        <f>IF($B708&amp;$C708&amp;$D708&amp;$E708="","",IF($B708="","missing date",IF($C708="","missing worker",IF($I708="?","unknown worker - was the name changed on Workers?",IF($D708="","missing type",IF(N($E708)=0,"missing amount",IF(AND($E708&lt;0,$D708&lt;&gt;"Correction"),"negative amount - use a Correction to undo",IF(OR($B708&lt;Weeks!$A$7,$B708&gt;Weeks!$B$59),"date outside this workbook's year",IF(AND($D708="Advance",N($L708)&lt;0),"Warning: more than earned so far - worker now owes "&amp;TEXT(ROUND(-$L708,0),"#,##0"),"")))))))))</f>
        <v/>
      </c>
      <c r="N708" s="125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126"/>
      <c r="AH708" s="126"/>
      <c r="AI708" s="126"/>
      <c r="AJ708" s="126"/>
      <c r="AK708" s="126"/>
      <c r="AL708" s="126"/>
      <c r="AM708" s="126"/>
      <c r="AN708" s="126"/>
    </row>
    <row r="709" spans="1:40" s="127" customFormat="1" ht="21" customHeight="1" x14ac:dyDescent="0.25">
      <c r="A709" s="51" t="str">
        <f t="shared" si="30"/>
        <v/>
      </c>
      <c r="B709" s="77"/>
      <c r="C709" s="133"/>
      <c r="D709" s="50"/>
      <c r="E709" s="141"/>
      <c r="F709" s="133"/>
      <c r="G709" s="133"/>
      <c r="H709" s="50"/>
      <c r="I709" s="51" t="str">
        <f t="shared" si="31"/>
        <v/>
      </c>
      <c r="J709" s="52" t="str">
        <f t="shared" si="32"/>
        <v/>
      </c>
      <c r="K709" s="142" t="str">
        <f>IF(OR($I709="",$I709="?",$D709&lt;&gt;"Advance",$B709=""),"",$I709&amp;"|"&amp;$J709&amp;"|"&amp;COUNTIFS($I$7:$I709,$I709,$J$7:$J709,$J709,$D$7:$D709,"Advance"))</f>
        <v/>
      </c>
      <c r="L709" s="143" t="str">
        <f>IF(OR($I709="",$I709="?",$B709=""),"",SUMPRODUCT((Weeks!$A$7:$A$59&lt;=$J709)*(Weeks!$X$5:$AI$5=$I709)*Weeks!$X$7:$AI$59)-SUMIFS($E$7:$E$1006,$I$7:$I$1006,$I709,$B$7:$B$1006,"&lt;="&amp;$B709))</f>
        <v/>
      </c>
      <c r="M709" s="132" t="str">
        <f>IF($B709&amp;$C709&amp;$D709&amp;$E709="","",IF($B709="","missing date",IF($C709="","missing worker",IF($I709="?","unknown worker - was the name changed on Workers?",IF($D709="","missing type",IF(N($E709)=0,"missing amount",IF(AND($E709&lt;0,$D709&lt;&gt;"Correction"),"negative amount - use a Correction to undo",IF(OR($B709&lt;Weeks!$A$7,$B709&gt;Weeks!$B$59),"date outside this workbook's year",IF(AND($D709="Advance",N($L709)&lt;0),"Warning: more than earned so far - worker now owes "&amp;TEXT(ROUND(-$L709,0),"#,##0"),"")))))))))</f>
        <v/>
      </c>
      <c r="N709" s="125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126"/>
      <c r="AH709" s="126"/>
      <c r="AI709" s="126"/>
      <c r="AJ709" s="126"/>
      <c r="AK709" s="126"/>
      <c r="AL709" s="126"/>
      <c r="AM709" s="126"/>
      <c r="AN709" s="126"/>
    </row>
    <row r="710" spans="1:40" s="127" customFormat="1" ht="21" customHeight="1" x14ac:dyDescent="0.25">
      <c r="A710" s="51" t="str">
        <f t="shared" si="30"/>
        <v/>
      </c>
      <c r="B710" s="77"/>
      <c r="C710" s="133"/>
      <c r="D710" s="50"/>
      <c r="E710" s="141"/>
      <c r="F710" s="133"/>
      <c r="G710" s="133"/>
      <c r="H710" s="50"/>
      <c r="I710" s="51" t="str">
        <f t="shared" si="31"/>
        <v/>
      </c>
      <c r="J710" s="52" t="str">
        <f t="shared" si="32"/>
        <v/>
      </c>
      <c r="K710" s="142" t="str">
        <f>IF(OR($I710="",$I710="?",$D710&lt;&gt;"Advance",$B710=""),"",$I710&amp;"|"&amp;$J710&amp;"|"&amp;COUNTIFS($I$7:$I710,$I710,$J$7:$J710,$J710,$D$7:$D710,"Advance"))</f>
        <v/>
      </c>
      <c r="L710" s="143" t="str">
        <f>IF(OR($I710="",$I710="?",$B710=""),"",SUMPRODUCT((Weeks!$A$7:$A$59&lt;=$J710)*(Weeks!$X$5:$AI$5=$I710)*Weeks!$X$7:$AI$59)-SUMIFS($E$7:$E$1006,$I$7:$I$1006,$I710,$B$7:$B$1006,"&lt;="&amp;$B710))</f>
        <v/>
      </c>
      <c r="M710" s="132" t="str">
        <f>IF($B710&amp;$C710&amp;$D710&amp;$E710="","",IF($B710="","missing date",IF($C710="","missing worker",IF($I710="?","unknown worker - was the name changed on Workers?",IF($D710="","missing type",IF(N($E710)=0,"missing amount",IF(AND($E710&lt;0,$D710&lt;&gt;"Correction"),"negative amount - use a Correction to undo",IF(OR($B710&lt;Weeks!$A$7,$B710&gt;Weeks!$B$59),"date outside this workbook's year",IF(AND($D710="Advance",N($L710)&lt;0),"Warning: more than earned so far - worker now owes "&amp;TEXT(ROUND(-$L710,0),"#,##0"),"")))))))))</f>
        <v/>
      </c>
      <c r="N710" s="125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126"/>
      <c r="AH710" s="126"/>
      <c r="AI710" s="126"/>
      <c r="AJ710" s="126"/>
      <c r="AK710" s="126"/>
      <c r="AL710" s="126"/>
      <c r="AM710" s="126"/>
      <c r="AN710" s="126"/>
    </row>
    <row r="711" spans="1:40" s="127" customFormat="1" ht="21" customHeight="1" x14ac:dyDescent="0.25">
      <c r="A711" s="51" t="str">
        <f t="shared" ref="A711:A774" si="33">IF($B711="","",ROW()-6)</f>
        <v/>
      </c>
      <c r="B711" s="77"/>
      <c r="C711" s="133"/>
      <c r="D711" s="50"/>
      <c r="E711" s="141"/>
      <c r="F711" s="133"/>
      <c r="G711" s="133"/>
      <c r="H711" s="50"/>
      <c r="I711" s="51" t="str">
        <f t="shared" ref="I711:I774" si="34">IF($C711="","",IFERROR(INDEX(WorkerIDs,MATCH($C711,WorkerNames,0)),"?"))</f>
        <v/>
      </c>
      <c r="J711" s="52" t="str">
        <f t="shared" ref="J711:J774" si="35">IF($B711="","",$B711-WEEKDAY($B711,2)+1)</f>
        <v/>
      </c>
      <c r="K711" s="142" t="str">
        <f>IF(OR($I711="",$I711="?",$D711&lt;&gt;"Advance",$B711=""),"",$I711&amp;"|"&amp;$J711&amp;"|"&amp;COUNTIFS($I$7:$I711,$I711,$J$7:$J711,$J711,$D$7:$D711,"Advance"))</f>
        <v/>
      </c>
      <c r="L711" s="143" t="str">
        <f>IF(OR($I711="",$I711="?",$B711=""),"",SUMPRODUCT((Weeks!$A$7:$A$59&lt;=$J711)*(Weeks!$X$5:$AI$5=$I711)*Weeks!$X$7:$AI$59)-SUMIFS($E$7:$E$1006,$I$7:$I$1006,$I711,$B$7:$B$1006,"&lt;="&amp;$B711))</f>
        <v/>
      </c>
      <c r="M711" s="132" t="str">
        <f>IF($B711&amp;$C711&amp;$D711&amp;$E711="","",IF($B711="","missing date",IF($C711="","missing worker",IF($I711="?","unknown worker - was the name changed on Workers?",IF($D711="","missing type",IF(N($E711)=0,"missing amount",IF(AND($E711&lt;0,$D711&lt;&gt;"Correction"),"negative amount - use a Correction to undo",IF(OR($B711&lt;Weeks!$A$7,$B711&gt;Weeks!$B$59),"date outside this workbook's year",IF(AND($D711="Advance",N($L711)&lt;0),"Warning: more than earned so far - worker now owes "&amp;TEXT(ROUND(-$L711,0),"#,##0"),"")))))))))</f>
        <v/>
      </c>
      <c r="N711" s="125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126"/>
      <c r="AH711" s="126"/>
      <c r="AI711" s="126"/>
      <c r="AJ711" s="126"/>
      <c r="AK711" s="126"/>
      <c r="AL711" s="126"/>
      <c r="AM711" s="126"/>
      <c r="AN711" s="126"/>
    </row>
    <row r="712" spans="1:40" s="127" customFormat="1" ht="21" customHeight="1" x14ac:dyDescent="0.25">
      <c r="A712" s="51" t="str">
        <f t="shared" si="33"/>
        <v/>
      </c>
      <c r="B712" s="77"/>
      <c r="C712" s="133"/>
      <c r="D712" s="50"/>
      <c r="E712" s="141"/>
      <c r="F712" s="133"/>
      <c r="G712" s="133"/>
      <c r="H712" s="50"/>
      <c r="I712" s="51" t="str">
        <f t="shared" si="34"/>
        <v/>
      </c>
      <c r="J712" s="52" t="str">
        <f t="shared" si="35"/>
        <v/>
      </c>
      <c r="K712" s="142" t="str">
        <f>IF(OR($I712="",$I712="?",$D712&lt;&gt;"Advance",$B712=""),"",$I712&amp;"|"&amp;$J712&amp;"|"&amp;COUNTIFS($I$7:$I712,$I712,$J$7:$J712,$J712,$D$7:$D712,"Advance"))</f>
        <v/>
      </c>
      <c r="L712" s="143" t="str">
        <f>IF(OR($I712="",$I712="?",$B712=""),"",SUMPRODUCT((Weeks!$A$7:$A$59&lt;=$J712)*(Weeks!$X$5:$AI$5=$I712)*Weeks!$X$7:$AI$59)-SUMIFS($E$7:$E$1006,$I$7:$I$1006,$I712,$B$7:$B$1006,"&lt;="&amp;$B712))</f>
        <v/>
      </c>
      <c r="M712" s="132" t="str">
        <f>IF($B712&amp;$C712&amp;$D712&amp;$E712="","",IF($B712="","missing date",IF($C712="","missing worker",IF($I712="?","unknown worker - was the name changed on Workers?",IF($D712="","missing type",IF(N($E712)=0,"missing amount",IF(AND($E712&lt;0,$D712&lt;&gt;"Correction"),"negative amount - use a Correction to undo",IF(OR($B712&lt;Weeks!$A$7,$B712&gt;Weeks!$B$59),"date outside this workbook's year",IF(AND($D712="Advance",N($L712)&lt;0),"Warning: more than earned so far - worker now owes "&amp;TEXT(ROUND(-$L712,0),"#,##0"),"")))))))))</f>
        <v/>
      </c>
      <c r="N712" s="125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126"/>
      <c r="AH712" s="126"/>
      <c r="AI712" s="126"/>
      <c r="AJ712" s="126"/>
      <c r="AK712" s="126"/>
      <c r="AL712" s="126"/>
      <c r="AM712" s="126"/>
      <c r="AN712" s="126"/>
    </row>
    <row r="713" spans="1:40" s="127" customFormat="1" ht="21" customHeight="1" x14ac:dyDescent="0.25">
      <c r="A713" s="51" t="str">
        <f t="shared" si="33"/>
        <v/>
      </c>
      <c r="B713" s="77"/>
      <c r="C713" s="133"/>
      <c r="D713" s="50"/>
      <c r="E713" s="141"/>
      <c r="F713" s="133"/>
      <c r="G713" s="133"/>
      <c r="H713" s="50"/>
      <c r="I713" s="51" t="str">
        <f t="shared" si="34"/>
        <v/>
      </c>
      <c r="J713" s="52" t="str">
        <f t="shared" si="35"/>
        <v/>
      </c>
      <c r="K713" s="142" t="str">
        <f>IF(OR($I713="",$I713="?",$D713&lt;&gt;"Advance",$B713=""),"",$I713&amp;"|"&amp;$J713&amp;"|"&amp;COUNTIFS($I$7:$I713,$I713,$J$7:$J713,$J713,$D$7:$D713,"Advance"))</f>
        <v/>
      </c>
      <c r="L713" s="143" t="str">
        <f>IF(OR($I713="",$I713="?",$B713=""),"",SUMPRODUCT((Weeks!$A$7:$A$59&lt;=$J713)*(Weeks!$X$5:$AI$5=$I713)*Weeks!$X$7:$AI$59)-SUMIFS($E$7:$E$1006,$I$7:$I$1006,$I713,$B$7:$B$1006,"&lt;="&amp;$B713))</f>
        <v/>
      </c>
      <c r="M713" s="132" t="str">
        <f>IF($B713&amp;$C713&amp;$D713&amp;$E713="","",IF($B713="","missing date",IF($C713="","missing worker",IF($I713="?","unknown worker - was the name changed on Workers?",IF($D713="","missing type",IF(N($E713)=0,"missing amount",IF(AND($E713&lt;0,$D713&lt;&gt;"Correction"),"negative amount - use a Correction to undo",IF(OR($B713&lt;Weeks!$A$7,$B713&gt;Weeks!$B$59),"date outside this workbook's year",IF(AND($D713="Advance",N($L713)&lt;0),"Warning: more than earned so far - worker now owes "&amp;TEXT(ROUND(-$L713,0),"#,##0"),"")))))))))</f>
        <v/>
      </c>
      <c r="N713" s="125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126"/>
      <c r="AH713" s="126"/>
      <c r="AI713" s="126"/>
      <c r="AJ713" s="126"/>
      <c r="AK713" s="126"/>
      <c r="AL713" s="126"/>
      <c r="AM713" s="126"/>
      <c r="AN713" s="126"/>
    </row>
    <row r="714" spans="1:40" s="127" customFormat="1" ht="21" customHeight="1" x14ac:dyDescent="0.25">
      <c r="A714" s="51" t="str">
        <f t="shared" si="33"/>
        <v/>
      </c>
      <c r="B714" s="77"/>
      <c r="C714" s="133"/>
      <c r="D714" s="50"/>
      <c r="E714" s="141"/>
      <c r="F714" s="133"/>
      <c r="G714" s="133"/>
      <c r="H714" s="50"/>
      <c r="I714" s="51" t="str">
        <f t="shared" si="34"/>
        <v/>
      </c>
      <c r="J714" s="52" t="str">
        <f t="shared" si="35"/>
        <v/>
      </c>
      <c r="K714" s="142" t="str">
        <f>IF(OR($I714="",$I714="?",$D714&lt;&gt;"Advance",$B714=""),"",$I714&amp;"|"&amp;$J714&amp;"|"&amp;COUNTIFS($I$7:$I714,$I714,$J$7:$J714,$J714,$D$7:$D714,"Advance"))</f>
        <v/>
      </c>
      <c r="L714" s="143" t="str">
        <f>IF(OR($I714="",$I714="?",$B714=""),"",SUMPRODUCT((Weeks!$A$7:$A$59&lt;=$J714)*(Weeks!$X$5:$AI$5=$I714)*Weeks!$X$7:$AI$59)-SUMIFS($E$7:$E$1006,$I$7:$I$1006,$I714,$B$7:$B$1006,"&lt;="&amp;$B714))</f>
        <v/>
      </c>
      <c r="M714" s="132" t="str">
        <f>IF($B714&amp;$C714&amp;$D714&amp;$E714="","",IF($B714="","missing date",IF($C714="","missing worker",IF($I714="?","unknown worker - was the name changed on Workers?",IF($D714="","missing type",IF(N($E714)=0,"missing amount",IF(AND($E714&lt;0,$D714&lt;&gt;"Correction"),"negative amount - use a Correction to undo",IF(OR($B714&lt;Weeks!$A$7,$B714&gt;Weeks!$B$59),"date outside this workbook's year",IF(AND($D714="Advance",N($L714)&lt;0),"Warning: more than earned so far - worker now owes "&amp;TEXT(ROUND(-$L714,0),"#,##0"),"")))))))))</f>
        <v/>
      </c>
      <c r="N714" s="125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126"/>
      <c r="AH714" s="126"/>
      <c r="AI714" s="126"/>
      <c r="AJ714" s="126"/>
      <c r="AK714" s="126"/>
      <c r="AL714" s="126"/>
      <c r="AM714" s="126"/>
      <c r="AN714" s="126"/>
    </row>
    <row r="715" spans="1:40" s="127" customFormat="1" ht="21" customHeight="1" x14ac:dyDescent="0.25">
      <c r="A715" s="51" t="str">
        <f t="shared" si="33"/>
        <v/>
      </c>
      <c r="B715" s="77"/>
      <c r="C715" s="133"/>
      <c r="D715" s="50"/>
      <c r="E715" s="141"/>
      <c r="F715" s="133"/>
      <c r="G715" s="133"/>
      <c r="H715" s="50"/>
      <c r="I715" s="51" t="str">
        <f t="shared" si="34"/>
        <v/>
      </c>
      <c r="J715" s="52" t="str">
        <f t="shared" si="35"/>
        <v/>
      </c>
      <c r="K715" s="142" t="str">
        <f>IF(OR($I715="",$I715="?",$D715&lt;&gt;"Advance",$B715=""),"",$I715&amp;"|"&amp;$J715&amp;"|"&amp;COUNTIFS($I$7:$I715,$I715,$J$7:$J715,$J715,$D$7:$D715,"Advance"))</f>
        <v/>
      </c>
      <c r="L715" s="143" t="str">
        <f>IF(OR($I715="",$I715="?",$B715=""),"",SUMPRODUCT((Weeks!$A$7:$A$59&lt;=$J715)*(Weeks!$X$5:$AI$5=$I715)*Weeks!$X$7:$AI$59)-SUMIFS($E$7:$E$1006,$I$7:$I$1006,$I715,$B$7:$B$1006,"&lt;="&amp;$B715))</f>
        <v/>
      </c>
      <c r="M715" s="132" t="str">
        <f>IF($B715&amp;$C715&amp;$D715&amp;$E715="","",IF($B715="","missing date",IF($C715="","missing worker",IF($I715="?","unknown worker - was the name changed on Workers?",IF($D715="","missing type",IF(N($E715)=0,"missing amount",IF(AND($E715&lt;0,$D715&lt;&gt;"Correction"),"negative amount - use a Correction to undo",IF(OR($B715&lt;Weeks!$A$7,$B715&gt;Weeks!$B$59),"date outside this workbook's year",IF(AND($D715="Advance",N($L715)&lt;0),"Warning: more than earned so far - worker now owes "&amp;TEXT(ROUND(-$L715,0),"#,##0"),"")))))))))</f>
        <v/>
      </c>
      <c r="N715" s="125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126"/>
      <c r="AH715" s="126"/>
      <c r="AI715" s="126"/>
      <c r="AJ715" s="126"/>
      <c r="AK715" s="126"/>
      <c r="AL715" s="126"/>
      <c r="AM715" s="126"/>
      <c r="AN715" s="126"/>
    </row>
    <row r="716" spans="1:40" s="127" customFormat="1" ht="21" customHeight="1" x14ac:dyDescent="0.25">
      <c r="A716" s="51" t="str">
        <f t="shared" si="33"/>
        <v/>
      </c>
      <c r="B716" s="77"/>
      <c r="C716" s="133"/>
      <c r="D716" s="50"/>
      <c r="E716" s="141"/>
      <c r="F716" s="133"/>
      <c r="G716" s="133"/>
      <c r="H716" s="50"/>
      <c r="I716" s="51" t="str">
        <f t="shared" si="34"/>
        <v/>
      </c>
      <c r="J716" s="52" t="str">
        <f t="shared" si="35"/>
        <v/>
      </c>
      <c r="K716" s="142" t="str">
        <f>IF(OR($I716="",$I716="?",$D716&lt;&gt;"Advance",$B716=""),"",$I716&amp;"|"&amp;$J716&amp;"|"&amp;COUNTIFS($I$7:$I716,$I716,$J$7:$J716,$J716,$D$7:$D716,"Advance"))</f>
        <v/>
      </c>
      <c r="L716" s="143" t="str">
        <f>IF(OR($I716="",$I716="?",$B716=""),"",SUMPRODUCT((Weeks!$A$7:$A$59&lt;=$J716)*(Weeks!$X$5:$AI$5=$I716)*Weeks!$X$7:$AI$59)-SUMIFS($E$7:$E$1006,$I$7:$I$1006,$I716,$B$7:$B$1006,"&lt;="&amp;$B716))</f>
        <v/>
      </c>
      <c r="M716" s="132" t="str">
        <f>IF($B716&amp;$C716&amp;$D716&amp;$E716="","",IF($B716="","missing date",IF($C716="","missing worker",IF($I716="?","unknown worker - was the name changed on Workers?",IF($D716="","missing type",IF(N($E716)=0,"missing amount",IF(AND($E716&lt;0,$D716&lt;&gt;"Correction"),"negative amount - use a Correction to undo",IF(OR($B716&lt;Weeks!$A$7,$B716&gt;Weeks!$B$59),"date outside this workbook's year",IF(AND($D716="Advance",N($L716)&lt;0),"Warning: more than earned so far - worker now owes "&amp;TEXT(ROUND(-$L716,0),"#,##0"),"")))))))))</f>
        <v/>
      </c>
      <c r="N716" s="125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126"/>
      <c r="AH716" s="126"/>
      <c r="AI716" s="126"/>
      <c r="AJ716" s="126"/>
      <c r="AK716" s="126"/>
      <c r="AL716" s="126"/>
      <c r="AM716" s="126"/>
      <c r="AN716" s="126"/>
    </row>
    <row r="717" spans="1:40" s="127" customFormat="1" ht="21" customHeight="1" x14ac:dyDescent="0.25">
      <c r="A717" s="51" t="str">
        <f t="shared" si="33"/>
        <v/>
      </c>
      <c r="B717" s="77"/>
      <c r="C717" s="133"/>
      <c r="D717" s="50"/>
      <c r="E717" s="141"/>
      <c r="F717" s="133"/>
      <c r="G717" s="133"/>
      <c r="H717" s="50"/>
      <c r="I717" s="51" t="str">
        <f t="shared" si="34"/>
        <v/>
      </c>
      <c r="J717" s="52" t="str">
        <f t="shared" si="35"/>
        <v/>
      </c>
      <c r="K717" s="142" t="str">
        <f>IF(OR($I717="",$I717="?",$D717&lt;&gt;"Advance",$B717=""),"",$I717&amp;"|"&amp;$J717&amp;"|"&amp;COUNTIFS($I$7:$I717,$I717,$J$7:$J717,$J717,$D$7:$D717,"Advance"))</f>
        <v/>
      </c>
      <c r="L717" s="143" t="str">
        <f>IF(OR($I717="",$I717="?",$B717=""),"",SUMPRODUCT((Weeks!$A$7:$A$59&lt;=$J717)*(Weeks!$X$5:$AI$5=$I717)*Weeks!$X$7:$AI$59)-SUMIFS($E$7:$E$1006,$I$7:$I$1006,$I717,$B$7:$B$1006,"&lt;="&amp;$B717))</f>
        <v/>
      </c>
      <c r="M717" s="132" t="str">
        <f>IF($B717&amp;$C717&amp;$D717&amp;$E717="","",IF($B717="","missing date",IF($C717="","missing worker",IF($I717="?","unknown worker - was the name changed on Workers?",IF($D717="","missing type",IF(N($E717)=0,"missing amount",IF(AND($E717&lt;0,$D717&lt;&gt;"Correction"),"negative amount - use a Correction to undo",IF(OR($B717&lt;Weeks!$A$7,$B717&gt;Weeks!$B$59),"date outside this workbook's year",IF(AND($D717="Advance",N($L717)&lt;0),"Warning: more than earned so far - worker now owes "&amp;TEXT(ROUND(-$L717,0),"#,##0"),"")))))))))</f>
        <v/>
      </c>
      <c r="N717" s="125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126"/>
      <c r="AH717" s="126"/>
      <c r="AI717" s="126"/>
      <c r="AJ717" s="126"/>
      <c r="AK717" s="126"/>
      <c r="AL717" s="126"/>
      <c r="AM717" s="126"/>
      <c r="AN717" s="126"/>
    </row>
    <row r="718" spans="1:40" s="127" customFormat="1" ht="21" customHeight="1" x14ac:dyDescent="0.25">
      <c r="A718" s="51" t="str">
        <f t="shared" si="33"/>
        <v/>
      </c>
      <c r="B718" s="77"/>
      <c r="C718" s="133"/>
      <c r="D718" s="50"/>
      <c r="E718" s="141"/>
      <c r="F718" s="133"/>
      <c r="G718" s="133"/>
      <c r="H718" s="50"/>
      <c r="I718" s="51" t="str">
        <f t="shared" si="34"/>
        <v/>
      </c>
      <c r="J718" s="52" t="str">
        <f t="shared" si="35"/>
        <v/>
      </c>
      <c r="K718" s="142" t="str">
        <f>IF(OR($I718="",$I718="?",$D718&lt;&gt;"Advance",$B718=""),"",$I718&amp;"|"&amp;$J718&amp;"|"&amp;COUNTIFS($I$7:$I718,$I718,$J$7:$J718,$J718,$D$7:$D718,"Advance"))</f>
        <v/>
      </c>
      <c r="L718" s="143" t="str">
        <f>IF(OR($I718="",$I718="?",$B718=""),"",SUMPRODUCT((Weeks!$A$7:$A$59&lt;=$J718)*(Weeks!$X$5:$AI$5=$I718)*Weeks!$X$7:$AI$59)-SUMIFS($E$7:$E$1006,$I$7:$I$1006,$I718,$B$7:$B$1006,"&lt;="&amp;$B718))</f>
        <v/>
      </c>
      <c r="M718" s="132" t="str">
        <f>IF($B718&amp;$C718&amp;$D718&amp;$E718="","",IF($B718="","missing date",IF($C718="","missing worker",IF($I718="?","unknown worker - was the name changed on Workers?",IF($D718="","missing type",IF(N($E718)=0,"missing amount",IF(AND($E718&lt;0,$D718&lt;&gt;"Correction"),"negative amount - use a Correction to undo",IF(OR($B718&lt;Weeks!$A$7,$B718&gt;Weeks!$B$59),"date outside this workbook's year",IF(AND($D718="Advance",N($L718)&lt;0),"Warning: more than earned so far - worker now owes "&amp;TEXT(ROUND(-$L718,0),"#,##0"),"")))))))))</f>
        <v/>
      </c>
      <c r="N718" s="125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126"/>
      <c r="AH718" s="126"/>
      <c r="AI718" s="126"/>
      <c r="AJ718" s="126"/>
      <c r="AK718" s="126"/>
      <c r="AL718" s="126"/>
      <c r="AM718" s="126"/>
      <c r="AN718" s="126"/>
    </row>
    <row r="719" spans="1:40" s="127" customFormat="1" ht="21" customHeight="1" x14ac:dyDescent="0.25">
      <c r="A719" s="51" t="str">
        <f t="shared" si="33"/>
        <v/>
      </c>
      <c r="B719" s="77"/>
      <c r="C719" s="133"/>
      <c r="D719" s="50"/>
      <c r="E719" s="141"/>
      <c r="F719" s="133"/>
      <c r="G719" s="133"/>
      <c r="H719" s="50"/>
      <c r="I719" s="51" t="str">
        <f t="shared" si="34"/>
        <v/>
      </c>
      <c r="J719" s="52" t="str">
        <f t="shared" si="35"/>
        <v/>
      </c>
      <c r="K719" s="142" t="str">
        <f>IF(OR($I719="",$I719="?",$D719&lt;&gt;"Advance",$B719=""),"",$I719&amp;"|"&amp;$J719&amp;"|"&amp;COUNTIFS($I$7:$I719,$I719,$J$7:$J719,$J719,$D$7:$D719,"Advance"))</f>
        <v/>
      </c>
      <c r="L719" s="143" t="str">
        <f>IF(OR($I719="",$I719="?",$B719=""),"",SUMPRODUCT((Weeks!$A$7:$A$59&lt;=$J719)*(Weeks!$X$5:$AI$5=$I719)*Weeks!$X$7:$AI$59)-SUMIFS($E$7:$E$1006,$I$7:$I$1006,$I719,$B$7:$B$1006,"&lt;="&amp;$B719))</f>
        <v/>
      </c>
      <c r="M719" s="132" t="str">
        <f>IF($B719&amp;$C719&amp;$D719&amp;$E719="","",IF($B719="","missing date",IF($C719="","missing worker",IF($I719="?","unknown worker - was the name changed on Workers?",IF($D719="","missing type",IF(N($E719)=0,"missing amount",IF(AND($E719&lt;0,$D719&lt;&gt;"Correction"),"negative amount - use a Correction to undo",IF(OR($B719&lt;Weeks!$A$7,$B719&gt;Weeks!$B$59),"date outside this workbook's year",IF(AND($D719="Advance",N($L719)&lt;0),"Warning: more than earned so far - worker now owes "&amp;TEXT(ROUND(-$L719,0),"#,##0"),"")))))))))</f>
        <v/>
      </c>
      <c r="N719" s="125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126"/>
      <c r="AH719" s="126"/>
      <c r="AI719" s="126"/>
      <c r="AJ719" s="126"/>
      <c r="AK719" s="126"/>
      <c r="AL719" s="126"/>
      <c r="AM719" s="126"/>
      <c r="AN719" s="126"/>
    </row>
    <row r="720" spans="1:40" s="127" customFormat="1" ht="21" customHeight="1" x14ac:dyDescent="0.25">
      <c r="A720" s="51" t="str">
        <f t="shared" si="33"/>
        <v/>
      </c>
      <c r="B720" s="77"/>
      <c r="C720" s="133"/>
      <c r="D720" s="50"/>
      <c r="E720" s="141"/>
      <c r="F720" s="133"/>
      <c r="G720" s="133"/>
      <c r="H720" s="50"/>
      <c r="I720" s="51" t="str">
        <f t="shared" si="34"/>
        <v/>
      </c>
      <c r="J720" s="52" t="str">
        <f t="shared" si="35"/>
        <v/>
      </c>
      <c r="K720" s="142" t="str">
        <f>IF(OR($I720="",$I720="?",$D720&lt;&gt;"Advance",$B720=""),"",$I720&amp;"|"&amp;$J720&amp;"|"&amp;COUNTIFS($I$7:$I720,$I720,$J$7:$J720,$J720,$D$7:$D720,"Advance"))</f>
        <v/>
      </c>
      <c r="L720" s="143" t="str">
        <f>IF(OR($I720="",$I720="?",$B720=""),"",SUMPRODUCT((Weeks!$A$7:$A$59&lt;=$J720)*(Weeks!$X$5:$AI$5=$I720)*Weeks!$X$7:$AI$59)-SUMIFS($E$7:$E$1006,$I$7:$I$1006,$I720,$B$7:$B$1006,"&lt;="&amp;$B720))</f>
        <v/>
      </c>
      <c r="M720" s="132" t="str">
        <f>IF($B720&amp;$C720&amp;$D720&amp;$E720="","",IF($B720="","missing date",IF($C720="","missing worker",IF($I720="?","unknown worker - was the name changed on Workers?",IF($D720="","missing type",IF(N($E720)=0,"missing amount",IF(AND($E720&lt;0,$D720&lt;&gt;"Correction"),"negative amount - use a Correction to undo",IF(OR($B720&lt;Weeks!$A$7,$B720&gt;Weeks!$B$59),"date outside this workbook's year",IF(AND($D720="Advance",N($L720)&lt;0),"Warning: more than earned so far - worker now owes "&amp;TEXT(ROUND(-$L720,0),"#,##0"),"")))))))))</f>
        <v/>
      </c>
      <c r="N720" s="125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126"/>
      <c r="AH720" s="126"/>
      <c r="AI720" s="126"/>
      <c r="AJ720" s="126"/>
      <c r="AK720" s="126"/>
      <c r="AL720" s="126"/>
      <c r="AM720" s="126"/>
      <c r="AN720" s="126"/>
    </row>
    <row r="721" spans="1:40" s="127" customFormat="1" ht="21" customHeight="1" x14ac:dyDescent="0.25">
      <c r="A721" s="51" t="str">
        <f t="shared" si="33"/>
        <v/>
      </c>
      <c r="B721" s="77"/>
      <c r="C721" s="133"/>
      <c r="D721" s="50"/>
      <c r="E721" s="141"/>
      <c r="F721" s="133"/>
      <c r="G721" s="133"/>
      <c r="H721" s="50"/>
      <c r="I721" s="51" t="str">
        <f t="shared" si="34"/>
        <v/>
      </c>
      <c r="J721" s="52" t="str">
        <f t="shared" si="35"/>
        <v/>
      </c>
      <c r="K721" s="142" t="str">
        <f>IF(OR($I721="",$I721="?",$D721&lt;&gt;"Advance",$B721=""),"",$I721&amp;"|"&amp;$J721&amp;"|"&amp;COUNTIFS($I$7:$I721,$I721,$J$7:$J721,$J721,$D$7:$D721,"Advance"))</f>
        <v/>
      </c>
      <c r="L721" s="143" t="str">
        <f>IF(OR($I721="",$I721="?",$B721=""),"",SUMPRODUCT((Weeks!$A$7:$A$59&lt;=$J721)*(Weeks!$X$5:$AI$5=$I721)*Weeks!$X$7:$AI$59)-SUMIFS($E$7:$E$1006,$I$7:$I$1006,$I721,$B$7:$B$1006,"&lt;="&amp;$B721))</f>
        <v/>
      </c>
      <c r="M721" s="132" t="str">
        <f>IF($B721&amp;$C721&amp;$D721&amp;$E721="","",IF($B721="","missing date",IF($C721="","missing worker",IF($I721="?","unknown worker - was the name changed on Workers?",IF($D721="","missing type",IF(N($E721)=0,"missing amount",IF(AND($E721&lt;0,$D721&lt;&gt;"Correction"),"negative amount - use a Correction to undo",IF(OR($B721&lt;Weeks!$A$7,$B721&gt;Weeks!$B$59),"date outside this workbook's year",IF(AND($D721="Advance",N($L721)&lt;0),"Warning: more than earned so far - worker now owes "&amp;TEXT(ROUND(-$L721,0),"#,##0"),"")))))))))</f>
        <v/>
      </c>
      <c r="N721" s="125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126"/>
      <c r="AH721" s="126"/>
      <c r="AI721" s="126"/>
      <c r="AJ721" s="126"/>
      <c r="AK721" s="126"/>
      <c r="AL721" s="126"/>
      <c r="AM721" s="126"/>
      <c r="AN721" s="126"/>
    </row>
    <row r="722" spans="1:40" s="127" customFormat="1" ht="21" customHeight="1" x14ac:dyDescent="0.25">
      <c r="A722" s="51" t="str">
        <f t="shared" si="33"/>
        <v/>
      </c>
      <c r="B722" s="77"/>
      <c r="C722" s="133"/>
      <c r="D722" s="50"/>
      <c r="E722" s="141"/>
      <c r="F722" s="133"/>
      <c r="G722" s="133"/>
      <c r="H722" s="50"/>
      <c r="I722" s="51" t="str">
        <f t="shared" si="34"/>
        <v/>
      </c>
      <c r="J722" s="52" t="str">
        <f t="shared" si="35"/>
        <v/>
      </c>
      <c r="K722" s="142" t="str">
        <f>IF(OR($I722="",$I722="?",$D722&lt;&gt;"Advance",$B722=""),"",$I722&amp;"|"&amp;$J722&amp;"|"&amp;COUNTIFS($I$7:$I722,$I722,$J$7:$J722,$J722,$D$7:$D722,"Advance"))</f>
        <v/>
      </c>
      <c r="L722" s="143" t="str">
        <f>IF(OR($I722="",$I722="?",$B722=""),"",SUMPRODUCT((Weeks!$A$7:$A$59&lt;=$J722)*(Weeks!$X$5:$AI$5=$I722)*Weeks!$X$7:$AI$59)-SUMIFS($E$7:$E$1006,$I$7:$I$1006,$I722,$B$7:$B$1006,"&lt;="&amp;$B722))</f>
        <v/>
      </c>
      <c r="M722" s="132" t="str">
        <f>IF($B722&amp;$C722&amp;$D722&amp;$E722="","",IF($B722="","missing date",IF($C722="","missing worker",IF($I722="?","unknown worker - was the name changed on Workers?",IF($D722="","missing type",IF(N($E722)=0,"missing amount",IF(AND($E722&lt;0,$D722&lt;&gt;"Correction"),"negative amount - use a Correction to undo",IF(OR($B722&lt;Weeks!$A$7,$B722&gt;Weeks!$B$59),"date outside this workbook's year",IF(AND($D722="Advance",N($L722)&lt;0),"Warning: more than earned so far - worker now owes "&amp;TEXT(ROUND(-$L722,0),"#,##0"),"")))))))))</f>
        <v/>
      </c>
      <c r="N722" s="125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126"/>
      <c r="AH722" s="126"/>
      <c r="AI722" s="126"/>
      <c r="AJ722" s="126"/>
      <c r="AK722" s="126"/>
      <c r="AL722" s="126"/>
      <c r="AM722" s="126"/>
      <c r="AN722" s="126"/>
    </row>
    <row r="723" spans="1:40" s="127" customFormat="1" ht="21" customHeight="1" x14ac:dyDescent="0.25">
      <c r="A723" s="51" t="str">
        <f t="shared" si="33"/>
        <v/>
      </c>
      <c r="B723" s="77"/>
      <c r="C723" s="133"/>
      <c r="D723" s="50"/>
      <c r="E723" s="141"/>
      <c r="F723" s="133"/>
      <c r="G723" s="133"/>
      <c r="H723" s="50"/>
      <c r="I723" s="51" t="str">
        <f t="shared" si="34"/>
        <v/>
      </c>
      <c r="J723" s="52" t="str">
        <f t="shared" si="35"/>
        <v/>
      </c>
      <c r="K723" s="142" t="str">
        <f>IF(OR($I723="",$I723="?",$D723&lt;&gt;"Advance",$B723=""),"",$I723&amp;"|"&amp;$J723&amp;"|"&amp;COUNTIFS($I$7:$I723,$I723,$J$7:$J723,$J723,$D$7:$D723,"Advance"))</f>
        <v/>
      </c>
      <c r="L723" s="143" t="str">
        <f>IF(OR($I723="",$I723="?",$B723=""),"",SUMPRODUCT((Weeks!$A$7:$A$59&lt;=$J723)*(Weeks!$X$5:$AI$5=$I723)*Weeks!$X$7:$AI$59)-SUMIFS($E$7:$E$1006,$I$7:$I$1006,$I723,$B$7:$B$1006,"&lt;="&amp;$B723))</f>
        <v/>
      </c>
      <c r="M723" s="132" t="str">
        <f>IF($B723&amp;$C723&amp;$D723&amp;$E723="","",IF($B723="","missing date",IF($C723="","missing worker",IF($I723="?","unknown worker - was the name changed on Workers?",IF($D723="","missing type",IF(N($E723)=0,"missing amount",IF(AND($E723&lt;0,$D723&lt;&gt;"Correction"),"negative amount - use a Correction to undo",IF(OR($B723&lt;Weeks!$A$7,$B723&gt;Weeks!$B$59),"date outside this workbook's year",IF(AND($D723="Advance",N($L723)&lt;0),"Warning: more than earned so far - worker now owes "&amp;TEXT(ROUND(-$L723,0),"#,##0"),"")))))))))</f>
        <v/>
      </c>
      <c r="N723" s="125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126"/>
      <c r="AH723" s="126"/>
      <c r="AI723" s="126"/>
      <c r="AJ723" s="126"/>
      <c r="AK723" s="126"/>
      <c r="AL723" s="126"/>
      <c r="AM723" s="126"/>
      <c r="AN723" s="126"/>
    </row>
    <row r="724" spans="1:40" s="127" customFormat="1" ht="21" customHeight="1" x14ac:dyDescent="0.25">
      <c r="A724" s="51" t="str">
        <f t="shared" si="33"/>
        <v/>
      </c>
      <c r="B724" s="77"/>
      <c r="C724" s="133"/>
      <c r="D724" s="50"/>
      <c r="E724" s="141"/>
      <c r="F724" s="133"/>
      <c r="G724" s="133"/>
      <c r="H724" s="50"/>
      <c r="I724" s="51" t="str">
        <f t="shared" si="34"/>
        <v/>
      </c>
      <c r="J724" s="52" t="str">
        <f t="shared" si="35"/>
        <v/>
      </c>
      <c r="K724" s="142" t="str">
        <f>IF(OR($I724="",$I724="?",$D724&lt;&gt;"Advance",$B724=""),"",$I724&amp;"|"&amp;$J724&amp;"|"&amp;COUNTIFS($I$7:$I724,$I724,$J$7:$J724,$J724,$D$7:$D724,"Advance"))</f>
        <v/>
      </c>
      <c r="L724" s="143" t="str">
        <f>IF(OR($I724="",$I724="?",$B724=""),"",SUMPRODUCT((Weeks!$A$7:$A$59&lt;=$J724)*(Weeks!$X$5:$AI$5=$I724)*Weeks!$X$7:$AI$59)-SUMIFS($E$7:$E$1006,$I$7:$I$1006,$I724,$B$7:$B$1006,"&lt;="&amp;$B724))</f>
        <v/>
      </c>
      <c r="M724" s="132" t="str">
        <f>IF($B724&amp;$C724&amp;$D724&amp;$E724="","",IF($B724="","missing date",IF($C724="","missing worker",IF($I724="?","unknown worker - was the name changed on Workers?",IF($D724="","missing type",IF(N($E724)=0,"missing amount",IF(AND($E724&lt;0,$D724&lt;&gt;"Correction"),"negative amount - use a Correction to undo",IF(OR($B724&lt;Weeks!$A$7,$B724&gt;Weeks!$B$59),"date outside this workbook's year",IF(AND($D724="Advance",N($L724)&lt;0),"Warning: more than earned so far - worker now owes "&amp;TEXT(ROUND(-$L724,0),"#,##0"),"")))))))))</f>
        <v/>
      </c>
      <c r="N724" s="125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126"/>
      <c r="AH724" s="126"/>
      <c r="AI724" s="126"/>
      <c r="AJ724" s="126"/>
      <c r="AK724" s="126"/>
      <c r="AL724" s="126"/>
      <c r="AM724" s="126"/>
      <c r="AN724" s="126"/>
    </row>
    <row r="725" spans="1:40" s="127" customFormat="1" ht="21" customHeight="1" x14ac:dyDescent="0.25">
      <c r="A725" s="51" t="str">
        <f t="shared" si="33"/>
        <v/>
      </c>
      <c r="B725" s="77"/>
      <c r="C725" s="133"/>
      <c r="D725" s="50"/>
      <c r="E725" s="141"/>
      <c r="F725" s="133"/>
      <c r="G725" s="133"/>
      <c r="H725" s="50"/>
      <c r="I725" s="51" t="str">
        <f t="shared" si="34"/>
        <v/>
      </c>
      <c r="J725" s="52" t="str">
        <f t="shared" si="35"/>
        <v/>
      </c>
      <c r="K725" s="142" t="str">
        <f>IF(OR($I725="",$I725="?",$D725&lt;&gt;"Advance",$B725=""),"",$I725&amp;"|"&amp;$J725&amp;"|"&amp;COUNTIFS($I$7:$I725,$I725,$J$7:$J725,$J725,$D$7:$D725,"Advance"))</f>
        <v/>
      </c>
      <c r="L725" s="143" t="str">
        <f>IF(OR($I725="",$I725="?",$B725=""),"",SUMPRODUCT((Weeks!$A$7:$A$59&lt;=$J725)*(Weeks!$X$5:$AI$5=$I725)*Weeks!$X$7:$AI$59)-SUMIFS($E$7:$E$1006,$I$7:$I$1006,$I725,$B$7:$B$1006,"&lt;="&amp;$B725))</f>
        <v/>
      </c>
      <c r="M725" s="132" t="str">
        <f>IF($B725&amp;$C725&amp;$D725&amp;$E725="","",IF($B725="","missing date",IF($C725="","missing worker",IF($I725="?","unknown worker - was the name changed on Workers?",IF($D725="","missing type",IF(N($E725)=0,"missing amount",IF(AND($E725&lt;0,$D725&lt;&gt;"Correction"),"negative amount - use a Correction to undo",IF(OR($B725&lt;Weeks!$A$7,$B725&gt;Weeks!$B$59),"date outside this workbook's year",IF(AND($D725="Advance",N($L725)&lt;0),"Warning: more than earned so far - worker now owes "&amp;TEXT(ROUND(-$L725,0),"#,##0"),"")))))))))</f>
        <v/>
      </c>
      <c r="N725" s="125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126"/>
      <c r="AH725" s="126"/>
      <c r="AI725" s="126"/>
      <c r="AJ725" s="126"/>
      <c r="AK725" s="126"/>
      <c r="AL725" s="126"/>
      <c r="AM725" s="126"/>
      <c r="AN725" s="126"/>
    </row>
    <row r="726" spans="1:40" s="127" customFormat="1" ht="21" customHeight="1" x14ac:dyDescent="0.25">
      <c r="A726" s="51" t="str">
        <f t="shared" si="33"/>
        <v/>
      </c>
      <c r="B726" s="77"/>
      <c r="C726" s="133"/>
      <c r="D726" s="50"/>
      <c r="E726" s="141"/>
      <c r="F726" s="133"/>
      <c r="G726" s="133"/>
      <c r="H726" s="50"/>
      <c r="I726" s="51" t="str">
        <f t="shared" si="34"/>
        <v/>
      </c>
      <c r="J726" s="52" t="str">
        <f t="shared" si="35"/>
        <v/>
      </c>
      <c r="K726" s="142" t="str">
        <f>IF(OR($I726="",$I726="?",$D726&lt;&gt;"Advance",$B726=""),"",$I726&amp;"|"&amp;$J726&amp;"|"&amp;COUNTIFS($I$7:$I726,$I726,$J$7:$J726,$J726,$D$7:$D726,"Advance"))</f>
        <v/>
      </c>
      <c r="L726" s="143" t="str">
        <f>IF(OR($I726="",$I726="?",$B726=""),"",SUMPRODUCT((Weeks!$A$7:$A$59&lt;=$J726)*(Weeks!$X$5:$AI$5=$I726)*Weeks!$X$7:$AI$59)-SUMIFS($E$7:$E$1006,$I$7:$I$1006,$I726,$B$7:$B$1006,"&lt;="&amp;$B726))</f>
        <v/>
      </c>
      <c r="M726" s="132" t="str">
        <f>IF($B726&amp;$C726&amp;$D726&amp;$E726="","",IF($B726="","missing date",IF($C726="","missing worker",IF($I726="?","unknown worker - was the name changed on Workers?",IF($D726="","missing type",IF(N($E726)=0,"missing amount",IF(AND($E726&lt;0,$D726&lt;&gt;"Correction"),"negative amount - use a Correction to undo",IF(OR($B726&lt;Weeks!$A$7,$B726&gt;Weeks!$B$59),"date outside this workbook's year",IF(AND($D726="Advance",N($L726)&lt;0),"Warning: more than earned so far - worker now owes "&amp;TEXT(ROUND(-$L726,0),"#,##0"),"")))))))))</f>
        <v/>
      </c>
      <c r="N726" s="125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126"/>
      <c r="AH726" s="126"/>
      <c r="AI726" s="126"/>
      <c r="AJ726" s="126"/>
      <c r="AK726" s="126"/>
      <c r="AL726" s="126"/>
      <c r="AM726" s="126"/>
      <c r="AN726" s="126"/>
    </row>
    <row r="727" spans="1:40" s="127" customFormat="1" ht="21" customHeight="1" x14ac:dyDescent="0.25">
      <c r="A727" s="51" t="str">
        <f t="shared" si="33"/>
        <v/>
      </c>
      <c r="B727" s="77"/>
      <c r="C727" s="133"/>
      <c r="D727" s="50"/>
      <c r="E727" s="141"/>
      <c r="F727" s="133"/>
      <c r="G727" s="133"/>
      <c r="H727" s="50"/>
      <c r="I727" s="51" t="str">
        <f t="shared" si="34"/>
        <v/>
      </c>
      <c r="J727" s="52" t="str">
        <f t="shared" si="35"/>
        <v/>
      </c>
      <c r="K727" s="142" t="str">
        <f>IF(OR($I727="",$I727="?",$D727&lt;&gt;"Advance",$B727=""),"",$I727&amp;"|"&amp;$J727&amp;"|"&amp;COUNTIFS($I$7:$I727,$I727,$J$7:$J727,$J727,$D$7:$D727,"Advance"))</f>
        <v/>
      </c>
      <c r="L727" s="143" t="str">
        <f>IF(OR($I727="",$I727="?",$B727=""),"",SUMPRODUCT((Weeks!$A$7:$A$59&lt;=$J727)*(Weeks!$X$5:$AI$5=$I727)*Weeks!$X$7:$AI$59)-SUMIFS($E$7:$E$1006,$I$7:$I$1006,$I727,$B$7:$B$1006,"&lt;="&amp;$B727))</f>
        <v/>
      </c>
      <c r="M727" s="132" t="str">
        <f>IF($B727&amp;$C727&amp;$D727&amp;$E727="","",IF($B727="","missing date",IF($C727="","missing worker",IF($I727="?","unknown worker - was the name changed on Workers?",IF($D727="","missing type",IF(N($E727)=0,"missing amount",IF(AND($E727&lt;0,$D727&lt;&gt;"Correction"),"negative amount - use a Correction to undo",IF(OR($B727&lt;Weeks!$A$7,$B727&gt;Weeks!$B$59),"date outside this workbook's year",IF(AND($D727="Advance",N($L727)&lt;0),"Warning: more than earned so far - worker now owes "&amp;TEXT(ROUND(-$L727,0),"#,##0"),"")))))))))</f>
        <v/>
      </c>
      <c r="N727" s="125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126"/>
      <c r="AH727" s="126"/>
      <c r="AI727" s="126"/>
      <c r="AJ727" s="126"/>
      <c r="AK727" s="126"/>
      <c r="AL727" s="126"/>
      <c r="AM727" s="126"/>
      <c r="AN727" s="126"/>
    </row>
    <row r="728" spans="1:40" s="127" customFormat="1" ht="21" customHeight="1" x14ac:dyDescent="0.25">
      <c r="A728" s="51" t="str">
        <f t="shared" si="33"/>
        <v/>
      </c>
      <c r="B728" s="77"/>
      <c r="C728" s="133"/>
      <c r="D728" s="50"/>
      <c r="E728" s="141"/>
      <c r="F728" s="133"/>
      <c r="G728" s="133"/>
      <c r="H728" s="50"/>
      <c r="I728" s="51" t="str">
        <f t="shared" si="34"/>
        <v/>
      </c>
      <c r="J728" s="52" t="str">
        <f t="shared" si="35"/>
        <v/>
      </c>
      <c r="K728" s="142" t="str">
        <f>IF(OR($I728="",$I728="?",$D728&lt;&gt;"Advance",$B728=""),"",$I728&amp;"|"&amp;$J728&amp;"|"&amp;COUNTIFS($I$7:$I728,$I728,$J$7:$J728,$J728,$D$7:$D728,"Advance"))</f>
        <v/>
      </c>
      <c r="L728" s="143" t="str">
        <f>IF(OR($I728="",$I728="?",$B728=""),"",SUMPRODUCT((Weeks!$A$7:$A$59&lt;=$J728)*(Weeks!$X$5:$AI$5=$I728)*Weeks!$X$7:$AI$59)-SUMIFS($E$7:$E$1006,$I$7:$I$1006,$I728,$B$7:$B$1006,"&lt;="&amp;$B728))</f>
        <v/>
      </c>
      <c r="M728" s="132" t="str">
        <f>IF($B728&amp;$C728&amp;$D728&amp;$E728="","",IF($B728="","missing date",IF($C728="","missing worker",IF($I728="?","unknown worker - was the name changed on Workers?",IF($D728="","missing type",IF(N($E728)=0,"missing amount",IF(AND($E728&lt;0,$D728&lt;&gt;"Correction"),"negative amount - use a Correction to undo",IF(OR($B728&lt;Weeks!$A$7,$B728&gt;Weeks!$B$59),"date outside this workbook's year",IF(AND($D728="Advance",N($L728)&lt;0),"Warning: more than earned so far - worker now owes "&amp;TEXT(ROUND(-$L728,0),"#,##0"),"")))))))))</f>
        <v/>
      </c>
      <c r="N728" s="125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126"/>
      <c r="AH728" s="126"/>
      <c r="AI728" s="126"/>
      <c r="AJ728" s="126"/>
      <c r="AK728" s="126"/>
      <c r="AL728" s="126"/>
      <c r="AM728" s="126"/>
      <c r="AN728" s="126"/>
    </row>
    <row r="729" spans="1:40" s="127" customFormat="1" ht="21" customHeight="1" x14ac:dyDescent="0.25">
      <c r="A729" s="51" t="str">
        <f t="shared" si="33"/>
        <v/>
      </c>
      <c r="B729" s="77"/>
      <c r="C729" s="133"/>
      <c r="D729" s="50"/>
      <c r="E729" s="141"/>
      <c r="F729" s="133"/>
      <c r="G729" s="133"/>
      <c r="H729" s="50"/>
      <c r="I729" s="51" t="str">
        <f t="shared" si="34"/>
        <v/>
      </c>
      <c r="J729" s="52" t="str">
        <f t="shared" si="35"/>
        <v/>
      </c>
      <c r="K729" s="142" t="str">
        <f>IF(OR($I729="",$I729="?",$D729&lt;&gt;"Advance",$B729=""),"",$I729&amp;"|"&amp;$J729&amp;"|"&amp;COUNTIFS($I$7:$I729,$I729,$J$7:$J729,$J729,$D$7:$D729,"Advance"))</f>
        <v/>
      </c>
      <c r="L729" s="143" t="str">
        <f>IF(OR($I729="",$I729="?",$B729=""),"",SUMPRODUCT((Weeks!$A$7:$A$59&lt;=$J729)*(Weeks!$X$5:$AI$5=$I729)*Weeks!$X$7:$AI$59)-SUMIFS($E$7:$E$1006,$I$7:$I$1006,$I729,$B$7:$B$1006,"&lt;="&amp;$B729))</f>
        <v/>
      </c>
      <c r="M729" s="132" t="str">
        <f>IF($B729&amp;$C729&amp;$D729&amp;$E729="","",IF($B729="","missing date",IF($C729="","missing worker",IF($I729="?","unknown worker - was the name changed on Workers?",IF($D729="","missing type",IF(N($E729)=0,"missing amount",IF(AND($E729&lt;0,$D729&lt;&gt;"Correction"),"negative amount - use a Correction to undo",IF(OR($B729&lt;Weeks!$A$7,$B729&gt;Weeks!$B$59),"date outside this workbook's year",IF(AND($D729="Advance",N($L729)&lt;0),"Warning: more than earned so far - worker now owes "&amp;TEXT(ROUND(-$L729,0),"#,##0"),"")))))))))</f>
        <v/>
      </c>
      <c r="N729" s="125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126"/>
      <c r="AH729" s="126"/>
      <c r="AI729" s="126"/>
      <c r="AJ729" s="126"/>
      <c r="AK729" s="126"/>
      <c r="AL729" s="126"/>
      <c r="AM729" s="126"/>
      <c r="AN729" s="126"/>
    </row>
    <row r="730" spans="1:40" s="127" customFormat="1" ht="21" customHeight="1" x14ac:dyDescent="0.25">
      <c r="A730" s="51" t="str">
        <f t="shared" si="33"/>
        <v/>
      </c>
      <c r="B730" s="77"/>
      <c r="C730" s="133"/>
      <c r="D730" s="50"/>
      <c r="E730" s="141"/>
      <c r="F730" s="133"/>
      <c r="G730" s="133"/>
      <c r="H730" s="50"/>
      <c r="I730" s="51" t="str">
        <f t="shared" si="34"/>
        <v/>
      </c>
      <c r="J730" s="52" t="str">
        <f t="shared" si="35"/>
        <v/>
      </c>
      <c r="K730" s="142" t="str">
        <f>IF(OR($I730="",$I730="?",$D730&lt;&gt;"Advance",$B730=""),"",$I730&amp;"|"&amp;$J730&amp;"|"&amp;COUNTIFS($I$7:$I730,$I730,$J$7:$J730,$J730,$D$7:$D730,"Advance"))</f>
        <v/>
      </c>
      <c r="L730" s="143" t="str">
        <f>IF(OR($I730="",$I730="?",$B730=""),"",SUMPRODUCT((Weeks!$A$7:$A$59&lt;=$J730)*(Weeks!$X$5:$AI$5=$I730)*Weeks!$X$7:$AI$59)-SUMIFS($E$7:$E$1006,$I$7:$I$1006,$I730,$B$7:$B$1006,"&lt;="&amp;$B730))</f>
        <v/>
      </c>
      <c r="M730" s="132" t="str">
        <f>IF($B730&amp;$C730&amp;$D730&amp;$E730="","",IF($B730="","missing date",IF($C730="","missing worker",IF($I730="?","unknown worker - was the name changed on Workers?",IF($D730="","missing type",IF(N($E730)=0,"missing amount",IF(AND($E730&lt;0,$D730&lt;&gt;"Correction"),"negative amount - use a Correction to undo",IF(OR($B730&lt;Weeks!$A$7,$B730&gt;Weeks!$B$59),"date outside this workbook's year",IF(AND($D730="Advance",N($L730)&lt;0),"Warning: more than earned so far - worker now owes "&amp;TEXT(ROUND(-$L730,0),"#,##0"),"")))))))))</f>
        <v/>
      </c>
      <c r="N730" s="125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126"/>
      <c r="AH730" s="126"/>
      <c r="AI730" s="126"/>
      <c r="AJ730" s="126"/>
      <c r="AK730" s="126"/>
      <c r="AL730" s="126"/>
      <c r="AM730" s="126"/>
      <c r="AN730" s="126"/>
    </row>
    <row r="731" spans="1:40" s="127" customFormat="1" ht="21" customHeight="1" x14ac:dyDescent="0.25">
      <c r="A731" s="51" t="str">
        <f t="shared" si="33"/>
        <v/>
      </c>
      <c r="B731" s="77"/>
      <c r="C731" s="133"/>
      <c r="D731" s="50"/>
      <c r="E731" s="141"/>
      <c r="F731" s="133"/>
      <c r="G731" s="133"/>
      <c r="H731" s="50"/>
      <c r="I731" s="51" t="str">
        <f t="shared" si="34"/>
        <v/>
      </c>
      <c r="J731" s="52" t="str">
        <f t="shared" si="35"/>
        <v/>
      </c>
      <c r="K731" s="142" t="str">
        <f>IF(OR($I731="",$I731="?",$D731&lt;&gt;"Advance",$B731=""),"",$I731&amp;"|"&amp;$J731&amp;"|"&amp;COUNTIFS($I$7:$I731,$I731,$J$7:$J731,$J731,$D$7:$D731,"Advance"))</f>
        <v/>
      </c>
      <c r="L731" s="143" t="str">
        <f>IF(OR($I731="",$I731="?",$B731=""),"",SUMPRODUCT((Weeks!$A$7:$A$59&lt;=$J731)*(Weeks!$X$5:$AI$5=$I731)*Weeks!$X$7:$AI$59)-SUMIFS($E$7:$E$1006,$I$7:$I$1006,$I731,$B$7:$B$1006,"&lt;="&amp;$B731))</f>
        <v/>
      </c>
      <c r="M731" s="132" t="str">
        <f>IF($B731&amp;$C731&amp;$D731&amp;$E731="","",IF($B731="","missing date",IF($C731="","missing worker",IF($I731="?","unknown worker - was the name changed on Workers?",IF($D731="","missing type",IF(N($E731)=0,"missing amount",IF(AND($E731&lt;0,$D731&lt;&gt;"Correction"),"negative amount - use a Correction to undo",IF(OR($B731&lt;Weeks!$A$7,$B731&gt;Weeks!$B$59),"date outside this workbook's year",IF(AND($D731="Advance",N($L731)&lt;0),"Warning: more than earned so far - worker now owes "&amp;TEXT(ROUND(-$L731,0),"#,##0"),"")))))))))</f>
        <v/>
      </c>
      <c r="N731" s="125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126"/>
      <c r="AH731" s="126"/>
      <c r="AI731" s="126"/>
      <c r="AJ731" s="126"/>
      <c r="AK731" s="126"/>
      <c r="AL731" s="126"/>
      <c r="AM731" s="126"/>
      <c r="AN731" s="126"/>
    </row>
    <row r="732" spans="1:40" s="127" customFormat="1" ht="21" customHeight="1" x14ac:dyDescent="0.25">
      <c r="A732" s="51" t="str">
        <f t="shared" si="33"/>
        <v/>
      </c>
      <c r="B732" s="77"/>
      <c r="C732" s="133"/>
      <c r="D732" s="50"/>
      <c r="E732" s="141"/>
      <c r="F732" s="133"/>
      <c r="G732" s="133"/>
      <c r="H732" s="50"/>
      <c r="I732" s="51" t="str">
        <f t="shared" si="34"/>
        <v/>
      </c>
      <c r="J732" s="52" t="str">
        <f t="shared" si="35"/>
        <v/>
      </c>
      <c r="K732" s="142" t="str">
        <f>IF(OR($I732="",$I732="?",$D732&lt;&gt;"Advance",$B732=""),"",$I732&amp;"|"&amp;$J732&amp;"|"&amp;COUNTIFS($I$7:$I732,$I732,$J$7:$J732,$J732,$D$7:$D732,"Advance"))</f>
        <v/>
      </c>
      <c r="L732" s="143" t="str">
        <f>IF(OR($I732="",$I732="?",$B732=""),"",SUMPRODUCT((Weeks!$A$7:$A$59&lt;=$J732)*(Weeks!$X$5:$AI$5=$I732)*Weeks!$X$7:$AI$59)-SUMIFS($E$7:$E$1006,$I$7:$I$1006,$I732,$B$7:$B$1006,"&lt;="&amp;$B732))</f>
        <v/>
      </c>
      <c r="M732" s="132" t="str">
        <f>IF($B732&amp;$C732&amp;$D732&amp;$E732="","",IF($B732="","missing date",IF($C732="","missing worker",IF($I732="?","unknown worker - was the name changed on Workers?",IF($D732="","missing type",IF(N($E732)=0,"missing amount",IF(AND($E732&lt;0,$D732&lt;&gt;"Correction"),"negative amount - use a Correction to undo",IF(OR($B732&lt;Weeks!$A$7,$B732&gt;Weeks!$B$59),"date outside this workbook's year",IF(AND($D732="Advance",N($L732)&lt;0),"Warning: more than earned so far - worker now owes "&amp;TEXT(ROUND(-$L732,0),"#,##0"),"")))))))))</f>
        <v/>
      </c>
      <c r="N732" s="125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126"/>
      <c r="AH732" s="126"/>
      <c r="AI732" s="126"/>
      <c r="AJ732" s="126"/>
      <c r="AK732" s="126"/>
      <c r="AL732" s="126"/>
      <c r="AM732" s="126"/>
      <c r="AN732" s="126"/>
    </row>
    <row r="733" spans="1:40" s="127" customFormat="1" ht="21" customHeight="1" x14ac:dyDescent="0.25">
      <c r="A733" s="51" t="str">
        <f t="shared" si="33"/>
        <v/>
      </c>
      <c r="B733" s="77"/>
      <c r="C733" s="133"/>
      <c r="D733" s="50"/>
      <c r="E733" s="141"/>
      <c r="F733" s="133"/>
      <c r="G733" s="133"/>
      <c r="H733" s="50"/>
      <c r="I733" s="51" t="str">
        <f t="shared" si="34"/>
        <v/>
      </c>
      <c r="J733" s="52" t="str">
        <f t="shared" si="35"/>
        <v/>
      </c>
      <c r="K733" s="142" t="str">
        <f>IF(OR($I733="",$I733="?",$D733&lt;&gt;"Advance",$B733=""),"",$I733&amp;"|"&amp;$J733&amp;"|"&amp;COUNTIFS($I$7:$I733,$I733,$J$7:$J733,$J733,$D$7:$D733,"Advance"))</f>
        <v/>
      </c>
      <c r="L733" s="143" t="str">
        <f>IF(OR($I733="",$I733="?",$B733=""),"",SUMPRODUCT((Weeks!$A$7:$A$59&lt;=$J733)*(Weeks!$X$5:$AI$5=$I733)*Weeks!$X$7:$AI$59)-SUMIFS($E$7:$E$1006,$I$7:$I$1006,$I733,$B$7:$B$1006,"&lt;="&amp;$B733))</f>
        <v/>
      </c>
      <c r="M733" s="132" t="str">
        <f>IF($B733&amp;$C733&amp;$D733&amp;$E733="","",IF($B733="","missing date",IF($C733="","missing worker",IF($I733="?","unknown worker - was the name changed on Workers?",IF($D733="","missing type",IF(N($E733)=0,"missing amount",IF(AND($E733&lt;0,$D733&lt;&gt;"Correction"),"negative amount - use a Correction to undo",IF(OR($B733&lt;Weeks!$A$7,$B733&gt;Weeks!$B$59),"date outside this workbook's year",IF(AND($D733="Advance",N($L733)&lt;0),"Warning: more than earned so far - worker now owes "&amp;TEXT(ROUND(-$L733,0),"#,##0"),"")))))))))</f>
        <v/>
      </c>
      <c r="N733" s="125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6"/>
      <c r="AD733" s="126"/>
      <c r="AE733" s="126"/>
      <c r="AF733" s="126"/>
      <c r="AG733" s="126"/>
      <c r="AH733" s="126"/>
      <c r="AI733" s="126"/>
      <c r="AJ733" s="126"/>
      <c r="AK733" s="126"/>
      <c r="AL733" s="126"/>
      <c r="AM733" s="126"/>
      <c r="AN733" s="126"/>
    </row>
    <row r="734" spans="1:40" s="127" customFormat="1" ht="21" customHeight="1" x14ac:dyDescent="0.25">
      <c r="A734" s="51" t="str">
        <f t="shared" si="33"/>
        <v/>
      </c>
      <c r="B734" s="77"/>
      <c r="C734" s="133"/>
      <c r="D734" s="50"/>
      <c r="E734" s="141"/>
      <c r="F734" s="133"/>
      <c r="G734" s="133"/>
      <c r="H734" s="50"/>
      <c r="I734" s="51" t="str">
        <f t="shared" si="34"/>
        <v/>
      </c>
      <c r="J734" s="52" t="str">
        <f t="shared" si="35"/>
        <v/>
      </c>
      <c r="K734" s="142" t="str">
        <f>IF(OR($I734="",$I734="?",$D734&lt;&gt;"Advance",$B734=""),"",$I734&amp;"|"&amp;$J734&amp;"|"&amp;COUNTIFS($I$7:$I734,$I734,$J$7:$J734,$J734,$D$7:$D734,"Advance"))</f>
        <v/>
      </c>
      <c r="L734" s="143" t="str">
        <f>IF(OR($I734="",$I734="?",$B734=""),"",SUMPRODUCT((Weeks!$A$7:$A$59&lt;=$J734)*(Weeks!$X$5:$AI$5=$I734)*Weeks!$X$7:$AI$59)-SUMIFS($E$7:$E$1006,$I$7:$I$1006,$I734,$B$7:$B$1006,"&lt;="&amp;$B734))</f>
        <v/>
      </c>
      <c r="M734" s="132" t="str">
        <f>IF($B734&amp;$C734&amp;$D734&amp;$E734="","",IF($B734="","missing date",IF($C734="","missing worker",IF($I734="?","unknown worker - was the name changed on Workers?",IF($D734="","missing type",IF(N($E734)=0,"missing amount",IF(AND($E734&lt;0,$D734&lt;&gt;"Correction"),"negative amount - use a Correction to undo",IF(OR($B734&lt;Weeks!$A$7,$B734&gt;Weeks!$B$59),"date outside this workbook's year",IF(AND($D734="Advance",N($L734)&lt;0),"Warning: more than earned so far - worker now owes "&amp;TEXT(ROUND(-$L734,0),"#,##0"),"")))))))))</f>
        <v/>
      </c>
      <c r="N734" s="125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6"/>
      <c r="AD734" s="126"/>
      <c r="AE734" s="126"/>
      <c r="AF734" s="126"/>
      <c r="AG734" s="126"/>
      <c r="AH734" s="126"/>
      <c r="AI734" s="126"/>
      <c r="AJ734" s="126"/>
      <c r="AK734" s="126"/>
      <c r="AL734" s="126"/>
      <c r="AM734" s="126"/>
      <c r="AN734" s="126"/>
    </row>
    <row r="735" spans="1:40" s="127" customFormat="1" ht="21" customHeight="1" x14ac:dyDescent="0.25">
      <c r="A735" s="51" t="str">
        <f t="shared" si="33"/>
        <v/>
      </c>
      <c r="B735" s="77"/>
      <c r="C735" s="133"/>
      <c r="D735" s="50"/>
      <c r="E735" s="141"/>
      <c r="F735" s="133"/>
      <c r="G735" s="133"/>
      <c r="H735" s="50"/>
      <c r="I735" s="51" t="str">
        <f t="shared" si="34"/>
        <v/>
      </c>
      <c r="J735" s="52" t="str">
        <f t="shared" si="35"/>
        <v/>
      </c>
      <c r="K735" s="142" t="str">
        <f>IF(OR($I735="",$I735="?",$D735&lt;&gt;"Advance",$B735=""),"",$I735&amp;"|"&amp;$J735&amp;"|"&amp;COUNTIFS($I$7:$I735,$I735,$J$7:$J735,$J735,$D$7:$D735,"Advance"))</f>
        <v/>
      </c>
      <c r="L735" s="143" t="str">
        <f>IF(OR($I735="",$I735="?",$B735=""),"",SUMPRODUCT((Weeks!$A$7:$A$59&lt;=$J735)*(Weeks!$X$5:$AI$5=$I735)*Weeks!$X$7:$AI$59)-SUMIFS($E$7:$E$1006,$I$7:$I$1006,$I735,$B$7:$B$1006,"&lt;="&amp;$B735))</f>
        <v/>
      </c>
      <c r="M735" s="132" t="str">
        <f>IF($B735&amp;$C735&amp;$D735&amp;$E735="","",IF($B735="","missing date",IF($C735="","missing worker",IF($I735="?","unknown worker - was the name changed on Workers?",IF($D735="","missing type",IF(N($E735)=0,"missing amount",IF(AND($E735&lt;0,$D735&lt;&gt;"Correction"),"negative amount - use a Correction to undo",IF(OR($B735&lt;Weeks!$A$7,$B735&gt;Weeks!$B$59),"date outside this workbook's year",IF(AND($D735="Advance",N($L735)&lt;0),"Warning: more than earned so far - worker now owes "&amp;TEXT(ROUND(-$L735,0),"#,##0"),"")))))))))</f>
        <v/>
      </c>
      <c r="N735" s="125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6"/>
      <c r="AD735" s="126"/>
      <c r="AE735" s="126"/>
      <c r="AF735" s="126"/>
      <c r="AG735" s="126"/>
      <c r="AH735" s="126"/>
      <c r="AI735" s="126"/>
      <c r="AJ735" s="126"/>
      <c r="AK735" s="126"/>
      <c r="AL735" s="126"/>
      <c r="AM735" s="126"/>
      <c r="AN735" s="126"/>
    </row>
    <row r="736" spans="1:40" s="127" customFormat="1" ht="21" customHeight="1" x14ac:dyDescent="0.25">
      <c r="A736" s="51" t="str">
        <f t="shared" si="33"/>
        <v/>
      </c>
      <c r="B736" s="77"/>
      <c r="C736" s="133"/>
      <c r="D736" s="50"/>
      <c r="E736" s="141"/>
      <c r="F736" s="133"/>
      <c r="G736" s="133"/>
      <c r="H736" s="50"/>
      <c r="I736" s="51" t="str">
        <f t="shared" si="34"/>
        <v/>
      </c>
      <c r="J736" s="52" t="str">
        <f t="shared" si="35"/>
        <v/>
      </c>
      <c r="K736" s="142" t="str">
        <f>IF(OR($I736="",$I736="?",$D736&lt;&gt;"Advance",$B736=""),"",$I736&amp;"|"&amp;$J736&amp;"|"&amp;COUNTIFS($I$7:$I736,$I736,$J$7:$J736,$J736,$D$7:$D736,"Advance"))</f>
        <v/>
      </c>
      <c r="L736" s="143" t="str">
        <f>IF(OR($I736="",$I736="?",$B736=""),"",SUMPRODUCT((Weeks!$A$7:$A$59&lt;=$J736)*(Weeks!$X$5:$AI$5=$I736)*Weeks!$X$7:$AI$59)-SUMIFS($E$7:$E$1006,$I$7:$I$1006,$I736,$B$7:$B$1006,"&lt;="&amp;$B736))</f>
        <v/>
      </c>
      <c r="M736" s="132" t="str">
        <f>IF($B736&amp;$C736&amp;$D736&amp;$E736="","",IF($B736="","missing date",IF($C736="","missing worker",IF($I736="?","unknown worker - was the name changed on Workers?",IF($D736="","missing type",IF(N($E736)=0,"missing amount",IF(AND($E736&lt;0,$D736&lt;&gt;"Correction"),"negative amount - use a Correction to undo",IF(OR($B736&lt;Weeks!$A$7,$B736&gt;Weeks!$B$59),"date outside this workbook's year",IF(AND($D736="Advance",N($L736)&lt;0),"Warning: more than earned so far - worker now owes "&amp;TEXT(ROUND(-$L736,0),"#,##0"),"")))))))))</f>
        <v/>
      </c>
      <c r="N736" s="125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6"/>
      <c r="AD736" s="126"/>
      <c r="AE736" s="126"/>
      <c r="AF736" s="126"/>
      <c r="AG736" s="126"/>
      <c r="AH736" s="126"/>
      <c r="AI736" s="126"/>
      <c r="AJ736" s="126"/>
      <c r="AK736" s="126"/>
      <c r="AL736" s="126"/>
      <c r="AM736" s="126"/>
      <c r="AN736" s="126"/>
    </row>
    <row r="737" spans="1:40" s="127" customFormat="1" ht="21" customHeight="1" x14ac:dyDescent="0.25">
      <c r="A737" s="51" t="str">
        <f t="shared" si="33"/>
        <v/>
      </c>
      <c r="B737" s="77"/>
      <c r="C737" s="133"/>
      <c r="D737" s="50"/>
      <c r="E737" s="141"/>
      <c r="F737" s="133"/>
      <c r="G737" s="133"/>
      <c r="H737" s="50"/>
      <c r="I737" s="51" t="str">
        <f t="shared" si="34"/>
        <v/>
      </c>
      <c r="J737" s="52" t="str">
        <f t="shared" si="35"/>
        <v/>
      </c>
      <c r="K737" s="142" t="str">
        <f>IF(OR($I737="",$I737="?",$D737&lt;&gt;"Advance",$B737=""),"",$I737&amp;"|"&amp;$J737&amp;"|"&amp;COUNTIFS($I$7:$I737,$I737,$J$7:$J737,$J737,$D$7:$D737,"Advance"))</f>
        <v/>
      </c>
      <c r="L737" s="143" t="str">
        <f>IF(OR($I737="",$I737="?",$B737=""),"",SUMPRODUCT((Weeks!$A$7:$A$59&lt;=$J737)*(Weeks!$X$5:$AI$5=$I737)*Weeks!$X$7:$AI$59)-SUMIFS($E$7:$E$1006,$I$7:$I$1006,$I737,$B$7:$B$1006,"&lt;="&amp;$B737))</f>
        <v/>
      </c>
      <c r="M737" s="132" t="str">
        <f>IF($B737&amp;$C737&amp;$D737&amp;$E737="","",IF($B737="","missing date",IF($C737="","missing worker",IF($I737="?","unknown worker - was the name changed on Workers?",IF($D737="","missing type",IF(N($E737)=0,"missing amount",IF(AND($E737&lt;0,$D737&lt;&gt;"Correction"),"negative amount - use a Correction to undo",IF(OR($B737&lt;Weeks!$A$7,$B737&gt;Weeks!$B$59),"date outside this workbook's year",IF(AND($D737="Advance",N($L737)&lt;0),"Warning: more than earned so far - worker now owes "&amp;TEXT(ROUND(-$L737,0),"#,##0"),"")))))))))</f>
        <v/>
      </c>
      <c r="N737" s="125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6"/>
      <c r="AD737" s="126"/>
      <c r="AE737" s="126"/>
      <c r="AF737" s="126"/>
      <c r="AG737" s="126"/>
      <c r="AH737" s="126"/>
      <c r="AI737" s="126"/>
      <c r="AJ737" s="126"/>
      <c r="AK737" s="126"/>
      <c r="AL737" s="126"/>
      <c r="AM737" s="126"/>
      <c r="AN737" s="126"/>
    </row>
    <row r="738" spans="1:40" s="127" customFormat="1" ht="21" customHeight="1" x14ac:dyDescent="0.25">
      <c r="A738" s="51" t="str">
        <f t="shared" si="33"/>
        <v/>
      </c>
      <c r="B738" s="77"/>
      <c r="C738" s="133"/>
      <c r="D738" s="50"/>
      <c r="E738" s="141"/>
      <c r="F738" s="133"/>
      <c r="G738" s="133"/>
      <c r="H738" s="50"/>
      <c r="I738" s="51" t="str">
        <f t="shared" si="34"/>
        <v/>
      </c>
      <c r="J738" s="52" t="str">
        <f t="shared" si="35"/>
        <v/>
      </c>
      <c r="K738" s="142" t="str">
        <f>IF(OR($I738="",$I738="?",$D738&lt;&gt;"Advance",$B738=""),"",$I738&amp;"|"&amp;$J738&amp;"|"&amp;COUNTIFS($I$7:$I738,$I738,$J$7:$J738,$J738,$D$7:$D738,"Advance"))</f>
        <v/>
      </c>
      <c r="L738" s="143" t="str">
        <f>IF(OR($I738="",$I738="?",$B738=""),"",SUMPRODUCT((Weeks!$A$7:$A$59&lt;=$J738)*(Weeks!$X$5:$AI$5=$I738)*Weeks!$X$7:$AI$59)-SUMIFS($E$7:$E$1006,$I$7:$I$1006,$I738,$B$7:$B$1006,"&lt;="&amp;$B738))</f>
        <v/>
      </c>
      <c r="M738" s="132" t="str">
        <f>IF($B738&amp;$C738&amp;$D738&amp;$E738="","",IF($B738="","missing date",IF($C738="","missing worker",IF($I738="?","unknown worker - was the name changed on Workers?",IF($D738="","missing type",IF(N($E738)=0,"missing amount",IF(AND($E738&lt;0,$D738&lt;&gt;"Correction"),"negative amount - use a Correction to undo",IF(OR($B738&lt;Weeks!$A$7,$B738&gt;Weeks!$B$59),"date outside this workbook's year",IF(AND($D738="Advance",N($L738)&lt;0),"Warning: more than earned so far - worker now owes "&amp;TEXT(ROUND(-$L738,0),"#,##0"),"")))))))))</f>
        <v/>
      </c>
      <c r="N738" s="125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6"/>
      <c r="AD738" s="126"/>
      <c r="AE738" s="126"/>
      <c r="AF738" s="126"/>
      <c r="AG738" s="126"/>
      <c r="AH738" s="126"/>
      <c r="AI738" s="126"/>
      <c r="AJ738" s="126"/>
      <c r="AK738" s="126"/>
      <c r="AL738" s="126"/>
      <c r="AM738" s="126"/>
      <c r="AN738" s="126"/>
    </row>
    <row r="739" spans="1:40" s="127" customFormat="1" ht="21" customHeight="1" x14ac:dyDescent="0.25">
      <c r="A739" s="51" t="str">
        <f t="shared" si="33"/>
        <v/>
      </c>
      <c r="B739" s="77"/>
      <c r="C739" s="133"/>
      <c r="D739" s="50"/>
      <c r="E739" s="141"/>
      <c r="F739" s="133"/>
      <c r="G739" s="133"/>
      <c r="H739" s="50"/>
      <c r="I739" s="51" t="str">
        <f t="shared" si="34"/>
        <v/>
      </c>
      <c r="J739" s="52" t="str">
        <f t="shared" si="35"/>
        <v/>
      </c>
      <c r="K739" s="142" t="str">
        <f>IF(OR($I739="",$I739="?",$D739&lt;&gt;"Advance",$B739=""),"",$I739&amp;"|"&amp;$J739&amp;"|"&amp;COUNTIFS($I$7:$I739,$I739,$J$7:$J739,$J739,$D$7:$D739,"Advance"))</f>
        <v/>
      </c>
      <c r="L739" s="143" t="str">
        <f>IF(OR($I739="",$I739="?",$B739=""),"",SUMPRODUCT((Weeks!$A$7:$A$59&lt;=$J739)*(Weeks!$X$5:$AI$5=$I739)*Weeks!$X$7:$AI$59)-SUMIFS($E$7:$E$1006,$I$7:$I$1006,$I739,$B$7:$B$1006,"&lt;="&amp;$B739))</f>
        <v/>
      </c>
      <c r="M739" s="132" t="str">
        <f>IF($B739&amp;$C739&amp;$D739&amp;$E739="","",IF($B739="","missing date",IF($C739="","missing worker",IF($I739="?","unknown worker - was the name changed on Workers?",IF($D739="","missing type",IF(N($E739)=0,"missing amount",IF(AND($E739&lt;0,$D739&lt;&gt;"Correction"),"negative amount - use a Correction to undo",IF(OR($B739&lt;Weeks!$A$7,$B739&gt;Weeks!$B$59),"date outside this workbook's year",IF(AND($D739="Advance",N($L739)&lt;0),"Warning: more than earned so far - worker now owes "&amp;TEXT(ROUND(-$L739,0),"#,##0"),"")))))))))</f>
        <v/>
      </c>
      <c r="N739" s="125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6"/>
      <c r="AD739" s="126"/>
      <c r="AE739" s="126"/>
      <c r="AF739" s="126"/>
      <c r="AG739" s="126"/>
      <c r="AH739" s="126"/>
      <c r="AI739" s="126"/>
      <c r="AJ739" s="126"/>
      <c r="AK739" s="126"/>
      <c r="AL739" s="126"/>
      <c r="AM739" s="126"/>
      <c r="AN739" s="126"/>
    </row>
    <row r="740" spans="1:40" s="127" customFormat="1" ht="21" customHeight="1" x14ac:dyDescent="0.25">
      <c r="A740" s="51" t="str">
        <f t="shared" si="33"/>
        <v/>
      </c>
      <c r="B740" s="77"/>
      <c r="C740" s="133"/>
      <c r="D740" s="50"/>
      <c r="E740" s="141"/>
      <c r="F740" s="133"/>
      <c r="G740" s="133"/>
      <c r="H740" s="50"/>
      <c r="I740" s="51" t="str">
        <f t="shared" si="34"/>
        <v/>
      </c>
      <c r="J740" s="52" t="str">
        <f t="shared" si="35"/>
        <v/>
      </c>
      <c r="K740" s="142" t="str">
        <f>IF(OR($I740="",$I740="?",$D740&lt;&gt;"Advance",$B740=""),"",$I740&amp;"|"&amp;$J740&amp;"|"&amp;COUNTIFS($I$7:$I740,$I740,$J$7:$J740,$J740,$D$7:$D740,"Advance"))</f>
        <v/>
      </c>
      <c r="L740" s="143" t="str">
        <f>IF(OR($I740="",$I740="?",$B740=""),"",SUMPRODUCT((Weeks!$A$7:$A$59&lt;=$J740)*(Weeks!$X$5:$AI$5=$I740)*Weeks!$X$7:$AI$59)-SUMIFS($E$7:$E$1006,$I$7:$I$1006,$I740,$B$7:$B$1006,"&lt;="&amp;$B740))</f>
        <v/>
      </c>
      <c r="M740" s="132" t="str">
        <f>IF($B740&amp;$C740&amp;$D740&amp;$E740="","",IF($B740="","missing date",IF($C740="","missing worker",IF($I740="?","unknown worker - was the name changed on Workers?",IF($D740="","missing type",IF(N($E740)=0,"missing amount",IF(AND($E740&lt;0,$D740&lt;&gt;"Correction"),"negative amount - use a Correction to undo",IF(OR($B740&lt;Weeks!$A$7,$B740&gt;Weeks!$B$59),"date outside this workbook's year",IF(AND($D740="Advance",N($L740)&lt;0),"Warning: more than earned so far - worker now owes "&amp;TEXT(ROUND(-$L740,0),"#,##0"),"")))))))))</f>
        <v/>
      </c>
      <c r="N740" s="125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6"/>
      <c r="AD740" s="126"/>
      <c r="AE740" s="126"/>
      <c r="AF740" s="126"/>
      <c r="AG740" s="126"/>
      <c r="AH740" s="126"/>
      <c r="AI740" s="126"/>
      <c r="AJ740" s="126"/>
      <c r="AK740" s="126"/>
      <c r="AL740" s="126"/>
      <c r="AM740" s="126"/>
      <c r="AN740" s="126"/>
    </row>
    <row r="741" spans="1:40" s="127" customFormat="1" ht="21" customHeight="1" x14ac:dyDescent="0.25">
      <c r="A741" s="51" t="str">
        <f t="shared" si="33"/>
        <v/>
      </c>
      <c r="B741" s="77"/>
      <c r="C741" s="133"/>
      <c r="D741" s="50"/>
      <c r="E741" s="141"/>
      <c r="F741" s="133"/>
      <c r="G741" s="133"/>
      <c r="H741" s="50"/>
      <c r="I741" s="51" t="str">
        <f t="shared" si="34"/>
        <v/>
      </c>
      <c r="J741" s="52" t="str">
        <f t="shared" si="35"/>
        <v/>
      </c>
      <c r="K741" s="142" t="str">
        <f>IF(OR($I741="",$I741="?",$D741&lt;&gt;"Advance",$B741=""),"",$I741&amp;"|"&amp;$J741&amp;"|"&amp;COUNTIFS($I$7:$I741,$I741,$J$7:$J741,$J741,$D$7:$D741,"Advance"))</f>
        <v/>
      </c>
      <c r="L741" s="143" t="str">
        <f>IF(OR($I741="",$I741="?",$B741=""),"",SUMPRODUCT((Weeks!$A$7:$A$59&lt;=$J741)*(Weeks!$X$5:$AI$5=$I741)*Weeks!$X$7:$AI$59)-SUMIFS($E$7:$E$1006,$I$7:$I$1006,$I741,$B$7:$B$1006,"&lt;="&amp;$B741))</f>
        <v/>
      </c>
      <c r="M741" s="132" t="str">
        <f>IF($B741&amp;$C741&amp;$D741&amp;$E741="","",IF($B741="","missing date",IF($C741="","missing worker",IF($I741="?","unknown worker - was the name changed on Workers?",IF($D741="","missing type",IF(N($E741)=0,"missing amount",IF(AND($E741&lt;0,$D741&lt;&gt;"Correction"),"negative amount - use a Correction to undo",IF(OR($B741&lt;Weeks!$A$7,$B741&gt;Weeks!$B$59),"date outside this workbook's year",IF(AND($D741="Advance",N($L741)&lt;0),"Warning: more than earned so far - worker now owes "&amp;TEXT(ROUND(-$L741,0),"#,##0"),"")))))))))</f>
        <v/>
      </c>
      <c r="N741" s="125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6"/>
      <c r="AD741" s="126"/>
      <c r="AE741" s="126"/>
      <c r="AF741" s="126"/>
      <c r="AG741" s="126"/>
      <c r="AH741" s="126"/>
      <c r="AI741" s="126"/>
      <c r="AJ741" s="126"/>
      <c r="AK741" s="126"/>
      <c r="AL741" s="126"/>
      <c r="AM741" s="126"/>
      <c r="AN741" s="126"/>
    </row>
    <row r="742" spans="1:40" s="127" customFormat="1" ht="21" customHeight="1" x14ac:dyDescent="0.25">
      <c r="A742" s="51" t="str">
        <f t="shared" si="33"/>
        <v/>
      </c>
      <c r="B742" s="77"/>
      <c r="C742" s="133"/>
      <c r="D742" s="50"/>
      <c r="E742" s="141"/>
      <c r="F742" s="133"/>
      <c r="G742" s="133"/>
      <c r="H742" s="50"/>
      <c r="I742" s="51" t="str">
        <f t="shared" si="34"/>
        <v/>
      </c>
      <c r="J742" s="52" t="str">
        <f t="shared" si="35"/>
        <v/>
      </c>
      <c r="K742" s="142" t="str">
        <f>IF(OR($I742="",$I742="?",$D742&lt;&gt;"Advance",$B742=""),"",$I742&amp;"|"&amp;$J742&amp;"|"&amp;COUNTIFS($I$7:$I742,$I742,$J$7:$J742,$J742,$D$7:$D742,"Advance"))</f>
        <v/>
      </c>
      <c r="L742" s="143" t="str">
        <f>IF(OR($I742="",$I742="?",$B742=""),"",SUMPRODUCT((Weeks!$A$7:$A$59&lt;=$J742)*(Weeks!$X$5:$AI$5=$I742)*Weeks!$X$7:$AI$59)-SUMIFS($E$7:$E$1006,$I$7:$I$1006,$I742,$B$7:$B$1006,"&lt;="&amp;$B742))</f>
        <v/>
      </c>
      <c r="M742" s="132" t="str">
        <f>IF($B742&amp;$C742&amp;$D742&amp;$E742="","",IF($B742="","missing date",IF($C742="","missing worker",IF($I742="?","unknown worker - was the name changed on Workers?",IF($D742="","missing type",IF(N($E742)=0,"missing amount",IF(AND($E742&lt;0,$D742&lt;&gt;"Correction"),"negative amount - use a Correction to undo",IF(OR($B742&lt;Weeks!$A$7,$B742&gt;Weeks!$B$59),"date outside this workbook's year",IF(AND($D742="Advance",N($L742)&lt;0),"Warning: more than earned so far - worker now owes "&amp;TEXT(ROUND(-$L742,0),"#,##0"),"")))))))))</f>
        <v/>
      </c>
      <c r="N742" s="125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6"/>
      <c r="AD742" s="126"/>
      <c r="AE742" s="126"/>
      <c r="AF742" s="126"/>
      <c r="AG742" s="126"/>
      <c r="AH742" s="126"/>
      <c r="AI742" s="126"/>
      <c r="AJ742" s="126"/>
      <c r="AK742" s="126"/>
      <c r="AL742" s="126"/>
      <c r="AM742" s="126"/>
      <c r="AN742" s="126"/>
    </row>
    <row r="743" spans="1:40" s="127" customFormat="1" ht="21" customHeight="1" x14ac:dyDescent="0.25">
      <c r="A743" s="51" t="str">
        <f t="shared" si="33"/>
        <v/>
      </c>
      <c r="B743" s="77"/>
      <c r="C743" s="133"/>
      <c r="D743" s="50"/>
      <c r="E743" s="141"/>
      <c r="F743" s="133"/>
      <c r="G743" s="133"/>
      <c r="H743" s="50"/>
      <c r="I743" s="51" t="str">
        <f t="shared" si="34"/>
        <v/>
      </c>
      <c r="J743" s="52" t="str">
        <f t="shared" si="35"/>
        <v/>
      </c>
      <c r="K743" s="142" t="str">
        <f>IF(OR($I743="",$I743="?",$D743&lt;&gt;"Advance",$B743=""),"",$I743&amp;"|"&amp;$J743&amp;"|"&amp;COUNTIFS($I$7:$I743,$I743,$J$7:$J743,$J743,$D$7:$D743,"Advance"))</f>
        <v/>
      </c>
      <c r="L743" s="143" t="str">
        <f>IF(OR($I743="",$I743="?",$B743=""),"",SUMPRODUCT((Weeks!$A$7:$A$59&lt;=$J743)*(Weeks!$X$5:$AI$5=$I743)*Weeks!$X$7:$AI$59)-SUMIFS($E$7:$E$1006,$I$7:$I$1006,$I743,$B$7:$B$1006,"&lt;="&amp;$B743))</f>
        <v/>
      </c>
      <c r="M743" s="132" t="str">
        <f>IF($B743&amp;$C743&amp;$D743&amp;$E743="","",IF($B743="","missing date",IF($C743="","missing worker",IF($I743="?","unknown worker - was the name changed on Workers?",IF($D743="","missing type",IF(N($E743)=0,"missing amount",IF(AND($E743&lt;0,$D743&lt;&gt;"Correction"),"negative amount - use a Correction to undo",IF(OR($B743&lt;Weeks!$A$7,$B743&gt;Weeks!$B$59),"date outside this workbook's year",IF(AND($D743="Advance",N($L743)&lt;0),"Warning: more than earned so far - worker now owes "&amp;TEXT(ROUND(-$L743,0),"#,##0"),"")))))))))</f>
        <v/>
      </c>
      <c r="N743" s="125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6"/>
      <c r="AD743" s="126"/>
      <c r="AE743" s="126"/>
      <c r="AF743" s="126"/>
      <c r="AG743" s="126"/>
      <c r="AH743" s="126"/>
      <c r="AI743" s="126"/>
      <c r="AJ743" s="126"/>
      <c r="AK743" s="126"/>
      <c r="AL743" s="126"/>
      <c r="AM743" s="126"/>
      <c r="AN743" s="126"/>
    </row>
    <row r="744" spans="1:40" s="127" customFormat="1" ht="21" customHeight="1" x14ac:dyDescent="0.25">
      <c r="A744" s="51" t="str">
        <f t="shared" si="33"/>
        <v/>
      </c>
      <c r="B744" s="77"/>
      <c r="C744" s="133"/>
      <c r="D744" s="50"/>
      <c r="E744" s="141"/>
      <c r="F744" s="133"/>
      <c r="G744" s="133"/>
      <c r="H744" s="50"/>
      <c r="I744" s="51" t="str">
        <f t="shared" si="34"/>
        <v/>
      </c>
      <c r="J744" s="52" t="str">
        <f t="shared" si="35"/>
        <v/>
      </c>
      <c r="K744" s="142" t="str">
        <f>IF(OR($I744="",$I744="?",$D744&lt;&gt;"Advance",$B744=""),"",$I744&amp;"|"&amp;$J744&amp;"|"&amp;COUNTIFS($I$7:$I744,$I744,$J$7:$J744,$J744,$D$7:$D744,"Advance"))</f>
        <v/>
      </c>
      <c r="L744" s="143" t="str">
        <f>IF(OR($I744="",$I744="?",$B744=""),"",SUMPRODUCT((Weeks!$A$7:$A$59&lt;=$J744)*(Weeks!$X$5:$AI$5=$I744)*Weeks!$X$7:$AI$59)-SUMIFS($E$7:$E$1006,$I$7:$I$1006,$I744,$B$7:$B$1006,"&lt;="&amp;$B744))</f>
        <v/>
      </c>
      <c r="M744" s="132" t="str">
        <f>IF($B744&amp;$C744&amp;$D744&amp;$E744="","",IF($B744="","missing date",IF($C744="","missing worker",IF($I744="?","unknown worker - was the name changed on Workers?",IF($D744="","missing type",IF(N($E744)=0,"missing amount",IF(AND($E744&lt;0,$D744&lt;&gt;"Correction"),"negative amount - use a Correction to undo",IF(OR($B744&lt;Weeks!$A$7,$B744&gt;Weeks!$B$59),"date outside this workbook's year",IF(AND($D744="Advance",N($L744)&lt;0),"Warning: more than earned so far - worker now owes "&amp;TEXT(ROUND(-$L744,0),"#,##0"),"")))))))))</f>
        <v/>
      </c>
      <c r="N744" s="125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6"/>
      <c r="AD744" s="126"/>
      <c r="AE744" s="126"/>
      <c r="AF744" s="126"/>
      <c r="AG744" s="126"/>
      <c r="AH744" s="126"/>
      <c r="AI744" s="126"/>
      <c r="AJ744" s="126"/>
      <c r="AK744" s="126"/>
      <c r="AL744" s="126"/>
      <c r="AM744" s="126"/>
      <c r="AN744" s="126"/>
    </row>
    <row r="745" spans="1:40" s="127" customFormat="1" ht="21" customHeight="1" x14ac:dyDescent="0.25">
      <c r="A745" s="51" t="str">
        <f t="shared" si="33"/>
        <v/>
      </c>
      <c r="B745" s="77"/>
      <c r="C745" s="133"/>
      <c r="D745" s="50"/>
      <c r="E745" s="141"/>
      <c r="F745" s="133"/>
      <c r="G745" s="133"/>
      <c r="H745" s="50"/>
      <c r="I745" s="51" t="str">
        <f t="shared" si="34"/>
        <v/>
      </c>
      <c r="J745" s="52" t="str">
        <f t="shared" si="35"/>
        <v/>
      </c>
      <c r="K745" s="142" t="str">
        <f>IF(OR($I745="",$I745="?",$D745&lt;&gt;"Advance",$B745=""),"",$I745&amp;"|"&amp;$J745&amp;"|"&amp;COUNTIFS($I$7:$I745,$I745,$J$7:$J745,$J745,$D$7:$D745,"Advance"))</f>
        <v/>
      </c>
      <c r="L745" s="143" t="str">
        <f>IF(OR($I745="",$I745="?",$B745=""),"",SUMPRODUCT((Weeks!$A$7:$A$59&lt;=$J745)*(Weeks!$X$5:$AI$5=$I745)*Weeks!$X$7:$AI$59)-SUMIFS($E$7:$E$1006,$I$7:$I$1006,$I745,$B$7:$B$1006,"&lt;="&amp;$B745))</f>
        <v/>
      </c>
      <c r="M745" s="132" t="str">
        <f>IF($B745&amp;$C745&amp;$D745&amp;$E745="","",IF($B745="","missing date",IF($C745="","missing worker",IF($I745="?","unknown worker - was the name changed on Workers?",IF($D745="","missing type",IF(N($E745)=0,"missing amount",IF(AND($E745&lt;0,$D745&lt;&gt;"Correction"),"negative amount - use a Correction to undo",IF(OR($B745&lt;Weeks!$A$7,$B745&gt;Weeks!$B$59),"date outside this workbook's year",IF(AND($D745="Advance",N($L745)&lt;0),"Warning: more than earned so far - worker now owes "&amp;TEXT(ROUND(-$L745,0),"#,##0"),"")))))))))</f>
        <v/>
      </c>
      <c r="N745" s="125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126"/>
      <c r="AH745" s="126"/>
      <c r="AI745" s="126"/>
      <c r="AJ745" s="126"/>
      <c r="AK745" s="126"/>
      <c r="AL745" s="126"/>
      <c r="AM745" s="126"/>
      <c r="AN745" s="126"/>
    </row>
    <row r="746" spans="1:40" s="127" customFormat="1" ht="21" customHeight="1" x14ac:dyDescent="0.25">
      <c r="A746" s="51" t="str">
        <f t="shared" si="33"/>
        <v/>
      </c>
      <c r="B746" s="77"/>
      <c r="C746" s="133"/>
      <c r="D746" s="50"/>
      <c r="E746" s="141"/>
      <c r="F746" s="133"/>
      <c r="G746" s="133"/>
      <c r="H746" s="50"/>
      <c r="I746" s="51" t="str">
        <f t="shared" si="34"/>
        <v/>
      </c>
      <c r="J746" s="52" t="str">
        <f t="shared" si="35"/>
        <v/>
      </c>
      <c r="K746" s="142" t="str">
        <f>IF(OR($I746="",$I746="?",$D746&lt;&gt;"Advance",$B746=""),"",$I746&amp;"|"&amp;$J746&amp;"|"&amp;COUNTIFS($I$7:$I746,$I746,$J$7:$J746,$J746,$D$7:$D746,"Advance"))</f>
        <v/>
      </c>
      <c r="L746" s="143" t="str">
        <f>IF(OR($I746="",$I746="?",$B746=""),"",SUMPRODUCT((Weeks!$A$7:$A$59&lt;=$J746)*(Weeks!$X$5:$AI$5=$I746)*Weeks!$X$7:$AI$59)-SUMIFS($E$7:$E$1006,$I$7:$I$1006,$I746,$B$7:$B$1006,"&lt;="&amp;$B746))</f>
        <v/>
      </c>
      <c r="M746" s="132" t="str">
        <f>IF($B746&amp;$C746&amp;$D746&amp;$E746="","",IF($B746="","missing date",IF($C746="","missing worker",IF($I746="?","unknown worker - was the name changed on Workers?",IF($D746="","missing type",IF(N($E746)=0,"missing amount",IF(AND($E746&lt;0,$D746&lt;&gt;"Correction"),"negative amount - use a Correction to undo",IF(OR($B746&lt;Weeks!$A$7,$B746&gt;Weeks!$B$59),"date outside this workbook's year",IF(AND($D746="Advance",N($L746)&lt;0),"Warning: more than earned so far - worker now owes "&amp;TEXT(ROUND(-$L746,0),"#,##0"),"")))))))))</f>
        <v/>
      </c>
      <c r="N746" s="125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126"/>
      <c r="AH746" s="126"/>
      <c r="AI746" s="126"/>
      <c r="AJ746" s="126"/>
      <c r="AK746" s="126"/>
      <c r="AL746" s="126"/>
      <c r="AM746" s="126"/>
      <c r="AN746" s="126"/>
    </row>
    <row r="747" spans="1:40" s="127" customFormat="1" ht="21" customHeight="1" x14ac:dyDescent="0.25">
      <c r="A747" s="51" t="str">
        <f t="shared" si="33"/>
        <v/>
      </c>
      <c r="B747" s="77"/>
      <c r="C747" s="133"/>
      <c r="D747" s="50"/>
      <c r="E747" s="141"/>
      <c r="F747" s="133"/>
      <c r="G747" s="133"/>
      <c r="H747" s="50"/>
      <c r="I747" s="51" t="str">
        <f t="shared" si="34"/>
        <v/>
      </c>
      <c r="J747" s="52" t="str">
        <f t="shared" si="35"/>
        <v/>
      </c>
      <c r="K747" s="142" t="str">
        <f>IF(OR($I747="",$I747="?",$D747&lt;&gt;"Advance",$B747=""),"",$I747&amp;"|"&amp;$J747&amp;"|"&amp;COUNTIFS($I$7:$I747,$I747,$J$7:$J747,$J747,$D$7:$D747,"Advance"))</f>
        <v/>
      </c>
      <c r="L747" s="143" t="str">
        <f>IF(OR($I747="",$I747="?",$B747=""),"",SUMPRODUCT((Weeks!$A$7:$A$59&lt;=$J747)*(Weeks!$X$5:$AI$5=$I747)*Weeks!$X$7:$AI$59)-SUMIFS($E$7:$E$1006,$I$7:$I$1006,$I747,$B$7:$B$1006,"&lt;="&amp;$B747))</f>
        <v/>
      </c>
      <c r="M747" s="132" t="str">
        <f>IF($B747&amp;$C747&amp;$D747&amp;$E747="","",IF($B747="","missing date",IF($C747="","missing worker",IF($I747="?","unknown worker - was the name changed on Workers?",IF($D747="","missing type",IF(N($E747)=0,"missing amount",IF(AND($E747&lt;0,$D747&lt;&gt;"Correction"),"negative amount - use a Correction to undo",IF(OR($B747&lt;Weeks!$A$7,$B747&gt;Weeks!$B$59),"date outside this workbook's year",IF(AND($D747="Advance",N($L747)&lt;0),"Warning: more than earned so far - worker now owes "&amp;TEXT(ROUND(-$L747,0),"#,##0"),"")))))))))</f>
        <v/>
      </c>
      <c r="N747" s="125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126"/>
      <c r="AH747" s="126"/>
      <c r="AI747" s="126"/>
      <c r="AJ747" s="126"/>
      <c r="AK747" s="126"/>
      <c r="AL747" s="126"/>
      <c r="AM747" s="126"/>
      <c r="AN747" s="126"/>
    </row>
    <row r="748" spans="1:40" s="127" customFormat="1" ht="21" customHeight="1" x14ac:dyDescent="0.25">
      <c r="A748" s="51" t="str">
        <f t="shared" si="33"/>
        <v/>
      </c>
      <c r="B748" s="77"/>
      <c r="C748" s="133"/>
      <c r="D748" s="50"/>
      <c r="E748" s="141"/>
      <c r="F748" s="133"/>
      <c r="G748" s="133"/>
      <c r="H748" s="50"/>
      <c r="I748" s="51" t="str">
        <f t="shared" si="34"/>
        <v/>
      </c>
      <c r="J748" s="52" t="str">
        <f t="shared" si="35"/>
        <v/>
      </c>
      <c r="K748" s="142" t="str">
        <f>IF(OR($I748="",$I748="?",$D748&lt;&gt;"Advance",$B748=""),"",$I748&amp;"|"&amp;$J748&amp;"|"&amp;COUNTIFS($I$7:$I748,$I748,$J$7:$J748,$J748,$D$7:$D748,"Advance"))</f>
        <v/>
      </c>
      <c r="L748" s="143" t="str">
        <f>IF(OR($I748="",$I748="?",$B748=""),"",SUMPRODUCT((Weeks!$A$7:$A$59&lt;=$J748)*(Weeks!$X$5:$AI$5=$I748)*Weeks!$X$7:$AI$59)-SUMIFS($E$7:$E$1006,$I$7:$I$1006,$I748,$B$7:$B$1006,"&lt;="&amp;$B748))</f>
        <v/>
      </c>
      <c r="M748" s="132" t="str">
        <f>IF($B748&amp;$C748&amp;$D748&amp;$E748="","",IF($B748="","missing date",IF($C748="","missing worker",IF($I748="?","unknown worker - was the name changed on Workers?",IF($D748="","missing type",IF(N($E748)=0,"missing amount",IF(AND($E748&lt;0,$D748&lt;&gt;"Correction"),"negative amount - use a Correction to undo",IF(OR($B748&lt;Weeks!$A$7,$B748&gt;Weeks!$B$59),"date outside this workbook's year",IF(AND($D748="Advance",N($L748)&lt;0),"Warning: more than earned so far - worker now owes "&amp;TEXT(ROUND(-$L748,0),"#,##0"),"")))))))))</f>
        <v/>
      </c>
      <c r="N748" s="125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126"/>
      <c r="AH748" s="126"/>
      <c r="AI748" s="126"/>
      <c r="AJ748" s="126"/>
      <c r="AK748" s="126"/>
      <c r="AL748" s="126"/>
      <c r="AM748" s="126"/>
      <c r="AN748" s="126"/>
    </row>
    <row r="749" spans="1:40" s="127" customFormat="1" ht="21" customHeight="1" x14ac:dyDescent="0.25">
      <c r="A749" s="51" t="str">
        <f t="shared" si="33"/>
        <v/>
      </c>
      <c r="B749" s="77"/>
      <c r="C749" s="133"/>
      <c r="D749" s="50"/>
      <c r="E749" s="141"/>
      <c r="F749" s="133"/>
      <c r="G749" s="133"/>
      <c r="H749" s="50"/>
      <c r="I749" s="51" t="str">
        <f t="shared" si="34"/>
        <v/>
      </c>
      <c r="J749" s="52" t="str">
        <f t="shared" si="35"/>
        <v/>
      </c>
      <c r="K749" s="142" t="str">
        <f>IF(OR($I749="",$I749="?",$D749&lt;&gt;"Advance",$B749=""),"",$I749&amp;"|"&amp;$J749&amp;"|"&amp;COUNTIFS($I$7:$I749,$I749,$J$7:$J749,$J749,$D$7:$D749,"Advance"))</f>
        <v/>
      </c>
      <c r="L749" s="143" t="str">
        <f>IF(OR($I749="",$I749="?",$B749=""),"",SUMPRODUCT((Weeks!$A$7:$A$59&lt;=$J749)*(Weeks!$X$5:$AI$5=$I749)*Weeks!$X$7:$AI$59)-SUMIFS($E$7:$E$1006,$I$7:$I$1006,$I749,$B$7:$B$1006,"&lt;="&amp;$B749))</f>
        <v/>
      </c>
      <c r="M749" s="132" t="str">
        <f>IF($B749&amp;$C749&amp;$D749&amp;$E749="","",IF($B749="","missing date",IF($C749="","missing worker",IF($I749="?","unknown worker - was the name changed on Workers?",IF($D749="","missing type",IF(N($E749)=0,"missing amount",IF(AND($E749&lt;0,$D749&lt;&gt;"Correction"),"negative amount - use a Correction to undo",IF(OR($B749&lt;Weeks!$A$7,$B749&gt;Weeks!$B$59),"date outside this workbook's year",IF(AND($D749="Advance",N($L749)&lt;0),"Warning: more than earned so far - worker now owes "&amp;TEXT(ROUND(-$L749,0),"#,##0"),"")))))))))</f>
        <v/>
      </c>
      <c r="N749" s="125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126"/>
      <c r="AH749" s="126"/>
      <c r="AI749" s="126"/>
      <c r="AJ749" s="126"/>
      <c r="AK749" s="126"/>
      <c r="AL749" s="126"/>
      <c r="AM749" s="126"/>
      <c r="AN749" s="126"/>
    </row>
    <row r="750" spans="1:40" s="127" customFormat="1" ht="21" customHeight="1" x14ac:dyDescent="0.25">
      <c r="A750" s="51" t="str">
        <f t="shared" si="33"/>
        <v/>
      </c>
      <c r="B750" s="77"/>
      <c r="C750" s="133"/>
      <c r="D750" s="50"/>
      <c r="E750" s="141"/>
      <c r="F750" s="133"/>
      <c r="G750" s="133"/>
      <c r="H750" s="50"/>
      <c r="I750" s="51" t="str">
        <f t="shared" si="34"/>
        <v/>
      </c>
      <c r="J750" s="52" t="str">
        <f t="shared" si="35"/>
        <v/>
      </c>
      <c r="K750" s="142" t="str">
        <f>IF(OR($I750="",$I750="?",$D750&lt;&gt;"Advance",$B750=""),"",$I750&amp;"|"&amp;$J750&amp;"|"&amp;COUNTIFS($I$7:$I750,$I750,$J$7:$J750,$J750,$D$7:$D750,"Advance"))</f>
        <v/>
      </c>
      <c r="L750" s="143" t="str">
        <f>IF(OR($I750="",$I750="?",$B750=""),"",SUMPRODUCT((Weeks!$A$7:$A$59&lt;=$J750)*(Weeks!$X$5:$AI$5=$I750)*Weeks!$X$7:$AI$59)-SUMIFS($E$7:$E$1006,$I$7:$I$1006,$I750,$B$7:$B$1006,"&lt;="&amp;$B750))</f>
        <v/>
      </c>
      <c r="M750" s="132" t="str">
        <f>IF($B750&amp;$C750&amp;$D750&amp;$E750="","",IF($B750="","missing date",IF($C750="","missing worker",IF($I750="?","unknown worker - was the name changed on Workers?",IF($D750="","missing type",IF(N($E750)=0,"missing amount",IF(AND($E750&lt;0,$D750&lt;&gt;"Correction"),"negative amount - use a Correction to undo",IF(OR($B750&lt;Weeks!$A$7,$B750&gt;Weeks!$B$59),"date outside this workbook's year",IF(AND($D750="Advance",N($L750)&lt;0),"Warning: more than earned so far - worker now owes "&amp;TEXT(ROUND(-$L750,0),"#,##0"),"")))))))))</f>
        <v/>
      </c>
      <c r="N750" s="125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126"/>
      <c r="AH750" s="126"/>
      <c r="AI750" s="126"/>
      <c r="AJ750" s="126"/>
      <c r="AK750" s="126"/>
      <c r="AL750" s="126"/>
      <c r="AM750" s="126"/>
      <c r="AN750" s="126"/>
    </row>
    <row r="751" spans="1:40" s="127" customFormat="1" ht="21" customHeight="1" x14ac:dyDescent="0.25">
      <c r="A751" s="51" t="str">
        <f t="shared" si="33"/>
        <v/>
      </c>
      <c r="B751" s="77"/>
      <c r="C751" s="133"/>
      <c r="D751" s="50"/>
      <c r="E751" s="141"/>
      <c r="F751" s="133"/>
      <c r="G751" s="133"/>
      <c r="H751" s="50"/>
      <c r="I751" s="51" t="str">
        <f t="shared" si="34"/>
        <v/>
      </c>
      <c r="J751" s="52" t="str">
        <f t="shared" si="35"/>
        <v/>
      </c>
      <c r="K751" s="142" t="str">
        <f>IF(OR($I751="",$I751="?",$D751&lt;&gt;"Advance",$B751=""),"",$I751&amp;"|"&amp;$J751&amp;"|"&amp;COUNTIFS($I$7:$I751,$I751,$J$7:$J751,$J751,$D$7:$D751,"Advance"))</f>
        <v/>
      </c>
      <c r="L751" s="143" t="str">
        <f>IF(OR($I751="",$I751="?",$B751=""),"",SUMPRODUCT((Weeks!$A$7:$A$59&lt;=$J751)*(Weeks!$X$5:$AI$5=$I751)*Weeks!$X$7:$AI$59)-SUMIFS($E$7:$E$1006,$I$7:$I$1006,$I751,$B$7:$B$1006,"&lt;="&amp;$B751))</f>
        <v/>
      </c>
      <c r="M751" s="132" t="str">
        <f>IF($B751&amp;$C751&amp;$D751&amp;$E751="","",IF($B751="","missing date",IF($C751="","missing worker",IF($I751="?","unknown worker - was the name changed on Workers?",IF($D751="","missing type",IF(N($E751)=0,"missing amount",IF(AND($E751&lt;0,$D751&lt;&gt;"Correction"),"negative amount - use a Correction to undo",IF(OR($B751&lt;Weeks!$A$7,$B751&gt;Weeks!$B$59),"date outside this workbook's year",IF(AND($D751="Advance",N($L751)&lt;0),"Warning: more than earned so far - worker now owes "&amp;TEXT(ROUND(-$L751,0),"#,##0"),"")))))))))</f>
        <v/>
      </c>
      <c r="N751" s="125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126"/>
      <c r="AH751" s="126"/>
      <c r="AI751" s="126"/>
      <c r="AJ751" s="126"/>
      <c r="AK751" s="126"/>
      <c r="AL751" s="126"/>
      <c r="AM751" s="126"/>
      <c r="AN751" s="126"/>
    </row>
    <row r="752" spans="1:40" s="127" customFormat="1" ht="21" customHeight="1" x14ac:dyDescent="0.25">
      <c r="A752" s="51" t="str">
        <f t="shared" si="33"/>
        <v/>
      </c>
      <c r="B752" s="77"/>
      <c r="C752" s="133"/>
      <c r="D752" s="50"/>
      <c r="E752" s="141"/>
      <c r="F752" s="133"/>
      <c r="G752" s="133"/>
      <c r="H752" s="50"/>
      <c r="I752" s="51" t="str">
        <f t="shared" si="34"/>
        <v/>
      </c>
      <c r="J752" s="52" t="str">
        <f t="shared" si="35"/>
        <v/>
      </c>
      <c r="K752" s="142" t="str">
        <f>IF(OR($I752="",$I752="?",$D752&lt;&gt;"Advance",$B752=""),"",$I752&amp;"|"&amp;$J752&amp;"|"&amp;COUNTIFS($I$7:$I752,$I752,$J$7:$J752,$J752,$D$7:$D752,"Advance"))</f>
        <v/>
      </c>
      <c r="L752" s="143" t="str">
        <f>IF(OR($I752="",$I752="?",$B752=""),"",SUMPRODUCT((Weeks!$A$7:$A$59&lt;=$J752)*(Weeks!$X$5:$AI$5=$I752)*Weeks!$X$7:$AI$59)-SUMIFS($E$7:$E$1006,$I$7:$I$1006,$I752,$B$7:$B$1006,"&lt;="&amp;$B752))</f>
        <v/>
      </c>
      <c r="M752" s="132" t="str">
        <f>IF($B752&amp;$C752&amp;$D752&amp;$E752="","",IF($B752="","missing date",IF($C752="","missing worker",IF($I752="?","unknown worker - was the name changed on Workers?",IF($D752="","missing type",IF(N($E752)=0,"missing amount",IF(AND($E752&lt;0,$D752&lt;&gt;"Correction"),"negative amount - use a Correction to undo",IF(OR($B752&lt;Weeks!$A$7,$B752&gt;Weeks!$B$59),"date outside this workbook's year",IF(AND($D752="Advance",N($L752)&lt;0),"Warning: more than earned so far - worker now owes "&amp;TEXT(ROUND(-$L752,0),"#,##0"),"")))))))))</f>
        <v/>
      </c>
      <c r="N752" s="125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126"/>
      <c r="AH752" s="126"/>
      <c r="AI752" s="126"/>
      <c r="AJ752" s="126"/>
      <c r="AK752" s="126"/>
      <c r="AL752" s="126"/>
      <c r="AM752" s="126"/>
      <c r="AN752" s="126"/>
    </row>
    <row r="753" spans="1:40" s="127" customFormat="1" ht="21" customHeight="1" x14ac:dyDescent="0.25">
      <c r="A753" s="51" t="str">
        <f t="shared" si="33"/>
        <v/>
      </c>
      <c r="B753" s="77"/>
      <c r="C753" s="133"/>
      <c r="D753" s="50"/>
      <c r="E753" s="141"/>
      <c r="F753" s="133"/>
      <c r="G753" s="133"/>
      <c r="H753" s="50"/>
      <c r="I753" s="51" t="str">
        <f t="shared" si="34"/>
        <v/>
      </c>
      <c r="J753" s="52" t="str">
        <f t="shared" si="35"/>
        <v/>
      </c>
      <c r="K753" s="142" t="str">
        <f>IF(OR($I753="",$I753="?",$D753&lt;&gt;"Advance",$B753=""),"",$I753&amp;"|"&amp;$J753&amp;"|"&amp;COUNTIFS($I$7:$I753,$I753,$J$7:$J753,$J753,$D$7:$D753,"Advance"))</f>
        <v/>
      </c>
      <c r="L753" s="143" t="str">
        <f>IF(OR($I753="",$I753="?",$B753=""),"",SUMPRODUCT((Weeks!$A$7:$A$59&lt;=$J753)*(Weeks!$X$5:$AI$5=$I753)*Weeks!$X$7:$AI$59)-SUMIFS($E$7:$E$1006,$I$7:$I$1006,$I753,$B$7:$B$1006,"&lt;="&amp;$B753))</f>
        <v/>
      </c>
      <c r="M753" s="132" t="str">
        <f>IF($B753&amp;$C753&amp;$D753&amp;$E753="","",IF($B753="","missing date",IF($C753="","missing worker",IF($I753="?","unknown worker - was the name changed on Workers?",IF($D753="","missing type",IF(N($E753)=0,"missing amount",IF(AND($E753&lt;0,$D753&lt;&gt;"Correction"),"negative amount - use a Correction to undo",IF(OR($B753&lt;Weeks!$A$7,$B753&gt;Weeks!$B$59),"date outside this workbook's year",IF(AND($D753="Advance",N($L753)&lt;0),"Warning: more than earned so far - worker now owes "&amp;TEXT(ROUND(-$L753,0),"#,##0"),"")))))))))</f>
        <v/>
      </c>
      <c r="N753" s="125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126"/>
      <c r="AH753" s="126"/>
      <c r="AI753" s="126"/>
      <c r="AJ753" s="126"/>
      <c r="AK753" s="126"/>
      <c r="AL753" s="126"/>
      <c r="AM753" s="126"/>
      <c r="AN753" s="126"/>
    </row>
    <row r="754" spans="1:40" s="127" customFormat="1" ht="21" customHeight="1" x14ac:dyDescent="0.25">
      <c r="A754" s="51" t="str">
        <f t="shared" si="33"/>
        <v/>
      </c>
      <c r="B754" s="77"/>
      <c r="C754" s="133"/>
      <c r="D754" s="50"/>
      <c r="E754" s="141"/>
      <c r="F754" s="133"/>
      <c r="G754" s="133"/>
      <c r="H754" s="50"/>
      <c r="I754" s="51" t="str">
        <f t="shared" si="34"/>
        <v/>
      </c>
      <c r="J754" s="52" t="str">
        <f t="shared" si="35"/>
        <v/>
      </c>
      <c r="K754" s="142" t="str">
        <f>IF(OR($I754="",$I754="?",$D754&lt;&gt;"Advance",$B754=""),"",$I754&amp;"|"&amp;$J754&amp;"|"&amp;COUNTIFS($I$7:$I754,$I754,$J$7:$J754,$J754,$D$7:$D754,"Advance"))</f>
        <v/>
      </c>
      <c r="L754" s="143" t="str">
        <f>IF(OR($I754="",$I754="?",$B754=""),"",SUMPRODUCT((Weeks!$A$7:$A$59&lt;=$J754)*(Weeks!$X$5:$AI$5=$I754)*Weeks!$X$7:$AI$59)-SUMIFS($E$7:$E$1006,$I$7:$I$1006,$I754,$B$7:$B$1006,"&lt;="&amp;$B754))</f>
        <v/>
      </c>
      <c r="M754" s="132" t="str">
        <f>IF($B754&amp;$C754&amp;$D754&amp;$E754="","",IF($B754="","missing date",IF($C754="","missing worker",IF($I754="?","unknown worker - was the name changed on Workers?",IF($D754="","missing type",IF(N($E754)=0,"missing amount",IF(AND($E754&lt;0,$D754&lt;&gt;"Correction"),"negative amount - use a Correction to undo",IF(OR($B754&lt;Weeks!$A$7,$B754&gt;Weeks!$B$59),"date outside this workbook's year",IF(AND($D754="Advance",N($L754)&lt;0),"Warning: more than earned so far - worker now owes "&amp;TEXT(ROUND(-$L754,0),"#,##0"),"")))))))))</f>
        <v/>
      </c>
      <c r="N754" s="125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126"/>
      <c r="AH754" s="126"/>
      <c r="AI754" s="126"/>
      <c r="AJ754" s="126"/>
      <c r="AK754" s="126"/>
      <c r="AL754" s="126"/>
      <c r="AM754" s="126"/>
      <c r="AN754" s="126"/>
    </row>
    <row r="755" spans="1:40" s="127" customFormat="1" ht="21" customHeight="1" x14ac:dyDescent="0.25">
      <c r="A755" s="51" t="str">
        <f t="shared" si="33"/>
        <v/>
      </c>
      <c r="B755" s="77"/>
      <c r="C755" s="133"/>
      <c r="D755" s="50"/>
      <c r="E755" s="141"/>
      <c r="F755" s="133"/>
      <c r="G755" s="133"/>
      <c r="H755" s="50"/>
      <c r="I755" s="51" t="str">
        <f t="shared" si="34"/>
        <v/>
      </c>
      <c r="J755" s="52" t="str">
        <f t="shared" si="35"/>
        <v/>
      </c>
      <c r="K755" s="142" t="str">
        <f>IF(OR($I755="",$I755="?",$D755&lt;&gt;"Advance",$B755=""),"",$I755&amp;"|"&amp;$J755&amp;"|"&amp;COUNTIFS($I$7:$I755,$I755,$J$7:$J755,$J755,$D$7:$D755,"Advance"))</f>
        <v/>
      </c>
      <c r="L755" s="143" t="str">
        <f>IF(OR($I755="",$I755="?",$B755=""),"",SUMPRODUCT((Weeks!$A$7:$A$59&lt;=$J755)*(Weeks!$X$5:$AI$5=$I755)*Weeks!$X$7:$AI$59)-SUMIFS($E$7:$E$1006,$I$7:$I$1006,$I755,$B$7:$B$1006,"&lt;="&amp;$B755))</f>
        <v/>
      </c>
      <c r="M755" s="132" t="str">
        <f>IF($B755&amp;$C755&amp;$D755&amp;$E755="","",IF($B755="","missing date",IF($C755="","missing worker",IF($I755="?","unknown worker - was the name changed on Workers?",IF($D755="","missing type",IF(N($E755)=0,"missing amount",IF(AND($E755&lt;0,$D755&lt;&gt;"Correction"),"negative amount - use a Correction to undo",IF(OR($B755&lt;Weeks!$A$7,$B755&gt;Weeks!$B$59),"date outside this workbook's year",IF(AND($D755="Advance",N($L755)&lt;0),"Warning: more than earned so far - worker now owes "&amp;TEXT(ROUND(-$L755,0),"#,##0"),"")))))))))</f>
        <v/>
      </c>
      <c r="N755" s="125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126"/>
      <c r="AH755" s="126"/>
      <c r="AI755" s="126"/>
      <c r="AJ755" s="126"/>
      <c r="AK755" s="126"/>
      <c r="AL755" s="126"/>
      <c r="AM755" s="126"/>
      <c r="AN755" s="126"/>
    </row>
    <row r="756" spans="1:40" s="127" customFormat="1" ht="21" customHeight="1" x14ac:dyDescent="0.25">
      <c r="A756" s="51" t="str">
        <f t="shared" si="33"/>
        <v/>
      </c>
      <c r="B756" s="77"/>
      <c r="C756" s="133"/>
      <c r="D756" s="50"/>
      <c r="E756" s="141"/>
      <c r="F756" s="133"/>
      <c r="G756" s="133"/>
      <c r="H756" s="50"/>
      <c r="I756" s="51" t="str">
        <f t="shared" si="34"/>
        <v/>
      </c>
      <c r="J756" s="52" t="str">
        <f t="shared" si="35"/>
        <v/>
      </c>
      <c r="K756" s="142" t="str">
        <f>IF(OR($I756="",$I756="?",$D756&lt;&gt;"Advance",$B756=""),"",$I756&amp;"|"&amp;$J756&amp;"|"&amp;COUNTIFS($I$7:$I756,$I756,$J$7:$J756,$J756,$D$7:$D756,"Advance"))</f>
        <v/>
      </c>
      <c r="L756" s="143" t="str">
        <f>IF(OR($I756="",$I756="?",$B756=""),"",SUMPRODUCT((Weeks!$A$7:$A$59&lt;=$J756)*(Weeks!$X$5:$AI$5=$I756)*Weeks!$X$7:$AI$59)-SUMIFS($E$7:$E$1006,$I$7:$I$1006,$I756,$B$7:$B$1006,"&lt;="&amp;$B756))</f>
        <v/>
      </c>
      <c r="M756" s="132" t="str">
        <f>IF($B756&amp;$C756&amp;$D756&amp;$E756="","",IF($B756="","missing date",IF($C756="","missing worker",IF($I756="?","unknown worker - was the name changed on Workers?",IF($D756="","missing type",IF(N($E756)=0,"missing amount",IF(AND($E756&lt;0,$D756&lt;&gt;"Correction"),"negative amount - use a Correction to undo",IF(OR($B756&lt;Weeks!$A$7,$B756&gt;Weeks!$B$59),"date outside this workbook's year",IF(AND($D756="Advance",N($L756)&lt;0),"Warning: more than earned so far - worker now owes "&amp;TEXT(ROUND(-$L756,0),"#,##0"),"")))))))))</f>
        <v/>
      </c>
      <c r="N756" s="125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126"/>
      <c r="AH756" s="126"/>
      <c r="AI756" s="126"/>
      <c r="AJ756" s="126"/>
      <c r="AK756" s="126"/>
      <c r="AL756" s="126"/>
      <c r="AM756" s="126"/>
      <c r="AN756" s="126"/>
    </row>
    <row r="757" spans="1:40" s="127" customFormat="1" ht="21" customHeight="1" x14ac:dyDescent="0.25">
      <c r="A757" s="51" t="str">
        <f t="shared" si="33"/>
        <v/>
      </c>
      <c r="B757" s="77"/>
      <c r="C757" s="133"/>
      <c r="D757" s="50"/>
      <c r="E757" s="141"/>
      <c r="F757" s="133"/>
      <c r="G757" s="133"/>
      <c r="H757" s="50"/>
      <c r="I757" s="51" t="str">
        <f t="shared" si="34"/>
        <v/>
      </c>
      <c r="J757" s="52" t="str">
        <f t="shared" si="35"/>
        <v/>
      </c>
      <c r="K757" s="142" t="str">
        <f>IF(OR($I757="",$I757="?",$D757&lt;&gt;"Advance",$B757=""),"",$I757&amp;"|"&amp;$J757&amp;"|"&amp;COUNTIFS($I$7:$I757,$I757,$J$7:$J757,$J757,$D$7:$D757,"Advance"))</f>
        <v/>
      </c>
      <c r="L757" s="143" t="str">
        <f>IF(OR($I757="",$I757="?",$B757=""),"",SUMPRODUCT((Weeks!$A$7:$A$59&lt;=$J757)*(Weeks!$X$5:$AI$5=$I757)*Weeks!$X$7:$AI$59)-SUMIFS($E$7:$E$1006,$I$7:$I$1006,$I757,$B$7:$B$1006,"&lt;="&amp;$B757))</f>
        <v/>
      </c>
      <c r="M757" s="132" t="str">
        <f>IF($B757&amp;$C757&amp;$D757&amp;$E757="","",IF($B757="","missing date",IF($C757="","missing worker",IF($I757="?","unknown worker - was the name changed on Workers?",IF($D757="","missing type",IF(N($E757)=0,"missing amount",IF(AND($E757&lt;0,$D757&lt;&gt;"Correction"),"negative amount - use a Correction to undo",IF(OR($B757&lt;Weeks!$A$7,$B757&gt;Weeks!$B$59),"date outside this workbook's year",IF(AND($D757="Advance",N($L757)&lt;0),"Warning: more than earned so far - worker now owes "&amp;TEXT(ROUND(-$L757,0),"#,##0"),"")))))))))</f>
        <v/>
      </c>
      <c r="N757" s="125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126"/>
      <c r="AH757" s="126"/>
      <c r="AI757" s="126"/>
      <c r="AJ757" s="126"/>
      <c r="AK757" s="126"/>
      <c r="AL757" s="126"/>
      <c r="AM757" s="126"/>
      <c r="AN757" s="126"/>
    </row>
    <row r="758" spans="1:40" s="127" customFormat="1" ht="21" customHeight="1" x14ac:dyDescent="0.25">
      <c r="A758" s="51" t="str">
        <f t="shared" si="33"/>
        <v/>
      </c>
      <c r="B758" s="77"/>
      <c r="C758" s="133"/>
      <c r="D758" s="50"/>
      <c r="E758" s="141"/>
      <c r="F758" s="133"/>
      <c r="G758" s="133"/>
      <c r="H758" s="50"/>
      <c r="I758" s="51" t="str">
        <f t="shared" si="34"/>
        <v/>
      </c>
      <c r="J758" s="52" t="str">
        <f t="shared" si="35"/>
        <v/>
      </c>
      <c r="K758" s="142" t="str">
        <f>IF(OR($I758="",$I758="?",$D758&lt;&gt;"Advance",$B758=""),"",$I758&amp;"|"&amp;$J758&amp;"|"&amp;COUNTIFS($I$7:$I758,$I758,$J$7:$J758,$J758,$D$7:$D758,"Advance"))</f>
        <v/>
      </c>
      <c r="L758" s="143" t="str">
        <f>IF(OR($I758="",$I758="?",$B758=""),"",SUMPRODUCT((Weeks!$A$7:$A$59&lt;=$J758)*(Weeks!$X$5:$AI$5=$I758)*Weeks!$X$7:$AI$59)-SUMIFS($E$7:$E$1006,$I$7:$I$1006,$I758,$B$7:$B$1006,"&lt;="&amp;$B758))</f>
        <v/>
      </c>
      <c r="M758" s="132" t="str">
        <f>IF($B758&amp;$C758&amp;$D758&amp;$E758="","",IF($B758="","missing date",IF($C758="","missing worker",IF($I758="?","unknown worker - was the name changed on Workers?",IF($D758="","missing type",IF(N($E758)=0,"missing amount",IF(AND($E758&lt;0,$D758&lt;&gt;"Correction"),"negative amount - use a Correction to undo",IF(OR($B758&lt;Weeks!$A$7,$B758&gt;Weeks!$B$59),"date outside this workbook's year",IF(AND($D758="Advance",N($L758)&lt;0),"Warning: more than earned so far - worker now owes "&amp;TEXT(ROUND(-$L758,0),"#,##0"),"")))))))))</f>
        <v/>
      </c>
      <c r="N758" s="125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126"/>
      <c r="AH758" s="126"/>
      <c r="AI758" s="126"/>
      <c r="AJ758" s="126"/>
      <c r="AK758" s="126"/>
      <c r="AL758" s="126"/>
      <c r="AM758" s="126"/>
      <c r="AN758" s="126"/>
    </row>
    <row r="759" spans="1:40" s="127" customFormat="1" ht="21" customHeight="1" x14ac:dyDescent="0.25">
      <c r="A759" s="51" t="str">
        <f t="shared" si="33"/>
        <v/>
      </c>
      <c r="B759" s="77"/>
      <c r="C759" s="133"/>
      <c r="D759" s="50"/>
      <c r="E759" s="141"/>
      <c r="F759" s="133"/>
      <c r="G759" s="133"/>
      <c r="H759" s="50"/>
      <c r="I759" s="51" t="str">
        <f t="shared" si="34"/>
        <v/>
      </c>
      <c r="J759" s="52" t="str">
        <f t="shared" si="35"/>
        <v/>
      </c>
      <c r="K759" s="142" t="str">
        <f>IF(OR($I759="",$I759="?",$D759&lt;&gt;"Advance",$B759=""),"",$I759&amp;"|"&amp;$J759&amp;"|"&amp;COUNTIFS($I$7:$I759,$I759,$J$7:$J759,$J759,$D$7:$D759,"Advance"))</f>
        <v/>
      </c>
      <c r="L759" s="143" t="str">
        <f>IF(OR($I759="",$I759="?",$B759=""),"",SUMPRODUCT((Weeks!$A$7:$A$59&lt;=$J759)*(Weeks!$X$5:$AI$5=$I759)*Weeks!$X$7:$AI$59)-SUMIFS($E$7:$E$1006,$I$7:$I$1006,$I759,$B$7:$B$1006,"&lt;="&amp;$B759))</f>
        <v/>
      </c>
      <c r="M759" s="132" t="str">
        <f>IF($B759&amp;$C759&amp;$D759&amp;$E759="","",IF($B759="","missing date",IF($C759="","missing worker",IF($I759="?","unknown worker - was the name changed on Workers?",IF($D759="","missing type",IF(N($E759)=0,"missing amount",IF(AND($E759&lt;0,$D759&lt;&gt;"Correction"),"negative amount - use a Correction to undo",IF(OR($B759&lt;Weeks!$A$7,$B759&gt;Weeks!$B$59),"date outside this workbook's year",IF(AND($D759="Advance",N($L759)&lt;0),"Warning: more than earned so far - worker now owes "&amp;TEXT(ROUND(-$L759,0),"#,##0"),"")))))))))</f>
        <v/>
      </c>
      <c r="N759" s="125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126"/>
      <c r="AH759" s="126"/>
      <c r="AI759" s="126"/>
      <c r="AJ759" s="126"/>
      <c r="AK759" s="126"/>
      <c r="AL759" s="126"/>
      <c r="AM759" s="126"/>
      <c r="AN759" s="126"/>
    </row>
    <row r="760" spans="1:40" s="127" customFormat="1" ht="21" customHeight="1" x14ac:dyDescent="0.25">
      <c r="A760" s="51" t="str">
        <f t="shared" si="33"/>
        <v/>
      </c>
      <c r="B760" s="77"/>
      <c r="C760" s="133"/>
      <c r="D760" s="50"/>
      <c r="E760" s="141"/>
      <c r="F760" s="133"/>
      <c r="G760" s="133"/>
      <c r="H760" s="50"/>
      <c r="I760" s="51" t="str">
        <f t="shared" si="34"/>
        <v/>
      </c>
      <c r="J760" s="52" t="str">
        <f t="shared" si="35"/>
        <v/>
      </c>
      <c r="K760" s="142" t="str">
        <f>IF(OR($I760="",$I760="?",$D760&lt;&gt;"Advance",$B760=""),"",$I760&amp;"|"&amp;$J760&amp;"|"&amp;COUNTIFS($I$7:$I760,$I760,$J$7:$J760,$J760,$D$7:$D760,"Advance"))</f>
        <v/>
      </c>
      <c r="L760" s="143" t="str">
        <f>IF(OR($I760="",$I760="?",$B760=""),"",SUMPRODUCT((Weeks!$A$7:$A$59&lt;=$J760)*(Weeks!$X$5:$AI$5=$I760)*Weeks!$X$7:$AI$59)-SUMIFS($E$7:$E$1006,$I$7:$I$1006,$I760,$B$7:$B$1006,"&lt;="&amp;$B760))</f>
        <v/>
      </c>
      <c r="M760" s="132" t="str">
        <f>IF($B760&amp;$C760&amp;$D760&amp;$E760="","",IF($B760="","missing date",IF($C760="","missing worker",IF($I760="?","unknown worker - was the name changed on Workers?",IF($D760="","missing type",IF(N($E760)=0,"missing amount",IF(AND($E760&lt;0,$D760&lt;&gt;"Correction"),"negative amount - use a Correction to undo",IF(OR($B760&lt;Weeks!$A$7,$B760&gt;Weeks!$B$59),"date outside this workbook's year",IF(AND($D760="Advance",N($L760)&lt;0),"Warning: more than earned so far - worker now owes "&amp;TEXT(ROUND(-$L760,0),"#,##0"),"")))))))))</f>
        <v/>
      </c>
      <c r="N760" s="125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126"/>
      <c r="AH760" s="126"/>
      <c r="AI760" s="126"/>
      <c r="AJ760" s="126"/>
      <c r="AK760" s="126"/>
      <c r="AL760" s="126"/>
      <c r="AM760" s="126"/>
      <c r="AN760" s="126"/>
    </row>
    <row r="761" spans="1:40" s="127" customFormat="1" ht="21" customHeight="1" x14ac:dyDescent="0.25">
      <c r="A761" s="51" t="str">
        <f t="shared" si="33"/>
        <v/>
      </c>
      <c r="B761" s="77"/>
      <c r="C761" s="133"/>
      <c r="D761" s="50"/>
      <c r="E761" s="141"/>
      <c r="F761" s="133"/>
      <c r="G761" s="133"/>
      <c r="H761" s="50"/>
      <c r="I761" s="51" t="str">
        <f t="shared" si="34"/>
        <v/>
      </c>
      <c r="J761" s="52" t="str">
        <f t="shared" si="35"/>
        <v/>
      </c>
      <c r="K761" s="142" t="str">
        <f>IF(OR($I761="",$I761="?",$D761&lt;&gt;"Advance",$B761=""),"",$I761&amp;"|"&amp;$J761&amp;"|"&amp;COUNTIFS($I$7:$I761,$I761,$J$7:$J761,$J761,$D$7:$D761,"Advance"))</f>
        <v/>
      </c>
      <c r="L761" s="143" t="str">
        <f>IF(OR($I761="",$I761="?",$B761=""),"",SUMPRODUCT((Weeks!$A$7:$A$59&lt;=$J761)*(Weeks!$X$5:$AI$5=$I761)*Weeks!$X$7:$AI$59)-SUMIFS($E$7:$E$1006,$I$7:$I$1006,$I761,$B$7:$B$1006,"&lt;="&amp;$B761))</f>
        <v/>
      </c>
      <c r="M761" s="132" t="str">
        <f>IF($B761&amp;$C761&amp;$D761&amp;$E761="","",IF($B761="","missing date",IF($C761="","missing worker",IF($I761="?","unknown worker - was the name changed on Workers?",IF($D761="","missing type",IF(N($E761)=0,"missing amount",IF(AND($E761&lt;0,$D761&lt;&gt;"Correction"),"negative amount - use a Correction to undo",IF(OR($B761&lt;Weeks!$A$7,$B761&gt;Weeks!$B$59),"date outside this workbook's year",IF(AND($D761="Advance",N($L761)&lt;0),"Warning: more than earned so far - worker now owes "&amp;TEXT(ROUND(-$L761,0),"#,##0"),"")))))))))</f>
        <v/>
      </c>
      <c r="N761" s="125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126"/>
      <c r="AH761" s="126"/>
      <c r="AI761" s="126"/>
      <c r="AJ761" s="126"/>
      <c r="AK761" s="126"/>
      <c r="AL761" s="126"/>
      <c r="AM761" s="126"/>
      <c r="AN761" s="126"/>
    </row>
    <row r="762" spans="1:40" s="127" customFormat="1" ht="21" customHeight="1" x14ac:dyDescent="0.25">
      <c r="A762" s="51" t="str">
        <f t="shared" si="33"/>
        <v/>
      </c>
      <c r="B762" s="77"/>
      <c r="C762" s="133"/>
      <c r="D762" s="50"/>
      <c r="E762" s="141"/>
      <c r="F762" s="133"/>
      <c r="G762" s="133"/>
      <c r="H762" s="50"/>
      <c r="I762" s="51" t="str">
        <f t="shared" si="34"/>
        <v/>
      </c>
      <c r="J762" s="52" t="str">
        <f t="shared" si="35"/>
        <v/>
      </c>
      <c r="K762" s="142" t="str">
        <f>IF(OR($I762="",$I762="?",$D762&lt;&gt;"Advance",$B762=""),"",$I762&amp;"|"&amp;$J762&amp;"|"&amp;COUNTIFS($I$7:$I762,$I762,$J$7:$J762,$J762,$D$7:$D762,"Advance"))</f>
        <v/>
      </c>
      <c r="L762" s="143" t="str">
        <f>IF(OR($I762="",$I762="?",$B762=""),"",SUMPRODUCT((Weeks!$A$7:$A$59&lt;=$J762)*(Weeks!$X$5:$AI$5=$I762)*Weeks!$X$7:$AI$59)-SUMIFS($E$7:$E$1006,$I$7:$I$1006,$I762,$B$7:$B$1006,"&lt;="&amp;$B762))</f>
        <v/>
      </c>
      <c r="M762" s="132" t="str">
        <f>IF($B762&amp;$C762&amp;$D762&amp;$E762="","",IF($B762="","missing date",IF($C762="","missing worker",IF($I762="?","unknown worker - was the name changed on Workers?",IF($D762="","missing type",IF(N($E762)=0,"missing amount",IF(AND($E762&lt;0,$D762&lt;&gt;"Correction"),"negative amount - use a Correction to undo",IF(OR($B762&lt;Weeks!$A$7,$B762&gt;Weeks!$B$59),"date outside this workbook's year",IF(AND($D762="Advance",N($L762)&lt;0),"Warning: more than earned so far - worker now owes "&amp;TEXT(ROUND(-$L762,0),"#,##0"),"")))))))))</f>
        <v/>
      </c>
      <c r="N762" s="125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126"/>
      <c r="AH762" s="126"/>
      <c r="AI762" s="126"/>
      <c r="AJ762" s="126"/>
      <c r="AK762" s="126"/>
      <c r="AL762" s="126"/>
      <c r="AM762" s="126"/>
      <c r="AN762" s="126"/>
    </row>
    <row r="763" spans="1:40" s="127" customFormat="1" ht="21" customHeight="1" x14ac:dyDescent="0.25">
      <c r="A763" s="51" t="str">
        <f t="shared" si="33"/>
        <v/>
      </c>
      <c r="B763" s="77"/>
      <c r="C763" s="133"/>
      <c r="D763" s="50"/>
      <c r="E763" s="141"/>
      <c r="F763" s="133"/>
      <c r="G763" s="133"/>
      <c r="H763" s="50"/>
      <c r="I763" s="51" t="str">
        <f t="shared" si="34"/>
        <v/>
      </c>
      <c r="J763" s="52" t="str">
        <f t="shared" si="35"/>
        <v/>
      </c>
      <c r="K763" s="142" t="str">
        <f>IF(OR($I763="",$I763="?",$D763&lt;&gt;"Advance",$B763=""),"",$I763&amp;"|"&amp;$J763&amp;"|"&amp;COUNTIFS($I$7:$I763,$I763,$J$7:$J763,$J763,$D$7:$D763,"Advance"))</f>
        <v/>
      </c>
      <c r="L763" s="143" t="str">
        <f>IF(OR($I763="",$I763="?",$B763=""),"",SUMPRODUCT((Weeks!$A$7:$A$59&lt;=$J763)*(Weeks!$X$5:$AI$5=$I763)*Weeks!$X$7:$AI$59)-SUMIFS($E$7:$E$1006,$I$7:$I$1006,$I763,$B$7:$B$1006,"&lt;="&amp;$B763))</f>
        <v/>
      </c>
      <c r="M763" s="132" t="str">
        <f>IF($B763&amp;$C763&amp;$D763&amp;$E763="","",IF($B763="","missing date",IF($C763="","missing worker",IF($I763="?","unknown worker - was the name changed on Workers?",IF($D763="","missing type",IF(N($E763)=0,"missing amount",IF(AND($E763&lt;0,$D763&lt;&gt;"Correction"),"negative amount - use a Correction to undo",IF(OR($B763&lt;Weeks!$A$7,$B763&gt;Weeks!$B$59),"date outside this workbook's year",IF(AND($D763="Advance",N($L763)&lt;0),"Warning: more than earned so far - worker now owes "&amp;TEXT(ROUND(-$L763,0),"#,##0"),"")))))))))</f>
        <v/>
      </c>
      <c r="N763" s="125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126"/>
      <c r="AH763" s="126"/>
      <c r="AI763" s="126"/>
      <c r="AJ763" s="126"/>
      <c r="AK763" s="126"/>
      <c r="AL763" s="126"/>
      <c r="AM763" s="126"/>
      <c r="AN763" s="126"/>
    </row>
    <row r="764" spans="1:40" s="127" customFormat="1" ht="21" customHeight="1" x14ac:dyDescent="0.25">
      <c r="A764" s="51" t="str">
        <f t="shared" si="33"/>
        <v/>
      </c>
      <c r="B764" s="77"/>
      <c r="C764" s="133"/>
      <c r="D764" s="50"/>
      <c r="E764" s="141"/>
      <c r="F764" s="133"/>
      <c r="G764" s="133"/>
      <c r="H764" s="50"/>
      <c r="I764" s="51" t="str">
        <f t="shared" si="34"/>
        <v/>
      </c>
      <c r="J764" s="52" t="str">
        <f t="shared" si="35"/>
        <v/>
      </c>
      <c r="K764" s="142" t="str">
        <f>IF(OR($I764="",$I764="?",$D764&lt;&gt;"Advance",$B764=""),"",$I764&amp;"|"&amp;$J764&amp;"|"&amp;COUNTIFS($I$7:$I764,$I764,$J$7:$J764,$J764,$D$7:$D764,"Advance"))</f>
        <v/>
      </c>
      <c r="L764" s="143" t="str">
        <f>IF(OR($I764="",$I764="?",$B764=""),"",SUMPRODUCT((Weeks!$A$7:$A$59&lt;=$J764)*(Weeks!$X$5:$AI$5=$I764)*Weeks!$X$7:$AI$59)-SUMIFS($E$7:$E$1006,$I$7:$I$1006,$I764,$B$7:$B$1006,"&lt;="&amp;$B764))</f>
        <v/>
      </c>
      <c r="M764" s="132" t="str">
        <f>IF($B764&amp;$C764&amp;$D764&amp;$E764="","",IF($B764="","missing date",IF($C764="","missing worker",IF($I764="?","unknown worker - was the name changed on Workers?",IF($D764="","missing type",IF(N($E764)=0,"missing amount",IF(AND($E764&lt;0,$D764&lt;&gt;"Correction"),"negative amount - use a Correction to undo",IF(OR($B764&lt;Weeks!$A$7,$B764&gt;Weeks!$B$59),"date outside this workbook's year",IF(AND($D764="Advance",N($L764)&lt;0),"Warning: more than earned so far - worker now owes "&amp;TEXT(ROUND(-$L764,0),"#,##0"),"")))))))))</f>
        <v/>
      </c>
      <c r="N764" s="125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126"/>
      <c r="AH764" s="126"/>
      <c r="AI764" s="126"/>
      <c r="AJ764" s="126"/>
      <c r="AK764" s="126"/>
      <c r="AL764" s="126"/>
      <c r="AM764" s="126"/>
      <c r="AN764" s="126"/>
    </row>
    <row r="765" spans="1:40" s="127" customFormat="1" ht="21" customHeight="1" x14ac:dyDescent="0.25">
      <c r="A765" s="51" t="str">
        <f t="shared" si="33"/>
        <v/>
      </c>
      <c r="B765" s="77"/>
      <c r="C765" s="133"/>
      <c r="D765" s="50"/>
      <c r="E765" s="141"/>
      <c r="F765" s="133"/>
      <c r="G765" s="133"/>
      <c r="H765" s="50"/>
      <c r="I765" s="51" t="str">
        <f t="shared" si="34"/>
        <v/>
      </c>
      <c r="J765" s="52" t="str">
        <f t="shared" si="35"/>
        <v/>
      </c>
      <c r="K765" s="142" t="str">
        <f>IF(OR($I765="",$I765="?",$D765&lt;&gt;"Advance",$B765=""),"",$I765&amp;"|"&amp;$J765&amp;"|"&amp;COUNTIFS($I$7:$I765,$I765,$J$7:$J765,$J765,$D$7:$D765,"Advance"))</f>
        <v/>
      </c>
      <c r="L765" s="143" t="str">
        <f>IF(OR($I765="",$I765="?",$B765=""),"",SUMPRODUCT((Weeks!$A$7:$A$59&lt;=$J765)*(Weeks!$X$5:$AI$5=$I765)*Weeks!$X$7:$AI$59)-SUMIFS($E$7:$E$1006,$I$7:$I$1006,$I765,$B$7:$B$1006,"&lt;="&amp;$B765))</f>
        <v/>
      </c>
      <c r="M765" s="132" t="str">
        <f>IF($B765&amp;$C765&amp;$D765&amp;$E765="","",IF($B765="","missing date",IF($C765="","missing worker",IF($I765="?","unknown worker - was the name changed on Workers?",IF($D765="","missing type",IF(N($E765)=0,"missing amount",IF(AND($E765&lt;0,$D765&lt;&gt;"Correction"),"negative amount - use a Correction to undo",IF(OR($B765&lt;Weeks!$A$7,$B765&gt;Weeks!$B$59),"date outside this workbook's year",IF(AND($D765="Advance",N($L765)&lt;0),"Warning: more than earned so far - worker now owes "&amp;TEXT(ROUND(-$L765,0),"#,##0"),"")))))))))</f>
        <v/>
      </c>
      <c r="N765" s="125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126"/>
      <c r="AH765" s="126"/>
      <c r="AI765" s="126"/>
      <c r="AJ765" s="126"/>
      <c r="AK765" s="126"/>
      <c r="AL765" s="126"/>
      <c r="AM765" s="126"/>
      <c r="AN765" s="126"/>
    </row>
    <row r="766" spans="1:40" s="127" customFormat="1" ht="21" customHeight="1" x14ac:dyDescent="0.25">
      <c r="A766" s="51" t="str">
        <f t="shared" si="33"/>
        <v/>
      </c>
      <c r="B766" s="77"/>
      <c r="C766" s="133"/>
      <c r="D766" s="50"/>
      <c r="E766" s="141"/>
      <c r="F766" s="133"/>
      <c r="G766" s="133"/>
      <c r="H766" s="50"/>
      <c r="I766" s="51" t="str">
        <f t="shared" si="34"/>
        <v/>
      </c>
      <c r="J766" s="52" t="str">
        <f t="shared" si="35"/>
        <v/>
      </c>
      <c r="K766" s="142" t="str">
        <f>IF(OR($I766="",$I766="?",$D766&lt;&gt;"Advance",$B766=""),"",$I766&amp;"|"&amp;$J766&amp;"|"&amp;COUNTIFS($I$7:$I766,$I766,$J$7:$J766,$J766,$D$7:$D766,"Advance"))</f>
        <v/>
      </c>
      <c r="L766" s="143" t="str">
        <f>IF(OR($I766="",$I766="?",$B766=""),"",SUMPRODUCT((Weeks!$A$7:$A$59&lt;=$J766)*(Weeks!$X$5:$AI$5=$I766)*Weeks!$X$7:$AI$59)-SUMIFS($E$7:$E$1006,$I$7:$I$1006,$I766,$B$7:$B$1006,"&lt;="&amp;$B766))</f>
        <v/>
      </c>
      <c r="M766" s="132" t="str">
        <f>IF($B766&amp;$C766&amp;$D766&amp;$E766="","",IF($B766="","missing date",IF($C766="","missing worker",IF($I766="?","unknown worker - was the name changed on Workers?",IF($D766="","missing type",IF(N($E766)=0,"missing amount",IF(AND($E766&lt;0,$D766&lt;&gt;"Correction"),"negative amount - use a Correction to undo",IF(OR($B766&lt;Weeks!$A$7,$B766&gt;Weeks!$B$59),"date outside this workbook's year",IF(AND($D766="Advance",N($L766)&lt;0),"Warning: more than earned so far - worker now owes "&amp;TEXT(ROUND(-$L766,0),"#,##0"),"")))))))))</f>
        <v/>
      </c>
      <c r="N766" s="125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126"/>
      <c r="AH766" s="126"/>
      <c r="AI766" s="126"/>
      <c r="AJ766" s="126"/>
      <c r="AK766" s="126"/>
      <c r="AL766" s="126"/>
      <c r="AM766" s="126"/>
      <c r="AN766" s="126"/>
    </row>
    <row r="767" spans="1:40" s="127" customFormat="1" ht="21" customHeight="1" x14ac:dyDescent="0.25">
      <c r="A767" s="51" t="str">
        <f t="shared" si="33"/>
        <v/>
      </c>
      <c r="B767" s="77"/>
      <c r="C767" s="133"/>
      <c r="D767" s="50"/>
      <c r="E767" s="141"/>
      <c r="F767" s="133"/>
      <c r="G767" s="133"/>
      <c r="H767" s="50"/>
      <c r="I767" s="51" t="str">
        <f t="shared" si="34"/>
        <v/>
      </c>
      <c r="J767" s="52" t="str">
        <f t="shared" si="35"/>
        <v/>
      </c>
      <c r="K767" s="142" t="str">
        <f>IF(OR($I767="",$I767="?",$D767&lt;&gt;"Advance",$B767=""),"",$I767&amp;"|"&amp;$J767&amp;"|"&amp;COUNTIFS($I$7:$I767,$I767,$J$7:$J767,$J767,$D$7:$D767,"Advance"))</f>
        <v/>
      </c>
      <c r="L767" s="143" t="str">
        <f>IF(OR($I767="",$I767="?",$B767=""),"",SUMPRODUCT((Weeks!$A$7:$A$59&lt;=$J767)*(Weeks!$X$5:$AI$5=$I767)*Weeks!$X$7:$AI$59)-SUMIFS($E$7:$E$1006,$I$7:$I$1006,$I767,$B$7:$B$1006,"&lt;="&amp;$B767))</f>
        <v/>
      </c>
      <c r="M767" s="132" t="str">
        <f>IF($B767&amp;$C767&amp;$D767&amp;$E767="","",IF($B767="","missing date",IF($C767="","missing worker",IF($I767="?","unknown worker - was the name changed on Workers?",IF($D767="","missing type",IF(N($E767)=0,"missing amount",IF(AND($E767&lt;0,$D767&lt;&gt;"Correction"),"negative amount - use a Correction to undo",IF(OR($B767&lt;Weeks!$A$7,$B767&gt;Weeks!$B$59),"date outside this workbook's year",IF(AND($D767="Advance",N($L767)&lt;0),"Warning: more than earned so far - worker now owes "&amp;TEXT(ROUND(-$L767,0),"#,##0"),"")))))))))</f>
        <v/>
      </c>
      <c r="N767" s="125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126"/>
      <c r="AH767" s="126"/>
      <c r="AI767" s="126"/>
      <c r="AJ767" s="126"/>
      <c r="AK767" s="126"/>
      <c r="AL767" s="126"/>
      <c r="AM767" s="126"/>
      <c r="AN767" s="126"/>
    </row>
    <row r="768" spans="1:40" s="127" customFormat="1" ht="21" customHeight="1" x14ac:dyDescent="0.25">
      <c r="A768" s="51" t="str">
        <f t="shared" si="33"/>
        <v/>
      </c>
      <c r="B768" s="77"/>
      <c r="C768" s="133"/>
      <c r="D768" s="50"/>
      <c r="E768" s="141"/>
      <c r="F768" s="133"/>
      <c r="G768" s="133"/>
      <c r="H768" s="50"/>
      <c r="I768" s="51" t="str">
        <f t="shared" si="34"/>
        <v/>
      </c>
      <c r="J768" s="52" t="str">
        <f t="shared" si="35"/>
        <v/>
      </c>
      <c r="K768" s="142" t="str">
        <f>IF(OR($I768="",$I768="?",$D768&lt;&gt;"Advance",$B768=""),"",$I768&amp;"|"&amp;$J768&amp;"|"&amp;COUNTIFS($I$7:$I768,$I768,$J$7:$J768,$J768,$D$7:$D768,"Advance"))</f>
        <v/>
      </c>
      <c r="L768" s="143" t="str">
        <f>IF(OR($I768="",$I768="?",$B768=""),"",SUMPRODUCT((Weeks!$A$7:$A$59&lt;=$J768)*(Weeks!$X$5:$AI$5=$I768)*Weeks!$X$7:$AI$59)-SUMIFS($E$7:$E$1006,$I$7:$I$1006,$I768,$B$7:$B$1006,"&lt;="&amp;$B768))</f>
        <v/>
      </c>
      <c r="M768" s="132" t="str">
        <f>IF($B768&amp;$C768&amp;$D768&amp;$E768="","",IF($B768="","missing date",IF($C768="","missing worker",IF($I768="?","unknown worker - was the name changed on Workers?",IF($D768="","missing type",IF(N($E768)=0,"missing amount",IF(AND($E768&lt;0,$D768&lt;&gt;"Correction"),"negative amount - use a Correction to undo",IF(OR($B768&lt;Weeks!$A$7,$B768&gt;Weeks!$B$59),"date outside this workbook's year",IF(AND($D768="Advance",N($L768)&lt;0),"Warning: more than earned so far - worker now owes "&amp;TEXT(ROUND(-$L768,0),"#,##0"),"")))))))))</f>
        <v/>
      </c>
      <c r="N768" s="125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126"/>
      <c r="AH768" s="126"/>
      <c r="AI768" s="126"/>
      <c r="AJ768" s="126"/>
      <c r="AK768" s="126"/>
      <c r="AL768" s="126"/>
      <c r="AM768" s="126"/>
      <c r="AN768" s="126"/>
    </row>
    <row r="769" spans="1:40" s="127" customFormat="1" ht="21" customHeight="1" x14ac:dyDescent="0.25">
      <c r="A769" s="51" t="str">
        <f t="shared" si="33"/>
        <v/>
      </c>
      <c r="B769" s="77"/>
      <c r="C769" s="133"/>
      <c r="D769" s="50"/>
      <c r="E769" s="141"/>
      <c r="F769" s="133"/>
      <c r="G769" s="133"/>
      <c r="H769" s="50"/>
      <c r="I769" s="51" t="str">
        <f t="shared" si="34"/>
        <v/>
      </c>
      <c r="J769" s="52" t="str">
        <f t="shared" si="35"/>
        <v/>
      </c>
      <c r="K769" s="142" t="str">
        <f>IF(OR($I769="",$I769="?",$D769&lt;&gt;"Advance",$B769=""),"",$I769&amp;"|"&amp;$J769&amp;"|"&amp;COUNTIFS($I$7:$I769,$I769,$J$7:$J769,$J769,$D$7:$D769,"Advance"))</f>
        <v/>
      </c>
      <c r="L769" s="143" t="str">
        <f>IF(OR($I769="",$I769="?",$B769=""),"",SUMPRODUCT((Weeks!$A$7:$A$59&lt;=$J769)*(Weeks!$X$5:$AI$5=$I769)*Weeks!$X$7:$AI$59)-SUMIFS($E$7:$E$1006,$I$7:$I$1006,$I769,$B$7:$B$1006,"&lt;="&amp;$B769))</f>
        <v/>
      </c>
      <c r="M769" s="132" t="str">
        <f>IF($B769&amp;$C769&amp;$D769&amp;$E769="","",IF($B769="","missing date",IF($C769="","missing worker",IF($I769="?","unknown worker - was the name changed on Workers?",IF($D769="","missing type",IF(N($E769)=0,"missing amount",IF(AND($E769&lt;0,$D769&lt;&gt;"Correction"),"negative amount - use a Correction to undo",IF(OR($B769&lt;Weeks!$A$7,$B769&gt;Weeks!$B$59),"date outside this workbook's year",IF(AND($D769="Advance",N($L769)&lt;0),"Warning: more than earned so far - worker now owes "&amp;TEXT(ROUND(-$L769,0),"#,##0"),"")))))))))</f>
        <v/>
      </c>
      <c r="N769" s="125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126"/>
      <c r="AH769" s="126"/>
      <c r="AI769" s="126"/>
      <c r="AJ769" s="126"/>
      <c r="AK769" s="126"/>
      <c r="AL769" s="126"/>
      <c r="AM769" s="126"/>
      <c r="AN769" s="126"/>
    </row>
    <row r="770" spans="1:40" s="127" customFormat="1" ht="21" customHeight="1" x14ac:dyDescent="0.25">
      <c r="A770" s="51" t="str">
        <f t="shared" si="33"/>
        <v/>
      </c>
      <c r="B770" s="77"/>
      <c r="C770" s="133"/>
      <c r="D770" s="50"/>
      <c r="E770" s="141"/>
      <c r="F770" s="133"/>
      <c r="G770" s="133"/>
      <c r="H770" s="50"/>
      <c r="I770" s="51" t="str">
        <f t="shared" si="34"/>
        <v/>
      </c>
      <c r="J770" s="52" t="str">
        <f t="shared" si="35"/>
        <v/>
      </c>
      <c r="K770" s="142" t="str">
        <f>IF(OR($I770="",$I770="?",$D770&lt;&gt;"Advance",$B770=""),"",$I770&amp;"|"&amp;$J770&amp;"|"&amp;COUNTIFS($I$7:$I770,$I770,$J$7:$J770,$J770,$D$7:$D770,"Advance"))</f>
        <v/>
      </c>
      <c r="L770" s="143" t="str">
        <f>IF(OR($I770="",$I770="?",$B770=""),"",SUMPRODUCT((Weeks!$A$7:$A$59&lt;=$J770)*(Weeks!$X$5:$AI$5=$I770)*Weeks!$X$7:$AI$59)-SUMIFS($E$7:$E$1006,$I$7:$I$1006,$I770,$B$7:$B$1006,"&lt;="&amp;$B770))</f>
        <v/>
      </c>
      <c r="M770" s="132" t="str">
        <f>IF($B770&amp;$C770&amp;$D770&amp;$E770="","",IF($B770="","missing date",IF($C770="","missing worker",IF($I770="?","unknown worker - was the name changed on Workers?",IF($D770="","missing type",IF(N($E770)=0,"missing amount",IF(AND($E770&lt;0,$D770&lt;&gt;"Correction"),"negative amount - use a Correction to undo",IF(OR($B770&lt;Weeks!$A$7,$B770&gt;Weeks!$B$59),"date outside this workbook's year",IF(AND($D770="Advance",N($L770)&lt;0),"Warning: more than earned so far - worker now owes "&amp;TEXT(ROUND(-$L770,0),"#,##0"),"")))))))))</f>
        <v/>
      </c>
      <c r="N770" s="125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126"/>
      <c r="AH770" s="126"/>
      <c r="AI770" s="126"/>
      <c r="AJ770" s="126"/>
      <c r="AK770" s="126"/>
      <c r="AL770" s="126"/>
      <c r="AM770" s="126"/>
      <c r="AN770" s="126"/>
    </row>
    <row r="771" spans="1:40" s="127" customFormat="1" ht="21" customHeight="1" x14ac:dyDescent="0.25">
      <c r="A771" s="51" t="str">
        <f t="shared" si="33"/>
        <v/>
      </c>
      <c r="B771" s="77"/>
      <c r="C771" s="133"/>
      <c r="D771" s="50"/>
      <c r="E771" s="141"/>
      <c r="F771" s="133"/>
      <c r="G771" s="133"/>
      <c r="H771" s="50"/>
      <c r="I771" s="51" t="str">
        <f t="shared" si="34"/>
        <v/>
      </c>
      <c r="J771" s="52" t="str">
        <f t="shared" si="35"/>
        <v/>
      </c>
      <c r="K771" s="142" t="str">
        <f>IF(OR($I771="",$I771="?",$D771&lt;&gt;"Advance",$B771=""),"",$I771&amp;"|"&amp;$J771&amp;"|"&amp;COUNTIFS($I$7:$I771,$I771,$J$7:$J771,$J771,$D$7:$D771,"Advance"))</f>
        <v/>
      </c>
      <c r="L771" s="143" t="str">
        <f>IF(OR($I771="",$I771="?",$B771=""),"",SUMPRODUCT((Weeks!$A$7:$A$59&lt;=$J771)*(Weeks!$X$5:$AI$5=$I771)*Weeks!$X$7:$AI$59)-SUMIFS($E$7:$E$1006,$I$7:$I$1006,$I771,$B$7:$B$1006,"&lt;="&amp;$B771))</f>
        <v/>
      </c>
      <c r="M771" s="132" t="str">
        <f>IF($B771&amp;$C771&amp;$D771&amp;$E771="","",IF($B771="","missing date",IF($C771="","missing worker",IF($I771="?","unknown worker - was the name changed on Workers?",IF($D771="","missing type",IF(N($E771)=0,"missing amount",IF(AND($E771&lt;0,$D771&lt;&gt;"Correction"),"negative amount - use a Correction to undo",IF(OR($B771&lt;Weeks!$A$7,$B771&gt;Weeks!$B$59),"date outside this workbook's year",IF(AND($D771="Advance",N($L771)&lt;0),"Warning: more than earned so far - worker now owes "&amp;TEXT(ROUND(-$L771,0),"#,##0"),"")))))))))</f>
        <v/>
      </c>
      <c r="N771" s="125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126"/>
      <c r="AH771" s="126"/>
      <c r="AI771" s="126"/>
      <c r="AJ771" s="126"/>
      <c r="AK771" s="126"/>
      <c r="AL771" s="126"/>
      <c r="AM771" s="126"/>
      <c r="AN771" s="126"/>
    </row>
    <row r="772" spans="1:40" s="127" customFormat="1" ht="21" customHeight="1" x14ac:dyDescent="0.25">
      <c r="A772" s="51" t="str">
        <f t="shared" si="33"/>
        <v/>
      </c>
      <c r="B772" s="77"/>
      <c r="C772" s="133"/>
      <c r="D772" s="50"/>
      <c r="E772" s="141"/>
      <c r="F772" s="133"/>
      <c r="G772" s="133"/>
      <c r="H772" s="50"/>
      <c r="I772" s="51" t="str">
        <f t="shared" si="34"/>
        <v/>
      </c>
      <c r="J772" s="52" t="str">
        <f t="shared" si="35"/>
        <v/>
      </c>
      <c r="K772" s="142" t="str">
        <f>IF(OR($I772="",$I772="?",$D772&lt;&gt;"Advance",$B772=""),"",$I772&amp;"|"&amp;$J772&amp;"|"&amp;COUNTIFS($I$7:$I772,$I772,$J$7:$J772,$J772,$D$7:$D772,"Advance"))</f>
        <v/>
      </c>
      <c r="L772" s="143" t="str">
        <f>IF(OR($I772="",$I772="?",$B772=""),"",SUMPRODUCT((Weeks!$A$7:$A$59&lt;=$J772)*(Weeks!$X$5:$AI$5=$I772)*Weeks!$X$7:$AI$59)-SUMIFS($E$7:$E$1006,$I$7:$I$1006,$I772,$B$7:$B$1006,"&lt;="&amp;$B772))</f>
        <v/>
      </c>
      <c r="M772" s="132" t="str">
        <f>IF($B772&amp;$C772&amp;$D772&amp;$E772="","",IF($B772="","missing date",IF($C772="","missing worker",IF($I772="?","unknown worker - was the name changed on Workers?",IF($D772="","missing type",IF(N($E772)=0,"missing amount",IF(AND($E772&lt;0,$D772&lt;&gt;"Correction"),"negative amount - use a Correction to undo",IF(OR($B772&lt;Weeks!$A$7,$B772&gt;Weeks!$B$59),"date outside this workbook's year",IF(AND($D772="Advance",N($L772)&lt;0),"Warning: more than earned so far - worker now owes "&amp;TEXT(ROUND(-$L772,0),"#,##0"),"")))))))))</f>
        <v/>
      </c>
      <c r="N772" s="125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126"/>
      <c r="AH772" s="126"/>
      <c r="AI772" s="126"/>
      <c r="AJ772" s="126"/>
      <c r="AK772" s="126"/>
      <c r="AL772" s="126"/>
      <c r="AM772" s="126"/>
      <c r="AN772" s="126"/>
    </row>
    <row r="773" spans="1:40" s="127" customFormat="1" ht="21" customHeight="1" x14ac:dyDescent="0.25">
      <c r="A773" s="51" t="str">
        <f t="shared" si="33"/>
        <v/>
      </c>
      <c r="B773" s="77"/>
      <c r="C773" s="133"/>
      <c r="D773" s="50"/>
      <c r="E773" s="141"/>
      <c r="F773" s="133"/>
      <c r="G773" s="133"/>
      <c r="H773" s="50"/>
      <c r="I773" s="51" t="str">
        <f t="shared" si="34"/>
        <v/>
      </c>
      <c r="J773" s="52" t="str">
        <f t="shared" si="35"/>
        <v/>
      </c>
      <c r="K773" s="142" t="str">
        <f>IF(OR($I773="",$I773="?",$D773&lt;&gt;"Advance",$B773=""),"",$I773&amp;"|"&amp;$J773&amp;"|"&amp;COUNTIFS($I$7:$I773,$I773,$J$7:$J773,$J773,$D$7:$D773,"Advance"))</f>
        <v/>
      </c>
      <c r="L773" s="143" t="str">
        <f>IF(OR($I773="",$I773="?",$B773=""),"",SUMPRODUCT((Weeks!$A$7:$A$59&lt;=$J773)*(Weeks!$X$5:$AI$5=$I773)*Weeks!$X$7:$AI$59)-SUMIFS($E$7:$E$1006,$I$7:$I$1006,$I773,$B$7:$B$1006,"&lt;="&amp;$B773))</f>
        <v/>
      </c>
      <c r="M773" s="132" t="str">
        <f>IF($B773&amp;$C773&amp;$D773&amp;$E773="","",IF($B773="","missing date",IF($C773="","missing worker",IF($I773="?","unknown worker - was the name changed on Workers?",IF($D773="","missing type",IF(N($E773)=0,"missing amount",IF(AND($E773&lt;0,$D773&lt;&gt;"Correction"),"negative amount - use a Correction to undo",IF(OR($B773&lt;Weeks!$A$7,$B773&gt;Weeks!$B$59),"date outside this workbook's year",IF(AND($D773="Advance",N($L773)&lt;0),"Warning: more than earned so far - worker now owes "&amp;TEXT(ROUND(-$L773,0),"#,##0"),"")))))))))</f>
        <v/>
      </c>
      <c r="N773" s="125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  <c r="AI773" s="126"/>
      <c r="AJ773" s="126"/>
      <c r="AK773" s="126"/>
      <c r="AL773" s="126"/>
      <c r="AM773" s="126"/>
      <c r="AN773" s="126"/>
    </row>
    <row r="774" spans="1:40" s="127" customFormat="1" ht="21" customHeight="1" x14ac:dyDescent="0.25">
      <c r="A774" s="51" t="str">
        <f t="shared" si="33"/>
        <v/>
      </c>
      <c r="B774" s="77"/>
      <c r="C774" s="133"/>
      <c r="D774" s="50"/>
      <c r="E774" s="141"/>
      <c r="F774" s="133"/>
      <c r="G774" s="133"/>
      <c r="H774" s="50"/>
      <c r="I774" s="51" t="str">
        <f t="shared" si="34"/>
        <v/>
      </c>
      <c r="J774" s="52" t="str">
        <f t="shared" si="35"/>
        <v/>
      </c>
      <c r="K774" s="142" t="str">
        <f>IF(OR($I774="",$I774="?",$D774&lt;&gt;"Advance",$B774=""),"",$I774&amp;"|"&amp;$J774&amp;"|"&amp;COUNTIFS($I$7:$I774,$I774,$J$7:$J774,$J774,$D$7:$D774,"Advance"))</f>
        <v/>
      </c>
      <c r="L774" s="143" t="str">
        <f>IF(OR($I774="",$I774="?",$B774=""),"",SUMPRODUCT((Weeks!$A$7:$A$59&lt;=$J774)*(Weeks!$X$5:$AI$5=$I774)*Weeks!$X$7:$AI$59)-SUMIFS($E$7:$E$1006,$I$7:$I$1006,$I774,$B$7:$B$1006,"&lt;="&amp;$B774))</f>
        <v/>
      </c>
      <c r="M774" s="132" t="str">
        <f>IF($B774&amp;$C774&amp;$D774&amp;$E774="","",IF($B774="","missing date",IF($C774="","missing worker",IF($I774="?","unknown worker - was the name changed on Workers?",IF($D774="","missing type",IF(N($E774)=0,"missing amount",IF(AND($E774&lt;0,$D774&lt;&gt;"Correction"),"negative amount - use a Correction to undo",IF(OR($B774&lt;Weeks!$A$7,$B774&gt;Weeks!$B$59),"date outside this workbook's year",IF(AND($D774="Advance",N($L774)&lt;0),"Warning: more than earned so far - worker now owes "&amp;TEXT(ROUND(-$L774,0),"#,##0"),"")))))))))</f>
        <v/>
      </c>
      <c r="N774" s="125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126"/>
      <c r="AH774" s="126"/>
      <c r="AI774" s="126"/>
      <c r="AJ774" s="126"/>
      <c r="AK774" s="126"/>
      <c r="AL774" s="126"/>
      <c r="AM774" s="126"/>
      <c r="AN774" s="126"/>
    </row>
    <row r="775" spans="1:40" s="127" customFormat="1" ht="21" customHeight="1" x14ac:dyDescent="0.25">
      <c r="A775" s="51" t="str">
        <f t="shared" ref="A775:A838" si="36">IF($B775="","",ROW()-6)</f>
        <v/>
      </c>
      <c r="B775" s="77"/>
      <c r="C775" s="133"/>
      <c r="D775" s="50"/>
      <c r="E775" s="141"/>
      <c r="F775" s="133"/>
      <c r="G775" s="133"/>
      <c r="H775" s="50"/>
      <c r="I775" s="51" t="str">
        <f t="shared" ref="I775:I838" si="37">IF($C775="","",IFERROR(INDEX(WorkerIDs,MATCH($C775,WorkerNames,0)),"?"))</f>
        <v/>
      </c>
      <c r="J775" s="52" t="str">
        <f t="shared" ref="J775:J838" si="38">IF($B775="","",$B775-WEEKDAY($B775,2)+1)</f>
        <v/>
      </c>
      <c r="K775" s="142" t="str">
        <f>IF(OR($I775="",$I775="?",$D775&lt;&gt;"Advance",$B775=""),"",$I775&amp;"|"&amp;$J775&amp;"|"&amp;COUNTIFS($I$7:$I775,$I775,$J$7:$J775,$J775,$D$7:$D775,"Advance"))</f>
        <v/>
      </c>
      <c r="L775" s="143" t="str">
        <f>IF(OR($I775="",$I775="?",$B775=""),"",SUMPRODUCT((Weeks!$A$7:$A$59&lt;=$J775)*(Weeks!$X$5:$AI$5=$I775)*Weeks!$X$7:$AI$59)-SUMIFS($E$7:$E$1006,$I$7:$I$1006,$I775,$B$7:$B$1006,"&lt;="&amp;$B775))</f>
        <v/>
      </c>
      <c r="M775" s="132" t="str">
        <f>IF($B775&amp;$C775&amp;$D775&amp;$E775="","",IF($B775="","missing date",IF($C775="","missing worker",IF($I775="?","unknown worker - was the name changed on Workers?",IF($D775="","missing type",IF(N($E775)=0,"missing amount",IF(AND($E775&lt;0,$D775&lt;&gt;"Correction"),"negative amount - use a Correction to undo",IF(OR($B775&lt;Weeks!$A$7,$B775&gt;Weeks!$B$59),"date outside this workbook's year",IF(AND($D775="Advance",N($L775)&lt;0),"Warning: more than earned so far - worker now owes "&amp;TEXT(ROUND(-$L775,0),"#,##0"),"")))))))))</f>
        <v/>
      </c>
      <c r="N775" s="125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126"/>
      <c r="AH775" s="126"/>
      <c r="AI775" s="126"/>
      <c r="AJ775" s="126"/>
      <c r="AK775" s="126"/>
      <c r="AL775" s="126"/>
      <c r="AM775" s="126"/>
      <c r="AN775" s="126"/>
    </row>
    <row r="776" spans="1:40" s="127" customFormat="1" ht="21" customHeight="1" x14ac:dyDescent="0.25">
      <c r="A776" s="51" t="str">
        <f t="shared" si="36"/>
        <v/>
      </c>
      <c r="B776" s="77"/>
      <c r="C776" s="133"/>
      <c r="D776" s="50"/>
      <c r="E776" s="141"/>
      <c r="F776" s="133"/>
      <c r="G776" s="133"/>
      <c r="H776" s="50"/>
      <c r="I776" s="51" t="str">
        <f t="shared" si="37"/>
        <v/>
      </c>
      <c r="J776" s="52" t="str">
        <f t="shared" si="38"/>
        <v/>
      </c>
      <c r="K776" s="142" t="str">
        <f>IF(OR($I776="",$I776="?",$D776&lt;&gt;"Advance",$B776=""),"",$I776&amp;"|"&amp;$J776&amp;"|"&amp;COUNTIFS($I$7:$I776,$I776,$J$7:$J776,$J776,$D$7:$D776,"Advance"))</f>
        <v/>
      </c>
      <c r="L776" s="143" t="str">
        <f>IF(OR($I776="",$I776="?",$B776=""),"",SUMPRODUCT((Weeks!$A$7:$A$59&lt;=$J776)*(Weeks!$X$5:$AI$5=$I776)*Weeks!$X$7:$AI$59)-SUMIFS($E$7:$E$1006,$I$7:$I$1006,$I776,$B$7:$B$1006,"&lt;="&amp;$B776))</f>
        <v/>
      </c>
      <c r="M776" s="132" t="str">
        <f>IF($B776&amp;$C776&amp;$D776&amp;$E776="","",IF($B776="","missing date",IF($C776="","missing worker",IF($I776="?","unknown worker - was the name changed on Workers?",IF($D776="","missing type",IF(N($E776)=0,"missing amount",IF(AND($E776&lt;0,$D776&lt;&gt;"Correction"),"negative amount - use a Correction to undo",IF(OR($B776&lt;Weeks!$A$7,$B776&gt;Weeks!$B$59),"date outside this workbook's year",IF(AND($D776="Advance",N($L776)&lt;0),"Warning: more than earned so far - worker now owes "&amp;TEXT(ROUND(-$L776,0),"#,##0"),"")))))))))</f>
        <v/>
      </c>
      <c r="N776" s="125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126"/>
      <c r="AH776" s="126"/>
      <c r="AI776" s="126"/>
      <c r="AJ776" s="126"/>
      <c r="AK776" s="126"/>
      <c r="AL776" s="126"/>
      <c r="AM776" s="126"/>
      <c r="AN776" s="126"/>
    </row>
    <row r="777" spans="1:40" s="127" customFormat="1" ht="21" customHeight="1" x14ac:dyDescent="0.25">
      <c r="A777" s="51" t="str">
        <f t="shared" si="36"/>
        <v/>
      </c>
      <c r="B777" s="77"/>
      <c r="C777" s="133"/>
      <c r="D777" s="50"/>
      <c r="E777" s="141"/>
      <c r="F777" s="133"/>
      <c r="G777" s="133"/>
      <c r="H777" s="50"/>
      <c r="I777" s="51" t="str">
        <f t="shared" si="37"/>
        <v/>
      </c>
      <c r="J777" s="52" t="str">
        <f t="shared" si="38"/>
        <v/>
      </c>
      <c r="K777" s="142" t="str">
        <f>IF(OR($I777="",$I777="?",$D777&lt;&gt;"Advance",$B777=""),"",$I777&amp;"|"&amp;$J777&amp;"|"&amp;COUNTIFS($I$7:$I777,$I777,$J$7:$J777,$J777,$D$7:$D777,"Advance"))</f>
        <v/>
      </c>
      <c r="L777" s="143" t="str">
        <f>IF(OR($I777="",$I777="?",$B777=""),"",SUMPRODUCT((Weeks!$A$7:$A$59&lt;=$J777)*(Weeks!$X$5:$AI$5=$I777)*Weeks!$X$7:$AI$59)-SUMIFS($E$7:$E$1006,$I$7:$I$1006,$I777,$B$7:$B$1006,"&lt;="&amp;$B777))</f>
        <v/>
      </c>
      <c r="M777" s="132" t="str">
        <f>IF($B777&amp;$C777&amp;$D777&amp;$E777="","",IF($B777="","missing date",IF($C777="","missing worker",IF($I777="?","unknown worker - was the name changed on Workers?",IF($D777="","missing type",IF(N($E777)=0,"missing amount",IF(AND($E777&lt;0,$D777&lt;&gt;"Correction"),"negative amount - use a Correction to undo",IF(OR($B777&lt;Weeks!$A$7,$B777&gt;Weeks!$B$59),"date outside this workbook's year",IF(AND($D777="Advance",N($L777)&lt;0),"Warning: more than earned so far - worker now owes "&amp;TEXT(ROUND(-$L777,0),"#,##0"),"")))))))))</f>
        <v/>
      </c>
      <c r="N777" s="125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126"/>
      <c r="AH777" s="126"/>
      <c r="AI777" s="126"/>
      <c r="AJ777" s="126"/>
      <c r="AK777" s="126"/>
      <c r="AL777" s="126"/>
      <c r="AM777" s="126"/>
      <c r="AN777" s="126"/>
    </row>
    <row r="778" spans="1:40" s="127" customFormat="1" ht="21" customHeight="1" x14ac:dyDescent="0.25">
      <c r="A778" s="51" t="str">
        <f t="shared" si="36"/>
        <v/>
      </c>
      <c r="B778" s="77"/>
      <c r="C778" s="133"/>
      <c r="D778" s="50"/>
      <c r="E778" s="141"/>
      <c r="F778" s="133"/>
      <c r="G778" s="133"/>
      <c r="H778" s="50"/>
      <c r="I778" s="51" t="str">
        <f t="shared" si="37"/>
        <v/>
      </c>
      <c r="J778" s="52" t="str">
        <f t="shared" si="38"/>
        <v/>
      </c>
      <c r="K778" s="142" t="str">
        <f>IF(OR($I778="",$I778="?",$D778&lt;&gt;"Advance",$B778=""),"",$I778&amp;"|"&amp;$J778&amp;"|"&amp;COUNTIFS($I$7:$I778,$I778,$J$7:$J778,$J778,$D$7:$D778,"Advance"))</f>
        <v/>
      </c>
      <c r="L778" s="143" t="str">
        <f>IF(OR($I778="",$I778="?",$B778=""),"",SUMPRODUCT((Weeks!$A$7:$A$59&lt;=$J778)*(Weeks!$X$5:$AI$5=$I778)*Weeks!$X$7:$AI$59)-SUMIFS($E$7:$E$1006,$I$7:$I$1006,$I778,$B$7:$B$1006,"&lt;="&amp;$B778))</f>
        <v/>
      </c>
      <c r="M778" s="132" t="str">
        <f>IF($B778&amp;$C778&amp;$D778&amp;$E778="","",IF($B778="","missing date",IF($C778="","missing worker",IF($I778="?","unknown worker - was the name changed on Workers?",IF($D778="","missing type",IF(N($E778)=0,"missing amount",IF(AND($E778&lt;0,$D778&lt;&gt;"Correction"),"negative amount - use a Correction to undo",IF(OR($B778&lt;Weeks!$A$7,$B778&gt;Weeks!$B$59),"date outside this workbook's year",IF(AND($D778="Advance",N($L778)&lt;0),"Warning: more than earned so far - worker now owes "&amp;TEXT(ROUND(-$L778,0),"#,##0"),"")))))))))</f>
        <v/>
      </c>
      <c r="N778" s="125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126"/>
      <c r="AH778" s="126"/>
      <c r="AI778" s="126"/>
      <c r="AJ778" s="126"/>
      <c r="AK778" s="126"/>
      <c r="AL778" s="126"/>
      <c r="AM778" s="126"/>
      <c r="AN778" s="126"/>
    </row>
    <row r="779" spans="1:40" s="127" customFormat="1" ht="21" customHeight="1" x14ac:dyDescent="0.25">
      <c r="A779" s="51" t="str">
        <f t="shared" si="36"/>
        <v/>
      </c>
      <c r="B779" s="77"/>
      <c r="C779" s="133"/>
      <c r="D779" s="50"/>
      <c r="E779" s="141"/>
      <c r="F779" s="133"/>
      <c r="G779" s="133"/>
      <c r="H779" s="50"/>
      <c r="I779" s="51" t="str">
        <f t="shared" si="37"/>
        <v/>
      </c>
      <c r="J779" s="52" t="str">
        <f t="shared" si="38"/>
        <v/>
      </c>
      <c r="K779" s="142" t="str">
        <f>IF(OR($I779="",$I779="?",$D779&lt;&gt;"Advance",$B779=""),"",$I779&amp;"|"&amp;$J779&amp;"|"&amp;COUNTIFS($I$7:$I779,$I779,$J$7:$J779,$J779,$D$7:$D779,"Advance"))</f>
        <v/>
      </c>
      <c r="L779" s="143" t="str">
        <f>IF(OR($I779="",$I779="?",$B779=""),"",SUMPRODUCT((Weeks!$A$7:$A$59&lt;=$J779)*(Weeks!$X$5:$AI$5=$I779)*Weeks!$X$7:$AI$59)-SUMIFS($E$7:$E$1006,$I$7:$I$1006,$I779,$B$7:$B$1006,"&lt;="&amp;$B779))</f>
        <v/>
      </c>
      <c r="M779" s="132" t="str">
        <f>IF($B779&amp;$C779&amp;$D779&amp;$E779="","",IF($B779="","missing date",IF($C779="","missing worker",IF($I779="?","unknown worker - was the name changed on Workers?",IF($D779="","missing type",IF(N($E779)=0,"missing amount",IF(AND($E779&lt;0,$D779&lt;&gt;"Correction"),"negative amount - use a Correction to undo",IF(OR($B779&lt;Weeks!$A$7,$B779&gt;Weeks!$B$59),"date outside this workbook's year",IF(AND($D779="Advance",N($L779)&lt;0),"Warning: more than earned so far - worker now owes "&amp;TEXT(ROUND(-$L779,0),"#,##0"),"")))))))))</f>
        <v/>
      </c>
      <c r="N779" s="125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126"/>
      <c r="AH779" s="126"/>
      <c r="AI779" s="126"/>
      <c r="AJ779" s="126"/>
      <c r="AK779" s="126"/>
      <c r="AL779" s="126"/>
      <c r="AM779" s="126"/>
      <c r="AN779" s="126"/>
    </row>
    <row r="780" spans="1:40" s="127" customFormat="1" ht="21" customHeight="1" x14ac:dyDescent="0.25">
      <c r="A780" s="51" t="str">
        <f t="shared" si="36"/>
        <v/>
      </c>
      <c r="B780" s="77"/>
      <c r="C780" s="133"/>
      <c r="D780" s="50"/>
      <c r="E780" s="141"/>
      <c r="F780" s="133"/>
      <c r="G780" s="133"/>
      <c r="H780" s="50"/>
      <c r="I780" s="51" t="str">
        <f t="shared" si="37"/>
        <v/>
      </c>
      <c r="J780" s="52" t="str">
        <f t="shared" si="38"/>
        <v/>
      </c>
      <c r="K780" s="142" t="str">
        <f>IF(OR($I780="",$I780="?",$D780&lt;&gt;"Advance",$B780=""),"",$I780&amp;"|"&amp;$J780&amp;"|"&amp;COUNTIFS($I$7:$I780,$I780,$J$7:$J780,$J780,$D$7:$D780,"Advance"))</f>
        <v/>
      </c>
      <c r="L780" s="143" t="str">
        <f>IF(OR($I780="",$I780="?",$B780=""),"",SUMPRODUCT((Weeks!$A$7:$A$59&lt;=$J780)*(Weeks!$X$5:$AI$5=$I780)*Weeks!$X$7:$AI$59)-SUMIFS($E$7:$E$1006,$I$7:$I$1006,$I780,$B$7:$B$1006,"&lt;="&amp;$B780))</f>
        <v/>
      </c>
      <c r="M780" s="132" t="str">
        <f>IF($B780&amp;$C780&amp;$D780&amp;$E780="","",IF($B780="","missing date",IF($C780="","missing worker",IF($I780="?","unknown worker - was the name changed on Workers?",IF($D780="","missing type",IF(N($E780)=0,"missing amount",IF(AND($E780&lt;0,$D780&lt;&gt;"Correction"),"negative amount - use a Correction to undo",IF(OR($B780&lt;Weeks!$A$7,$B780&gt;Weeks!$B$59),"date outside this workbook's year",IF(AND($D780="Advance",N($L780)&lt;0),"Warning: more than earned so far - worker now owes "&amp;TEXT(ROUND(-$L780,0),"#,##0"),"")))))))))</f>
        <v/>
      </c>
      <c r="N780" s="125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126"/>
      <c r="AH780" s="126"/>
      <c r="AI780" s="126"/>
      <c r="AJ780" s="126"/>
      <c r="AK780" s="126"/>
      <c r="AL780" s="126"/>
      <c r="AM780" s="126"/>
      <c r="AN780" s="126"/>
    </row>
    <row r="781" spans="1:40" s="127" customFormat="1" ht="21" customHeight="1" x14ac:dyDescent="0.25">
      <c r="A781" s="51" t="str">
        <f t="shared" si="36"/>
        <v/>
      </c>
      <c r="B781" s="77"/>
      <c r="C781" s="133"/>
      <c r="D781" s="50"/>
      <c r="E781" s="141"/>
      <c r="F781" s="133"/>
      <c r="G781" s="133"/>
      <c r="H781" s="50"/>
      <c r="I781" s="51" t="str">
        <f t="shared" si="37"/>
        <v/>
      </c>
      <c r="J781" s="52" t="str">
        <f t="shared" si="38"/>
        <v/>
      </c>
      <c r="K781" s="142" t="str">
        <f>IF(OR($I781="",$I781="?",$D781&lt;&gt;"Advance",$B781=""),"",$I781&amp;"|"&amp;$J781&amp;"|"&amp;COUNTIFS($I$7:$I781,$I781,$J$7:$J781,$J781,$D$7:$D781,"Advance"))</f>
        <v/>
      </c>
      <c r="L781" s="143" t="str">
        <f>IF(OR($I781="",$I781="?",$B781=""),"",SUMPRODUCT((Weeks!$A$7:$A$59&lt;=$J781)*(Weeks!$X$5:$AI$5=$I781)*Weeks!$X$7:$AI$59)-SUMIFS($E$7:$E$1006,$I$7:$I$1006,$I781,$B$7:$B$1006,"&lt;="&amp;$B781))</f>
        <v/>
      </c>
      <c r="M781" s="132" t="str">
        <f>IF($B781&amp;$C781&amp;$D781&amp;$E781="","",IF($B781="","missing date",IF($C781="","missing worker",IF($I781="?","unknown worker - was the name changed on Workers?",IF($D781="","missing type",IF(N($E781)=0,"missing amount",IF(AND($E781&lt;0,$D781&lt;&gt;"Correction"),"negative amount - use a Correction to undo",IF(OR($B781&lt;Weeks!$A$7,$B781&gt;Weeks!$B$59),"date outside this workbook's year",IF(AND($D781="Advance",N($L781)&lt;0),"Warning: more than earned so far - worker now owes "&amp;TEXT(ROUND(-$L781,0),"#,##0"),"")))))))))</f>
        <v/>
      </c>
      <c r="N781" s="125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126"/>
      <c r="AH781" s="126"/>
      <c r="AI781" s="126"/>
      <c r="AJ781" s="126"/>
      <c r="AK781" s="126"/>
      <c r="AL781" s="126"/>
      <c r="AM781" s="126"/>
      <c r="AN781" s="126"/>
    </row>
    <row r="782" spans="1:40" s="127" customFormat="1" ht="21" customHeight="1" x14ac:dyDescent="0.25">
      <c r="A782" s="51" t="str">
        <f t="shared" si="36"/>
        <v/>
      </c>
      <c r="B782" s="77"/>
      <c r="C782" s="133"/>
      <c r="D782" s="50"/>
      <c r="E782" s="141"/>
      <c r="F782" s="133"/>
      <c r="G782" s="133"/>
      <c r="H782" s="50"/>
      <c r="I782" s="51" t="str">
        <f t="shared" si="37"/>
        <v/>
      </c>
      <c r="J782" s="52" t="str">
        <f t="shared" si="38"/>
        <v/>
      </c>
      <c r="K782" s="142" t="str">
        <f>IF(OR($I782="",$I782="?",$D782&lt;&gt;"Advance",$B782=""),"",$I782&amp;"|"&amp;$J782&amp;"|"&amp;COUNTIFS($I$7:$I782,$I782,$J$7:$J782,$J782,$D$7:$D782,"Advance"))</f>
        <v/>
      </c>
      <c r="L782" s="143" t="str">
        <f>IF(OR($I782="",$I782="?",$B782=""),"",SUMPRODUCT((Weeks!$A$7:$A$59&lt;=$J782)*(Weeks!$X$5:$AI$5=$I782)*Weeks!$X$7:$AI$59)-SUMIFS($E$7:$E$1006,$I$7:$I$1006,$I782,$B$7:$B$1006,"&lt;="&amp;$B782))</f>
        <v/>
      </c>
      <c r="M782" s="132" t="str">
        <f>IF($B782&amp;$C782&amp;$D782&amp;$E782="","",IF($B782="","missing date",IF($C782="","missing worker",IF($I782="?","unknown worker - was the name changed on Workers?",IF($D782="","missing type",IF(N($E782)=0,"missing amount",IF(AND($E782&lt;0,$D782&lt;&gt;"Correction"),"negative amount - use a Correction to undo",IF(OR($B782&lt;Weeks!$A$7,$B782&gt;Weeks!$B$59),"date outside this workbook's year",IF(AND($D782="Advance",N($L782)&lt;0),"Warning: more than earned so far - worker now owes "&amp;TEXT(ROUND(-$L782,0),"#,##0"),"")))))))))</f>
        <v/>
      </c>
      <c r="N782" s="125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126"/>
      <c r="AH782" s="126"/>
      <c r="AI782" s="126"/>
      <c r="AJ782" s="126"/>
      <c r="AK782" s="126"/>
      <c r="AL782" s="126"/>
      <c r="AM782" s="126"/>
      <c r="AN782" s="126"/>
    </row>
    <row r="783" spans="1:40" s="127" customFormat="1" ht="21" customHeight="1" x14ac:dyDescent="0.25">
      <c r="A783" s="51" t="str">
        <f t="shared" si="36"/>
        <v/>
      </c>
      <c r="B783" s="77"/>
      <c r="C783" s="133"/>
      <c r="D783" s="50"/>
      <c r="E783" s="141"/>
      <c r="F783" s="133"/>
      <c r="G783" s="133"/>
      <c r="H783" s="50"/>
      <c r="I783" s="51" t="str">
        <f t="shared" si="37"/>
        <v/>
      </c>
      <c r="J783" s="52" t="str">
        <f t="shared" si="38"/>
        <v/>
      </c>
      <c r="K783" s="142" t="str">
        <f>IF(OR($I783="",$I783="?",$D783&lt;&gt;"Advance",$B783=""),"",$I783&amp;"|"&amp;$J783&amp;"|"&amp;COUNTIFS($I$7:$I783,$I783,$J$7:$J783,$J783,$D$7:$D783,"Advance"))</f>
        <v/>
      </c>
      <c r="L783" s="143" t="str">
        <f>IF(OR($I783="",$I783="?",$B783=""),"",SUMPRODUCT((Weeks!$A$7:$A$59&lt;=$J783)*(Weeks!$X$5:$AI$5=$I783)*Weeks!$X$7:$AI$59)-SUMIFS($E$7:$E$1006,$I$7:$I$1006,$I783,$B$7:$B$1006,"&lt;="&amp;$B783))</f>
        <v/>
      </c>
      <c r="M783" s="132" t="str">
        <f>IF($B783&amp;$C783&amp;$D783&amp;$E783="","",IF($B783="","missing date",IF($C783="","missing worker",IF($I783="?","unknown worker - was the name changed on Workers?",IF($D783="","missing type",IF(N($E783)=0,"missing amount",IF(AND($E783&lt;0,$D783&lt;&gt;"Correction"),"negative amount - use a Correction to undo",IF(OR($B783&lt;Weeks!$A$7,$B783&gt;Weeks!$B$59),"date outside this workbook's year",IF(AND($D783="Advance",N($L783)&lt;0),"Warning: more than earned so far - worker now owes "&amp;TEXT(ROUND(-$L783,0),"#,##0"),"")))))))))</f>
        <v/>
      </c>
      <c r="N783" s="125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126"/>
      <c r="AH783" s="126"/>
      <c r="AI783" s="126"/>
      <c r="AJ783" s="126"/>
      <c r="AK783" s="126"/>
      <c r="AL783" s="126"/>
      <c r="AM783" s="126"/>
      <c r="AN783" s="126"/>
    </row>
    <row r="784" spans="1:40" s="127" customFormat="1" ht="21" customHeight="1" x14ac:dyDescent="0.25">
      <c r="A784" s="51" t="str">
        <f t="shared" si="36"/>
        <v/>
      </c>
      <c r="B784" s="77"/>
      <c r="C784" s="133"/>
      <c r="D784" s="50"/>
      <c r="E784" s="141"/>
      <c r="F784" s="133"/>
      <c r="G784" s="133"/>
      <c r="H784" s="50"/>
      <c r="I784" s="51" t="str">
        <f t="shared" si="37"/>
        <v/>
      </c>
      <c r="J784" s="52" t="str">
        <f t="shared" si="38"/>
        <v/>
      </c>
      <c r="K784" s="142" t="str">
        <f>IF(OR($I784="",$I784="?",$D784&lt;&gt;"Advance",$B784=""),"",$I784&amp;"|"&amp;$J784&amp;"|"&amp;COUNTIFS($I$7:$I784,$I784,$J$7:$J784,$J784,$D$7:$D784,"Advance"))</f>
        <v/>
      </c>
      <c r="L784" s="143" t="str">
        <f>IF(OR($I784="",$I784="?",$B784=""),"",SUMPRODUCT((Weeks!$A$7:$A$59&lt;=$J784)*(Weeks!$X$5:$AI$5=$I784)*Weeks!$X$7:$AI$59)-SUMIFS($E$7:$E$1006,$I$7:$I$1006,$I784,$B$7:$B$1006,"&lt;="&amp;$B784))</f>
        <v/>
      </c>
      <c r="M784" s="132" t="str">
        <f>IF($B784&amp;$C784&amp;$D784&amp;$E784="","",IF($B784="","missing date",IF($C784="","missing worker",IF($I784="?","unknown worker - was the name changed on Workers?",IF($D784="","missing type",IF(N($E784)=0,"missing amount",IF(AND($E784&lt;0,$D784&lt;&gt;"Correction"),"negative amount - use a Correction to undo",IF(OR($B784&lt;Weeks!$A$7,$B784&gt;Weeks!$B$59),"date outside this workbook's year",IF(AND($D784="Advance",N($L784)&lt;0),"Warning: more than earned so far - worker now owes "&amp;TEXT(ROUND(-$L784,0),"#,##0"),"")))))))))</f>
        <v/>
      </c>
      <c r="N784" s="125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126"/>
      <c r="AH784" s="126"/>
      <c r="AI784" s="126"/>
      <c r="AJ784" s="126"/>
      <c r="AK784" s="126"/>
      <c r="AL784" s="126"/>
      <c r="AM784" s="126"/>
      <c r="AN784" s="126"/>
    </row>
    <row r="785" spans="1:40" s="127" customFormat="1" ht="21" customHeight="1" x14ac:dyDescent="0.25">
      <c r="A785" s="51" t="str">
        <f t="shared" si="36"/>
        <v/>
      </c>
      <c r="B785" s="77"/>
      <c r="C785" s="133"/>
      <c r="D785" s="50"/>
      <c r="E785" s="141"/>
      <c r="F785" s="133"/>
      <c r="G785" s="133"/>
      <c r="H785" s="50"/>
      <c r="I785" s="51" t="str">
        <f t="shared" si="37"/>
        <v/>
      </c>
      <c r="J785" s="52" t="str">
        <f t="shared" si="38"/>
        <v/>
      </c>
      <c r="K785" s="142" t="str">
        <f>IF(OR($I785="",$I785="?",$D785&lt;&gt;"Advance",$B785=""),"",$I785&amp;"|"&amp;$J785&amp;"|"&amp;COUNTIFS($I$7:$I785,$I785,$J$7:$J785,$J785,$D$7:$D785,"Advance"))</f>
        <v/>
      </c>
      <c r="L785" s="143" t="str">
        <f>IF(OR($I785="",$I785="?",$B785=""),"",SUMPRODUCT((Weeks!$A$7:$A$59&lt;=$J785)*(Weeks!$X$5:$AI$5=$I785)*Weeks!$X$7:$AI$59)-SUMIFS($E$7:$E$1006,$I$7:$I$1006,$I785,$B$7:$B$1006,"&lt;="&amp;$B785))</f>
        <v/>
      </c>
      <c r="M785" s="132" t="str">
        <f>IF($B785&amp;$C785&amp;$D785&amp;$E785="","",IF($B785="","missing date",IF($C785="","missing worker",IF($I785="?","unknown worker - was the name changed on Workers?",IF($D785="","missing type",IF(N($E785)=0,"missing amount",IF(AND($E785&lt;0,$D785&lt;&gt;"Correction"),"negative amount - use a Correction to undo",IF(OR($B785&lt;Weeks!$A$7,$B785&gt;Weeks!$B$59),"date outside this workbook's year",IF(AND($D785="Advance",N($L785)&lt;0),"Warning: more than earned so far - worker now owes "&amp;TEXT(ROUND(-$L785,0),"#,##0"),"")))))))))</f>
        <v/>
      </c>
      <c r="N785" s="125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126"/>
      <c r="AH785" s="126"/>
      <c r="AI785" s="126"/>
      <c r="AJ785" s="126"/>
      <c r="AK785" s="126"/>
      <c r="AL785" s="126"/>
      <c r="AM785" s="126"/>
      <c r="AN785" s="126"/>
    </row>
    <row r="786" spans="1:40" s="127" customFormat="1" ht="21" customHeight="1" x14ac:dyDescent="0.25">
      <c r="A786" s="51" t="str">
        <f t="shared" si="36"/>
        <v/>
      </c>
      <c r="B786" s="77"/>
      <c r="C786" s="133"/>
      <c r="D786" s="50"/>
      <c r="E786" s="141"/>
      <c r="F786" s="133"/>
      <c r="G786" s="133"/>
      <c r="H786" s="50"/>
      <c r="I786" s="51" t="str">
        <f t="shared" si="37"/>
        <v/>
      </c>
      <c r="J786" s="52" t="str">
        <f t="shared" si="38"/>
        <v/>
      </c>
      <c r="K786" s="142" t="str">
        <f>IF(OR($I786="",$I786="?",$D786&lt;&gt;"Advance",$B786=""),"",$I786&amp;"|"&amp;$J786&amp;"|"&amp;COUNTIFS($I$7:$I786,$I786,$J$7:$J786,$J786,$D$7:$D786,"Advance"))</f>
        <v/>
      </c>
      <c r="L786" s="143" t="str">
        <f>IF(OR($I786="",$I786="?",$B786=""),"",SUMPRODUCT((Weeks!$A$7:$A$59&lt;=$J786)*(Weeks!$X$5:$AI$5=$I786)*Weeks!$X$7:$AI$59)-SUMIFS($E$7:$E$1006,$I$7:$I$1006,$I786,$B$7:$B$1006,"&lt;="&amp;$B786))</f>
        <v/>
      </c>
      <c r="M786" s="132" t="str">
        <f>IF($B786&amp;$C786&amp;$D786&amp;$E786="","",IF($B786="","missing date",IF($C786="","missing worker",IF($I786="?","unknown worker - was the name changed on Workers?",IF($D786="","missing type",IF(N($E786)=0,"missing amount",IF(AND($E786&lt;0,$D786&lt;&gt;"Correction"),"negative amount - use a Correction to undo",IF(OR($B786&lt;Weeks!$A$7,$B786&gt;Weeks!$B$59),"date outside this workbook's year",IF(AND($D786="Advance",N($L786)&lt;0),"Warning: more than earned so far - worker now owes "&amp;TEXT(ROUND(-$L786,0),"#,##0"),"")))))))))</f>
        <v/>
      </c>
      <c r="N786" s="125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126"/>
      <c r="AH786" s="126"/>
      <c r="AI786" s="126"/>
      <c r="AJ786" s="126"/>
      <c r="AK786" s="126"/>
      <c r="AL786" s="126"/>
      <c r="AM786" s="126"/>
      <c r="AN786" s="126"/>
    </row>
    <row r="787" spans="1:40" s="127" customFormat="1" ht="21" customHeight="1" x14ac:dyDescent="0.25">
      <c r="A787" s="51" t="str">
        <f t="shared" si="36"/>
        <v/>
      </c>
      <c r="B787" s="77"/>
      <c r="C787" s="133"/>
      <c r="D787" s="50"/>
      <c r="E787" s="141"/>
      <c r="F787" s="133"/>
      <c r="G787" s="133"/>
      <c r="H787" s="50"/>
      <c r="I787" s="51" t="str">
        <f t="shared" si="37"/>
        <v/>
      </c>
      <c r="J787" s="52" t="str">
        <f t="shared" si="38"/>
        <v/>
      </c>
      <c r="K787" s="142" t="str">
        <f>IF(OR($I787="",$I787="?",$D787&lt;&gt;"Advance",$B787=""),"",$I787&amp;"|"&amp;$J787&amp;"|"&amp;COUNTIFS($I$7:$I787,$I787,$J$7:$J787,$J787,$D$7:$D787,"Advance"))</f>
        <v/>
      </c>
      <c r="L787" s="143" t="str">
        <f>IF(OR($I787="",$I787="?",$B787=""),"",SUMPRODUCT((Weeks!$A$7:$A$59&lt;=$J787)*(Weeks!$X$5:$AI$5=$I787)*Weeks!$X$7:$AI$59)-SUMIFS($E$7:$E$1006,$I$7:$I$1006,$I787,$B$7:$B$1006,"&lt;="&amp;$B787))</f>
        <v/>
      </c>
      <c r="M787" s="132" t="str">
        <f>IF($B787&amp;$C787&amp;$D787&amp;$E787="","",IF($B787="","missing date",IF($C787="","missing worker",IF($I787="?","unknown worker - was the name changed on Workers?",IF($D787="","missing type",IF(N($E787)=0,"missing amount",IF(AND($E787&lt;0,$D787&lt;&gt;"Correction"),"negative amount - use a Correction to undo",IF(OR($B787&lt;Weeks!$A$7,$B787&gt;Weeks!$B$59),"date outside this workbook's year",IF(AND($D787="Advance",N($L787)&lt;0),"Warning: more than earned so far - worker now owes "&amp;TEXT(ROUND(-$L787,0),"#,##0"),"")))))))))</f>
        <v/>
      </c>
      <c r="N787" s="125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126"/>
      <c r="AH787" s="126"/>
      <c r="AI787" s="126"/>
      <c r="AJ787" s="126"/>
      <c r="AK787" s="126"/>
      <c r="AL787" s="126"/>
      <c r="AM787" s="126"/>
      <c r="AN787" s="126"/>
    </row>
    <row r="788" spans="1:40" s="127" customFormat="1" ht="21" customHeight="1" x14ac:dyDescent="0.25">
      <c r="A788" s="51" t="str">
        <f t="shared" si="36"/>
        <v/>
      </c>
      <c r="B788" s="77"/>
      <c r="C788" s="133"/>
      <c r="D788" s="50"/>
      <c r="E788" s="141"/>
      <c r="F788" s="133"/>
      <c r="G788" s="133"/>
      <c r="H788" s="50"/>
      <c r="I788" s="51" t="str">
        <f t="shared" si="37"/>
        <v/>
      </c>
      <c r="J788" s="52" t="str">
        <f t="shared" si="38"/>
        <v/>
      </c>
      <c r="K788" s="142" t="str">
        <f>IF(OR($I788="",$I788="?",$D788&lt;&gt;"Advance",$B788=""),"",$I788&amp;"|"&amp;$J788&amp;"|"&amp;COUNTIFS($I$7:$I788,$I788,$J$7:$J788,$J788,$D$7:$D788,"Advance"))</f>
        <v/>
      </c>
      <c r="L788" s="143" t="str">
        <f>IF(OR($I788="",$I788="?",$B788=""),"",SUMPRODUCT((Weeks!$A$7:$A$59&lt;=$J788)*(Weeks!$X$5:$AI$5=$I788)*Weeks!$X$7:$AI$59)-SUMIFS($E$7:$E$1006,$I$7:$I$1006,$I788,$B$7:$B$1006,"&lt;="&amp;$B788))</f>
        <v/>
      </c>
      <c r="M788" s="132" t="str">
        <f>IF($B788&amp;$C788&amp;$D788&amp;$E788="","",IF($B788="","missing date",IF($C788="","missing worker",IF($I788="?","unknown worker - was the name changed on Workers?",IF($D788="","missing type",IF(N($E788)=0,"missing amount",IF(AND($E788&lt;0,$D788&lt;&gt;"Correction"),"negative amount - use a Correction to undo",IF(OR($B788&lt;Weeks!$A$7,$B788&gt;Weeks!$B$59),"date outside this workbook's year",IF(AND($D788="Advance",N($L788)&lt;0),"Warning: more than earned so far - worker now owes "&amp;TEXT(ROUND(-$L788,0),"#,##0"),"")))))))))</f>
        <v/>
      </c>
      <c r="N788" s="125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126"/>
      <c r="AH788" s="126"/>
      <c r="AI788" s="126"/>
      <c r="AJ788" s="126"/>
      <c r="AK788" s="126"/>
      <c r="AL788" s="126"/>
      <c r="AM788" s="126"/>
      <c r="AN788" s="126"/>
    </row>
    <row r="789" spans="1:40" s="127" customFormat="1" ht="21" customHeight="1" x14ac:dyDescent="0.25">
      <c r="A789" s="51" t="str">
        <f t="shared" si="36"/>
        <v/>
      </c>
      <c r="B789" s="77"/>
      <c r="C789" s="133"/>
      <c r="D789" s="50"/>
      <c r="E789" s="141"/>
      <c r="F789" s="133"/>
      <c r="G789" s="133"/>
      <c r="H789" s="50"/>
      <c r="I789" s="51" t="str">
        <f t="shared" si="37"/>
        <v/>
      </c>
      <c r="J789" s="52" t="str">
        <f t="shared" si="38"/>
        <v/>
      </c>
      <c r="K789" s="142" t="str">
        <f>IF(OR($I789="",$I789="?",$D789&lt;&gt;"Advance",$B789=""),"",$I789&amp;"|"&amp;$J789&amp;"|"&amp;COUNTIFS($I$7:$I789,$I789,$J$7:$J789,$J789,$D$7:$D789,"Advance"))</f>
        <v/>
      </c>
      <c r="L789" s="143" t="str">
        <f>IF(OR($I789="",$I789="?",$B789=""),"",SUMPRODUCT((Weeks!$A$7:$A$59&lt;=$J789)*(Weeks!$X$5:$AI$5=$I789)*Weeks!$X$7:$AI$59)-SUMIFS($E$7:$E$1006,$I$7:$I$1006,$I789,$B$7:$B$1006,"&lt;="&amp;$B789))</f>
        <v/>
      </c>
      <c r="M789" s="132" t="str">
        <f>IF($B789&amp;$C789&amp;$D789&amp;$E789="","",IF($B789="","missing date",IF($C789="","missing worker",IF($I789="?","unknown worker - was the name changed on Workers?",IF($D789="","missing type",IF(N($E789)=0,"missing amount",IF(AND($E789&lt;0,$D789&lt;&gt;"Correction"),"negative amount - use a Correction to undo",IF(OR($B789&lt;Weeks!$A$7,$B789&gt;Weeks!$B$59),"date outside this workbook's year",IF(AND($D789="Advance",N($L789)&lt;0),"Warning: more than earned so far - worker now owes "&amp;TEXT(ROUND(-$L789,0),"#,##0"),"")))))))))</f>
        <v/>
      </c>
      <c r="N789" s="125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126"/>
      <c r="AH789" s="126"/>
      <c r="AI789" s="126"/>
      <c r="AJ789" s="126"/>
      <c r="AK789" s="126"/>
      <c r="AL789" s="126"/>
      <c r="AM789" s="126"/>
      <c r="AN789" s="126"/>
    </row>
    <row r="790" spans="1:40" s="127" customFormat="1" ht="21" customHeight="1" x14ac:dyDescent="0.25">
      <c r="A790" s="51" t="str">
        <f t="shared" si="36"/>
        <v/>
      </c>
      <c r="B790" s="77"/>
      <c r="C790" s="133"/>
      <c r="D790" s="50"/>
      <c r="E790" s="141"/>
      <c r="F790" s="133"/>
      <c r="G790" s="133"/>
      <c r="H790" s="50"/>
      <c r="I790" s="51" t="str">
        <f t="shared" si="37"/>
        <v/>
      </c>
      <c r="J790" s="52" t="str">
        <f t="shared" si="38"/>
        <v/>
      </c>
      <c r="K790" s="142" t="str">
        <f>IF(OR($I790="",$I790="?",$D790&lt;&gt;"Advance",$B790=""),"",$I790&amp;"|"&amp;$J790&amp;"|"&amp;COUNTIFS($I$7:$I790,$I790,$J$7:$J790,$J790,$D$7:$D790,"Advance"))</f>
        <v/>
      </c>
      <c r="L790" s="143" t="str">
        <f>IF(OR($I790="",$I790="?",$B790=""),"",SUMPRODUCT((Weeks!$A$7:$A$59&lt;=$J790)*(Weeks!$X$5:$AI$5=$I790)*Weeks!$X$7:$AI$59)-SUMIFS($E$7:$E$1006,$I$7:$I$1006,$I790,$B$7:$B$1006,"&lt;="&amp;$B790))</f>
        <v/>
      </c>
      <c r="M790" s="132" t="str">
        <f>IF($B790&amp;$C790&amp;$D790&amp;$E790="","",IF($B790="","missing date",IF($C790="","missing worker",IF($I790="?","unknown worker - was the name changed on Workers?",IF($D790="","missing type",IF(N($E790)=0,"missing amount",IF(AND($E790&lt;0,$D790&lt;&gt;"Correction"),"negative amount - use a Correction to undo",IF(OR($B790&lt;Weeks!$A$7,$B790&gt;Weeks!$B$59),"date outside this workbook's year",IF(AND($D790="Advance",N($L790)&lt;0),"Warning: more than earned so far - worker now owes "&amp;TEXT(ROUND(-$L790,0),"#,##0"),"")))))))))</f>
        <v/>
      </c>
      <c r="N790" s="125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126"/>
      <c r="AH790" s="126"/>
      <c r="AI790" s="126"/>
      <c r="AJ790" s="126"/>
      <c r="AK790" s="126"/>
      <c r="AL790" s="126"/>
      <c r="AM790" s="126"/>
      <c r="AN790" s="126"/>
    </row>
    <row r="791" spans="1:40" s="127" customFormat="1" ht="21" customHeight="1" x14ac:dyDescent="0.25">
      <c r="A791" s="51" t="str">
        <f t="shared" si="36"/>
        <v/>
      </c>
      <c r="B791" s="77"/>
      <c r="C791" s="133"/>
      <c r="D791" s="50"/>
      <c r="E791" s="141"/>
      <c r="F791" s="133"/>
      <c r="G791" s="133"/>
      <c r="H791" s="50"/>
      <c r="I791" s="51" t="str">
        <f t="shared" si="37"/>
        <v/>
      </c>
      <c r="J791" s="52" t="str">
        <f t="shared" si="38"/>
        <v/>
      </c>
      <c r="K791" s="142" t="str">
        <f>IF(OR($I791="",$I791="?",$D791&lt;&gt;"Advance",$B791=""),"",$I791&amp;"|"&amp;$J791&amp;"|"&amp;COUNTIFS($I$7:$I791,$I791,$J$7:$J791,$J791,$D$7:$D791,"Advance"))</f>
        <v/>
      </c>
      <c r="L791" s="143" t="str">
        <f>IF(OR($I791="",$I791="?",$B791=""),"",SUMPRODUCT((Weeks!$A$7:$A$59&lt;=$J791)*(Weeks!$X$5:$AI$5=$I791)*Weeks!$X$7:$AI$59)-SUMIFS($E$7:$E$1006,$I$7:$I$1006,$I791,$B$7:$B$1006,"&lt;="&amp;$B791))</f>
        <v/>
      </c>
      <c r="M791" s="132" t="str">
        <f>IF($B791&amp;$C791&amp;$D791&amp;$E791="","",IF($B791="","missing date",IF($C791="","missing worker",IF($I791="?","unknown worker - was the name changed on Workers?",IF($D791="","missing type",IF(N($E791)=0,"missing amount",IF(AND($E791&lt;0,$D791&lt;&gt;"Correction"),"negative amount - use a Correction to undo",IF(OR($B791&lt;Weeks!$A$7,$B791&gt;Weeks!$B$59),"date outside this workbook's year",IF(AND($D791="Advance",N($L791)&lt;0),"Warning: more than earned so far - worker now owes "&amp;TEXT(ROUND(-$L791,0),"#,##0"),"")))))))))</f>
        <v/>
      </c>
      <c r="N791" s="125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126"/>
      <c r="AH791" s="126"/>
      <c r="AI791" s="126"/>
      <c r="AJ791" s="126"/>
      <c r="AK791" s="126"/>
      <c r="AL791" s="126"/>
      <c r="AM791" s="126"/>
      <c r="AN791" s="126"/>
    </row>
    <row r="792" spans="1:40" s="127" customFormat="1" ht="21" customHeight="1" x14ac:dyDescent="0.25">
      <c r="A792" s="51" t="str">
        <f t="shared" si="36"/>
        <v/>
      </c>
      <c r="B792" s="77"/>
      <c r="C792" s="133"/>
      <c r="D792" s="50"/>
      <c r="E792" s="141"/>
      <c r="F792" s="133"/>
      <c r="G792" s="133"/>
      <c r="H792" s="50"/>
      <c r="I792" s="51" t="str">
        <f t="shared" si="37"/>
        <v/>
      </c>
      <c r="J792" s="52" t="str">
        <f t="shared" si="38"/>
        <v/>
      </c>
      <c r="K792" s="142" t="str">
        <f>IF(OR($I792="",$I792="?",$D792&lt;&gt;"Advance",$B792=""),"",$I792&amp;"|"&amp;$J792&amp;"|"&amp;COUNTIFS($I$7:$I792,$I792,$J$7:$J792,$J792,$D$7:$D792,"Advance"))</f>
        <v/>
      </c>
      <c r="L792" s="143" t="str">
        <f>IF(OR($I792="",$I792="?",$B792=""),"",SUMPRODUCT((Weeks!$A$7:$A$59&lt;=$J792)*(Weeks!$X$5:$AI$5=$I792)*Weeks!$X$7:$AI$59)-SUMIFS($E$7:$E$1006,$I$7:$I$1006,$I792,$B$7:$B$1006,"&lt;="&amp;$B792))</f>
        <v/>
      </c>
      <c r="M792" s="132" t="str">
        <f>IF($B792&amp;$C792&amp;$D792&amp;$E792="","",IF($B792="","missing date",IF($C792="","missing worker",IF($I792="?","unknown worker - was the name changed on Workers?",IF($D792="","missing type",IF(N($E792)=0,"missing amount",IF(AND($E792&lt;0,$D792&lt;&gt;"Correction"),"negative amount - use a Correction to undo",IF(OR($B792&lt;Weeks!$A$7,$B792&gt;Weeks!$B$59),"date outside this workbook's year",IF(AND($D792="Advance",N($L792)&lt;0),"Warning: more than earned so far - worker now owes "&amp;TEXT(ROUND(-$L792,0),"#,##0"),"")))))))))</f>
        <v/>
      </c>
      <c r="N792" s="125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126"/>
      <c r="AH792" s="126"/>
      <c r="AI792" s="126"/>
      <c r="AJ792" s="126"/>
      <c r="AK792" s="126"/>
      <c r="AL792" s="126"/>
      <c r="AM792" s="126"/>
      <c r="AN792" s="126"/>
    </row>
    <row r="793" spans="1:40" s="127" customFormat="1" ht="21" customHeight="1" x14ac:dyDescent="0.25">
      <c r="A793" s="51" t="str">
        <f t="shared" si="36"/>
        <v/>
      </c>
      <c r="B793" s="77"/>
      <c r="C793" s="133"/>
      <c r="D793" s="50"/>
      <c r="E793" s="141"/>
      <c r="F793" s="133"/>
      <c r="G793" s="133"/>
      <c r="H793" s="50"/>
      <c r="I793" s="51" t="str">
        <f t="shared" si="37"/>
        <v/>
      </c>
      <c r="J793" s="52" t="str">
        <f t="shared" si="38"/>
        <v/>
      </c>
      <c r="K793" s="142" t="str">
        <f>IF(OR($I793="",$I793="?",$D793&lt;&gt;"Advance",$B793=""),"",$I793&amp;"|"&amp;$J793&amp;"|"&amp;COUNTIFS($I$7:$I793,$I793,$J$7:$J793,$J793,$D$7:$D793,"Advance"))</f>
        <v/>
      </c>
      <c r="L793" s="143" t="str">
        <f>IF(OR($I793="",$I793="?",$B793=""),"",SUMPRODUCT((Weeks!$A$7:$A$59&lt;=$J793)*(Weeks!$X$5:$AI$5=$I793)*Weeks!$X$7:$AI$59)-SUMIFS($E$7:$E$1006,$I$7:$I$1006,$I793,$B$7:$B$1006,"&lt;="&amp;$B793))</f>
        <v/>
      </c>
      <c r="M793" s="132" t="str">
        <f>IF($B793&amp;$C793&amp;$D793&amp;$E793="","",IF($B793="","missing date",IF($C793="","missing worker",IF($I793="?","unknown worker - was the name changed on Workers?",IF($D793="","missing type",IF(N($E793)=0,"missing amount",IF(AND($E793&lt;0,$D793&lt;&gt;"Correction"),"negative amount - use a Correction to undo",IF(OR($B793&lt;Weeks!$A$7,$B793&gt;Weeks!$B$59),"date outside this workbook's year",IF(AND($D793="Advance",N($L793)&lt;0),"Warning: more than earned so far - worker now owes "&amp;TEXT(ROUND(-$L793,0),"#,##0"),"")))))))))</f>
        <v/>
      </c>
      <c r="N793" s="125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126"/>
      <c r="AH793" s="126"/>
      <c r="AI793" s="126"/>
      <c r="AJ793" s="126"/>
      <c r="AK793" s="126"/>
      <c r="AL793" s="126"/>
      <c r="AM793" s="126"/>
      <c r="AN793" s="126"/>
    </row>
    <row r="794" spans="1:40" s="127" customFormat="1" ht="21" customHeight="1" x14ac:dyDescent="0.25">
      <c r="A794" s="51" t="str">
        <f t="shared" si="36"/>
        <v/>
      </c>
      <c r="B794" s="77"/>
      <c r="C794" s="133"/>
      <c r="D794" s="50"/>
      <c r="E794" s="141"/>
      <c r="F794" s="133"/>
      <c r="G794" s="133"/>
      <c r="H794" s="50"/>
      <c r="I794" s="51" t="str">
        <f t="shared" si="37"/>
        <v/>
      </c>
      <c r="J794" s="52" t="str">
        <f t="shared" si="38"/>
        <v/>
      </c>
      <c r="K794" s="142" t="str">
        <f>IF(OR($I794="",$I794="?",$D794&lt;&gt;"Advance",$B794=""),"",$I794&amp;"|"&amp;$J794&amp;"|"&amp;COUNTIFS($I$7:$I794,$I794,$J$7:$J794,$J794,$D$7:$D794,"Advance"))</f>
        <v/>
      </c>
      <c r="L794" s="143" t="str">
        <f>IF(OR($I794="",$I794="?",$B794=""),"",SUMPRODUCT((Weeks!$A$7:$A$59&lt;=$J794)*(Weeks!$X$5:$AI$5=$I794)*Weeks!$X$7:$AI$59)-SUMIFS($E$7:$E$1006,$I$7:$I$1006,$I794,$B$7:$B$1006,"&lt;="&amp;$B794))</f>
        <v/>
      </c>
      <c r="M794" s="132" t="str">
        <f>IF($B794&amp;$C794&amp;$D794&amp;$E794="","",IF($B794="","missing date",IF($C794="","missing worker",IF($I794="?","unknown worker - was the name changed on Workers?",IF($D794="","missing type",IF(N($E794)=0,"missing amount",IF(AND($E794&lt;0,$D794&lt;&gt;"Correction"),"negative amount - use a Correction to undo",IF(OR($B794&lt;Weeks!$A$7,$B794&gt;Weeks!$B$59),"date outside this workbook's year",IF(AND($D794="Advance",N($L794)&lt;0),"Warning: more than earned so far - worker now owes "&amp;TEXT(ROUND(-$L794,0),"#,##0"),"")))))))))</f>
        <v/>
      </c>
      <c r="N794" s="125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126"/>
      <c r="AH794" s="126"/>
      <c r="AI794" s="126"/>
      <c r="AJ794" s="126"/>
      <c r="AK794" s="126"/>
      <c r="AL794" s="126"/>
      <c r="AM794" s="126"/>
      <c r="AN794" s="126"/>
    </row>
    <row r="795" spans="1:40" s="127" customFormat="1" ht="21" customHeight="1" x14ac:dyDescent="0.25">
      <c r="A795" s="51" t="str">
        <f t="shared" si="36"/>
        <v/>
      </c>
      <c r="B795" s="77"/>
      <c r="C795" s="133"/>
      <c r="D795" s="50"/>
      <c r="E795" s="141"/>
      <c r="F795" s="133"/>
      <c r="G795" s="133"/>
      <c r="H795" s="50"/>
      <c r="I795" s="51" t="str">
        <f t="shared" si="37"/>
        <v/>
      </c>
      <c r="J795" s="52" t="str">
        <f t="shared" si="38"/>
        <v/>
      </c>
      <c r="K795" s="142" t="str">
        <f>IF(OR($I795="",$I795="?",$D795&lt;&gt;"Advance",$B795=""),"",$I795&amp;"|"&amp;$J795&amp;"|"&amp;COUNTIFS($I$7:$I795,$I795,$J$7:$J795,$J795,$D$7:$D795,"Advance"))</f>
        <v/>
      </c>
      <c r="L795" s="143" t="str">
        <f>IF(OR($I795="",$I795="?",$B795=""),"",SUMPRODUCT((Weeks!$A$7:$A$59&lt;=$J795)*(Weeks!$X$5:$AI$5=$I795)*Weeks!$X$7:$AI$59)-SUMIFS($E$7:$E$1006,$I$7:$I$1006,$I795,$B$7:$B$1006,"&lt;="&amp;$B795))</f>
        <v/>
      </c>
      <c r="M795" s="132" t="str">
        <f>IF($B795&amp;$C795&amp;$D795&amp;$E795="","",IF($B795="","missing date",IF($C795="","missing worker",IF($I795="?","unknown worker - was the name changed on Workers?",IF($D795="","missing type",IF(N($E795)=0,"missing amount",IF(AND($E795&lt;0,$D795&lt;&gt;"Correction"),"negative amount - use a Correction to undo",IF(OR($B795&lt;Weeks!$A$7,$B795&gt;Weeks!$B$59),"date outside this workbook's year",IF(AND($D795="Advance",N($L795)&lt;0),"Warning: more than earned so far - worker now owes "&amp;TEXT(ROUND(-$L795,0),"#,##0"),"")))))))))</f>
        <v/>
      </c>
      <c r="N795" s="125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126"/>
      <c r="AH795" s="126"/>
      <c r="AI795" s="126"/>
      <c r="AJ795" s="126"/>
      <c r="AK795" s="126"/>
      <c r="AL795" s="126"/>
      <c r="AM795" s="126"/>
      <c r="AN795" s="126"/>
    </row>
    <row r="796" spans="1:40" s="127" customFormat="1" ht="21" customHeight="1" x14ac:dyDescent="0.25">
      <c r="A796" s="51" t="str">
        <f t="shared" si="36"/>
        <v/>
      </c>
      <c r="B796" s="77"/>
      <c r="C796" s="133"/>
      <c r="D796" s="50"/>
      <c r="E796" s="141"/>
      <c r="F796" s="133"/>
      <c r="G796" s="133"/>
      <c r="H796" s="50"/>
      <c r="I796" s="51" t="str">
        <f t="shared" si="37"/>
        <v/>
      </c>
      <c r="J796" s="52" t="str">
        <f t="shared" si="38"/>
        <v/>
      </c>
      <c r="K796" s="142" t="str">
        <f>IF(OR($I796="",$I796="?",$D796&lt;&gt;"Advance",$B796=""),"",$I796&amp;"|"&amp;$J796&amp;"|"&amp;COUNTIFS($I$7:$I796,$I796,$J$7:$J796,$J796,$D$7:$D796,"Advance"))</f>
        <v/>
      </c>
      <c r="L796" s="143" t="str">
        <f>IF(OR($I796="",$I796="?",$B796=""),"",SUMPRODUCT((Weeks!$A$7:$A$59&lt;=$J796)*(Weeks!$X$5:$AI$5=$I796)*Weeks!$X$7:$AI$59)-SUMIFS($E$7:$E$1006,$I$7:$I$1006,$I796,$B$7:$B$1006,"&lt;="&amp;$B796))</f>
        <v/>
      </c>
      <c r="M796" s="132" t="str">
        <f>IF($B796&amp;$C796&amp;$D796&amp;$E796="","",IF($B796="","missing date",IF($C796="","missing worker",IF($I796="?","unknown worker - was the name changed on Workers?",IF($D796="","missing type",IF(N($E796)=0,"missing amount",IF(AND($E796&lt;0,$D796&lt;&gt;"Correction"),"negative amount - use a Correction to undo",IF(OR($B796&lt;Weeks!$A$7,$B796&gt;Weeks!$B$59),"date outside this workbook's year",IF(AND($D796="Advance",N($L796)&lt;0),"Warning: more than earned so far - worker now owes "&amp;TEXT(ROUND(-$L796,0),"#,##0"),"")))))))))</f>
        <v/>
      </c>
      <c r="N796" s="125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  <c r="AH796" s="126"/>
      <c r="AI796" s="126"/>
      <c r="AJ796" s="126"/>
      <c r="AK796" s="126"/>
      <c r="AL796" s="126"/>
      <c r="AM796" s="126"/>
      <c r="AN796" s="126"/>
    </row>
    <row r="797" spans="1:40" s="127" customFormat="1" ht="21" customHeight="1" x14ac:dyDescent="0.25">
      <c r="A797" s="51" t="str">
        <f t="shared" si="36"/>
        <v/>
      </c>
      <c r="B797" s="77"/>
      <c r="C797" s="133"/>
      <c r="D797" s="50"/>
      <c r="E797" s="141"/>
      <c r="F797" s="133"/>
      <c r="G797" s="133"/>
      <c r="H797" s="50"/>
      <c r="I797" s="51" t="str">
        <f t="shared" si="37"/>
        <v/>
      </c>
      <c r="J797" s="52" t="str">
        <f t="shared" si="38"/>
        <v/>
      </c>
      <c r="K797" s="142" t="str">
        <f>IF(OR($I797="",$I797="?",$D797&lt;&gt;"Advance",$B797=""),"",$I797&amp;"|"&amp;$J797&amp;"|"&amp;COUNTIFS($I$7:$I797,$I797,$J$7:$J797,$J797,$D$7:$D797,"Advance"))</f>
        <v/>
      </c>
      <c r="L797" s="143" t="str">
        <f>IF(OR($I797="",$I797="?",$B797=""),"",SUMPRODUCT((Weeks!$A$7:$A$59&lt;=$J797)*(Weeks!$X$5:$AI$5=$I797)*Weeks!$X$7:$AI$59)-SUMIFS($E$7:$E$1006,$I$7:$I$1006,$I797,$B$7:$B$1006,"&lt;="&amp;$B797))</f>
        <v/>
      </c>
      <c r="M797" s="132" t="str">
        <f>IF($B797&amp;$C797&amp;$D797&amp;$E797="","",IF($B797="","missing date",IF($C797="","missing worker",IF($I797="?","unknown worker - was the name changed on Workers?",IF($D797="","missing type",IF(N($E797)=0,"missing amount",IF(AND($E797&lt;0,$D797&lt;&gt;"Correction"),"negative amount - use a Correction to undo",IF(OR($B797&lt;Weeks!$A$7,$B797&gt;Weeks!$B$59),"date outside this workbook's year",IF(AND($D797="Advance",N($L797)&lt;0),"Warning: more than earned so far - worker now owes "&amp;TEXT(ROUND(-$L797,0),"#,##0"),"")))))))))</f>
        <v/>
      </c>
      <c r="N797" s="125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126"/>
      <c r="AH797" s="126"/>
      <c r="AI797" s="126"/>
      <c r="AJ797" s="126"/>
      <c r="AK797" s="126"/>
      <c r="AL797" s="126"/>
      <c r="AM797" s="126"/>
      <c r="AN797" s="126"/>
    </row>
    <row r="798" spans="1:40" s="127" customFormat="1" ht="21" customHeight="1" x14ac:dyDescent="0.25">
      <c r="A798" s="51" t="str">
        <f t="shared" si="36"/>
        <v/>
      </c>
      <c r="B798" s="77"/>
      <c r="C798" s="133"/>
      <c r="D798" s="50"/>
      <c r="E798" s="141"/>
      <c r="F798" s="133"/>
      <c r="G798" s="133"/>
      <c r="H798" s="50"/>
      <c r="I798" s="51" t="str">
        <f t="shared" si="37"/>
        <v/>
      </c>
      <c r="J798" s="52" t="str">
        <f t="shared" si="38"/>
        <v/>
      </c>
      <c r="K798" s="142" t="str">
        <f>IF(OR($I798="",$I798="?",$D798&lt;&gt;"Advance",$B798=""),"",$I798&amp;"|"&amp;$J798&amp;"|"&amp;COUNTIFS($I$7:$I798,$I798,$J$7:$J798,$J798,$D$7:$D798,"Advance"))</f>
        <v/>
      </c>
      <c r="L798" s="143" t="str">
        <f>IF(OR($I798="",$I798="?",$B798=""),"",SUMPRODUCT((Weeks!$A$7:$A$59&lt;=$J798)*(Weeks!$X$5:$AI$5=$I798)*Weeks!$X$7:$AI$59)-SUMIFS($E$7:$E$1006,$I$7:$I$1006,$I798,$B$7:$B$1006,"&lt;="&amp;$B798))</f>
        <v/>
      </c>
      <c r="M798" s="132" t="str">
        <f>IF($B798&amp;$C798&amp;$D798&amp;$E798="","",IF($B798="","missing date",IF($C798="","missing worker",IF($I798="?","unknown worker - was the name changed on Workers?",IF($D798="","missing type",IF(N($E798)=0,"missing amount",IF(AND($E798&lt;0,$D798&lt;&gt;"Correction"),"negative amount - use a Correction to undo",IF(OR($B798&lt;Weeks!$A$7,$B798&gt;Weeks!$B$59),"date outside this workbook's year",IF(AND($D798="Advance",N($L798)&lt;0),"Warning: more than earned so far - worker now owes "&amp;TEXT(ROUND(-$L798,0),"#,##0"),"")))))))))</f>
        <v/>
      </c>
      <c r="N798" s="125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126"/>
      <c r="AH798" s="126"/>
      <c r="AI798" s="126"/>
      <c r="AJ798" s="126"/>
      <c r="AK798" s="126"/>
      <c r="AL798" s="126"/>
      <c r="AM798" s="126"/>
      <c r="AN798" s="126"/>
    </row>
    <row r="799" spans="1:40" s="127" customFormat="1" ht="21" customHeight="1" x14ac:dyDescent="0.25">
      <c r="A799" s="51" t="str">
        <f t="shared" si="36"/>
        <v/>
      </c>
      <c r="B799" s="77"/>
      <c r="C799" s="133"/>
      <c r="D799" s="50"/>
      <c r="E799" s="141"/>
      <c r="F799" s="133"/>
      <c r="G799" s="133"/>
      <c r="H799" s="50"/>
      <c r="I799" s="51" t="str">
        <f t="shared" si="37"/>
        <v/>
      </c>
      <c r="J799" s="52" t="str">
        <f t="shared" si="38"/>
        <v/>
      </c>
      <c r="K799" s="142" t="str">
        <f>IF(OR($I799="",$I799="?",$D799&lt;&gt;"Advance",$B799=""),"",$I799&amp;"|"&amp;$J799&amp;"|"&amp;COUNTIFS($I$7:$I799,$I799,$J$7:$J799,$J799,$D$7:$D799,"Advance"))</f>
        <v/>
      </c>
      <c r="L799" s="143" t="str">
        <f>IF(OR($I799="",$I799="?",$B799=""),"",SUMPRODUCT((Weeks!$A$7:$A$59&lt;=$J799)*(Weeks!$X$5:$AI$5=$I799)*Weeks!$X$7:$AI$59)-SUMIFS($E$7:$E$1006,$I$7:$I$1006,$I799,$B$7:$B$1006,"&lt;="&amp;$B799))</f>
        <v/>
      </c>
      <c r="M799" s="132" t="str">
        <f>IF($B799&amp;$C799&amp;$D799&amp;$E799="","",IF($B799="","missing date",IF($C799="","missing worker",IF($I799="?","unknown worker - was the name changed on Workers?",IF($D799="","missing type",IF(N($E799)=0,"missing amount",IF(AND($E799&lt;0,$D799&lt;&gt;"Correction"),"negative amount - use a Correction to undo",IF(OR($B799&lt;Weeks!$A$7,$B799&gt;Weeks!$B$59),"date outside this workbook's year",IF(AND($D799="Advance",N($L799)&lt;0),"Warning: more than earned so far - worker now owes "&amp;TEXT(ROUND(-$L799,0),"#,##0"),"")))))))))</f>
        <v/>
      </c>
      <c r="N799" s="125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126"/>
      <c r="AH799" s="126"/>
      <c r="AI799" s="126"/>
      <c r="AJ799" s="126"/>
      <c r="AK799" s="126"/>
      <c r="AL799" s="126"/>
      <c r="AM799" s="126"/>
      <c r="AN799" s="126"/>
    </row>
    <row r="800" spans="1:40" s="127" customFormat="1" ht="21" customHeight="1" x14ac:dyDescent="0.25">
      <c r="A800" s="51" t="str">
        <f t="shared" si="36"/>
        <v/>
      </c>
      <c r="B800" s="77"/>
      <c r="C800" s="133"/>
      <c r="D800" s="50"/>
      <c r="E800" s="141"/>
      <c r="F800" s="133"/>
      <c r="G800" s="133"/>
      <c r="H800" s="50"/>
      <c r="I800" s="51" t="str">
        <f t="shared" si="37"/>
        <v/>
      </c>
      <c r="J800" s="52" t="str">
        <f t="shared" si="38"/>
        <v/>
      </c>
      <c r="K800" s="142" t="str">
        <f>IF(OR($I800="",$I800="?",$D800&lt;&gt;"Advance",$B800=""),"",$I800&amp;"|"&amp;$J800&amp;"|"&amp;COUNTIFS($I$7:$I800,$I800,$J$7:$J800,$J800,$D$7:$D800,"Advance"))</f>
        <v/>
      </c>
      <c r="L800" s="143" t="str">
        <f>IF(OR($I800="",$I800="?",$B800=""),"",SUMPRODUCT((Weeks!$A$7:$A$59&lt;=$J800)*(Weeks!$X$5:$AI$5=$I800)*Weeks!$X$7:$AI$59)-SUMIFS($E$7:$E$1006,$I$7:$I$1006,$I800,$B$7:$B$1006,"&lt;="&amp;$B800))</f>
        <v/>
      </c>
      <c r="M800" s="132" t="str">
        <f>IF($B800&amp;$C800&amp;$D800&amp;$E800="","",IF($B800="","missing date",IF($C800="","missing worker",IF($I800="?","unknown worker - was the name changed on Workers?",IF($D800="","missing type",IF(N($E800)=0,"missing amount",IF(AND($E800&lt;0,$D800&lt;&gt;"Correction"),"negative amount - use a Correction to undo",IF(OR($B800&lt;Weeks!$A$7,$B800&gt;Weeks!$B$59),"date outside this workbook's year",IF(AND($D800="Advance",N($L800)&lt;0),"Warning: more than earned so far - worker now owes "&amp;TEXT(ROUND(-$L800,0),"#,##0"),"")))))))))</f>
        <v/>
      </c>
      <c r="N800" s="125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126"/>
      <c r="AH800" s="126"/>
      <c r="AI800" s="126"/>
      <c r="AJ800" s="126"/>
      <c r="AK800" s="126"/>
      <c r="AL800" s="126"/>
      <c r="AM800" s="126"/>
      <c r="AN800" s="126"/>
    </row>
    <row r="801" spans="1:40" s="127" customFormat="1" ht="21" customHeight="1" x14ac:dyDescent="0.25">
      <c r="A801" s="51" t="str">
        <f t="shared" si="36"/>
        <v/>
      </c>
      <c r="B801" s="77"/>
      <c r="C801" s="133"/>
      <c r="D801" s="50"/>
      <c r="E801" s="141"/>
      <c r="F801" s="133"/>
      <c r="G801" s="133"/>
      <c r="H801" s="50"/>
      <c r="I801" s="51" t="str">
        <f t="shared" si="37"/>
        <v/>
      </c>
      <c r="J801" s="52" t="str">
        <f t="shared" si="38"/>
        <v/>
      </c>
      <c r="K801" s="142" t="str">
        <f>IF(OR($I801="",$I801="?",$D801&lt;&gt;"Advance",$B801=""),"",$I801&amp;"|"&amp;$J801&amp;"|"&amp;COUNTIFS($I$7:$I801,$I801,$J$7:$J801,$J801,$D$7:$D801,"Advance"))</f>
        <v/>
      </c>
      <c r="L801" s="143" t="str">
        <f>IF(OR($I801="",$I801="?",$B801=""),"",SUMPRODUCT((Weeks!$A$7:$A$59&lt;=$J801)*(Weeks!$X$5:$AI$5=$I801)*Weeks!$X$7:$AI$59)-SUMIFS($E$7:$E$1006,$I$7:$I$1006,$I801,$B$7:$B$1006,"&lt;="&amp;$B801))</f>
        <v/>
      </c>
      <c r="M801" s="132" t="str">
        <f>IF($B801&amp;$C801&amp;$D801&amp;$E801="","",IF($B801="","missing date",IF($C801="","missing worker",IF($I801="?","unknown worker - was the name changed on Workers?",IF($D801="","missing type",IF(N($E801)=0,"missing amount",IF(AND($E801&lt;0,$D801&lt;&gt;"Correction"),"negative amount - use a Correction to undo",IF(OR($B801&lt;Weeks!$A$7,$B801&gt;Weeks!$B$59),"date outside this workbook's year",IF(AND($D801="Advance",N($L801)&lt;0),"Warning: more than earned so far - worker now owes "&amp;TEXT(ROUND(-$L801,0),"#,##0"),"")))))))))</f>
        <v/>
      </c>
      <c r="N801" s="125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126"/>
      <c r="AH801" s="126"/>
      <c r="AI801" s="126"/>
      <c r="AJ801" s="126"/>
      <c r="AK801" s="126"/>
      <c r="AL801" s="126"/>
      <c r="AM801" s="126"/>
      <c r="AN801" s="126"/>
    </row>
    <row r="802" spans="1:40" s="127" customFormat="1" ht="21" customHeight="1" x14ac:dyDescent="0.25">
      <c r="A802" s="51" t="str">
        <f t="shared" si="36"/>
        <v/>
      </c>
      <c r="B802" s="77"/>
      <c r="C802" s="133"/>
      <c r="D802" s="50"/>
      <c r="E802" s="141"/>
      <c r="F802" s="133"/>
      <c r="G802" s="133"/>
      <c r="H802" s="50"/>
      <c r="I802" s="51" t="str">
        <f t="shared" si="37"/>
        <v/>
      </c>
      <c r="J802" s="52" t="str">
        <f t="shared" si="38"/>
        <v/>
      </c>
      <c r="K802" s="142" t="str">
        <f>IF(OR($I802="",$I802="?",$D802&lt;&gt;"Advance",$B802=""),"",$I802&amp;"|"&amp;$J802&amp;"|"&amp;COUNTIFS($I$7:$I802,$I802,$J$7:$J802,$J802,$D$7:$D802,"Advance"))</f>
        <v/>
      </c>
      <c r="L802" s="143" t="str">
        <f>IF(OR($I802="",$I802="?",$B802=""),"",SUMPRODUCT((Weeks!$A$7:$A$59&lt;=$J802)*(Weeks!$X$5:$AI$5=$I802)*Weeks!$X$7:$AI$59)-SUMIFS($E$7:$E$1006,$I$7:$I$1006,$I802,$B$7:$B$1006,"&lt;="&amp;$B802))</f>
        <v/>
      </c>
      <c r="M802" s="132" t="str">
        <f>IF($B802&amp;$C802&amp;$D802&amp;$E802="","",IF($B802="","missing date",IF($C802="","missing worker",IF($I802="?","unknown worker - was the name changed on Workers?",IF($D802="","missing type",IF(N($E802)=0,"missing amount",IF(AND($E802&lt;0,$D802&lt;&gt;"Correction"),"negative amount - use a Correction to undo",IF(OR($B802&lt;Weeks!$A$7,$B802&gt;Weeks!$B$59),"date outside this workbook's year",IF(AND($D802="Advance",N($L802)&lt;0),"Warning: more than earned so far - worker now owes "&amp;TEXT(ROUND(-$L802,0),"#,##0"),"")))))))))</f>
        <v/>
      </c>
      <c r="N802" s="125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126"/>
      <c r="AH802" s="126"/>
      <c r="AI802" s="126"/>
      <c r="AJ802" s="126"/>
      <c r="AK802" s="126"/>
      <c r="AL802" s="126"/>
      <c r="AM802" s="126"/>
      <c r="AN802" s="126"/>
    </row>
    <row r="803" spans="1:40" s="127" customFormat="1" ht="21" customHeight="1" x14ac:dyDescent="0.25">
      <c r="A803" s="51" t="str">
        <f t="shared" si="36"/>
        <v/>
      </c>
      <c r="B803" s="77"/>
      <c r="C803" s="133"/>
      <c r="D803" s="50"/>
      <c r="E803" s="141"/>
      <c r="F803" s="133"/>
      <c r="G803" s="133"/>
      <c r="H803" s="50"/>
      <c r="I803" s="51" t="str">
        <f t="shared" si="37"/>
        <v/>
      </c>
      <c r="J803" s="52" t="str">
        <f t="shared" si="38"/>
        <v/>
      </c>
      <c r="K803" s="142" t="str">
        <f>IF(OR($I803="",$I803="?",$D803&lt;&gt;"Advance",$B803=""),"",$I803&amp;"|"&amp;$J803&amp;"|"&amp;COUNTIFS($I$7:$I803,$I803,$J$7:$J803,$J803,$D$7:$D803,"Advance"))</f>
        <v/>
      </c>
      <c r="L803" s="143" t="str">
        <f>IF(OR($I803="",$I803="?",$B803=""),"",SUMPRODUCT((Weeks!$A$7:$A$59&lt;=$J803)*(Weeks!$X$5:$AI$5=$I803)*Weeks!$X$7:$AI$59)-SUMIFS($E$7:$E$1006,$I$7:$I$1006,$I803,$B$7:$B$1006,"&lt;="&amp;$B803))</f>
        <v/>
      </c>
      <c r="M803" s="132" t="str">
        <f>IF($B803&amp;$C803&amp;$D803&amp;$E803="","",IF($B803="","missing date",IF($C803="","missing worker",IF($I803="?","unknown worker - was the name changed on Workers?",IF($D803="","missing type",IF(N($E803)=0,"missing amount",IF(AND($E803&lt;0,$D803&lt;&gt;"Correction"),"negative amount - use a Correction to undo",IF(OR($B803&lt;Weeks!$A$7,$B803&gt;Weeks!$B$59),"date outside this workbook's year",IF(AND($D803="Advance",N($L803)&lt;0),"Warning: more than earned so far - worker now owes "&amp;TEXT(ROUND(-$L803,0),"#,##0"),"")))))))))</f>
        <v/>
      </c>
      <c r="N803" s="125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126"/>
      <c r="AH803" s="126"/>
      <c r="AI803" s="126"/>
      <c r="AJ803" s="126"/>
      <c r="AK803" s="126"/>
      <c r="AL803" s="126"/>
      <c r="AM803" s="126"/>
      <c r="AN803" s="126"/>
    </row>
    <row r="804" spans="1:40" s="127" customFormat="1" ht="21" customHeight="1" x14ac:dyDescent="0.25">
      <c r="A804" s="51" t="str">
        <f t="shared" si="36"/>
        <v/>
      </c>
      <c r="B804" s="77"/>
      <c r="C804" s="133"/>
      <c r="D804" s="50"/>
      <c r="E804" s="141"/>
      <c r="F804" s="133"/>
      <c r="G804" s="133"/>
      <c r="H804" s="50"/>
      <c r="I804" s="51" t="str">
        <f t="shared" si="37"/>
        <v/>
      </c>
      <c r="J804" s="52" t="str">
        <f t="shared" si="38"/>
        <v/>
      </c>
      <c r="K804" s="142" t="str">
        <f>IF(OR($I804="",$I804="?",$D804&lt;&gt;"Advance",$B804=""),"",$I804&amp;"|"&amp;$J804&amp;"|"&amp;COUNTIFS($I$7:$I804,$I804,$J$7:$J804,$J804,$D$7:$D804,"Advance"))</f>
        <v/>
      </c>
      <c r="L804" s="143" t="str">
        <f>IF(OR($I804="",$I804="?",$B804=""),"",SUMPRODUCT((Weeks!$A$7:$A$59&lt;=$J804)*(Weeks!$X$5:$AI$5=$I804)*Weeks!$X$7:$AI$59)-SUMIFS($E$7:$E$1006,$I$7:$I$1006,$I804,$B$7:$B$1006,"&lt;="&amp;$B804))</f>
        <v/>
      </c>
      <c r="M804" s="132" t="str">
        <f>IF($B804&amp;$C804&amp;$D804&amp;$E804="","",IF($B804="","missing date",IF($C804="","missing worker",IF($I804="?","unknown worker - was the name changed on Workers?",IF($D804="","missing type",IF(N($E804)=0,"missing amount",IF(AND($E804&lt;0,$D804&lt;&gt;"Correction"),"negative amount - use a Correction to undo",IF(OR($B804&lt;Weeks!$A$7,$B804&gt;Weeks!$B$59),"date outside this workbook's year",IF(AND($D804="Advance",N($L804)&lt;0),"Warning: more than earned so far - worker now owes "&amp;TEXT(ROUND(-$L804,0),"#,##0"),"")))))))))</f>
        <v/>
      </c>
      <c r="N804" s="125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126"/>
      <c r="AH804" s="126"/>
      <c r="AI804" s="126"/>
      <c r="AJ804" s="126"/>
      <c r="AK804" s="126"/>
      <c r="AL804" s="126"/>
      <c r="AM804" s="126"/>
      <c r="AN804" s="126"/>
    </row>
    <row r="805" spans="1:40" s="127" customFormat="1" ht="21" customHeight="1" x14ac:dyDescent="0.25">
      <c r="A805" s="51" t="str">
        <f t="shared" si="36"/>
        <v/>
      </c>
      <c r="B805" s="77"/>
      <c r="C805" s="133"/>
      <c r="D805" s="50"/>
      <c r="E805" s="141"/>
      <c r="F805" s="133"/>
      <c r="G805" s="133"/>
      <c r="H805" s="50"/>
      <c r="I805" s="51" t="str">
        <f t="shared" si="37"/>
        <v/>
      </c>
      <c r="J805" s="52" t="str">
        <f t="shared" si="38"/>
        <v/>
      </c>
      <c r="K805" s="142" t="str">
        <f>IF(OR($I805="",$I805="?",$D805&lt;&gt;"Advance",$B805=""),"",$I805&amp;"|"&amp;$J805&amp;"|"&amp;COUNTIFS($I$7:$I805,$I805,$J$7:$J805,$J805,$D$7:$D805,"Advance"))</f>
        <v/>
      </c>
      <c r="L805" s="143" t="str">
        <f>IF(OR($I805="",$I805="?",$B805=""),"",SUMPRODUCT((Weeks!$A$7:$A$59&lt;=$J805)*(Weeks!$X$5:$AI$5=$I805)*Weeks!$X$7:$AI$59)-SUMIFS($E$7:$E$1006,$I$7:$I$1006,$I805,$B$7:$B$1006,"&lt;="&amp;$B805))</f>
        <v/>
      </c>
      <c r="M805" s="132" t="str">
        <f>IF($B805&amp;$C805&amp;$D805&amp;$E805="","",IF($B805="","missing date",IF($C805="","missing worker",IF($I805="?","unknown worker - was the name changed on Workers?",IF($D805="","missing type",IF(N($E805)=0,"missing amount",IF(AND($E805&lt;0,$D805&lt;&gt;"Correction"),"negative amount - use a Correction to undo",IF(OR($B805&lt;Weeks!$A$7,$B805&gt;Weeks!$B$59),"date outside this workbook's year",IF(AND($D805="Advance",N($L805)&lt;0),"Warning: more than earned so far - worker now owes "&amp;TEXT(ROUND(-$L805,0),"#,##0"),"")))))))))</f>
        <v/>
      </c>
      <c r="N805" s="125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126"/>
      <c r="AH805" s="126"/>
      <c r="AI805" s="126"/>
      <c r="AJ805" s="126"/>
      <c r="AK805" s="126"/>
      <c r="AL805" s="126"/>
      <c r="AM805" s="126"/>
      <c r="AN805" s="126"/>
    </row>
    <row r="806" spans="1:40" s="127" customFormat="1" ht="21" customHeight="1" x14ac:dyDescent="0.25">
      <c r="A806" s="51" t="str">
        <f t="shared" si="36"/>
        <v/>
      </c>
      <c r="B806" s="77"/>
      <c r="C806" s="133"/>
      <c r="D806" s="50"/>
      <c r="E806" s="141"/>
      <c r="F806" s="133"/>
      <c r="G806" s="133"/>
      <c r="H806" s="50"/>
      <c r="I806" s="51" t="str">
        <f t="shared" si="37"/>
        <v/>
      </c>
      <c r="J806" s="52" t="str">
        <f t="shared" si="38"/>
        <v/>
      </c>
      <c r="K806" s="142" t="str">
        <f>IF(OR($I806="",$I806="?",$D806&lt;&gt;"Advance",$B806=""),"",$I806&amp;"|"&amp;$J806&amp;"|"&amp;COUNTIFS($I$7:$I806,$I806,$J$7:$J806,$J806,$D$7:$D806,"Advance"))</f>
        <v/>
      </c>
      <c r="L806" s="143" t="str">
        <f>IF(OR($I806="",$I806="?",$B806=""),"",SUMPRODUCT((Weeks!$A$7:$A$59&lt;=$J806)*(Weeks!$X$5:$AI$5=$I806)*Weeks!$X$7:$AI$59)-SUMIFS($E$7:$E$1006,$I$7:$I$1006,$I806,$B$7:$B$1006,"&lt;="&amp;$B806))</f>
        <v/>
      </c>
      <c r="M806" s="132" t="str">
        <f>IF($B806&amp;$C806&amp;$D806&amp;$E806="","",IF($B806="","missing date",IF($C806="","missing worker",IF($I806="?","unknown worker - was the name changed on Workers?",IF($D806="","missing type",IF(N($E806)=0,"missing amount",IF(AND($E806&lt;0,$D806&lt;&gt;"Correction"),"negative amount - use a Correction to undo",IF(OR($B806&lt;Weeks!$A$7,$B806&gt;Weeks!$B$59),"date outside this workbook's year",IF(AND($D806="Advance",N($L806)&lt;0),"Warning: more than earned so far - worker now owes "&amp;TEXT(ROUND(-$L806,0),"#,##0"),"")))))))))</f>
        <v/>
      </c>
      <c r="N806" s="125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126"/>
      <c r="AH806" s="126"/>
      <c r="AI806" s="126"/>
      <c r="AJ806" s="126"/>
      <c r="AK806" s="126"/>
      <c r="AL806" s="126"/>
      <c r="AM806" s="126"/>
      <c r="AN806" s="126"/>
    </row>
    <row r="807" spans="1:40" s="127" customFormat="1" ht="21" customHeight="1" x14ac:dyDescent="0.25">
      <c r="A807" s="51" t="str">
        <f t="shared" si="36"/>
        <v/>
      </c>
      <c r="B807" s="77"/>
      <c r="C807" s="133"/>
      <c r="D807" s="50"/>
      <c r="E807" s="141"/>
      <c r="F807" s="133"/>
      <c r="G807" s="133"/>
      <c r="H807" s="50"/>
      <c r="I807" s="51" t="str">
        <f t="shared" si="37"/>
        <v/>
      </c>
      <c r="J807" s="52" t="str">
        <f t="shared" si="38"/>
        <v/>
      </c>
      <c r="K807" s="142" t="str">
        <f>IF(OR($I807="",$I807="?",$D807&lt;&gt;"Advance",$B807=""),"",$I807&amp;"|"&amp;$J807&amp;"|"&amp;COUNTIFS($I$7:$I807,$I807,$J$7:$J807,$J807,$D$7:$D807,"Advance"))</f>
        <v/>
      </c>
      <c r="L807" s="143" t="str">
        <f>IF(OR($I807="",$I807="?",$B807=""),"",SUMPRODUCT((Weeks!$A$7:$A$59&lt;=$J807)*(Weeks!$X$5:$AI$5=$I807)*Weeks!$X$7:$AI$59)-SUMIFS($E$7:$E$1006,$I$7:$I$1006,$I807,$B$7:$B$1006,"&lt;="&amp;$B807))</f>
        <v/>
      </c>
      <c r="M807" s="132" t="str">
        <f>IF($B807&amp;$C807&amp;$D807&amp;$E807="","",IF($B807="","missing date",IF($C807="","missing worker",IF($I807="?","unknown worker - was the name changed on Workers?",IF($D807="","missing type",IF(N($E807)=0,"missing amount",IF(AND($E807&lt;0,$D807&lt;&gt;"Correction"),"negative amount - use a Correction to undo",IF(OR($B807&lt;Weeks!$A$7,$B807&gt;Weeks!$B$59),"date outside this workbook's year",IF(AND($D807="Advance",N($L807)&lt;0),"Warning: more than earned so far - worker now owes "&amp;TEXT(ROUND(-$L807,0),"#,##0"),"")))))))))</f>
        <v/>
      </c>
      <c r="N807" s="125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  <c r="AC807" s="126"/>
      <c r="AD807" s="126"/>
      <c r="AE807" s="126"/>
      <c r="AF807" s="126"/>
      <c r="AG807" s="126"/>
      <c r="AH807" s="126"/>
      <c r="AI807" s="126"/>
      <c r="AJ807" s="126"/>
      <c r="AK807" s="126"/>
      <c r="AL807" s="126"/>
      <c r="AM807" s="126"/>
      <c r="AN807" s="126"/>
    </row>
    <row r="808" spans="1:40" s="127" customFormat="1" ht="21" customHeight="1" x14ac:dyDescent="0.25">
      <c r="A808" s="51" t="str">
        <f t="shared" si="36"/>
        <v/>
      </c>
      <c r="B808" s="77"/>
      <c r="C808" s="133"/>
      <c r="D808" s="50"/>
      <c r="E808" s="141"/>
      <c r="F808" s="133"/>
      <c r="G808" s="133"/>
      <c r="H808" s="50"/>
      <c r="I808" s="51" t="str">
        <f t="shared" si="37"/>
        <v/>
      </c>
      <c r="J808" s="52" t="str">
        <f t="shared" si="38"/>
        <v/>
      </c>
      <c r="K808" s="142" t="str">
        <f>IF(OR($I808="",$I808="?",$D808&lt;&gt;"Advance",$B808=""),"",$I808&amp;"|"&amp;$J808&amp;"|"&amp;COUNTIFS($I$7:$I808,$I808,$J$7:$J808,$J808,$D$7:$D808,"Advance"))</f>
        <v/>
      </c>
      <c r="L808" s="143" t="str">
        <f>IF(OR($I808="",$I808="?",$B808=""),"",SUMPRODUCT((Weeks!$A$7:$A$59&lt;=$J808)*(Weeks!$X$5:$AI$5=$I808)*Weeks!$X$7:$AI$59)-SUMIFS($E$7:$E$1006,$I$7:$I$1006,$I808,$B$7:$B$1006,"&lt;="&amp;$B808))</f>
        <v/>
      </c>
      <c r="M808" s="132" t="str">
        <f>IF($B808&amp;$C808&amp;$D808&amp;$E808="","",IF($B808="","missing date",IF($C808="","missing worker",IF($I808="?","unknown worker - was the name changed on Workers?",IF($D808="","missing type",IF(N($E808)=0,"missing amount",IF(AND($E808&lt;0,$D808&lt;&gt;"Correction"),"negative amount - use a Correction to undo",IF(OR($B808&lt;Weeks!$A$7,$B808&gt;Weeks!$B$59),"date outside this workbook's year",IF(AND($D808="Advance",N($L808)&lt;0),"Warning: more than earned so far - worker now owes "&amp;TEXT(ROUND(-$L808,0),"#,##0"),"")))))))))</f>
        <v/>
      </c>
      <c r="N808" s="125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  <c r="AC808" s="126"/>
      <c r="AD808" s="126"/>
      <c r="AE808" s="126"/>
      <c r="AF808" s="126"/>
      <c r="AG808" s="126"/>
      <c r="AH808" s="126"/>
      <c r="AI808" s="126"/>
      <c r="AJ808" s="126"/>
      <c r="AK808" s="126"/>
      <c r="AL808" s="126"/>
      <c r="AM808" s="126"/>
      <c r="AN808" s="126"/>
    </row>
    <row r="809" spans="1:40" s="127" customFormat="1" ht="21" customHeight="1" x14ac:dyDescent="0.25">
      <c r="A809" s="51" t="str">
        <f t="shared" si="36"/>
        <v/>
      </c>
      <c r="B809" s="77"/>
      <c r="C809" s="133"/>
      <c r="D809" s="50"/>
      <c r="E809" s="141"/>
      <c r="F809" s="133"/>
      <c r="G809" s="133"/>
      <c r="H809" s="50"/>
      <c r="I809" s="51" t="str">
        <f t="shared" si="37"/>
        <v/>
      </c>
      <c r="J809" s="52" t="str">
        <f t="shared" si="38"/>
        <v/>
      </c>
      <c r="K809" s="142" t="str">
        <f>IF(OR($I809="",$I809="?",$D809&lt;&gt;"Advance",$B809=""),"",$I809&amp;"|"&amp;$J809&amp;"|"&amp;COUNTIFS($I$7:$I809,$I809,$J$7:$J809,$J809,$D$7:$D809,"Advance"))</f>
        <v/>
      </c>
      <c r="L809" s="143" t="str">
        <f>IF(OR($I809="",$I809="?",$B809=""),"",SUMPRODUCT((Weeks!$A$7:$A$59&lt;=$J809)*(Weeks!$X$5:$AI$5=$I809)*Weeks!$X$7:$AI$59)-SUMIFS($E$7:$E$1006,$I$7:$I$1006,$I809,$B$7:$B$1006,"&lt;="&amp;$B809))</f>
        <v/>
      </c>
      <c r="M809" s="132" t="str">
        <f>IF($B809&amp;$C809&amp;$D809&amp;$E809="","",IF($B809="","missing date",IF($C809="","missing worker",IF($I809="?","unknown worker - was the name changed on Workers?",IF($D809="","missing type",IF(N($E809)=0,"missing amount",IF(AND($E809&lt;0,$D809&lt;&gt;"Correction"),"negative amount - use a Correction to undo",IF(OR($B809&lt;Weeks!$A$7,$B809&gt;Weeks!$B$59),"date outside this workbook's year",IF(AND($D809="Advance",N($L809)&lt;0),"Warning: more than earned so far - worker now owes "&amp;TEXT(ROUND(-$L809,0),"#,##0"),"")))))))))</f>
        <v/>
      </c>
      <c r="N809" s="125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  <c r="AC809" s="126"/>
      <c r="AD809" s="126"/>
      <c r="AE809" s="126"/>
      <c r="AF809" s="126"/>
      <c r="AG809" s="126"/>
      <c r="AH809" s="126"/>
      <c r="AI809" s="126"/>
      <c r="AJ809" s="126"/>
      <c r="AK809" s="126"/>
      <c r="AL809" s="126"/>
      <c r="AM809" s="126"/>
      <c r="AN809" s="126"/>
    </row>
    <row r="810" spans="1:40" s="127" customFormat="1" ht="21" customHeight="1" x14ac:dyDescent="0.25">
      <c r="A810" s="51" t="str">
        <f t="shared" si="36"/>
        <v/>
      </c>
      <c r="B810" s="77"/>
      <c r="C810" s="133"/>
      <c r="D810" s="50"/>
      <c r="E810" s="141"/>
      <c r="F810" s="133"/>
      <c r="G810" s="133"/>
      <c r="H810" s="50"/>
      <c r="I810" s="51" t="str">
        <f t="shared" si="37"/>
        <v/>
      </c>
      <c r="J810" s="52" t="str">
        <f t="shared" si="38"/>
        <v/>
      </c>
      <c r="K810" s="142" t="str">
        <f>IF(OR($I810="",$I810="?",$D810&lt;&gt;"Advance",$B810=""),"",$I810&amp;"|"&amp;$J810&amp;"|"&amp;COUNTIFS($I$7:$I810,$I810,$J$7:$J810,$J810,$D$7:$D810,"Advance"))</f>
        <v/>
      </c>
      <c r="L810" s="143" t="str">
        <f>IF(OR($I810="",$I810="?",$B810=""),"",SUMPRODUCT((Weeks!$A$7:$A$59&lt;=$J810)*(Weeks!$X$5:$AI$5=$I810)*Weeks!$X$7:$AI$59)-SUMIFS($E$7:$E$1006,$I$7:$I$1006,$I810,$B$7:$B$1006,"&lt;="&amp;$B810))</f>
        <v/>
      </c>
      <c r="M810" s="132" t="str">
        <f>IF($B810&amp;$C810&amp;$D810&amp;$E810="","",IF($B810="","missing date",IF($C810="","missing worker",IF($I810="?","unknown worker - was the name changed on Workers?",IF($D810="","missing type",IF(N($E810)=0,"missing amount",IF(AND($E810&lt;0,$D810&lt;&gt;"Correction"),"negative amount - use a Correction to undo",IF(OR($B810&lt;Weeks!$A$7,$B810&gt;Weeks!$B$59),"date outside this workbook's year",IF(AND($D810="Advance",N($L810)&lt;0),"Warning: more than earned so far - worker now owes "&amp;TEXT(ROUND(-$L810,0),"#,##0"),"")))))))))</f>
        <v/>
      </c>
      <c r="N810" s="125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  <c r="AC810" s="126"/>
      <c r="AD810" s="126"/>
      <c r="AE810" s="126"/>
      <c r="AF810" s="126"/>
      <c r="AG810" s="126"/>
      <c r="AH810" s="126"/>
      <c r="AI810" s="126"/>
      <c r="AJ810" s="126"/>
      <c r="AK810" s="126"/>
      <c r="AL810" s="126"/>
      <c r="AM810" s="126"/>
      <c r="AN810" s="126"/>
    </row>
    <row r="811" spans="1:40" s="127" customFormat="1" ht="21" customHeight="1" x14ac:dyDescent="0.25">
      <c r="A811" s="51" t="str">
        <f t="shared" si="36"/>
        <v/>
      </c>
      <c r="B811" s="77"/>
      <c r="C811" s="133"/>
      <c r="D811" s="50"/>
      <c r="E811" s="141"/>
      <c r="F811" s="133"/>
      <c r="G811" s="133"/>
      <c r="H811" s="50"/>
      <c r="I811" s="51" t="str">
        <f t="shared" si="37"/>
        <v/>
      </c>
      <c r="J811" s="52" t="str">
        <f t="shared" si="38"/>
        <v/>
      </c>
      <c r="K811" s="142" t="str">
        <f>IF(OR($I811="",$I811="?",$D811&lt;&gt;"Advance",$B811=""),"",$I811&amp;"|"&amp;$J811&amp;"|"&amp;COUNTIFS($I$7:$I811,$I811,$J$7:$J811,$J811,$D$7:$D811,"Advance"))</f>
        <v/>
      </c>
      <c r="L811" s="143" t="str">
        <f>IF(OR($I811="",$I811="?",$B811=""),"",SUMPRODUCT((Weeks!$A$7:$A$59&lt;=$J811)*(Weeks!$X$5:$AI$5=$I811)*Weeks!$X$7:$AI$59)-SUMIFS($E$7:$E$1006,$I$7:$I$1006,$I811,$B$7:$B$1006,"&lt;="&amp;$B811))</f>
        <v/>
      </c>
      <c r="M811" s="132" t="str">
        <f>IF($B811&amp;$C811&amp;$D811&amp;$E811="","",IF($B811="","missing date",IF($C811="","missing worker",IF($I811="?","unknown worker - was the name changed on Workers?",IF($D811="","missing type",IF(N($E811)=0,"missing amount",IF(AND($E811&lt;0,$D811&lt;&gt;"Correction"),"negative amount - use a Correction to undo",IF(OR($B811&lt;Weeks!$A$7,$B811&gt;Weeks!$B$59),"date outside this workbook's year",IF(AND($D811="Advance",N($L811)&lt;0),"Warning: more than earned so far - worker now owes "&amp;TEXT(ROUND(-$L811,0),"#,##0"),"")))))))))</f>
        <v/>
      </c>
      <c r="N811" s="125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  <c r="AC811" s="126"/>
      <c r="AD811" s="126"/>
      <c r="AE811" s="126"/>
      <c r="AF811" s="126"/>
      <c r="AG811" s="126"/>
      <c r="AH811" s="126"/>
      <c r="AI811" s="126"/>
      <c r="AJ811" s="126"/>
      <c r="AK811" s="126"/>
      <c r="AL811" s="126"/>
      <c r="AM811" s="126"/>
      <c r="AN811" s="126"/>
    </row>
    <row r="812" spans="1:40" s="127" customFormat="1" ht="21" customHeight="1" x14ac:dyDescent="0.25">
      <c r="A812" s="51" t="str">
        <f t="shared" si="36"/>
        <v/>
      </c>
      <c r="B812" s="77"/>
      <c r="C812" s="133"/>
      <c r="D812" s="50"/>
      <c r="E812" s="141"/>
      <c r="F812" s="133"/>
      <c r="G812" s="133"/>
      <c r="H812" s="50"/>
      <c r="I812" s="51" t="str">
        <f t="shared" si="37"/>
        <v/>
      </c>
      <c r="J812" s="52" t="str">
        <f t="shared" si="38"/>
        <v/>
      </c>
      <c r="K812" s="142" t="str">
        <f>IF(OR($I812="",$I812="?",$D812&lt;&gt;"Advance",$B812=""),"",$I812&amp;"|"&amp;$J812&amp;"|"&amp;COUNTIFS($I$7:$I812,$I812,$J$7:$J812,$J812,$D$7:$D812,"Advance"))</f>
        <v/>
      </c>
      <c r="L812" s="143" t="str">
        <f>IF(OR($I812="",$I812="?",$B812=""),"",SUMPRODUCT((Weeks!$A$7:$A$59&lt;=$J812)*(Weeks!$X$5:$AI$5=$I812)*Weeks!$X$7:$AI$59)-SUMIFS($E$7:$E$1006,$I$7:$I$1006,$I812,$B$7:$B$1006,"&lt;="&amp;$B812))</f>
        <v/>
      </c>
      <c r="M812" s="132" t="str">
        <f>IF($B812&amp;$C812&amp;$D812&amp;$E812="","",IF($B812="","missing date",IF($C812="","missing worker",IF($I812="?","unknown worker - was the name changed on Workers?",IF($D812="","missing type",IF(N($E812)=0,"missing amount",IF(AND($E812&lt;0,$D812&lt;&gt;"Correction"),"negative amount - use a Correction to undo",IF(OR($B812&lt;Weeks!$A$7,$B812&gt;Weeks!$B$59),"date outside this workbook's year",IF(AND($D812="Advance",N($L812)&lt;0),"Warning: more than earned so far - worker now owes "&amp;TEXT(ROUND(-$L812,0),"#,##0"),"")))))))))</f>
        <v/>
      </c>
      <c r="N812" s="125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  <c r="AC812" s="126"/>
      <c r="AD812" s="126"/>
      <c r="AE812" s="126"/>
      <c r="AF812" s="126"/>
      <c r="AG812" s="126"/>
      <c r="AH812" s="126"/>
      <c r="AI812" s="126"/>
      <c r="AJ812" s="126"/>
      <c r="AK812" s="126"/>
      <c r="AL812" s="126"/>
      <c r="AM812" s="126"/>
      <c r="AN812" s="126"/>
    </row>
    <row r="813" spans="1:40" s="127" customFormat="1" ht="21" customHeight="1" x14ac:dyDescent="0.25">
      <c r="A813" s="51" t="str">
        <f t="shared" si="36"/>
        <v/>
      </c>
      <c r="B813" s="77"/>
      <c r="C813" s="133"/>
      <c r="D813" s="50"/>
      <c r="E813" s="141"/>
      <c r="F813" s="133"/>
      <c r="G813" s="133"/>
      <c r="H813" s="50"/>
      <c r="I813" s="51" t="str">
        <f t="shared" si="37"/>
        <v/>
      </c>
      <c r="J813" s="52" t="str">
        <f t="shared" si="38"/>
        <v/>
      </c>
      <c r="K813" s="142" t="str">
        <f>IF(OR($I813="",$I813="?",$D813&lt;&gt;"Advance",$B813=""),"",$I813&amp;"|"&amp;$J813&amp;"|"&amp;COUNTIFS($I$7:$I813,$I813,$J$7:$J813,$J813,$D$7:$D813,"Advance"))</f>
        <v/>
      </c>
      <c r="L813" s="143" t="str">
        <f>IF(OR($I813="",$I813="?",$B813=""),"",SUMPRODUCT((Weeks!$A$7:$A$59&lt;=$J813)*(Weeks!$X$5:$AI$5=$I813)*Weeks!$X$7:$AI$59)-SUMIFS($E$7:$E$1006,$I$7:$I$1006,$I813,$B$7:$B$1006,"&lt;="&amp;$B813))</f>
        <v/>
      </c>
      <c r="M813" s="132" t="str">
        <f>IF($B813&amp;$C813&amp;$D813&amp;$E813="","",IF($B813="","missing date",IF($C813="","missing worker",IF($I813="?","unknown worker - was the name changed on Workers?",IF($D813="","missing type",IF(N($E813)=0,"missing amount",IF(AND($E813&lt;0,$D813&lt;&gt;"Correction"),"negative amount - use a Correction to undo",IF(OR($B813&lt;Weeks!$A$7,$B813&gt;Weeks!$B$59),"date outside this workbook's year",IF(AND($D813="Advance",N($L813)&lt;0),"Warning: more than earned so far - worker now owes "&amp;TEXT(ROUND(-$L813,0),"#,##0"),"")))))))))</f>
        <v/>
      </c>
      <c r="N813" s="125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  <c r="AC813" s="126"/>
      <c r="AD813" s="126"/>
      <c r="AE813" s="126"/>
      <c r="AF813" s="126"/>
      <c r="AG813" s="126"/>
      <c r="AH813" s="126"/>
      <c r="AI813" s="126"/>
      <c r="AJ813" s="126"/>
      <c r="AK813" s="126"/>
      <c r="AL813" s="126"/>
      <c r="AM813" s="126"/>
      <c r="AN813" s="126"/>
    </row>
    <row r="814" spans="1:40" s="127" customFormat="1" ht="21" customHeight="1" x14ac:dyDescent="0.25">
      <c r="A814" s="51" t="str">
        <f t="shared" si="36"/>
        <v/>
      </c>
      <c r="B814" s="77"/>
      <c r="C814" s="133"/>
      <c r="D814" s="50"/>
      <c r="E814" s="141"/>
      <c r="F814" s="133"/>
      <c r="G814" s="133"/>
      <c r="H814" s="50"/>
      <c r="I814" s="51" t="str">
        <f t="shared" si="37"/>
        <v/>
      </c>
      <c r="J814" s="52" t="str">
        <f t="shared" si="38"/>
        <v/>
      </c>
      <c r="K814" s="142" t="str">
        <f>IF(OR($I814="",$I814="?",$D814&lt;&gt;"Advance",$B814=""),"",$I814&amp;"|"&amp;$J814&amp;"|"&amp;COUNTIFS($I$7:$I814,$I814,$J$7:$J814,$J814,$D$7:$D814,"Advance"))</f>
        <v/>
      </c>
      <c r="L814" s="143" t="str">
        <f>IF(OR($I814="",$I814="?",$B814=""),"",SUMPRODUCT((Weeks!$A$7:$A$59&lt;=$J814)*(Weeks!$X$5:$AI$5=$I814)*Weeks!$X$7:$AI$59)-SUMIFS($E$7:$E$1006,$I$7:$I$1006,$I814,$B$7:$B$1006,"&lt;="&amp;$B814))</f>
        <v/>
      </c>
      <c r="M814" s="132" t="str">
        <f>IF($B814&amp;$C814&amp;$D814&amp;$E814="","",IF($B814="","missing date",IF($C814="","missing worker",IF($I814="?","unknown worker - was the name changed on Workers?",IF($D814="","missing type",IF(N($E814)=0,"missing amount",IF(AND($E814&lt;0,$D814&lt;&gt;"Correction"),"negative amount - use a Correction to undo",IF(OR($B814&lt;Weeks!$A$7,$B814&gt;Weeks!$B$59),"date outside this workbook's year",IF(AND($D814="Advance",N($L814)&lt;0),"Warning: more than earned so far - worker now owes "&amp;TEXT(ROUND(-$L814,0),"#,##0"),"")))))))))</f>
        <v/>
      </c>
      <c r="N814" s="125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  <c r="AC814" s="126"/>
      <c r="AD814" s="126"/>
      <c r="AE814" s="126"/>
      <c r="AF814" s="126"/>
      <c r="AG814" s="126"/>
      <c r="AH814" s="126"/>
      <c r="AI814" s="126"/>
      <c r="AJ814" s="126"/>
      <c r="AK814" s="126"/>
      <c r="AL814" s="126"/>
      <c r="AM814" s="126"/>
      <c r="AN814" s="126"/>
    </row>
    <row r="815" spans="1:40" s="127" customFormat="1" ht="21" customHeight="1" x14ac:dyDescent="0.25">
      <c r="A815" s="51" t="str">
        <f t="shared" si="36"/>
        <v/>
      </c>
      <c r="B815" s="77"/>
      <c r="C815" s="133"/>
      <c r="D815" s="50"/>
      <c r="E815" s="141"/>
      <c r="F815" s="133"/>
      <c r="G815" s="133"/>
      <c r="H815" s="50"/>
      <c r="I815" s="51" t="str">
        <f t="shared" si="37"/>
        <v/>
      </c>
      <c r="J815" s="52" t="str">
        <f t="shared" si="38"/>
        <v/>
      </c>
      <c r="K815" s="142" t="str">
        <f>IF(OR($I815="",$I815="?",$D815&lt;&gt;"Advance",$B815=""),"",$I815&amp;"|"&amp;$J815&amp;"|"&amp;COUNTIFS($I$7:$I815,$I815,$J$7:$J815,$J815,$D$7:$D815,"Advance"))</f>
        <v/>
      </c>
      <c r="L815" s="143" t="str">
        <f>IF(OR($I815="",$I815="?",$B815=""),"",SUMPRODUCT((Weeks!$A$7:$A$59&lt;=$J815)*(Weeks!$X$5:$AI$5=$I815)*Weeks!$X$7:$AI$59)-SUMIFS($E$7:$E$1006,$I$7:$I$1006,$I815,$B$7:$B$1006,"&lt;="&amp;$B815))</f>
        <v/>
      </c>
      <c r="M815" s="132" t="str">
        <f>IF($B815&amp;$C815&amp;$D815&amp;$E815="","",IF($B815="","missing date",IF($C815="","missing worker",IF($I815="?","unknown worker - was the name changed on Workers?",IF($D815="","missing type",IF(N($E815)=0,"missing amount",IF(AND($E815&lt;0,$D815&lt;&gt;"Correction"),"negative amount - use a Correction to undo",IF(OR($B815&lt;Weeks!$A$7,$B815&gt;Weeks!$B$59),"date outside this workbook's year",IF(AND($D815="Advance",N($L815)&lt;0),"Warning: more than earned so far - worker now owes "&amp;TEXT(ROUND(-$L815,0),"#,##0"),"")))))))))</f>
        <v/>
      </c>
      <c r="N815" s="125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  <c r="AC815" s="126"/>
      <c r="AD815" s="126"/>
      <c r="AE815" s="126"/>
      <c r="AF815" s="126"/>
      <c r="AG815" s="126"/>
      <c r="AH815" s="126"/>
      <c r="AI815" s="126"/>
      <c r="AJ815" s="126"/>
      <c r="AK815" s="126"/>
      <c r="AL815" s="126"/>
      <c r="AM815" s="126"/>
      <c r="AN815" s="126"/>
    </row>
    <row r="816" spans="1:40" s="127" customFormat="1" ht="21" customHeight="1" x14ac:dyDescent="0.25">
      <c r="A816" s="51" t="str">
        <f t="shared" si="36"/>
        <v/>
      </c>
      <c r="B816" s="77"/>
      <c r="C816" s="133"/>
      <c r="D816" s="50"/>
      <c r="E816" s="141"/>
      <c r="F816" s="133"/>
      <c r="G816" s="133"/>
      <c r="H816" s="50"/>
      <c r="I816" s="51" t="str">
        <f t="shared" si="37"/>
        <v/>
      </c>
      <c r="J816" s="52" t="str">
        <f t="shared" si="38"/>
        <v/>
      </c>
      <c r="K816" s="142" t="str">
        <f>IF(OR($I816="",$I816="?",$D816&lt;&gt;"Advance",$B816=""),"",$I816&amp;"|"&amp;$J816&amp;"|"&amp;COUNTIFS($I$7:$I816,$I816,$J$7:$J816,$J816,$D$7:$D816,"Advance"))</f>
        <v/>
      </c>
      <c r="L816" s="143" t="str">
        <f>IF(OR($I816="",$I816="?",$B816=""),"",SUMPRODUCT((Weeks!$A$7:$A$59&lt;=$J816)*(Weeks!$X$5:$AI$5=$I816)*Weeks!$X$7:$AI$59)-SUMIFS($E$7:$E$1006,$I$7:$I$1006,$I816,$B$7:$B$1006,"&lt;="&amp;$B816))</f>
        <v/>
      </c>
      <c r="M816" s="132" t="str">
        <f>IF($B816&amp;$C816&amp;$D816&amp;$E816="","",IF($B816="","missing date",IF($C816="","missing worker",IF($I816="?","unknown worker - was the name changed on Workers?",IF($D816="","missing type",IF(N($E816)=0,"missing amount",IF(AND($E816&lt;0,$D816&lt;&gt;"Correction"),"negative amount - use a Correction to undo",IF(OR($B816&lt;Weeks!$A$7,$B816&gt;Weeks!$B$59),"date outside this workbook's year",IF(AND($D816="Advance",N($L816)&lt;0),"Warning: more than earned so far - worker now owes "&amp;TEXT(ROUND(-$L816,0),"#,##0"),"")))))))))</f>
        <v/>
      </c>
      <c r="N816" s="125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  <c r="AC816" s="126"/>
      <c r="AD816" s="126"/>
      <c r="AE816" s="126"/>
      <c r="AF816" s="126"/>
      <c r="AG816" s="126"/>
      <c r="AH816" s="126"/>
      <c r="AI816" s="126"/>
      <c r="AJ816" s="126"/>
      <c r="AK816" s="126"/>
      <c r="AL816" s="126"/>
      <c r="AM816" s="126"/>
      <c r="AN816" s="126"/>
    </row>
    <row r="817" spans="1:40" s="127" customFormat="1" ht="21" customHeight="1" x14ac:dyDescent="0.25">
      <c r="A817" s="51" t="str">
        <f t="shared" si="36"/>
        <v/>
      </c>
      <c r="B817" s="77"/>
      <c r="C817" s="133"/>
      <c r="D817" s="50"/>
      <c r="E817" s="141"/>
      <c r="F817" s="133"/>
      <c r="G817" s="133"/>
      <c r="H817" s="50"/>
      <c r="I817" s="51" t="str">
        <f t="shared" si="37"/>
        <v/>
      </c>
      <c r="J817" s="52" t="str">
        <f t="shared" si="38"/>
        <v/>
      </c>
      <c r="K817" s="142" t="str">
        <f>IF(OR($I817="",$I817="?",$D817&lt;&gt;"Advance",$B817=""),"",$I817&amp;"|"&amp;$J817&amp;"|"&amp;COUNTIFS($I$7:$I817,$I817,$J$7:$J817,$J817,$D$7:$D817,"Advance"))</f>
        <v/>
      </c>
      <c r="L817" s="143" t="str">
        <f>IF(OR($I817="",$I817="?",$B817=""),"",SUMPRODUCT((Weeks!$A$7:$A$59&lt;=$J817)*(Weeks!$X$5:$AI$5=$I817)*Weeks!$X$7:$AI$59)-SUMIFS($E$7:$E$1006,$I$7:$I$1006,$I817,$B$7:$B$1006,"&lt;="&amp;$B817))</f>
        <v/>
      </c>
      <c r="M817" s="132" t="str">
        <f>IF($B817&amp;$C817&amp;$D817&amp;$E817="","",IF($B817="","missing date",IF($C817="","missing worker",IF($I817="?","unknown worker - was the name changed on Workers?",IF($D817="","missing type",IF(N($E817)=0,"missing amount",IF(AND($E817&lt;0,$D817&lt;&gt;"Correction"),"negative amount - use a Correction to undo",IF(OR($B817&lt;Weeks!$A$7,$B817&gt;Weeks!$B$59),"date outside this workbook's year",IF(AND($D817="Advance",N($L817)&lt;0),"Warning: more than earned so far - worker now owes "&amp;TEXT(ROUND(-$L817,0),"#,##0"),"")))))))))</f>
        <v/>
      </c>
      <c r="N817" s="125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  <c r="AC817" s="126"/>
      <c r="AD817" s="126"/>
      <c r="AE817" s="126"/>
      <c r="AF817" s="126"/>
      <c r="AG817" s="126"/>
      <c r="AH817" s="126"/>
      <c r="AI817" s="126"/>
      <c r="AJ817" s="126"/>
      <c r="AK817" s="126"/>
      <c r="AL817" s="126"/>
      <c r="AM817" s="126"/>
      <c r="AN817" s="126"/>
    </row>
    <row r="818" spans="1:40" s="127" customFormat="1" ht="21" customHeight="1" x14ac:dyDescent="0.25">
      <c r="A818" s="51" t="str">
        <f t="shared" si="36"/>
        <v/>
      </c>
      <c r="B818" s="77"/>
      <c r="C818" s="133"/>
      <c r="D818" s="50"/>
      <c r="E818" s="141"/>
      <c r="F818" s="133"/>
      <c r="G818" s="133"/>
      <c r="H818" s="50"/>
      <c r="I818" s="51" t="str">
        <f t="shared" si="37"/>
        <v/>
      </c>
      <c r="J818" s="52" t="str">
        <f t="shared" si="38"/>
        <v/>
      </c>
      <c r="K818" s="142" t="str">
        <f>IF(OR($I818="",$I818="?",$D818&lt;&gt;"Advance",$B818=""),"",$I818&amp;"|"&amp;$J818&amp;"|"&amp;COUNTIFS($I$7:$I818,$I818,$J$7:$J818,$J818,$D$7:$D818,"Advance"))</f>
        <v/>
      </c>
      <c r="L818" s="143" t="str">
        <f>IF(OR($I818="",$I818="?",$B818=""),"",SUMPRODUCT((Weeks!$A$7:$A$59&lt;=$J818)*(Weeks!$X$5:$AI$5=$I818)*Weeks!$X$7:$AI$59)-SUMIFS($E$7:$E$1006,$I$7:$I$1006,$I818,$B$7:$B$1006,"&lt;="&amp;$B818))</f>
        <v/>
      </c>
      <c r="M818" s="132" t="str">
        <f>IF($B818&amp;$C818&amp;$D818&amp;$E818="","",IF($B818="","missing date",IF($C818="","missing worker",IF($I818="?","unknown worker - was the name changed on Workers?",IF($D818="","missing type",IF(N($E818)=0,"missing amount",IF(AND($E818&lt;0,$D818&lt;&gt;"Correction"),"negative amount - use a Correction to undo",IF(OR($B818&lt;Weeks!$A$7,$B818&gt;Weeks!$B$59),"date outside this workbook's year",IF(AND($D818="Advance",N($L818)&lt;0),"Warning: more than earned so far - worker now owes "&amp;TEXT(ROUND(-$L818,0),"#,##0"),"")))))))))</f>
        <v/>
      </c>
      <c r="N818" s="125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  <c r="AC818" s="126"/>
      <c r="AD818" s="126"/>
      <c r="AE818" s="126"/>
      <c r="AF818" s="126"/>
      <c r="AG818" s="126"/>
      <c r="AH818" s="126"/>
      <c r="AI818" s="126"/>
      <c r="AJ818" s="126"/>
      <c r="AK818" s="126"/>
      <c r="AL818" s="126"/>
      <c r="AM818" s="126"/>
      <c r="AN818" s="126"/>
    </row>
    <row r="819" spans="1:40" s="127" customFormat="1" ht="21" customHeight="1" x14ac:dyDescent="0.25">
      <c r="A819" s="51" t="str">
        <f t="shared" si="36"/>
        <v/>
      </c>
      <c r="B819" s="77"/>
      <c r="C819" s="133"/>
      <c r="D819" s="50"/>
      <c r="E819" s="141"/>
      <c r="F819" s="133"/>
      <c r="G819" s="133"/>
      <c r="H819" s="50"/>
      <c r="I819" s="51" t="str">
        <f t="shared" si="37"/>
        <v/>
      </c>
      <c r="J819" s="52" t="str">
        <f t="shared" si="38"/>
        <v/>
      </c>
      <c r="K819" s="142" t="str">
        <f>IF(OR($I819="",$I819="?",$D819&lt;&gt;"Advance",$B819=""),"",$I819&amp;"|"&amp;$J819&amp;"|"&amp;COUNTIFS($I$7:$I819,$I819,$J$7:$J819,$J819,$D$7:$D819,"Advance"))</f>
        <v/>
      </c>
      <c r="L819" s="143" t="str">
        <f>IF(OR($I819="",$I819="?",$B819=""),"",SUMPRODUCT((Weeks!$A$7:$A$59&lt;=$J819)*(Weeks!$X$5:$AI$5=$I819)*Weeks!$X$7:$AI$59)-SUMIFS($E$7:$E$1006,$I$7:$I$1006,$I819,$B$7:$B$1006,"&lt;="&amp;$B819))</f>
        <v/>
      </c>
      <c r="M819" s="132" t="str">
        <f>IF($B819&amp;$C819&amp;$D819&amp;$E819="","",IF($B819="","missing date",IF($C819="","missing worker",IF($I819="?","unknown worker - was the name changed on Workers?",IF($D819="","missing type",IF(N($E819)=0,"missing amount",IF(AND($E819&lt;0,$D819&lt;&gt;"Correction"),"negative amount - use a Correction to undo",IF(OR($B819&lt;Weeks!$A$7,$B819&gt;Weeks!$B$59),"date outside this workbook's year",IF(AND($D819="Advance",N($L819)&lt;0),"Warning: more than earned so far - worker now owes "&amp;TEXT(ROUND(-$L819,0),"#,##0"),"")))))))))</f>
        <v/>
      </c>
      <c r="N819" s="125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  <c r="AC819" s="126"/>
      <c r="AD819" s="126"/>
      <c r="AE819" s="126"/>
      <c r="AF819" s="126"/>
      <c r="AG819" s="126"/>
      <c r="AH819" s="126"/>
      <c r="AI819" s="126"/>
      <c r="AJ819" s="126"/>
      <c r="AK819" s="126"/>
      <c r="AL819" s="126"/>
      <c r="AM819" s="126"/>
      <c r="AN819" s="126"/>
    </row>
    <row r="820" spans="1:40" s="127" customFormat="1" ht="21" customHeight="1" x14ac:dyDescent="0.25">
      <c r="A820" s="51" t="str">
        <f t="shared" si="36"/>
        <v/>
      </c>
      <c r="B820" s="77"/>
      <c r="C820" s="133"/>
      <c r="D820" s="50"/>
      <c r="E820" s="141"/>
      <c r="F820" s="133"/>
      <c r="G820" s="133"/>
      <c r="H820" s="50"/>
      <c r="I820" s="51" t="str">
        <f t="shared" si="37"/>
        <v/>
      </c>
      <c r="J820" s="52" t="str">
        <f t="shared" si="38"/>
        <v/>
      </c>
      <c r="K820" s="142" t="str">
        <f>IF(OR($I820="",$I820="?",$D820&lt;&gt;"Advance",$B820=""),"",$I820&amp;"|"&amp;$J820&amp;"|"&amp;COUNTIFS($I$7:$I820,$I820,$J$7:$J820,$J820,$D$7:$D820,"Advance"))</f>
        <v/>
      </c>
      <c r="L820" s="143" t="str">
        <f>IF(OR($I820="",$I820="?",$B820=""),"",SUMPRODUCT((Weeks!$A$7:$A$59&lt;=$J820)*(Weeks!$X$5:$AI$5=$I820)*Weeks!$X$7:$AI$59)-SUMIFS($E$7:$E$1006,$I$7:$I$1006,$I820,$B$7:$B$1006,"&lt;="&amp;$B820))</f>
        <v/>
      </c>
      <c r="M820" s="132" t="str">
        <f>IF($B820&amp;$C820&amp;$D820&amp;$E820="","",IF($B820="","missing date",IF($C820="","missing worker",IF($I820="?","unknown worker - was the name changed on Workers?",IF($D820="","missing type",IF(N($E820)=0,"missing amount",IF(AND($E820&lt;0,$D820&lt;&gt;"Correction"),"negative amount - use a Correction to undo",IF(OR($B820&lt;Weeks!$A$7,$B820&gt;Weeks!$B$59),"date outside this workbook's year",IF(AND($D820="Advance",N($L820)&lt;0),"Warning: more than earned so far - worker now owes "&amp;TEXT(ROUND(-$L820,0),"#,##0"),"")))))))))</f>
        <v/>
      </c>
      <c r="N820" s="125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  <c r="AC820" s="126"/>
      <c r="AD820" s="126"/>
      <c r="AE820" s="126"/>
      <c r="AF820" s="126"/>
      <c r="AG820" s="126"/>
      <c r="AH820" s="126"/>
      <c r="AI820" s="126"/>
      <c r="AJ820" s="126"/>
      <c r="AK820" s="126"/>
      <c r="AL820" s="126"/>
      <c r="AM820" s="126"/>
      <c r="AN820" s="126"/>
    </row>
    <row r="821" spans="1:40" s="127" customFormat="1" ht="21" customHeight="1" x14ac:dyDescent="0.25">
      <c r="A821" s="51" t="str">
        <f t="shared" si="36"/>
        <v/>
      </c>
      <c r="B821" s="77"/>
      <c r="C821" s="133"/>
      <c r="D821" s="50"/>
      <c r="E821" s="141"/>
      <c r="F821" s="133"/>
      <c r="G821" s="133"/>
      <c r="H821" s="50"/>
      <c r="I821" s="51" t="str">
        <f t="shared" si="37"/>
        <v/>
      </c>
      <c r="J821" s="52" t="str">
        <f t="shared" si="38"/>
        <v/>
      </c>
      <c r="K821" s="142" t="str">
        <f>IF(OR($I821="",$I821="?",$D821&lt;&gt;"Advance",$B821=""),"",$I821&amp;"|"&amp;$J821&amp;"|"&amp;COUNTIFS($I$7:$I821,$I821,$J$7:$J821,$J821,$D$7:$D821,"Advance"))</f>
        <v/>
      </c>
      <c r="L821" s="143" t="str">
        <f>IF(OR($I821="",$I821="?",$B821=""),"",SUMPRODUCT((Weeks!$A$7:$A$59&lt;=$J821)*(Weeks!$X$5:$AI$5=$I821)*Weeks!$X$7:$AI$59)-SUMIFS($E$7:$E$1006,$I$7:$I$1006,$I821,$B$7:$B$1006,"&lt;="&amp;$B821))</f>
        <v/>
      </c>
      <c r="M821" s="132" t="str">
        <f>IF($B821&amp;$C821&amp;$D821&amp;$E821="","",IF($B821="","missing date",IF($C821="","missing worker",IF($I821="?","unknown worker - was the name changed on Workers?",IF($D821="","missing type",IF(N($E821)=0,"missing amount",IF(AND($E821&lt;0,$D821&lt;&gt;"Correction"),"negative amount - use a Correction to undo",IF(OR($B821&lt;Weeks!$A$7,$B821&gt;Weeks!$B$59),"date outside this workbook's year",IF(AND($D821="Advance",N($L821)&lt;0),"Warning: more than earned so far - worker now owes "&amp;TEXT(ROUND(-$L821,0),"#,##0"),"")))))))))</f>
        <v/>
      </c>
      <c r="N821" s="125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  <c r="AC821" s="126"/>
      <c r="AD821" s="126"/>
      <c r="AE821" s="126"/>
      <c r="AF821" s="126"/>
      <c r="AG821" s="126"/>
      <c r="AH821" s="126"/>
      <c r="AI821" s="126"/>
      <c r="AJ821" s="126"/>
      <c r="AK821" s="126"/>
      <c r="AL821" s="126"/>
      <c r="AM821" s="126"/>
      <c r="AN821" s="126"/>
    </row>
    <row r="822" spans="1:40" s="127" customFormat="1" ht="21" customHeight="1" x14ac:dyDescent="0.25">
      <c r="A822" s="51" t="str">
        <f t="shared" si="36"/>
        <v/>
      </c>
      <c r="B822" s="77"/>
      <c r="C822" s="133"/>
      <c r="D822" s="50"/>
      <c r="E822" s="141"/>
      <c r="F822" s="133"/>
      <c r="G822" s="133"/>
      <c r="H822" s="50"/>
      <c r="I822" s="51" t="str">
        <f t="shared" si="37"/>
        <v/>
      </c>
      <c r="J822" s="52" t="str">
        <f t="shared" si="38"/>
        <v/>
      </c>
      <c r="K822" s="142" t="str">
        <f>IF(OR($I822="",$I822="?",$D822&lt;&gt;"Advance",$B822=""),"",$I822&amp;"|"&amp;$J822&amp;"|"&amp;COUNTIFS($I$7:$I822,$I822,$J$7:$J822,$J822,$D$7:$D822,"Advance"))</f>
        <v/>
      </c>
      <c r="L822" s="143" t="str">
        <f>IF(OR($I822="",$I822="?",$B822=""),"",SUMPRODUCT((Weeks!$A$7:$A$59&lt;=$J822)*(Weeks!$X$5:$AI$5=$I822)*Weeks!$X$7:$AI$59)-SUMIFS($E$7:$E$1006,$I$7:$I$1006,$I822,$B$7:$B$1006,"&lt;="&amp;$B822))</f>
        <v/>
      </c>
      <c r="M822" s="132" t="str">
        <f>IF($B822&amp;$C822&amp;$D822&amp;$E822="","",IF($B822="","missing date",IF($C822="","missing worker",IF($I822="?","unknown worker - was the name changed on Workers?",IF($D822="","missing type",IF(N($E822)=0,"missing amount",IF(AND($E822&lt;0,$D822&lt;&gt;"Correction"),"negative amount - use a Correction to undo",IF(OR($B822&lt;Weeks!$A$7,$B822&gt;Weeks!$B$59),"date outside this workbook's year",IF(AND($D822="Advance",N($L822)&lt;0),"Warning: more than earned so far - worker now owes "&amp;TEXT(ROUND(-$L822,0),"#,##0"),"")))))))))</f>
        <v/>
      </c>
      <c r="N822" s="125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  <c r="AC822" s="126"/>
      <c r="AD822" s="126"/>
      <c r="AE822" s="126"/>
      <c r="AF822" s="126"/>
      <c r="AG822" s="126"/>
      <c r="AH822" s="126"/>
      <c r="AI822" s="126"/>
      <c r="AJ822" s="126"/>
      <c r="AK822" s="126"/>
      <c r="AL822" s="126"/>
      <c r="AM822" s="126"/>
      <c r="AN822" s="126"/>
    </row>
    <row r="823" spans="1:40" s="127" customFormat="1" ht="21" customHeight="1" x14ac:dyDescent="0.25">
      <c r="A823" s="51" t="str">
        <f t="shared" si="36"/>
        <v/>
      </c>
      <c r="B823" s="77"/>
      <c r="C823" s="133"/>
      <c r="D823" s="50"/>
      <c r="E823" s="141"/>
      <c r="F823" s="133"/>
      <c r="G823" s="133"/>
      <c r="H823" s="50"/>
      <c r="I823" s="51" t="str">
        <f t="shared" si="37"/>
        <v/>
      </c>
      <c r="J823" s="52" t="str">
        <f t="shared" si="38"/>
        <v/>
      </c>
      <c r="K823" s="142" t="str">
        <f>IF(OR($I823="",$I823="?",$D823&lt;&gt;"Advance",$B823=""),"",$I823&amp;"|"&amp;$J823&amp;"|"&amp;COUNTIFS($I$7:$I823,$I823,$J$7:$J823,$J823,$D$7:$D823,"Advance"))</f>
        <v/>
      </c>
      <c r="L823" s="143" t="str">
        <f>IF(OR($I823="",$I823="?",$B823=""),"",SUMPRODUCT((Weeks!$A$7:$A$59&lt;=$J823)*(Weeks!$X$5:$AI$5=$I823)*Weeks!$X$7:$AI$59)-SUMIFS($E$7:$E$1006,$I$7:$I$1006,$I823,$B$7:$B$1006,"&lt;="&amp;$B823))</f>
        <v/>
      </c>
      <c r="M823" s="132" t="str">
        <f>IF($B823&amp;$C823&amp;$D823&amp;$E823="","",IF($B823="","missing date",IF($C823="","missing worker",IF($I823="?","unknown worker - was the name changed on Workers?",IF($D823="","missing type",IF(N($E823)=0,"missing amount",IF(AND($E823&lt;0,$D823&lt;&gt;"Correction"),"negative amount - use a Correction to undo",IF(OR($B823&lt;Weeks!$A$7,$B823&gt;Weeks!$B$59),"date outside this workbook's year",IF(AND($D823="Advance",N($L823)&lt;0),"Warning: more than earned so far - worker now owes "&amp;TEXT(ROUND(-$L823,0),"#,##0"),"")))))))))</f>
        <v/>
      </c>
      <c r="N823" s="125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  <c r="AC823" s="126"/>
      <c r="AD823" s="126"/>
      <c r="AE823" s="126"/>
      <c r="AF823" s="126"/>
      <c r="AG823" s="126"/>
      <c r="AH823" s="126"/>
      <c r="AI823" s="126"/>
      <c r="AJ823" s="126"/>
      <c r="AK823" s="126"/>
      <c r="AL823" s="126"/>
      <c r="AM823" s="126"/>
      <c r="AN823" s="126"/>
    </row>
    <row r="824" spans="1:40" s="127" customFormat="1" ht="21" customHeight="1" x14ac:dyDescent="0.25">
      <c r="A824" s="51" t="str">
        <f t="shared" si="36"/>
        <v/>
      </c>
      <c r="B824" s="77"/>
      <c r="C824" s="133"/>
      <c r="D824" s="50"/>
      <c r="E824" s="141"/>
      <c r="F824" s="133"/>
      <c r="G824" s="133"/>
      <c r="H824" s="50"/>
      <c r="I824" s="51" t="str">
        <f t="shared" si="37"/>
        <v/>
      </c>
      <c r="J824" s="52" t="str">
        <f t="shared" si="38"/>
        <v/>
      </c>
      <c r="K824" s="142" t="str">
        <f>IF(OR($I824="",$I824="?",$D824&lt;&gt;"Advance",$B824=""),"",$I824&amp;"|"&amp;$J824&amp;"|"&amp;COUNTIFS($I$7:$I824,$I824,$J$7:$J824,$J824,$D$7:$D824,"Advance"))</f>
        <v/>
      </c>
      <c r="L824" s="143" t="str">
        <f>IF(OR($I824="",$I824="?",$B824=""),"",SUMPRODUCT((Weeks!$A$7:$A$59&lt;=$J824)*(Weeks!$X$5:$AI$5=$I824)*Weeks!$X$7:$AI$59)-SUMIFS($E$7:$E$1006,$I$7:$I$1006,$I824,$B$7:$B$1006,"&lt;="&amp;$B824))</f>
        <v/>
      </c>
      <c r="M824" s="132" t="str">
        <f>IF($B824&amp;$C824&amp;$D824&amp;$E824="","",IF($B824="","missing date",IF($C824="","missing worker",IF($I824="?","unknown worker - was the name changed on Workers?",IF($D824="","missing type",IF(N($E824)=0,"missing amount",IF(AND($E824&lt;0,$D824&lt;&gt;"Correction"),"negative amount - use a Correction to undo",IF(OR($B824&lt;Weeks!$A$7,$B824&gt;Weeks!$B$59),"date outside this workbook's year",IF(AND($D824="Advance",N($L824)&lt;0),"Warning: more than earned so far - worker now owes "&amp;TEXT(ROUND(-$L824,0),"#,##0"),"")))))))))</f>
        <v/>
      </c>
      <c r="N824" s="125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  <c r="AC824" s="126"/>
      <c r="AD824" s="126"/>
      <c r="AE824" s="126"/>
      <c r="AF824" s="126"/>
      <c r="AG824" s="126"/>
      <c r="AH824" s="126"/>
      <c r="AI824" s="126"/>
      <c r="AJ824" s="126"/>
      <c r="AK824" s="126"/>
      <c r="AL824" s="126"/>
      <c r="AM824" s="126"/>
      <c r="AN824" s="126"/>
    </row>
    <row r="825" spans="1:40" s="127" customFormat="1" ht="21" customHeight="1" x14ac:dyDescent="0.25">
      <c r="A825" s="51" t="str">
        <f t="shared" si="36"/>
        <v/>
      </c>
      <c r="B825" s="77"/>
      <c r="C825" s="133"/>
      <c r="D825" s="50"/>
      <c r="E825" s="141"/>
      <c r="F825" s="133"/>
      <c r="G825" s="133"/>
      <c r="H825" s="50"/>
      <c r="I825" s="51" t="str">
        <f t="shared" si="37"/>
        <v/>
      </c>
      <c r="J825" s="52" t="str">
        <f t="shared" si="38"/>
        <v/>
      </c>
      <c r="K825" s="142" t="str">
        <f>IF(OR($I825="",$I825="?",$D825&lt;&gt;"Advance",$B825=""),"",$I825&amp;"|"&amp;$J825&amp;"|"&amp;COUNTIFS($I$7:$I825,$I825,$J$7:$J825,$J825,$D$7:$D825,"Advance"))</f>
        <v/>
      </c>
      <c r="L825" s="143" t="str">
        <f>IF(OR($I825="",$I825="?",$B825=""),"",SUMPRODUCT((Weeks!$A$7:$A$59&lt;=$J825)*(Weeks!$X$5:$AI$5=$I825)*Weeks!$X$7:$AI$59)-SUMIFS($E$7:$E$1006,$I$7:$I$1006,$I825,$B$7:$B$1006,"&lt;="&amp;$B825))</f>
        <v/>
      </c>
      <c r="M825" s="132" t="str">
        <f>IF($B825&amp;$C825&amp;$D825&amp;$E825="","",IF($B825="","missing date",IF($C825="","missing worker",IF($I825="?","unknown worker - was the name changed on Workers?",IF($D825="","missing type",IF(N($E825)=0,"missing amount",IF(AND($E825&lt;0,$D825&lt;&gt;"Correction"),"negative amount - use a Correction to undo",IF(OR($B825&lt;Weeks!$A$7,$B825&gt;Weeks!$B$59),"date outside this workbook's year",IF(AND($D825="Advance",N($L825)&lt;0),"Warning: more than earned so far - worker now owes "&amp;TEXT(ROUND(-$L825,0),"#,##0"),"")))))))))</f>
        <v/>
      </c>
      <c r="N825" s="125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  <c r="AC825" s="126"/>
      <c r="AD825" s="126"/>
      <c r="AE825" s="126"/>
      <c r="AF825" s="126"/>
      <c r="AG825" s="126"/>
      <c r="AH825" s="126"/>
      <c r="AI825" s="126"/>
      <c r="AJ825" s="126"/>
      <c r="AK825" s="126"/>
      <c r="AL825" s="126"/>
      <c r="AM825" s="126"/>
      <c r="AN825" s="126"/>
    </row>
    <row r="826" spans="1:40" s="127" customFormat="1" ht="21" customHeight="1" x14ac:dyDescent="0.25">
      <c r="A826" s="51" t="str">
        <f t="shared" si="36"/>
        <v/>
      </c>
      <c r="B826" s="77"/>
      <c r="C826" s="133"/>
      <c r="D826" s="50"/>
      <c r="E826" s="141"/>
      <c r="F826" s="133"/>
      <c r="G826" s="133"/>
      <c r="H826" s="50"/>
      <c r="I826" s="51" t="str">
        <f t="shared" si="37"/>
        <v/>
      </c>
      <c r="J826" s="52" t="str">
        <f t="shared" si="38"/>
        <v/>
      </c>
      <c r="K826" s="142" t="str">
        <f>IF(OR($I826="",$I826="?",$D826&lt;&gt;"Advance",$B826=""),"",$I826&amp;"|"&amp;$J826&amp;"|"&amp;COUNTIFS($I$7:$I826,$I826,$J$7:$J826,$J826,$D$7:$D826,"Advance"))</f>
        <v/>
      </c>
      <c r="L826" s="143" t="str">
        <f>IF(OR($I826="",$I826="?",$B826=""),"",SUMPRODUCT((Weeks!$A$7:$A$59&lt;=$J826)*(Weeks!$X$5:$AI$5=$I826)*Weeks!$X$7:$AI$59)-SUMIFS($E$7:$E$1006,$I$7:$I$1006,$I826,$B$7:$B$1006,"&lt;="&amp;$B826))</f>
        <v/>
      </c>
      <c r="M826" s="132" t="str">
        <f>IF($B826&amp;$C826&amp;$D826&amp;$E826="","",IF($B826="","missing date",IF($C826="","missing worker",IF($I826="?","unknown worker - was the name changed on Workers?",IF($D826="","missing type",IF(N($E826)=0,"missing amount",IF(AND($E826&lt;0,$D826&lt;&gt;"Correction"),"negative amount - use a Correction to undo",IF(OR($B826&lt;Weeks!$A$7,$B826&gt;Weeks!$B$59),"date outside this workbook's year",IF(AND($D826="Advance",N($L826)&lt;0),"Warning: more than earned so far - worker now owes "&amp;TEXT(ROUND(-$L826,0),"#,##0"),"")))))))))</f>
        <v/>
      </c>
      <c r="N826" s="125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  <c r="AC826" s="126"/>
      <c r="AD826" s="126"/>
      <c r="AE826" s="126"/>
      <c r="AF826" s="126"/>
      <c r="AG826" s="126"/>
      <c r="AH826" s="126"/>
      <c r="AI826" s="126"/>
      <c r="AJ826" s="126"/>
      <c r="AK826" s="126"/>
      <c r="AL826" s="126"/>
      <c r="AM826" s="126"/>
      <c r="AN826" s="126"/>
    </row>
    <row r="827" spans="1:40" s="127" customFormat="1" ht="21" customHeight="1" x14ac:dyDescent="0.25">
      <c r="A827" s="51" t="str">
        <f t="shared" si="36"/>
        <v/>
      </c>
      <c r="B827" s="77"/>
      <c r="C827" s="133"/>
      <c r="D827" s="50"/>
      <c r="E827" s="141"/>
      <c r="F827" s="133"/>
      <c r="G827" s="133"/>
      <c r="H827" s="50"/>
      <c r="I827" s="51" t="str">
        <f t="shared" si="37"/>
        <v/>
      </c>
      <c r="J827" s="52" t="str">
        <f t="shared" si="38"/>
        <v/>
      </c>
      <c r="K827" s="142" t="str">
        <f>IF(OR($I827="",$I827="?",$D827&lt;&gt;"Advance",$B827=""),"",$I827&amp;"|"&amp;$J827&amp;"|"&amp;COUNTIFS($I$7:$I827,$I827,$J$7:$J827,$J827,$D$7:$D827,"Advance"))</f>
        <v/>
      </c>
      <c r="L827" s="143" t="str">
        <f>IF(OR($I827="",$I827="?",$B827=""),"",SUMPRODUCT((Weeks!$A$7:$A$59&lt;=$J827)*(Weeks!$X$5:$AI$5=$I827)*Weeks!$X$7:$AI$59)-SUMIFS($E$7:$E$1006,$I$7:$I$1006,$I827,$B$7:$B$1006,"&lt;="&amp;$B827))</f>
        <v/>
      </c>
      <c r="M827" s="132" t="str">
        <f>IF($B827&amp;$C827&amp;$D827&amp;$E827="","",IF($B827="","missing date",IF($C827="","missing worker",IF($I827="?","unknown worker - was the name changed on Workers?",IF($D827="","missing type",IF(N($E827)=0,"missing amount",IF(AND($E827&lt;0,$D827&lt;&gt;"Correction"),"negative amount - use a Correction to undo",IF(OR($B827&lt;Weeks!$A$7,$B827&gt;Weeks!$B$59),"date outside this workbook's year",IF(AND($D827="Advance",N($L827)&lt;0),"Warning: more than earned so far - worker now owes "&amp;TEXT(ROUND(-$L827,0),"#,##0"),"")))))))))</f>
        <v/>
      </c>
      <c r="N827" s="125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  <c r="AC827" s="126"/>
      <c r="AD827" s="126"/>
      <c r="AE827" s="126"/>
      <c r="AF827" s="126"/>
      <c r="AG827" s="126"/>
      <c r="AH827" s="126"/>
      <c r="AI827" s="126"/>
      <c r="AJ827" s="126"/>
      <c r="AK827" s="126"/>
      <c r="AL827" s="126"/>
      <c r="AM827" s="126"/>
      <c r="AN827" s="126"/>
    </row>
    <row r="828" spans="1:40" s="127" customFormat="1" ht="21" customHeight="1" x14ac:dyDescent="0.25">
      <c r="A828" s="51" t="str">
        <f t="shared" si="36"/>
        <v/>
      </c>
      <c r="B828" s="77"/>
      <c r="C828" s="133"/>
      <c r="D828" s="50"/>
      <c r="E828" s="141"/>
      <c r="F828" s="133"/>
      <c r="G828" s="133"/>
      <c r="H828" s="50"/>
      <c r="I828" s="51" t="str">
        <f t="shared" si="37"/>
        <v/>
      </c>
      <c r="J828" s="52" t="str">
        <f t="shared" si="38"/>
        <v/>
      </c>
      <c r="K828" s="142" t="str">
        <f>IF(OR($I828="",$I828="?",$D828&lt;&gt;"Advance",$B828=""),"",$I828&amp;"|"&amp;$J828&amp;"|"&amp;COUNTIFS($I$7:$I828,$I828,$J$7:$J828,$J828,$D$7:$D828,"Advance"))</f>
        <v/>
      </c>
      <c r="L828" s="143" t="str">
        <f>IF(OR($I828="",$I828="?",$B828=""),"",SUMPRODUCT((Weeks!$A$7:$A$59&lt;=$J828)*(Weeks!$X$5:$AI$5=$I828)*Weeks!$X$7:$AI$59)-SUMIFS($E$7:$E$1006,$I$7:$I$1006,$I828,$B$7:$B$1006,"&lt;="&amp;$B828))</f>
        <v/>
      </c>
      <c r="M828" s="132" t="str">
        <f>IF($B828&amp;$C828&amp;$D828&amp;$E828="","",IF($B828="","missing date",IF($C828="","missing worker",IF($I828="?","unknown worker - was the name changed on Workers?",IF($D828="","missing type",IF(N($E828)=0,"missing amount",IF(AND($E828&lt;0,$D828&lt;&gt;"Correction"),"negative amount - use a Correction to undo",IF(OR($B828&lt;Weeks!$A$7,$B828&gt;Weeks!$B$59),"date outside this workbook's year",IF(AND($D828="Advance",N($L828)&lt;0),"Warning: more than earned so far - worker now owes "&amp;TEXT(ROUND(-$L828,0),"#,##0"),"")))))))))</f>
        <v/>
      </c>
      <c r="N828" s="125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  <c r="AC828" s="126"/>
      <c r="AD828" s="126"/>
      <c r="AE828" s="126"/>
      <c r="AF828" s="126"/>
      <c r="AG828" s="126"/>
      <c r="AH828" s="126"/>
      <c r="AI828" s="126"/>
      <c r="AJ828" s="126"/>
      <c r="AK828" s="126"/>
      <c r="AL828" s="126"/>
      <c r="AM828" s="126"/>
      <c r="AN828" s="126"/>
    </row>
    <row r="829" spans="1:40" s="127" customFormat="1" ht="21" customHeight="1" x14ac:dyDescent="0.25">
      <c r="A829" s="51" t="str">
        <f t="shared" si="36"/>
        <v/>
      </c>
      <c r="B829" s="77"/>
      <c r="C829" s="133"/>
      <c r="D829" s="50"/>
      <c r="E829" s="141"/>
      <c r="F829" s="133"/>
      <c r="G829" s="133"/>
      <c r="H829" s="50"/>
      <c r="I829" s="51" t="str">
        <f t="shared" si="37"/>
        <v/>
      </c>
      <c r="J829" s="52" t="str">
        <f t="shared" si="38"/>
        <v/>
      </c>
      <c r="K829" s="142" t="str">
        <f>IF(OR($I829="",$I829="?",$D829&lt;&gt;"Advance",$B829=""),"",$I829&amp;"|"&amp;$J829&amp;"|"&amp;COUNTIFS($I$7:$I829,$I829,$J$7:$J829,$J829,$D$7:$D829,"Advance"))</f>
        <v/>
      </c>
      <c r="L829" s="143" t="str">
        <f>IF(OR($I829="",$I829="?",$B829=""),"",SUMPRODUCT((Weeks!$A$7:$A$59&lt;=$J829)*(Weeks!$X$5:$AI$5=$I829)*Weeks!$X$7:$AI$59)-SUMIFS($E$7:$E$1006,$I$7:$I$1006,$I829,$B$7:$B$1006,"&lt;="&amp;$B829))</f>
        <v/>
      </c>
      <c r="M829" s="132" t="str">
        <f>IF($B829&amp;$C829&amp;$D829&amp;$E829="","",IF($B829="","missing date",IF($C829="","missing worker",IF($I829="?","unknown worker - was the name changed on Workers?",IF($D829="","missing type",IF(N($E829)=0,"missing amount",IF(AND($E829&lt;0,$D829&lt;&gt;"Correction"),"negative amount - use a Correction to undo",IF(OR($B829&lt;Weeks!$A$7,$B829&gt;Weeks!$B$59),"date outside this workbook's year",IF(AND($D829="Advance",N($L829)&lt;0),"Warning: more than earned so far - worker now owes "&amp;TEXT(ROUND(-$L829,0),"#,##0"),"")))))))))</f>
        <v/>
      </c>
      <c r="N829" s="125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  <c r="AC829" s="126"/>
      <c r="AD829" s="126"/>
      <c r="AE829" s="126"/>
      <c r="AF829" s="126"/>
      <c r="AG829" s="126"/>
      <c r="AH829" s="126"/>
      <c r="AI829" s="126"/>
      <c r="AJ829" s="126"/>
      <c r="AK829" s="126"/>
      <c r="AL829" s="126"/>
      <c r="AM829" s="126"/>
      <c r="AN829" s="126"/>
    </row>
    <row r="830" spans="1:40" s="127" customFormat="1" ht="21" customHeight="1" x14ac:dyDescent="0.25">
      <c r="A830" s="51" t="str">
        <f t="shared" si="36"/>
        <v/>
      </c>
      <c r="B830" s="77"/>
      <c r="C830" s="133"/>
      <c r="D830" s="50"/>
      <c r="E830" s="141"/>
      <c r="F830" s="133"/>
      <c r="G830" s="133"/>
      <c r="H830" s="50"/>
      <c r="I830" s="51" t="str">
        <f t="shared" si="37"/>
        <v/>
      </c>
      <c r="J830" s="52" t="str">
        <f t="shared" si="38"/>
        <v/>
      </c>
      <c r="K830" s="142" t="str">
        <f>IF(OR($I830="",$I830="?",$D830&lt;&gt;"Advance",$B830=""),"",$I830&amp;"|"&amp;$J830&amp;"|"&amp;COUNTIFS($I$7:$I830,$I830,$J$7:$J830,$J830,$D$7:$D830,"Advance"))</f>
        <v/>
      </c>
      <c r="L830" s="143" t="str">
        <f>IF(OR($I830="",$I830="?",$B830=""),"",SUMPRODUCT((Weeks!$A$7:$A$59&lt;=$J830)*(Weeks!$X$5:$AI$5=$I830)*Weeks!$X$7:$AI$59)-SUMIFS($E$7:$E$1006,$I$7:$I$1006,$I830,$B$7:$B$1006,"&lt;="&amp;$B830))</f>
        <v/>
      </c>
      <c r="M830" s="132" t="str">
        <f>IF($B830&amp;$C830&amp;$D830&amp;$E830="","",IF($B830="","missing date",IF($C830="","missing worker",IF($I830="?","unknown worker - was the name changed on Workers?",IF($D830="","missing type",IF(N($E830)=0,"missing amount",IF(AND($E830&lt;0,$D830&lt;&gt;"Correction"),"negative amount - use a Correction to undo",IF(OR($B830&lt;Weeks!$A$7,$B830&gt;Weeks!$B$59),"date outside this workbook's year",IF(AND($D830="Advance",N($L830)&lt;0),"Warning: more than earned so far - worker now owes "&amp;TEXT(ROUND(-$L830,0),"#,##0"),"")))))))))</f>
        <v/>
      </c>
      <c r="N830" s="125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  <c r="AC830" s="126"/>
      <c r="AD830" s="126"/>
      <c r="AE830" s="126"/>
      <c r="AF830" s="126"/>
      <c r="AG830" s="126"/>
      <c r="AH830" s="126"/>
      <c r="AI830" s="126"/>
      <c r="AJ830" s="126"/>
      <c r="AK830" s="126"/>
      <c r="AL830" s="126"/>
      <c r="AM830" s="126"/>
      <c r="AN830" s="126"/>
    </row>
    <row r="831" spans="1:40" s="127" customFormat="1" ht="21" customHeight="1" x14ac:dyDescent="0.25">
      <c r="A831" s="51" t="str">
        <f t="shared" si="36"/>
        <v/>
      </c>
      <c r="B831" s="77"/>
      <c r="C831" s="133"/>
      <c r="D831" s="50"/>
      <c r="E831" s="141"/>
      <c r="F831" s="133"/>
      <c r="G831" s="133"/>
      <c r="H831" s="50"/>
      <c r="I831" s="51" t="str">
        <f t="shared" si="37"/>
        <v/>
      </c>
      <c r="J831" s="52" t="str">
        <f t="shared" si="38"/>
        <v/>
      </c>
      <c r="K831" s="142" t="str">
        <f>IF(OR($I831="",$I831="?",$D831&lt;&gt;"Advance",$B831=""),"",$I831&amp;"|"&amp;$J831&amp;"|"&amp;COUNTIFS($I$7:$I831,$I831,$J$7:$J831,$J831,$D$7:$D831,"Advance"))</f>
        <v/>
      </c>
      <c r="L831" s="143" t="str">
        <f>IF(OR($I831="",$I831="?",$B831=""),"",SUMPRODUCT((Weeks!$A$7:$A$59&lt;=$J831)*(Weeks!$X$5:$AI$5=$I831)*Weeks!$X$7:$AI$59)-SUMIFS($E$7:$E$1006,$I$7:$I$1006,$I831,$B$7:$B$1006,"&lt;="&amp;$B831))</f>
        <v/>
      </c>
      <c r="M831" s="132" t="str">
        <f>IF($B831&amp;$C831&amp;$D831&amp;$E831="","",IF($B831="","missing date",IF($C831="","missing worker",IF($I831="?","unknown worker - was the name changed on Workers?",IF($D831="","missing type",IF(N($E831)=0,"missing amount",IF(AND($E831&lt;0,$D831&lt;&gt;"Correction"),"negative amount - use a Correction to undo",IF(OR($B831&lt;Weeks!$A$7,$B831&gt;Weeks!$B$59),"date outside this workbook's year",IF(AND($D831="Advance",N($L831)&lt;0),"Warning: more than earned so far - worker now owes "&amp;TEXT(ROUND(-$L831,0),"#,##0"),"")))))))))</f>
        <v/>
      </c>
      <c r="N831" s="125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  <c r="AC831" s="126"/>
      <c r="AD831" s="126"/>
      <c r="AE831" s="126"/>
      <c r="AF831" s="126"/>
      <c r="AG831" s="126"/>
      <c r="AH831" s="126"/>
      <c r="AI831" s="126"/>
      <c r="AJ831" s="126"/>
      <c r="AK831" s="126"/>
      <c r="AL831" s="126"/>
      <c r="AM831" s="126"/>
      <c r="AN831" s="126"/>
    </row>
    <row r="832" spans="1:40" s="127" customFormat="1" ht="21" customHeight="1" x14ac:dyDescent="0.25">
      <c r="A832" s="51" t="str">
        <f t="shared" si="36"/>
        <v/>
      </c>
      <c r="B832" s="77"/>
      <c r="C832" s="133"/>
      <c r="D832" s="50"/>
      <c r="E832" s="141"/>
      <c r="F832" s="133"/>
      <c r="G832" s="133"/>
      <c r="H832" s="50"/>
      <c r="I832" s="51" t="str">
        <f t="shared" si="37"/>
        <v/>
      </c>
      <c r="J832" s="52" t="str">
        <f t="shared" si="38"/>
        <v/>
      </c>
      <c r="K832" s="142" t="str">
        <f>IF(OR($I832="",$I832="?",$D832&lt;&gt;"Advance",$B832=""),"",$I832&amp;"|"&amp;$J832&amp;"|"&amp;COUNTIFS($I$7:$I832,$I832,$J$7:$J832,$J832,$D$7:$D832,"Advance"))</f>
        <v/>
      </c>
      <c r="L832" s="143" t="str">
        <f>IF(OR($I832="",$I832="?",$B832=""),"",SUMPRODUCT((Weeks!$A$7:$A$59&lt;=$J832)*(Weeks!$X$5:$AI$5=$I832)*Weeks!$X$7:$AI$59)-SUMIFS($E$7:$E$1006,$I$7:$I$1006,$I832,$B$7:$B$1006,"&lt;="&amp;$B832))</f>
        <v/>
      </c>
      <c r="M832" s="132" t="str">
        <f>IF($B832&amp;$C832&amp;$D832&amp;$E832="","",IF($B832="","missing date",IF($C832="","missing worker",IF($I832="?","unknown worker - was the name changed on Workers?",IF($D832="","missing type",IF(N($E832)=0,"missing amount",IF(AND($E832&lt;0,$D832&lt;&gt;"Correction"),"negative amount - use a Correction to undo",IF(OR($B832&lt;Weeks!$A$7,$B832&gt;Weeks!$B$59),"date outside this workbook's year",IF(AND($D832="Advance",N($L832)&lt;0),"Warning: more than earned so far - worker now owes "&amp;TEXT(ROUND(-$L832,0),"#,##0"),"")))))))))</f>
        <v/>
      </c>
      <c r="N832" s="125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  <c r="AC832" s="126"/>
      <c r="AD832" s="126"/>
      <c r="AE832" s="126"/>
      <c r="AF832" s="126"/>
      <c r="AG832" s="126"/>
      <c r="AH832" s="126"/>
      <c r="AI832" s="126"/>
      <c r="AJ832" s="126"/>
      <c r="AK832" s="126"/>
      <c r="AL832" s="126"/>
      <c r="AM832" s="126"/>
      <c r="AN832" s="126"/>
    </row>
    <row r="833" spans="1:40" s="127" customFormat="1" ht="21" customHeight="1" x14ac:dyDescent="0.25">
      <c r="A833" s="51" t="str">
        <f t="shared" si="36"/>
        <v/>
      </c>
      <c r="B833" s="77"/>
      <c r="C833" s="133"/>
      <c r="D833" s="50"/>
      <c r="E833" s="141"/>
      <c r="F833" s="133"/>
      <c r="G833" s="133"/>
      <c r="H833" s="50"/>
      <c r="I833" s="51" t="str">
        <f t="shared" si="37"/>
        <v/>
      </c>
      <c r="J833" s="52" t="str">
        <f t="shared" si="38"/>
        <v/>
      </c>
      <c r="K833" s="142" t="str">
        <f>IF(OR($I833="",$I833="?",$D833&lt;&gt;"Advance",$B833=""),"",$I833&amp;"|"&amp;$J833&amp;"|"&amp;COUNTIFS($I$7:$I833,$I833,$J$7:$J833,$J833,$D$7:$D833,"Advance"))</f>
        <v/>
      </c>
      <c r="L833" s="143" t="str">
        <f>IF(OR($I833="",$I833="?",$B833=""),"",SUMPRODUCT((Weeks!$A$7:$A$59&lt;=$J833)*(Weeks!$X$5:$AI$5=$I833)*Weeks!$X$7:$AI$59)-SUMIFS($E$7:$E$1006,$I$7:$I$1006,$I833,$B$7:$B$1006,"&lt;="&amp;$B833))</f>
        <v/>
      </c>
      <c r="M833" s="132" t="str">
        <f>IF($B833&amp;$C833&amp;$D833&amp;$E833="","",IF($B833="","missing date",IF($C833="","missing worker",IF($I833="?","unknown worker - was the name changed on Workers?",IF($D833="","missing type",IF(N($E833)=0,"missing amount",IF(AND($E833&lt;0,$D833&lt;&gt;"Correction"),"negative amount - use a Correction to undo",IF(OR($B833&lt;Weeks!$A$7,$B833&gt;Weeks!$B$59),"date outside this workbook's year",IF(AND($D833="Advance",N($L833)&lt;0),"Warning: more than earned so far - worker now owes "&amp;TEXT(ROUND(-$L833,0),"#,##0"),"")))))))))</f>
        <v/>
      </c>
      <c r="N833" s="125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  <c r="AC833" s="126"/>
      <c r="AD833" s="126"/>
      <c r="AE833" s="126"/>
      <c r="AF833" s="126"/>
      <c r="AG833" s="126"/>
      <c r="AH833" s="126"/>
      <c r="AI833" s="126"/>
      <c r="AJ833" s="126"/>
      <c r="AK833" s="126"/>
      <c r="AL833" s="126"/>
      <c r="AM833" s="126"/>
      <c r="AN833" s="126"/>
    </row>
    <row r="834" spans="1:40" s="127" customFormat="1" ht="21" customHeight="1" x14ac:dyDescent="0.25">
      <c r="A834" s="51" t="str">
        <f t="shared" si="36"/>
        <v/>
      </c>
      <c r="B834" s="77"/>
      <c r="C834" s="133"/>
      <c r="D834" s="50"/>
      <c r="E834" s="141"/>
      <c r="F834" s="133"/>
      <c r="G834" s="133"/>
      <c r="H834" s="50"/>
      <c r="I834" s="51" t="str">
        <f t="shared" si="37"/>
        <v/>
      </c>
      <c r="J834" s="52" t="str">
        <f t="shared" si="38"/>
        <v/>
      </c>
      <c r="K834" s="142" t="str">
        <f>IF(OR($I834="",$I834="?",$D834&lt;&gt;"Advance",$B834=""),"",$I834&amp;"|"&amp;$J834&amp;"|"&amp;COUNTIFS($I$7:$I834,$I834,$J$7:$J834,$J834,$D$7:$D834,"Advance"))</f>
        <v/>
      </c>
      <c r="L834" s="143" t="str">
        <f>IF(OR($I834="",$I834="?",$B834=""),"",SUMPRODUCT((Weeks!$A$7:$A$59&lt;=$J834)*(Weeks!$X$5:$AI$5=$I834)*Weeks!$X$7:$AI$59)-SUMIFS($E$7:$E$1006,$I$7:$I$1006,$I834,$B$7:$B$1006,"&lt;="&amp;$B834))</f>
        <v/>
      </c>
      <c r="M834" s="132" t="str">
        <f>IF($B834&amp;$C834&amp;$D834&amp;$E834="","",IF($B834="","missing date",IF($C834="","missing worker",IF($I834="?","unknown worker - was the name changed on Workers?",IF($D834="","missing type",IF(N($E834)=0,"missing amount",IF(AND($E834&lt;0,$D834&lt;&gt;"Correction"),"negative amount - use a Correction to undo",IF(OR($B834&lt;Weeks!$A$7,$B834&gt;Weeks!$B$59),"date outside this workbook's year",IF(AND($D834="Advance",N($L834)&lt;0),"Warning: more than earned so far - worker now owes "&amp;TEXT(ROUND(-$L834,0),"#,##0"),"")))))))))</f>
        <v/>
      </c>
      <c r="N834" s="125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  <c r="AC834" s="126"/>
      <c r="AD834" s="126"/>
      <c r="AE834" s="126"/>
      <c r="AF834" s="126"/>
      <c r="AG834" s="126"/>
      <c r="AH834" s="126"/>
      <c r="AI834" s="126"/>
      <c r="AJ834" s="126"/>
      <c r="AK834" s="126"/>
      <c r="AL834" s="126"/>
      <c r="AM834" s="126"/>
      <c r="AN834" s="126"/>
    </row>
    <row r="835" spans="1:40" s="127" customFormat="1" ht="21" customHeight="1" x14ac:dyDescent="0.25">
      <c r="A835" s="51" t="str">
        <f t="shared" si="36"/>
        <v/>
      </c>
      <c r="B835" s="77"/>
      <c r="C835" s="133"/>
      <c r="D835" s="50"/>
      <c r="E835" s="141"/>
      <c r="F835" s="133"/>
      <c r="G835" s="133"/>
      <c r="H835" s="50"/>
      <c r="I835" s="51" t="str">
        <f t="shared" si="37"/>
        <v/>
      </c>
      <c r="J835" s="52" t="str">
        <f t="shared" si="38"/>
        <v/>
      </c>
      <c r="K835" s="142" t="str">
        <f>IF(OR($I835="",$I835="?",$D835&lt;&gt;"Advance",$B835=""),"",$I835&amp;"|"&amp;$J835&amp;"|"&amp;COUNTIFS($I$7:$I835,$I835,$J$7:$J835,$J835,$D$7:$D835,"Advance"))</f>
        <v/>
      </c>
      <c r="L835" s="143" t="str">
        <f>IF(OR($I835="",$I835="?",$B835=""),"",SUMPRODUCT((Weeks!$A$7:$A$59&lt;=$J835)*(Weeks!$X$5:$AI$5=$I835)*Weeks!$X$7:$AI$59)-SUMIFS($E$7:$E$1006,$I$7:$I$1006,$I835,$B$7:$B$1006,"&lt;="&amp;$B835))</f>
        <v/>
      </c>
      <c r="M835" s="132" t="str">
        <f>IF($B835&amp;$C835&amp;$D835&amp;$E835="","",IF($B835="","missing date",IF($C835="","missing worker",IF($I835="?","unknown worker - was the name changed on Workers?",IF($D835="","missing type",IF(N($E835)=0,"missing amount",IF(AND($E835&lt;0,$D835&lt;&gt;"Correction"),"negative amount - use a Correction to undo",IF(OR($B835&lt;Weeks!$A$7,$B835&gt;Weeks!$B$59),"date outside this workbook's year",IF(AND($D835="Advance",N($L835)&lt;0),"Warning: more than earned so far - worker now owes "&amp;TEXT(ROUND(-$L835,0),"#,##0"),"")))))))))</f>
        <v/>
      </c>
      <c r="N835" s="125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  <c r="AC835" s="126"/>
      <c r="AD835" s="126"/>
      <c r="AE835" s="126"/>
      <c r="AF835" s="126"/>
      <c r="AG835" s="126"/>
      <c r="AH835" s="126"/>
      <c r="AI835" s="126"/>
      <c r="AJ835" s="126"/>
      <c r="AK835" s="126"/>
      <c r="AL835" s="126"/>
      <c r="AM835" s="126"/>
      <c r="AN835" s="126"/>
    </row>
    <row r="836" spans="1:40" s="127" customFormat="1" ht="21" customHeight="1" x14ac:dyDescent="0.25">
      <c r="A836" s="51" t="str">
        <f t="shared" si="36"/>
        <v/>
      </c>
      <c r="B836" s="77"/>
      <c r="C836" s="133"/>
      <c r="D836" s="50"/>
      <c r="E836" s="141"/>
      <c r="F836" s="133"/>
      <c r="G836" s="133"/>
      <c r="H836" s="50"/>
      <c r="I836" s="51" t="str">
        <f t="shared" si="37"/>
        <v/>
      </c>
      <c r="J836" s="52" t="str">
        <f t="shared" si="38"/>
        <v/>
      </c>
      <c r="K836" s="142" t="str">
        <f>IF(OR($I836="",$I836="?",$D836&lt;&gt;"Advance",$B836=""),"",$I836&amp;"|"&amp;$J836&amp;"|"&amp;COUNTIFS($I$7:$I836,$I836,$J$7:$J836,$J836,$D$7:$D836,"Advance"))</f>
        <v/>
      </c>
      <c r="L836" s="143" t="str">
        <f>IF(OR($I836="",$I836="?",$B836=""),"",SUMPRODUCT((Weeks!$A$7:$A$59&lt;=$J836)*(Weeks!$X$5:$AI$5=$I836)*Weeks!$X$7:$AI$59)-SUMIFS($E$7:$E$1006,$I$7:$I$1006,$I836,$B$7:$B$1006,"&lt;="&amp;$B836))</f>
        <v/>
      </c>
      <c r="M836" s="132" t="str">
        <f>IF($B836&amp;$C836&amp;$D836&amp;$E836="","",IF($B836="","missing date",IF($C836="","missing worker",IF($I836="?","unknown worker - was the name changed on Workers?",IF($D836="","missing type",IF(N($E836)=0,"missing amount",IF(AND($E836&lt;0,$D836&lt;&gt;"Correction"),"negative amount - use a Correction to undo",IF(OR($B836&lt;Weeks!$A$7,$B836&gt;Weeks!$B$59),"date outside this workbook's year",IF(AND($D836="Advance",N($L836)&lt;0),"Warning: more than earned so far - worker now owes "&amp;TEXT(ROUND(-$L836,0),"#,##0"),"")))))))))</f>
        <v/>
      </c>
      <c r="N836" s="125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  <c r="AC836" s="126"/>
      <c r="AD836" s="126"/>
      <c r="AE836" s="126"/>
      <c r="AF836" s="126"/>
      <c r="AG836" s="126"/>
      <c r="AH836" s="126"/>
      <c r="AI836" s="126"/>
      <c r="AJ836" s="126"/>
      <c r="AK836" s="126"/>
      <c r="AL836" s="126"/>
      <c r="AM836" s="126"/>
      <c r="AN836" s="126"/>
    </row>
    <row r="837" spans="1:40" s="127" customFormat="1" ht="21" customHeight="1" x14ac:dyDescent="0.25">
      <c r="A837" s="51" t="str">
        <f t="shared" si="36"/>
        <v/>
      </c>
      <c r="B837" s="77"/>
      <c r="C837" s="133"/>
      <c r="D837" s="50"/>
      <c r="E837" s="141"/>
      <c r="F837" s="133"/>
      <c r="G837" s="133"/>
      <c r="H837" s="50"/>
      <c r="I837" s="51" t="str">
        <f t="shared" si="37"/>
        <v/>
      </c>
      <c r="J837" s="52" t="str">
        <f t="shared" si="38"/>
        <v/>
      </c>
      <c r="K837" s="142" t="str">
        <f>IF(OR($I837="",$I837="?",$D837&lt;&gt;"Advance",$B837=""),"",$I837&amp;"|"&amp;$J837&amp;"|"&amp;COUNTIFS($I$7:$I837,$I837,$J$7:$J837,$J837,$D$7:$D837,"Advance"))</f>
        <v/>
      </c>
      <c r="L837" s="143" t="str">
        <f>IF(OR($I837="",$I837="?",$B837=""),"",SUMPRODUCT((Weeks!$A$7:$A$59&lt;=$J837)*(Weeks!$X$5:$AI$5=$I837)*Weeks!$X$7:$AI$59)-SUMIFS($E$7:$E$1006,$I$7:$I$1006,$I837,$B$7:$B$1006,"&lt;="&amp;$B837))</f>
        <v/>
      </c>
      <c r="M837" s="132" t="str">
        <f>IF($B837&amp;$C837&amp;$D837&amp;$E837="","",IF($B837="","missing date",IF($C837="","missing worker",IF($I837="?","unknown worker - was the name changed on Workers?",IF($D837="","missing type",IF(N($E837)=0,"missing amount",IF(AND($E837&lt;0,$D837&lt;&gt;"Correction"),"negative amount - use a Correction to undo",IF(OR($B837&lt;Weeks!$A$7,$B837&gt;Weeks!$B$59),"date outside this workbook's year",IF(AND($D837="Advance",N($L837)&lt;0),"Warning: more than earned so far - worker now owes "&amp;TEXT(ROUND(-$L837,0),"#,##0"),"")))))))))</f>
        <v/>
      </c>
      <c r="N837" s="125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  <c r="AC837" s="126"/>
      <c r="AD837" s="126"/>
      <c r="AE837" s="126"/>
      <c r="AF837" s="126"/>
      <c r="AG837" s="126"/>
      <c r="AH837" s="126"/>
      <c r="AI837" s="126"/>
      <c r="AJ837" s="126"/>
      <c r="AK837" s="126"/>
      <c r="AL837" s="126"/>
      <c r="AM837" s="126"/>
      <c r="AN837" s="126"/>
    </row>
    <row r="838" spans="1:40" s="127" customFormat="1" ht="21" customHeight="1" x14ac:dyDescent="0.25">
      <c r="A838" s="51" t="str">
        <f t="shared" si="36"/>
        <v/>
      </c>
      <c r="B838" s="77"/>
      <c r="C838" s="133"/>
      <c r="D838" s="50"/>
      <c r="E838" s="141"/>
      <c r="F838" s="133"/>
      <c r="G838" s="133"/>
      <c r="H838" s="50"/>
      <c r="I838" s="51" t="str">
        <f t="shared" si="37"/>
        <v/>
      </c>
      <c r="J838" s="52" t="str">
        <f t="shared" si="38"/>
        <v/>
      </c>
      <c r="K838" s="142" t="str">
        <f>IF(OR($I838="",$I838="?",$D838&lt;&gt;"Advance",$B838=""),"",$I838&amp;"|"&amp;$J838&amp;"|"&amp;COUNTIFS($I$7:$I838,$I838,$J$7:$J838,$J838,$D$7:$D838,"Advance"))</f>
        <v/>
      </c>
      <c r="L838" s="143" t="str">
        <f>IF(OR($I838="",$I838="?",$B838=""),"",SUMPRODUCT((Weeks!$A$7:$A$59&lt;=$J838)*(Weeks!$X$5:$AI$5=$I838)*Weeks!$X$7:$AI$59)-SUMIFS($E$7:$E$1006,$I$7:$I$1006,$I838,$B$7:$B$1006,"&lt;="&amp;$B838))</f>
        <v/>
      </c>
      <c r="M838" s="132" t="str">
        <f>IF($B838&amp;$C838&amp;$D838&amp;$E838="","",IF($B838="","missing date",IF($C838="","missing worker",IF($I838="?","unknown worker - was the name changed on Workers?",IF($D838="","missing type",IF(N($E838)=0,"missing amount",IF(AND($E838&lt;0,$D838&lt;&gt;"Correction"),"negative amount - use a Correction to undo",IF(OR($B838&lt;Weeks!$A$7,$B838&gt;Weeks!$B$59),"date outside this workbook's year",IF(AND($D838="Advance",N($L838)&lt;0),"Warning: more than earned so far - worker now owes "&amp;TEXT(ROUND(-$L838,0),"#,##0"),"")))))))))</f>
        <v/>
      </c>
      <c r="N838" s="125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  <c r="AC838" s="126"/>
      <c r="AD838" s="126"/>
      <c r="AE838" s="126"/>
      <c r="AF838" s="126"/>
      <c r="AG838" s="126"/>
      <c r="AH838" s="126"/>
      <c r="AI838" s="126"/>
      <c r="AJ838" s="126"/>
      <c r="AK838" s="126"/>
      <c r="AL838" s="126"/>
      <c r="AM838" s="126"/>
      <c r="AN838" s="126"/>
    </row>
    <row r="839" spans="1:40" s="127" customFormat="1" ht="21" customHeight="1" x14ac:dyDescent="0.25">
      <c r="A839" s="51" t="str">
        <f t="shared" ref="A839:A902" si="39">IF($B839="","",ROW()-6)</f>
        <v/>
      </c>
      <c r="B839" s="77"/>
      <c r="C839" s="133"/>
      <c r="D839" s="50"/>
      <c r="E839" s="141"/>
      <c r="F839" s="133"/>
      <c r="G839" s="133"/>
      <c r="H839" s="50"/>
      <c r="I839" s="51" t="str">
        <f t="shared" ref="I839:I902" si="40">IF($C839="","",IFERROR(INDEX(WorkerIDs,MATCH($C839,WorkerNames,0)),"?"))</f>
        <v/>
      </c>
      <c r="J839" s="52" t="str">
        <f t="shared" ref="J839:J902" si="41">IF($B839="","",$B839-WEEKDAY($B839,2)+1)</f>
        <v/>
      </c>
      <c r="K839" s="142" t="str">
        <f>IF(OR($I839="",$I839="?",$D839&lt;&gt;"Advance",$B839=""),"",$I839&amp;"|"&amp;$J839&amp;"|"&amp;COUNTIFS($I$7:$I839,$I839,$J$7:$J839,$J839,$D$7:$D839,"Advance"))</f>
        <v/>
      </c>
      <c r="L839" s="143" t="str">
        <f>IF(OR($I839="",$I839="?",$B839=""),"",SUMPRODUCT((Weeks!$A$7:$A$59&lt;=$J839)*(Weeks!$X$5:$AI$5=$I839)*Weeks!$X$7:$AI$59)-SUMIFS($E$7:$E$1006,$I$7:$I$1006,$I839,$B$7:$B$1006,"&lt;="&amp;$B839))</f>
        <v/>
      </c>
      <c r="M839" s="132" t="str">
        <f>IF($B839&amp;$C839&amp;$D839&amp;$E839="","",IF($B839="","missing date",IF($C839="","missing worker",IF($I839="?","unknown worker - was the name changed on Workers?",IF($D839="","missing type",IF(N($E839)=0,"missing amount",IF(AND($E839&lt;0,$D839&lt;&gt;"Correction"),"negative amount - use a Correction to undo",IF(OR($B839&lt;Weeks!$A$7,$B839&gt;Weeks!$B$59),"date outside this workbook's year",IF(AND($D839="Advance",N($L839)&lt;0),"Warning: more than earned so far - worker now owes "&amp;TEXT(ROUND(-$L839,0),"#,##0"),"")))))))))</f>
        <v/>
      </c>
      <c r="N839" s="125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  <c r="AC839" s="126"/>
      <c r="AD839" s="126"/>
      <c r="AE839" s="126"/>
      <c r="AF839" s="126"/>
      <c r="AG839" s="126"/>
      <c r="AH839" s="126"/>
      <c r="AI839" s="126"/>
      <c r="AJ839" s="126"/>
      <c r="AK839" s="126"/>
      <c r="AL839" s="126"/>
      <c r="AM839" s="126"/>
      <c r="AN839" s="126"/>
    </row>
    <row r="840" spans="1:40" s="127" customFormat="1" ht="21" customHeight="1" x14ac:dyDescent="0.25">
      <c r="A840" s="51" t="str">
        <f t="shared" si="39"/>
        <v/>
      </c>
      <c r="B840" s="77"/>
      <c r="C840" s="133"/>
      <c r="D840" s="50"/>
      <c r="E840" s="141"/>
      <c r="F840" s="133"/>
      <c r="G840" s="133"/>
      <c r="H840" s="50"/>
      <c r="I840" s="51" t="str">
        <f t="shared" si="40"/>
        <v/>
      </c>
      <c r="J840" s="52" t="str">
        <f t="shared" si="41"/>
        <v/>
      </c>
      <c r="K840" s="142" t="str">
        <f>IF(OR($I840="",$I840="?",$D840&lt;&gt;"Advance",$B840=""),"",$I840&amp;"|"&amp;$J840&amp;"|"&amp;COUNTIFS($I$7:$I840,$I840,$J$7:$J840,$J840,$D$7:$D840,"Advance"))</f>
        <v/>
      </c>
      <c r="L840" s="143" t="str">
        <f>IF(OR($I840="",$I840="?",$B840=""),"",SUMPRODUCT((Weeks!$A$7:$A$59&lt;=$J840)*(Weeks!$X$5:$AI$5=$I840)*Weeks!$X$7:$AI$59)-SUMIFS($E$7:$E$1006,$I$7:$I$1006,$I840,$B$7:$B$1006,"&lt;="&amp;$B840))</f>
        <v/>
      </c>
      <c r="M840" s="132" t="str">
        <f>IF($B840&amp;$C840&amp;$D840&amp;$E840="","",IF($B840="","missing date",IF($C840="","missing worker",IF($I840="?","unknown worker - was the name changed on Workers?",IF($D840="","missing type",IF(N($E840)=0,"missing amount",IF(AND($E840&lt;0,$D840&lt;&gt;"Correction"),"negative amount - use a Correction to undo",IF(OR($B840&lt;Weeks!$A$7,$B840&gt;Weeks!$B$59),"date outside this workbook's year",IF(AND($D840="Advance",N($L840)&lt;0),"Warning: more than earned so far - worker now owes "&amp;TEXT(ROUND(-$L840,0),"#,##0"),"")))))))))</f>
        <v/>
      </c>
      <c r="N840" s="125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  <c r="AC840" s="126"/>
      <c r="AD840" s="126"/>
      <c r="AE840" s="126"/>
      <c r="AF840" s="126"/>
      <c r="AG840" s="126"/>
      <c r="AH840" s="126"/>
      <c r="AI840" s="126"/>
      <c r="AJ840" s="126"/>
      <c r="AK840" s="126"/>
      <c r="AL840" s="126"/>
      <c r="AM840" s="126"/>
      <c r="AN840" s="126"/>
    </row>
    <row r="841" spans="1:40" s="127" customFormat="1" ht="21" customHeight="1" x14ac:dyDescent="0.25">
      <c r="A841" s="51" t="str">
        <f t="shared" si="39"/>
        <v/>
      </c>
      <c r="B841" s="77"/>
      <c r="C841" s="133"/>
      <c r="D841" s="50"/>
      <c r="E841" s="141"/>
      <c r="F841" s="133"/>
      <c r="G841" s="133"/>
      <c r="H841" s="50"/>
      <c r="I841" s="51" t="str">
        <f t="shared" si="40"/>
        <v/>
      </c>
      <c r="J841" s="52" t="str">
        <f t="shared" si="41"/>
        <v/>
      </c>
      <c r="K841" s="142" t="str">
        <f>IF(OR($I841="",$I841="?",$D841&lt;&gt;"Advance",$B841=""),"",$I841&amp;"|"&amp;$J841&amp;"|"&amp;COUNTIFS($I$7:$I841,$I841,$J$7:$J841,$J841,$D$7:$D841,"Advance"))</f>
        <v/>
      </c>
      <c r="L841" s="143" t="str">
        <f>IF(OR($I841="",$I841="?",$B841=""),"",SUMPRODUCT((Weeks!$A$7:$A$59&lt;=$J841)*(Weeks!$X$5:$AI$5=$I841)*Weeks!$X$7:$AI$59)-SUMIFS($E$7:$E$1006,$I$7:$I$1006,$I841,$B$7:$B$1006,"&lt;="&amp;$B841))</f>
        <v/>
      </c>
      <c r="M841" s="132" t="str">
        <f>IF($B841&amp;$C841&amp;$D841&amp;$E841="","",IF($B841="","missing date",IF($C841="","missing worker",IF($I841="?","unknown worker - was the name changed on Workers?",IF($D841="","missing type",IF(N($E841)=0,"missing amount",IF(AND($E841&lt;0,$D841&lt;&gt;"Correction"),"negative amount - use a Correction to undo",IF(OR($B841&lt;Weeks!$A$7,$B841&gt;Weeks!$B$59),"date outside this workbook's year",IF(AND($D841="Advance",N($L841)&lt;0),"Warning: more than earned so far - worker now owes "&amp;TEXT(ROUND(-$L841,0),"#,##0"),"")))))))))</f>
        <v/>
      </c>
      <c r="N841" s="125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126"/>
      <c r="AG841" s="126"/>
      <c r="AH841" s="126"/>
      <c r="AI841" s="126"/>
      <c r="AJ841" s="126"/>
      <c r="AK841" s="126"/>
      <c r="AL841" s="126"/>
      <c r="AM841" s="126"/>
      <c r="AN841" s="126"/>
    </row>
    <row r="842" spans="1:40" s="127" customFormat="1" ht="21" customHeight="1" x14ac:dyDescent="0.25">
      <c r="A842" s="51" t="str">
        <f t="shared" si="39"/>
        <v/>
      </c>
      <c r="B842" s="77"/>
      <c r="C842" s="133"/>
      <c r="D842" s="50"/>
      <c r="E842" s="141"/>
      <c r="F842" s="133"/>
      <c r="G842" s="133"/>
      <c r="H842" s="50"/>
      <c r="I842" s="51" t="str">
        <f t="shared" si="40"/>
        <v/>
      </c>
      <c r="J842" s="52" t="str">
        <f t="shared" si="41"/>
        <v/>
      </c>
      <c r="K842" s="142" t="str">
        <f>IF(OR($I842="",$I842="?",$D842&lt;&gt;"Advance",$B842=""),"",$I842&amp;"|"&amp;$J842&amp;"|"&amp;COUNTIFS($I$7:$I842,$I842,$J$7:$J842,$J842,$D$7:$D842,"Advance"))</f>
        <v/>
      </c>
      <c r="L842" s="143" t="str">
        <f>IF(OR($I842="",$I842="?",$B842=""),"",SUMPRODUCT((Weeks!$A$7:$A$59&lt;=$J842)*(Weeks!$X$5:$AI$5=$I842)*Weeks!$X$7:$AI$59)-SUMIFS($E$7:$E$1006,$I$7:$I$1006,$I842,$B$7:$B$1006,"&lt;="&amp;$B842))</f>
        <v/>
      </c>
      <c r="M842" s="132" t="str">
        <f>IF($B842&amp;$C842&amp;$D842&amp;$E842="","",IF($B842="","missing date",IF($C842="","missing worker",IF($I842="?","unknown worker - was the name changed on Workers?",IF($D842="","missing type",IF(N($E842)=0,"missing amount",IF(AND($E842&lt;0,$D842&lt;&gt;"Correction"),"negative amount - use a Correction to undo",IF(OR($B842&lt;Weeks!$A$7,$B842&gt;Weeks!$B$59),"date outside this workbook's year",IF(AND($D842="Advance",N($L842)&lt;0),"Warning: more than earned so far - worker now owes "&amp;TEXT(ROUND(-$L842,0),"#,##0"),"")))))))))</f>
        <v/>
      </c>
      <c r="N842" s="125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  <c r="AC842" s="126"/>
      <c r="AD842" s="126"/>
      <c r="AE842" s="126"/>
      <c r="AF842" s="126"/>
      <c r="AG842" s="126"/>
      <c r="AH842" s="126"/>
      <c r="AI842" s="126"/>
      <c r="AJ842" s="126"/>
      <c r="AK842" s="126"/>
      <c r="AL842" s="126"/>
      <c r="AM842" s="126"/>
      <c r="AN842" s="126"/>
    </row>
    <row r="843" spans="1:40" s="127" customFormat="1" ht="21" customHeight="1" x14ac:dyDescent="0.25">
      <c r="A843" s="51" t="str">
        <f t="shared" si="39"/>
        <v/>
      </c>
      <c r="B843" s="77"/>
      <c r="C843" s="133"/>
      <c r="D843" s="50"/>
      <c r="E843" s="141"/>
      <c r="F843" s="133"/>
      <c r="G843" s="133"/>
      <c r="H843" s="50"/>
      <c r="I843" s="51" t="str">
        <f t="shared" si="40"/>
        <v/>
      </c>
      <c r="J843" s="52" t="str">
        <f t="shared" si="41"/>
        <v/>
      </c>
      <c r="K843" s="142" t="str">
        <f>IF(OR($I843="",$I843="?",$D843&lt;&gt;"Advance",$B843=""),"",$I843&amp;"|"&amp;$J843&amp;"|"&amp;COUNTIFS($I$7:$I843,$I843,$J$7:$J843,$J843,$D$7:$D843,"Advance"))</f>
        <v/>
      </c>
      <c r="L843" s="143" t="str">
        <f>IF(OR($I843="",$I843="?",$B843=""),"",SUMPRODUCT((Weeks!$A$7:$A$59&lt;=$J843)*(Weeks!$X$5:$AI$5=$I843)*Weeks!$X$7:$AI$59)-SUMIFS($E$7:$E$1006,$I$7:$I$1006,$I843,$B$7:$B$1006,"&lt;="&amp;$B843))</f>
        <v/>
      </c>
      <c r="M843" s="132" t="str">
        <f>IF($B843&amp;$C843&amp;$D843&amp;$E843="","",IF($B843="","missing date",IF($C843="","missing worker",IF($I843="?","unknown worker - was the name changed on Workers?",IF($D843="","missing type",IF(N($E843)=0,"missing amount",IF(AND($E843&lt;0,$D843&lt;&gt;"Correction"),"negative amount - use a Correction to undo",IF(OR($B843&lt;Weeks!$A$7,$B843&gt;Weeks!$B$59),"date outside this workbook's year",IF(AND($D843="Advance",N($L843)&lt;0),"Warning: more than earned so far - worker now owes "&amp;TEXT(ROUND(-$L843,0),"#,##0"),"")))))))))</f>
        <v/>
      </c>
      <c r="N843" s="125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  <c r="AC843" s="126"/>
      <c r="AD843" s="126"/>
      <c r="AE843" s="126"/>
      <c r="AF843" s="126"/>
      <c r="AG843" s="126"/>
      <c r="AH843" s="126"/>
      <c r="AI843" s="126"/>
      <c r="AJ843" s="126"/>
      <c r="AK843" s="126"/>
      <c r="AL843" s="126"/>
      <c r="AM843" s="126"/>
      <c r="AN843" s="126"/>
    </row>
    <row r="844" spans="1:40" s="127" customFormat="1" ht="21" customHeight="1" x14ac:dyDescent="0.25">
      <c r="A844" s="51" t="str">
        <f t="shared" si="39"/>
        <v/>
      </c>
      <c r="B844" s="77"/>
      <c r="C844" s="133"/>
      <c r="D844" s="50"/>
      <c r="E844" s="141"/>
      <c r="F844" s="133"/>
      <c r="G844" s="133"/>
      <c r="H844" s="50"/>
      <c r="I844" s="51" t="str">
        <f t="shared" si="40"/>
        <v/>
      </c>
      <c r="J844" s="52" t="str">
        <f t="shared" si="41"/>
        <v/>
      </c>
      <c r="K844" s="142" t="str">
        <f>IF(OR($I844="",$I844="?",$D844&lt;&gt;"Advance",$B844=""),"",$I844&amp;"|"&amp;$J844&amp;"|"&amp;COUNTIFS($I$7:$I844,$I844,$J$7:$J844,$J844,$D$7:$D844,"Advance"))</f>
        <v/>
      </c>
      <c r="L844" s="143" t="str">
        <f>IF(OR($I844="",$I844="?",$B844=""),"",SUMPRODUCT((Weeks!$A$7:$A$59&lt;=$J844)*(Weeks!$X$5:$AI$5=$I844)*Weeks!$X$7:$AI$59)-SUMIFS($E$7:$E$1006,$I$7:$I$1006,$I844,$B$7:$B$1006,"&lt;="&amp;$B844))</f>
        <v/>
      </c>
      <c r="M844" s="132" t="str">
        <f>IF($B844&amp;$C844&amp;$D844&amp;$E844="","",IF($B844="","missing date",IF($C844="","missing worker",IF($I844="?","unknown worker - was the name changed on Workers?",IF($D844="","missing type",IF(N($E844)=0,"missing amount",IF(AND($E844&lt;0,$D844&lt;&gt;"Correction"),"negative amount - use a Correction to undo",IF(OR($B844&lt;Weeks!$A$7,$B844&gt;Weeks!$B$59),"date outside this workbook's year",IF(AND($D844="Advance",N($L844)&lt;0),"Warning: more than earned so far - worker now owes "&amp;TEXT(ROUND(-$L844,0),"#,##0"),"")))))))))</f>
        <v/>
      </c>
      <c r="N844" s="125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  <c r="AC844" s="126"/>
      <c r="AD844" s="126"/>
      <c r="AE844" s="126"/>
      <c r="AF844" s="126"/>
      <c r="AG844" s="126"/>
      <c r="AH844" s="126"/>
      <c r="AI844" s="126"/>
      <c r="AJ844" s="126"/>
      <c r="AK844" s="126"/>
      <c r="AL844" s="126"/>
      <c r="AM844" s="126"/>
      <c r="AN844" s="126"/>
    </row>
    <row r="845" spans="1:40" s="127" customFormat="1" ht="21" customHeight="1" x14ac:dyDescent="0.25">
      <c r="A845" s="51" t="str">
        <f t="shared" si="39"/>
        <v/>
      </c>
      <c r="B845" s="77"/>
      <c r="C845" s="133"/>
      <c r="D845" s="50"/>
      <c r="E845" s="141"/>
      <c r="F845" s="133"/>
      <c r="G845" s="133"/>
      <c r="H845" s="50"/>
      <c r="I845" s="51" t="str">
        <f t="shared" si="40"/>
        <v/>
      </c>
      <c r="J845" s="52" t="str">
        <f t="shared" si="41"/>
        <v/>
      </c>
      <c r="K845" s="142" t="str">
        <f>IF(OR($I845="",$I845="?",$D845&lt;&gt;"Advance",$B845=""),"",$I845&amp;"|"&amp;$J845&amp;"|"&amp;COUNTIFS($I$7:$I845,$I845,$J$7:$J845,$J845,$D$7:$D845,"Advance"))</f>
        <v/>
      </c>
      <c r="L845" s="143" t="str">
        <f>IF(OR($I845="",$I845="?",$B845=""),"",SUMPRODUCT((Weeks!$A$7:$A$59&lt;=$J845)*(Weeks!$X$5:$AI$5=$I845)*Weeks!$X$7:$AI$59)-SUMIFS($E$7:$E$1006,$I$7:$I$1006,$I845,$B$7:$B$1006,"&lt;="&amp;$B845))</f>
        <v/>
      </c>
      <c r="M845" s="132" t="str">
        <f>IF($B845&amp;$C845&amp;$D845&amp;$E845="","",IF($B845="","missing date",IF($C845="","missing worker",IF($I845="?","unknown worker - was the name changed on Workers?",IF($D845="","missing type",IF(N($E845)=0,"missing amount",IF(AND($E845&lt;0,$D845&lt;&gt;"Correction"),"negative amount - use a Correction to undo",IF(OR($B845&lt;Weeks!$A$7,$B845&gt;Weeks!$B$59),"date outside this workbook's year",IF(AND($D845="Advance",N($L845)&lt;0),"Warning: more than earned so far - worker now owes "&amp;TEXT(ROUND(-$L845,0),"#,##0"),"")))))))))</f>
        <v/>
      </c>
      <c r="N845" s="125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  <c r="AC845" s="126"/>
      <c r="AD845" s="126"/>
      <c r="AE845" s="126"/>
      <c r="AF845" s="126"/>
      <c r="AG845" s="126"/>
      <c r="AH845" s="126"/>
      <c r="AI845" s="126"/>
      <c r="AJ845" s="126"/>
      <c r="AK845" s="126"/>
      <c r="AL845" s="126"/>
      <c r="AM845" s="126"/>
      <c r="AN845" s="126"/>
    </row>
    <row r="846" spans="1:40" s="127" customFormat="1" ht="21" customHeight="1" x14ac:dyDescent="0.25">
      <c r="A846" s="51" t="str">
        <f t="shared" si="39"/>
        <v/>
      </c>
      <c r="B846" s="77"/>
      <c r="C846" s="133"/>
      <c r="D846" s="50"/>
      <c r="E846" s="141"/>
      <c r="F846" s="133"/>
      <c r="G846" s="133"/>
      <c r="H846" s="50"/>
      <c r="I846" s="51" t="str">
        <f t="shared" si="40"/>
        <v/>
      </c>
      <c r="J846" s="52" t="str">
        <f t="shared" si="41"/>
        <v/>
      </c>
      <c r="K846" s="142" t="str">
        <f>IF(OR($I846="",$I846="?",$D846&lt;&gt;"Advance",$B846=""),"",$I846&amp;"|"&amp;$J846&amp;"|"&amp;COUNTIFS($I$7:$I846,$I846,$J$7:$J846,$J846,$D$7:$D846,"Advance"))</f>
        <v/>
      </c>
      <c r="L846" s="143" t="str">
        <f>IF(OR($I846="",$I846="?",$B846=""),"",SUMPRODUCT((Weeks!$A$7:$A$59&lt;=$J846)*(Weeks!$X$5:$AI$5=$I846)*Weeks!$X$7:$AI$59)-SUMIFS($E$7:$E$1006,$I$7:$I$1006,$I846,$B$7:$B$1006,"&lt;="&amp;$B846))</f>
        <v/>
      </c>
      <c r="M846" s="132" t="str">
        <f>IF($B846&amp;$C846&amp;$D846&amp;$E846="","",IF($B846="","missing date",IF($C846="","missing worker",IF($I846="?","unknown worker - was the name changed on Workers?",IF($D846="","missing type",IF(N($E846)=0,"missing amount",IF(AND($E846&lt;0,$D846&lt;&gt;"Correction"),"negative amount - use a Correction to undo",IF(OR($B846&lt;Weeks!$A$7,$B846&gt;Weeks!$B$59),"date outside this workbook's year",IF(AND($D846="Advance",N($L846)&lt;0),"Warning: more than earned so far - worker now owes "&amp;TEXT(ROUND(-$L846,0),"#,##0"),"")))))))))</f>
        <v/>
      </c>
      <c r="N846" s="125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  <c r="AC846" s="126"/>
      <c r="AD846" s="126"/>
      <c r="AE846" s="126"/>
      <c r="AF846" s="126"/>
      <c r="AG846" s="126"/>
      <c r="AH846" s="126"/>
      <c r="AI846" s="126"/>
      <c r="AJ846" s="126"/>
      <c r="AK846" s="126"/>
      <c r="AL846" s="126"/>
      <c r="AM846" s="126"/>
      <c r="AN846" s="126"/>
    </row>
    <row r="847" spans="1:40" s="127" customFormat="1" ht="21" customHeight="1" x14ac:dyDescent="0.25">
      <c r="A847" s="51" t="str">
        <f t="shared" si="39"/>
        <v/>
      </c>
      <c r="B847" s="77"/>
      <c r="C847" s="133"/>
      <c r="D847" s="50"/>
      <c r="E847" s="141"/>
      <c r="F847" s="133"/>
      <c r="G847" s="133"/>
      <c r="H847" s="50"/>
      <c r="I847" s="51" t="str">
        <f t="shared" si="40"/>
        <v/>
      </c>
      <c r="J847" s="52" t="str">
        <f t="shared" si="41"/>
        <v/>
      </c>
      <c r="K847" s="142" t="str">
        <f>IF(OR($I847="",$I847="?",$D847&lt;&gt;"Advance",$B847=""),"",$I847&amp;"|"&amp;$J847&amp;"|"&amp;COUNTIFS($I$7:$I847,$I847,$J$7:$J847,$J847,$D$7:$D847,"Advance"))</f>
        <v/>
      </c>
      <c r="L847" s="143" t="str">
        <f>IF(OR($I847="",$I847="?",$B847=""),"",SUMPRODUCT((Weeks!$A$7:$A$59&lt;=$J847)*(Weeks!$X$5:$AI$5=$I847)*Weeks!$X$7:$AI$59)-SUMIFS($E$7:$E$1006,$I$7:$I$1006,$I847,$B$7:$B$1006,"&lt;="&amp;$B847))</f>
        <v/>
      </c>
      <c r="M847" s="132" t="str">
        <f>IF($B847&amp;$C847&amp;$D847&amp;$E847="","",IF($B847="","missing date",IF($C847="","missing worker",IF($I847="?","unknown worker - was the name changed on Workers?",IF($D847="","missing type",IF(N($E847)=0,"missing amount",IF(AND($E847&lt;0,$D847&lt;&gt;"Correction"),"negative amount - use a Correction to undo",IF(OR($B847&lt;Weeks!$A$7,$B847&gt;Weeks!$B$59),"date outside this workbook's year",IF(AND($D847="Advance",N($L847)&lt;0),"Warning: more than earned so far - worker now owes "&amp;TEXT(ROUND(-$L847,0),"#,##0"),"")))))))))</f>
        <v/>
      </c>
      <c r="N847" s="125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  <c r="AC847" s="126"/>
      <c r="AD847" s="126"/>
      <c r="AE847" s="126"/>
      <c r="AF847" s="126"/>
      <c r="AG847" s="126"/>
      <c r="AH847" s="126"/>
      <c r="AI847" s="126"/>
      <c r="AJ847" s="126"/>
      <c r="AK847" s="126"/>
      <c r="AL847" s="126"/>
      <c r="AM847" s="126"/>
      <c r="AN847" s="126"/>
    </row>
    <row r="848" spans="1:40" s="127" customFormat="1" ht="21" customHeight="1" x14ac:dyDescent="0.25">
      <c r="A848" s="51" t="str">
        <f t="shared" si="39"/>
        <v/>
      </c>
      <c r="B848" s="77"/>
      <c r="C848" s="133"/>
      <c r="D848" s="50"/>
      <c r="E848" s="141"/>
      <c r="F848" s="133"/>
      <c r="G848" s="133"/>
      <c r="H848" s="50"/>
      <c r="I848" s="51" t="str">
        <f t="shared" si="40"/>
        <v/>
      </c>
      <c r="J848" s="52" t="str">
        <f t="shared" si="41"/>
        <v/>
      </c>
      <c r="K848" s="142" t="str">
        <f>IF(OR($I848="",$I848="?",$D848&lt;&gt;"Advance",$B848=""),"",$I848&amp;"|"&amp;$J848&amp;"|"&amp;COUNTIFS($I$7:$I848,$I848,$J$7:$J848,$J848,$D$7:$D848,"Advance"))</f>
        <v/>
      </c>
      <c r="L848" s="143" t="str">
        <f>IF(OR($I848="",$I848="?",$B848=""),"",SUMPRODUCT((Weeks!$A$7:$A$59&lt;=$J848)*(Weeks!$X$5:$AI$5=$I848)*Weeks!$X$7:$AI$59)-SUMIFS($E$7:$E$1006,$I$7:$I$1006,$I848,$B$7:$B$1006,"&lt;="&amp;$B848))</f>
        <v/>
      </c>
      <c r="M848" s="132" t="str">
        <f>IF($B848&amp;$C848&amp;$D848&amp;$E848="","",IF($B848="","missing date",IF($C848="","missing worker",IF($I848="?","unknown worker - was the name changed on Workers?",IF($D848="","missing type",IF(N($E848)=0,"missing amount",IF(AND($E848&lt;0,$D848&lt;&gt;"Correction"),"negative amount - use a Correction to undo",IF(OR($B848&lt;Weeks!$A$7,$B848&gt;Weeks!$B$59),"date outside this workbook's year",IF(AND($D848="Advance",N($L848)&lt;0),"Warning: more than earned so far - worker now owes "&amp;TEXT(ROUND(-$L848,0),"#,##0"),"")))))))))</f>
        <v/>
      </c>
      <c r="N848" s="125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  <c r="AC848" s="126"/>
      <c r="AD848" s="126"/>
      <c r="AE848" s="126"/>
      <c r="AF848" s="126"/>
      <c r="AG848" s="126"/>
      <c r="AH848" s="126"/>
      <c r="AI848" s="126"/>
      <c r="AJ848" s="126"/>
      <c r="AK848" s="126"/>
      <c r="AL848" s="126"/>
      <c r="AM848" s="126"/>
      <c r="AN848" s="126"/>
    </row>
    <row r="849" spans="1:40" s="127" customFormat="1" ht="21" customHeight="1" x14ac:dyDescent="0.25">
      <c r="A849" s="51" t="str">
        <f t="shared" si="39"/>
        <v/>
      </c>
      <c r="B849" s="77"/>
      <c r="C849" s="133"/>
      <c r="D849" s="50"/>
      <c r="E849" s="141"/>
      <c r="F849" s="133"/>
      <c r="G849" s="133"/>
      <c r="H849" s="50"/>
      <c r="I849" s="51" t="str">
        <f t="shared" si="40"/>
        <v/>
      </c>
      <c r="J849" s="52" t="str">
        <f t="shared" si="41"/>
        <v/>
      </c>
      <c r="K849" s="142" t="str">
        <f>IF(OR($I849="",$I849="?",$D849&lt;&gt;"Advance",$B849=""),"",$I849&amp;"|"&amp;$J849&amp;"|"&amp;COUNTIFS($I$7:$I849,$I849,$J$7:$J849,$J849,$D$7:$D849,"Advance"))</f>
        <v/>
      </c>
      <c r="L849" s="143" t="str">
        <f>IF(OR($I849="",$I849="?",$B849=""),"",SUMPRODUCT((Weeks!$A$7:$A$59&lt;=$J849)*(Weeks!$X$5:$AI$5=$I849)*Weeks!$X$7:$AI$59)-SUMIFS($E$7:$E$1006,$I$7:$I$1006,$I849,$B$7:$B$1006,"&lt;="&amp;$B849))</f>
        <v/>
      </c>
      <c r="M849" s="132" t="str">
        <f>IF($B849&amp;$C849&amp;$D849&amp;$E849="","",IF($B849="","missing date",IF($C849="","missing worker",IF($I849="?","unknown worker - was the name changed on Workers?",IF($D849="","missing type",IF(N($E849)=0,"missing amount",IF(AND($E849&lt;0,$D849&lt;&gt;"Correction"),"negative amount - use a Correction to undo",IF(OR($B849&lt;Weeks!$A$7,$B849&gt;Weeks!$B$59),"date outside this workbook's year",IF(AND($D849="Advance",N($L849)&lt;0),"Warning: more than earned so far - worker now owes "&amp;TEXT(ROUND(-$L849,0),"#,##0"),"")))))))))</f>
        <v/>
      </c>
      <c r="N849" s="125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  <c r="AC849" s="126"/>
      <c r="AD849" s="126"/>
      <c r="AE849" s="126"/>
      <c r="AF849" s="126"/>
      <c r="AG849" s="126"/>
      <c r="AH849" s="126"/>
      <c r="AI849" s="126"/>
      <c r="AJ849" s="126"/>
      <c r="AK849" s="126"/>
      <c r="AL849" s="126"/>
      <c r="AM849" s="126"/>
      <c r="AN849" s="126"/>
    </row>
    <row r="850" spans="1:40" s="127" customFormat="1" ht="21" customHeight="1" x14ac:dyDescent="0.25">
      <c r="A850" s="51" t="str">
        <f t="shared" si="39"/>
        <v/>
      </c>
      <c r="B850" s="77"/>
      <c r="C850" s="133"/>
      <c r="D850" s="50"/>
      <c r="E850" s="141"/>
      <c r="F850" s="133"/>
      <c r="G850" s="133"/>
      <c r="H850" s="50"/>
      <c r="I850" s="51" t="str">
        <f t="shared" si="40"/>
        <v/>
      </c>
      <c r="J850" s="52" t="str">
        <f t="shared" si="41"/>
        <v/>
      </c>
      <c r="K850" s="142" t="str">
        <f>IF(OR($I850="",$I850="?",$D850&lt;&gt;"Advance",$B850=""),"",$I850&amp;"|"&amp;$J850&amp;"|"&amp;COUNTIFS($I$7:$I850,$I850,$J$7:$J850,$J850,$D$7:$D850,"Advance"))</f>
        <v/>
      </c>
      <c r="L850" s="143" t="str">
        <f>IF(OR($I850="",$I850="?",$B850=""),"",SUMPRODUCT((Weeks!$A$7:$A$59&lt;=$J850)*(Weeks!$X$5:$AI$5=$I850)*Weeks!$X$7:$AI$59)-SUMIFS($E$7:$E$1006,$I$7:$I$1006,$I850,$B$7:$B$1006,"&lt;="&amp;$B850))</f>
        <v/>
      </c>
      <c r="M850" s="132" t="str">
        <f>IF($B850&amp;$C850&amp;$D850&amp;$E850="","",IF($B850="","missing date",IF($C850="","missing worker",IF($I850="?","unknown worker - was the name changed on Workers?",IF($D850="","missing type",IF(N($E850)=0,"missing amount",IF(AND($E850&lt;0,$D850&lt;&gt;"Correction"),"negative amount - use a Correction to undo",IF(OR($B850&lt;Weeks!$A$7,$B850&gt;Weeks!$B$59),"date outside this workbook's year",IF(AND($D850="Advance",N($L850)&lt;0),"Warning: more than earned so far - worker now owes "&amp;TEXT(ROUND(-$L850,0),"#,##0"),"")))))))))</f>
        <v/>
      </c>
      <c r="N850" s="125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  <c r="AC850" s="126"/>
      <c r="AD850" s="126"/>
      <c r="AE850" s="126"/>
      <c r="AF850" s="126"/>
      <c r="AG850" s="126"/>
      <c r="AH850" s="126"/>
      <c r="AI850" s="126"/>
      <c r="AJ850" s="126"/>
      <c r="AK850" s="126"/>
      <c r="AL850" s="126"/>
      <c r="AM850" s="126"/>
      <c r="AN850" s="126"/>
    </row>
    <row r="851" spans="1:40" s="127" customFormat="1" ht="21" customHeight="1" x14ac:dyDescent="0.25">
      <c r="A851" s="51" t="str">
        <f t="shared" si="39"/>
        <v/>
      </c>
      <c r="B851" s="77"/>
      <c r="C851" s="133"/>
      <c r="D851" s="50"/>
      <c r="E851" s="141"/>
      <c r="F851" s="133"/>
      <c r="G851" s="133"/>
      <c r="H851" s="50"/>
      <c r="I851" s="51" t="str">
        <f t="shared" si="40"/>
        <v/>
      </c>
      <c r="J851" s="52" t="str">
        <f t="shared" si="41"/>
        <v/>
      </c>
      <c r="K851" s="142" t="str">
        <f>IF(OR($I851="",$I851="?",$D851&lt;&gt;"Advance",$B851=""),"",$I851&amp;"|"&amp;$J851&amp;"|"&amp;COUNTIFS($I$7:$I851,$I851,$J$7:$J851,$J851,$D$7:$D851,"Advance"))</f>
        <v/>
      </c>
      <c r="L851" s="143" t="str">
        <f>IF(OR($I851="",$I851="?",$B851=""),"",SUMPRODUCT((Weeks!$A$7:$A$59&lt;=$J851)*(Weeks!$X$5:$AI$5=$I851)*Weeks!$X$7:$AI$59)-SUMIFS($E$7:$E$1006,$I$7:$I$1006,$I851,$B$7:$B$1006,"&lt;="&amp;$B851))</f>
        <v/>
      </c>
      <c r="M851" s="132" t="str">
        <f>IF($B851&amp;$C851&amp;$D851&amp;$E851="","",IF($B851="","missing date",IF($C851="","missing worker",IF($I851="?","unknown worker - was the name changed on Workers?",IF($D851="","missing type",IF(N($E851)=0,"missing amount",IF(AND($E851&lt;0,$D851&lt;&gt;"Correction"),"negative amount - use a Correction to undo",IF(OR($B851&lt;Weeks!$A$7,$B851&gt;Weeks!$B$59),"date outside this workbook's year",IF(AND($D851="Advance",N($L851)&lt;0),"Warning: more than earned so far - worker now owes "&amp;TEXT(ROUND(-$L851,0),"#,##0"),"")))))))))</f>
        <v/>
      </c>
      <c r="N851" s="125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  <c r="AC851" s="126"/>
      <c r="AD851" s="126"/>
      <c r="AE851" s="126"/>
      <c r="AF851" s="126"/>
      <c r="AG851" s="126"/>
      <c r="AH851" s="126"/>
      <c r="AI851" s="126"/>
      <c r="AJ851" s="126"/>
      <c r="AK851" s="126"/>
      <c r="AL851" s="126"/>
      <c r="AM851" s="126"/>
      <c r="AN851" s="126"/>
    </row>
    <row r="852" spans="1:40" s="127" customFormat="1" ht="21" customHeight="1" x14ac:dyDescent="0.25">
      <c r="A852" s="51" t="str">
        <f t="shared" si="39"/>
        <v/>
      </c>
      <c r="B852" s="77"/>
      <c r="C852" s="133"/>
      <c r="D852" s="50"/>
      <c r="E852" s="141"/>
      <c r="F852" s="133"/>
      <c r="G852" s="133"/>
      <c r="H852" s="50"/>
      <c r="I852" s="51" t="str">
        <f t="shared" si="40"/>
        <v/>
      </c>
      <c r="J852" s="52" t="str">
        <f t="shared" si="41"/>
        <v/>
      </c>
      <c r="K852" s="142" t="str">
        <f>IF(OR($I852="",$I852="?",$D852&lt;&gt;"Advance",$B852=""),"",$I852&amp;"|"&amp;$J852&amp;"|"&amp;COUNTIFS($I$7:$I852,$I852,$J$7:$J852,$J852,$D$7:$D852,"Advance"))</f>
        <v/>
      </c>
      <c r="L852" s="143" t="str">
        <f>IF(OR($I852="",$I852="?",$B852=""),"",SUMPRODUCT((Weeks!$A$7:$A$59&lt;=$J852)*(Weeks!$X$5:$AI$5=$I852)*Weeks!$X$7:$AI$59)-SUMIFS($E$7:$E$1006,$I$7:$I$1006,$I852,$B$7:$B$1006,"&lt;="&amp;$B852))</f>
        <v/>
      </c>
      <c r="M852" s="132" t="str">
        <f>IF($B852&amp;$C852&amp;$D852&amp;$E852="","",IF($B852="","missing date",IF($C852="","missing worker",IF($I852="?","unknown worker - was the name changed on Workers?",IF($D852="","missing type",IF(N($E852)=0,"missing amount",IF(AND($E852&lt;0,$D852&lt;&gt;"Correction"),"negative amount - use a Correction to undo",IF(OR($B852&lt;Weeks!$A$7,$B852&gt;Weeks!$B$59),"date outside this workbook's year",IF(AND($D852="Advance",N($L852)&lt;0),"Warning: more than earned so far - worker now owes "&amp;TEXT(ROUND(-$L852,0),"#,##0"),"")))))))))</f>
        <v/>
      </c>
      <c r="N852" s="125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  <c r="AC852" s="126"/>
      <c r="AD852" s="126"/>
      <c r="AE852" s="126"/>
      <c r="AF852" s="126"/>
      <c r="AG852" s="126"/>
      <c r="AH852" s="126"/>
      <c r="AI852" s="126"/>
      <c r="AJ852" s="126"/>
      <c r="AK852" s="126"/>
      <c r="AL852" s="126"/>
      <c r="AM852" s="126"/>
      <c r="AN852" s="126"/>
    </row>
    <row r="853" spans="1:40" s="127" customFormat="1" ht="21" customHeight="1" x14ac:dyDescent="0.25">
      <c r="A853" s="51" t="str">
        <f t="shared" si="39"/>
        <v/>
      </c>
      <c r="B853" s="77"/>
      <c r="C853" s="133"/>
      <c r="D853" s="50"/>
      <c r="E853" s="141"/>
      <c r="F853" s="133"/>
      <c r="G853" s="133"/>
      <c r="H853" s="50"/>
      <c r="I853" s="51" t="str">
        <f t="shared" si="40"/>
        <v/>
      </c>
      <c r="J853" s="52" t="str">
        <f t="shared" si="41"/>
        <v/>
      </c>
      <c r="K853" s="142" t="str">
        <f>IF(OR($I853="",$I853="?",$D853&lt;&gt;"Advance",$B853=""),"",$I853&amp;"|"&amp;$J853&amp;"|"&amp;COUNTIFS($I$7:$I853,$I853,$J$7:$J853,$J853,$D$7:$D853,"Advance"))</f>
        <v/>
      </c>
      <c r="L853" s="143" t="str">
        <f>IF(OR($I853="",$I853="?",$B853=""),"",SUMPRODUCT((Weeks!$A$7:$A$59&lt;=$J853)*(Weeks!$X$5:$AI$5=$I853)*Weeks!$X$7:$AI$59)-SUMIFS($E$7:$E$1006,$I$7:$I$1006,$I853,$B$7:$B$1006,"&lt;="&amp;$B853))</f>
        <v/>
      </c>
      <c r="M853" s="132" t="str">
        <f>IF($B853&amp;$C853&amp;$D853&amp;$E853="","",IF($B853="","missing date",IF($C853="","missing worker",IF($I853="?","unknown worker - was the name changed on Workers?",IF($D853="","missing type",IF(N($E853)=0,"missing amount",IF(AND($E853&lt;0,$D853&lt;&gt;"Correction"),"negative amount - use a Correction to undo",IF(OR($B853&lt;Weeks!$A$7,$B853&gt;Weeks!$B$59),"date outside this workbook's year",IF(AND($D853="Advance",N($L853)&lt;0),"Warning: more than earned so far - worker now owes "&amp;TEXT(ROUND(-$L853,0),"#,##0"),"")))))))))</f>
        <v/>
      </c>
      <c r="N853" s="125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  <c r="AC853" s="126"/>
      <c r="AD853" s="126"/>
      <c r="AE853" s="126"/>
      <c r="AF853" s="126"/>
      <c r="AG853" s="126"/>
      <c r="AH853" s="126"/>
      <c r="AI853" s="126"/>
      <c r="AJ853" s="126"/>
      <c r="AK853" s="126"/>
      <c r="AL853" s="126"/>
      <c r="AM853" s="126"/>
      <c r="AN853" s="126"/>
    </row>
    <row r="854" spans="1:40" s="127" customFormat="1" ht="21" customHeight="1" x14ac:dyDescent="0.25">
      <c r="A854" s="51" t="str">
        <f t="shared" si="39"/>
        <v/>
      </c>
      <c r="B854" s="77"/>
      <c r="C854" s="133"/>
      <c r="D854" s="50"/>
      <c r="E854" s="141"/>
      <c r="F854" s="133"/>
      <c r="G854" s="133"/>
      <c r="H854" s="50"/>
      <c r="I854" s="51" t="str">
        <f t="shared" si="40"/>
        <v/>
      </c>
      <c r="J854" s="52" t="str">
        <f t="shared" si="41"/>
        <v/>
      </c>
      <c r="K854" s="142" t="str">
        <f>IF(OR($I854="",$I854="?",$D854&lt;&gt;"Advance",$B854=""),"",$I854&amp;"|"&amp;$J854&amp;"|"&amp;COUNTIFS($I$7:$I854,$I854,$J$7:$J854,$J854,$D$7:$D854,"Advance"))</f>
        <v/>
      </c>
      <c r="L854" s="143" t="str">
        <f>IF(OR($I854="",$I854="?",$B854=""),"",SUMPRODUCT((Weeks!$A$7:$A$59&lt;=$J854)*(Weeks!$X$5:$AI$5=$I854)*Weeks!$X$7:$AI$59)-SUMIFS($E$7:$E$1006,$I$7:$I$1006,$I854,$B$7:$B$1006,"&lt;="&amp;$B854))</f>
        <v/>
      </c>
      <c r="M854" s="132" t="str">
        <f>IF($B854&amp;$C854&amp;$D854&amp;$E854="","",IF($B854="","missing date",IF($C854="","missing worker",IF($I854="?","unknown worker - was the name changed on Workers?",IF($D854="","missing type",IF(N($E854)=0,"missing amount",IF(AND($E854&lt;0,$D854&lt;&gt;"Correction"),"negative amount - use a Correction to undo",IF(OR($B854&lt;Weeks!$A$7,$B854&gt;Weeks!$B$59),"date outside this workbook's year",IF(AND($D854="Advance",N($L854)&lt;0),"Warning: more than earned so far - worker now owes "&amp;TEXT(ROUND(-$L854,0),"#,##0"),"")))))))))</f>
        <v/>
      </c>
      <c r="N854" s="125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  <c r="AC854" s="126"/>
      <c r="AD854" s="126"/>
      <c r="AE854" s="126"/>
      <c r="AF854" s="126"/>
      <c r="AG854" s="126"/>
      <c r="AH854" s="126"/>
      <c r="AI854" s="126"/>
      <c r="AJ854" s="126"/>
      <c r="AK854" s="126"/>
      <c r="AL854" s="126"/>
      <c r="AM854" s="126"/>
      <c r="AN854" s="126"/>
    </row>
    <row r="855" spans="1:40" s="127" customFormat="1" ht="21" customHeight="1" x14ac:dyDescent="0.25">
      <c r="A855" s="51" t="str">
        <f t="shared" si="39"/>
        <v/>
      </c>
      <c r="B855" s="77"/>
      <c r="C855" s="133"/>
      <c r="D855" s="50"/>
      <c r="E855" s="141"/>
      <c r="F855" s="133"/>
      <c r="G855" s="133"/>
      <c r="H855" s="50"/>
      <c r="I855" s="51" t="str">
        <f t="shared" si="40"/>
        <v/>
      </c>
      <c r="J855" s="52" t="str">
        <f t="shared" si="41"/>
        <v/>
      </c>
      <c r="K855" s="142" t="str">
        <f>IF(OR($I855="",$I855="?",$D855&lt;&gt;"Advance",$B855=""),"",$I855&amp;"|"&amp;$J855&amp;"|"&amp;COUNTIFS($I$7:$I855,$I855,$J$7:$J855,$J855,$D$7:$D855,"Advance"))</f>
        <v/>
      </c>
      <c r="L855" s="143" t="str">
        <f>IF(OR($I855="",$I855="?",$B855=""),"",SUMPRODUCT((Weeks!$A$7:$A$59&lt;=$J855)*(Weeks!$X$5:$AI$5=$I855)*Weeks!$X$7:$AI$59)-SUMIFS($E$7:$E$1006,$I$7:$I$1006,$I855,$B$7:$B$1006,"&lt;="&amp;$B855))</f>
        <v/>
      </c>
      <c r="M855" s="132" t="str">
        <f>IF($B855&amp;$C855&amp;$D855&amp;$E855="","",IF($B855="","missing date",IF($C855="","missing worker",IF($I855="?","unknown worker - was the name changed on Workers?",IF($D855="","missing type",IF(N($E855)=0,"missing amount",IF(AND($E855&lt;0,$D855&lt;&gt;"Correction"),"negative amount - use a Correction to undo",IF(OR($B855&lt;Weeks!$A$7,$B855&gt;Weeks!$B$59),"date outside this workbook's year",IF(AND($D855="Advance",N($L855)&lt;0),"Warning: more than earned so far - worker now owes "&amp;TEXT(ROUND(-$L855,0),"#,##0"),"")))))))))</f>
        <v/>
      </c>
      <c r="N855" s="125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  <c r="AC855" s="126"/>
      <c r="AD855" s="126"/>
      <c r="AE855" s="126"/>
      <c r="AF855" s="126"/>
      <c r="AG855" s="126"/>
      <c r="AH855" s="126"/>
      <c r="AI855" s="126"/>
      <c r="AJ855" s="126"/>
      <c r="AK855" s="126"/>
      <c r="AL855" s="126"/>
      <c r="AM855" s="126"/>
      <c r="AN855" s="126"/>
    </row>
    <row r="856" spans="1:40" s="127" customFormat="1" ht="21" customHeight="1" x14ac:dyDescent="0.25">
      <c r="A856" s="51" t="str">
        <f t="shared" si="39"/>
        <v/>
      </c>
      <c r="B856" s="77"/>
      <c r="C856" s="133"/>
      <c r="D856" s="50"/>
      <c r="E856" s="141"/>
      <c r="F856" s="133"/>
      <c r="G856" s="133"/>
      <c r="H856" s="50"/>
      <c r="I856" s="51" t="str">
        <f t="shared" si="40"/>
        <v/>
      </c>
      <c r="J856" s="52" t="str">
        <f t="shared" si="41"/>
        <v/>
      </c>
      <c r="K856" s="142" t="str">
        <f>IF(OR($I856="",$I856="?",$D856&lt;&gt;"Advance",$B856=""),"",$I856&amp;"|"&amp;$J856&amp;"|"&amp;COUNTIFS($I$7:$I856,$I856,$J$7:$J856,$J856,$D$7:$D856,"Advance"))</f>
        <v/>
      </c>
      <c r="L856" s="143" t="str">
        <f>IF(OR($I856="",$I856="?",$B856=""),"",SUMPRODUCT((Weeks!$A$7:$A$59&lt;=$J856)*(Weeks!$X$5:$AI$5=$I856)*Weeks!$X$7:$AI$59)-SUMIFS($E$7:$E$1006,$I$7:$I$1006,$I856,$B$7:$B$1006,"&lt;="&amp;$B856))</f>
        <v/>
      </c>
      <c r="M856" s="132" t="str">
        <f>IF($B856&amp;$C856&amp;$D856&amp;$E856="","",IF($B856="","missing date",IF($C856="","missing worker",IF($I856="?","unknown worker - was the name changed on Workers?",IF($D856="","missing type",IF(N($E856)=0,"missing amount",IF(AND($E856&lt;0,$D856&lt;&gt;"Correction"),"negative amount - use a Correction to undo",IF(OR($B856&lt;Weeks!$A$7,$B856&gt;Weeks!$B$59),"date outside this workbook's year",IF(AND($D856="Advance",N($L856)&lt;0),"Warning: more than earned so far - worker now owes "&amp;TEXT(ROUND(-$L856,0),"#,##0"),"")))))))))</f>
        <v/>
      </c>
      <c r="N856" s="125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  <c r="AC856" s="126"/>
      <c r="AD856" s="126"/>
      <c r="AE856" s="126"/>
      <c r="AF856" s="126"/>
      <c r="AG856" s="126"/>
      <c r="AH856" s="126"/>
      <c r="AI856" s="126"/>
      <c r="AJ856" s="126"/>
      <c r="AK856" s="126"/>
      <c r="AL856" s="126"/>
      <c r="AM856" s="126"/>
      <c r="AN856" s="126"/>
    </row>
    <row r="857" spans="1:40" s="127" customFormat="1" ht="21" customHeight="1" x14ac:dyDescent="0.25">
      <c r="A857" s="51" t="str">
        <f t="shared" si="39"/>
        <v/>
      </c>
      <c r="B857" s="77"/>
      <c r="C857" s="133"/>
      <c r="D857" s="50"/>
      <c r="E857" s="141"/>
      <c r="F857" s="133"/>
      <c r="G857" s="133"/>
      <c r="H857" s="50"/>
      <c r="I857" s="51" t="str">
        <f t="shared" si="40"/>
        <v/>
      </c>
      <c r="J857" s="52" t="str">
        <f t="shared" si="41"/>
        <v/>
      </c>
      <c r="K857" s="142" t="str">
        <f>IF(OR($I857="",$I857="?",$D857&lt;&gt;"Advance",$B857=""),"",$I857&amp;"|"&amp;$J857&amp;"|"&amp;COUNTIFS($I$7:$I857,$I857,$J$7:$J857,$J857,$D$7:$D857,"Advance"))</f>
        <v/>
      </c>
      <c r="L857" s="143" t="str">
        <f>IF(OR($I857="",$I857="?",$B857=""),"",SUMPRODUCT((Weeks!$A$7:$A$59&lt;=$J857)*(Weeks!$X$5:$AI$5=$I857)*Weeks!$X$7:$AI$59)-SUMIFS($E$7:$E$1006,$I$7:$I$1006,$I857,$B$7:$B$1006,"&lt;="&amp;$B857))</f>
        <v/>
      </c>
      <c r="M857" s="132" t="str">
        <f>IF($B857&amp;$C857&amp;$D857&amp;$E857="","",IF($B857="","missing date",IF($C857="","missing worker",IF($I857="?","unknown worker - was the name changed on Workers?",IF($D857="","missing type",IF(N($E857)=0,"missing amount",IF(AND($E857&lt;0,$D857&lt;&gt;"Correction"),"negative amount - use a Correction to undo",IF(OR($B857&lt;Weeks!$A$7,$B857&gt;Weeks!$B$59),"date outside this workbook's year",IF(AND($D857="Advance",N($L857)&lt;0),"Warning: more than earned so far - worker now owes "&amp;TEXT(ROUND(-$L857,0),"#,##0"),"")))))))))</f>
        <v/>
      </c>
      <c r="N857" s="125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  <c r="AC857" s="126"/>
      <c r="AD857" s="126"/>
      <c r="AE857" s="126"/>
      <c r="AF857" s="126"/>
      <c r="AG857" s="126"/>
      <c r="AH857" s="126"/>
      <c r="AI857" s="126"/>
      <c r="AJ857" s="126"/>
      <c r="AK857" s="126"/>
      <c r="AL857" s="126"/>
      <c r="AM857" s="126"/>
      <c r="AN857" s="126"/>
    </row>
    <row r="858" spans="1:40" s="127" customFormat="1" ht="21" customHeight="1" x14ac:dyDescent="0.25">
      <c r="A858" s="51" t="str">
        <f t="shared" si="39"/>
        <v/>
      </c>
      <c r="B858" s="77"/>
      <c r="C858" s="133"/>
      <c r="D858" s="50"/>
      <c r="E858" s="141"/>
      <c r="F858" s="133"/>
      <c r="G858" s="133"/>
      <c r="H858" s="50"/>
      <c r="I858" s="51" t="str">
        <f t="shared" si="40"/>
        <v/>
      </c>
      <c r="J858" s="52" t="str">
        <f t="shared" si="41"/>
        <v/>
      </c>
      <c r="K858" s="142" t="str">
        <f>IF(OR($I858="",$I858="?",$D858&lt;&gt;"Advance",$B858=""),"",$I858&amp;"|"&amp;$J858&amp;"|"&amp;COUNTIFS($I$7:$I858,$I858,$J$7:$J858,$J858,$D$7:$D858,"Advance"))</f>
        <v/>
      </c>
      <c r="L858" s="143" t="str">
        <f>IF(OR($I858="",$I858="?",$B858=""),"",SUMPRODUCT((Weeks!$A$7:$A$59&lt;=$J858)*(Weeks!$X$5:$AI$5=$I858)*Weeks!$X$7:$AI$59)-SUMIFS($E$7:$E$1006,$I$7:$I$1006,$I858,$B$7:$B$1006,"&lt;="&amp;$B858))</f>
        <v/>
      </c>
      <c r="M858" s="132" t="str">
        <f>IF($B858&amp;$C858&amp;$D858&amp;$E858="","",IF($B858="","missing date",IF($C858="","missing worker",IF($I858="?","unknown worker - was the name changed on Workers?",IF($D858="","missing type",IF(N($E858)=0,"missing amount",IF(AND($E858&lt;0,$D858&lt;&gt;"Correction"),"negative amount - use a Correction to undo",IF(OR($B858&lt;Weeks!$A$7,$B858&gt;Weeks!$B$59),"date outside this workbook's year",IF(AND($D858="Advance",N($L858)&lt;0),"Warning: more than earned so far - worker now owes "&amp;TEXT(ROUND(-$L858,0),"#,##0"),"")))))))))</f>
        <v/>
      </c>
      <c r="N858" s="125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  <c r="AC858" s="126"/>
      <c r="AD858" s="126"/>
      <c r="AE858" s="126"/>
      <c r="AF858" s="126"/>
      <c r="AG858" s="126"/>
      <c r="AH858" s="126"/>
      <c r="AI858" s="126"/>
      <c r="AJ858" s="126"/>
      <c r="AK858" s="126"/>
      <c r="AL858" s="126"/>
      <c r="AM858" s="126"/>
      <c r="AN858" s="126"/>
    </row>
    <row r="859" spans="1:40" s="127" customFormat="1" ht="21" customHeight="1" x14ac:dyDescent="0.25">
      <c r="A859" s="51" t="str">
        <f t="shared" si="39"/>
        <v/>
      </c>
      <c r="B859" s="77"/>
      <c r="C859" s="133"/>
      <c r="D859" s="50"/>
      <c r="E859" s="141"/>
      <c r="F859" s="133"/>
      <c r="G859" s="133"/>
      <c r="H859" s="50"/>
      <c r="I859" s="51" t="str">
        <f t="shared" si="40"/>
        <v/>
      </c>
      <c r="J859" s="52" t="str">
        <f t="shared" si="41"/>
        <v/>
      </c>
      <c r="K859" s="142" t="str">
        <f>IF(OR($I859="",$I859="?",$D859&lt;&gt;"Advance",$B859=""),"",$I859&amp;"|"&amp;$J859&amp;"|"&amp;COUNTIFS($I$7:$I859,$I859,$J$7:$J859,$J859,$D$7:$D859,"Advance"))</f>
        <v/>
      </c>
      <c r="L859" s="143" t="str">
        <f>IF(OR($I859="",$I859="?",$B859=""),"",SUMPRODUCT((Weeks!$A$7:$A$59&lt;=$J859)*(Weeks!$X$5:$AI$5=$I859)*Weeks!$X$7:$AI$59)-SUMIFS($E$7:$E$1006,$I$7:$I$1006,$I859,$B$7:$B$1006,"&lt;="&amp;$B859))</f>
        <v/>
      </c>
      <c r="M859" s="132" t="str">
        <f>IF($B859&amp;$C859&amp;$D859&amp;$E859="","",IF($B859="","missing date",IF($C859="","missing worker",IF($I859="?","unknown worker - was the name changed on Workers?",IF($D859="","missing type",IF(N($E859)=0,"missing amount",IF(AND($E859&lt;0,$D859&lt;&gt;"Correction"),"negative amount - use a Correction to undo",IF(OR($B859&lt;Weeks!$A$7,$B859&gt;Weeks!$B$59),"date outside this workbook's year",IF(AND($D859="Advance",N($L859)&lt;0),"Warning: more than earned so far - worker now owes "&amp;TEXT(ROUND(-$L859,0),"#,##0"),"")))))))))</f>
        <v/>
      </c>
      <c r="N859" s="125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  <c r="AC859" s="126"/>
      <c r="AD859" s="126"/>
      <c r="AE859" s="126"/>
      <c r="AF859" s="126"/>
      <c r="AG859" s="126"/>
      <c r="AH859" s="126"/>
      <c r="AI859" s="126"/>
      <c r="AJ859" s="126"/>
      <c r="AK859" s="126"/>
      <c r="AL859" s="126"/>
      <c r="AM859" s="126"/>
      <c r="AN859" s="126"/>
    </row>
    <row r="860" spans="1:40" s="127" customFormat="1" ht="21" customHeight="1" x14ac:dyDescent="0.25">
      <c r="A860" s="51" t="str">
        <f t="shared" si="39"/>
        <v/>
      </c>
      <c r="B860" s="77"/>
      <c r="C860" s="133"/>
      <c r="D860" s="50"/>
      <c r="E860" s="141"/>
      <c r="F860" s="133"/>
      <c r="G860" s="133"/>
      <c r="H860" s="50"/>
      <c r="I860" s="51" t="str">
        <f t="shared" si="40"/>
        <v/>
      </c>
      <c r="J860" s="52" t="str">
        <f t="shared" si="41"/>
        <v/>
      </c>
      <c r="K860" s="142" t="str">
        <f>IF(OR($I860="",$I860="?",$D860&lt;&gt;"Advance",$B860=""),"",$I860&amp;"|"&amp;$J860&amp;"|"&amp;COUNTIFS($I$7:$I860,$I860,$J$7:$J860,$J860,$D$7:$D860,"Advance"))</f>
        <v/>
      </c>
      <c r="L860" s="143" t="str">
        <f>IF(OR($I860="",$I860="?",$B860=""),"",SUMPRODUCT((Weeks!$A$7:$A$59&lt;=$J860)*(Weeks!$X$5:$AI$5=$I860)*Weeks!$X$7:$AI$59)-SUMIFS($E$7:$E$1006,$I$7:$I$1006,$I860,$B$7:$B$1006,"&lt;="&amp;$B860))</f>
        <v/>
      </c>
      <c r="M860" s="132" t="str">
        <f>IF($B860&amp;$C860&amp;$D860&amp;$E860="","",IF($B860="","missing date",IF($C860="","missing worker",IF($I860="?","unknown worker - was the name changed on Workers?",IF($D860="","missing type",IF(N($E860)=0,"missing amount",IF(AND($E860&lt;0,$D860&lt;&gt;"Correction"),"negative amount - use a Correction to undo",IF(OR($B860&lt;Weeks!$A$7,$B860&gt;Weeks!$B$59),"date outside this workbook's year",IF(AND($D860="Advance",N($L860)&lt;0),"Warning: more than earned so far - worker now owes "&amp;TEXT(ROUND(-$L860,0),"#,##0"),"")))))))))</f>
        <v/>
      </c>
      <c r="N860" s="125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  <c r="AC860" s="126"/>
      <c r="AD860" s="126"/>
      <c r="AE860" s="126"/>
      <c r="AF860" s="126"/>
      <c r="AG860" s="126"/>
      <c r="AH860" s="126"/>
      <c r="AI860" s="126"/>
      <c r="AJ860" s="126"/>
      <c r="AK860" s="126"/>
      <c r="AL860" s="126"/>
      <c r="AM860" s="126"/>
      <c r="AN860" s="126"/>
    </row>
    <row r="861" spans="1:40" s="127" customFormat="1" ht="21" customHeight="1" x14ac:dyDescent="0.25">
      <c r="A861" s="51" t="str">
        <f t="shared" si="39"/>
        <v/>
      </c>
      <c r="B861" s="77"/>
      <c r="C861" s="133"/>
      <c r="D861" s="50"/>
      <c r="E861" s="141"/>
      <c r="F861" s="133"/>
      <c r="G861" s="133"/>
      <c r="H861" s="50"/>
      <c r="I861" s="51" t="str">
        <f t="shared" si="40"/>
        <v/>
      </c>
      <c r="J861" s="52" t="str">
        <f t="shared" si="41"/>
        <v/>
      </c>
      <c r="K861" s="142" t="str">
        <f>IF(OR($I861="",$I861="?",$D861&lt;&gt;"Advance",$B861=""),"",$I861&amp;"|"&amp;$J861&amp;"|"&amp;COUNTIFS($I$7:$I861,$I861,$J$7:$J861,$J861,$D$7:$D861,"Advance"))</f>
        <v/>
      </c>
      <c r="L861" s="143" t="str">
        <f>IF(OR($I861="",$I861="?",$B861=""),"",SUMPRODUCT((Weeks!$A$7:$A$59&lt;=$J861)*(Weeks!$X$5:$AI$5=$I861)*Weeks!$X$7:$AI$59)-SUMIFS($E$7:$E$1006,$I$7:$I$1006,$I861,$B$7:$B$1006,"&lt;="&amp;$B861))</f>
        <v/>
      </c>
      <c r="M861" s="132" t="str">
        <f>IF($B861&amp;$C861&amp;$D861&amp;$E861="","",IF($B861="","missing date",IF($C861="","missing worker",IF($I861="?","unknown worker - was the name changed on Workers?",IF($D861="","missing type",IF(N($E861)=0,"missing amount",IF(AND($E861&lt;0,$D861&lt;&gt;"Correction"),"negative amount - use a Correction to undo",IF(OR($B861&lt;Weeks!$A$7,$B861&gt;Weeks!$B$59),"date outside this workbook's year",IF(AND($D861="Advance",N($L861)&lt;0),"Warning: more than earned so far - worker now owes "&amp;TEXT(ROUND(-$L861,0),"#,##0"),"")))))))))</f>
        <v/>
      </c>
      <c r="N861" s="125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  <c r="AC861" s="126"/>
      <c r="AD861" s="126"/>
      <c r="AE861" s="126"/>
      <c r="AF861" s="126"/>
      <c r="AG861" s="126"/>
      <c r="AH861" s="126"/>
      <c r="AI861" s="126"/>
      <c r="AJ861" s="126"/>
      <c r="AK861" s="126"/>
      <c r="AL861" s="126"/>
      <c r="AM861" s="126"/>
      <c r="AN861" s="126"/>
    </row>
    <row r="862" spans="1:40" s="127" customFormat="1" ht="21" customHeight="1" x14ac:dyDescent="0.25">
      <c r="A862" s="51" t="str">
        <f t="shared" si="39"/>
        <v/>
      </c>
      <c r="B862" s="77"/>
      <c r="C862" s="133"/>
      <c r="D862" s="50"/>
      <c r="E862" s="141"/>
      <c r="F862" s="133"/>
      <c r="G862" s="133"/>
      <c r="H862" s="50"/>
      <c r="I862" s="51" t="str">
        <f t="shared" si="40"/>
        <v/>
      </c>
      <c r="J862" s="52" t="str">
        <f t="shared" si="41"/>
        <v/>
      </c>
      <c r="K862" s="142" t="str">
        <f>IF(OR($I862="",$I862="?",$D862&lt;&gt;"Advance",$B862=""),"",$I862&amp;"|"&amp;$J862&amp;"|"&amp;COUNTIFS($I$7:$I862,$I862,$J$7:$J862,$J862,$D$7:$D862,"Advance"))</f>
        <v/>
      </c>
      <c r="L862" s="143" t="str">
        <f>IF(OR($I862="",$I862="?",$B862=""),"",SUMPRODUCT((Weeks!$A$7:$A$59&lt;=$J862)*(Weeks!$X$5:$AI$5=$I862)*Weeks!$X$7:$AI$59)-SUMIFS($E$7:$E$1006,$I$7:$I$1006,$I862,$B$7:$B$1006,"&lt;="&amp;$B862))</f>
        <v/>
      </c>
      <c r="M862" s="132" t="str">
        <f>IF($B862&amp;$C862&amp;$D862&amp;$E862="","",IF($B862="","missing date",IF($C862="","missing worker",IF($I862="?","unknown worker - was the name changed on Workers?",IF($D862="","missing type",IF(N($E862)=0,"missing amount",IF(AND($E862&lt;0,$D862&lt;&gt;"Correction"),"negative amount - use a Correction to undo",IF(OR($B862&lt;Weeks!$A$7,$B862&gt;Weeks!$B$59),"date outside this workbook's year",IF(AND($D862="Advance",N($L862)&lt;0),"Warning: more than earned so far - worker now owes "&amp;TEXT(ROUND(-$L862,0),"#,##0"),"")))))))))</f>
        <v/>
      </c>
      <c r="N862" s="125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  <c r="AC862" s="126"/>
      <c r="AD862" s="126"/>
      <c r="AE862" s="126"/>
      <c r="AF862" s="126"/>
      <c r="AG862" s="126"/>
      <c r="AH862" s="126"/>
      <c r="AI862" s="126"/>
      <c r="AJ862" s="126"/>
      <c r="AK862" s="126"/>
      <c r="AL862" s="126"/>
      <c r="AM862" s="126"/>
      <c r="AN862" s="126"/>
    </row>
    <row r="863" spans="1:40" s="127" customFormat="1" ht="21" customHeight="1" x14ac:dyDescent="0.25">
      <c r="A863" s="51" t="str">
        <f t="shared" si="39"/>
        <v/>
      </c>
      <c r="B863" s="77"/>
      <c r="C863" s="133"/>
      <c r="D863" s="50"/>
      <c r="E863" s="141"/>
      <c r="F863" s="133"/>
      <c r="G863" s="133"/>
      <c r="H863" s="50"/>
      <c r="I863" s="51" t="str">
        <f t="shared" si="40"/>
        <v/>
      </c>
      <c r="J863" s="52" t="str">
        <f t="shared" si="41"/>
        <v/>
      </c>
      <c r="K863" s="142" t="str">
        <f>IF(OR($I863="",$I863="?",$D863&lt;&gt;"Advance",$B863=""),"",$I863&amp;"|"&amp;$J863&amp;"|"&amp;COUNTIFS($I$7:$I863,$I863,$J$7:$J863,$J863,$D$7:$D863,"Advance"))</f>
        <v/>
      </c>
      <c r="L863" s="143" t="str">
        <f>IF(OR($I863="",$I863="?",$B863=""),"",SUMPRODUCT((Weeks!$A$7:$A$59&lt;=$J863)*(Weeks!$X$5:$AI$5=$I863)*Weeks!$X$7:$AI$59)-SUMIFS($E$7:$E$1006,$I$7:$I$1006,$I863,$B$7:$B$1006,"&lt;="&amp;$B863))</f>
        <v/>
      </c>
      <c r="M863" s="132" t="str">
        <f>IF($B863&amp;$C863&amp;$D863&amp;$E863="","",IF($B863="","missing date",IF($C863="","missing worker",IF($I863="?","unknown worker - was the name changed on Workers?",IF($D863="","missing type",IF(N($E863)=0,"missing amount",IF(AND($E863&lt;0,$D863&lt;&gt;"Correction"),"negative amount - use a Correction to undo",IF(OR($B863&lt;Weeks!$A$7,$B863&gt;Weeks!$B$59),"date outside this workbook's year",IF(AND($D863="Advance",N($L863)&lt;0),"Warning: more than earned so far - worker now owes "&amp;TEXT(ROUND(-$L863,0),"#,##0"),"")))))))))</f>
        <v/>
      </c>
      <c r="N863" s="125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  <c r="AC863" s="126"/>
      <c r="AD863" s="126"/>
      <c r="AE863" s="126"/>
      <c r="AF863" s="126"/>
      <c r="AG863" s="126"/>
      <c r="AH863" s="126"/>
      <c r="AI863" s="126"/>
      <c r="AJ863" s="126"/>
      <c r="AK863" s="126"/>
      <c r="AL863" s="126"/>
      <c r="AM863" s="126"/>
      <c r="AN863" s="126"/>
    </row>
    <row r="864" spans="1:40" s="127" customFormat="1" ht="21" customHeight="1" x14ac:dyDescent="0.25">
      <c r="A864" s="51" t="str">
        <f t="shared" si="39"/>
        <v/>
      </c>
      <c r="B864" s="77"/>
      <c r="C864" s="133"/>
      <c r="D864" s="50"/>
      <c r="E864" s="141"/>
      <c r="F864" s="133"/>
      <c r="G864" s="133"/>
      <c r="H864" s="50"/>
      <c r="I864" s="51" t="str">
        <f t="shared" si="40"/>
        <v/>
      </c>
      <c r="J864" s="52" t="str">
        <f t="shared" si="41"/>
        <v/>
      </c>
      <c r="K864" s="142" t="str">
        <f>IF(OR($I864="",$I864="?",$D864&lt;&gt;"Advance",$B864=""),"",$I864&amp;"|"&amp;$J864&amp;"|"&amp;COUNTIFS($I$7:$I864,$I864,$J$7:$J864,$J864,$D$7:$D864,"Advance"))</f>
        <v/>
      </c>
      <c r="L864" s="143" t="str">
        <f>IF(OR($I864="",$I864="?",$B864=""),"",SUMPRODUCT((Weeks!$A$7:$A$59&lt;=$J864)*(Weeks!$X$5:$AI$5=$I864)*Weeks!$X$7:$AI$59)-SUMIFS($E$7:$E$1006,$I$7:$I$1006,$I864,$B$7:$B$1006,"&lt;="&amp;$B864))</f>
        <v/>
      </c>
      <c r="M864" s="132" t="str">
        <f>IF($B864&amp;$C864&amp;$D864&amp;$E864="","",IF($B864="","missing date",IF($C864="","missing worker",IF($I864="?","unknown worker - was the name changed on Workers?",IF($D864="","missing type",IF(N($E864)=0,"missing amount",IF(AND($E864&lt;0,$D864&lt;&gt;"Correction"),"negative amount - use a Correction to undo",IF(OR($B864&lt;Weeks!$A$7,$B864&gt;Weeks!$B$59),"date outside this workbook's year",IF(AND($D864="Advance",N($L864)&lt;0),"Warning: more than earned so far - worker now owes "&amp;TEXT(ROUND(-$L864,0),"#,##0"),"")))))))))</f>
        <v/>
      </c>
      <c r="N864" s="125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  <c r="AC864" s="126"/>
      <c r="AD864" s="126"/>
      <c r="AE864" s="126"/>
      <c r="AF864" s="126"/>
      <c r="AG864" s="126"/>
      <c r="AH864" s="126"/>
      <c r="AI864" s="126"/>
      <c r="AJ864" s="126"/>
      <c r="AK864" s="126"/>
      <c r="AL864" s="126"/>
      <c r="AM864" s="126"/>
      <c r="AN864" s="126"/>
    </row>
    <row r="865" spans="1:40" s="127" customFormat="1" ht="21" customHeight="1" x14ac:dyDescent="0.25">
      <c r="A865" s="51" t="str">
        <f t="shared" si="39"/>
        <v/>
      </c>
      <c r="B865" s="77"/>
      <c r="C865" s="133"/>
      <c r="D865" s="50"/>
      <c r="E865" s="141"/>
      <c r="F865" s="133"/>
      <c r="G865" s="133"/>
      <c r="H865" s="50"/>
      <c r="I865" s="51" t="str">
        <f t="shared" si="40"/>
        <v/>
      </c>
      <c r="J865" s="52" t="str">
        <f t="shared" si="41"/>
        <v/>
      </c>
      <c r="K865" s="142" t="str">
        <f>IF(OR($I865="",$I865="?",$D865&lt;&gt;"Advance",$B865=""),"",$I865&amp;"|"&amp;$J865&amp;"|"&amp;COUNTIFS($I$7:$I865,$I865,$J$7:$J865,$J865,$D$7:$D865,"Advance"))</f>
        <v/>
      </c>
      <c r="L865" s="143" t="str">
        <f>IF(OR($I865="",$I865="?",$B865=""),"",SUMPRODUCT((Weeks!$A$7:$A$59&lt;=$J865)*(Weeks!$X$5:$AI$5=$I865)*Weeks!$X$7:$AI$59)-SUMIFS($E$7:$E$1006,$I$7:$I$1006,$I865,$B$7:$B$1006,"&lt;="&amp;$B865))</f>
        <v/>
      </c>
      <c r="M865" s="132" t="str">
        <f>IF($B865&amp;$C865&amp;$D865&amp;$E865="","",IF($B865="","missing date",IF($C865="","missing worker",IF($I865="?","unknown worker - was the name changed on Workers?",IF($D865="","missing type",IF(N($E865)=0,"missing amount",IF(AND($E865&lt;0,$D865&lt;&gt;"Correction"),"negative amount - use a Correction to undo",IF(OR($B865&lt;Weeks!$A$7,$B865&gt;Weeks!$B$59),"date outside this workbook's year",IF(AND($D865="Advance",N($L865)&lt;0),"Warning: more than earned so far - worker now owes "&amp;TEXT(ROUND(-$L865,0),"#,##0"),"")))))))))</f>
        <v/>
      </c>
      <c r="N865" s="125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  <c r="AC865" s="126"/>
      <c r="AD865" s="126"/>
      <c r="AE865" s="126"/>
      <c r="AF865" s="126"/>
      <c r="AG865" s="126"/>
      <c r="AH865" s="126"/>
      <c r="AI865" s="126"/>
      <c r="AJ865" s="126"/>
      <c r="AK865" s="126"/>
      <c r="AL865" s="126"/>
      <c r="AM865" s="126"/>
      <c r="AN865" s="126"/>
    </row>
    <row r="866" spans="1:40" s="127" customFormat="1" ht="21" customHeight="1" x14ac:dyDescent="0.25">
      <c r="A866" s="51" t="str">
        <f t="shared" si="39"/>
        <v/>
      </c>
      <c r="B866" s="77"/>
      <c r="C866" s="133"/>
      <c r="D866" s="50"/>
      <c r="E866" s="141"/>
      <c r="F866" s="133"/>
      <c r="G866" s="133"/>
      <c r="H866" s="50"/>
      <c r="I866" s="51" t="str">
        <f t="shared" si="40"/>
        <v/>
      </c>
      <c r="J866" s="52" t="str">
        <f t="shared" si="41"/>
        <v/>
      </c>
      <c r="K866" s="142" t="str">
        <f>IF(OR($I866="",$I866="?",$D866&lt;&gt;"Advance",$B866=""),"",$I866&amp;"|"&amp;$J866&amp;"|"&amp;COUNTIFS($I$7:$I866,$I866,$J$7:$J866,$J866,$D$7:$D866,"Advance"))</f>
        <v/>
      </c>
      <c r="L866" s="143" t="str">
        <f>IF(OR($I866="",$I866="?",$B866=""),"",SUMPRODUCT((Weeks!$A$7:$A$59&lt;=$J866)*(Weeks!$X$5:$AI$5=$I866)*Weeks!$X$7:$AI$59)-SUMIFS($E$7:$E$1006,$I$7:$I$1006,$I866,$B$7:$B$1006,"&lt;="&amp;$B866))</f>
        <v/>
      </c>
      <c r="M866" s="132" t="str">
        <f>IF($B866&amp;$C866&amp;$D866&amp;$E866="","",IF($B866="","missing date",IF($C866="","missing worker",IF($I866="?","unknown worker - was the name changed on Workers?",IF($D866="","missing type",IF(N($E866)=0,"missing amount",IF(AND($E866&lt;0,$D866&lt;&gt;"Correction"),"negative amount - use a Correction to undo",IF(OR($B866&lt;Weeks!$A$7,$B866&gt;Weeks!$B$59),"date outside this workbook's year",IF(AND($D866="Advance",N($L866)&lt;0),"Warning: more than earned so far - worker now owes "&amp;TEXT(ROUND(-$L866,0),"#,##0"),"")))))))))</f>
        <v/>
      </c>
      <c r="N866" s="125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126"/>
      <c r="AH866" s="126"/>
      <c r="AI866" s="126"/>
      <c r="AJ866" s="126"/>
      <c r="AK866" s="126"/>
      <c r="AL866" s="126"/>
      <c r="AM866" s="126"/>
      <c r="AN866" s="126"/>
    </row>
    <row r="867" spans="1:40" s="127" customFormat="1" ht="21" customHeight="1" x14ac:dyDescent="0.25">
      <c r="A867" s="51" t="str">
        <f t="shared" si="39"/>
        <v/>
      </c>
      <c r="B867" s="77"/>
      <c r="C867" s="133"/>
      <c r="D867" s="50"/>
      <c r="E867" s="141"/>
      <c r="F867" s="133"/>
      <c r="G867" s="133"/>
      <c r="H867" s="50"/>
      <c r="I867" s="51" t="str">
        <f t="shared" si="40"/>
        <v/>
      </c>
      <c r="J867" s="52" t="str">
        <f t="shared" si="41"/>
        <v/>
      </c>
      <c r="K867" s="142" t="str">
        <f>IF(OR($I867="",$I867="?",$D867&lt;&gt;"Advance",$B867=""),"",$I867&amp;"|"&amp;$J867&amp;"|"&amp;COUNTIFS($I$7:$I867,$I867,$J$7:$J867,$J867,$D$7:$D867,"Advance"))</f>
        <v/>
      </c>
      <c r="L867" s="143" t="str">
        <f>IF(OR($I867="",$I867="?",$B867=""),"",SUMPRODUCT((Weeks!$A$7:$A$59&lt;=$J867)*(Weeks!$X$5:$AI$5=$I867)*Weeks!$X$7:$AI$59)-SUMIFS($E$7:$E$1006,$I$7:$I$1006,$I867,$B$7:$B$1006,"&lt;="&amp;$B867))</f>
        <v/>
      </c>
      <c r="M867" s="132" t="str">
        <f>IF($B867&amp;$C867&amp;$D867&amp;$E867="","",IF($B867="","missing date",IF($C867="","missing worker",IF($I867="?","unknown worker - was the name changed on Workers?",IF($D867="","missing type",IF(N($E867)=0,"missing amount",IF(AND($E867&lt;0,$D867&lt;&gt;"Correction"),"negative amount - use a Correction to undo",IF(OR($B867&lt;Weeks!$A$7,$B867&gt;Weeks!$B$59),"date outside this workbook's year",IF(AND($D867="Advance",N($L867)&lt;0),"Warning: more than earned so far - worker now owes "&amp;TEXT(ROUND(-$L867,0),"#,##0"),"")))))))))</f>
        <v/>
      </c>
      <c r="N867" s="125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  <c r="AG867" s="126"/>
      <c r="AH867" s="126"/>
      <c r="AI867" s="126"/>
      <c r="AJ867" s="126"/>
      <c r="AK867" s="126"/>
      <c r="AL867" s="126"/>
      <c r="AM867" s="126"/>
      <c r="AN867" s="126"/>
    </row>
    <row r="868" spans="1:40" s="127" customFormat="1" ht="21" customHeight="1" x14ac:dyDescent="0.25">
      <c r="A868" s="51" t="str">
        <f t="shared" si="39"/>
        <v/>
      </c>
      <c r="B868" s="77"/>
      <c r="C868" s="133"/>
      <c r="D868" s="50"/>
      <c r="E868" s="141"/>
      <c r="F868" s="133"/>
      <c r="G868" s="133"/>
      <c r="H868" s="50"/>
      <c r="I868" s="51" t="str">
        <f t="shared" si="40"/>
        <v/>
      </c>
      <c r="J868" s="52" t="str">
        <f t="shared" si="41"/>
        <v/>
      </c>
      <c r="K868" s="142" t="str">
        <f>IF(OR($I868="",$I868="?",$D868&lt;&gt;"Advance",$B868=""),"",$I868&amp;"|"&amp;$J868&amp;"|"&amp;COUNTIFS($I$7:$I868,$I868,$J$7:$J868,$J868,$D$7:$D868,"Advance"))</f>
        <v/>
      </c>
      <c r="L868" s="143" t="str">
        <f>IF(OR($I868="",$I868="?",$B868=""),"",SUMPRODUCT((Weeks!$A$7:$A$59&lt;=$J868)*(Weeks!$X$5:$AI$5=$I868)*Weeks!$X$7:$AI$59)-SUMIFS($E$7:$E$1006,$I$7:$I$1006,$I868,$B$7:$B$1006,"&lt;="&amp;$B868))</f>
        <v/>
      </c>
      <c r="M868" s="132" t="str">
        <f>IF($B868&amp;$C868&amp;$D868&amp;$E868="","",IF($B868="","missing date",IF($C868="","missing worker",IF($I868="?","unknown worker - was the name changed on Workers?",IF($D868="","missing type",IF(N($E868)=0,"missing amount",IF(AND($E868&lt;0,$D868&lt;&gt;"Correction"),"negative amount - use a Correction to undo",IF(OR($B868&lt;Weeks!$A$7,$B868&gt;Weeks!$B$59),"date outside this workbook's year",IF(AND($D868="Advance",N($L868)&lt;0),"Warning: more than earned so far - worker now owes "&amp;TEXT(ROUND(-$L868,0),"#,##0"),"")))))))))</f>
        <v/>
      </c>
      <c r="N868" s="125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  <c r="AC868" s="126"/>
      <c r="AD868" s="126"/>
      <c r="AE868" s="126"/>
      <c r="AF868" s="126"/>
      <c r="AG868" s="126"/>
      <c r="AH868" s="126"/>
      <c r="AI868" s="126"/>
      <c r="AJ868" s="126"/>
      <c r="AK868" s="126"/>
      <c r="AL868" s="126"/>
      <c r="AM868" s="126"/>
      <c r="AN868" s="126"/>
    </row>
    <row r="869" spans="1:40" s="127" customFormat="1" ht="21" customHeight="1" x14ac:dyDescent="0.25">
      <c r="A869" s="51" t="str">
        <f t="shared" si="39"/>
        <v/>
      </c>
      <c r="B869" s="77"/>
      <c r="C869" s="133"/>
      <c r="D869" s="50"/>
      <c r="E869" s="141"/>
      <c r="F869" s="133"/>
      <c r="G869" s="133"/>
      <c r="H869" s="50"/>
      <c r="I869" s="51" t="str">
        <f t="shared" si="40"/>
        <v/>
      </c>
      <c r="J869" s="52" t="str">
        <f t="shared" si="41"/>
        <v/>
      </c>
      <c r="K869" s="142" t="str">
        <f>IF(OR($I869="",$I869="?",$D869&lt;&gt;"Advance",$B869=""),"",$I869&amp;"|"&amp;$J869&amp;"|"&amp;COUNTIFS($I$7:$I869,$I869,$J$7:$J869,$J869,$D$7:$D869,"Advance"))</f>
        <v/>
      </c>
      <c r="L869" s="143" t="str">
        <f>IF(OR($I869="",$I869="?",$B869=""),"",SUMPRODUCT((Weeks!$A$7:$A$59&lt;=$J869)*(Weeks!$X$5:$AI$5=$I869)*Weeks!$X$7:$AI$59)-SUMIFS($E$7:$E$1006,$I$7:$I$1006,$I869,$B$7:$B$1006,"&lt;="&amp;$B869))</f>
        <v/>
      </c>
      <c r="M869" s="132" t="str">
        <f>IF($B869&amp;$C869&amp;$D869&amp;$E869="","",IF($B869="","missing date",IF($C869="","missing worker",IF($I869="?","unknown worker - was the name changed on Workers?",IF($D869="","missing type",IF(N($E869)=0,"missing amount",IF(AND($E869&lt;0,$D869&lt;&gt;"Correction"),"negative amount - use a Correction to undo",IF(OR($B869&lt;Weeks!$A$7,$B869&gt;Weeks!$B$59),"date outside this workbook's year",IF(AND($D869="Advance",N($L869)&lt;0),"Warning: more than earned so far - worker now owes "&amp;TEXT(ROUND(-$L869,0),"#,##0"),"")))))))))</f>
        <v/>
      </c>
      <c r="N869" s="125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  <c r="AC869" s="126"/>
      <c r="AD869" s="126"/>
      <c r="AE869" s="126"/>
      <c r="AF869" s="126"/>
      <c r="AG869" s="126"/>
      <c r="AH869" s="126"/>
      <c r="AI869" s="126"/>
      <c r="AJ869" s="126"/>
      <c r="AK869" s="126"/>
      <c r="AL869" s="126"/>
      <c r="AM869" s="126"/>
      <c r="AN869" s="126"/>
    </row>
    <row r="870" spans="1:40" s="127" customFormat="1" ht="21" customHeight="1" x14ac:dyDescent="0.25">
      <c r="A870" s="51" t="str">
        <f t="shared" si="39"/>
        <v/>
      </c>
      <c r="B870" s="77"/>
      <c r="C870" s="133"/>
      <c r="D870" s="50"/>
      <c r="E870" s="141"/>
      <c r="F870" s="133"/>
      <c r="G870" s="133"/>
      <c r="H870" s="50"/>
      <c r="I870" s="51" t="str">
        <f t="shared" si="40"/>
        <v/>
      </c>
      <c r="J870" s="52" t="str">
        <f t="shared" si="41"/>
        <v/>
      </c>
      <c r="K870" s="142" t="str">
        <f>IF(OR($I870="",$I870="?",$D870&lt;&gt;"Advance",$B870=""),"",$I870&amp;"|"&amp;$J870&amp;"|"&amp;COUNTIFS($I$7:$I870,$I870,$J$7:$J870,$J870,$D$7:$D870,"Advance"))</f>
        <v/>
      </c>
      <c r="L870" s="143" t="str">
        <f>IF(OR($I870="",$I870="?",$B870=""),"",SUMPRODUCT((Weeks!$A$7:$A$59&lt;=$J870)*(Weeks!$X$5:$AI$5=$I870)*Weeks!$X$7:$AI$59)-SUMIFS($E$7:$E$1006,$I$7:$I$1006,$I870,$B$7:$B$1006,"&lt;="&amp;$B870))</f>
        <v/>
      </c>
      <c r="M870" s="132" t="str">
        <f>IF($B870&amp;$C870&amp;$D870&amp;$E870="","",IF($B870="","missing date",IF($C870="","missing worker",IF($I870="?","unknown worker - was the name changed on Workers?",IF($D870="","missing type",IF(N($E870)=0,"missing amount",IF(AND($E870&lt;0,$D870&lt;&gt;"Correction"),"negative amount - use a Correction to undo",IF(OR($B870&lt;Weeks!$A$7,$B870&gt;Weeks!$B$59),"date outside this workbook's year",IF(AND($D870="Advance",N($L870)&lt;0),"Warning: more than earned so far - worker now owes "&amp;TEXT(ROUND(-$L870,0),"#,##0"),"")))))))))</f>
        <v/>
      </c>
      <c r="N870" s="125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  <c r="AC870" s="126"/>
      <c r="AD870" s="126"/>
      <c r="AE870" s="126"/>
      <c r="AF870" s="126"/>
      <c r="AG870" s="126"/>
      <c r="AH870" s="126"/>
      <c r="AI870" s="126"/>
      <c r="AJ870" s="126"/>
      <c r="AK870" s="126"/>
      <c r="AL870" s="126"/>
      <c r="AM870" s="126"/>
      <c r="AN870" s="126"/>
    </row>
    <row r="871" spans="1:40" s="127" customFormat="1" ht="21" customHeight="1" x14ac:dyDescent="0.25">
      <c r="A871" s="51" t="str">
        <f t="shared" si="39"/>
        <v/>
      </c>
      <c r="B871" s="77"/>
      <c r="C871" s="133"/>
      <c r="D871" s="50"/>
      <c r="E871" s="141"/>
      <c r="F871" s="133"/>
      <c r="G871" s="133"/>
      <c r="H871" s="50"/>
      <c r="I871" s="51" t="str">
        <f t="shared" si="40"/>
        <v/>
      </c>
      <c r="J871" s="52" t="str">
        <f t="shared" si="41"/>
        <v/>
      </c>
      <c r="K871" s="142" t="str">
        <f>IF(OR($I871="",$I871="?",$D871&lt;&gt;"Advance",$B871=""),"",$I871&amp;"|"&amp;$J871&amp;"|"&amp;COUNTIFS($I$7:$I871,$I871,$J$7:$J871,$J871,$D$7:$D871,"Advance"))</f>
        <v/>
      </c>
      <c r="L871" s="143" t="str">
        <f>IF(OR($I871="",$I871="?",$B871=""),"",SUMPRODUCT((Weeks!$A$7:$A$59&lt;=$J871)*(Weeks!$X$5:$AI$5=$I871)*Weeks!$X$7:$AI$59)-SUMIFS($E$7:$E$1006,$I$7:$I$1006,$I871,$B$7:$B$1006,"&lt;="&amp;$B871))</f>
        <v/>
      </c>
      <c r="M871" s="132" t="str">
        <f>IF($B871&amp;$C871&amp;$D871&amp;$E871="","",IF($B871="","missing date",IF($C871="","missing worker",IF($I871="?","unknown worker - was the name changed on Workers?",IF($D871="","missing type",IF(N($E871)=0,"missing amount",IF(AND($E871&lt;0,$D871&lt;&gt;"Correction"),"negative amount - use a Correction to undo",IF(OR($B871&lt;Weeks!$A$7,$B871&gt;Weeks!$B$59),"date outside this workbook's year",IF(AND($D871="Advance",N($L871)&lt;0),"Warning: more than earned so far - worker now owes "&amp;TEXT(ROUND(-$L871,0),"#,##0"),"")))))))))</f>
        <v/>
      </c>
      <c r="N871" s="125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  <c r="AC871" s="126"/>
      <c r="AD871" s="126"/>
      <c r="AE871" s="126"/>
      <c r="AF871" s="126"/>
      <c r="AG871" s="126"/>
      <c r="AH871" s="126"/>
      <c r="AI871" s="126"/>
      <c r="AJ871" s="126"/>
      <c r="AK871" s="126"/>
      <c r="AL871" s="126"/>
      <c r="AM871" s="126"/>
      <c r="AN871" s="126"/>
    </row>
    <row r="872" spans="1:40" s="127" customFormat="1" ht="21" customHeight="1" x14ac:dyDescent="0.25">
      <c r="A872" s="51" t="str">
        <f t="shared" si="39"/>
        <v/>
      </c>
      <c r="B872" s="77"/>
      <c r="C872" s="133"/>
      <c r="D872" s="50"/>
      <c r="E872" s="141"/>
      <c r="F872" s="133"/>
      <c r="G872" s="133"/>
      <c r="H872" s="50"/>
      <c r="I872" s="51" t="str">
        <f t="shared" si="40"/>
        <v/>
      </c>
      <c r="J872" s="52" t="str">
        <f t="shared" si="41"/>
        <v/>
      </c>
      <c r="K872" s="142" t="str">
        <f>IF(OR($I872="",$I872="?",$D872&lt;&gt;"Advance",$B872=""),"",$I872&amp;"|"&amp;$J872&amp;"|"&amp;COUNTIFS($I$7:$I872,$I872,$J$7:$J872,$J872,$D$7:$D872,"Advance"))</f>
        <v/>
      </c>
      <c r="L872" s="143" t="str">
        <f>IF(OR($I872="",$I872="?",$B872=""),"",SUMPRODUCT((Weeks!$A$7:$A$59&lt;=$J872)*(Weeks!$X$5:$AI$5=$I872)*Weeks!$X$7:$AI$59)-SUMIFS($E$7:$E$1006,$I$7:$I$1006,$I872,$B$7:$B$1006,"&lt;="&amp;$B872))</f>
        <v/>
      </c>
      <c r="M872" s="132" t="str">
        <f>IF($B872&amp;$C872&amp;$D872&amp;$E872="","",IF($B872="","missing date",IF($C872="","missing worker",IF($I872="?","unknown worker - was the name changed on Workers?",IF($D872="","missing type",IF(N($E872)=0,"missing amount",IF(AND($E872&lt;0,$D872&lt;&gt;"Correction"),"negative amount - use a Correction to undo",IF(OR($B872&lt;Weeks!$A$7,$B872&gt;Weeks!$B$59),"date outside this workbook's year",IF(AND($D872="Advance",N($L872)&lt;0),"Warning: more than earned so far - worker now owes "&amp;TEXT(ROUND(-$L872,0),"#,##0"),"")))))))))</f>
        <v/>
      </c>
      <c r="N872" s="125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  <c r="AC872" s="126"/>
      <c r="AD872" s="126"/>
      <c r="AE872" s="126"/>
      <c r="AF872" s="126"/>
      <c r="AG872" s="126"/>
      <c r="AH872" s="126"/>
      <c r="AI872" s="126"/>
      <c r="AJ872" s="126"/>
      <c r="AK872" s="126"/>
      <c r="AL872" s="126"/>
      <c r="AM872" s="126"/>
      <c r="AN872" s="126"/>
    </row>
    <row r="873" spans="1:40" s="127" customFormat="1" ht="21" customHeight="1" x14ac:dyDescent="0.25">
      <c r="A873" s="51" t="str">
        <f t="shared" si="39"/>
        <v/>
      </c>
      <c r="B873" s="77"/>
      <c r="C873" s="133"/>
      <c r="D873" s="50"/>
      <c r="E873" s="141"/>
      <c r="F873" s="133"/>
      <c r="G873" s="133"/>
      <c r="H873" s="50"/>
      <c r="I873" s="51" t="str">
        <f t="shared" si="40"/>
        <v/>
      </c>
      <c r="J873" s="52" t="str">
        <f t="shared" si="41"/>
        <v/>
      </c>
      <c r="K873" s="142" t="str">
        <f>IF(OR($I873="",$I873="?",$D873&lt;&gt;"Advance",$B873=""),"",$I873&amp;"|"&amp;$J873&amp;"|"&amp;COUNTIFS($I$7:$I873,$I873,$J$7:$J873,$J873,$D$7:$D873,"Advance"))</f>
        <v/>
      </c>
      <c r="L873" s="143" t="str">
        <f>IF(OR($I873="",$I873="?",$B873=""),"",SUMPRODUCT((Weeks!$A$7:$A$59&lt;=$J873)*(Weeks!$X$5:$AI$5=$I873)*Weeks!$X$7:$AI$59)-SUMIFS($E$7:$E$1006,$I$7:$I$1006,$I873,$B$7:$B$1006,"&lt;="&amp;$B873))</f>
        <v/>
      </c>
      <c r="M873" s="132" t="str">
        <f>IF($B873&amp;$C873&amp;$D873&amp;$E873="","",IF($B873="","missing date",IF($C873="","missing worker",IF($I873="?","unknown worker - was the name changed on Workers?",IF($D873="","missing type",IF(N($E873)=0,"missing amount",IF(AND($E873&lt;0,$D873&lt;&gt;"Correction"),"negative amount - use a Correction to undo",IF(OR($B873&lt;Weeks!$A$7,$B873&gt;Weeks!$B$59),"date outside this workbook's year",IF(AND($D873="Advance",N($L873)&lt;0),"Warning: more than earned so far - worker now owes "&amp;TEXT(ROUND(-$L873,0),"#,##0"),"")))))))))</f>
        <v/>
      </c>
      <c r="N873" s="125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  <c r="AC873" s="126"/>
      <c r="AD873" s="126"/>
      <c r="AE873" s="126"/>
      <c r="AF873" s="126"/>
      <c r="AG873" s="126"/>
      <c r="AH873" s="126"/>
      <c r="AI873" s="126"/>
      <c r="AJ873" s="126"/>
      <c r="AK873" s="126"/>
      <c r="AL873" s="126"/>
      <c r="AM873" s="126"/>
      <c r="AN873" s="126"/>
    </row>
    <row r="874" spans="1:40" s="127" customFormat="1" ht="21" customHeight="1" x14ac:dyDescent="0.25">
      <c r="A874" s="51" t="str">
        <f t="shared" si="39"/>
        <v/>
      </c>
      <c r="B874" s="77"/>
      <c r="C874" s="133"/>
      <c r="D874" s="50"/>
      <c r="E874" s="141"/>
      <c r="F874" s="133"/>
      <c r="G874" s="133"/>
      <c r="H874" s="50"/>
      <c r="I874" s="51" t="str">
        <f t="shared" si="40"/>
        <v/>
      </c>
      <c r="J874" s="52" t="str">
        <f t="shared" si="41"/>
        <v/>
      </c>
      <c r="K874" s="142" t="str">
        <f>IF(OR($I874="",$I874="?",$D874&lt;&gt;"Advance",$B874=""),"",$I874&amp;"|"&amp;$J874&amp;"|"&amp;COUNTIFS($I$7:$I874,$I874,$J$7:$J874,$J874,$D$7:$D874,"Advance"))</f>
        <v/>
      </c>
      <c r="L874" s="143" t="str">
        <f>IF(OR($I874="",$I874="?",$B874=""),"",SUMPRODUCT((Weeks!$A$7:$A$59&lt;=$J874)*(Weeks!$X$5:$AI$5=$I874)*Weeks!$X$7:$AI$59)-SUMIFS($E$7:$E$1006,$I$7:$I$1006,$I874,$B$7:$B$1006,"&lt;="&amp;$B874))</f>
        <v/>
      </c>
      <c r="M874" s="132" t="str">
        <f>IF($B874&amp;$C874&amp;$D874&amp;$E874="","",IF($B874="","missing date",IF($C874="","missing worker",IF($I874="?","unknown worker - was the name changed on Workers?",IF($D874="","missing type",IF(N($E874)=0,"missing amount",IF(AND($E874&lt;0,$D874&lt;&gt;"Correction"),"negative amount - use a Correction to undo",IF(OR($B874&lt;Weeks!$A$7,$B874&gt;Weeks!$B$59),"date outside this workbook's year",IF(AND($D874="Advance",N($L874)&lt;0),"Warning: more than earned so far - worker now owes "&amp;TEXT(ROUND(-$L874,0),"#,##0"),"")))))))))</f>
        <v/>
      </c>
      <c r="N874" s="125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  <c r="AC874" s="126"/>
      <c r="AD874" s="126"/>
      <c r="AE874" s="126"/>
      <c r="AF874" s="126"/>
      <c r="AG874" s="126"/>
      <c r="AH874" s="126"/>
      <c r="AI874" s="126"/>
      <c r="AJ874" s="126"/>
      <c r="AK874" s="126"/>
      <c r="AL874" s="126"/>
      <c r="AM874" s="126"/>
      <c r="AN874" s="126"/>
    </row>
    <row r="875" spans="1:40" s="127" customFormat="1" ht="21" customHeight="1" x14ac:dyDescent="0.25">
      <c r="A875" s="51" t="str">
        <f t="shared" si="39"/>
        <v/>
      </c>
      <c r="B875" s="77"/>
      <c r="C875" s="133"/>
      <c r="D875" s="50"/>
      <c r="E875" s="141"/>
      <c r="F875" s="133"/>
      <c r="G875" s="133"/>
      <c r="H875" s="50"/>
      <c r="I875" s="51" t="str">
        <f t="shared" si="40"/>
        <v/>
      </c>
      <c r="J875" s="52" t="str">
        <f t="shared" si="41"/>
        <v/>
      </c>
      <c r="K875" s="142" t="str">
        <f>IF(OR($I875="",$I875="?",$D875&lt;&gt;"Advance",$B875=""),"",$I875&amp;"|"&amp;$J875&amp;"|"&amp;COUNTIFS($I$7:$I875,$I875,$J$7:$J875,$J875,$D$7:$D875,"Advance"))</f>
        <v/>
      </c>
      <c r="L875" s="143" t="str">
        <f>IF(OR($I875="",$I875="?",$B875=""),"",SUMPRODUCT((Weeks!$A$7:$A$59&lt;=$J875)*(Weeks!$X$5:$AI$5=$I875)*Weeks!$X$7:$AI$59)-SUMIFS($E$7:$E$1006,$I$7:$I$1006,$I875,$B$7:$B$1006,"&lt;="&amp;$B875))</f>
        <v/>
      </c>
      <c r="M875" s="132" t="str">
        <f>IF($B875&amp;$C875&amp;$D875&amp;$E875="","",IF($B875="","missing date",IF($C875="","missing worker",IF($I875="?","unknown worker - was the name changed on Workers?",IF($D875="","missing type",IF(N($E875)=0,"missing amount",IF(AND($E875&lt;0,$D875&lt;&gt;"Correction"),"negative amount - use a Correction to undo",IF(OR($B875&lt;Weeks!$A$7,$B875&gt;Weeks!$B$59),"date outside this workbook's year",IF(AND($D875="Advance",N($L875)&lt;0),"Warning: more than earned so far - worker now owes "&amp;TEXT(ROUND(-$L875,0),"#,##0"),"")))))))))</f>
        <v/>
      </c>
      <c r="N875" s="125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126"/>
      <c r="AG875" s="126"/>
      <c r="AH875" s="126"/>
      <c r="AI875" s="126"/>
      <c r="AJ875" s="126"/>
      <c r="AK875" s="126"/>
      <c r="AL875" s="126"/>
      <c r="AM875" s="126"/>
      <c r="AN875" s="126"/>
    </row>
    <row r="876" spans="1:40" s="127" customFormat="1" ht="21" customHeight="1" x14ac:dyDescent="0.25">
      <c r="A876" s="51" t="str">
        <f t="shared" si="39"/>
        <v/>
      </c>
      <c r="B876" s="77"/>
      <c r="C876" s="133"/>
      <c r="D876" s="50"/>
      <c r="E876" s="141"/>
      <c r="F876" s="133"/>
      <c r="G876" s="133"/>
      <c r="H876" s="50"/>
      <c r="I876" s="51" t="str">
        <f t="shared" si="40"/>
        <v/>
      </c>
      <c r="J876" s="52" t="str">
        <f t="shared" si="41"/>
        <v/>
      </c>
      <c r="K876" s="142" t="str">
        <f>IF(OR($I876="",$I876="?",$D876&lt;&gt;"Advance",$B876=""),"",$I876&amp;"|"&amp;$J876&amp;"|"&amp;COUNTIFS($I$7:$I876,$I876,$J$7:$J876,$J876,$D$7:$D876,"Advance"))</f>
        <v/>
      </c>
      <c r="L876" s="143" t="str">
        <f>IF(OR($I876="",$I876="?",$B876=""),"",SUMPRODUCT((Weeks!$A$7:$A$59&lt;=$J876)*(Weeks!$X$5:$AI$5=$I876)*Weeks!$X$7:$AI$59)-SUMIFS($E$7:$E$1006,$I$7:$I$1006,$I876,$B$7:$B$1006,"&lt;="&amp;$B876))</f>
        <v/>
      </c>
      <c r="M876" s="132" t="str">
        <f>IF($B876&amp;$C876&amp;$D876&amp;$E876="","",IF($B876="","missing date",IF($C876="","missing worker",IF($I876="?","unknown worker - was the name changed on Workers?",IF($D876="","missing type",IF(N($E876)=0,"missing amount",IF(AND($E876&lt;0,$D876&lt;&gt;"Correction"),"negative amount - use a Correction to undo",IF(OR($B876&lt;Weeks!$A$7,$B876&gt;Weeks!$B$59),"date outside this workbook's year",IF(AND($D876="Advance",N($L876)&lt;0),"Warning: more than earned so far - worker now owes "&amp;TEXT(ROUND(-$L876,0),"#,##0"),"")))))))))</f>
        <v/>
      </c>
      <c r="N876" s="125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  <c r="AC876" s="126"/>
      <c r="AD876" s="126"/>
      <c r="AE876" s="126"/>
      <c r="AF876" s="126"/>
      <c r="AG876" s="126"/>
      <c r="AH876" s="126"/>
      <c r="AI876" s="126"/>
      <c r="AJ876" s="126"/>
      <c r="AK876" s="126"/>
      <c r="AL876" s="126"/>
      <c r="AM876" s="126"/>
      <c r="AN876" s="126"/>
    </row>
    <row r="877" spans="1:40" s="127" customFormat="1" ht="21" customHeight="1" x14ac:dyDescent="0.25">
      <c r="A877" s="51" t="str">
        <f t="shared" si="39"/>
        <v/>
      </c>
      <c r="B877" s="77"/>
      <c r="C877" s="133"/>
      <c r="D877" s="50"/>
      <c r="E877" s="141"/>
      <c r="F877" s="133"/>
      <c r="G877" s="133"/>
      <c r="H877" s="50"/>
      <c r="I877" s="51" t="str">
        <f t="shared" si="40"/>
        <v/>
      </c>
      <c r="J877" s="52" t="str">
        <f t="shared" si="41"/>
        <v/>
      </c>
      <c r="K877" s="142" t="str">
        <f>IF(OR($I877="",$I877="?",$D877&lt;&gt;"Advance",$B877=""),"",$I877&amp;"|"&amp;$J877&amp;"|"&amp;COUNTIFS($I$7:$I877,$I877,$J$7:$J877,$J877,$D$7:$D877,"Advance"))</f>
        <v/>
      </c>
      <c r="L877" s="143" t="str">
        <f>IF(OR($I877="",$I877="?",$B877=""),"",SUMPRODUCT((Weeks!$A$7:$A$59&lt;=$J877)*(Weeks!$X$5:$AI$5=$I877)*Weeks!$X$7:$AI$59)-SUMIFS($E$7:$E$1006,$I$7:$I$1006,$I877,$B$7:$B$1006,"&lt;="&amp;$B877))</f>
        <v/>
      </c>
      <c r="M877" s="132" t="str">
        <f>IF($B877&amp;$C877&amp;$D877&amp;$E877="","",IF($B877="","missing date",IF($C877="","missing worker",IF($I877="?","unknown worker - was the name changed on Workers?",IF($D877="","missing type",IF(N($E877)=0,"missing amount",IF(AND($E877&lt;0,$D877&lt;&gt;"Correction"),"negative amount - use a Correction to undo",IF(OR($B877&lt;Weeks!$A$7,$B877&gt;Weeks!$B$59),"date outside this workbook's year",IF(AND($D877="Advance",N($L877)&lt;0),"Warning: more than earned so far - worker now owes "&amp;TEXT(ROUND(-$L877,0),"#,##0"),"")))))))))</f>
        <v/>
      </c>
      <c r="N877" s="125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  <c r="AC877" s="126"/>
      <c r="AD877" s="126"/>
      <c r="AE877" s="126"/>
      <c r="AF877" s="126"/>
      <c r="AG877" s="126"/>
      <c r="AH877" s="126"/>
      <c r="AI877" s="126"/>
      <c r="AJ877" s="126"/>
      <c r="AK877" s="126"/>
      <c r="AL877" s="126"/>
      <c r="AM877" s="126"/>
      <c r="AN877" s="126"/>
    </row>
    <row r="878" spans="1:40" s="127" customFormat="1" ht="21" customHeight="1" x14ac:dyDescent="0.25">
      <c r="A878" s="51" t="str">
        <f t="shared" si="39"/>
        <v/>
      </c>
      <c r="B878" s="77"/>
      <c r="C878" s="133"/>
      <c r="D878" s="50"/>
      <c r="E878" s="141"/>
      <c r="F878" s="133"/>
      <c r="G878" s="133"/>
      <c r="H878" s="50"/>
      <c r="I878" s="51" t="str">
        <f t="shared" si="40"/>
        <v/>
      </c>
      <c r="J878" s="52" t="str">
        <f t="shared" si="41"/>
        <v/>
      </c>
      <c r="K878" s="142" t="str">
        <f>IF(OR($I878="",$I878="?",$D878&lt;&gt;"Advance",$B878=""),"",$I878&amp;"|"&amp;$J878&amp;"|"&amp;COUNTIFS($I$7:$I878,$I878,$J$7:$J878,$J878,$D$7:$D878,"Advance"))</f>
        <v/>
      </c>
      <c r="L878" s="143" t="str">
        <f>IF(OR($I878="",$I878="?",$B878=""),"",SUMPRODUCT((Weeks!$A$7:$A$59&lt;=$J878)*(Weeks!$X$5:$AI$5=$I878)*Weeks!$X$7:$AI$59)-SUMIFS($E$7:$E$1006,$I$7:$I$1006,$I878,$B$7:$B$1006,"&lt;="&amp;$B878))</f>
        <v/>
      </c>
      <c r="M878" s="132" t="str">
        <f>IF($B878&amp;$C878&amp;$D878&amp;$E878="","",IF($B878="","missing date",IF($C878="","missing worker",IF($I878="?","unknown worker - was the name changed on Workers?",IF($D878="","missing type",IF(N($E878)=0,"missing amount",IF(AND($E878&lt;0,$D878&lt;&gt;"Correction"),"negative amount - use a Correction to undo",IF(OR($B878&lt;Weeks!$A$7,$B878&gt;Weeks!$B$59),"date outside this workbook's year",IF(AND($D878="Advance",N($L878)&lt;0),"Warning: more than earned so far - worker now owes "&amp;TEXT(ROUND(-$L878,0),"#,##0"),"")))))))))</f>
        <v/>
      </c>
      <c r="N878" s="125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  <c r="AC878" s="126"/>
      <c r="AD878" s="126"/>
      <c r="AE878" s="126"/>
      <c r="AF878" s="126"/>
      <c r="AG878" s="126"/>
      <c r="AH878" s="126"/>
      <c r="AI878" s="126"/>
      <c r="AJ878" s="126"/>
      <c r="AK878" s="126"/>
      <c r="AL878" s="126"/>
      <c r="AM878" s="126"/>
      <c r="AN878" s="126"/>
    </row>
    <row r="879" spans="1:40" s="127" customFormat="1" ht="21" customHeight="1" x14ac:dyDescent="0.25">
      <c r="A879" s="51" t="str">
        <f t="shared" si="39"/>
        <v/>
      </c>
      <c r="B879" s="77"/>
      <c r="C879" s="133"/>
      <c r="D879" s="50"/>
      <c r="E879" s="141"/>
      <c r="F879" s="133"/>
      <c r="G879" s="133"/>
      <c r="H879" s="50"/>
      <c r="I879" s="51" t="str">
        <f t="shared" si="40"/>
        <v/>
      </c>
      <c r="J879" s="52" t="str">
        <f t="shared" si="41"/>
        <v/>
      </c>
      <c r="K879" s="142" t="str">
        <f>IF(OR($I879="",$I879="?",$D879&lt;&gt;"Advance",$B879=""),"",$I879&amp;"|"&amp;$J879&amp;"|"&amp;COUNTIFS($I$7:$I879,$I879,$J$7:$J879,$J879,$D$7:$D879,"Advance"))</f>
        <v/>
      </c>
      <c r="L879" s="143" t="str">
        <f>IF(OR($I879="",$I879="?",$B879=""),"",SUMPRODUCT((Weeks!$A$7:$A$59&lt;=$J879)*(Weeks!$X$5:$AI$5=$I879)*Weeks!$X$7:$AI$59)-SUMIFS($E$7:$E$1006,$I$7:$I$1006,$I879,$B$7:$B$1006,"&lt;="&amp;$B879))</f>
        <v/>
      </c>
      <c r="M879" s="132" t="str">
        <f>IF($B879&amp;$C879&amp;$D879&amp;$E879="","",IF($B879="","missing date",IF($C879="","missing worker",IF($I879="?","unknown worker - was the name changed on Workers?",IF($D879="","missing type",IF(N($E879)=0,"missing amount",IF(AND($E879&lt;0,$D879&lt;&gt;"Correction"),"negative amount - use a Correction to undo",IF(OR($B879&lt;Weeks!$A$7,$B879&gt;Weeks!$B$59),"date outside this workbook's year",IF(AND($D879="Advance",N($L879)&lt;0),"Warning: more than earned so far - worker now owes "&amp;TEXT(ROUND(-$L879,0),"#,##0"),"")))))))))</f>
        <v/>
      </c>
      <c r="N879" s="125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  <c r="AC879" s="126"/>
      <c r="AD879" s="126"/>
      <c r="AE879" s="126"/>
      <c r="AF879" s="126"/>
      <c r="AG879" s="126"/>
      <c r="AH879" s="126"/>
      <c r="AI879" s="126"/>
      <c r="AJ879" s="126"/>
      <c r="AK879" s="126"/>
      <c r="AL879" s="126"/>
      <c r="AM879" s="126"/>
      <c r="AN879" s="126"/>
    </row>
    <row r="880" spans="1:40" s="127" customFormat="1" ht="21" customHeight="1" x14ac:dyDescent="0.25">
      <c r="A880" s="51" t="str">
        <f t="shared" si="39"/>
        <v/>
      </c>
      <c r="B880" s="77"/>
      <c r="C880" s="133"/>
      <c r="D880" s="50"/>
      <c r="E880" s="141"/>
      <c r="F880" s="133"/>
      <c r="G880" s="133"/>
      <c r="H880" s="50"/>
      <c r="I880" s="51" t="str">
        <f t="shared" si="40"/>
        <v/>
      </c>
      <c r="J880" s="52" t="str">
        <f t="shared" si="41"/>
        <v/>
      </c>
      <c r="K880" s="142" t="str">
        <f>IF(OR($I880="",$I880="?",$D880&lt;&gt;"Advance",$B880=""),"",$I880&amp;"|"&amp;$J880&amp;"|"&amp;COUNTIFS($I$7:$I880,$I880,$J$7:$J880,$J880,$D$7:$D880,"Advance"))</f>
        <v/>
      </c>
      <c r="L880" s="143" t="str">
        <f>IF(OR($I880="",$I880="?",$B880=""),"",SUMPRODUCT((Weeks!$A$7:$A$59&lt;=$J880)*(Weeks!$X$5:$AI$5=$I880)*Weeks!$X$7:$AI$59)-SUMIFS($E$7:$E$1006,$I$7:$I$1006,$I880,$B$7:$B$1006,"&lt;="&amp;$B880))</f>
        <v/>
      </c>
      <c r="M880" s="132" t="str">
        <f>IF($B880&amp;$C880&amp;$D880&amp;$E880="","",IF($B880="","missing date",IF($C880="","missing worker",IF($I880="?","unknown worker - was the name changed on Workers?",IF($D880="","missing type",IF(N($E880)=0,"missing amount",IF(AND($E880&lt;0,$D880&lt;&gt;"Correction"),"negative amount - use a Correction to undo",IF(OR($B880&lt;Weeks!$A$7,$B880&gt;Weeks!$B$59),"date outside this workbook's year",IF(AND($D880="Advance",N($L880)&lt;0),"Warning: more than earned so far - worker now owes "&amp;TEXT(ROUND(-$L880,0),"#,##0"),"")))))))))</f>
        <v/>
      </c>
      <c r="N880" s="125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  <c r="AC880" s="126"/>
      <c r="AD880" s="126"/>
      <c r="AE880" s="126"/>
      <c r="AF880" s="126"/>
      <c r="AG880" s="126"/>
      <c r="AH880" s="126"/>
      <c r="AI880" s="126"/>
      <c r="AJ880" s="126"/>
      <c r="AK880" s="126"/>
      <c r="AL880" s="126"/>
      <c r="AM880" s="126"/>
      <c r="AN880" s="126"/>
    </row>
    <row r="881" spans="1:40" s="127" customFormat="1" ht="21" customHeight="1" x14ac:dyDescent="0.25">
      <c r="A881" s="51" t="str">
        <f t="shared" si="39"/>
        <v/>
      </c>
      <c r="B881" s="77"/>
      <c r="C881" s="133"/>
      <c r="D881" s="50"/>
      <c r="E881" s="141"/>
      <c r="F881" s="133"/>
      <c r="G881" s="133"/>
      <c r="H881" s="50"/>
      <c r="I881" s="51" t="str">
        <f t="shared" si="40"/>
        <v/>
      </c>
      <c r="J881" s="52" t="str">
        <f t="shared" si="41"/>
        <v/>
      </c>
      <c r="K881" s="142" t="str">
        <f>IF(OR($I881="",$I881="?",$D881&lt;&gt;"Advance",$B881=""),"",$I881&amp;"|"&amp;$J881&amp;"|"&amp;COUNTIFS($I$7:$I881,$I881,$J$7:$J881,$J881,$D$7:$D881,"Advance"))</f>
        <v/>
      </c>
      <c r="L881" s="143" t="str">
        <f>IF(OR($I881="",$I881="?",$B881=""),"",SUMPRODUCT((Weeks!$A$7:$A$59&lt;=$J881)*(Weeks!$X$5:$AI$5=$I881)*Weeks!$X$7:$AI$59)-SUMIFS($E$7:$E$1006,$I$7:$I$1006,$I881,$B$7:$B$1006,"&lt;="&amp;$B881))</f>
        <v/>
      </c>
      <c r="M881" s="132" t="str">
        <f>IF($B881&amp;$C881&amp;$D881&amp;$E881="","",IF($B881="","missing date",IF($C881="","missing worker",IF($I881="?","unknown worker - was the name changed on Workers?",IF($D881="","missing type",IF(N($E881)=0,"missing amount",IF(AND($E881&lt;0,$D881&lt;&gt;"Correction"),"negative amount - use a Correction to undo",IF(OR($B881&lt;Weeks!$A$7,$B881&gt;Weeks!$B$59),"date outside this workbook's year",IF(AND($D881="Advance",N($L881)&lt;0),"Warning: more than earned so far - worker now owes "&amp;TEXT(ROUND(-$L881,0),"#,##0"),"")))))))))</f>
        <v/>
      </c>
      <c r="N881" s="125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  <c r="AC881" s="126"/>
      <c r="AD881" s="126"/>
      <c r="AE881" s="126"/>
      <c r="AF881" s="126"/>
      <c r="AG881" s="126"/>
      <c r="AH881" s="126"/>
      <c r="AI881" s="126"/>
      <c r="AJ881" s="126"/>
      <c r="AK881" s="126"/>
      <c r="AL881" s="126"/>
      <c r="AM881" s="126"/>
      <c r="AN881" s="126"/>
    </row>
    <row r="882" spans="1:40" s="127" customFormat="1" ht="21" customHeight="1" x14ac:dyDescent="0.25">
      <c r="A882" s="51" t="str">
        <f t="shared" si="39"/>
        <v/>
      </c>
      <c r="B882" s="77"/>
      <c r="C882" s="133"/>
      <c r="D882" s="50"/>
      <c r="E882" s="141"/>
      <c r="F882" s="133"/>
      <c r="G882" s="133"/>
      <c r="H882" s="50"/>
      <c r="I882" s="51" t="str">
        <f t="shared" si="40"/>
        <v/>
      </c>
      <c r="J882" s="52" t="str">
        <f t="shared" si="41"/>
        <v/>
      </c>
      <c r="K882" s="142" t="str">
        <f>IF(OR($I882="",$I882="?",$D882&lt;&gt;"Advance",$B882=""),"",$I882&amp;"|"&amp;$J882&amp;"|"&amp;COUNTIFS($I$7:$I882,$I882,$J$7:$J882,$J882,$D$7:$D882,"Advance"))</f>
        <v/>
      </c>
      <c r="L882" s="143" t="str">
        <f>IF(OR($I882="",$I882="?",$B882=""),"",SUMPRODUCT((Weeks!$A$7:$A$59&lt;=$J882)*(Weeks!$X$5:$AI$5=$I882)*Weeks!$X$7:$AI$59)-SUMIFS($E$7:$E$1006,$I$7:$I$1006,$I882,$B$7:$B$1006,"&lt;="&amp;$B882))</f>
        <v/>
      </c>
      <c r="M882" s="132" t="str">
        <f>IF($B882&amp;$C882&amp;$D882&amp;$E882="","",IF($B882="","missing date",IF($C882="","missing worker",IF($I882="?","unknown worker - was the name changed on Workers?",IF($D882="","missing type",IF(N($E882)=0,"missing amount",IF(AND($E882&lt;0,$D882&lt;&gt;"Correction"),"negative amount - use a Correction to undo",IF(OR($B882&lt;Weeks!$A$7,$B882&gt;Weeks!$B$59),"date outside this workbook's year",IF(AND($D882="Advance",N($L882)&lt;0),"Warning: more than earned so far - worker now owes "&amp;TEXT(ROUND(-$L882,0),"#,##0"),"")))))))))</f>
        <v/>
      </c>
      <c r="N882" s="125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  <c r="AC882" s="126"/>
      <c r="AD882" s="126"/>
      <c r="AE882" s="126"/>
      <c r="AF882" s="126"/>
      <c r="AG882" s="126"/>
      <c r="AH882" s="126"/>
      <c r="AI882" s="126"/>
      <c r="AJ882" s="126"/>
      <c r="AK882" s="126"/>
      <c r="AL882" s="126"/>
      <c r="AM882" s="126"/>
      <c r="AN882" s="126"/>
    </row>
    <row r="883" spans="1:40" s="127" customFormat="1" ht="21" customHeight="1" x14ac:dyDescent="0.25">
      <c r="A883" s="51" t="str">
        <f t="shared" si="39"/>
        <v/>
      </c>
      <c r="B883" s="77"/>
      <c r="C883" s="133"/>
      <c r="D883" s="50"/>
      <c r="E883" s="141"/>
      <c r="F883" s="133"/>
      <c r="G883" s="133"/>
      <c r="H883" s="50"/>
      <c r="I883" s="51" t="str">
        <f t="shared" si="40"/>
        <v/>
      </c>
      <c r="J883" s="52" t="str">
        <f t="shared" si="41"/>
        <v/>
      </c>
      <c r="K883" s="142" t="str">
        <f>IF(OR($I883="",$I883="?",$D883&lt;&gt;"Advance",$B883=""),"",$I883&amp;"|"&amp;$J883&amp;"|"&amp;COUNTIFS($I$7:$I883,$I883,$J$7:$J883,$J883,$D$7:$D883,"Advance"))</f>
        <v/>
      </c>
      <c r="L883" s="143" t="str">
        <f>IF(OR($I883="",$I883="?",$B883=""),"",SUMPRODUCT((Weeks!$A$7:$A$59&lt;=$J883)*(Weeks!$X$5:$AI$5=$I883)*Weeks!$X$7:$AI$59)-SUMIFS($E$7:$E$1006,$I$7:$I$1006,$I883,$B$7:$B$1006,"&lt;="&amp;$B883))</f>
        <v/>
      </c>
      <c r="M883" s="132" t="str">
        <f>IF($B883&amp;$C883&amp;$D883&amp;$E883="","",IF($B883="","missing date",IF($C883="","missing worker",IF($I883="?","unknown worker - was the name changed on Workers?",IF($D883="","missing type",IF(N($E883)=0,"missing amount",IF(AND($E883&lt;0,$D883&lt;&gt;"Correction"),"negative amount - use a Correction to undo",IF(OR($B883&lt;Weeks!$A$7,$B883&gt;Weeks!$B$59),"date outside this workbook's year",IF(AND($D883="Advance",N($L883)&lt;0),"Warning: more than earned so far - worker now owes "&amp;TEXT(ROUND(-$L883,0),"#,##0"),"")))))))))</f>
        <v/>
      </c>
      <c r="N883" s="125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  <c r="AC883" s="126"/>
      <c r="AD883" s="126"/>
      <c r="AE883" s="126"/>
      <c r="AF883" s="126"/>
      <c r="AG883" s="126"/>
      <c r="AH883" s="126"/>
      <c r="AI883" s="126"/>
      <c r="AJ883" s="126"/>
      <c r="AK883" s="126"/>
      <c r="AL883" s="126"/>
      <c r="AM883" s="126"/>
      <c r="AN883" s="126"/>
    </row>
    <row r="884" spans="1:40" s="127" customFormat="1" ht="21" customHeight="1" x14ac:dyDescent="0.25">
      <c r="A884" s="51" t="str">
        <f t="shared" si="39"/>
        <v/>
      </c>
      <c r="B884" s="77"/>
      <c r="C884" s="133"/>
      <c r="D884" s="50"/>
      <c r="E884" s="141"/>
      <c r="F884" s="133"/>
      <c r="G884" s="133"/>
      <c r="H884" s="50"/>
      <c r="I884" s="51" t="str">
        <f t="shared" si="40"/>
        <v/>
      </c>
      <c r="J884" s="52" t="str">
        <f t="shared" si="41"/>
        <v/>
      </c>
      <c r="K884" s="142" t="str">
        <f>IF(OR($I884="",$I884="?",$D884&lt;&gt;"Advance",$B884=""),"",$I884&amp;"|"&amp;$J884&amp;"|"&amp;COUNTIFS($I$7:$I884,$I884,$J$7:$J884,$J884,$D$7:$D884,"Advance"))</f>
        <v/>
      </c>
      <c r="L884" s="143" t="str">
        <f>IF(OR($I884="",$I884="?",$B884=""),"",SUMPRODUCT((Weeks!$A$7:$A$59&lt;=$J884)*(Weeks!$X$5:$AI$5=$I884)*Weeks!$X$7:$AI$59)-SUMIFS($E$7:$E$1006,$I$7:$I$1006,$I884,$B$7:$B$1006,"&lt;="&amp;$B884))</f>
        <v/>
      </c>
      <c r="M884" s="132" t="str">
        <f>IF($B884&amp;$C884&amp;$D884&amp;$E884="","",IF($B884="","missing date",IF($C884="","missing worker",IF($I884="?","unknown worker - was the name changed on Workers?",IF($D884="","missing type",IF(N($E884)=0,"missing amount",IF(AND($E884&lt;0,$D884&lt;&gt;"Correction"),"negative amount - use a Correction to undo",IF(OR($B884&lt;Weeks!$A$7,$B884&gt;Weeks!$B$59),"date outside this workbook's year",IF(AND($D884="Advance",N($L884)&lt;0),"Warning: more than earned so far - worker now owes "&amp;TEXT(ROUND(-$L884,0),"#,##0"),"")))))))))</f>
        <v/>
      </c>
      <c r="N884" s="125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  <c r="AC884" s="126"/>
      <c r="AD884" s="126"/>
      <c r="AE884" s="126"/>
      <c r="AF884" s="126"/>
      <c r="AG884" s="126"/>
      <c r="AH884" s="126"/>
      <c r="AI884" s="126"/>
      <c r="AJ884" s="126"/>
      <c r="AK884" s="126"/>
      <c r="AL884" s="126"/>
      <c r="AM884" s="126"/>
      <c r="AN884" s="126"/>
    </row>
    <row r="885" spans="1:40" s="127" customFormat="1" ht="21" customHeight="1" x14ac:dyDescent="0.25">
      <c r="A885" s="51" t="str">
        <f t="shared" si="39"/>
        <v/>
      </c>
      <c r="B885" s="77"/>
      <c r="C885" s="133"/>
      <c r="D885" s="50"/>
      <c r="E885" s="141"/>
      <c r="F885" s="133"/>
      <c r="G885" s="133"/>
      <c r="H885" s="50"/>
      <c r="I885" s="51" t="str">
        <f t="shared" si="40"/>
        <v/>
      </c>
      <c r="J885" s="52" t="str">
        <f t="shared" si="41"/>
        <v/>
      </c>
      <c r="K885" s="142" t="str">
        <f>IF(OR($I885="",$I885="?",$D885&lt;&gt;"Advance",$B885=""),"",$I885&amp;"|"&amp;$J885&amp;"|"&amp;COUNTIFS($I$7:$I885,$I885,$J$7:$J885,$J885,$D$7:$D885,"Advance"))</f>
        <v/>
      </c>
      <c r="L885" s="143" t="str">
        <f>IF(OR($I885="",$I885="?",$B885=""),"",SUMPRODUCT((Weeks!$A$7:$A$59&lt;=$J885)*(Weeks!$X$5:$AI$5=$I885)*Weeks!$X$7:$AI$59)-SUMIFS($E$7:$E$1006,$I$7:$I$1006,$I885,$B$7:$B$1006,"&lt;="&amp;$B885))</f>
        <v/>
      </c>
      <c r="M885" s="132" t="str">
        <f>IF($B885&amp;$C885&amp;$D885&amp;$E885="","",IF($B885="","missing date",IF($C885="","missing worker",IF($I885="?","unknown worker - was the name changed on Workers?",IF($D885="","missing type",IF(N($E885)=0,"missing amount",IF(AND($E885&lt;0,$D885&lt;&gt;"Correction"),"negative amount - use a Correction to undo",IF(OR($B885&lt;Weeks!$A$7,$B885&gt;Weeks!$B$59),"date outside this workbook's year",IF(AND($D885="Advance",N($L885)&lt;0),"Warning: more than earned so far - worker now owes "&amp;TEXT(ROUND(-$L885,0),"#,##0"),"")))))))))</f>
        <v/>
      </c>
      <c r="N885" s="125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  <c r="AC885" s="126"/>
      <c r="AD885" s="126"/>
      <c r="AE885" s="126"/>
      <c r="AF885" s="126"/>
      <c r="AG885" s="126"/>
      <c r="AH885" s="126"/>
      <c r="AI885" s="126"/>
      <c r="AJ885" s="126"/>
      <c r="AK885" s="126"/>
      <c r="AL885" s="126"/>
      <c r="AM885" s="126"/>
      <c r="AN885" s="126"/>
    </row>
    <row r="886" spans="1:40" s="127" customFormat="1" ht="21" customHeight="1" x14ac:dyDescent="0.25">
      <c r="A886" s="51" t="str">
        <f t="shared" si="39"/>
        <v/>
      </c>
      <c r="B886" s="77"/>
      <c r="C886" s="133"/>
      <c r="D886" s="50"/>
      <c r="E886" s="141"/>
      <c r="F886" s="133"/>
      <c r="G886" s="133"/>
      <c r="H886" s="50"/>
      <c r="I886" s="51" t="str">
        <f t="shared" si="40"/>
        <v/>
      </c>
      <c r="J886" s="52" t="str">
        <f t="shared" si="41"/>
        <v/>
      </c>
      <c r="K886" s="142" t="str">
        <f>IF(OR($I886="",$I886="?",$D886&lt;&gt;"Advance",$B886=""),"",$I886&amp;"|"&amp;$J886&amp;"|"&amp;COUNTIFS($I$7:$I886,$I886,$J$7:$J886,$J886,$D$7:$D886,"Advance"))</f>
        <v/>
      </c>
      <c r="L886" s="143" t="str">
        <f>IF(OR($I886="",$I886="?",$B886=""),"",SUMPRODUCT((Weeks!$A$7:$A$59&lt;=$J886)*(Weeks!$X$5:$AI$5=$I886)*Weeks!$X$7:$AI$59)-SUMIFS($E$7:$E$1006,$I$7:$I$1006,$I886,$B$7:$B$1006,"&lt;="&amp;$B886))</f>
        <v/>
      </c>
      <c r="M886" s="132" t="str">
        <f>IF($B886&amp;$C886&amp;$D886&amp;$E886="","",IF($B886="","missing date",IF($C886="","missing worker",IF($I886="?","unknown worker - was the name changed on Workers?",IF($D886="","missing type",IF(N($E886)=0,"missing amount",IF(AND($E886&lt;0,$D886&lt;&gt;"Correction"),"negative amount - use a Correction to undo",IF(OR($B886&lt;Weeks!$A$7,$B886&gt;Weeks!$B$59),"date outside this workbook's year",IF(AND($D886="Advance",N($L886)&lt;0),"Warning: more than earned so far - worker now owes "&amp;TEXT(ROUND(-$L886,0),"#,##0"),"")))))))))</f>
        <v/>
      </c>
      <c r="N886" s="125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  <c r="AC886" s="126"/>
      <c r="AD886" s="126"/>
      <c r="AE886" s="126"/>
      <c r="AF886" s="126"/>
      <c r="AG886" s="126"/>
      <c r="AH886" s="126"/>
      <c r="AI886" s="126"/>
      <c r="AJ886" s="126"/>
      <c r="AK886" s="126"/>
      <c r="AL886" s="126"/>
      <c r="AM886" s="126"/>
      <c r="AN886" s="126"/>
    </row>
    <row r="887" spans="1:40" s="127" customFormat="1" ht="21" customHeight="1" x14ac:dyDescent="0.25">
      <c r="A887" s="51" t="str">
        <f t="shared" si="39"/>
        <v/>
      </c>
      <c r="B887" s="77"/>
      <c r="C887" s="133"/>
      <c r="D887" s="50"/>
      <c r="E887" s="141"/>
      <c r="F887" s="133"/>
      <c r="G887" s="133"/>
      <c r="H887" s="50"/>
      <c r="I887" s="51" t="str">
        <f t="shared" si="40"/>
        <v/>
      </c>
      <c r="J887" s="52" t="str">
        <f t="shared" si="41"/>
        <v/>
      </c>
      <c r="K887" s="142" t="str">
        <f>IF(OR($I887="",$I887="?",$D887&lt;&gt;"Advance",$B887=""),"",$I887&amp;"|"&amp;$J887&amp;"|"&amp;COUNTIFS($I$7:$I887,$I887,$J$7:$J887,$J887,$D$7:$D887,"Advance"))</f>
        <v/>
      </c>
      <c r="L887" s="143" t="str">
        <f>IF(OR($I887="",$I887="?",$B887=""),"",SUMPRODUCT((Weeks!$A$7:$A$59&lt;=$J887)*(Weeks!$X$5:$AI$5=$I887)*Weeks!$X$7:$AI$59)-SUMIFS($E$7:$E$1006,$I$7:$I$1006,$I887,$B$7:$B$1006,"&lt;="&amp;$B887))</f>
        <v/>
      </c>
      <c r="M887" s="132" t="str">
        <f>IF($B887&amp;$C887&amp;$D887&amp;$E887="","",IF($B887="","missing date",IF($C887="","missing worker",IF($I887="?","unknown worker - was the name changed on Workers?",IF($D887="","missing type",IF(N($E887)=0,"missing amount",IF(AND($E887&lt;0,$D887&lt;&gt;"Correction"),"negative amount - use a Correction to undo",IF(OR($B887&lt;Weeks!$A$7,$B887&gt;Weeks!$B$59),"date outside this workbook's year",IF(AND($D887="Advance",N($L887)&lt;0),"Warning: more than earned so far - worker now owes "&amp;TEXT(ROUND(-$L887,0),"#,##0"),"")))))))))</f>
        <v/>
      </c>
      <c r="N887" s="125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  <c r="AE887" s="126"/>
      <c r="AF887" s="126"/>
      <c r="AG887" s="126"/>
      <c r="AH887" s="126"/>
      <c r="AI887" s="126"/>
      <c r="AJ887" s="126"/>
      <c r="AK887" s="126"/>
      <c r="AL887" s="126"/>
      <c r="AM887" s="126"/>
      <c r="AN887" s="126"/>
    </row>
    <row r="888" spans="1:40" s="127" customFormat="1" ht="21" customHeight="1" x14ac:dyDescent="0.25">
      <c r="A888" s="51" t="str">
        <f t="shared" si="39"/>
        <v/>
      </c>
      <c r="B888" s="77"/>
      <c r="C888" s="133"/>
      <c r="D888" s="50"/>
      <c r="E888" s="141"/>
      <c r="F888" s="133"/>
      <c r="G888" s="133"/>
      <c r="H888" s="50"/>
      <c r="I888" s="51" t="str">
        <f t="shared" si="40"/>
        <v/>
      </c>
      <c r="J888" s="52" t="str">
        <f t="shared" si="41"/>
        <v/>
      </c>
      <c r="K888" s="142" t="str">
        <f>IF(OR($I888="",$I888="?",$D888&lt;&gt;"Advance",$B888=""),"",$I888&amp;"|"&amp;$J888&amp;"|"&amp;COUNTIFS($I$7:$I888,$I888,$J$7:$J888,$J888,$D$7:$D888,"Advance"))</f>
        <v/>
      </c>
      <c r="L888" s="143" t="str">
        <f>IF(OR($I888="",$I888="?",$B888=""),"",SUMPRODUCT((Weeks!$A$7:$A$59&lt;=$J888)*(Weeks!$X$5:$AI$5=$I888)*Weeks!$X$7:$AI$59)-SUMIFS($E$7:$E$1006,$I$7:$I$1006,$I888,$B$7:$B$1006,"&lt;="&amp;$B888))</f>
        <v/>
      </c>
      <c r="M888" s="132" t="str">
        <f>IF($B888&amp;$C888&amp;$D888&amp;$E888="","",IF($B888="","missing date",IF($C888="","missing worker",IF($I888="?","unknown worker - was the name changed on Workers?",IF($D888="","missing type",IF(N($E888)=0,"missing amount",IF(AND($E888&lt;0,$D888&lt;&gt;"Correction"),"negative amount - use a Correction to undo",IF(OR($B888&lt;Weeks!$A$7,$B888&gt;Weeks!$B$59),"date outside this workbook's year",IF(AND($D888="Advance",N($L888)&lt;0),"Warning: more than earned so far - worker now owes "&amp;TEXT(ROUND(-$L888,0),"#,##0"),"")))))))))</f>
        <v/>
      </c>
      <c r="N888" s="125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  <c r="AC888" s="126"/>
      <c r="AD888" s="126"/>
      <c r="AE888" s="126"/>
      <c r="AF888" s="126"/>
      <c r="AG888" s="126"/>
      <c r="AH888" s="126"/>
      <c r="AI888" s="126"/>
      <c r="AJ888" s="126"/>
      <c r="AK888" s="126"/>
      <c r="AL888" s="126"/>
      <c r="AM888" s="126"/>
      <c r="AN888" s="126"/>
    </row>
    <row r="889" spans="1:40" s="127" customFormat="1" ht="21" customHeight="1" x14ac:dyDescent="0.25">
      <c r="A889" s="51" t="str">
        <f t="shared" si="39"/>
        <v/>
      </c>
      <c r="B889" s="77"/>
      <c r="C889" s="133"/>
      <c r="D889" s="50"/>
      <c r="E889" s="141"/>
      <c r="F889" s="133"/>
      <c r="G889" s="133"/>
      <c r="H889" s="50"/>
      <c r="I889" s="51" t="str">
        <f t="shared" si="40"/>
        <v/>
      </c>
      <c r="J889" s="52" t="str">
        <f t="shared" si="41"/>
        <v/>
      </c>
      <c r="K889" s="142" t="str">
        <f>IF(OR($I889="",$I889="?",$D889&lt;&gt;"Advance",$B889=""),"",$I889&amp;"|"&amp;$J889&amp;"|"&amp;COUNTIFS($I$7:$I889,$I889,$J$7:$J889,$J889,$D$7:$D889,"Advance"))</f>
        <v/>
      </c>
      <c r="L889" s="143" t="str">
        <f>IF(OR($I889="",$I889="?",$B889=""),"",SUMPRODUCT((Weeks!$A$7:$A$59&lt;=$J889)*(Weeks!$X$5:$AI$5=$I889)*Weeks!$X$7:$AI$59)-SUMIFS($E$7:$E$1006,$I$7:$I$1006,$I889,$B$7:$B$1006,"&lt;="&amp;$B889))</f>
        <v/>
      </c>
      <c r="M889" s="132" t="str">
        <f>IF($B889&amp;$C889&amp;$D889&amp;$E889="","",IF($B889="","missing date",IF($C889="","missing worker",IF($I889="?","unknown worker - was the name changed on Workers?",IF($D889="","missing type",IF(N($E889)=0,"missing amount",IF(AND($E889&lt;0,$D889&lt;&gt;"Correction"),"negative amount - use a Correction to undo",IF(OR($B889&lt;Weeks!$A$7,$B889&gt;Weeks!$B$59),"date outside this workbook's year",IF(AND($D889="Advance",N($L889)&lt;0),"Warning: more than earned so far - worker now owes "&amp;TEXT(ROUND(-$L889,0),"#,##0"),"")))))))))</f>
        <v/>
      </c>
      <c r="N889" s="125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  <c r="AC889" s="126"/>
      <c r="AD889" s="126"/>
      <c r="AE889" s="126"/>
      <c r="AF889" s="126"/>
      <c r="AG889" s="126"/>
      <c r="AH889" s="126"/>
      <c r="AI889" s="126"/>
      <c r="AJ889" s="126"/>
      <c r="AK889" s="126"/>
      <c r="AL889" s="126"/>
      <c r="AM889" s="126"/>
      <c r="AN889" s="126"/>
    </row>
    <row r="890" spans="1:40" s="127" customFormat="1" ht="21" customHeight="1" x14ac:dyDescent="0.25">
      <c r="A890" s="51" t="str">
        <f t="shared" si="39"/>
        <v/>
      </c>
      <c r="B890" s="77"/>
      <c r="C890" s="133"/>
      <c r="D890" s="50"/>
      <c r="E890" s="141"/>
      <c r="F890" s="133"/>
      <c r="G890" s="133"/>
      <c r="H890" s="50"/>
      <c r="I890" s="51" t="str">
        <f t="shared" si="40"/>
        <v/>
      </c>
      <c r="J890" s="52" t="str">
        <f t="shared" si="41"/>
        <v/>
      </c>
      <c r="K890" s="142" t="str">
        <f>IF(OR($I890="",$I890="?",$D890&lt;&gt;"Advance",$B890=""),"",$I890&amp;"|"&amp;$J890&amp;"|"&amp;COUNTIFS($I$7:$I890,$I890,$J$7:$J890,$J890,$D$7:$D890,"Advance"))</f>
        <v/>
      </c>
      <c r="L890" s="143" t="str">
        <f>IF(OR($I890="",$I890="?",$B890=""),"",SUMPRODUCT((Weeks!$A$7:$A$59&lt;=$J890)*(Weeks!$X$5:$AI$5=$I890)*Weeks!$X$7:$AI$59)-SUMIFS($E$7:$E$1006,$I$7:$I$1006,$I890,$B$7:$B$1006,"&lt;="&amp;$B890))</f>
        <v/>
      </c>
      <c r="M890" s="132" t="str">
        <f>IF($B890&amp;$C890&amp;$D890&amp;$E890="","",IF($B890="","missing date",IF($C890="","missing worker",IF($I890="?","unknown worker - was the name changed on Workers?",IF($D890="","missing type",IF(N($E890)=0,"missing amount",IF(AND($E890&lt;0,$D890&lt;&gt;"Correction"),"negative amount - use a Correction to undo",IF(OR($B890&lt;Weeks!$A$7,$B890&gt;Weeks!$B$59),"date outside this workbook's year",IF(AND($D890="Advance",N($L890)&lt;0),"Warning: more than earned so far - worker now owes "&amp;TEXT(ROUND(-$L890,0),"#,##0"),"")))))))))</f>
        <v/>
      </c>
      <c r="N890" s="125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  <c r="AC890" s="126"/>
      <c r="AD890" s="126"/>
      <c r="AE890" s="126"/>
      <c r="AF890" s="126"/>
      <c r="AG890" s="126"/>
      <c r="AH890" s="126"/>
      <c r="AI890" s="126"/>
      <c r="AJ890" s="126"/>
      <c r="AK890" s="126"/>
      <c r="AL890" s="126"/>
      <c r="AM890" s="126"/>
      <c r="AN890" s="126"/>
    </row>
    <row r="891" spans="1:40" s="127" customFormat="1" ht="21" customHeight="1" x14ac:dyDescent="0.25">
      <c r="A891" s="51" t="str">
        <f t="shared" si="39"/>
        <v/>
      </c>
      <c r="B891" s="77"/>
      <c r="C891" s="133"/>
      <c r="D891" s="50"/>
      <c r="E891" s="141"/>
      <c r="F891" s="133"/>
      <c r="G891" s="133"/>
      <c r="H891" s="50"/>
      <c r="I891" s="51" t="str">
        <f t="shared" si="40"/>
        <v/>
      </c>
      <c r="J891" s="52" t="str">
        <f t="shared" si="41"/>
        <v/>
      </c>
      <c r="K891" s="142" t="str">
        <f>IF(OR($I891="",$I891="?",$D891&lt;&gt;"Advance",$B891=""),"",$I891&amp;"|"&amp;$J891&amp;"|"&amp;COUNTIFS($I$7:$I891,$I891,$J$7:$J891,$J891,$D$7:$D891,"Advance"))</f>
        <v/>
      </c>
      <c r="L891" s="143" t="str">
        <f>IF(OR($I891="",$I891="?",$B891=""),"",SUMPRODUCT((Weeks!$A$7:$A$59&lt;=$J891)*(Weeks!$X$5:$AI$5=$I891)*Weeks!$X$7:$AI$59)-SUMIFS($E$7:$E$1006,$I$7:$I$1006,$I891,$B$7:$B$1006,"&lt;="&amp;$B891))</f>
        <v/>
      </c>
      <c r="M891" s="132" t="str">
        <f>IF($B891&amp;$C891&amp;$D891&amp;$E891="","",IF($B891="","missing date",IF($C891="","missing worker",IF($I891="?","unknown worker - was the name changed on Workers?",IF($D891="","missing type",IF(N($E891)=0,"missing amount",IF(AND($E891&lt;0,$D891&lt;&gt;"Correction"),"negative amount - use a Correction to undo",IF(OR($B891&lt;Weeks!$A$7,$B891&gt;Weeks!$B$59),"date outside this workbook's year",IF(AND($D891="Advance",N($L891)&lt;0),"Warning: more than earned so far - worker now owes "&amp;TEXT(ROUND(-$L891,0),"#,##0"),"")))))))))</f>
        <v/>
      </c>
      <c r="N891" s="125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  <c r="AC891" s="126"/>
      <c r="AD891" s="126"/>
      <c r="AE891" s="126"/>
      <c r="AF891" s="126"/>
      <c r="AG891" s="126"/>
      <c r="AH891" s="126"/>
      <c r="AI891" s="126"/>
      <c r="AJ891" s="126"/>
      <c r="AK891" s="126"/>
      <c r="AL891" s="126"/>
      <c r="AM891" s="126"/>
      <c r="AN891" s="126"/>
    </row>
    <row r="892" spans="1:40" s="127" customFormat="1" ht="21" customHeight="1" x14ac:dyDescent="0.25">
      <c r="A892" s="51" t="str">
        <f t="shared" si="39"/>
        <v/>
      </c>
      <c r="B892" s="77"/>
      <c r="C892" s="133"/>
      <c r="D892" s="50"/>
      <c r="E892" s="141"/>
      <c r="F892" s="133"/>
      <c r="G892" s="133"/>
      <c r="H892" s="50"/>
      <c r="I892" s="51" t="str">
        <f t="shared" si="40"/>
        <v/>
      </c>
      <c r="J892" s="52" t="str">
        <f t="shared" si="41"/>
        <v/>
      </c>
      <c r="K892" s="142" t="str">
        <f>IF(OR($I892="",$I892="?",$D892&lt;&gt;"Advance",$B892=""),"",$I892&amp;"|"&amp;$J892&amp;"|"&amp;COUNTIFS($I$7:$I892,$I892,$J$7:$J892,$J892,$D$7:$D892,"Advance"))</f>
        <v/>
      </c>
      <c r="L892" s="143" t="str">
        <f>IF(OR($I892="",$I892="?",$B892=""),"",SUMPRODUCT((Weeks!$A$7:$A$59&lt;=$J892)*(Weeks!$X$5:$AI$5=$I892)*Weeks!$X$7:$AI$59)-SUMIFS($E$7:$E$1006,$I$7:$I$1006,$I892,$B$7:$B$1006,"&lt;="&amp;$B892))</f>
        <v/>
      </c>
      <c r="M892" s="132" t="str">
        <f>IF($B892&amp;$C892&amp;$D892&amp;$E892="","",IF($B892="","missing date",IF($C892="","missing worker",IF($I892="?","unknown worker - was the name changed on Workers?",IF($D892="","missing type",IF(N($E892)=0,"missing amount",IF(AND($E892&lt;0,$D892&lt;&gt;"Correction"),"negative amount - use a Correction to undo",IF(OR($B892&lt;Weeks!$A$7,$B892&gt;Weeks!$B$59),"date outside this workbook's year",IF(AND($D892="Advance",N($L892)&lt;0),"Warning: more than earned so far - worker now owes "&amp;TEXT(ROUND(-$L892,0),"#,##0"),"")))))))))</f>
        <v/>
      </c>
      <c r="N892" s="125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  <c r="AC892" s="126"/>
      <c r="AD892" s="126"/>
      <c r="AE892" s="126"/>
      <c r="AF892" s="126"/>
      <c r="AG892" s="126"/>
      <c r="AH892" s="126"/>
      <c r="AI892" s="126"/>
      <c r="AJ892" s="126"/>
      <c r="AK892" s="126"/>
      <c r="AL892" s="126"/>
      <c r="AM892" s="126"/>
      <c r="AN892" s="126"/>
    </row>
    <row r="893" spans="1:40" s="127" customFormat="1" ht="21" customHeight="1" x14ac:dyDescent="0.25">
      <c r="A893" s="51" t="str">
        <f t="shared" si="39"/>
        <v/>
      </c>
      <c r="B893" s="77"/>
      <c r="C893" s="133"/>
      <c r="D893" s="50"/>
      <c r="E893" s="141"/>
      <c r="F893" s="133"/>
      <c r="G893" s="133"/>
      <c r="H893" s="50"/>
      <c r="I893" s="51" t="str">
        <f t="shared" si="40"/>
        <v/>
      </c>
      <c r="J893" s="52" t="str">
        <f t="shared" si="41"/>
        <v/>
      </c>
      <c r="K893" s="142" t="str">
        <f>IF(OR($I893="",$I893="?",$D893&lt;&gt;"Advance",$B893=""),"",$I893&amp;"|"&amp;$J893&amp;"|"&amp;COUNTIFS($I$7:$I893,$I893,$J$7:$J893,$J893,$D$7:$D893,"Advance"))</f>
        <v/>
      </c>
      <c r="L893" s="143" t="str">
        <f>IF(OR($I893="",$I893="?",$B893=""),"",SUMPRODUCT((Weeks!$A$7:$A$59&lt;=$J893)*(Weeks!$X$5:$AI$5=$I893)*Weeks!$X$7:$AI$59)-SUMIFS($E$7:$E$1006,$I$7:$I$1006,$I893,$B$7:$B$1006,"&lt;="&amp;$B893))</f>
        <v/>
      </c>
      <c r="M893" s="132" t="str">
        <f>IF($B893&amp;$C893&amp;$D893&amp;$E893="","",IF($B893="","missing date",IF($C893="","missing worker",IF($I893="?","unknown worker - was the name changed on Workers?",IF($D893="","missing type",IF(N($E893)=0,"missing amount",IF(AND($E893&lt;0,$D893&lt;&gt;"Correction"),"negative amount - use a Correction to undo",IF(OR($B893&lt;Weeks!$A$7,$B893&gt;Weeks!$B$59),"date outside this workbook's year",IF(AND($D893="Advance",N($L893)&lt;0),"Warning: more than earned so far - worker now owes "&amp;TEXT(ROUND(-$L893,0),"#,##0"),"")))))))))</f>
        <v/>
      </c>
      <c r="N893" s="125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  <c r="AC893" s="126"/>
      <c r="AD893" s="126"/>
      <c r="AE893" s="126"/>
      <c r="AF893" s="126"/>
      <c r="AG893" s="126"/>
      <c r="AH893" s="126"/>
      <c r="AI893" s="126"/>
      <c r="AJ893" s="126"/>
      <c r="AK893" s="126"/>
      <c r="AL893" s="126"/>
      <c r="AM893" s="126"/>
      <c r="AN893" s="126"/>
    </row>
    <row r="894" spans="1:40" s="127" customFormat="1" ht="21" customHeight="1" x14ac:dyDescent="0.25">
      <c r="A894" s="51" t="str">
        <f t="shared" si="39"/>
        <v/>
      </c>
      <c r="B894" s="77"/>
      <c r="C894" s="133"/>
      <c r="D894" s="50"/>
      <c r="E894" s="141"/>
      <c r="F894" s="133"/>
      <c r="G894" s="133"/>
      <c r="H894" s="50"/>
      <c r="I894" s="51" t="str">
        <f t="shared" si="40"/>
        <v/>
      </c>
      <c r="J894" s="52" t="str">
        <f t="shared" si="41"/>
        <v/>
      </c>
      <c r="K894" s="142" t="str">
        <f>IF(OR($I894="",$I894="?",$D894&lt;&gt;"Advance",$B894=""),"",$I894&amp;"|"&amp;$J894&amp;"|"&amp;COUNTIFS($I$7:$I894,$I894,$J$7:$J894,$J894,$D$7:$D894,"Advance"))</f>
        <v/>
      </c>
      <c r="L894" s="143" t="str">
        <f>IF(OR($I894="",$I894="?",$B894=""),"",SUMPRODUCT((Weeks!$A$7:$A$59&lt;=$J894)*(Weeks!$X$5:$AI$5=$I894)*Weeks!$X$7:$AI$59)-SUMIFS($E$7:$E$1006,$I$7:$I$1006,$I894,$B$7:$B$1006,"&lt;="&amp;$B894))</f>
        <v/>
      </c>
      <c r="M894" s="132" t="str">
        <f>IF($B894&amp;$C894&amp;$D894&amp;$E894="","",IF($B894="","missing date",IF($C894="","missing worker",IF($I894="?","unknown worker - was the name changed on Workers?",IF($D894="","missing type",IF(N($E894)=0,"missing amount",IF(AND($E894&lt;0,$D894&lt;&gt;"Correction"),"negative amount - use a Correction to undo",IF(OR($B894&lt;Weeks!$A$7,$B894&gt;Weeks!$B$59),"date outside this workbook's year",IF(AND($D894="Advance",N($L894)&lt;0),"Warning: more than earned so far - worker now owes "&amp;TEXT(ROUND(-$L894,0),"#,##0"),"")))))))))</f>
        <v/>
      </c>
      <c r="N894" s="125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  <c r="AC894" s="126"/>
      <c r="AD894" s="126"/>
      <c r="AE894" s="126"/>
      <c r="AF894" s="126"/>
      <c r="AG894" s="126"/>
      <c r="AH894" s="126"/>
      <c r="AI894" s="126"/>
      <c r="AJ894" s="126"/>
      <c r="AK894" s="126"/>
      <c r="AL894" s="126"/>
      <c r="AM894" s="126"/>
      <c r="AN894" s="126"/>
    </row>
    <row r="895" spans="1:40" s="127" customFormat="1" ht="21" customHeight="1" x14ac:dyDescent="0.25">
      <c r="A895" s="51" t="str">
        <f t="shared" si="39"/>
        <v/>
      </c>
      <c r="B895" s="77"/>
      <c r="C895" s="133"/>
      <c r="D895" s="50"/>
      <c r="E895" s="141"/>
      <c r="F895" s="133"/>
      <c r="G895" s="133"/>
      <c r="H895" s="50"/>
      <c r="I895" s="51" t="str">
        <f t="shared" si="40"/>
        <v/>
      </c>
      <c r="J895" s="52" t="str">
        <f t="shared" si="41"/>
        <v/>
      </c>
      <c r="K895" s="142" t="str">
        <f>IF(OR($I895="",$I895="?",$D895&lt;&gt;"Advance",$B895=""),"",$I895&amp;"|"&amp;$J895&amp;"|"&amp;COUNTIFS($I$7:$I895,$I895,$J$7:$J895,$J895,$D$7:$D895,"Advance"))</f>
        <v/>
      </c>
      <c r="L895" s="143" t="str">
        <f>IF(OR($I895="",$I895="?",$B895=""),"",SUMPRODUCT((Weeks!$A$7:$A$59&lt;=$J895)*(Weeks!$X$5:$AI$5=$I895)*Weeks!$X$7:$AI$59)-SUMIFS($E$7:$E$1006,$I$7:$I$1006,$I895,$B$7:$B$1006,"&lt;="&amp;$B895))</f>
        <v/>
      </c>
      <c r="M895" s="132" t="str">
        <f>IF($B895&amp;$C895&amp;$D895&amp;$E895="","",IF($B895="","missing date",IF($C895="","missing worker",IF($I895="?","unknown worker - was the name changed on Workers?",IF($D895="","missing type",IF(N($E895)=0,"missing amount",IF(AND($E895&lt;0,$D895&lt;&gt;"Correction"),"negative amount - use a Correction to undo",IF(OR($B895&lt;Weeks!$A$7,$B895&gt;Weeks!$B$59),"date outside this workbook's year",IF(AND($D895="Advance",N($L895)&lt;0),"Warning: more than earned so far - worker now owes "&amp;TEXT(ROUND(-$L895,0),"#,##0"),"")))))))))</f>
        <v/>
      </c>
      <c r="N895" s="125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126"/>
      <c r="AE895" s="126"/>
      <c r="AF895" s="126"/>
      <c r="AG895" s="126"/>
      <c r="AH895" s="126"/>
      <c r="AI895" s="126"/>
      <c r="AJ895" s="126"/>
      <c r="AK895" s="126"/>
      <c r="AL895" s="126"/>
      <c r="AM895" s="126"/>
      <c r="AN895" s="126"/>
    </row>
    <row r="896" spans="1:40" s="127" customFormat="1" ht="21" customHeight="1" x14ac:dyDescent="0.25">
      <c r="A896" s="51" t="str">
        <f t="shared" si="39"/>
        <v/>
      </c>
      <c r="B896" s="77"/>
      <c r="C896" s="133"/>
      <c r="D896" s="50"/>
      <c r="E896" s="141"/>
      <c r="F896" s="133"/>
      <c r="G896" s="133"/>
      <c r="H896" s="50"/>
      <c r="I896" s="51" t="str">
        <f t="shared" si="40"/>
        <v/>
      </c>
      <c r="J896" s="52" t="str">
        <f t="shared" si="41"/>
        <v/>
      </c>
      <c r="K896" s="142" t="str">
        <f>IF(OR($I896="",$I896="?",$D896&lt;&gt;"Advance",$B896=""),"",$I896&amp;"|"&amp;$J896&amp;"|"&amp;COUNTIFS($I$7:$I896,$I896,$J$7:$J896,$J896,$D$7:$D896,"Advance"))</f>
        <v/>
      </c>
      <c r="L896" s="143" t="str">
        <f>IF(OR($I896="",$I896="?",$B896=""),"",SUMPRODUCT((Weeks!$A$7:$A$59&lt;=$J896)*(Weeks!$X$5:$AI$5=$I896)*Weeks!$X$7:$AI$59)-SUMIFS($E$7:$E$1006,$I$7:$I$1006,$I896,$B$7:$B$1006,"&lt;="&amp;$B896))</f>
        <v/>
      </c>
      <c r="M896" s="132" t="str">
        <f>IF($B896&amp;$C896&amp;$D896&amp;$E896="","",IF($B896="","missing date",IF($C896="","missing worker",IF($I896="?","unknown worker - was the name changed on Workers?",IF($D896="","missing type",IF(N($E896)=0,"missing amount",IF(AND($E896&lt;0,$D896&lt;&gt;"Correction"),"negative amount - use a Correction to undo",IF(OR($B896&lt;Weeks!$A$7,$B896&gt;Weeks!$B$59),"date outside this workbook's year",IF(AND($D896="Advance",N($L896)&lt;0),"Warning: more than earned so far - worker now owes "&amp;TEXT(ROUND(-$L896,0),"#,##0"),"")))))))))</f>
        <v/>
      </c>
      <c r="N896" s="125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  <c r="AC896" s="126"/>
      <c r="AD896" s="126"/>
      <c r="AE896" s="126"/>
      <c r="AF896" s="126"/>
      <c r="AG896" s="126"/>
      <c r="AH896" s="126"/>
      <c r="AI896" s="126"/>
      <c r="AJ896" s="126"/>
      <c r="AK896" s="126"/>
      <c r="AL896" s="126"/>
      <c r="AM896" s="126"/>
      <c r="AN896" s="126"/>
    </row>
    <row r="897" spans="1:40" s="127" customFormat="1" ht="21" customHeight="1" x14ac:dyDescent="0.25">
      <c r="A897" s="51" t="str">
        <f t="shared" si="39"/>
        <v/>
      </c>
      <c r="B897" s="77"/>
      <c r="C897" s="133"/>
      <c r="D897" s="50"/>
      <c r="E897" s="141"/>
      <c r="F897" s="133"/>
      <c r="G897" s="133"/>
      <c r="H897" s="50"/>
      <c r="I897" s="51" t="str">
        <f t="shared" si="40"/>
        <v/>
      </c>
      <c r="J897" s="52" t="str">
        <f t="shared" si="41"/>
        <v/>
      </c>
      <c r="K897" s="142" t="str">
        <f>IF(OR($I897="",$I897="?",$D897&lt;&gt;"Advance",$B897=""),"",$I897&amp;"|"&amp;$J897&amp;"|"&amp;COUNTIFS($I$7:$I897,$I897,$J$7:$J897,$J897,$D$7:$D897,"Advance"))</f>
        <v/>
      </c>
      <c r="L897" s="143" t="str">
        <f>IF(OR($I897="",$I897="?",$B897=""),"",SUMPRODUCT((Weeks!$A$7:$A$59&lt;=$J897)*(Weeks!$X$5:$AI$5=$I897)*Weeks!$X$7:$AI$59)-SUMIFS($E$7:$E$1006,$I$7:$I$1006,$I897,$B$7:$B$1006,"&lt;="&amp;$B897))</f>
        <v/>
      </c>
      <c r="M897" s="132" t="str">
        <f>IF($B897&amp;$C897&amp;$D897&amp;$E897="","",IF($B897="","missing date",IF($C897="","missing worker",IF($I897="?","unknown worker - was the name changed on Workers?",IF($D897="","missing type",IF(N($E897)=0,"missing amount",IF(AND($E897&lt;0,$D897&lt;&gt;"Correction"),"negative amount - use a Correction to undo",IF(OR($B897&lt;Weeks!$A$7,$B897&gt;Weeks!$B$59),"date outside this workbook's year",IF(AND($D897="Advance",N($L897)&lt;0),"Warning: more than earned so far - worker now owes "&amp;TEXT(ROUND(-$L897,0),"#,##0"),"")))))))))</f>
        <v/>
      </c>
      <c r="N897" s="125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  <c r="AC897" s="126"/>
      <c r="AD897" s="126"/>
      <c r="AE897" s="126"/>
      <c r="AF897" s="126"/>
      <c r="AG897" s="126"/>
      <c r="AH897" s="126"/>
      <c r="AI897" s="126"/>
      <c r="AJ897" s="126"/>
      <c r="AK897" s="126"/>
      <c r="AL897" s="126"/>
      <c r="AM897" s="126"/>
      <c r="AN897" s="126"/>
    </row>
    <row r="898" spans="1:40" s="127" customFormat="1" ht="21" customHeight="1" x14ac:dyDescent="0.25">
      <c r="A898" s="51" t="str">
        <f t="shared" si="39"/>
        <v/>
      </c>
      <c r="B898" s="77"/>
      <c r="C898" s="133"/>
      <c r="D898" s="50"/>
      <c r="E898" s="141"/>
      <c r="F898" s="133"/>
      <c r="G898" s="133"/>
      <c r="H898" s="50"/>
      <c r="I898" s="51" t="str">
        <f t="shared" si="40"/>
        <v/>
      </c>
      <c r="J898" s="52" t="str">
        <f t="shared" si="41"/>
        <v/>
      </c>
      <c r="K898" s="142" t="str">
        <f>IF(OR($I898="",$I898="?",$D898&lt;&gt;"Advance",$B898=""),"",$I898&amp;"|"&amp;$J898&amp;"|"&amp;COUNTIFS($I$7:$I898,$I898,$J$7:$J898,$J898,$D$7:$D898,"Advance"))</f>
        <v/>
      </c>
      <c r="L898" s="143" t="str">
        <f>IF(OR($I898="",$I898="?",$B898=""),"",SUMPRODUCT((Weeks!$A$7:$A$59&lt;=$J898)*(Weeks!$X$5:$AI$5=$I898)*Weeks!$X$7:$AI$59)-SUMIFS($E$7:$E$1006,$I$7:$I$1006,$I898,$B$7:$B$1006,"&lt;="&amp;$B898))</f>
        <v/>
      </c>
      <c r="M898" s="132" t="str">
        <f>IF($B898&amp;$C898&amp;$D898&amp;$E898="","",IF($B898="","missing date",IF($C898="","missing worker",IF($I898="?","unknown worker - was the name changed on Workers?",IF($D898="","missing type",IF(N($E898)=0,"missing amount",IF(AND($E898&lt;0,$D898&lt;&gt;"Correction"),"negative amount - use a Correction to undo",IF(OR($B898&lt;Weeks!$A$7,$B898&gt;Weeks!$B$59),"date outside this workbook's year",IF(AND($D898="Advance",N($L898)&lt;0),"Warning: more than earned so far - worker now owes "&amp;TEXT(ROUND(-$L898,0),"#,##0"),"")))))))))</f>
        <v/>
      </c>
      <c r="N898" s="125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  <c r="AC898" s="126"/>
      <c r="AD898" s="126"/>
      <c r="AE898" s="126"/>
      <c r="AF898" s="126"/>
      <c r="AG898" s="126"/>
      <c r="AH898" s="126"/>
      <c r="AI898" s="126"/>
      <c r="AJ898" s="126"/>
      <c r="AK898" s="126"/>
      <c r="AL898" s="126"/>
      <c r="AM898" s="126"/>
      <c r="AN898" s="126"/>
    </row>
    <row r="899" spans="1:40" s="127" customFormat="1" ht="21" customHeight="1" x14ac:dyDescent="0.25">
      <c r="A899" s="51" t="str">
        <f t="shared" si="39"/>
        <v/>
      </c>
      <c r="B899" s="77"/>
      <c r="C899" s="133"/>
      <c r="D899" s="50"/>
      <c r="E899" s="141"/>
      <c r="F899" s="133"/>
      <c r="G899" s="133"/>
      <c r="H899" s="50"/>
      <c r="I899" s="51" t="str">
        <f t="shared" si="40"/>
        <v/>
      </c>
      <c r="J899" s="52" t="str">
        <f t="shared" si="41"/>
        <v/>
      </c>
      <c r="K899" s="142" t="str">
        <f>IF(OR($I899="",$I899="?",$D899&lt;&gt;"Advance",$B899=""),"",$I899&amp;"|"&amp;$J899&amp;"|"&amp;COUNTIFS($I$7:$I899,$I899,$J$7:$J899,$J899,$D$7:$D899,"Advance"))</f>
        <v/>
      </c>
      <c r="L899" s="143" t="str">
        <f>IF(OR($I899="",$I899="?",$B899=""),"",SUMPRODUCT((Weeks!$A$7:$A$59&lt;=$J899)*(Weeks!$X$5:$AI$5=$I899)*Weeks!$X$7:$AI$59)-SUMIFS($E$7:$E$1006,$I$7:$I$1006,$I899,$B$7:$B$1006,"&lt;="&amp;$B899))</f>
        <v/>
      </c>
      <c r="M899" s="132" t="str">
        <f>IF($B899&amp;$C899&amp;$D899&amp;$E899="","",IF($B899="","missing date",IF($C899="","missing worker",IF($I899="?","unknown worker - was the name changed on Workers?",IF($D899="","missing type",IF(N($E899)=0,"missing amount",IF(AND($E899&lt;0,$D899&lt;&gt;"Correction"),"negative amount - use a Correction to undo",IF(OR($B899&lt;Weeks!$A$7,$B899&gt;Weeks!$B$59),"date outside this workbook's year",IF(AND($D899="Advance",N($L899)&lt;0),"Warning: more than earned so far - worker now owes "&amp;TEXT(ROUND(-$L899,0),"#,##0"),"")))))))))</f>
        <v/>
      </c>
      <c r="N899" s="125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  <c r="AC899" s="126"/>
      <c r="AD899" s="126"/>
      <c r="AE899" s="126"/>
      <c r="AF899" s="126"/>
      <c r="AG899" s="126"/>
      <c r="AH899" s="126"/>
      <c r="AI899" s="126"/>
      <c r="AJ899" s="126"/>
      <c r="AK899" s="126"/>
      <c r="AL899" s="126"/>
      <c r="AM899" s="126"/>
      <c r="AN899" s="126"/>
    </row>
    <row r="900" spans="1:40" s="127" customFormat="1" ht="21" customHeight="1" x14ac:dyDescent="0.25">
      <c r="A900" s="51" t="str">
        <f t="shared" si="39"/>
        <v/>
      </c>
      <c r="B900" s="77"/>
      <c r="C900" s="133"/>
      <c r="D900" s="50"/>
      <c r="E900" s="141"/>
      <c r="F900" s="133"/>
      <c r="G900" s="133"/>
      <c r="H900" s="50"/>
      <c r="I900" s="51" t="str">
        <f t="shared" si="40"/>
        <v/>
      </c>
      <c r="J900" s="52" t="str">
        <f t="shared" si="41"/>
        <v/>
      </c>
      <c r="K900" s="142" t="str">
        <f>IF(OR($I900="",$I900="?",$D900&lt;&gt;"Advance",$B900=""),"",$I900&amp;"|"&amp;$J900&amp;"|"&amp;COUNTIFS($I$7:$I900,$I900,$J$7:$J900,$J900,$D$7:$D900,"Advance"))</f>
        <v/>
      </c>
      <c r="L900" s="143" t="str">
        <f>IF(OR($I900="",$I900="?",$B900=""),"",SUMPRODUCT((Weeks!$A$7:$A$59&lt;=$J900)*(Weeks!$X$5:$AI$5=$I900)*Weeks!$X$7:$AI$59)-SUMIFS($E$7:$E$1006,$I$7:$I$1006,$I900,$B$7:$B$1006,"&lt;="&amp;$B900))</f>
        <v/>
      </c>
      <c r="M900" s="132" t="str">
        <f>IF($B900&amp;$C900&amp;$D900&amp;$E900="","",IF($B900="","missing date",IF($C900="","missing worker",IF($I900="?","unknown worker - was the name changed on Workers?",IF($D900="","missing type",IF(N($E900)=0,"missing amount",IF(AND($E900&lt;0,$D900&lt;&gt;"Correction"),"negative amount - use a Correction to undo",IF(OR($B900&lt;Weeks!$A$7,$B900&gt;Weeks!$B$59),"date outside this workbook's year",IF(AND($D900="Advance",N($L900)&lt;0),"Warning: more than earned so far - worker now owes "&amp;TEXT(ROUND(-$L900,0),"#,##0"),"")))))))))</f>
        <v/>
      </c>
      <c r="N900" s="125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  <c r="AC900" s="126"/>
      <c r="AD900" s="126"/>
      <c r="AE900" s="126"/>
      <c r="AF900" s="126"/>
      <c r="AG900" s="126"/>
      <c r="AH900" s="126"/>
      <c r="AI900" s="126"/>
      <c r="AJ900" s="126"/>
      <c r="AK900" s="126"/>
      <c r="AL900" s="126"/>
      <c r="AM900" s="126"/>
      <c r="AN900" s="126"/>
    </row>
    <row r="901" spans="1:40" s="127" customFormat="1" ht="21" customHeight="1" x14ac:dyDescent="0.25">
      <c r="A901" s="51" t="str">
        <f t="shared" si="39"/>
        <v/>
      </c>
      <c r="B901" s="77"/>
      <c r="C901" s="133"/>
      <c r="D901" s="50"/>
      <c r="E901" s="141"/>
      <c r="F901" s="133"/>
      <c r="G901" s="133"/>
      <c r="H901" s="50"/>
      <c r="I901" s="51" t="str">
        <f t="shared" si="40"/>
        <v/>
      </c>
      <c r="J901" s="52" t="str">
        <f t="shared" si="41"/>
        <v/>
      </c>
      <c r="K901" s="142" t="str">
        <f>IF(OR($I901="",$I901="?",$D901&lt;&gt;"Advance",$B901=""),"",$I901&amp;"|"&amp;$J901&amp;"|"&amp;COUNTIFS($I$7:$I901,$I901,$J$7:$J901,$J901,$D$7:$D901,"Advance"))</f>
        <v/>
      </c>
      <c r="L901" s="143" t="str">
        <f>IF(OR($I901="",$I901="?",$B901=""),"",SUMPRODUCT((Weeks!$A$7:$A$59&lt;=$J901)*(Weeks!$X$5:$AI$5=$I901)*Weeks!$X$7:$AI$59)-SUMIFS($E$7:$E$1006,$I$7:$I$1006,$I901,$B$7:$B$1006,"&lt;="&amp;$B901))</f>
        <v/>
      </c>
      <c r="M901" s="132" t="str">
        <f>IF($B901&amp;$C901&amp;$D901&amp;$E901="","",IF($B901="","missing date",IF($C901="","missing worker",IF($I901="?","unknown worker - was the name changed on Workers?",IF($D901="","missing type",IF(N($E901)=0,"missing amount",IF(AND($E901&lt;0,$D901&lt;&gt;"Correction"),"negative amount - use a Correction to undo",IF(OR($B901&lt;Weeks!$A$7,$B901&gt;Weeks!$B$59),"date outside this workbook's year",IF(AND($D901="Advance",N($L901)&lt;0),"Warning: more than earned so far - worker now owes "&amp;TEXT(ROUND(-$L901,0),"#,##0"),"")))))))))</f>
        <v/>
      </c>
      <c r="N901" s="125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  <c r="AC901" s="126"/>
      <c r="AD901" s="126"/>
      <c r="AE901" s="126"/>
      <c r="AF901" s="126"/>
      <c r="AG901" s="126"/>
      <c r="AH901" s="126"/>
      <c r="AI901" s="126"/>
      <c r="AJ901" s="126"/>
      <c r="AK901" s="126"/>
      <c r="AL901" s="126"/>
      <c r="AM901" s="126"/>
      <c r="AN901" s="126"/>
    </row>
    <row r="902" spans="1:40" s="127" customFormat="1" ht="21" customHeight="1" x14ac:dyDescent="0.25">
      <c r="A902" s="51" t="str">
        <f t="shared" si="39"/>
        <v/>
      </c>
      <c r="B902" s="77"/>
      <c r="C902" s="133"/>
      <c r="D902" s="50"/>
      <c r="E902" s="141"/>
      <c r="F902" s="133"/>
      <c r="G902" s="133"/>
      <c r="H902" s="50"/>
      <c r="I902" s="51" t="str">
        <f t="shared" si="40"/>
        <v/>
      </c>
      <c r="J902" s="52" t="str">
        <f t="shared" si="41"/>
        <v/>
      </c>
      <c r="K902" s="142" t="str">
        <f>IF(OR($I902="",$I902="?",$D902&lt;&gt;"Advance",$B902=""),"",$I902&amp;"|"&amp;$J902&amp;"|"&amp;COUNTIFS($I$7:$I902,$I902,$J$7:$J902,$J902,$D$7:$D902,"Advance"))</f>
        <v/>
      </c>
      <c r="L902" s="143" t="str">
        <f>IF(OR($I902="",$I902="?",$B902=""),"",SUMPRODUCT((Weeks!$A$7:$A$59&lt;=$J902)*(Weeks!$X$5:$AI$5=$I902)*Weeks!$X$7:$AI$59)-SUMIFS($E$7:$E$1006,$I$7:$I$1006,$I902,$B$7:$B$1006,"&lt;="&amp;$B902))</f>
        <v/>
      </c>
      <c r="M902" s="132" t="str">
        <f>IF($B902&amp;$C902&amp;$D902&amp;$E902="","",IF($B902="","missing date",IF($C902="","missing worker",IF($I902="?","unknown worker - was the name changed on Workers?",IF($D902="","missing type",IF(N($E902)=0,"missing amount",IF(AND($E902&lt;0,$D902&lt;&gt;"Correction"),"negative amount - use a Correction to undo",IF(OR($B902&lt;Weeks!$A$7,$B902&gt;Weeks!$B$59),"date outside this workbook's year",IF(AND($D902="Advance",N($L902)&lt;0),"Warning: more than earned so far - worker now owes "&amp;TEXT(ROUND(-$L902,0),"#,##0"),"")))))))))</f>
        <v/>
      </c>
      <c r="N902" s="125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  <c r="AC902" s="126"/>
      <c r="AD902" s="126"/>
      <c r="AE902" s="126"/>
      <c r="AF902" s="126"/>
      <c r="AG902" s="126"/>
      <c r="AH902" s="126"/>
      <c r="AI902" s="126"/>
      <c r="AJ902" s="126"/>
      <c r="AK902" s="126"/>
      <c r="AL902" s="126"/>
      <c r="AM902" s="126"/>
      <c r="AN902" s="126"/>
    </row>
    <row r="903" spans="1:40" s="127" customFormat="1" ht="21" customHeight="1" x14ac:dyDescent="0.25">
      <c r="A903" s="51" t="str">
        <f t="shared" ref="A903:A966" si="42">IF($B903="","",ROW()-6)</f>
        <v/>
      </c>
      <c r="B903" s="77"/>
      <c r="C903" s="133"/>
      <c r="D903" s="50"/>
      <c r="E903" s="141"/>
      <c r="F903" s="133"/>
      <c r="G903" s="133"/>
      <c r="H903" s="50"/>
      <c r="I903" s="51" t="str">
        <f t="shared" ref="I903:I966" si="43">IF($C903="","",IFERROR(INDEX(WorkerIDs,MATCH($C903,WorkerNames,0)),"?"))</f>
        <v/>
      </c>
      <c r="J903" s="52" t="str">
        <f t="shared" ref="J903:J966" si="44">IF($B903="","",$B903-WEEKDAY($B903,2)+1)</f>
        <v/>
      </c>
      <c r="K903" s="142" t="str">
        <f>IF(OR($I903="",$I903="?",$D903&lt;&gt;"Advance",$B903=""),"",$I903&amp;"|"&amp;$J903&amp;"|"&amp;COUNTIFS($I$7:$I903,$I903,$J$7:$J903,$J903,$D$7:$D903,"Advance"))</f>
        <v/>
      </c>
      <c r="L903" s="143" t="str">
        <f>IF(OR($I903="",$I903="?",$B903=""),"",SUMPRODUCT((Weeks!$A$7:$A$59&lt;=$J903)*(Weeks!$X$5:$AI$5=$I903)*Weeks!$X$7:$AI$59)-SUMIFS($E$7:$E$1006,$I$7:$I$1006,$I903,$B$7:$B$1006,"&lt;="&amp;$B903))</f>
        <v/>
      </c>
      <c r="M903" s="132" t="str">
        <f>IF($B903&amp;$C903&amp;$D903&amp;$E903="","",IF($B903="","missing date",IF($C903="","missing worker",IF($I903="?","unknown worker - was the name changed on Workers?",IF($D903="","missing type",IF(N($E903)=0,"missing amount",IF(AND($E903&lt;0,$D903&lt;&gt;"Correction"),"negative amount - use a Correction to undo",IF(OR($B903&lt;Weeks!$A$7,$B903&gt;Weeks!$B$59),"date outside this workbook's year",IF(AND($D903="Advance",N($L903)&lt;0),"Warning: more than earned so far - worker now owes "&amp;TEXT(ROUND(-$L903,0),"#,##0"),"")))))))))</f>
        <v/>
      </c>
      <c r="N903" s="125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  <c r="AC903" s="126"/>
      <c r="AD903" s="126"/>
      <c r="AE903" s="126"/>
      <c r="AF903" s="126"/>
      <c r="AG903" s="126"/>
      <c r="AH903" s="126"/>
      <c r="AI903" s="126"/>
      <c r="AJ903" s="126"/>
      <c r="AK903" s="126"/>
      <c r="AL903" s="126"/>
      <c r="AM903" s="126"/>
      <c r="AN903" s="126"/>
    </row>
    <row r="904" spans="1:40" s="127" customFormat="1" ht="21" customHeight="1" x14ac:dyDescent="0.25">
      <c r="A904" s="51" t="str">
        <f t="shared" si="42"/>
        <v/>
      </c>
      <c r="B904" s="77"/>
      <c r="C904" s="133"/>
      <c r="D904" s="50"/>
      <c r="E904" s="141"/>
      <c r="F904" s="133"/>
      <c r="G904" s="133"/>
      <c r="H904" s="50"/>
      <c r="I904" s="51" t="str">
        <f t="shared" si="43"/>
        <v/>
      </c>
      <c r="J904" s="52" t="str">
        <f t="shared" si="44"/>
        <v/>
      </c>
      <c r="K904" s="142" t="str">
        <f>IF(OR($I904="",$I904="?",$D904&lt;&gt;"Advance",$B904=""),"",$I904&amp;"|"&amp;$J904&amp;"|"&amp;COUNTIFS($I$7:$I904,$I904,$J$7:$J904,$J904,$D$7:$D904,"Advance"))</f>
        <v/>
      </c>
      <c r="L904" s="143" t="str">
        <f>IF(OR($I904="",$I904="?",$B904=""),"",SUMPRODUCT((Weeks!$A$7:$A$59&lt;=$J904)*(Weeks!$X$5:$AI$5=$I904)*Weeks!$X$7:$AI$59)-SUMIFS($E$7:$E$1006,$I$7:$I$1006,$I904,$B$7:$B$1006,"&lt;="&amp;$B904))</f>
        <v/>
      </c>
      <c r="M904" s="132" t="str">
        <f>IF($B904&amp;$C904&amp;$D904&amp;$E904="","",IF($B904="","missing date",IF($C904="","missing worker",IF($I904="?","unknown worker - was the name changed on Workers?",IF($D904="","missing type",IF(N($E904)=0,"missing amount",IF(AND($E904&lt;0,$D904&lt;&gt;"Correction"),"negative amount - use a Correction to undo",IF(OR($B904&lt;Weeks!$A$7,$B904&gt;Weeks!$B$59),"date outside this workbook's year",IF(AND($D904="Advance",N($L904)&lt;0),"Warning: more than earned so far - worker now owes "&amp;TEXT(ROUND(-$L904,0),"#,##0"),"")))))))))</f>
        <v/>
      </c>
      <c r="N904" s="125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  <c r="AC904" s="126"/>
      <c r="AD904" s="126"/>
      <c r="AE904" s="126"/>
      <c r="AF904" s="126"/>
      <c r="AG904" s="126"/>
      <c r="AH904" s="126"/>
      <c r="AI904" s="126"/>
      <c r="AJ904" s="126"/>
      <c r="AK904" s="126"/>
      <c r="AL904" s="126"/>
      <c r="AM904" s="126"/>
      <c r="AN904" s="126"/>
    </row>
    <row r="905" spans="1:40" s="127" customFormat="1" ht="21" customHeight="1" x14ac:dyDescent="0.25">
      <c r="A905" s="51" t="str">
        <f t="shared" si="42"/>
        <v/>
      </c>
      <c r="B905" s="77"/>
      <c r="C905" s="133"/>
      <c r="D905" s="50"/>
      <c r="E905" s="141"/>
      <c r="F905" s="133"/>
      <c r="G905" s="133"/>
      <c r="H905" s="50"/>
      <c r="I905" s="51" t="str">
        <f t="shared" si="43"/>
        <v/>
      </c>
      <c r="J905" s="52" t="str">
        <f t="shared" si="44"/>
        <v/>
      </c>
      <c r="K905" s="142" t="str">
        <f>IF(OR($I905="",$I905="?",$D905&lt;&gt;"Advance",$B905=""),"",$I905&amp;"|"&amp;$J905&amp;"|"&amp;COUNTIFS($I$7:$I905,$I905,$J$7:$J905,$J905,$D$7:$D905,"Advance"))</f>
        <v/>
      </c>
      <c r="L905" s="143" t="str">
        <f>IF(OR($I905="",$I905="?",$B905=""),"",SUMPRODUCT((Weeks!$A$7:$A$59&lt;=$J905)*(Weeks!$X$5:$AI$5=$I905)*Weeks!$X$7:$AI$59)-SUMIFS($E$7:$E$1006,$I$7:$I$1006,$I905,$B$7:$B$1006,"&lt;="&amp;$B905))</f>
        <v/>
      </c>
      <c r="M905" s="132" t="str">
        <f>IF($B905&amp;$C905&amp;$D905&amp;$E905="","",IF($B905="","missing date",IF($C905="","missing worker",IF($I905="?","unknown worker - was the name changed on Workers?",IF($D905="","missing type",IF(N($E905)=0,"missing amount",IF(AND($E905&lt;0,$D905&lt;&gt;"Correction"),"negative amount - use a Correction to undo",IF(OR($B905&lt;Weeks!$A$7,$B905&gt;Weeks!$B$59),"date outside this workbook's year",IF(AND($D905="Advance",N($L905)&lt;0),"Warning: more than earned so far - worker now owes "&amp;TEXT(ROUND(-$L905,0),"#,##0"),"")))))))))</f>
        <v/>
      </c>
      <c r="N905" s="125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  <c r="AC905" s="126"/>
      <c r="AD905" s="126"/>
      <c r="AE905" s="126"/>
      <c r="AF905" s="126"/>
      <c r="AG905" s="126"/>
      <c r="AH905" s="126"/>
      <c r="AI905" s="126"/>
      <c r="AJ905" s="126"/>
      <c r="AK905" s="126"/>
      <c r="AL905" s="126"/>
      <c r="AM905" s="126"/>
      <c r="AN905" s="126"/>
    </row>
    <row r="906" spans="1:40" s="127" customFormat="1" ht="21" customHeight="1" x14ac:dyDescent="0.25">
      <c r="A906" s="51" t="str">
        <f t="shared" si="42"/>
        <v/>
      </c>
      <c r="B906" s="77"/>
      <c r="C906" s="133"/>
      <c r="D906" s="50"/>
      <c r="E906" s="141"/>
      <c r="F906" s="133"/>
      <c r="G906" s="133"/>
      <c r="H906" s="50"/>
      <c r="I906" s="51" t="str">
        <f t="shared" si="43"/>
        <v/>
      </c>
      <c r="J906" s="52" t="str">
        <f t="shared" si="44"/>
        <v/>
      </c>
      <c r="K906" s="142" t="str">
        <f>IF(OR($I906="",$I906="?",$D906&lt;&gt;"Advance",$B906=""),"",$I906&amp;"|"&amp;$J906&amp;"|"&amp;COUNTIFS($I$7:$I906,$I906,$J$7:$J906,$J906,$D$7:$D906,"Advance"))</f>
        <v/>
      </c>
      <c r="L906" s="143" t="str">
        <f>IF(OR($I906="",$I906="?",$B906=""),"",SUMPRODUCT((Weeks!$A$7:$A$59&lt;=$J906)*(Weeks!$X$5:$AI$5=$I906)*Weeks!$X$7:$AI$59)-SUMIFS($E$7:$E$1006,$I$7:$I$1006,$I906,$B$7:$B$1006,"&lt;="&amp;$B906))</f>
        <v/>
      </c>
      <c r="M906" s="132" t="str">
        <f>IF($B906&amp;$C906&amp;$D906&amp;$E906="","",IF($B906="","missing date",IF($C906="","missing worker",IF($I906="?","unknown worker - was the name changed on Workers?",IF($D906="","missing type",IF(N($E906)=0,"missing amount",IF(AND($E906&lt;0,$D906&lt;&gt;"Correction"),"negative amount - use a Correction to undo",IF(OR($B906&lt;Weeks!$A$7,$B906&gt;Weeks!$B$59),"date outside this workbook's year",IF(AND($D906="Advance",N($L906)&lt;0),"Warning: more than earned so far - worker now owes "&amp;TEXT(ROUND(-$L906,0),"#,##0"),"")))))))))</f>
        <v/>
      </c>
      <c r="N906" s="125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  <c r="AC906" s="126"/>
      <c r="AD906" s="126"/>
      <c r="AE906" s="126"/>
      <c r="AF906" s="126"/>
      <c r="AG906" s="126"/>
      <c r="AH906" s="126"/>
      <c r="AI906" s="126"/>
      <c r="AJ906" s="126"/>
      <c r="AK906" s="126"/>
      <c r="AL906" s="126"/>
      <c r="AM906" s="126"/>
      <c r="AN906" s="126"/>
    </row>
    <row r="907" spans="1:40" s="127" customFormat="1" ht="21" customHeight="1" x14ac:dyDescent="0.25">
      <c r="A907" s="51" t="str">
        <f t="shared" si="42"/>
        <v/>
      </c>
      <c r="B907" s="77"/>
      <c r="C907" s="133"/>
      <c r="D907" s="50"/>
      <c r="E907" s="141"/>
      <c r="F907" s="133"/>
      <c r="G907" s="133"/>
      <c r="H907" s="50"/>
      <c r="I907" s="51" t="str">
        <f t="shared" si="43"/>
        <v/>
      </c>
      <c r="J907" s="52" t="str">
        <f t="shared" si="44"/>
        <v/>
      </c>
      <c r="K907" s="142" t="str">
        <f>IF(OR($I907="",$I907="?",$D907&lt;&gt;"Advance",$B907=""),"",$I907&amp;"|"&amp;$J907&amp;"|"&amp;COUNTIFS($I$7:$I907,$I907,$J$7:$J907,$J907,$D$7:$D907,"Advance"))</f>
        <v/>
      </c>
      <c r="L907" s="143" t="str">
        <f>IF(OR($I907="",$I907="?",$B907=""),"",SUMPRODUCT((Weeks!$A$7:$A$59&lt;=$J907)*(Weeks!$X$5:$AI$5=$I907)*Weeks!$X$7:$AI$59)-SUMIFS($E$7:$E$1006,$I$7:$I$1006,$I907,$B$7:$B$1006,"&lt;="&amp;$B907))</f>
        <v/>
      </c>
      <c r="M907" s="132" t="str">
        <f>IF($B907&amp;$C907&amp;$D907&amp;$E907="","",IF($B907="","missing date",IF($C907="","missing worker",IF($I907="?","unknown worker - was the name changed on Workers?",IF($D907="","missing type",IF(N($E907)=0,"missing amount",IF(AND($E907&lt;0,$D907&lt;&gt;"Correction"),"negative amount - use a Correction to undo",IF(OR($B907&lt;Weeks!$A$7,$B907&gt;Weeks!$B$59),"date outside this workbook's year",IF(AND($D907="Advance",N($L907)&lt;0),"Warning: more than earned so far - worker now owes "&amp;TEXT(ROUND(-$L907,0),"#,##0"),"")))))))))</f>
        <v/>
      </c>
      <c r="N907" s="125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  <c r="AC907" s="126"/>
      <c r="AD907" s="126"/>
      <c r="AE907" s="126"/>
      <c r="AF907" s="126"/>
      <c r="AG907" s="126"/>
      <c r="AH907" s="126"/>
      <c r="AI907" s="126"/>
      <c r="AJ907" s="126"/>
      <c r="AK907" s="126"/>
      <c r="AL907" s="126"/>
      <c r="AM907" s="126"/>
      <c r="AN907" s="126"/>
    </row>
    <row r="908" spans="1:40" s="127" customFormat="1" ht="21" customHeight="1" x14ac:dyDescent="0.25">
      <c r="A908" s="51" t="str">
        <f t="shared" si="42"/>
        <v/>
      </c>
      <c r="B908" s="77"/>
      <c r="C908" s="133"/>
      <c r="D908" s="50"/>
      <c r="E908" s="141"/>
      <c r="F908" s="133"/>
      <c r="G908" s="133"/>
      <c r="H908" s="50"/>
      <c r="I908" s="51" t="str">
        <f t="shared" si="43"/>
        <v/>
      </c>
      <c r="J908" s="52" t="str">
        <f t="shared" si="44"/>
        <v/>
      </c>
      <c r="K908" s="142" t="str">
        <f>IF(OR($I908="",$I908="?",$D908&lt;&gt;"Advance",$B908=""),"",$I908&amp;"|"&amp;$J908&amp;"|"&amp;COUNTIFS($I$7:$I908,$I908,$J$7:$J908,$J908,$D$7:$D908,"Advance"))</f>
        <v/>
      </c>
      <c r="L908" s="143" t="str">
        <f>IF(OR($I908="",$I908="?",$B908=""),"",SUMPRODUCT((Weeks!$A$7:$A$59&lt;=$J908)*(Weeks!$X$5:$AI$5=$I908)*Weeks!$X$7:$AI$59)-SUMIFS($E$7:$E$1006,$I$7:$I$1006,$I908,$B$7:$B$1006,"&lt;="&amp;$B908))</f>
        <v/>
      </c>
      <c r="M908" s="132" t="str">
        <f>IF($B908&amp;$C908&amp;$D908&amp;$E908="","",IF($B908="","missing date",IF($C908="","missing worker",IF($I908="?","unknown worker - was the name changed on Workers?",IF($D908="","missing type",IF(N($E908)=0,"missing amount",IF(AND($E908&lt;0,$D908&lt;&gt;"Correction"),"negative amount - use a Correction to undo",IF(OR($B908&lt;Weeks!$A$7,$B908&gt;Weeks!$B$59),"date outside this workbook's year",IF(AND($D908="Advance",N($L908)&lt;0),"Warning: more than earned so far - worker now owes "&amp;TEXT(ROUND(-$L908,0),"#,##0"),"")))))))))</f>
        <v/>
      </c>
      <c r="N908" s="125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  <c r="AC908" s="126"/>
      <c r="AD908" s="126"/>
      <c r="AE908" s="126"/>
      <c r="AF908" s="126"/>
      <c r="AG908" s="126"/>
      <c r="AH908" s="126"/>
      <c r="AI908" s="126"/>
      <c r="AJ908" s="126"/>
      <c r="AK908" s="126"/>
      <c r="AL908" s="126"/>
      <c r="AM908" s="126"/>
      <c r="AN908" s="126"/>
    </row>
    <row r="909" spans="1:40" s="127" customFormat="1" ht="21" customHeight="1" x14ac:dyDescent="0.25">
      <c r="A909" s="51" t="str">
        <f t="shared" si="42"/>
        <v/>
      </c>
      <c r="B909" s="77"/>
      <c r="C909" s="133"/>
      <c r="D909" s="50"/>
      <c r="E909" s="141"/>
      <c r="F909" s="133"/>
      <c r="G909" s="133"/>
      <c r="H909" s="50"/>
      <c r="I909" s="51" t="str">
        <f t="shared" si="43"/>
        <v/>
      </c>
      <c r="J909" s="52" t="str">
        <f t="shared" si="44"/>
        <v/>
      </c>
      <c r="K909" s="142" t="str">
        <f>IF(OR($I909="",$I909="?",$D909&lt;&gt;"Advance",$B909=""),"",$I909&amp;"|"&amp;$J909&amp;"|"&amp;COUNTIFS($I$7:$I909,$I909,$J$7:$J909,$J909,$D$7:$D909,"Advance"))</f>
        <v/>
      </c>
      <c r="L909" s="143" t="str">
        <f>IF(OR($I909="",$I909="?",$B909=""),"",SUMPRODUCT((Weeks!$A$7:$A$59&lt;=$J909)*(Weeks!$X$5:$AI$5=$I909)*Weeks!$X$7:$AI$59)-SUMIFS($E$7:$E$1006,$I$7:$I$1006,$I909,$B$7:$B$1006,"&lt;="&amp;$B909))</f>
        <v/>
      </c>
      <c r="M909" s="132" t="str">
        <f>IF($B909&amp;$C909&amp;$D909&amp;$E909="","",IF($B909="","missing date",IF($C909="","missing worker",IF($I909="?","unknown worker - was the name changed on Workers?",IF($D909="","missing type",IF(N($E909)=0,"missing amount",IF(AND($E909&lt;0,$D909&lt;&gt;"Correction"),"negative amount - use a Correction to undo",IF(OR($B909&lt;Weeks!$A$7,$B909&gt;Weeks!$B$59),"date outside this workbook's year",IF(AND($D909="Advance",N($L909)&lt;0),"Warning: more than earned so far - worker now owes "&amp;TEXT(ROUND(-$L909,0),"#,##0"),"")))))))))</f>
        <v/>
      </c>
      <c r="N909" s="125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  <c r="AC909" s="126"/>
      <c r="AD909" s="126"/>
      <c r="AE909" s="126"/>
      <c r="AF909" s="126"/>
      <c r="AG909" s="126"/>
      <c r="AH909" s="126"/>
      <c r="AI909" s="126"/>
      <c r="AJ909" s="126"/>
      <c r="AK909" s="126"/>
      <c r="AL909" s="126"/>
      <c r="AM909" s="126"/>
      <c r="AN909" s="126"/>
    </row>
    <row r="910" spans="1:40" s="127" customFormat="1" ht="21" customHeight="1" x14ac:dyDescent="0.25">
      <c r="A910" s="51" t="str">
        <f t="shared" si="42"/>
        <v/>
      </c>
      <c r="B910" s="77"/>
      <c r="C910" s="133"/>
      <c r="D910" s="50"/>
      <c r="E910" s="141"/>
      <c r="F910" s="133"/>
      <c r="G910" s="133"/>
      <c r="H910" s="50"/>
      <c r="I910" s="51" t="str">
        <f t="shared" si="43"/>
        <v/>
      </c>
      <c r="J910" s="52" t="str">
        <f t="shared" si="44"/>
        <v/>
      </c>
      <c r="K910" s="142" t="str">
        <f>IF(OR($I910="",$I910="?",$D910&lt;&gt;"Advance",$B910=""),"",$I910&amp;"|"&amp;$J910&amp;"|"&amp;COUNTIFS($I$7:$I910,$I910,$J$7:$J910,$J910,$D$7:$D910,"Advance"))</f>
        <v/>
      </c>
      <c r="L910" s="143" t="str">
        <f>IF(OR($I910="",$I910="?",$B910=""),"",SUMPRODUCT((Weeks!$A$7:$A$59&lt;=$J910)*(Weeks!$X$5:$AI$5=$I910)*Weeks!$X$7:$AI$59)-SUMIFS($E$7:$E$1006,$I$7:$I$1006,$I910,$B$7:$B$1006,"&lt;="&amp;$B910))</f>
        <v/>
      </c>
      <c r="M910" s="132" t="str">
        <f>IF($B910&amp;$C910&amp;$D910&amp;$E910="","",IF($B910="","missing date",IF($C910="","missing worker",IF($I910="?","unknown worker - was the name changed on Workers?",IF($D910="","missing type",IF(N($E910)=0,"missing amount",IF(AND($E910&lt;0,$D910&lt;&gt;"Correction"),"negative amount - use a Correction to undo",IF(OR($B910&lt;Weeks!$A$7,$B910&gt;Weeks!$B$59),"date outside this workbook's year",IF(AND($D910="Advance",N($L910)&lt;0),"Warning: more than earned so far - worker now owes "&amp;TEXT(ROUND(-$L910,0),"#,##0"),"")))))))))</f>
        <v/>
      </c>
      <c r="N910" s="125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  <c r="AC910" s="126"/>
      <c r="AD910" s="126"/>
      <c r="AE910" s="126"/>
      <c r="AF910" s="126"/>
      <c r="AG910" s="126"/>
      <c r="AH910" s="126"/>
      <c r="AI910" s="126"/>
      <c r="AJ910" s="126"/>
      <c r="AK910" s="126"/>
      <c r="AL910" s="126"/>
      <c r="AM910" s="126"/>
      <c r="AN910" s="126"/>
    </row>
    <row r="911" spans="1:40" s="127" customFormat="1" ht="21" customHeight="1" x14ac:dyDescent="0.25">
      <c r="A911" s="51" t="str">
        <f t="shared" si="42"/>
        <v/>
      </c>
      <c r="B911" s="77"/>
      <c r="C911" s="133"/>
      <c r="D911" s="50"/>
      <c r="E911" s="141"/>
      <c r="F911" s="133"/>
      <c r="G911" s="133"/>
      <c r="H911" s="50"/>
      <c r="I911" s="51" t="str">
        <f t="shared" si="43"/>
        <v/>
      </c>
      <c r="J911" s="52" t="str">
        <f t="shared" si="44"/>
        <v/>
      </c>
      <c r="K911" s="142" t="str">
        <f>IF(OR($I911="",$I911="?",$D911&lt;&gt;"Advance",$B911=""),"",$I911&amp;"|"&amp;$J911&amp;"|"&amp;COUNTIFS($I$7:$I911,$I911,$J$7:$J911,$J911,$D$7:$D911,"Advance"))</f>
        <v/>
      </c>
      <c r="L911" s="143" t="str">
        <f>IF(OR($I911="",$I911="?",$B911=""),"",SUMPRODUCT((Weeks!$A$7:$A$59&lt;=$J911)*(Weeks!$X$5:$AI$5=$I911)*Weeks!$X$7:$AI$59)-SUMIFS($E$7:$E$1006,$I$7:$I$1006,$I911,$B$7:$B$1006,"&lt;="&amp;$B911))</f>
        <v/>
      </c>
      <c r="M911" s="132" t="str">
        <f>IF($B911&amp;$C911&amp;$D911&amp;$E911="","",IF($B911="","missing date",IF($C911="","missing worker",IF($I911="?","unknown worker - was the name changed on Workers?",IF($D911="","missing type",IF(N($E911)=0,"missing amount",IF(AND($E911&lt;0,$D911&lt;&gt;"Correction"),"negative amount - use a Correction to undo",IF(OR($B911&lt;Weeks!$A$7,$B911&gt;Weeks!$B$59),"date outside this workbook's year",IF(AND($D911="Advance",N($L911)&lt;0),"Warning: more than earned so far - worker now owes "&amp;TEXT(ROUND(-$L911,0),"#,##0"),"")))))))))</f>
        <v/>
      </c>
      <c r="N911" s="125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  <c r="AC911" s="126"/>
      <c r="AD911" s="126"/>
      <c r="AE911" s="126"/>
      <c r="AF911" s="126"/>
      <c r="AG911" s="126"/>
      <c r="AH911" s="126"/>
      <c r="AI911" s="126"/>
      <c r="AJ911" s="126"/>
      <c r="AK911" s="126"/>
      <c r="AL911" s="126"/>
      <c r="AM911" s="126"/>
      <c r="AN911" s="126"/>
    </row>
    <row r="912" spans="1:40" s="127" customFormat="1" ht="21" customHeight="1" x14ac:dyDescent="0.25">
      <c r="A912" s="51" t="str">
        <f t="shared" si="42"/>
        <v/>
      </c>
      <c r="B912" s="77"/>
      <c r="C912" s="133"/>
      <c r="D912" s="50"/>
      <c r="E912" s="141"/>
      <c r="F912" s="133"/>
      <c r="G912" s="133"/>
      <c r="H912" s="50"/>
      <c r="I912" s="51" t="str">
        <f t="shared" si="43"/>
        <v/>
      </c>
      <c r="J912" s="52" t="str">
        <f t="shared" si="44"/>
        <v/>
      </c>
      <c r="K912" s="142" t="str">
        <f>IF(OR($I912="",$I912="?",$D912&lt;&gt;"Advance",$B912=""),"",$I912&amp;"|"&amp;$J912&amp;"|"&amp;COUNTIFS($I$7:$I912,$I912,$J$7:$J912,$J912,$D$7:$D912,"Advance"))</f>
        <v/>
      </c>
      <c r="L912" s="143" t="str">
        <f>IF(OR($I912="",$I912="?",$B912=""),"",SUMPRODUCT((Weeks!$A$7:$A$59&lt;=$J912)*(Weeks!$X$5:$AI$5=$I912)*Weeks!$X$7:$AI$59)-SUMIFS($E$7:$E$1006,$I$7:$I$1006,$I912,$B$7:$B$1006,"&lt;="&amp;$B912))</f>
        <v/>
      </c>
      <c r="M912" s="132" t="str">
        <f>IF($B912&amp;$C912&amp;$D912&amp;$E912="","",IF($B912="","missing date",IF($C912="","missing worker",IF($I912="?","unknown worker - was the name changed on Workers?",IF($D912="","missing type",IF(N($E912)=0,"missing amount",IF(AND($E912&lt;0,$D912&lt;&gt;"Correction"),"negative amount - use a Correction to undo",IF(OR($B912&lt;Weeks!$A$7,$B912&gt;Weeks!$B$59),"date outside this workbook's year",IF(AND($D912="Advance",N($L912)&lt;0),"Warning: more than earned so far - worker now owes "&amp;TEXT(ROUND(-$L912,0),"#,##0"),"")))))))))</f>
        <v/>
      </c>
      <c r="N912" s="125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  <c r="AC912" s="126"/>
      <c r="AD912" s="126"/>
      <c r="AE912" s="126"/>
      <c r="AF912" s="126"/>
      <c r="AG912" s="126"/>
      <c r="AH912" s="126"/>
      <c r="AI912" s="126"/>
      <c r="AJ912" s="126"/>
      <c r="AK912" s="126"/>
      <c r="AL912" s="126"/>
      <c r="AM912" s="126"/>
      <c r="AN912" s="126"/>
    </row>
    <row r="913" spans="1:40" s="127" customFormat="1" ht="21" customHeight="1" x14ac:dyDescent="0.25">
      <c r="A913" s="51" t="str">
        <f t="shared" si="42"/>
        <v/>
      </c>
      <c r="B913" s="77"/>
      <c r="C913" s="133"/>
      <c r="D913" s="50"/>
      <c r="E913" s="141"/>
      <c r="F913" s="133"/>
      <c r="G913" s="133"/>
      <c r="H913" s="50"/>
      <c r="I913" s="51" t="str">
        <f t="shared" si="43"/>
        <v/>
      </c>
      <c r="J913" s="52" t="str">
        <f t="shared" si="44"/>
        <v/>
      </c>
      <c r="K913" s="142" t="str">
        <f>IF(OR($I913="",$I913="?",$D913&lt;&gt;"Advance",$B913=""),"",$I913&amp;"|"&amp;$J913&amp;"|"&amp;COUNTIFS($I$7:$I913,$I913,$J$7:$J913,$J913,$D$7:$D913,"Advance"))</f>
        <v/>
      </c>
      <c r="L913" s="143" t="str">
        <f>IF(OR($I913="",$I913="?",$B913=""),"",SUMPRODUCT((Weeks!$A$7:$A$59&lt;=$J913)*(Weeks!$X$5:$AI$5=$I913)*Weeks!$X$7:$AI$59)-SUMIFS($E$7:$E$1006,$I$7:$I$1006,$I913,$B$7:$B$1006,"&lt;="&amp;$B913))</f>
        <v/>
      </c>
      <c r="M913" s="132" t="str">
        <f>IF($B913&amp;$C913&amp;$D913&amp;$E913="","",IF($B913="","missing date",IF($C913="","missing worker",IF($I913="?","unknown worker - was the name changed on Workers?",IF($D913="","missing type",IF(N($E913)=0,"missing amount",IF(AND($E913&lt;0,$D913&lt;&gt;"Correction"),"negative amount - use a Correction to undo",IF(OR($B913&lt;Weeks!$A$7,$B913&gt;Weeks!$B$59),"date outside this workbook's year",IF(AND($D913="Advance",N($L913)&lt;0),"Warning: more than earned so far - worker now owes "&amp;TEXT(ROUND(-$L913,0),"#,##0"),"")))))))))</f>
        <v/>
      </c>
      <c r="N913" s="125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  <c r="AC913" s="126"/>
      <c r="AD913" s="126"/>
      <c r="AE913" s="126"/>
      <c r="AF913" s="126"/>
      <c r="AG913" s="126"/>
      <c r="AH913" s="126"/>
      <c r="AI913" s="126"/>
      <c r="AJ913" s="126"/>
      <c r="AK913" s="126"/>
      <c r="AL913" s="126"/>
      <c r="AM913" s="126"/>
      <c r="AN913" s="126"/>
    </row>
    <row r="914" spans="1:40" s="127" customFormat="1" ht="21" customHeight="1" x14ac:dyDescent="0.25">
      <c r="A914" s="51" t="str">
        <f t="shared" si="42"/>
        <v/>
      </c>
      <c r="B914" s="77"/>
      <c r="C914" s="133"/>
      <c r="D914" s="50"/>
      <c r="E914" s="141"/>
      <c r="F914" s="133"/>
      <c r="G914" s="133"/>
      <c r="H914" s="50"/>
      <c r="I914" s="51" t="str">
        <f t="shared" si="43"/>
        <v/>
      </c>
      <c r="J914" s="52" t="str">
        <f t="shared" si="44"/>
        <v/>
      </c>
      <c r="K914" s="142" t="str">
        <f>IF(OR($I914="",$I914="?",$D914&lt;&gt;"Advance",$B914=""),"",$I914&amp;"|"&amp;$J914&amp;"|"&amp;COUNTIFS($I$7:$I914,$I914,$J$7:$J914,$J914,$D$7:$D914,"Advance"))</f>
        <v/>
      </c>
      <c r="L914" s="143" t="str">
        <f>IF(OR($I914="",$I914="?",$B914=""),"",SUMPRODUCT((Weeks!$A$7:$A$59&lt;=$J914)*(Weeks!$X$5:$AI$5=$I914)*Weeks!$X$7:$AI$59)-SUMIFS($E$7:$E$1006,$I$7:$I$1006,$I914,$B$7:$B$1006,"&lt;="&amp;$B914))</f>
        <v/>
      </c>
      <c r="M914" s="132" t="str">
        <f>IF($B914&amp;$C914&amp;$D914&amp;$E914="","",IF($B914="","missing date",IF($C914="","missing worker",IF($I914="?","unknown worker - was the name changed on Workers?",IF($D914="","missing type",IF(N($E914)=0,"missing amount",IF(AND($E914&lt;0,$D914&lt;&gt;"Correction"),"negative amount - use a Correction to undo",IF(OR($B914&lt;Weeks!$A$7,$B914&gt;Weeks!$B$59),"date outside this workbook's year",IF(AND($D914="Advance",N($L914)&lt;0),"Warning: more than earned so far - worker now owes "&amp;TEXT(ROUND(-$L914,0),"#,##0"),"")))))))))</f>
        <v/>
      </c>
      <c r="N914" s="125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  <c r="AC914" s="126"/>
      <c r="AD914" s="126"/>
      <c r="AE914" s="126"/>
      <c r="AF914" s="126"/>
      <c r="AG914" s="126"/>
      <c r="AH914" s="126"/>
      <c r="AI914" s="126"/>
      <c r="AJ914" s="126"/>
      <c r="AK914" s="126"/>
      <c r="AL914" s="126"/>
      <c r="AM914" s="126"/>
      <c r="AN914" s="126"/>
    </row>
    <row r="915" spans="1:40" s="127" customFormat="1" ht="21" customHeight="1" x14ac:dyDescent="0.25">
      <c r="A915" s="51" t="str">
        <f t="shared" si="42"/>
        <v/>
      </c>
      <c r="B915" s="77"/>
      <c r="C915" s="133"/>
      <c r="D915" s="50"/>
      <c r="E915" s="141"/>
      <c r="F915" s="133"/>
      <c r="G915" s="133"/>
      <c r="H915" s="50"/>
      <c r="I915" s="51" t="str">
        <f t="shared" si="43"/>
        <v/>
      </c>
      <c r="J915" s="52" t="str">
        <f t="shared" si="44"/>
        <v/>
      </c>
      <c r="K915" s="142" t="str">
        <f>IF(OR($I915="",$I915="?",$D915&lt;&gt;"Advance",$B915=""),"",$I915&amp;"|"&amp;$J915&amp;"|"&amp;COUNTIFS($I$7:$I915,$I915,$J$7:$J915,$J915,$D$7:$D915,"Advance"))</f>
        <v/>
      </c>
      <c r="L915" s="143" t="str">
        <f>IF(OR($I915="",$I915="?",$B915=""),"",SUMPRODUCT((Weeks!$A$7:$A$59&lt;=$J915)*(Weeks!$X$5:$AI$5=$I915)*Weeks!$X$7:$AI$59)-SUMIFS($E$7:$E$1006,$I$7:$I$1006,$I915,$B$7:$B$1006,"&lt;="&amp;$B915))</f>
        <v/>
      </c>
      <c r="M915" s="132" t="str">
        <f>IF($B915&amp;$C915&amp;$D915&amp;$E915="","",IF($B915="","missing date",IF($C915="","missing worker",IF($I915="?","unknown worker - was the name changed on Workers?",IF($D915="","missing type",IF(N($E915)=0,"missing amount",IF(AND($E915&lt;0,$D915&lt;&gt;"Correction"),"negative amount - use a Correction to undo",IF(OR($B915&lt;Weeks!$A$7,$B915&gt;Weeks!$B$59),"date outside this workbook's year",IF(AND($D915="Advance",N($L915)&lt;0),"Warning: more than earned so far - worker now owes "&amp;TEXT(ROUND(-$L915,0),"#,##0"),"")))))))))</f>
        <v/>
      </c>
      <c r="N915" s="125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  <c r="AC915" s="126"/>
      <c r="AD915" s="126"/>
      <c r="AE915" s="126"/>
      <c r="AF915" s="126"/>
      <c r="AG915" s="126"/>
      <c r="AH915" s="126"/>
      <c r="AI915" s="126"/>
      <c r="AJ915" s="126"/>
      <c r="AK915" s="126"/>
      <c r="AL915" s="126"/>
      <c r="AM915" s="126"/>
      <c r="AN915" s="126"/>
    </row>
    <row r="916" spans="1:40" s="127" customFormat="1" ht="21" customHeight="1" x14ac:dyDescent="0.25">
      <c r="A916" s="51" t="str">
        <f t="shared" si="42"/>
        <v/>
      </c>
      <c r="B916" s="77"/>
      <c r="C916" s="133"/>
      <c r="D916" s="50"/>
      <c r="E916" s="141"/>
      <c r="F916" s="133"/>
      <c r="G916" s="133"/>
      <c r="H916" s="50"/>
      <c r="I916" s="51" t="str">
        <f t="shared" si="43"/>
        <v/>
      </c>
      <c r="J916" s="52" t="str">
        <f t="shared" si="44"/>
        <v/>
      </c>
      <c r="K916" s="142" t="str">
        <f>IF(OR($I916="",$I916="?",$D916&lt;&gt;"Advance",$B916=""),"",$I916&amp;"|"&amp;$J916&amp;"|"&amp;COUNTIFS($I$7:$I916,$I916,$J$7:$J916,$J916,$D$7:$D916,"Advance"))</f>
        <v/>
      </c>
      <c r="L916" s="143" t="str">
        <f>IF(OR($I916="",$I916="?",$B916=""),"",SUMPRODUCT((Weeks!$A$7:$A$59&lt;=$J916)*(Weeks!$X$5:$AI$5=$I916)*Weeks!$X$7:$AI$59)-SUMIFS($E$7:$E$1006,$I$7:$I$1006,$I916,$B$7:$B$1006,"&lt;="&amp;$B916))</f>
        <v/>
      </c>
      <c r="M916" s="132" t="str">
        <f>IF($B916&amp;$C916&amp;$D916&amp;$E916="","",IF($B916="","missing date",IF($C916="","missing worker",IF($I916="?","unknown worker - was the name changed on Workers?",IF($D916="","missing type",IF(N($E916)=0,"missing amount",IF(AND($E916&lt;0,$D916&lt;&gt;"Correction"),"negative amount - use a Correction to undo",IF(OR($B916&lt;Weeks!$A$7,$B916&gt;Weeks!$B$59),"date outside this workbook's year",IF(AND($D916="Advance",N($L916)&lt;0),"Warning: more than earned so far - worker now owes "&amp;TEXT(ROUND(-$L916,0),"#,##0"),"")))))))))</f>
        <v/>
      </c>
      <c r="N916" s="125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  <c r="AC916" s="126"/>
      <c r="AD916" s="126"/>
      <c r="AE916" s="126"/>
      <c r="AF916" s="126"/>
      <c r="AG916" s="126"/>
      <c r="AH916" s="126"/>
      <c r="AI916" s="126"/>
      <c r="AJ916" s="126"/>
      <c r="AK916" s="126"/>
      <c r="AL916" s="126"/>
      <c r="AM916" s="126"/>
      <c r="AN916" s="126"/>
    </row>
    <row r="917" spans="1:40" s="127" customFormat="1" ht="21" customHeight="1" x14ac:dyDescent="0.25">
      <c r="A917" s="51" t="str">
        <f t="shared" si="42"/>
        <v/>
      </c>
      <c r="B917" s="77"/>
      <c r="C917" s="133"/>
      <c r="D917" s="50"/>
      <c r="E917" s="141"/>
      <c r="F917" s="133"/>
      <c r="G917" s="133"/>
      <c r="H917" s="50"/>
      <c r="I917" s="51" t="str">
        <f t="shared" si="43"/>
        <v/>
      </c>
      <c r="J917" s="52" t="str">
        <f t="shared" si="44"/>
        <v/>
      </c>
      <c r="K917" s="142" t="str">
        <f>IF(OR($I917="",$I917="?",$D917&lt;&gt;"Advance",$B917=""),"",$I917&amp;"|"&amp;$J917&amp;"|"&amp;COUNTIFS($I$7:$I917,$I917,$J$7:$J917,$J917,$D$7:$D917,"Advance"))</f>
        <v/>
      </c>
      <c r="L917" s="143" t="str">
        <f>IF(OR($I917="",$I917="?",$B917=""),"",SUMPRODUCT((Weeks!$A$7:$A$59&lt;=$J917)*(Weeks!$X$5:$AI$5=$I917)*Weeks!$X$7:$AI$59)-SUMIFS($E$7:$E$1006,$I$7:$I$1006,$I917,$B$7:$B$1006,"&lt;="&amp;$B917))</f>
        <v/>
      </c>
      <c r="M917" s="132" t="str">
        <f>IF($B917&amp;$C917&amp;$D917&amp;$E917="","",IF($B917="","missing date",IF($C917="","missing worker",IF($I917="?","unknown worker - was the name changed on Workers?",IF($D917="","missing type",IF(N($E917)=0,"missing amount",IF(AND($E917&lt;0,$D917&lt;&gt;"Correction"),"negative amount - use a Correction to undo",IF(OR($B917&lt;Weeks!$A$7,$B917&gt;Weeks!$B$59),"date outside this workbook's year",IF(AND($D917="Advance",N($L917)&lt;0),"Warning: more than earned so far - worker now owes "&amp;TEXT(ROUND(-$L917,0),"#,##0"),"")))))))))</f>
        <v/>
      </c>
      <c r="N917" s="125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  <c r="AC917" s="126"/>
      <c r="AD917" s="126"/>
      <c r="AE917" s="126"/>
      <c r="AF917" s="126"/>
      <c r="AG917" s="126"/>
      <c r="AH917" s="126"/>
      <c r="AI917" s="126"/>
      <c r="AJ917" s="126"/>
      <c r="AK917" s="126"/>
      <c r="AL917" s="126"/>
      <c r="AM917" s="126"/>
      <c r="AN917" s="126"/>
    </row>
    <row r="918" spans="1:40" s="127" customFormat="1" ht="21" customHeight="1" x14ac:dyDescent="0.25">
      <c r="A918" s="51" t="str">
        <f t="shared" si="42"/>
        <v/>
      </c>
      <c r="B918" s="77"/>
      <c r="C918" s="133"/>
      <c r="D918" s="50"/>
      <c r="E918" s="141"/>
      <c r="F918" s="133"/>
      <c r="G918" s="133"/>
      <c r="H918" s="50"/>
      <c r="I918" s="51" t="str">
        <f t="shared" si="43"/>
        <v/>
      </c>
      <c r="J918" s="52" t="str">
        <f t="shared" si="44"/>
        <v/>
      </c>
      <c r="K918" s="142" t="str">
        <f>IF(OR($I918="",$I918="?",$D918&lt;&gt;"Advance",$B918=""),"",$I918&amp;"|"&amp;$J918&amp;"|"&amp;COUNTIFS($I$7:$I918,$I918,$J$7:$J918,$J918,$D$7:$D918,"Advance"))</f>
        <v/>
      </c>
      <c r="L918" s="143" t="str">
        <f>IF(OR($I918="",$I918="?",$B918=""),"",SUMPRODUCT((Weeks!$A$7:$A$59&lt;=$J918)*(Weeks!$X$5:$AI$5=$I918)*Weeks!$X$7:$AI$59)-SUMIFS($E$7:$E$1006,$I$7:$I$1006,$I918,$B$7:$B$1006,"&lt;="&amp;$B918))</f>
        <v/>
      </c>
      <c r="M918" s="132" t="str">
        <f>IF($B918&amp;$C918&amp;$D918&amp;$E918="","",IF($B918="","missing date",IF($C918="","missing worker",IF($I918="?","unknown worker - was the name changed on Workers?",IF($D918="","missing type",IF(N($E918)=0,"missing amount",IF(AND($E918&lt;0,$D918&lt;&gt;"Correction"),"negative amount - use a Correction to undo",IF(OR($B918&lt;Weeks!$A$7,$B918&gt;Weeks!$B$59),"date outside this workbook's year",IF(AND($D918="Advance",N($L918)&lt;0),"Warning: more than earned so far - worker now owes "&amp;TEXT(ROUND(-$L918,0),"#,##0"),"")))))))))</f>
        <v/>
      </c>
      <c r="N918" s="125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  <c r="AC918" s="126"/>
      <c r="AD918" s="126"/>
      <c r="AE918" s="126"/>
      <c r="AF918" s="126"/>
      <c r="AG918" s="126"/>
      <c r="AH918" s="126"/>
      <c r="AI918" s="126"/>
      <c r="AJ918" s="126"/>
      <c r="AK918" s="126"/>
      <c r="AL918" s="126"/>
      <c r="AM918" s="126"/>
      <c r="AN918" s="126"/>
    </row>
    <row r="919" spans="1:40" s="127" customFormat="1" ht="21" customHeight="1" x14ac:dyDescent="0.25">
      <c r="A919" s="51" t="str">
        <f t="shared" si="42"/>
        <v/>
      </c>
      <c r="B919" s="77"/>
      <c r="C919" s="133"/>
      <c r="D919" s="50"/>
      <c r="E919" s="141"/>
      <c r="F919" s="133"/>
      <c r="G919" s="133"/>
      <c r="H919" s="50"/>
      <c r="I919" s="51" t="str">
        <f t="shared" si="43"/>
        <v/>
      </c>
      <c r="J919" s="52" t="str">
        <f t="shared" si="44"/>
        <v/>
      </c>
      <c r="K919" s="142" t="str">
        <f>IF(OR($I919="",$I919="?",$D919&lt;&gt;"Advance",$B919=""),"",$I919&amp;"|"&amp;$J919&amp;"|"&amp;COUNTIFS($I$7:$I919,$I919,$J$7:$J919,$J919,$D$7:$D919,"Advance"))</f>
        <v/>
      </c>
      <c r="L919" s="143" t="str">
        <f>IF(OR($I919="",$I919="?",$B919=""),"",SUMPRODUCT((Weeks!$A$7:$A$59&lt;=$J919)*(Weeks!$X$5:$AI$5=$I919)*Weeks!$X$7:$AI$59)-SUMIFS($E$7:$E$1006,$I$7:$I$1006,$I919,$B$7:$B$1006,"&lt;="&amp;$B919))</f>
        <v/>
      </c>
      <c r="M919" s="132" t="str">
        <f>IF($B919&amp;$C919&amp;$D919&amp;$E919="","",IF($B919="","missing date",IF($C919="","missing worker",IF($I919="?","unknown worker - was the name changed on Workers?",IF($D919="","missing type",IF(N($E919)=0,"missing amount",IF(AND($E919&lt;0,$D919&lt;&gt;"Correction"),"negative amount - use a Correction to undo",IF(OR($B919&lt;Weeks!$A$7,$B919&gt;Weeks!$B$59),"date outside this workbook's year",IF(AND($D919="Advance",N($L919)&lt;0),"Warning: more than earned so far - worker now owes "&amp;TEXT(ROUND(-$L919,0),"#,##0"),"")))))))))</f>
        <v/>
      </c>
      <c r="N919" s="125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  <c r="AC919" s="126"/>
      <c r="AD919" s="126"/>
      <c r="AE919" s="126"/>
      <c r="AF919" s="126"/>
      <c r="AG919" s="126"/>
      <c r="AH919" s="126"/>
      <c r="AI919" s="126"/>
      <c r="AJ919" s="126"/>
      <c r="AK919" s="126"/>
      <c r="AL919" s="126"/>
      <c r="AM919" s="126"/>
      <c r="AN919" s="126"/>
    </row>
    <row r="920" spans="1:40" s="127" customFormat="1" ht="21" customHeight="1" x14ac:dyDescent="0.25">
      <c r="A920" s="51" t="str">
        <f t="shared" si="42"/>
        <v/>
      </c>
      <c r="B920" s="77"/>
      <c r="C920" s="133"/>
      <c r="D920" s="50"/>
      <c r="E920" s="141"/>
      <c r="F920" s="133"/>
      <c r="G920" s="133"/>
      <c r="H920" s="50"/>
      <c r="I920" s="51" t="str">
        <f t="shared" si="43"/>
        <v/>
      </c>
      <c r="J920" s="52" t="str">
        <f t="shared" si="44"/>
        <v/>
      </c>
      <c r="K920" s="142" t="str">
        <f>IF(OR($I920="",$I920="?",$D920&lt;&gt;"Advance",$B920=""),"",$I920&amp;"|"&amp;$J920&amp;"|"&amp;COUNTIFS($I$7:$I920,$I920,$J$7:$J920,$J920,$D$7:$D920,"Advance"))</f>
        <v/>
      </c>
      <c r="L920" s="143" t="str">
        <f>IF(OR($I920="",$I920="?",$B920=""),"",SUMPRODUCT((Weeks!$A$7:$A$59&lt;=$J920)*(Weeks!$X$5:$AI$5=$I920)*Weeks!$X$7:$AI$59)-SUMIFS($E$7:$E$1006,$I$7:$I$1006,$I920,$B$7:$B$1006,"&lt;="&amp;$B920))</f>
        <v/>
      </c>
      <c r="M920" s="132" t="str">
        <f>IF($B920&amp;$C920&amp;$D920&amp;$E920="","",IF($B920="","missing date",IF($C920="","missing worker",IF($I920="?","unknown worker - was the name changed on Workers?",IF($D920="","missing type",IF(N($E920)=0,"missing amount",IF(AND($E920&lt;0,$D920&lt;&gt;"Correction"),"negative amount - use a Correction to undo",IF(OR($B920&lt;Weeks!$A$7,$B920&gt;Weeks!$B$59),"date outside this workbook's year",IF(AND($D920="Advance",N($L920)&lt;0),"Warning: more than earned so far - worker now owes "&amp;TEXT(ROUND(-$L920,0),"#,##0"),"")))))))))</f>
        <v/>
      </c>
      <c r="N920" s="125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  <c r="AC920" s="126"/>
      <c r="AD920" s="126"/>
      <c r="AE920" s="126"/>
      <c r="AF920" s="126"/>
      <c r="AG920" s="126"/>
      <c r="AH920" s="126"/>
      <c r="AI920" s="126"/>
      <c r="AJ920" s="126"/>
      <c r="AK920" s="126"/>
      <c r="AL920" s="126"/>
      <c r="AM920" s="126"/>
      <c r="AN920" s="126"/>
    </row>
    <row r="921" spans="1:40" s="127" customFormat="1" ht="21" customHeight="1" x14ac:dyDescent="0.25">
      <c r="A921" s="51" t="str">
        <f t="shared" si="42"/>
        <v/>
      </c>
      <c r="B921" s="77"/>
      <c r="C921" s="133"/>
      <c r="D921" s="50"/>
      <c r="E921" s="141"/>
      <c r="F921" s="133"/>
      <c r="G921" s="133"/>
      <c r="H921" s="50"/>
      <c r="I921" s="51" t="str">
        <f t="shared" si="43"/>
        <v/>
      </c>
      <c r="J921" s="52" t="str">
        <f t="shared" si="44"/>
        <v/>
      </c>
      <c r="K921" s="142" t="str">
        <f>IF(OR($I921="",$I921="?",$D921&lt;&gt;"Advance",$B921=""),"",$I921&amp;"|"&amp;$J921&amp;"|"&amp;COUNTIFS($I$7:$I921,$I921,$J$7:$J921,$J921,$D$7:$D921,"Advance"))</f>
        <v/>
      </c>
      <c r="L921" s="143" t="str">
        <f>IF(OR($I921="",$I921="?",$B921=""),"",SUMPRODUCT((Weeks!$A$7:$A$59&lt;=$J921)*(Weeks!$X$5:$AI$5=$I921)*Weeks!$X$7:$AI$59)-SUMIFS($E$7:$E$1006,$I$7:$I$1006,$I921,$B$7:$B$1006,"&lt;="&amp;$B921))</f>
        <v/>
      </c>
      <c r="M921" s="132" t="str">
        <f>IF($B921&amp;$C921&amp;$D921&amp;$E921="","",IF($B921="","missing date",IF($C921="","missing worker",IF($I921="?","unknown worker - was the name changed on Workers?",IF($D921="","missing type",IF(N($E921)=0,"missing amount",IF(AND($E921&lt;0,$D921&lt;&gt;"Correction"),"negative amount - use a Correction to undo",IF(OR($B921&lt;Weeks!$A$7,$B921&gt;Weeks!$B$59),"date outside this workbook's year",IF(AND($D921="Advance",N($L921)&lt;0),"Warning: more than earned so far - worker now owes "&amp;TEXT(ROUND(-$L921,0),"#,##0"),"")))))))))</f>
        <v/>
      </c>
      <c r="N921" s="125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  <c r="AC921" s="126"/>
      <c r="AD921" s="126"/>
      <c r="AE921" s="126"/>
      <c r="AF921" s="126"/>
      <c r="AG921" s="126"/>
      <c r="AH921" s="126"/>
      <c r="AI921" s="126"/>
      <c r="AJ921" s="126"/>
      <c r="AK921" s="126"/>
      <c r="AL921" s="126"/>
      <c r="AM921" s="126"/>
      <c r="AN921" s="126"/>
    </row>
    <row r="922" spans="1:40" s="127" customFormat="1" ht="21" customHeight="1" x14ac:dyDescent="0.25">
      <c r="A922" s="51" t="str">
        <f t="shared" si="42"/>
        <v/>
      </c>
      <c r="B922" s="77"/>
      <c r="C922" s="133"/>
      <c r="D922" s="50"/>
      <c r="E922" s="141"/>
      <c r="F922" s="133"/>
      <c r="G922" s="133"/>
      <c r="H922" s="50"/>
      <c r="I922" s="51" t="str">
        <f t="shared" si="43"/>
        <v/>
      </c>
      <c r="J922" s="52" t="str">
        <f t="shared" si="44"/>
        <v/>
      </c>
      <c r="K922" s="142" t="str">
        <f>IF(OR($I922="",$I922="?",$D922&lt;&gt;"Advance",$B922=""),"",$I922&amp;"|"&amp;$J922&amp;"|"&amp;COUNTIFS($I$7:$I922,$I922,$J$7:$J922,$J922,$D$7:$D922,"Advance"))</f>
        <v/>
      </c>
      <c r="L922" s="143" t="str">
        <f>IF(OR($I922="",$I922="?",$B922=""),"",SUMPRODUCT((Weeks!$A$7:$A$59&lt;=$J922)*(Weeks!$X$5:$AI$5=$I922)*Weeks!$X$7:$AI$59)-SUMIFS($E$7:$E$1006,$I$7:$I$1006,$I922,$B$7:$B$1006,"&lt;="&amp;$B922))</f>
        <v/>
      </c>
      <c r="M922" s="132" t="str">
        <f>IF($B922&amp;$C922&amp;$D922&amp;$E922="","",IF($B922="","missing date",IF($C922="","missing worker",IF($I922="?","unknown worker - was the name changed on Workers?",IF($D922="","missing type",IF(N($E922)=0,"missing amount",IF(AND($E922&lt;0,$D922&lt;&gt;"Correction"),"negative amount - use a Correction to undo",IF(OR($B922&lt;Weeks!$A$7,$B922&gt;Weeks!$B$59),"date outside this workbook's year",IF(AND($D922="Advance",N($L922)&lt;0),"Warning: more than earned so far - worker now owes "&amp;TEXT(ROUND(-$L922,0),"#,##0"),"")))))))))</f>
        <v/>
      </c>
      <c r="N922" s="125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  <c r="AC922" s="126"/>
      <c r="AD922" s="126"/>
      <c r="AE922" s="126"/>
      <c r="AF922" s="126"/>
      <c r="AG922" s="126"/>
      <c r="AH922" s="126"/>
      <c r="AI922" s="126"/>
      <c r="AJ922" s="126"/>
      <c r="AK922" s="126"/>
      <c r="AL922" s="126"/>
      <c r="AM922" s="126"/>
      <c r="AN922" s="126"/>
    </row>
    <row r="923" spans="1:40" s="127" customFormat="1" ht="21" customHeight="1" x14ac:dyDescent="0.25">
      <c r="A923" s="51" t="str">
        <f t="shared" si="42"/>
        <v/>
      </c>
      <c r="B923" s="77"/>
      <c r="C923" s="133"/>
      <c r="D923" s="50"/>
      <c r="E923" s="141"/>
      <c r="F923" s="133"/>
      <c r="G923" s="133"/>
      <c r="H923" s="50"/>
      <c r="I923" s="51" t="str">
        <f t="shared" si="43"/>
        <v/>
      </c>
      <c r="J923" s="52" t="str">
        <f t="shared" si="44"/>
        <v/>
      </c>
      <c r="K923" s="142" t="str">
        <f>IF(OR($I923="",$I923="?",$D923&lt;&gt;"Advance",$B923=""),"",$I923&amp;"|"&amp;$J923&amp;"|"&amp;COUNTIFS($I$7:$I923,$I923,$J$7:$J923,$J923,$D$7:$D923,"Advance"))</f>
        <v/>
      </c>
      <c r="L923" s="143" t="str">
        <f>IF(OR($I923="",$I923="?",$B923=""),"",SUMPRODUCT((Weeks!$A$7:$A$59&lt;=$J923)*(Weeks!$X$5:$AI$5=$I923)*Weeks!$X$7:$AI$59)-SUMIFS($E$7:$E$1006,$I$7:$I$1006,$I923,$B$7:$B$1006,"&lt;="&amp;$B923))</f>
        <v/>
      </c>
      <c r="M923" s="132" t="str">
        <f>IF($B923&amp;$C923&amp;$D923&amp;$E923="","",IF($B923="","missing date",IF($C923="","missing worker",IF($I923="?","unknown worker - was the name changed on Workers?",IF($D923="","missing type",IF(N($E923)=0,"missing amount",IF(AND($E923&lt;0,$D923&lt;&gt;"Correction"),"negative amount - use a Correction to undo",IF(OR($B923&lt;Weeks!$A$7,$B923&gt;Weeks!$B$59),"date outside this workbook's year",IF(AND($D923="Advance",N($L923)&lt;0),"Warning: more than earned so far - worker now owes "&amp;TEXT(ROUND(-$L923,0),"#,##0"),"")))))))))</f>
        <v/>
      </c>
      <c r="N923" s="125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  <c r="AC923" s="126"/>
      <c r="AD923" s="126"/>
      <c r="AE923" s="126"/>
      <c r="AF923" s="126"/>
      <c r="AG923" s="126"/>
      <c r="AH923" s="126"/>
      <c r="AI923" s="126"/>
      <c r="AJ923" s="126"/>
      <c r="AK923" s="126"/>
      <c r="AL923" s="126"/>
      <c r="AM923" s="126"/>
      <c r="AN923" s="126"/>
    </row>
    <row r="924" spans="1:40" s="127" customFormat="1" ht="21" customHeight="1" x14ac:dyDescent="0.25">
      <c r="A924" s="51" t="str">
        <f t="shared" si="42"/>
        <v/>
      </c>
      <c r="B924" s="77"/>
      <c r="C924" s="133"/>
      <c r="D924" s="50"/>
      <c r="E924" s="141"/>
      <c r="F924" s="133"/>
      <c r="G924" s="133"/>
      <c r="H924" s="50"/>
      <c r="I924" s="51" t="str">
        <f t="shared" si="43"/>
        <v/>
      </c>
      <c r="J924" s="52" t="str">
        <f t="shared" si="44"/>
        <v/>
      </c>
      <c r="K924" s="142" t="str">
        <f>IF(OR($I924="",$I924="?",$D924&lt;&gt;"Advance",$B924=""),"",$I924&amp;"|"&amp;$J924&amp;"|"&amp;COUNTIFS($I$7:$I924,$I924,$J$7:$J924,$J924,$D$7:$D924,"Advance"))</f>
        <v/>
      </c>
      <c r="L924" s="143" t="str">
        <f>IF(OR($I924="",$I924="?",$B924=""),"",SUMPRODUCT((Weeks!$A$7:$A$59&lt;=$J924)*(Weeks!$X$5:$AI$5=$I924)*Weeks!$X$7:$AI$59)-SUMIFS($E$7:$E$1006,$I$7:$I$1006,$I924,$B$7:$B$1006,"&lt;="&amp;$B924))</f>
        <v/>
      </c>
      <c r="M924" s="132" t="str">
        <f>IF($B924&amp;$C924&amp;$D924&amp;$E924="","",IF($B924="","missing date",IF($C924="","missing worker",IF($I924="?","unknown worker - was the name changed on Workers?",IF($D924="","missing type",IF(N($E924)=0,"missing amount",IF(AND($E924&lt;0,$D924&lt;&gt;"Correction"),"negative amount - use a Correction to undo",IF(OR($B924&lt;Weeks!$A$7,$B924&gt;Weeks!$B$59),"date outside this workbook's year",IF(AND($D924="Advance",N($L924)&lt;0),"Warning: more than earned so far - worker now owes "&amp;TEXT(ROUND(-$L924,0),"#,##0"),"")))))))))</f>
        <v/>
      </c>
      <c r="N924" s="125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  <c r="AC924" s="126"/>
      <c r="AD924" s="126"/>
      <c r="AE924" s="126"/>
      <c r="AF924" s="126"/>
      <c r="AG924" s="126"/>
      <c r="AH924" s="126"/>
      <c r="AI924" s="126"/>
      <c r="AJ924" s="126"/>
      <c r="AK924" s="126"/>
      <c r="AL924" s="126"/>
      <c r="AM924" s="126"/>
      <c r="AN924" s="126"/>
    </row>
    <row r="925" spans="1:40" s="127" customFormat="1" ht="21" customHeight="1" x14ac:dyDescent="0.25">
      <c r="A925" s="51" t="str">
        <f t="shared" si="42"/>
        <v/>
      </c>
      <c r="B925" s="77"/>
      <c r="C925" s="133"/>
      <c r="D925" s="50"/>
      <c r="E925" s="141"/>
      <c r="F925" s="133"/>
      <c r="G925" s="133"/>
      <c r="H925" s="50"/>
      <c r="I925" s="51" t="str">
        <f t="shared" si="43"/>
        <v/>
      </c>
      <c r="J925" s="52" t="str">
        <f t="shared" si="44"/>
        <v/>
      </c>
      <c r="K925" s="142" t="str">
        <f>IF(OR($I925="",$I925="?",$D925&lt;&gt;"Advance",$B925=""),"",$I925&amp;"|"&amp;$J925&amp;"|"&amp;COUNTIFS($I$7:$I925,$I925,$J$7:$J925,$J925,$D$7:$D925,"Advance"))</f>
        <v/>
      </c>
      <c r="L925" s="143" t="str">
        <f>IF(OR($I925="",$I925="?",$B925=""),"",SUMPRODUCT((Weeks!$A$7:$A$59&lt;=$J925)*(Weeks!$X$5:$AI$5=$I925)*Weeks!$X$7:$AI$59)-SUMIFS($E$7:$E$1006,$I$7:$I$1006,$I925,$B$7:$B$1006,"&lt;="&amp;$B925))</f>
        <v/>
      </c>
      <c r="M925" s="132" t="str">
        <f>IF($B925&amp;$C925&amp;$D925&amp;$E925="","",IF($B925="","missing date",IF($C925="","missing worker",IF($I925="?","unknown worker - was the name changed on Workers?",IF($D925="","missing type",IF(N($E925)=0,"missing amount",IF(AND($E925&lt;0,$D925&lt;&gt;"Correction"),"negative amount - use a Correction to undo",IF(OR($B925&lt;Weeks!$A$7,$B925&gt;Weeks!$B$59),"date outside this workbook's year",IF(AND($D925="Advance",N($L925)&lt;0),"Warning: more than earned so far - worker now owes "&amp;TEXT(ROUND(-$L925,0),"#,##0"),"")))))))))</f>
        <v/>
      </c>
      <c r="N925" s="125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  <c r="AC925" s="126"/>
      <c r="AD925" s="126"/>
      <c r="AE925" s="126"/>
      <c r="AF925" s="126"/>
      <c r="AG925" s="126"/>
      <c r="AH925" s="126"/>
      <c r="AI925" s="126"/>
      <c r="AJ925" s="126"/>
      <c r="AK925" s="126"/>
      <c r="AL925" s="126"/>
      <c r="AM925" s="126"/>
      <c r="AN925" s="126"/>
    </row>
    <row r="926" spans="1:40" s="127" customFormat="1" ht="21" customHeight="1" x14ac:dyDescent="0.25">
      <c r="A926" s="51" t="str">
        <f t="shared" si="42"/>
        <v/>
      </c>
      <c r="B926" s="77"/>
      <c r="C926" s="133"/>
      <c r="D926" s="50"/>
      <c r="E926" s="141"/>
      <c r="F926" s="133"/>
      <c r="G926" s="133"/>
      <c r="H926" s="50"/>
      <c r="I926" s="51" t="str">
        <f t="shared" si="43"/>
        <v/>
      </c>
      <c r="J926" s="52" t="str">
        <f t="shared" si="44"/>
        <v/>
      </c>
      <c r="K926" s="142" t="str">
        <f>IF(OR($I926="",$I926="?",$D926&lt;&gt;"Advance",$B926=""),"",$I926&amp;"|"&amp;$J926&amp;"|"&amp;COUNTIFS($I$7:$I926,$I926,$J$7:$J926,$J926,$D$7:$D926,"Advance"))</f>
        <v/>
      </c>
      <c r="L926" s="143" t="str">
        <f>IF(OR($I926="",$I926="?",$B926=""),"",SUMPRODUCT((Weeks!$A$7:$A$59&lt;=$J926)*(Weeks!$X$5:$AI$5=$I926)*Weeks!$X$7:$AI$59)-SUMIFS($E$7:$E$1006,$I$7:$I$1006,$I926,$B$7:$B$1006,"&lt;="&amp;$B926))</f>
        <v/>
      </c>
      <c r="M926" s="132" t="str">
        <f>IF($B926&amp;$C926&amp;$D926&amp;$E926="","",IF($B926="","missing date",IF($C926="","missing worker",IF($I926="?","unknown worker - was the name changed on Workers?",IF($D926="","missing type",IF(N($E926)=0,"missing amount",IF(AND($E926&lt;0,$D926&lt;&gt;"Correction"),"negative amount - use a Correction to undo",IF(OR($B926&lt;Weeks!$A$7,$B926&gt;Weeks!$B$59),"date outside this workbook's year",IF(AND($D926="Advance",N($L926)&lt;0),"Warning: more than earned so far - worker now owes "&amp;TEXT(ROUND(-$L926,0),"#,##0"),"")))))))))</f>
        <v/>
      </c>
      <c r="N926" s="125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  <c r="AC926" s="126"/>
      <c r="AD926" s="126"/>
      <c r="AE926" s="126"/>
      <c r="AF926" s="126"/>
      <c r="AG926" s="126"/>
      <c r="AH926" s="126"/>
      <c r="AI926" s="126"/>
      <c r="AJ926" s="126"/>
      <c r="AK926" s="126"/>
      <c r="AL926" s="126"/>
      <c r="AM926" s="126"/>
      <c r="AN926" s="126"/>
    </row>
    <row r="927" spans="1:40" s="127" customFormat="1" ht="21" customHeight="1" x14ac:dyDescent="0.25">
      <c r="A927" s="51" t="str">
        <f t="shared" si="42"/>
        <v/>
      </c>
      <c r="B927" s="77"/>
      <c r="C927" s="133"/>
      <c r="D927" s="50"/>
      <c r="E927" s="141"/>
      <c r="F927" s="133"/>
      <c r="G927" s="133"/>
      <c r="H927" s="50"/>
      <c r="I927" s="51" t="str">
        <f t="shared" si="43"/>
        <v/>
      </c>
      <c r="J927" s="52" t="str">
        <f t="shared" si="44"/>
        <v/>
      </c>
      <c r="K927" s="142" t="str">
        <f>IF(OR($I927="",$I927="?",$D927&lt;&gt;"Advance",$B927=""),"",$I927&amp;"|"&amp;$J927&amp;"|"&amp;COUNTIFS($I$7:$I927,$I927,$J$7:$J927,$J927,$D$7:$D927,"Advance"))</f>
        <v/>
      </c>
      <c r="L927" s="143" t="str">
        <f>IF(OR($I927="",$I927="?",$B927=""),"",SUMPRODUCT((Weeks!$A$7:$A$59&lt;=$J927)*(Weeks!$X$5:$AI$5=$I927)*Weeks!$X$7:$AI$59)-SUMIFS($E$7:$E$1006,$I$7:$I$1006,$I927,$B$7:$B$1006,"&lt;="&amp;$B927))</f>
        <v/>
      </c>
      <c r="M927" s="132" t="str">
        <f>IF($B927&amp;$C927&amp;$D927&amp;$E927="","",IF($B927="","missing date",IF($C927="","missing worker",IF($I927="?","unknown worker - was the name changed on Workers?",IF($D927="","missing type",IF(N($E927)=0,"missing amount",IF(AND($E927&lt;0,$D927&lt;&gt;"Correction"),"negative amount - use a Correction to undo",IF(OR($B927&lt;Weeks!$A$7,$B927&gt;Weeks!$B$59),"date outside this workbook's year",IF(AND($D927="Advance",N($L927)&lt;0),"Warning: more than earned so far - worker now owes "&amp;TEXT(ROUND(-$L927,0),"#,##0"),"")))))))))</f>
        <v/>
      </c>
      <c r="N927" s="125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  <c r="AC927" s="126"/>
      <c r="AD927" s="126"/>
      <c r="AE927" s="126"/>
      <c r="AF927" s="126"/>
      <c r="AG927" s="126"/>
      <c r="AH927" s="126"/>
      <c r="AI927" s="126"/>
      <c r="AJ927" s="126"/>
      <c r="AK927" s="126"/>
      <c r="AL927" s="126"/>
      <c r="AM927" s="126"/>
      <c r="AN927" s="126"/>
    </row>
    <row r="928" spans="1:40" s="127" customFormat="1" ht="21" customHeight="1" x14ac:dyDescent="0.25">
      <c r="A928" s="51" t="str">
        <f t="shared" si="42"/>
        <v/>
      </c>
      <c r="B928" s="77"/>
      <c r="C928" s="133"/>
      <c r="D928" s="50"/>
      <c r="E928" s="141"/>
      <c r="F928" s="133"/>
      <c r="G928" s="133"/>
      <c r="H928" s="50"/>
      <c r="I928" s="51" t="str">
        <f t="shared" si="43"/>
        <v/>
      </c>
      <c r="J928" s="52" t="str">
        <f t="shared" si="44"/>
        <v/>
      </c>
      <c r="K928" s="142" t="str">
        <f>IF(OR($I928="",$I928="?",$D928&lt;&gt;"Advance",$B928=""),"",$I928&amp;"|"&amp;$J928&amp;"|"&amp;COUNTIFS($I$7:$I928,$I928,$J$7:$J928,$J928,$D$7:$D928,"Advance"))</f>
        <v/>
      </c>
      <c r="L928" s="143" t="str">
        <f>IF(OR($I928="",$I928="?",$B928=""),"",SUMPRODUCT((Weeks!$A$7:$A$59&lt;=$J928)*(Weeks!$X$5:$AI$5=$I928)*Weeks!$X$7:$AI$59)-SUMIFS($E$7:$E$1006,$I$7:$I$1006,$I928,$B$7:$B$1006,"&lt;="&amp;$B928))</f>
        <v/>
      </c>
      <c r="M928" s="132" t="str">
        <f>IF($B928&amp;$C928&amp;$D928&amp;$E928="","",IF($B928="","missing date",IF($C928="","missing worker",IF($I928="?","unknown worker - was the name changed on Workers?",IF($D928="","missing type",IF(N($E928)=0,"missing amount",IF(AND($E928&lt;0,$D928&lt;&gt;"Correction"),"negative amount - use a Correction to undo",IF(OR($B928&lt;Weeks!$A$7,$B928&gt;Weeks!$B$59),"date outside this workbook's year",IF(AND($D928="Advance",N($L928)&lt;0),"Warning: more than earned so far - worker now owes "&amp;TEXT(ROUND(-$L928,0),"#,##0"),"")))))))))</f>
        <v/>
      </c>
      <c r="N928" s="125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  <c r="AC928" s="126"/>
      <c r="AD928" s="126"/>
      <c r="AE928" s="126"/>
      <c r="AF928" s="126"/>
      <c r="AG928" s="126"/>
      <c r="AH928" s="126"/>
      <c r="AI928" s="126"/>
      <c r="AJ928" s="126"/>
      <c r="AK928" s="126"/>
      <c r="AL928" s="126"/>
      <c r="AM928" s="126"/>
      <c r="AN928" s="126"/>
    </row>
    <row r="929" spans="1:40" s="127" customFormat="1" ht="21" customHeight="1" x14ac:dyDescent="0.25">
      <c r="A929" s="51" t="str">
        <f t="shared" si="42"/>
        <v/>
      </c>
      <c r="B929" s="77"/>
      <c r="C929" s="133"/>
      <c r="D929" s="50"/>
      <c r="E929" s="141"/>
      <c r="F929" s="133"/>
      <c r="G929" s="133"/>
      <c r="H929" s="50"/>
      <c r="I929" s="51" t="str">
        <f t="shared" si="43"/>
        <v/>
      </c>
      <c r="J929" s="52" t="str">
        <f t="shared" si="44"/>
        <v/>
      </c>
      <c r="K929" s="142" t="str">
        <f>IF(OR($I929="",$I929="?",$D929&lt;&gt;"Advance",$B929=""),"",$I929&amp;"|"&amp;$J929&amp;"|"&amp;COUNTIFS($I$7:$I929,$I929,$J$7:$J929,$J929,$D$7:$D929,"Advance"))</f>
        <v/>
      </c>
      <c r="L929" s="143" t="str">
        <f>IF(OR($I929="",$I929="?",$B929=""),"",SUMPRODUCT((Weeks!$A$7:$A$59&lt;=$J929)*(Weeks!$X$5:$AI$5=$I929)*Weeks!$X$7:$AI$59)-SUMIFS($E$7:$E$1006,$I$7:$I$1006,$I929,$B$7:$B$1006,"&lt;="&amp;$B929))</f>
        <v/>
      </c>
      <c r="M929" s="132" t="str">
        <f>IF($B929&amp;$C929&amp;$D929&amp;$E929="","",IF($B929="","missing date",IF($C929="","missing worker",IF($I929="?","unknown worker - was the name changed on Workers?",IF($D929="","missing type",IF(N($E929)=0,"missing amount",IF(AND($E929&lt;0,$D929&lt;&gt;"Correction"),"negative amount - use a Correction to undo",IF(OR($B929&lt;Weeks!$A$7,$B929&gt;Weeks!$B$59),"date outside this workbook's year",IF(AND($D929="Advance",N($L929)&lt;0),"Warning: more than earned so far - worker now owes "&amp;TEXT(ROUND(-$L929,0),"#,##0"),"")))))))))</f>
        <v/>
      </c>
      <c r="N929" s="125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  <c r="AC929" s="126"/>
      <c r="AD929" s="126"/>
      <c r="AE929" s="126"/>
      <c r="AF929" s="126"/>
      <c r="AG929" s="126"/>
      <c r="AH929" s="126"/>
      <c r="AI929" s="126"/>
      <c r="AJ929" s="126"/>
      <c r="AK929" s="126"/>
      <c r="AL929" s="126"/>
      <c r="AM929" s="126"/>
      <c r="AN929" s="126"/>
    </row>
    <row r="930" spans="1:40" s="127" customFormat="1" ht="21" customHeight="1" x14ac:dyDescent="0.25">
      <c r="A930" s="51" t="str">
        <f t="shared" si="42"/>
        <v/>
      </c>
      <c r="B930" s="77"/>
      <c r="C930" s="133"/>
      <c r="D930" s="50"/>
      <c r="E930" s="141"/>
      <c r="F930" s="133"/>
      <c r="G930" s="133"/>
      <c r="H930" s="50"/>
      <c r="I930" s="51" t="str">
        <f t="shared" si="43"/>
        <v/>
      </c>
      <c r="J930" s="52" t="str">
        <f t="shared" si="44"/>
        <v/>
      </c>
      <c r="K930" s="142" t="str">
        <f>IF(OR($I930="",$I930="?",$D930&lt;&gt;"Advance",$B930=""),"",$I930&amp;"|"&amp;$J930&amp;"|"&amp;COUNTIFS($I$7:$I930,$I930,$J$7:$J930,$J930,$D$7:$D930,"Advance"))</f>
        <v/>
      </c>
      <c r="L930" s="143" t="str">
        <f>IF(OR($I930="",$I930="?",$B930=""),"",SUMPRODUCT((Weeks!$A$7:$A$59&lt;=$J930)*(Weeks!$X$5:$AI$5=$I930)*Weeks!$X$7:$AI$59)-SUMIFS($E$7:$E$1006,$I$7:$I$1006,$I930,$B$7:$B$1006,"&lt;="&amp;$B930))</f>
        <v/>
      </c>
      <c r="M930" s="132" t="str">
        <f>IF($B930&amp;$C930&amp;$D930&amp;$E930="","",IF($B930="","missing date",IF($C930="","missing worker",IF($I930="?","unknown worker - was the name changed on Workers?",IF($D930="","missing type",IF(N($E930)=0,"missing amount",IF(AND($E930&lt;0,$D930&lt;&gt;"Correction"),"negative amount - use a Correction to undo",IF(OR($B930&lt;Weeks!$A$7,$B930&gt;Weeks!$B$59),"date outside this workbook's year",IF(AND($D930="Advance",N($L930)&lt;0),"Warning: more than earned so far - worker now owes "&amp;TEXT(ROUND(-$L930,0),"#,##0"),"")))))))))</f>
        <v/>
      </c>
      <c r="N930" s="125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  <c r="AC930" s="126"/>
      <c r="AD930" s="126"/>
      <c r="AE930" s="126"/>
      <c r="AF930" s="126"/>
      <c r="AG930" s="126"/>
      <c r="AH930" s="126"/>
      <c r="AI930" s="126"/>
      <c r="AJ930" s="126"/>
      <c r="AK930" s="126"/>
      <c r="AL930" s="126"/>
      <c r="AM930" s="126"/>
      <c r="AN930" s="126"/>
    </row>
    <row r="931" spans="1:40" s="127" customFormat="1" ht="21" customHeight="1" x14ac:dyDescent="0.25">
      <c r="A931" s="51" t="str">
        <f t="shared" si="42"/>
        <v/>
      </c>
      <c r="B931" s="77"/>
      <c r="C931" s="133"/>
      <c r="D931" s="50"/>
      <c r="E931" s="141"/>
      <c r="F931" s="133"/>
      <c r="G931" s="133"/>
      <c r="H931" s="50"/>
      <c r="I931" s="51" t="str">
        <f t="shared" si="43"/>
        <v/>
      </c>
      <c r="J931" s="52" t="str">
        <f t="shared" si="44"/>
        <v/>
      </c>
      <c r="K931" s="142" t="str">
        <f>IF(OR($I931="",$I931="?",$D931&lt;&gt;"Advance",$B931=""),"",$I931&amp;"|"&amp;$J931&amp;"|"&amp;COUNTIFS($I$7:$I931,$I931,$J$7:$J931,$J931,$D$7:$D931,"Advance"))</f>
        <v/>
      </c>
      <c r="L931" s="143" t="str">
        <f>IF(OR($I931="",$I931="?",$B931=""),"",SUMPRODUCT((Weeks!$A$7:$A$59&lt;=$J931)*(Weeks!$X$5:$AI$5=$I931)*Weeks!$X$7:$AI$59)-SUMIFS($E$7:$E$1006,$I$7:$I$1006,$I931,$B$7:$B$1006,"&lt;="&amp;$B931))</f>
        <v/>
      </c>
      <c r="M931" s="132" t="str">
        <f>IF($B931&amp;$C931&amp;$D931&amp;$E931="","",IF($B931="","missing date",IF($C931="","missing worker",IF($I931="?","unknown worker - was the name changed on Workers?",IF($D931="","missing type",IF(N($E931)=0,"missing amount",IF(AND($E931&lt;0,$D931&lt;&gt;"Correction"),"negative amount - use a Correction to undo",IF(OR($B931&lt;Weeks!$A$7,$B931&gt;Weeks!$B$59),"date outside this workbook's year",IF(AND($D931="Advance",N($L931)&lt;0),"Warning: more than earned so far - worker now owes "&amp;TEXT(ROUND(-$L931,0),"#,##0"),"")))))))))</f>
        <v/>
      </c>
      <c r="N931" s="125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  <c r="AC931" s="126"/>
      <c r="AD931" s="126"/>
      <c r="AE931" s="126"/>
      <c r="AF931" s="126"/>
      <c r="AG931" s="126"/>
      <c r="AH931" s="126"/>
      <c r="AI931" s="126"/>
      <c r="AJ931" s="126"/>
      <c r="AK931" s="126"/>
      <c r="AL931" s="126"/>
      <c r="AM931" s="126"/>
      <c r="AN931" s="126"/>
    </row>
    <row r="932" spans="1:40" s="127" customFormat="1" ht="21" customHeight="1" x14ac:dyDescent="0.25">
      <c r="A932" s="51" t="str">
        <f t="shared" si="42"/>
        <v/>
      </c>
      <c r="B932" s="77"/>
      <c r="C932" s="133"/>
      <c r="D932" s="50"/>
      <c r="E932" s="141"/>
      <c r="F932" s="133"/>
      <c r="G932" s="133"/>
      <c r="H932" s="50"/>
      <c r="I932" s="51" t="str">
        <f t="shared" si="43"/>
        <v/>
      </c>
      <c r="J932" s="52" t="str">
        <f t="shared" si="44"/>
        <v/>
      </c>
      <c r="K932" s="142" t="str">
        <f>IF(OR($I932="",$I932="?",$D932&lt;&gt;"Advance",$B932=""),"",$I932&amp;"|"&amp;$J932&amp;"|"&amp;COUNTIFS($I$7:$I932,$I932,$J$7:$J932,$J932,$D$7:$D932,"Advance"))</f>
        <v/>
      </c>
      <c r="L932" s="143" t="str">
        <f>IF(OR($I932="",$I932="?",$B932=""),"",SUMPRODUCT((Weeks!$A$7:$A$59&lt;=$J932)*(Weeks!$X$5:$AI$5=$I932)*Weeks!$X$7:$AI$59)-SUMIFS($E$7:$E$1006,$I$7:$I$1006,$I932,$B$7:$B$1006,"&lt;="&amp;$B932))</f>
        <v/>
      </c>
      <c r="M932" s="132" t="str">
        <f>IF($B932&amp;$C932&amp;$D932&amp;$E932="","",IF($B932="","missing date",IF($C932="","missing worker",IF($I932="?","unknown worker - was the name changed on Workers?",IF($D932="","missing type",IF(N($E932)=0,"missing amount",IF(AND($E932&lt;0,$D932&lt;&gt;"Correction"),"negative amount - use a Correction to undo",IF(OR($B932&lt;Weeks!$A$7,$B932&gt;Weeks!$B$59),"date outside this workbook's year",IF(AND($D932="Advance",N($L932)&lt;0),"Warning: more than earned so far - worker now owes "&amp;TEXT(ROUND(-$L932,0),"#,##0"),"")))))))))</f>
        <v/>
      </c>
      <c r="N932" s="125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  <c r="AC932" s="126"/>
      <c r="AD932" s="126"/>
      <c r="AE932" s="126"/>
      <c r="AF932" s="126"/>
      <c r="AG932" s="126"/>
      <c r="AH932" s="126"/>
      <c r="AI932" s="126"/>
      <c r="AJ932" s="126"/>
      <c r="AK932" s="126"/>
      <c r="AL932" s="126"/>
      <c r="AM932" s="126"/>
      <c r="AN932" s="126"/>
    </row>
    <row r="933" spans="1:40" s="127" customFormat="1" ht="21" customHeight="1" x14ac:dyDescent="0.25">
      <c r="A933" s="51" t="str">
        <f t="shared" si="42"/>
        <v/>
      </c>
      <c r="B933" s="77"/>
      <c r="C933" s="133"/>
      <c r="D933" s="50"/>
      <c r="E933" s="141"/>
      <c r="F933" s="133"/>
      <c r="G933" s="133"/>
      <c r="H933" s="50"/>
      <c r="I933" s="51" t="str">
        <f t="shared" si="43"/>
        <v/>
      </c>
      <c r="J933" s="52" t="str">
        <f t="shared" si="44"/>
        <v/>
      </c>
      <c r="K933" s="142" t="str">
        <f>IF(OR($I933="",$I933="?",$D933&lt;&gt;"Advance",$B933=""),"",$I933&amp;"|"&amp;$J933&amp;"|"&amp;COUNTIFS($I$7:$I933,$I933,$J$7:$J933,$J933,$D$7:$D933,"Advance"))</f>
        <v/>
      </c>
      <c r="L933" s="143" t="str">
        <f>IF(OR($I933="",$I933="?",$B933=""),"",SUMPRODUCT((Weeks!$A$7:$A$59&lt;=$J933)*(Weeks!$X$5:$AI$5=$I933)*Weeks!$X$7:$AI$59)-SUMIFS($E$7:$E$1006,$I$7:$I$1006,$I933,$B$7:$B$1006,"&lt;="&amp;$B933))</f>
        <v/>
      </c>
      <c r="M933" s="132" t="str">
        <f>IF($B933&amp;$C933&amp;$D933&amp;$E933="","",IF($B933="","missing date",IF($C933="","missing worker",IF($I933="?","unknown worker - was the name changed on Workers?",IF($D933="","missing type",IF(N($E933)=0,"missing amount",IF(AND($E933&lt;0,$D933&lt;&gt;"Correction"),"negative amount - use a Correction to undo",IF(OR($B933&lt;Weeks!$A$7,$B933&gt;Weeks!$B$59),"date outside this workbook's year",IF(AND($D933="Advance",N($L933)&lt;0),"Warning: more than earned so far - worker now owes "&amp;TEXT(ROUND(-$L933,0),"#,##0"),"")))))))))</f>
        <v/>
      </c>
      <c r="N933" s="125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  <c r="AC933" s="126"/>
      <c r="AD933" s="126"/>
      <c r="AE933" s="126"/>
      <c r="AF933" s="126"/>
      <c r="AG933" s="126"/>
      <c r="AH933" s="126"/>
      <c r="AI933" s="126"/>
      <c r="AJ933" s="126"/>
      <c r="AK933" s="126"/>
      <c r="AL933" s="126"/>
      <c r="AM933" s="126"/>
      <c r="AN933" s="126"/>
    </row>
    <row r="934" spans="1:40" s="127" customFormat="1" ht="21" customHeight="1" x14ac:dyDescent="0.25">
      <c r="A934" s="51" t="str">
        <f t="shared" si="42"/>
        <v/>
      </c>
      <c r="B934" s="77"/>
      <c r="C934" s="133"/>
      <c r="D934" s="50"/>
      <c r="E934" s="141"/>
      <c r="F934" s="133"/>
      <c r="G934" s="133"/>
      <c r="H934" s="50"/>
      <c r="I934" s="51" t="str">
        <f t="shared" si="43"/>
        <v/>
      </c>
      <c r="J934" s="52" t="str">
        <f t="shared" si="44"/>
        <v/>
      </c>
      <c r="K934" s="142" t="str">
        <f>IF(OR($I934="",$I934="?",$D934&lt;&gt;"Advance",$B934=""),"",$I934&amp;"|"&amp;$J934&amp;"|"&amp;COUNTIFS($I$7:$I934,$I934,$J$7:$J934,$J934,$D$7:$D934,"Advance"))</f>
        <v/>
      </c>
      <c r="L934" s="143" t="str">
        <f>IF(OR($I934="",$I934="?",$B934=""),"",SUMPRODUCT((Weeks!$A$7:$A$59&lt;=$J934)*(Weeks!$X$5:$AI$5=$I934)*Weeks!$X$7:$AI$59)-SUMIFS($E$7:$E$1006,$I$7:$I$1006,$I934,$B$7:$B$1006,"&lt;="&amp;$B934))</f>
        <v/>
      </c>
      <c r="M934" s="132" t="str">
        <f>IF($B934&amp;$C934&amp;$D934&amp;$E934="","",IF($B934="","missing date",IF($C934="","missing worker",IF($I934="?","unknown worker - was the name changed on Workers?",IF($D934="","missing type",IF(N($E934)=0,"missing amount",IF(AND($E934&lt;0,$D934&lt;&gt;"Correction"),"negative amount - use a Correction to undo",IF(OR($B934&lt;Weeks!$A$7,$B934&gt;Weeks!$B$59),"date outside this workbook's year",IF(AND($D934="Advance",N($L934)&lt;0),"Warning: more than earned so far - worker now owes "&amp;TEXT(ROUND(-$L934,0),"#,##0"),"")))))))))</f>
        <v/>
      </c>
      <c r="N934" s="125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  <c r="AC934" s="126"/>
      <c r="AD934" s="126"/>
      <c r="AE934" s="126"/>
      <c r="AF934" s="126"/>
      <c r="AG934" s="126"/>
      <c r="AH934" s="126"/>
      <c r="AI934" s="126"/>
      <c r="AJ934" s="126"/>
      <c r="AK934" s="126"/>
      <c r="AL934" s="126"/>
      <c r="AM934" s="126"/>
      <c r="AN934" s="126"/>
    </row>
    <row r="935" spans="1:40" s="127" customFormat="1" ht="21" customHeight="1" x14ac:dyDescent="0.25">
      <c r="A935" s="51" t="str">
        <f t="shared" si="42"/>
        <v/>
      </c>
      <c r="B935" s="77"/>
      <c r="C935" s="133"/>
      <c r="D935" s="50"/>
      <c r="E935" s="141"/>
      <c r="F935" s="133"/>
      <c r="G935" s="133"/>
      <c r="H935" s="50"/>
      <c r="I935" s="51" t="str">
        <f t="shared" si="43"/>
        <v/>
      </c>
      <c r="J935" s="52" t="str">
        <f t="shared" si="44"/>
        <v/>
      </c>
      <c r="K935" s="142" t="str">
        <f>IF(OR($I935="",$I935="?",$D935&lt;&gt;"Advance",$B935=""),"",$I935&amp;"|"&amp;$J935&amp;"|"&amp;COUNTIFS($I$7:$I935,$I935,$J$7:$J935,$J935,$D$7:$D935,"Advance"))</f>
        <v/>
      </c>
      <c r="L935" s="143" t="str">
        <f>IF(OR($I935="",$I935="?",$B935=""),"",SUMPRODUCT((Weeks!$A$7:$A$59&lt;=$J935)*(Weeks!$X$5:$AI$5=$I935)*Weeks!$X$7:$AI$59)-SUMIFS($E$7:$E$1006,$I$7:$I$1006,$I935,$B$7:$B$1006,"&lt;="&amp;$B935))</f>
        <v/>
      </c>
      <c r="M935" s="132" t="str">
        <f>IF($B935&amp;$C935&amp;$D935&amp;$E935="","",IF($B935="","missing date",IF($C935="","missing worker",IF($I935="?","unknown worker - was the name changed on Workers?",IF($D935="","missing type",IF(N($E935)=0,"missing amount",IF(AND($E935&lt;0,$D935&lt;&gt;"Correction"),"negative amount - use a Correction to undo",IF(OR($B935&lt;Weeks!$A$7,$B935&gt;Weeks!$B$59),"date outside this workbook's year",IF(AND($D935="Advance",N($L935)&lt;0),"Warning: more than earned so far - worker now owes "&amp;TEXT(ROUND(-$L935,0),"#,##0"),"")))))))))</f>
        <v/>
      </c>
      <c r="N935" s="125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  <c r="AC935" s="126"/>
      <c r="AD935" s="126"/>
      <c r="AE935" s="126"/>
      <c r="AF935" s="126"/>
      <c r="AG935" s="126"/>
      <c r="AH935" s="126"/>
      <c r="AI935" s="126"/>
      <c r="AJ935" s="126"/>
      <c r="AK935" s="126"/>
      <c r="AL935" s="126"/>
      <c r="AM935" s="126"/>
      <c r="AN935" s="126"/>
    </row>
    <row r="936" spans="1:40" s="127" customFormat="1" ht="21" customHeight="1" x14ac:dyDescent="0.25">
      <c r="A936" s="51" t="str">
        <f t="shared" si="42"/>
        <v/>
      </c>
      <c r="B936" s="77"/>
      <c r="C936" s="133"/>
      <c r="D936" s="50"/>
      <c r="E936" s="141"/>
      <c r="F936" s="133"/>
      <c r="G936" s="133"/>
      <c r="H936" s="50"/>
      <c r="I936" s="51" t="str">
        <f t="shared" si="43"/>
        <v/>
      </c>
      <c r="J936" s="52" t="str">
        <f t="shared" si="44"/>
        <v/>
      </c>
      <c r="K936" s="142" t="str">
        <f>IF(OR($I936="",$I936="?",$D936&lt;&gt;"Advance",$B936=""),"",$I936&amp;"|"&amp;$J936&amp;"|"&amp;COUNTIFS($I$7:$I936,$I936,$J$7:$J936,$J936,$D$7:$D936,"Advance"))</f>
        <v/>
      </c>
      <c r="L936" s="143" t="str">
        <f>IF(OR($I936="",$I936="?",$B936=""),"",SUMPRODUCT((Weeks!$A$7:$A$59&lt;=$J936)*(Weeks!$X$5:$AI$5=$I936)*Weeks!$X$7:$AI$59)-SUMIFS($E$7:$E$1006,$I$7:$I$1006,$I936,$B$7:$B$1006,"&lt;="&amp;$B936))</f>
        <v/>
      </c>
      <c r="M936" s="132" t="str">
        <f>IF($B936&amp;$C936&amp;$D936&amp;$E936="","",IF($B936="","missing date",IF($C936="","missing worker",IF($I936="?","unknown worker - was the name changed on Workers?",IF($D936="","missing type",IF(N($E936)=0,"missing amount",IF(AND($E936&lt;0,$D936&lt;&gt;"Correction"),"negative amount - use a Correction to undo",IF(OR($B936&lt;Weeks!$A$7,$B936&gt;Weeks!$B$59),"date outside this workbook's year",IF(AND($D936="Advance",N($L936)&lt;0),"Warning: more than earned so far - worker now owes "&amp;TEXT(ROUND(-$L936,0),"#,##0"),"")))))))))</f>
        <v/>
      </c>
      <c r="N936" s="125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  <c r="AC936" s="126"/>
      <c r="AD936" s="126"/>
      <c r="AE936" s="126"/>
      <c r="AF936" s="126"/>
      <c r="AG936" s="126"/>
      <c r="AH936" s="126"/>
      <c r="AI936" s="126"/>
      <c r="AJ936" s="126"/>
      <c r="AK936" s="126"/>
      <c r="AL936" s="126"/>
      <c r="AM936" s="126"/>
      <c r="AN936" s="126"/>
    </row>
    <row r="937" spans="1:40" s="127" customFormat="1" ht="21" customHeight="1" x14ac:dyDescent="0.25">
      <c r="A937" s="51" t="str">
        <f t="shared" si="42"/>
        <v/>
      </c>
      <c r="B937" s="77"/>
      <c r="C937" s="133"/>
      <c r="D937" s="50"/>
      <c r="E937" s="141"/>
      <c r="F937" s="133"/>
      <c r="G937" s="133"/>
      <c r="H937" s="50"/>
      <c r="I937" s="51" t="str">
        <f t="shared" si="43"/>
        <v/>
      </c>
      <c r="J937" s="52" t="str">
        <f t="shared" si="44"/>
        <v/>
      </c>
      <c r="K937" s="142" t="str">
        <f>IF(OR($I937="",$I937="?",$D937&lt;&gt;"Advance",$B937=""),"",$I937&amp;"|"&amp;$J937&amp;"|"&amp;COUNTIFS($I$7:$I937,$I937,$J$7:$J937,$J937,$D$7:$D937,"Advance"))</f>
        <v/>
      </c>
      <c r="L937" s="143" t="str">
        <f>IF(OR($I937="",$I937="?",$B937=""),"",SUMPRODUCT((Weeks!$A$7:$A$59&lt;=$J937)*(Weeks!$X$5:$AI$5=$I937)*Weeks!$X$7:$AI$59)-SUMIFS($E$7:$E$1006,$I$7:$I$1006,$I937,$B$7:$B$1006,"&lt;="&amp;$B937))</f>
        <v/>
      </c>
      <c r="M937" s="132" t="str">
        <f>IF($B937&amp;$C937&amp;$D937&amp;$E937="","",IF($B937="","missing date",IF($C937="","missing worker",IF($I937="?","unknown worker - was the name changed on Workers?",IF($D937="","missing type",IF(N($E937)=0,"missing amount",IF(AND($E937&lt;0,$D937&lt;&gt;"Correction"),"negative amount - use a Correction to undo",IF(OR($B937&lt;Weeks!$A$7,$B937&gt;Weeks!$B$59),"date outside this workbook's year",IF(AND($D937="Advance",N($L937)&lt;0),"Warning: more than earned so far - worker now owes "&amp;TEXT(ROUND(-$L937,0),"#,##0"),"")))))))))</f>
        <v/>
      </c>
      <c r="N937" s="125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  <c r="AC937" s="126"/>
      <c r="AD937" s="126"/>
      <c r="AE937" s="126"/>
      <c r="AF937" s="126"/>
      <c r="AG937" s="126"/>
      <c r="AH937" s="126"/>
      <c r="AI937" s="126"/>
      <c r="AJ937" s="126"/>
      <c r="AK937" s="126"/>
      <c r="AL937" s="126"/>
      <c r="AM937" s="126"/>
      <c r="AN937" s="126"/>
    </row>
    <row r="938" spans="1:40" s="127" customFormat="1" ht="21" customHeight="1" x14ac:dyDescent="0.25">
      <c r="A938" s="51" t="str">
        <f t="shared" si="42"/>
        <v/>
      </c>
      <c r="B938" s="77"/>
      <c r="C938" s="133"/>
      <c r="D938" s="50"/>
      <c r="E938" s="141"/>
      <c r="F938" s="133"/>
      <c r="G938" s="133"/>
      <c r="H938" s="50"/>
      <c r="I938" s="51" t="str">
        <f t="shared" si="43"/>
        <v/>
      </c>
      <c r="J938" s="52" t="str">
        <f t="shared" si="44"/>
        <v/>
      </c>
      <c r="K938" s="142" t="str">
        <f>IF(OR($I938="",$I938="?",$D938&lt;&gt;"Advance",$B938=""),"",$I938&amp;"|"&amp;$J938&amp;"|"&amp;COUNTIFS($I$7:$I938,$I938,$J$7:$J938,$J938,$D$7:$D938,"Advance"))</f>
        <v/>
      </c>
      <c r="L938" s="143" t="str">
        <f>IF(OR($I938="",$I938="?",$B938=""),"",SUMPRODUCT((Weeks!$A$7:$A$59&lt;=$J938)*(Weeks!$X$5:$AI$5=$I938)*Weeks!$X$7:$AI$59)-SUMIFS($E$7:$E$1006,$I$7:$I$1006,$I938,$B$7:$B$1006,"&lt;="&amp;$B938))</f>
        <v/>
      </c>
      <c r="M938" s="132" t="str">
        <f>IF($B938&amp;$C938&amp;$D938&amp;$E938="","",IF($B938="","missing date",IF($C938="","missing worker",IF($I938="?","unknown worker - was the name changed on Workers?",IF($D938="","missing type",IF(N($E938)=0,"missing amount",IF(AND($E938&lt;0,$D938&lt;&gt;"Correction"),"negative amount - use a Correction to undo",IF(OR($B938&lt;Weeks!$A$7,$B938&gt;Weeks!$B$59),"date outside this workbook's year",IF(AND($D938="Advance",N($L938)&lt;0),"Warning: more than earned so far - worker now owes "&amp;TEXT(ROUND(-$L938,0),"#,##0"),"")))))))))</f>
        <v/>
      </c>
      <c r="N938" s="125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  <c r="AC938" s="126"/>
      <c r="AD938" s="126"/>
      <c r="AE938" s="126"/>
      <c r="AF938" s="126"/>
      <c r="AG938" s="126"/>
      <c r="AH938" s="126"/>
      <c r="AI938" s="126"/>
      <c r="AJ938" s="126"/>
      <c r="AK938" s="126"/>
      <c r="AL938" s="126"/>
      <c r="AM938" s="126"/>
      <c r="AN938" s="126"/>
    </row>
    <row r="939" spans="1:40" s="127" customFormat="1" ht="21" customHeight="1" x14ac:dyDescent="0.25">
      <c r="A939" s="51" t="str">
        <f t="shared" si="42"/>
        <v/>
      </c>
      <c r="B939" s="77"/>
      <c r="C939" s="133"/>
      <c r="D939" s="50"/>
      <c r="E939" s="141"/>
      <c r="F939" s="133"/>
      <c r="G939" s="133"/>
      <c r="H939" s="50"/>
      <c r="I939" s="51" t="str">
        <f t="shared" si="43"/>
        <v/>
      </c>
      <c r="J939" s="52" t="str">
        <f t="shared" si="44"/>
        <v/>
      </c>
      <c r="K939" s="142" t="str">
        <f>IF(OR($I939="",$I939="?",$D939&lt;&gt;"Advance",$B939=""),"",$I939&amp;"|"&amp;$J939&amp;"|"&amp;COUNTIFS($I$7:$I939,$I939,$J$7:$J939,$J939,$D$7:$D939,"Advance"))</f>
        <v/>
      </c>
      <c r="L939" s="143" t="str">
        <f>IF(OR($I939="",$I939="?",$B939=""),"",SUMPRODUCT((Weeks!$A$7:$A$59&lt;=$J939)*(Weeks!$X$5:$AI$5=$I939)*Weeks!$X$7:$AI$59)-SUMIFS($E$7:$E$1006,$I$7:$I$1006,$I939,$B$7:$B$1006,"&lt;="&amp;$B939))</f>
        <v/>
      </c>
      <c r="M939" s="132" t="str">
        <f>IF($B939&amp;$C939&amp;$D939&amp;$E939="","",IF($B939="","missing date",IF($C939="","missing worker",IF($I939="?","unknown worker - was the name changed on Workers?",IF($D939="","missing type",IF(N($E939)=0,"missing amount",IF(AND($E939&lt;0,$D939&lt;&gt;"Correction"),"negative amount - use a Correction to undo",IF(OR($B939&lt;Weeks!$A$7,$B939&gt;Weeks!$B$59),"date outside this workbook's year",IF(AND($D939="Advance",N($L939)&lt;0),"Warning: more than earned so far - worker now owes "&amp;TEXT(ROUND(-$L939,0),"#,##0"),"")))))))))</f>
        <v/>
      </c>
      <c r="N939" s="125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  <c r="AC939" s="126"/>
      <c r="AD939" s="126"/>
      <c r="AE939" s="126"/>
      <c r="AF939" s="126"/>
      <c r="AG939" s="126"/>
      <c r="AH939" s="126"/>
      <c r="AI939" s="126"/>
      <c r="AJ939" s="126"/>
      <c r="AK939" s="126"/>
      <c r="AL939" s="126"/>
      <c r="AM939" s="126"/>
      <c r="AN939" s="126"/>
    </row>
    <row r="940" spans="1:40" s="127" customFormat="1" ht="21" customHeight="1" x14ac:dyDescent="0.25">
      <c r="A940" s="51" t="str">
        <f t="shared" si="42"/>
        <v/>
      </c>
      <c r="B940" s="77"/>
      <c r="C940" s="133"/>
      <c r="D940" s="50"/>
      <c r="E940" s="141"/>
      <c r="F940" s="133"/>
      <c r="G940" s="133"/>
      <c r="H940" s="50"/>
      <c r="I940" s="51" t="str">
        <f t="shared" si="43"/>
        <v/>
      </c>
      <c r="J940" s="52" t="str">
        <f t="shared" si="44"/>
        <v/>
      </c>
      <c r="K940" s="142" t="str">
        <f>IF(OR($I940="",$I940="?",$D940&lt;&gt;"Advance",$B940=""),"",$I940&amp;"|"&amp;$J940&amp;"|"&amp;COUNTIFS($I$7:$I940,$I940,$J$7:$J940,$J940,$D$7:$D940,"Advance"))</f>
        <v/>
      </c>
      <c r="L940" s="143" t="str">
        <f>IF(OR($I940="",$I940="?",$B940=""),"",SUMPRODUCT((Weeks!$A$7:$A$59&lt;=$J940)*(Weeks!$X$5:$AI$5=$I940)*Weeks!$X$7:$AI$59)-SUMIFS($E$7:$E$1006,$I$7:$I$1006,$I940,$B$7:$B$1006,"&lt;="&amp;$B940))</f>
        <v/>
      </c>
      <c r="M940" s="132" t="str">
        <f>IF($B940&amp;$C940&amp;$D940&amp;$E940="","",IF($B940="","missing date",IF($C940="","missing worker",IF($I940="?","unknown worker - was the name changed on Workers?",IF($D940="","missing type",IF(N($E940)=0,"missing amount",IF(AND($E940&lt;0,$D940&lt;&gt;"Correction"),"negative amount - use a Correction to undo",IF(OR($B940&lt;Weeks!$A$7,$B940&gt;Weeks!$B$59),"date outside this workbook's year",IF(AND($D940="Advance",N($L940)&lt;0),"Warning: more than earned so far - worker now owes "&amp;TEXT(ROUND(-$L940,0),"#,##0"),"")))))))))</f>
        <v/>
      </c>
      <c r="N940" s="125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  <c r="AC940" s="126"/>
      <c r="AD940" s="126"/>
      <c r="AE940" s="126"/>
      <c r="AF940" s="126"/>
      <c r="AG940" s="126"/>
      <c r="AH940" s="126"/>
      <c r="AI940" s="126"/>
      <c r="AJ940" s="126"/>
      <c r="AK940" s="126"/>
      <c r="AL940" s="126"/>
      <c r="AM940" s="126"/>
      <c r="AN940" s="126"/>
    </row>
    <row r="941" spans="1:40" s="127" customFormat="1" ht="21" customHeight="1" x14ac:dyDescent="0.25">
      <c r="A941" s="51" t="str">
        <f t="shared" si="42"/>
        <v/>
      </c>
      <c r="B941" s="77"/>
      <c r="C941" s="133"/>
      <c r="D941" s="50"/>
      <c r="E941" s="141"/>
      <c r="F941" s="133"/>
      <c r="G941" s="133"/>
      <c r="H941" s="50"/>
      <c r="I941" s="51" t="str">
        <f t="shared" si="43"/>
        <v/>
      </c>
      <c r="J941" s="52" t="str">
        <f t="shared" si="44"/>
        <v/>
      </c>
      <c r="K941" s="142" t="str">
        <f>IF(OR($I941="",$I941="?",$D941&lt;&gt;"Advance",$B941=""),"",$I941&amp;"|"&amp;$J941&amp;"|"&amp;COUNTIFS($I$7:$I941,$I941,$J$7:$J941,$J941,$D$7:$D941,"Advance"))</f>
        <v/>
      </c>
      <c r="L941" s="143" t="str">
        <f>IF(OR($I941="",$I941="?",$B941=""),"",SUMPRODUCT((Weeks!$A$7:$A$59&lt;=$J941)*(Weeks!$X$5:$AI$5=$I941)*Weeks!$X$7:$AI$59)-SUMIFS($E$7:$E$1006,$I$7:$I$1006,$I941,$B$7:$B$1006,"&lt;="&amp;$B941))</f>
        <v/>
      </c>
      <c r="M941" s="132" t="str">
        <f>IF($B941&amp;$C941&amp;$D941&amp;$E941="","",IF($B941="","missing date",IF($C941="","missing worker",IF($I941="?","unknown worker - was the name changed on Workers?",IF($D941="","missing type",IF(N($E941)=0,"missing amount",IF(AND($E941&lt;0,$D941&lt;&gt;"Correction"),"negative amount - use a Correction to undo",IF(OR($B941&lt;Weeks!$A$7,$B941&gt;Weeks!$B$59),"date outside this workbook's year",IF(AND($D941="Advance",N($L941)&lt;0),"Warning: more than earned so far - worker now owes "&amp;TEXT(ROUND(-$L941,0),"#,##0"),"")))))))))</f>
        <v/>
      </c>
      <c r="N941" s="125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  <c r="AC941" s="126"/>
      <c r="AD941" s="126"/>
      <c r="AE941" s="126"/>
      <c r="AF941" s="126"/>
      <c r="AG941" s="126"/>
      <c r="AH941" s="126"/>
      <c r="AI941" s="126"/>
      <c r="AJ941" s="126"/>
      <c r="AK941" s="126"/>
      <c r="AL941" s="126"/>
      <c r="AM941" s="126"/>
      <c r="AN941" s="126"/>
    </row>
    <row r="942" spans="1:40" s="127" customFormat="1" ht="21" customHeight="1" x14ac:dyDescent="0.25">
      <c r="A942" s="51" t="str">
        <f t="shared" si="42"/>
        <v/>
      </c>
      <c r="B942" s="77"/>
      <c r="C942" s="133"/>
      <c r="D942" s="50"/>
      <c r="E942" s="141"/>
      <c r="F942" s="133"/>
      <c r="G942" s="133"/>
      <c r="H942" s="50"/>
      <c r="I942" s="51" t="str">
        <f t="shared" si="43"/>
        <v/>
      </c>
      <c r="J942" s="52" t="str">
        <f t="shared" si="44"/>
        <v/>
      </c>
      <c r="K942" s="142" t="str">
        <f>IF(OR($I942="",$I942="?",$D942&lt;&gt;"Advance",$B942=""),"",$I942&amp;"|"&amp;$J942&amp;"|"&amp;COUNTIFS($I$7:$I942,$I942,$J$7:$J942,$J942,$D$7:$D942,"Advance"))</f>
        <v/>
      </c>
      <c r="L942" s="143" t="str">
        <f>IF(OR($I942="",$I942="?",$B942=""),"",SUMPRODUCT((Weeks!$A$7:$A$59&lt;=$J942)*(Weeks!$X$5:$AI$5=$I942)*Weeks!$X$7:$AI$59)-SUMIFS($E$7:$E$1006,$I$7:$I$1006,$I942,$B$7:$B$1006,"&lt;="&amp;$B942))</f>
        <v/>
      </c>
      <c r="M942" s="132" t="str">
        <f>IF($B942&amp;$C942&amp;$D942&amp;$E942="","",IF($B942="","missing date",IF($C942="","missing worker",IF($I942="?","unknown worker - was the name changed on Workers?",IF($D942="","missing type",IF(N($E942)=0,"missing amount",IF(AND($E942&lt;0,$D942&lt;&gt;"Correction"),"negative amount - use a Correction to undo",IF(OR($B942&lt;Weeks!$A$7,$B942&gt;Weeks!$B$59),"date outside this workbook's year",IF(AND($D942="Advance",N($L942)&lt;0),"Warning: more than earned so far - worker now owes "&amp;TEXT(ROUND(-$L942,0),"#,##0"),"")))))))))</f>
        <v/>
      </c>
      <c r="N942" s="125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  <c r="AC942" s="126"/>
      <c r="AD942" s="126"/>
      <c r="AE942" s="126"/>
      <c r="AF942" s="126"/>
      <c r="AG942" s="126"/>
      <c r="AH942" s="126"/>
      <c r="AI942" s="126"/>
      <c r="AJ942" s="126"/>
      <c r="AK942" s="126"/>
      <c r="AL942" s="126"/>
      <c r="AM942" s="126"/>
      <c r="AN942" s="126"/>
    </row>
    <row r="943" spans="1:40" s="127" customFormat="1" ht="21" customHeight="1" x14ac:dyDescent="0.25">
      <c r="A943" s="51" t="str">
        <f t="shared" si="42"/>
        <v/>
      </c>
      <c r="B943" s="77"/>
      <c r="C943" s="133"/>
      <c r="D943" s="50"/>
      <c r="E943" s="141"/>
      <c r="F943" s="133"/>
      <c r="G943" s="133"/>
      <c r="H943" s="50"/>
      <c r="I943" s="51" t="str">
        <f t="shared" si="43"/>
        <v/>
      </c>
      <c r="J943" s="52" t="str">
        <f t="shared" si="44"/>
        <v/>
      </c>
      <c r="K943" s="142" t="str">
        <f>IF(OR($I943="",$I943="?",$D943&lt;&gt;"Advance",$B943=""),"",$I943&amp;"|"&amp;$J943&amp;"|"&amp;COUNTIFS($I$7:$I943,$I943,$J$7:$J943,$J943,$D$7:$D943,"Advance"))</f>
        <v/>
      </c>
      <c r="L943" s="143" t="str">
        <f>IF(OR($I943="",$I943="?",$B943=""),"",SUMPRODUCT((Weeks!$A$7:$A$59&lt;=$J943)*(Weeks!$X$5:$AI$5=$I943)*Weeks!$X$7:$AI$59)-SUMIFS($E$7:$E$1006,$I$7:$I$1006,$I943,$B$7:$B$1006,"&lt;="&amp;$B943))</f>
        <v/>
      </c>
      <c r="M943" s="132" t="str">
        <f>IF($B943&amp;$C943&amp;$D943&amp;$E943="","",IF($B943="","missing date",IF($C943="","missing worker",IF($I943="?","unknown worker - was the name changed on Workers?",IF($D943="","missing type",IF(N($E943)=0,"missing amount",IF(AND($E943&lt;0,$D943&lt;&gt;"Correction"),"negative amount - use a Correction to undo",IF(OR($B943&lt;Weeks!$A$7,$B943&gt;Weeks!$B$59),"date outside this workbook's year",IF(AND($D943="Advance",N($L943)&lt;0),"Warning: more than earned so far - worker now owes "&amp;TEXT(ROUND(-$L943,0),"#,##0"),"")))))))))</f>
        <v/>
      </c>
      <c r="N943" s="125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  <c r="AC943" s="126"/>
      <c r="AD943" s="126"/>
      <c r="AE943" s="126"/>
      <c r="AF943" s="126"/>
      <c r="AG943" s="126"/>
      <c r="AH943" s="126"/>
      <c r="AI943" s="126"/>
      <c r="AJ943" s="126"/>
      <c r="AK943" s="126"/>
      <c r="AL943" s="126"/>
      <c r="AM943" s="126"/>
      <c r="AN943" s="126"/>
    </row>
    <row r="944" spans="1:40" s="127" customFormat="1" ht="21" customHeight="1" x14ac:dyDescent="0.25">
      <c r="A944" s="51" t="str">
        <f t="shared" si="42"/>
        <v/>
      </c>
      <c r="B944" s="77"/>
      <c r="C944" s="133"/>
      <c r="D944" s="50"/>
      <c r="E944" s="141"/>
      <c r="F944" s="133"/>
      <c r="G944" s="133"/>
      <c r="H944" s="50"/>
      <c r="I944" s="51" t="str">
        <f t="shared" si="43"/>
        <v/>
      </c>
      <c r="J944" s="52" t="str">
        <f t="shared" si="44"/>
        <v/>
      </c>
      <c r="K944" s="142" t="str">
        <f>IF(OR($I944="",$I944="?",$D944&lt;&gt;"Advance",$B944=""),"",$I944&amp;"|"&amp;$J944&amp;"|"&amp;COUNTIFS($I$7:$I944,$I944,$J$7:$J944,$J944,$D$7:$D944,"Advance"))</f>
        <v/>
      </c>
      <c r="L944" s="143" t="str">
        <f>IF(OR($I944="",$I944="?",$B944=""),"",SUMPRODUCT((Weeks!$A$7:$A$59&lt;=$J944)*(Weeks!$X$5:$AI$5=$I944)*Weeks!$X$7:$AI$59)-SUMIFS($E$7:$E$1006,$I$7:$I$1006,$I944,$B$7:$B$1006,"&lt;="&amp;$B944))</f>
        <v/>
      </c>
      <c r="M944" s="132" t="str">
        <f>IF($B944&amp;$C944&amp;$D944&amp;$E944="","",IF($B944="","missing date",IF($C944="","missing worker",IF($I944="?","unknown worker - was the name changed on Workers?",IF($D944="","missing type",IF(N($E944)=0,"missing amount",IF(AND($E944&lt;0,$D944&lt;&gt;"Correction"),"negative amount - use a Correction to undo",IF(OR($B944&lt;Weeks!$A$7,$B944&gt;Weeks!$B$59),"date outside this workbook's year",IF(AND($D944="Advance",N($L944)&lt;0),"Warning: more than earned so far - worker now owes "&amp;TEXT(ROUND(-$L944,0),"#,##0"),"")))))))))</f>
        <v/>
      </c>
      <c r="N944" s="125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  <c r="AC944" s="126"/>
      <c r="AD944" s="126"/>
      <c r="AE944" s="126"/>
      <c r="AF944" s="126"/>
      <c r="AG944" s="126"/>
      <c r="AH944" s="126"/>
      <c r="AI944" s="126"/>
      <c r="AJ944" s="126"/>
      <c r="AK944" s="126"/>
      <c r="AL944" s="126"/>
      <c r="AM944" s="126"/>
      <c r="AN944" s="126"/>
    </row>
    <row r="945" spans="1:40" s="127" customFormat="1" ht="21" customHeight="1" x14ac:dyDescent="0.25">
      <c r="A945" s="51" t="str">
        <f t="shared" si="42"/>
        <v/>
      </c>
      <c r="B945" s="77"/>
      <c r="C945" s="133"/>
      <c r="D945" s="50"/>
      <c r="E945" s="141"/>
      <c r="F945" s="133"/>
      <c r="G945" s="133"/>
      <c r="H945" s="50"/>
      <c r="I945" s="51" t="str">
        <f t="shared" si="43"/>
        <v/>
      </c>
      <c r="J945" s="52" t="str">
        <f t="shared" si="44"/>
        <v/>
      </c>
      <c r="K945" s="142" t="str">
        <f>IF(OR($I945="",$I945="?",$D945&lt;&gt;"Advance",$B945=""),"",$I945&amp;"|"&amp;$J945&amp;"|"&amp;COUNTIFS($I$7:$I945,$I945,$J$7:$J945,$J945,$D$7:$D945,"Advance"))</f>
        <v/>
      </c>
      <c r="L945" s="143" t="str">
        <f>IF(OR($I945="",$I945="?",$B945=""),"",SUMPRODUCT((Weeks!$A$7:$A$59&lt;=$J945)*(Weeks!$X$5:$AI$5=$I945)*Weeks!$X$7:$AI$59)-SUMIFS($E$7:$E$1006,$I$7:$I$1006,$I945,$B$7:$B$1006,"&lt;="&amp;$B945))</f>
        <v/>
      </c>
      <c r="M945" s="132" t="str">
        <f>IF($B945&amp;$C945&amp;$D945&amp;$E945="","",IF($B945="","missing date",IF($C945="","missing worker",IF($I945="?","unknown worker - was the name changed on Workers?",IF($D945="","missing type",IF(N($E945)=0,"missing amount",IF(AND($E945&lt;0,$D945&lt;&gt;"Correction"),"negative amount - use a Correction to undo",IF(OR($B945&lt;Weeks!$A$7,$B945&gt;Weeks!$B$59),"date outside this workbook's year",IF(AND($D945="Advance",N($L945)&lt;0),"Warning: more than earned so far - worker now owes "&amp;TEXT(ROUND(-$L945,0),"#,##0"),"")))))))))</f>
        <v/>
      </c>
      <c r="N945" s="125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  <c r="AC945" s="126"/>
      <c r="AD945" s="126"/>
      <c r="AE945" s="126"/>
      <c r="AF945" s="126"/>
      <c r="AG945" s="126"/>
      <c r="AH945" s="126"/>
      <c r="AI945" s="126"/>
      <c r="AJ945" s="126"/>
      <c r="AK945" s="126"/>
      <c r="AL945" s="126"/>
      <c r="AM945" s="126"/>
      <c r="AN945" s="126"/>
    </row>
    <row r="946" spans="1:40" s="127" customFormat="1" ht="21" customHeight="1" x14ac:dyDescent="0.25">
      <c r="A946" s="51" t="str">
        <f t="shared" si="42"/>
        <v/>
      </c>
      <c r="B946" s="77"/>
      <c r="C946" s="133"/>
      <c r="D946" s="50"/>
      <c r="E946" s="141"/>
      <c r="F946" s="133"/>
      <c r="G946" s="133"/>
      <c r="H946" s="50"/>
      <c r="I946" s="51" t="str">
        <f t="shared" si="43"/>
        <v/>
      </c>
      <c r="J946" s="52" t="str">
        <f t="shared" si="44"/>
        <v/>
      </c>
      <c r="K946" s="142" t="str">
        <f>IF(OR($I946="",$I946="?",$D946&lt;&gt;"Advance",$B946=""),"",$I946&amp;"|"&amp;$J946&amp;"|"&amp;COUNTIFS($I$7:$I946,$I946,$J$7:$J946,$J946,$D$7:$D946,"Advance"))</f>
        <v/>
      </c>
      <c r="L946" s="143" t="str">
        <f>IF(OR($I946="",$I946="?",$B946=""),"",SUMPRODUCT((Weeks!$A$7:$A$59&lt;=$J946)*(Weeks!$X$5:$AI$5=$I946)*Weeks!$X$7:$AI$59)-SUMIFS($E$7:$E$1006,$I$7:$I$1006,$I946,$B$7:$B$1006,"&lt;="&amp;$B946))</f>
        <v/>
      </c>
      <c r="M946" s="132" t="str">
        <f>IF($B946&amp;$C946&amp;$D946&amp;$E946="","",IF($B946="","missing date",IF($C946="","missing worker",IF($I946="?","unknown worker - was the name changed on Workers?",IF($D946="","missing type",IF(N($E946)=0,"missing amount",IF(AND($E946&lt;0,$D946&lt;&gt;"Correction"),"negative amount - use a Correction to undo",IF(OR($B946&lt;Weeks!$A$7,$B946&gt;Weeks!$B$59),"date outside this workbook's year",IF(AND($D946="Advance",N($L946)&lt;0),"Warning: more than earned so far - worker now owes "&amp;TEXT(ROUND(-$L946,0),"#,##0"),"")))))))))</f>
        <v/>
      </c>
      <c r="N946" s="125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  <c r="AC946" s="126"/>
      <c r="AD946" s="126"/>
      <c r="AE946" s="126"/>
      <c r="AF946" s="126"/>
      <c r="AG946" s="126"/>
      <c r="AH946" s="126"/>
      <c r="AI946" s="126"/>
      <c r="AJ946" s="126"/>
      <c r="AK946" s="126"/>
      <c r="AL946" s="126"/>
      <c r="AM946" s="126"/>
      <c r="AN946" s="126"/>
    </row>
    <row r="947" spans="1:40" s="127" customFormat="1" ht="21" customHeight="1" x14ac:dyDescent="0.25">
      <c r="A947" s="51" t="str">
        <f t="shared" si="42"/>
        <v/>
      </c>
      <c r="B947" s="77"/>
      <c r="C947" s="133"/>
      <c r="D947" s="50"/>
      <c r="E947" s="141"/>
      <c r="F947" s="133"/>
      <c r="G947" s="133"/>
      <c r="H947" s="50"/>
      <c r="I947" s="51" t="str">
        <f t="shared" si="43"/>
        <v/>
      </c>
      <c r="J947" s="52" t="str">
        <f t="shared" si="44"/>
        <v/>
      </c>
      <c r="K947" s="142" t="str">
        <f>IF(OR($I947="",$I947="?",$D947&lt;&gt;"Advance",$B947=""),"",$I947&amp;"|"&amp;$J947&amp;"|"&amp;COUNTIFS($I$7:$I947,$I947,$J$7:$J947,$J947,$D$7:$D947,"Advance"))</f>
        <v/>
      </c>
      <c r="L947" s="143" t="str">
        <f>IF(OR($I947="",$I947="?",$B947=""),"",SUMPRODUCT((Weeks!$A$7:$A$59&lt;=$J947)*(Weeks!$X$5:$AI$5=$I947)*Weeks!$X$7:$AI$59)-SUMIFS($E$7:$E$1006,$I$7:$I$1006,$I947,$B$7:$B$1006,"&lt;="&amp;$B947))</f>
        <v/>
      </c>
      <c r="M947" s="132" t="str">
        <f>IF($B947&amp;$C947&amp;$D947&amp;$E947="","",IF($B947="","missing date",IF($C947="","missing worker",IF($I947="?","unknown worker - was the name changed on Workers?",IF($D947="","missing type",IF(N($E947)=0,"missing amount",IF(AND($E947&lt;0,$D947&lt;&gt;"Correction"),"negative amount - use a Correction to undo",IF(OR($B947&lt;Weeks!$A$7,$B947&gt;Weeks!$B$59),"date outside this workbook's year",IF(AND($D947="Advance",N($L947)&lt;0),"Warning: more than earned so far - worker now owes "&amp;TEXT(ROUND(-$L947,0),"#,##0"),"")))))))))</f>
        <v/>
      </c>
      <c r="N947" s="125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  <c r="AC947" s="126"/>
      <c r="AD947" s="126"/>
      <c r="AE947" s="126"/>
      <c r="AF947" s="126"/>
      <c r="AG947" s="126"/>
      <c r="AH947" s="126"/>
      <c r="AI947" s="126"/>
      <c r="AJ947" s="126"/>
      <c r="AK947" s="126"/>
      <c r="AL947" s="126"/>
      <c r="AM947" s="126"/>
      <c r="AN947" s="126"/>
    </row>
    <row r="948" spans="1:40" s="127" customFormat="1" ht="21" customHeight="1" x14ac:dyDescent="0.25">
      <c r="A948" s="51" t="str">
        <f t="shared" si="42"/>
        <v/>
      </c>
      <c r="B948" s="77"/>
      <c r="C948" s="133"/>
      <c r="D948" s="50"/>
      <c r="E948" s="141"/>
      <c r="F948" s="133"/>
      <c r="G948" s="133"/>
      <c r="H948" s="50"/>
      <c r="I948" s="51" t="str">
        <f t="shared" si="43"/>
        <v/>
      </c>
      <c r="J948" s="52" t="str">
        <f t="shared" si="44"/>
        <v/>
      </c>
      <c r="K948" s="142" t="str">
        <f>IF(OR($I948="",$I948="?",$D948&lt;&gt;"Advance",$B948=""),"",$I948&amp;"|"&amp;$J948&amp;"|"&amp;COUNTIFS($I$7:$I948,$I948,$J$7:$J948,$J948,$D$7:$D948,"Advance"))</f>
        <v/>
      </c>
      <c r="L948" s="143" t="str">
        <f>IF(OR($I948="",$I948="?",$B948=""),"",SUMPRODUCT((Weeks!$A$7:$A$59&lt;=$J948)*(Weeks!$X$5:$AI$5=$I948)*Weeks!$X$7:$AI$59)-SUMIFS($E$7:$E$1006,$I$7:$I$1006,$I948,$B$7:$B$1006,"&lt;="&amp;$B948))</f>
        <v/>
      </c>
      <c r="M948" s="132" t="str">
        <f>IF($B948&amp;$C948&amp;$D948&amp;$E948="","",IF($B948="","missing date",IF($C948="","missing worker",IF($I948="?","unknown worker - was the name changed on Workers?",IF($D948="","missing type",IF(N($E948)=0,"missing amount",IF(AND($E948&lt;0,$D948&lt;&gt;"Correction"),"negative amount - use a Correction to undo",IF(OR($B948&lt;Weeks!$A$7,$B948&gt;Weeks!$B$59),"date outside this workbook's year",IF(AND($D948="Advance",N($L948)&lt;0),"Warning: more than earned so far - worker now owes "&amp;TEXT(ROUND(-$L948,0),"#,##0"),"")))))))))</f>
        <v/>
      </c>
      <c r="N948" s="125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  <c r="AC948" s="126"/>
      <c r="AD948" s="126"/>
      <c r="AE948" s="126"/>
      <c r="AF948" s="126"/>
      <c r="AG948" s="126"/>
      <c r="AH948" s="126"/>
      <c r="AI948" s="126"/>
      <c r="AJ948" s="126"/>
      <c r="AK948" s="126"/>
      <c r="AL948" s="126"/>
      <c r="AM948" s="126"/>
      <c r="AN948" s="126"/>
    </row>
    <row r="949" spans="1:40" s="127" customFormat="1" ht="21" customHeight="1" x14ac:dyDescent="0.25">
      <c r="A949" s="51" t="str">
        <f t="shared" si="42"/>
        <v/>
      </c>
      <c r="B949" s="77"/>
      <c r="C949" s="133"/>
      <c r="D949" s="50"/>
      <c r="E949" s="141"/>
      <c r="F949" s="133"/>
      <c r="G949" s="133"/>
      <c r="H949" s="50"/>
      <c r="I949" s="51" t="str">
        <f t="shared" si="43"/>
        <v/>
      </c>
      <c r="J949" s="52" t="str">
        <f t="shared" si="44"/>
        <v/>
      </c>
      <c r="K949" s="142" t="str">
        <f>IF(OR($I949="",$I949="?",$D949&lt;&gt;"Advance",$B949=""),"",$I949&amp;"|"&amp;$J949&amp;"|"&amp;COUNTIFS($I$7:$I949,$I949,$J$7:$J949,$J949,$D$7:$D949,"Advance"))</f>
        <v/>
      </c>
      <c r="L949" s="143" t="str">
        <f>IF(OR($I949="",$I949="?",$B949=""),"",SUMPRODUCT((Weeks!$A$7:$A$59&lt;=$J949)*(Weeks!$X$5:$AI$5=$I949)*Weeks!$X$7:$AI$59)-SUMIFS($E$7:$E$1006,$I$7:$I$1006,$I949,$B$7:$B$1006,"&lt;="&amp;$B949))</f>
        <v/>
      </c>
      <c r="M949" s="132" t="str">
        <f>IF($B949&amp;$C949&amp;$D949&amp;$E949="","",IF($B949="","missing date",IF($C949="","missing worker",IF($I949="?","unknown worker - was the name changed on Workers?",IF($D949="","missing type",IF(N($E949)=0,"missing amount",IF(AND($E949&lt;0,$D949&lt;&gt;"Correction"),"negative amount - use a Correction to undo",IF(OR($B949&lt;Weeks!$A$7,$B949&gt;Weeks!$B$59),"date outside this workbook's year",IF(AND($D949="Advance",N($L949)&lt;0),"Warning: more than earned so far - worker now owes "&amp;TEXT(ROUND(-$L949,0),"#,##0"),"")))))))))</f>
        <v/>
      </c>
      <c r="N949" s="125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  <c r="AC949" s="126"/>
      <c r="AD949" s="126"/>
      <c r="AE949" s="126"/>
      <c r="AF949" s="126"/>
      <c r="AG949" s="126"/>
      <c r="AH949" s="126"/>
      <c r="AI949" s="126"/>
      <c r="AJ949" s="126"/>
      <c r="AK949" s="126"/>
      <c r="AL949" s="126"/>
      <c r="AM949" s="126"/>
      <c r="AN949" s="126"/>
    </row>
    <row r="950" spans="1:40" s="127" customFormat="1" ht="21" customHeight="1" x14ac:dyDescent="0.25">
      <c r="A950" s="51" t="str">
        <f t="shared" si="42"/>
        <v/>
      </c>
      <c r="B950" s="77"/>
      <c r="C950" s="133"/>
      <c r="D950" s="50"/>
      <c r="E950" s="141"/>
      <c r="F950" s="133"/>
      <c r="G950" s="133"/>
      <c r="H950" s="50"/>
      <c r="I950" s="51" t="str">
        <f t="shared" si="43"/>
        <v/>
      </c>
      <c r="J950" s="52" t="str">
        <f t="shared" si="44"/>
        <v/>
      </c>
      <c r="K950" s="142" t="str">
        <f>IF(OR($I950="",$I950="?",$D950&lt;&gt;"Advance",$B950=""),"",$I950&amp;"|"&amp;$J950&amp;"|"&amp;COUNTIFS($I$7:$I950,$I950,$J$7:$J950,$J950,$D$7:$D950,"Advance"))</f>
        <v/>
      </c>
      <c r="L950" s="143" t="str">
        <f>IF(OR($I950="",$I950="?",$B950=""),"",SUMPRODUCT((Weeks!$A$7:$A$59&lt;=$J950)*(Weeks!$X$5:$AI$5=$I950)*Weeks!$X$7:$AI$59)-SUMIFS($E$7:$E$1006,$I$7:$I$1006,$I950,$B$7:$B$1006,"&lt;="&amp;$B950))</f>
        <v/>
      </c>
      <c r="M950" s="132" t="str">
        <f>IF($B950&amp;$C950&amp;$D950&amp;$E950="","",IF($B950="","missing date",IF($C950="","missing worker",IF($I950="?","unknown worker - was the name changed on Workers?",IF($D950="","missing type",IF(N($E950)=0,"missing amount",IF(AND($E950&lt;0,$D950&lt;&gt;"Correction"),"negative amount - use a Correction to undo",IF(OR($B950&lt;Weeks!$A$7,$B950&gt;Weeks!$B$59),"date outside this workbook's year",IF(AND($D950="Advance",N($L950)&lt;0),"Warning: more than earned so far - worker now owes "&amp;TEXT(ROUND(-$L950,0),"#,##0"),"")))))))))</f>
        <v/>
      </c>
      <c r="N950" s="125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  <c r="AC950" s="126"/>
      <c r="AD950" s="126"/>
      <c r="AE950" s="126"/>
      <c r="AF950" s="126"/>
      <c r="AG950" s="126"/>
      <c r="AH950" s="126"/>
      <c r="AI950" s="126"/>
      <c r="AJ950" s="126"/>
      <c r="AK950" s="126"/>
      <c r="AL950" s="126"/>
      <c r="AM950" s="126"/>
      <c r="AN950" s="126"/>
    </row>
    <row r="951" spans="1:40" s="127" customFormat="1" ht="21" customHeight="1" x14ac:dyDescent="0.25">
      <c r="A951" s="51" t="str">
        <f t="shared" si="42"/>
        <v/>
      </c>
      <c r="B951" s="77"/>
      <c r="C951" s="133"/>
      <c r="D951" s="50"/>
      <c r="E951" s="141"/>
      <c r="F951" s="133"/>
      <c r="G951" s="133"/>
      <c r="H951" s="50"/>
      <c r="I951" s="51" t="str">
        <f t="shared" si="43"/>
        <v/>
      </c>
      <c r="J951" s="52" t="str">
        <f t="shared" si="44"/>
        <v/>
      </c>
      <c r="K951" s="142" t="str">
        <f>IF(OR($I951="",$I951="?",$D951&lt;&gt;"Advance",$B951=""),"",$I951&amp;"|"&amp;$J951&amp;"|"&amp;COUNTIFS($I$7:$I951,$I951,$J$7:$J951,$J951,$D$7:$D951,"Advance"))</f>
        <v/>
      </c>
      <c r="L951" s="143" t="str">
        <f>IF(OR($I951="",$I951="?",$B951=""),"",SUMPRODUCT((Weeks!$A$7:$A$59&lt;=$J951)*(Weeks!$X$5:$AI$5=$I951)*Weeks!$X$7:$AI$59)-SUMIFS($E$7:$E$1006,$I$7:$I$1006,$I951,$B$7:$B$1006,"&lt;="&amp;$B951))</f>
        <v/>
      </c>
      <c r="M951" s="132" t="str">
        <f>IF($B951&amp;$C951&amp;$D951&amp;$E951="","",IF($B951="","missing date",IF($C951="","missing worker",IF($I951="?","unknown worker - was the name changed on Workers?",IF($D951="","missing type",IF(N($E951)=0,"missing amount",IF(AND($E951&lt;0,$D951&lt;&gt;"Correction"),"negative amount - use a Correction to undo",IF(OR($B951&lt;Weeks!$A$7,$B951&gt;Weeks!$B$59),"date outside this workbook's year",IF(AND($D951="Advance",N($L951)&lt;0),"Warning: more than earned so far - worker now owes "&amp;TEXT(ROUND(-$L951,0),"#,##0"),"")))))))))</f>
        <v/>
      </c>
      <c r="N951" s="125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  <c r="AC951" s="126"/>
      <c r="AD951" s="126"/>
      <c r="AE951" s="126"/>
      <c r="AF951" s="126"/>
      <c r="AG951" s="126"/>
      <c r="AH951" s="126"/>
      <c r="AI951" s="126"/>
      <c r="AJ951" s="126"/>
      <c r="AK951" s="126"/>
      <c r="AL951" s="126"/>
      <c r="AM951" s="126"/>
      <c r="AN951" s="126"/>
    </row>
    <row r="952" spans="1:40" s="127" customFormat="1" ht="21" customHeight="1" x14ac:dyDescent="0.25">
      <c r="A952" s="51" t="str">
        <f t="shared" si="42"/>
        <v/>
      </c>
      <c r="B952" s="77"/>
      <c r="C952" s="133"/>
      <c r="D952" s="50"/>
      <c r="E952" s="141"/>
      <c r="F952" s="133"/>
      <c r="G952" s="133"/>
      <c r="H952" s="50"/>
      <c r="I952" s="51" t="str">
        <f t="shared" si="43"/>
        <v/>
      </c>
      <c r="J952" s="52" t="str">
        <f t="shared" si="44"/>
        <v/>
      </c>
      <c r="K952" s="142" t="str">
        <f>IF(OR($I952="",$I952="?",$D952&lt;&gt;"Advance",$B952=""),"",$I952&amp;"|"&amp;$J952&amp;"|"&amp;COUNTIFS($I$7:$I952,$I952,$J$7:$J952,$J952,$D$7:$D952,"Advance"))</f>
        <v/>
      </c>
      <c r="L952" s="143" t="str">
        <f>IF(OR($I952="",$I952="?",$B952=""),"",SUMPRODUCT((Weeks!$A$7:$A$59&lt;=$J952)*(Weeks!$X$5:$AI$5=$I952)*Weeks!$X$7:$AI$59)-SUMIFS($E$7:$E$1006,$I$7:$I$1006,$I952,$B$7:$B$1006,"&lt;="&amp;$B952))</f>
        <v/>
      </c>
      <c r="M952" s="132" t="str">
        <f>IF($B952&amp;$C952&amp;$D952&amp;$E952="","",IF($B952="","missing date",IF($C952="","missing worker",IF($I952="?","unknown worker - was the name changed on Workers?",IF($D952="","missing type",IF(N($E952)=0,"missing amount",IF(AND($E952&lt;0,$D952&lt;&gt;"Correction"),"negative amount - use a Correction to undo",IF(OR($B952&lt;Weeks!$A$7,$B952&gt;Weeks!$B$59),"date outside this workbook's year",IF(AND($D952="Advance",N($L952)&lt;0),"Warning: more than earned so far - worker now owes "&amp;TEXT(ROUND(-$L952,0),"#,##0"),"")))))))))</f>
        <v/>
      </c>
      <c r="N952" s="125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  <c r="AC952" s="126"/>
      <c r="AD952" s="126"/>
      <c r="AE952" s="126"/>
      <c r="AF952" s="126"/>
      <c r="AG952" s="126"/>
      <c r="AH952" s="126"/>
      <c r="AI952" s="126"/>
      <c r="AJ952" s="126"/>
      <c r="AK952" s="126"/>
      <c r="AL952" s="126"/>
      <c r="AM952" s="126"/>
      <c r="AN952" s="126"/>
    </row>
    <row r="953" spans="1:40" s="127" customFormat="1" ht="21" customHeight="1" x14ac:dyDescent="0.25">
      <c r="A953" s="51" t="str">
        <f t="shared" si="42"/>
        <v/>
      </c>
      <c r="B953" s="77"/>
      <c r="C953" s="133"/>
      <c r="D953" s="50"/>
      <c r="E953" s="141"/>
      <c r="F953" s="133"/>
      <c r="G953" s="133"/>
      <c r="H953" s="50"/>
      <c r="I953" s="51" t="str">
        <f t="shared" si="43"/>
        <v/>
      </c>
      <c r="J953" s="52" t="str">
        <f t="shared" si="44"/>
        <v/>
      </c>
      <c r="K953" s="142" t="str">
        <f>IF(OR($I953="",$I953="?",$D953&lt;&gt;"Advance",$B953=""),"",$I953&amp;"|"&amp;$J953&amp;"|"&amp;COUNTIFS($I$7:$I953,$I953,$J$7:$J953,$J953,$D$7:$D953,"Advance"))</f>
        <v/>
      </c>
      <c r="L953" s="143" t="str">
        <f>IF(OR($I953="",$I953="?",$B953=""),"",SUMPRODUCT((Weeks!$A$7:$A$59&lt;=$J953)*(Weeks!$X$5:$AI$5=$I953)*Weeks!$X$7:$AI$59)-SUMIFS($E$7:$E$1006,$I$7:$I$1006,$I953,$B$7:$B$1006,"&lt;="&amp;$B953))</f>
        <v/>
      </c>
      <c r="M953" s="132" t="str">
        <f>IF($B953&amp;$C953&amp;$D953&amp;$E953="","",IF($B953="","missing date",IF($C953="","missing worker",IF($I953="?","unknown worker - was the name changed on Workers?",IF($D953="","missing type",IF(N($E953)=0,"missing amount",IF(AND($E953&lt;0,$D953&lt;&gt;"Correction"),"negative amount - use a Correction to undo",IF(OR($B953&lt;Weeks!$A$7,$B953&gt;Weeks!$B$59),"date outside this workbook's year",IF(AND($D953="Advance",N($L953)&lt;0),"Warning: more than earned so far - worker now owes "&amp;TEXT(ROUND(-$L953,0),"#,##0"),"")))))))))</f>
        <v/>
      </c>
      <c r="N953" s="125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  <c r="AC953" s="126"/>
      <c r="AD953" s="126"/>
      <c r="AE953" s="126"/>
      <c r="AF953" s="126"/>
      <c r="AG953" s="126"/>
      <c r="AH953" s="126"/>
      <c r="AI953" s="126"/>
      <c r="AJ953" s="126"/>
      <c r="AK953" s="126"/>
      <c r="AL953" s="126"/>
      <c r="AM953" s="126"/>
      <c r="AN953" s="126"/>
    </row>
    <row r="954" spans="1:40" s="127" customFormat="1" ht="21" customHeight="1" x14ac:dyDescent="0.25">
      <c r="A954" s="51" t="str">
        <f t="shared" si="42"/>
        <v/>
      </c>
      <c r="B954" s="77"/>
      <c r="C954" s="133"/>
      <c r="D954" s="50"/>
      <c r="E954" s="141"/>
      <c r="F954" s="133"/>
      <c r="G954" s="133"/>
      <c r="H954" s="50"/>
      <c r="I954" s="51" t="str">
        <f t="shared" si="43"/>
        <v/>
      </c>
      <c r="J954" s="52" t="str">
        <f t="shared" si="44"/>
        <v/>
      </c>
      <c r="K954" s="142" t="str">
        <f>IF(OR($I954="",$I954="?",$D954&lt;&gt;"Advance",$B954=""),"",$I954&amp;"|"&amp;$J954&amp;"|"&amp;COUNTIFS($I$7:$I954,$I954,$J$7:$J954,$J954,$D$7:$D954,"Advance"))</f>
        <v/>
      </c>
      <c r="L954" s="143" t="str">
        <f>IF(OR($I954="",$I954="?",$B954=""),"",SUMPRODUCT((Weeks!$A$7:$A$59&lt;=$J954)*(Weeks!$X$5:$AI$5=$I954)*Weeks!$X$7:$AI$59)-SUMIFS($E$7:$E$1006,$I$7:$I$1006,$I954,$B$7:$B$1006,"&lt;="&amp;$B954))</f>
        <v/>
      </c>
      <c r="M954" s="132" t="str">
        <f>IF($B954&amp;$C954&amp;$D954&amp;$E954="","",IF($B954="","missing date",IF($C954="","missing worker",IF($I954="?","unknown worker - was the name changed on Workers?",IF($D954="","missing type",IF(N($E954)=0,"missing amount",IF(AND($E954&lt;0,$D954&lt;&gt;"Correction"),"negative amount - use a Correction to undo",IF(OR($B954&lt;Weeks!$A$7,$B954&gt;Weeks!$B$59),"date outside this workbook's year",IF(AND($D954="Advance",N($L954)&lt;0),"Warning: more than earned so far - worker now owes "&amp;TEXT(ROUND(-$L954,0),"#,##0"),"")))))))))</f>
        <v/>
      </c>
      <c r="N954" s="125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  <c r="AC954" s="126"/>
      <c r="AD954" s="126"/>
      <c r="AE954" s="126"/>
      <c r="AF954" s="126"/>
      <c r="AG954" s="126"/>
      <c r="AH954" s="126"/>
      <c r="AI954" s="126"/>
      <c r="AJ954" s="126"/>
      <c r="AK954" s="126"/>
      <c r="AL954" s="126"/>
      <c r="AM954" s="126"/>
      <c r="AN954" s="126"/>
    </row>
    <row r="955" spans="1:40" s="127" customFormat="1" ht="21" customHeight="1" x14ac:dyDescent="0.25">
      <c r="A955" s="51" t="str">
        <f t="shared" si="42"/>
        <v/>
      </c>
      <c r="B955" s="77"/>
      <c r="C955" s="133"/>
      <c r="D955" s="50"/>
      <c r="E955" s="141"/>
      <c r="F955" s="133"/>
      <c r="G955" s="133"/>
      <c r="H955" s="50"/>
      <c r="I955" s="51" t="str">
        <f t="shared" si="43"/>
        <v/>
      </c>
      <c r="J955" s="52" t="str">
        <f t="shared" si="44"/>
        <v/>
      </c>
      <c r="K955" s="142" t="str">
        <f>IF(OR($I955="",$I955="?",$D955&lt;&gt;"Advance",$B955=""),"",$I955&amp;"|"&amp;$J955&amp;"|"&amp;COUNTIFS($I$7:$I955,$I955,$J$7:$J955,$J955,$D$7:$D955,"Advance"))</f>
        <v/>
      </c>
      <c r="L955" s="143" t="str">
        <f>IF(OR($I955="",$I955="?",$B955=""),"",SUMPRODUCT((Weeks!$A$7:$A$59&lt;=$J955)*(Weeks!$X$5:$AI$5=$I955)*Weeks!$X$7:$AI$59)-SUMIFS($E$7:$E$1006,$I$7:$I$1006,$I955,$B$7:$B$1006,"&lt;="&amp;$B955))</f>
        <v/>
      </c>
      <c r="M955" s="132" t="str">
        <f>IF($B955&amp;$C955&amp;$D955&amp;$E955="","",IF($B955="","missing date",IF($C955="","missing worker",IF($I955="?","unknown worker - was the name changed on Workers?",IF($D955="","missing type",IF(N($E955)=0,"missing amount",IF(AND($E955&lt;0,$D955&lt;&gt;"Correction"),"negative amount - use a Correction to undo",IF(OR($B955&lt;Weeks!$A$7,$B955&gt;Weeks!$B$59),"date outside this workbook's year",IF(AND($D955="Advance",N($L955)&lt;0),"Warning: more than earned so far - worker now owes "&amp;TEXT(ROUND(-$L955,0),"#,##0"),"")))))))))</f>
        <v/>
      </c>
      <c r="N955" s="125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  <c r="AC955" s="126"/>
      <c r="AD955" s="126"/>
      <c r="AE955" s="126"/>
      <c r="AF955" s="126"/>
      <c r="AG955" s="126"/>
      <c r="AH955" s="126"/>
      <c r="AI955" s="126"/>
      <c r="AJ955" s="126"/>
      <c r="AK955" s="126"/>
      <c r="AL955" s="126"/>
      <c r="AM955" s="126"/>
      <c r="AN955" s="126"/>
    </row>
    <row r="956" spans="1:40" s="127" customFormat="1" ht="21" customHeight="1" x14ac:dyDescent="0.25">
      <c r="A956" s="51" t="str">
        <f t="shared" si="42"/>
        <v/>
      </c>
      <c r="B956" s="77"/>
      <c r="C956" s="133"/>
      <c r="D956" s="50"/>
      <c r="E956" s="141"/>
      <c r="F956" s="133"/>
      <c r="G956" s="133"/>
      <c r="H956" s="50"/>
      <c r="I956" s="51" t="str">
        <f t="shared" si="43"/>
        <v/>
      </c>
      <c r="J956" s="52" t="str">
        <f t="shared" si="44"/>
        <v/>
      </c>
      <c r="K956" s="142" t="str">
        <f>IF(OR($I956="",$I956="?",$D956&lt;&gt;"Advance",$B956=""),"",$I956&amp;"|"&amp;$J956&amp;"|"&amp;COUNTIFS($I$7:$I956,$I956,$J$7:$J956,$J956,$D$7:$D956,"Advance"))</f>
        <v/>
      </c>
      <c r="L956" s="143" t="str">
        <f>IF(OR($I956="",$I956="?",$B956=""),"",SUMPRODUCT((Weeks!$A$7:$A$59&lt;=$J956)*(Weeks!$X$5:$AI$5=$I956)*Weeks!$X$7:$AI$59)-SUMIFS($E$7:$E$1006,$I$7:$I$1006,$I956,$B$7:$B$1006,"&lt;="&amp;$B956))</f>
        <v/>
      </c>
      <c r="M956" s="132" t="str">
        <f>IF($B956&amp;$C956&amp;$D956&amp;$E956="","",IF($B956="","missing date",IF($C956="","missing worker",IF($I956="?","unknown worker - was the name changed on Workers?",IF($D956="","missing type",IF(N($E956)=0,"missing amount",IF(AND($E956&lt;0,$D956&lt;&gt;"Correction"),"negative amount - use a Correction to undo",IF(OR($B956&lt;Weeks!$A$7,$B956&gt;Weeks!$B$59),"date outside this workbook's year",IF(AND($D956="Advance",N($L956)&lt;0),"Warning: more than earned so far - worker now owes "&amp;TEXT(ROUND(-$L956,0),"#,##0"),"")))))))))</f>
        <v/>
      </c>
      <c r="N956" s="125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  <c r="AC956" s="126"/>
      <c r="AD956" s="126"/>
      <c r="AE956" s="126"/>
      <c r="AF956" s="126"/>
      <c r="AG956" s="126"/>
      <c r="AH956" s="126"/>
      <c r="AI956" s="126"/>
      <c r="AJ956" s="126"/>
      <c r="AK956" s="126"/>
      <c r="AL956" s="126"/>
      <c r="AM956" s="126"/>
      <c r="AN956" s="126"/>
    </row>
    <row r="957" spans="1:40" s="127" customFormat="1" ht="21" customHeight="1" x14ac:dyDescent="0.25">
      <c r="A957" s="51" t="str">
        <f t="shared" si="42"/>
        <v/>
      </c>
      <c r="B957" s="77"/>
      <c r="C957" s="133"/>
      <c r="D957" s="50"/>
      <c r="E957" s="141"/>
      <c r="F957" s="133"/>
      <c r="G957" s="133"/>
      <c r="H957" s="50"/>
      <c r="I957" s="51" t="str">
        <f t="shared" si="43"/>
        <v/>
      </c>
      <c r="J957" s="52" t="str">
        <f t="shared" si="44"/>
        <v/>
      </c>
      <c r="K957" s="142" t="str">
        <f>IF(OR($I957="",$I957="?",$D957&lt;&gt;"Advance",$B957=""),"",$I957&amp;"|"&amp;$J957&amp;"|"&amp;COUNTIFS($I$7:$I957,$I957,$J$7:$J957,$J957,$D$7:$D957,"Advance"))</f>
        <v/>
      </c>
      <c r="L957" s="143" t="str">
        <f>IF(OR($I957="",$I957="?",$B957=""),"",SUMPRODUCT((Weeks!$A$7:$A$59&lt;=$J957)*(Weeks!$X$5:$AI$5=$I957)*Weeks!$X$7:$AI$59)-SUMIFS($E$7:$E$1006,$I$7:$I$1006,$I957,$B$7:$B$1006,"&lt;="&amp;$B957))</f>
        <v/>
      </c>
      <c r="M957" s="132" t="str">
        <f>IF($B957&amp;$C957&amp;$D957&amp;$E957="","",IF($B957="","missing date",IF($C957="","missing worker",IF($I957="?","unknown worker - was the name changed on Workers?",IF($D957="","missing type",IF(N($E957)=0,"missing amount",IF(AND($E957&lt;0,$D957&lt;&gt;"Correction"),"negative amount - use a Correction to undo",IF(OR($B957&lt;Weeks!$A$7,$B957&gt;Weeks!$B$59),"date outside this workbook's year",IF(AND($D957="Advance",N($L957)&lt;0),"Warning: more than earned so far - worker now owes "&amp;TEXT(ROUND(-$L957,0),"#,##0"),"")))))))))</f>
        <v/>
      </c>
      <c r="N957" s="125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  <c r="AC957" s="126"/>
      <c r="AD957" s="126"/>
      <c r="AE957" s="126"/>
      <c r="AF957" s="126"/>
      <c r="AG957" s="126"/>
      <c r="AH957" s="126"/>
      <c r="AI957" s="126"/>
      <c r="AJ957" s="126"/>
      <c r="AK957" s="126"/>
      <c r="AL957" s="126"/>
      <c r="AM957" s="126"/>
      <c r="AN957" s="126"/>
    </row>
    <row r="958" spans="1:40" s="127" customFormat="1" ht="21" customHeight="1" x14ac:dyDescent="0.25">
      <c r="A958" s="51" t="str">
        <f t="shared" si="42"/>
        <v/>
      </c>
      <c r="B958" s="77"/>
      <c r="C958" s="133"/>
      <c r="D958" s="50"/>
      <c r="E958" s="141"/>
      <c r="F958" s="133"/>
      <c r="G958" s="133"/>
      <c r="H958" s="50"/>
      <c r="I958" s="51" t="str">
        <f t="shared" si="43"/>
        <v/>
      </c>
      <c r="J958" s="52" t="str">
        <f t="shared" si="44"/>
        <v/>
      </c>
      <c r="K958" s="142" t="str">
        <f>IF(OR($I958="",$I958="?",$D958&lt;&gt;"Advance",$B958=""),"",$I958&amp;"|"&amp;$J958&amp;"|"&amp;COUNTIFS($I$7:$I958,$I958,$J$7:$J958,$J958,$D$7:$D958,"Advance"))</f>
        <v/>
      </c>
      <c r="L958" s="143" t="str">
        <f>IF(OR($I958="",$I958="?",$B958=""),"",SUMPRODUCT((Weeks!$A$7:$A$59&lt;=$J958)*(Weeks!$X$5:$AI$5=$I958)*Weeks!$X$7:$AI$59)-SUMIFS($E$7:$E$1006,$I$7:$I$1006,$I958,$B$7:$B$1006,"&lt;="&amp;$B958))</f>
        <v/>
      </c>
      <c r="M958" s="132" t="str">
        <f>IF($B958&amp;$C958&amp;$D958&amp;$E958="","",IF($B958="","missing date",IF($C958="","missing worker",IF($I958="?","unknown worker - was the name changed on Workers?",IF($D958="","missing type",IF(N($E958)=0,"missing amount",IF(AND($E958&lt;0,$D958&lt;&gt;"Correction"),"negative amount - use a Correction to undo",IF(OR($B958&lt;Weeks!$A$7,$B958&gt;Weeks!$B$59),"date outside this workbook's year",IF(AND($D958="Advance",N($L958)&lt;0),"Warning: more than earned so far - worker now owes "&amp;TEXT(ROUND(-$L958,0),"#,##0"),"")))))))))</f>
        <v/>
      </c>
      <c r="N958" s="125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  <c r="AC958" s="126"/>
      <c r="AD958" s="126"/>
      <c r="AE958" s="126"/>
      <c r="AF958" s="126"/>
      <c r="AG958" s="126"/>
      <c r="AH958" s="126"/>
      <c r="AI958" s="126"/>
      <c r="AJ958" s="126"/>
      <c r="AK958" s="126"/>
      <c r="AL958" s="126"/>
      <c r="AM958" s="126"/>
      <c r="AN958" s="126"/>
    </row>
    <row r="959" spans="1:40" s="127" customFormat="1" ht="21" customHeight="1" x14ac:dyDescent="0.25">
      <c r="A959" s="51" t="str">
        <f t="shared" si="42"/>
        <v/>
      </c>
      <c r="B959" s="77"/>
      <c r="C959" s="133"/>
      <c r="D959" s="50"/>
      <c r="E959" s="141"/>
      <c r="F959" s="133"/>
      <c r="G959" s="133"/>
      <c r="H959" s="50"/>
      <c r="I959" s="51" t="str">
        <f t="shared" si="43"/>
        <v/>
      </c>
      <c r="J959" s="52" t="str">
        <f t="shared" si="44"/>
        <v/>
      </c>
      <c r="K959" s="142" t="str">
        <f>IF(OR($I959="",$I959="?",$D959&lt;&gt;"Advance",$B959=""),"",$I959&amp;"|"&amp;$J959&amp;"|"&amp;COUNTIFS($I$7:$I959,$I959,$J$7:$J959,$J959,$D$7:$D959,"Advance"))</f>
        <v/>
      </c>
      <c r="L959" s="143" t="str">
        <f>IF(OR($I959="",$I959="?",$B959=""),"",SUMPRODUCT((Weeks!$A$7:$A$59&lt;=$J959)*(Weeks!$X$5:$AI$5=$I959)*Weeks!$X$7:$AI$59)-SUMIFS($E$7:$E$1006,$I$7:$I$1006,$I959,$B$7:$B$1006,"&lt;="&amp;$B959))</f>
        <v/>
      </c>
      <c r="M959" s="132" t="str">
        <f>IF($B959&amp;$C959&amp;$D959&amp;$E959="","",IF($B959="","missing date",IF($C959="","missing worker",IF($I959="?","unknown worker - was the name changed on Workers?",IF($D959="","missing type",IF(N($E959)=0,"missing amount",IF(AND($E959&lt;0,$D959&lt;&gt;"Correction"),"negative amount - use a Correction to undo",IF(OR($B959&lt;Weeks!$A$7,$B959&gt;Weeks!$B$59),"date outside this workbook's year",IF(AND($D959="Advance",N($L959)&lt;0),"Warning: more than earned so far - worker now owes "&amp;TEXT(ROUND(-$L959,0),"#,##0"),"")))))))))</f>
        <v/>
      </c>
      <c r="N959" s="125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  <c r="AB959" s="126"/>
      <c r="AC959" s="126"/>
      <c r="AD959" s="126"/>
      <c r="AE959" s="126"/>
      <c r="AF959" s="126"/>
      <c r="AG959" s="126"/>
      <c r="AH959" s="126"/>
      <c r="AI959" s="126"/>
      <c r="AJ959" s="126"/>
      <c r="AK959" s="126"/>
      <c r="AL959" s="126"/>
      <c r="AM959" s="126"/>
      <c r="AN959" s="126"/>
    </row>
    <row r="960" spans="1:40" s="127" customFormat="1" ht="21" customHeight="1" x14ac:dyDescent="0.25">
      <c r="A960" s="51" t="str">
        <f t="shared" si="42"/>
        <v/>
      </c>
      <c r="B960" s="77"/>
      <c r="C960" s="133"/>
      <c r="D960" s="50"/>
      <c r="E960" s="141"/>
      <c r="F960" s="133"/>
      <c r="G960" s="133"/>
      <c r="H960" s="50"/>
      <c r="I960" s="51" t="str">
        <f t="shared" si="43"/>
        <v/>
      </c>
      <c r="J960" s="52" t="str">
        <f t="shared" si="44"/>
        <v/>
      </c>
      <c r="K960" s="142" t="str">
        <f>IF(OR($I960="",$I960="?",$D960&lt;&gt;"Advance",$B960=""),"",$I960&amp;"|"&amp;$J960&amp;"|"&amp;COUNTIFS($I$7:$I960,$I960,$J$7:$J960,$J960,$D$7:$D960,"Advance"))</f>
        <v/>
      </c>
      <c r="L960" s="143" t="str">
        <f>IF(OR($I960="",$I960="?",$B960=""),"",SUMPRODUCT((Weeks!$A$7:$A$59&lt;=$J960)*(Weeks!$X$5:$AI$5=$I960)*Weeks!$X$7:$AI$59)-SUMIFS($E$7:$E$1006,$I$7:$I$1006,$I960,$B$7:$B$1006,"&lt;="&amp;$B960))</f>
        <v/>
      </c>
      <c r="M960" s="132" t="str">
        <f>IF($B960&amp;$C960&amp;$D960&amp;$E960="","",IF($B960="","missing date",IF($C960="","missing worker",IF($I960="?","unknown worker - was the name changed on Workers?",IF($D960="","missing type",IF(N($E960)=0,"missing amount",IF(AND($E960&lt;0,$D960&lt;&gt;"Correction"),"negative amount - use a Correction to undo",IF(OR($B960&lt;Weeks!$A$7,$B960&gt;Weeks!$B$59),"date outside this workbook's year",IF(AND($D960="Advance",N($L960)&lt;0),"Warning: more than earned so far - worker now owes "&amp;TEXT(ROUND(-$L960,0),"#,##0"),"")))))))))</f>
        <v/>
      </c>
      <c r="N960" s="125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  <c r="AB960" s="126"/>
      <c r="AC960" s="126"/>
      <c r="AD960" s="126"/>
      <c r="AE960" s="126"/>
      <c r="AF960" s="126"/>
      <c r="AG960" s="126"/>
      <c r="AH960" s="126"/>
      <c r="AI960" s="126"/>
      <c r="AJ960" s="126"/>
      <c r="AK960" s="126"/>
      <c r="AL960" s="126"/>
      <c r="AM960" s="126"/>
      <c r="AN960" s="126"/>
    </row>
    <row r="961" spans="1:40" s="127" customFormat="1" ht="21" customHeight="1" x14ac:dyDescent="0.25">
      <c r="A961" s="51" t="str">
        <f t="shared" si="42"/>
        <v/>
      </c>
      <c r="B961" s="77"/>
      <c r="C961" s="133"/>
      <c r="D961" s="50"/>
      <c r="E961" s="141"/>
      <c r="F961" s="133"/>
      <c r="G961" s="133"/>
      <c r="H961" s="50"/>
      <c r="I961" s="51" t="str">
        <f t="shared" si="43"/>
        <v/>
      </c>
      <c r="J961" s="52" t="str">
        <f t="shared" si="44"/>
        <v/>
      </c>
      <c r="K961" s="142" t="str">
        <f>IF(OR($I961="",$I961="?",$D961&lt;&gt;"Advance",$B961=""),"",$I961&amp;"|"&amp;$J961&amp;"|"&amp;COUNTIFS($I$7:$I961,$I961,$J$7:$J961,$J961,$D$7:$D961,"Advance"))</f>
        <v/>
      </c>
      <c r="L961" s="143" t="str">
        <f>IF(OR($I961="",$I961="?",$B961=""),"",SUMPRODUCT((Weeks!$A$7:$A$59&lt;=$J961)*(Weeks!$X$5:$AI$5=$I961)*Weeks!$X$7:$AI$59)-SUMIFS($E$7:$E$1006,$I$7:$I$1006,$I961,$B$7:$B$1006,"&lt;="&amp;$B961))</f>
        <v/>
      </c>
      <c r="M961" s="132" t="str">
        <f>IF($B961&amp;$C961&amp;$D961&amp;$E961="","",IF($B961="","missing date",IF($C961="","missing worker",IF($I961="?","unknown worker - was the name changed on Workers?",IF($D961="","missing type",IF(N($E961)=0,"missing amount",IF(AND($E961&lt;0,$D961&lt;&gt;"Correction"),"negative amount - use a Correction to undo",IF(OR($B961&lt;Weeks!$A$7,$B961&gt;Weeks!$B$59),"date outside this workbook's year",IF(AND($D961="Advance",N($L961)&lt;0),"Warning: more than earned so far - worker now owes "&amp;TEXT(ROUND(-$L961,0),"#,##0"),"")))))))))</f>
        <v/>
      </c>
      <c r="N961" s="125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  <c r="AB961" s="126"/>
      <c r="AC961" s="126"/>
      <c r="AD961" s="126"/>
      <c r="AE961" s="126"/>
      <c r="AF961" s="126"/>
      <c r="AG961" s="126"/>
      <c r="AH961" s="126"/>
      <c r="AI961" s="126"/>
      <c r="AJ961" s="126"/>
      <c r="AK961" s="126"/>
      <c r="AL961" s="126"/>
      <c r="AM961" s="126"/>
      <c r="AN961" s="126"/>
    </row>
    <row r="962" spans="1:40" s="127" customFormat="1" ht="21" customHeight="1" x14ac:dyDescent="0.25">
      <c r="A962" s="51" t="str">
        <f t="shared" si="42"/>
        <v/>
      </c>
      <c r="B962" s="77"/>
      <c r="C962" s="133"/>
      <c r="D962" s="50"/>
      <c r="E962" s="141"/>
      <c r="F962" s="133"/>
      <c r="G962" s="133"/>
      <c r="H962" s="50"/>
      <c r="I962" s="51" t="str">
        <f t="shared" si="43"/>
        <v/>
      </c>
      <c r="J962" s="52" t="str">
        <f t="shared" si="44"/>
        <v/>
      </c>
      <c r="K962" s="142" t="str">
        <f>IF(OR($I962="",$I962="?",$D962&lt;&gt;"Advance",$B962=""),"",$I962&amp;"|"&amp;$J962&amp;"|"&amp;COUNTIFS($I$7:$I962,$I962,$J$7:$J962,$J962,$D$7:$D962,"Advance"))</f>
        <v/>
      </c>
      <c r="L962" s="143" t="str">
        <f>IF(OR($I962="",$I962="?",$B962=""),"",SUMPRODUCT((Weeks!$A$7:$A$59&lt;=$J962)*(Weeks!$X$5:$AI$5=$I962)*Weeks!$X$7:$AI$59)-SUMIFS($E$7:$E$1006,$I$7:$I$1006,$I962,$B$7:$B$1006,"&lt;="&amp;$B962))</f>
        <v/>
      </c>
      <c r="M962" s="132" t="str">
        <f>IF($B962&amp;$C962&amp;$D962&amp;$E962="","",IF($B962="","missing date",IF($C962="","missing worker",IF($I962="?","unknown worker - was the name changed on Workers?",IF($D962="","missing type",IF(N($E962)=0,"missing amount",IF(AND($E962&lt;0,$D962&lt;&gt;"Correction"),"negative amount - use a Correction to undo",IF(OR($B962&lt;Weeks!$A$7,$B962&gt;Weeks!$B$59),"date outside this workbook's year",IF(AND($D962="Advance",N($L962)&lt;0),"Warning: more than earned so far - worker now owes "&amp;TEXT(ROUND(-$L962,0),"#,##0"),"")))))))))</f>
        <v/>
      </c>
      <c r="N962" s="125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  <c r="AC962" s="126"/>
      <c r="AD962" s="126"/>
      <c r="AE962" s="126"/>
      <c r="AF962" s="126"/>
      <c r="AG962" s="126"/>
      <c r="AH962" s="126"/>
      <c r="AI962" s="126"/>
      <c r="AJ962" s="126"/>
      <c r="AK962" s="126"/>
      <c r="AL962" s="126"/>
      <c r="AM962" s="126"/>
      <c r="AN962" s="126"/>
    </row>
    <row r="963" spans="1:40" s="127" customFormat="1" ht="21" customHeight="1" x14ac:dyDescent="0.25">
      <c r="A963" s="51" t="str">
        <f t="shared" si="42"/>
        <v/>
      </c>
      <c r="B963" s="77"/>
      <c r="C963" s="133"/>
      <c r="D963" s="50"/>
      <c r="E963" s="141"/>
      <c r="F963" s="133"/>
      <c r="G963" s="133"/>
      <c r="H963" s="50"/>
      <c r="I963" s="51" t="str">
        <f t="shared" si="43"/>
        <v/>
      </c>
      <c r="J963" s="52" t="str">
        <f t="shared" si="44"/>
        <v/>
      </c>
      <c r="K963" s="142" t="str">
        <f>IF(OR($I963="",$I963="?",$D963&lt;&gt;"Advance",$B963=""),"",$I963&amp;"|"&amp;$J963&amp;"|"&amp;COUNTIFS($I$7:$I963,$I963,$J$7:$J963,$J963,$D$7:$D963,"Advance"))</f>
        <v/>
      </c>
      <c r="L963" s="143" t="str">
        <f>IF(OR($I963="",$I963="?",$B963=""),"",SUMPRODUCT((Weeks!$A$7:$A$59&lt;=$J963)*(Weeks!$X$5:$AI$5=$I963)*Weeks!$X$7:$AI$59)-SUMIFS($E$7:$E$1006,$I$7:$I$1006,$I963,$B$7:$B$1006,"&lt;="&amp;$B963))</f>
        <v/>
      </c>
      <c r="M963" s="132" t="str">
        <f>IF($B963&amp;$C963&amp;$D963&amp;$E963="","",IF($B963="","missing date",IF($C963="","missing worker",IF($I963="?","unknown worker - was the name changed on Workers?",IF($D963="","missing type",IF(N($E963)=0,"missing amount",IF(AND($E963&lt;0,$D963&lt;&gt;"Correction"),"negative amount - use a Correction to undo",IF(OR($B963&lt;Weeks!$A$7,$B963&gt;Weeks!$B$59),"date outside this workbook's year",IF(AND($D963="Advance",N($L963)&lt;0),"Warning: more than earned so far - worker now owes "&amp;TEXT(ROUND(-$L963,0),"#,##0"),"")))))))))</f>
        <v/>
      </c>
      <c r="N963" s="125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  <c r="AB963" s="126"/>
      <c r="AC963" s="126"/>
      <c r="AD963" s="126"/>
      <c r="AE963" s="126"/>
      <c r="AF963" s="126"/>
      <c r="AG963" s="126"/>
      <c r="AH963" s="126"/>
      <c r="AI963" s="126"/>
      <c r="AJ963" s="126"/>
      <c r="AK963" s="126"/>
      <c r="AL963" s="126"/>
      <c r="AM963" s="126"/>
      <c r="AN963" s="126"/>
    </row>
    <row r="964" spans="1:40" s="127" customFormat="1" ht="21" customHeight="1" x14ac:dyDescent="0.25">
      <c r="A964" s="51" t="str">
        <f t="shared" si="42"/>
        <v/>
      </c>
      <c r="B964" s="77"/>
      <c r="C964" s="133"/>
      <c r="D964" s="50"/>
      <c r="E964" s="141"/>
      <c r="F964" s="133"/>
      <c r="G964" s="133"/>
      <c r="H964" s="50"/>
      <c r="I964" s="51" t="str">
        <f t="shared" si="43"/>
        <v/>
      </c>
      <c r="J964" s="52" t="str">
        <f t="shared" si="44"/>
        <v/>
      </c>
      <c r="K964" s="142" t="str">
        <f>IF(OR($I964="",$I964="?",$D964&lt;&gt;"Advance",$B964=""),"",$I964&amp;"|"&amp;$J964&amp;"|"&amp;COUNTIFS($I$7:$I964,$I964,$J$7:$J964,$J964,$D$7:$D964,"Advance"))</f>
        <v/>
      </c>
      <c r="L964" s="143" t="str">
        <f>IF(OR($I964="",$I964="?",$B964=""),"",SUMPRODUCT((Weeks!$A$7:$A$59&lt;=$J964)*(Weeks!$X$5:$AI$5=$I964)*Weeks!$X$7:$AI$59)-SUMIFS($E$7:$E$1006,$I$7:$I$1006,$I964,$B$7:$B$1006,"&lt;="&amp;$B964))</f>
        <v/>
      </c>
      <c r="M964" s="132" t="str">
        <f>IF($B964&amp;$C964&amp;$D964&amp;$E964="","",IF($B964="","missing date",IF($C964="","missing worker",IF($I964="?","unknown worker - was the name changed on Workers?",IF($D964="","missing type",IF(N($E964)=0,"missing amount",IF(AND($E964&lt;0,$D964&lt;&gt;"Correction"),"negative amount - use a Correction to undo",IF(OR($B964&lt;Weeks!$A$7,$B964&gt;Weeks!$B$59),"date outside this workbook's year",IF(AND($D964="Advance",N($L964)&lt;0),"Warning: more than earned so far - worker now owes "&amp;TEXT(ROUND(-$L964,0),"#,##0"),"")))))))))</f>
        <v/>
      </c>
      <c r="N964" s="125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  <c r="AB964" s="126"/>
      <c r="AC964" s="126"/>
      <c r="AD964" s="126"/>
      <c r="AE964" s="126"/>
      <c r="AF964" s="126"/>
      <c r="AG964" s="126"/>
      <c r="AH964" s="126"/>
      <c r="AI964" s="126"/>
      <c r="AJ964" s="126"/>
      <c r="AK964" s="126"/>
      <c r="AL964" s="126"/>
      <c r="AM964" s="126"/>
      <c r="AN964" s="126"/>
    </row>
    <row r="965" spans="1:40" s="127" customFormat="1" ht="21" customHeight="1" x14ac:dyDescent="0.25">
      <c r="A965" s="51" t="str">
        <f t="shared" si="42"/>
        <v/>
      </c>
      <c r="B965" s="77"/>
      <c r="C965" s="133"/>
      <c r="D965" s="50"/>
      <c r="E965" s="141"/>
      <c r="F965" s="133"/>
      <c r="G965" s="133"/>
      <c r="H965" s="50"/>
      <c r="I965" s="51" t="str">
        <f t="shared" si="43"/>
        <v/>
      </c>
      <c r="J965" s="52" t="str">
        <f t="shared" si="44"/>
        <v/>
      </c>
      <c r="K965" s="142" t="str">
        <f>IF(OR($I965="",$I965="?",$D965&lt;&gt;"Advance",$B965=""),"",$I965&amp;"|"&amp;$J965&amp;"|"&amp;COUNTIFS($I$7:$I965,$I965,$J$7:$J965,$J965,$D$7:$D965,"Advance"))</f>
        <v/>
      </c>
      <c r="L965" s="143" t="str">
        <f>IF(OR($I965="",$I965="?",$B965=""),"",SUMPRODUCT((Weeks!$A$7:$A$59&lt;=$J965)*(Weeks!$X$5:$AI$5=$I965)*Weeks!$X$7:$AI$59)-SUMIFS($E$7:$E$1006,$I$7:$I$1006,$I965,$B$7:$B$1006,"&lt;="&amp;$B965))</f>
        <v/>
      </c>
      <c r="M965" s="132" t="str">
        <f>IF($B965&amp;$C965&amp;$D965&amp;$E965="","",IF($B965="","missing date",IF($C965="","missing worker",IF($I965="?","unknown worker - was the name changed on Workers?",IF($D965="","missing type",IF(N($E965)=0,"missing amount",IF(AND($E965&lt;0,$D965&lt;&gt;"Correction"),"negative amount - use a Correction to undo",IF(OR($B965&lt;Weeks!$A$7,$B965&gt;Weeks!$B$59),"date outside this workbook's year",IF(AND($D965="Advance",N($L965)&lt;0),"Warning: more than earned so far - worker now owes "&amp;TEXT(ROUND(-$L965,0),"#,##0"),"")))))))))</f>
        <v/>
      </c>
      <c r="N965" s="125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  <c r="AB965" s="126"/>
      <c r="AC965" s="126"/>
      <c r="AD965" s="126"/>
      <c r="AE965" s="126"/>
      <c r="AF965" s="126"/>
      <c r="AG965" s="126"/>
      <c r="AH965" s="126"/>
      <c r="AI965" s="126"/>
      <c r="AJ965" s="126"/>
      <c r="AK965" s="126"/>
      <c r="AL965" s="126"/>
      <c r="AM965" s="126"/>
      <c r="AN965" s="126"/>
    </row>
    <row r="966" spans="1:40" s="127" customFormat="1" ht="21" customHeight="1" x14ac:dyDescent="0.25">
      <c r="A966" s="51" t="str">
        <f t="shared" si="42"/>
        <v/>
      </c>
      <c r="B966" s="77"/>
      <c r="C966" s="133"/>
      <c r="D966" s="50"/>
      <c r="E966" s="141"/>
      <c r="F966" s="133"/>
      <c r="G966" s="133"/>
      <c r="H966" s="50"/>
      <c r="I966" s="51" t="str">
        <f t="shared" si="43"/>
        <v/>
      </c>
      <c r="J966" s="52" t="str">
        <f t="shared" si="44"/>
        <v/>
      </c>
      <c r="K966" s="142" t="str">
        <f>IF(OR($I966="",$I966="?",$D966&lt;&gt;"Advance",$B966=""),"",$I966&amp;"|"&amp;$J966&amp;"|"&amp;COUNTIFS($I$7:$I966,$I966,$J$7:$J966,$J966,$D$7:$D966,"Advance"))</f>
        <v/>
      </c>
      <c r="L966" s="143" t="str">
        <f>IF(OR($I966="",$I966="?",$B966=""),"",SUMPRODUCT((Weeks!$A$7:$A$59&lt;=$J966)*(Weeks!$X$5:$AI$5=$I966)*Weeks!$X$7:$AI$59)-SUMIFS($E$7:$E$1006,$I$7:$I$1006,$I966,$B$7:$B$1006,"&lt;="&amp;$B966))</f>
        <v/>
      </c>
      <c r="M966" s="132" t="str">
        <f>IF($B966&amp;$C966&amp;$D966&amp;$E966="","",IF($B966="","missing date",IF($C966="","missing worker",IF($I966="?","unknown worker - was the name changed on Workers?",IF($D966="","missing type",IF(N($E966)=0,"missing amount",IF(AND($E966&lt;0,$D966&lt;&gt;"Correction"),"negative amount - use a Correction to undo",IF(OR($B966&lt;Weeks!$A$7,$B966&gt;Weeks!$B$59),"date outside this workbook's year",IF(AND($D966="Advance",N($L966)&lt;0),"Warning: more than earned so far - worker now owes "&amp;TEXT(ROUND(-$L966,0),"#,##0"),"")))))))))</f>
        <v/>
      </c>
      <c r="N966" s="125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  <c r="AB966" s="126"/>
      <c r="AC966" s="126"/>
      <c r="AD966" s="126"/>
      <c r="AE966" s="126"/>
      <c r="AF966" s="126"/>
      <c r="AG966" s="126"/>
      <c r="AH966" s="126"/>
      <c r="AI966" s="126"/>
      <c r="AJ966" s="126"/>
      <c r="AK966" s="126"/>
      <c r="AL966" s="126"/>
      <c r="AM966" s="126"/>
      <c r="AN966" s="126"/>
    </row>
    <row r="967" spans="1:40" s="127" customFormat="1" ht="21" customHeight="1" x14ac:dyDescent="0.25">
      <c r="A967" s="51" t="str">
        <f t="shared" ref="A967:A1006" si="45">IF($B967="","",ROW()-6)</f>
        <v/>
      </c>
      <c r="B967" s="77"/>
      <c r="C967" s="133"/>
      <c r="D967" s="50"/>
      <c r="E967" s="141"/>
      <c r="F967" s="133"/>
      <c r="G967" s="133"/>
      <c r="H967" s="50"/>
      <c r="I967" s="51" t="str">
        <f t="shared" ref="I967:I1006" si="46">IF($C967="","",IFERROR(INDEX(WorkerIDs,MATCH($C967,WorkerNames,0)),"?"))</f>
        <v/>
      </c>
      <c r="J967" s="52" t="str">
        <f t="shared" ref="J967:J1006" si="47">IF($B967="","",$B967-WEEKDAY($B967,2)+1)</f>
        <v/>
      </c>
      <c r="K967" s="142" t="str">
        <f>IF(OR($I967="",$I967="?",$D967&lt;&gt;"Advance",$B967=""),"",$I967&amp;"|"&amp;$J967&amp;"|"&amp;COUNTIFS($I$7:$I967,$I967,$J$7:$J967,$J967,$D$7:$D967,"Advance"))</f>
        <v/>
      </c>
      <c r="L967" s="143" t="str">
        <f>IF(OR($I967="",$I967="?",$B967=""),"",SUMPRODUCT((Weeks!$A$7:$A$59&lt;=$J967)*(Weeks!$X$5:$AI$5=$I967)*Weeks!$X$7:$AI$59)-SUMIFS($E$7:$E$1006,$I$7:$I$1006,$I967,$B$7:$B$1006,"&lt;="&amp;$B967))</f>
        <v/>
      </c>
      <c r="M967" s="132" t="str">
        <f>IF($B967&amp;$C967&amp;$D967&amp;$E967="","",IF($B967="","missing date",IF($C967="","missing worker",IF($I967="?","unknown worker - was the name changed on Workers?",IF($D967="","missing type",IF(N($E967)=0,"missing amount",IF(AND($E967&lt;0,$D967&lt;&gt;"Correction"),"negative amount - use a Correction to undo",IF(OR($B967&lt;Weeks!$A$7,$B967&gt;Weeks!$B$59),"date outside this workbook's year",IF(AND($D967="Advance",N($L967)&lt;0),"Warning: more than earned so far - worker now owes "&amp;TEXT(ROUND(-$L967,0),"#,##0"),"")))))))))</f>
        <v/>
      </c>
      <c r="N967" s="125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  <c r="AB967" s="126"/>
      <c r="AC967" s="126"/>
      <c r="AD967" s="126"/>
      <c r="AE967" s="126"/>
      <c r="AF967" s="126"/>
      <c r="AG967" s="126"/>
      <c r="AH967" s="126"/>
      <c r="AI967" s="126"/>
      <c r="AJ967" s="126"/>
      <c r="AK967" s="126"/>
      <c r="AL967" s="126"/>
      <c r="AM967" s="126"/>
      <c r="AN967" s="126"/>
    </row>
    <row r="968" spans="1:40" s="127" customFormat="1" ht="21" customHeight="1" x14ac:dyDescent="0.25">
      <c r="A968" s="51" t="str">
        <f t="shared" si="45"/>
        <v/>
      </c>
      <c r="B968" s="77"/>
      <c r="C968" s="133"/>
      <c r="D968" s="50"/>
      <c r="E968" s="141"/>
      <c r="F968" s="133"/>
      <c r="G968" s="133"/>
      <c r="H968" s="50"/>
      <c r="I968" s="51" t="str">
        <f t="shared" si="46"/>
        <v/>
      </c>
      <c r="J968" s="52" t="str">
        <f t="shared" si="47"/>
        <v/>
      </c>
      <c r="K968" s="142" t="str">
        <f>IF(OR($I968="",$I968="?",$D968&lt;&gt;"Advance",$B968=""),"",$I968&amp;"|"&amp;$J968&amp;"|"&amp;COUNTIFS($I$7:$I968,$I968,$J$7:$J968,$J968,$D$7:$D968,"Advance"))</f>
        <v/>
      </c>
      <c r="L968" s="143" t="str">
        <f>IF(OR($I968="",$I968="?",$B968=""),"",SUMPRODUCT((Weeks!$A$7:$A$59&lt;=$J968)*(Weeks!$X$5:$AI$5=$I968)*Weeks!$X$7:$AI$59)-SUMIFS($E$7:$E$1006,$I$7:$I$1006,$I968,$B$7:$B$1006,"&lt;="&amp;$B968))</f>
        <v/>
      </c>
      <c r="M968" s="132" t="str">
        <f>IF($B968&amp;$C968&amp;$D968&amp;$E968="","",IF($B968="","missing date",IF($C968="","missing worker",IF($I968="?","unknown worker - was the name changed on Workers?",IF($D968="","missing type",IF(N($E968)=0,"missing amount",IF(AND($E968&lt;0,$D968&lt;&gt;"Correction"),"negative amount - use a Correction to undo",IF(OR($B968&lt;Weeks!$A$7,$B968&gt;Weeks!$B$59),"date outside this workbook's year",IF(AND($D968="Advance",N($L968)&lt;0),"Warning: more than earned so far - worker now owes "&amp;TEXT(ROUND(-$L968,0),"#,##0"),"")))))))))</f>
        <v/>
      </c>
      <c r="N968" s="125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  <c r="AB968" s="126"/>
      <c r="AC968" s="126"/>
      <c r="AD968" s="126"/>
      <c r="AE968" s="126"/>
      <c r="AF968" s="126"/>
      <c r="AG968" s="126"/>
      <c r="AH968" s="126"/>
      <c r="AI968" s="126"/>
      <c r="AJ968" s="126"/>
      <c r="AK968" s="126"/>
      <c r="AL968" s="126"/>
      <c r="AM968" s="126"/>
      <c r="AN968" s="126"/>
    </row>
    <row r="969" spans="1:40" s="127" customFormat="1" ht="21" customHeight="1" x14ac:dyDescent="0.25">
      <c r="A969" s="51" t="str">
        <f t="shared" si="45"/>
        <v/>
      </c>
      <c r="B969" s="77"/>
      <c r="C969" s="133"/>
      <c r="D969" s="50"/>
      <c r="E969" s="141"/>
      <c r="F969" s="133"/>
      <c r="G969" s="133"/>
      <c r="H969" s="50"/>
      <c r="I969" s="51" t="str">
        <f t="shared" si="46"/>
        <v/>
      </c>
      <c r="J969" s="52" t="str">
        <f t="shared" si="47"/>
        <v/>
      </c>
      <c r="K969" s="142" t="str">
        <f>IF(OR($I969="",$I969="?",$D969&lt;&gt;"Advance",$B969=""),"",$I969&amp;"|"&amp;$J969&amp;"|"&amp;COUNTIFS($I$7:$I969,$I969,$J$7:$J969,$J969,$D$7:$D969,"Advance"))</f>
        <v/>
      </c>
      <c r="L969" s="143" t="str">
        <f>IF(OR($I969="",$I969="?",$B969=""),"",SUMPRODUCT((Weeks!$A$7:$A$59&lt;=$J969)*(Weeks!$X$5:$AI$5=$I969)*Weeks!$X$7:$AI$59)-SUMIFS($E$7:$E$1006,$I$7:$I$1006,$I969,$B$7:$B$1006,"&lt;="&amp;$B969))</f>
        <v/>
      </c>
      <c r="M969" s="132" t="str">
        <f>IF($B969&amp;$C969&amp;$D969&amp;$E969="","",IF($B969="","missing date",IF($C969="","missing worker",IF($I969="?","unknown worker - was the name changed on Workers?",IF($D969="","missing type",IF(N($E969)=0,"missing amount",IF(AND($E969&lt;0,$D969&lt;&gt;"Correction"),"negative amount - use a Correction to undo",IF(OR($B969&lt;Weeks!$A$7,$B969&gt;Weeks!$B$59),"date outside this workbook's year",IF(AND($D969="Advance",N($L969)&lt;0),"Warning: more than earned so far - worker now owes "&amp;TEXT(ROUND(-$L969,0),"#,##0"),"")))))))))</f>
        <v/>
      </c>
      <c r="N969" s="125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  <c r="AB969" s="126"/>
      <c r="AC969" s="126"/>
      <c r="AD969" s="126"/>
      <c r="AE969" s="126"/>
      <c r="AF969" s="126"/>
      <c r="AG969" s="126"/>
      <c r="AH969" s="126"/>
      <c r="AI969" s="126"/>
      <c r="AJ969" s="126"/>
      <c r="AK969" s="126"/>
      <c r="AL969" s="126"/>
      <c r="AM969" s="126"/>
      <c r="AN969" s="126"/>
    </row>
    <row r="970" spans="1:40" s="127" customFormat="1" ht="21" customHeight="1" x14ac:dyDescent="0.25">
      <c r="A970" s="51" t="str">
        <f t="shared" si="45"/>
        <v/>
      </c>
      <c r="B970" s="77"/>
      <c r="C970" s="133"/>
      <c r="D970" s="50"/>
      <c r="E970" s="141"/>
      <c r="F970" s="133"/>
      <c r="G970" s="133"/>
      <c r="H970" s="50"/>
      <c r="I970" s="51" t="str">
        <f t="shared" si="46"/>
        <v/>
      </c>
      <c r="J970" s="52" t="str">
        <f t="shared" si="47"/>
        <v/>
      </c>
      <c r="K970" s="142" t="str">
        <f>IF(OR($I970="",$I970="?",$D970&lt;&gt;"Advance",$B970=""),"",$I970&amp;"|"&amp;$J970&amp;"|"&amp;COUNTIFS($I$7:$I970,$I970,$J$7:$J970,$J970,$D$7:$D970,"Advance"))</f>
        <v/>
      </c>
      <c r="L970" s="143" t="str">
        <f>IF(OR($I970="",$I970="?",$B970=""),"",SUMPRODUCT((Weeks!$A$7:$A$59&lt;=$J970)*(Weeks!$X$5:$AI$5=$I970)*Weeks!$X$7:$AI$59)-SUMIFS($E$7:$E$1006,$I$7:$I$1006,$I970,$B$7:$B$1006,"&lt;="&amp;$B970))</f>
        <v/>
      </c>
      <c r="M970" s="132" t="str">
        <f>IF($B970&amp;$C970&amp;$D970&amp;$E970="","",IF($B970="","missing date",IF($C970="","missing worker",IF($I970="?","unknown worker - was the name changed on Workers?",IF($D970="","missing type",IF(N($E970)=0,"missing amount",IF(AND($E970&lt;0,$D970&lt;&gt;"Correction"),"negative amount - use a Correction to undo",IF(OR($B970&lt;Weeks!$A$7,$B970&gt;Weeks!$B$59),"date outside this workbook's year",IF(AND($D970="Advance",N($L970)&lt;0),"Warning: more than earned so far - worker now owes "&amp;TEXT(ROUND(-$L970,0),"#,##0"),"")))))))))</f>
        <v/>
      </c>
      <c r="N970" s="125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  <c r="AB970" s="126"/>
      <c r="AC970" s="126"/>
      <c r="AD970" s="126"/>
      <c r="AE970" s="126"/>
      <c r="AF970" s="126"/>
      <c r="AG970" s="126"/>
      <c r="AH970" s="126"/>
      <c r="AI970" s="126"/>
      <c r="AJ970" s="126"/>
      <c r="AK970" s="126"/>
      <c r="AL970" s="126"/>
      <c r="AM970" s="126"/>
      <c r="AN970" s="126"/>
    </row>
    <row r="971" spans="1:40" s="127" customFormat="1" ht="21" customHeight="1" x14ac:dyDescent="0.25">
      <c r="A971" s="51" t="str">
        <f t="shared" si="45"/>
        <v/>
      </c>
      <c r="B971" s="77"/>
      <c r="C971" s="133"/>
      <c r="D971" s="50"/>
      <c r="E971" s="141"/>
      <c r="F971" s="133"/>
      <c r="G971" s="133"/>
      <c r="H971" s="50"/>
      <c r="I971" s="51" t="str">
        <f t="shared" si="46"/>
        <v/>
      </c>
      <c r="J971" s="52" t="str">
        <f t="shared" si="47"/>
        <v/>
      </c>
      <c r="K971" s="142" t="str">
        <f>IF(OR($I971="",$I971="?",$D971&lt;&gt;"Advance",$B971=""),"",$I971&amp;"|"&amp;$J971&amp;"|"&amp;COUNTIFS($I$7:$I971,$I971,$J$7:$J971,$J971,$D$7:$D971,"Advance"))</f>
        <v/>
      </c>
      <c r="L971" s="143" t="str">
        <f>IF(OR($I971="",$I971="?",$B971=""),"",SUMPRODUCT((Weeks!$A$7:$A$59&lt;=$J971)*(Weeks!$X$5:$AI$5=$I971)*Weeks!$X$7:$AI$59)-SUMIFS($E$7:$E$1006,$I$7:$I$1006,$I971,$B$7:$B$1006,"&lt;="&amp;$B971))</f>
        <v/>
      </c>
      <c r="M971" s="132" t="str">
        <f>IF($B971&amp;$C971&amp;$D971&amp;$E971="","",IF($B971="","missing date",IF($C971="","missing worker",IF($I971="?","unknown worker - was the name changed on Workers?",IF($D971="","missing type",IF(N($E971)=0,"missing amount",IF(AND($E971&lt;0,$D971&lt;&gt;"Correction"),"negative amount - use a Correction to undo",IF(OR($B971&lt;Weeks!$A$7,$B971&gt;Weeks!$B$59),"date outside this workbook's year",IF(AND($D971="Advance",N($L971)&lt;0),"Warning: more than earned so far - worker now owes "&amp;TEXT(ROUND(-$L971,0),"#,##0"),"")))))))))</f>
        <v/>
      </c>
      <c r="N971" s="125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  <c r="AB971" s="126"/>
      <c r="AC971" s="126"/>
      <c r="AD971" s="126"/>
      <c r="AE971" s="126"/>
      <c r="AF971" s="126"/>
      <c r="AG971" s="126"/>
      <c r="AH971" s="126"/>
      <c r="AI971" s="126"/>
      <c r="AJ971" s="126"/>
      <c r="AK971" s="126"/>
      <c r="AL971" s="126"/>
      <c r="AM971" s="126"/>
      <c r="AN971" s="126"/>
    </row>
    <row r="972" spans="1:40" s="127" customFormat="1" ht="21" customHeight="1" x14ac:dyDescent="0.25">
      <c r="A972" s="51" t="str">
        <f t="shared" si="45"/>
        <v/>
      </c>
      <c r="B972" s="77"/>
      <c r="C972" s="133"/>
      <c r="D972" s="50"/>
      <c r="E972" s="141"/>
      <c r="F972" s="133"/>
      <c r="G972" s="133"/>
      <c r="H972" s="50"/>
      <c r="I972" s="51" t="str">
        <f t="shared" si="46"/>
        <v/>
      </c>
      <c r="J972" s="52" t="str">
        <f t="shared" si="47"/>
        <v/>
      </c>
      <c r="K972" s="142" t="str">
        <f>IF(OR($I972="",$I972="?",$D972&lt;&gt;"Advance",$B972=""),"",$I972&amp;"|"&amp;$J972&amp;"|"&amp;COUNTIFS($I$7:$I972,$I972,$J$7:$J972,$J972,$D$7:$D972,"Advance"))</f>
        <v/>
      </c>
      <c r="L972" s="143" t="str">
        <f>IF(OR($I972="",$I972="?",$B972=""),"",SUMPRODUCT((Weeks!$A$7:$A$59&lt;=$J972)*(Weeks!$X$5:$AI$5=$I972)*Weeks!$X$7:$AI$59)-SUMIFS($E$7:$E$1006,$I$7:$I$1006,$I972,$B$7:$B$1006,"&lt;="&amp;$B972))</f>
        <v/>
      </c>
      <c r="M972" s="132" t="str">
        <f>IF($B972&amp;$C972&amp;$D972&amp;$E972="","",IF($B972="","missing date",IF($C972="","missing worker",IF($I972="?","unknown worker - was the name changed on Workers?",IF($D972="","missing type",IF(N($E972)=0,"missing amount",IF(AND($E972&lt;0,$D972&lt;&gt;"Correction"),"negative amount - use a Correction to undo",IF(OR($B972&lt;Weeks!$A$7,$B972&gt;Weeks!$B$59),"date outside this workbook's year",IF(AND($D972="Advance",N($L972)&lt;0),"Warning: more than earned so far - worker now owes "&amp;TEXT(ROUND(-$L972,0),"#,##0"),"")))))))))</f>
        <v/>
      </c>
      <c r="N972" s="125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  <c r="AB972" s="126"/>
      <c r="AC972" s="126"/>
      <c r="AD972" s="126"/>
      <c r="AE972" s="126"/>
      <c r="AF972" s="126"/>
      <c r="AG972" s="126"/>
      <c r="AH972" s="126"/>
      <c r="AI972" s="126"/>
      <c r="AJ972" s="126"/>
      <c r="AK972" s="126"/>
      <c r="AL972" s="126"/>
      <c r="AM972" s="126"/>
      <c r="AN972" s="126"/>
    </row>
    <row r="973" spans="1:40" s="127" customFormat="1" ht="21" customHeight="1" x14ac:dyDescent="0.25">
      <c r="A973" s="51" t="str">
        <f t="shared" si="45"/>
        <v/>
      </c>
      <c r="B973" s="77"/>
      <c r="C973" s="133"/>
      <c r="D973" s="50"/>
      <c r="E973" s="141"/>
      <c r="F973" s="133"/>
      <c r="G973" s="133"/>
      <c r="H973" s="50"/>
      <c r="I973" s="51" t="str">
        <f t="shared" si="46"/>
        <v/>
      </c>
      <c r="J973" s="52" t="str">
        <f t="shared" si="47"/>
        <v/>
      </c>
      <c r="K973" s="142" t="str">
        <f>IF(OR($I973="",$I973="?",$D973&lt;&gt;"Advance",$B973=""),"",$I973&amp;"|"&amp;$J973&amp;"|"&amp;COUNTIFS($I$7:$I973,$I973,$J$7:$J973,$J973,$D$7:$D973,"Advance"))</f>
        <v/>
      </c>
      <c r="L973" s="143" t="str">
        <f>IF(OR($I973="",$I973="?",$B973=""),"",SUMPRODUCT((Weeks!$A$7:$A$59&lt;=$J973)*(Weeks!$X$5:$AI$5=$I973)*Weeks!$X$7:$AI$59)-SUMIFS($E$7:$E$1006,$I$7:$I$1006,$I973,$B$7:$B$1006,"&lt;="&amp;$B973))</f>
        <v/>
      </c>
      <c r="M973" s="132" t="str">
        <f>IF($B973&amp;$C973&amp;$D973&amp;$E973="","",IF($B973="","missing date",IF($C973="","missing worker",IF($I973="?","unknown worker - was the name changed on Workers?",IF($D973="","missing type",IF(N($E973)=0,"missing amount",IF(AND($E973&lt;0,$D973&lt;&gt;"Correction"),"negative amount - use a Correction to undo",IF(OR($B973&lt;Weeks!$A$7,$B973&gt;Weeks!$B$59),"date outside this workbook's year",IF(AND($D973="Advance",N($L973)&lt;0),"Warning: more than earned so far - worker now owes "&amp;TEXT(ROUND(-$L973,0),"#,##0"),"")))))))))</f>
        <v/>
      </c>
      <c r="N973" s="125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  <c r="AB973" s="126"/>
      <c r="AC973" s="126"/>
      <c r="AD973" s="126"/>
      <c r="AE973" s="126"/>
      <c r="AF973" s="126"/>
      <c r="AG973" s="126"/>
      <c r="AH973" s="126"/>
      <c r="AI973" s="126"/>
      <c r="AJ973" s="126"/>
      <c r="AK973" s="126"/>
      <c r="AL973" s="126"/>
      <c r="AM973" s="126"/>
      <c r="AN973" s="126"/>
    </row>
    <row r="974" spans="1:40" s="127" customFormat="1" ht="21" customHeight="1" x14ac:dyDescent="0.25">
      <c r="A974" s="51" t="str">
        <f t="shared" si="45"/>
        <v/>
      </c>
      <c r="B974" s="77"/>
      <c r="C974" s="133"/>
      <c r="D974" s="50"/>
      <c r="E974" s="141"/>
      <c r="F974" s="133"/>
      <c r="G974" s="133"/>
      <c r="H974" s="50"/>
      <c r="I974" s="51" t="str">
        <f t="shared" si="46"/>
        <v/>
      </c>
      <c r="J974" s="52" t="str">
        <f t="shared" si="47"/>
        <v/>
      </c>
      <c r="K974" s="142" t="str">
        <f>IF(OR($I974="",$I974="?",$D974&lt;&gt;"Advance",$B974=""),"",$I974&amp;"|"&amp;$J974&amp;"|"&amp;COUNTIFS($I$7:$I974,$I974,$J$7:$J974,$J974,$D$7:$D974,"Advance"))</f>
        <v/>
      </c>
      <c r="L974" s="143" t="str">
        <f>IF(OR($I974="",$I974="?",$B974=""),"",SUMPRODUCT((Weeks!$A$7:$A$59&lt;=$J974)*(Weeks!$X$5:$AI$5=$I974)*Weeks!$X$7:$AI$59)-SUMIFS($E$7:$E$1006,$I$7:$I$1006,$I974,$B$7:$B$1006,"&lt;="&amp;$B974))</f>
        <v/>
      </c>
      <c r="M974" s="132" t="str">
        <f>IF($B974&amp;$C974&amp;$D974&amp;$E974="","",IF($B974="","missing date",IF($C974="","missing worker",IF($I974="?","unknown worker - was the name changed on Workers?",IF($D974="","missing type",IF(N($E974)=0,"missing amount",IF(AND($E974&lt;0,$D974&lt;&gt;"Correction"),"negative amount - use a Correction to undo",IF(OR($B974&lt;Weeks!$A$7,$B974&gt;Weeks!$B$59),"date outside this workbook's year",IF(AND($D974="Advance",N($L974)&lt;0),"Warning: more than earned so far - worker now owes "&amp;TEXT(ROUND(-$L974,0),"#,##0"),"")))))))))</f>
        <v/>
      </c>
      <c r="N974" s="125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  <c r="AB974" s="126"/>
      <c r="AC974" s="126"/>
      <c r="AD974" s="126"/>
      <c r="AE974" s="126"/>
      <c r="AF974" s="126"/>
      <c r="AG974" s="126"/>
      <c r="AH974" s="126"/>
      <c r="AI974" s="126"/>
      <c r="AJ974" s="126"/>
      <c r="AK974" s="126"/>
      <c r="AL974" s="126"/>
      <c r="AM974" s="126"/>
      <c r="AN974" s="126"/>
    </row>
    <row r="975" spans="1:40" s="127" customFormat="1" ht="21" customHeight="1" x14ac:dyDescent="0.25">
      <c r="A975" s="51" t="str">
        <f t="shared" si="45"/>
        <v/>
      </c>
      <c r="B975" s="77"/>
      <c r="C975" s="133"/>
      <c r="D975" s="50"/>
      <c r="E975" s="141"/>
      <c r="F975" s="133"/>
      <c r="G975" s="133"/>
      <c r="H975" s="50"/>
      <c r="I975" s="51" t="str">
        <f t="shared" si="46"/>
        <v/>
      </c>
      <c r="J975" s="52" t="str">
        <f t="shared" si="47"/>
        <v/>
      </c>
      <c r="K975" s="142" t="str">
        <f>IF(OR($I975="",$I975="?",$D975&lt;&gt;"Advance",$B975=""),"",$I975&amp;"|"&amp;$J975&amp;"|"&amp;COUNTIFS($I$7:$I975,$I975,$J$7:$J975,$J975,$D$7:$D975,"Advance"))</f>
        <v/>
      </c>
      <c r="L975" s="143" t="str">
        <f>IF(OR($I975="",$I975="?",$B975=""),"",SUMPRODUCT((Weeks!$A$7:$A$59&lt;=$J975)*(Weeks!$X$5:$AI$5=$I975)*Weeks!$X$7:$AI$59)-SUMIFS($E$7:$E$1006,$I$7:$I$1006,$I975,$B$7:$B$1006,"&lt;="&amp;$B975))</f>
        <v/>
      </c>
      <c r="M975" s="132" t="str">
        <f>IF($B975&amp;$C975&amp;$D975&amp;$E975="","",IF($B975="","missing date",IF($C975="","missing worker",IF($I975="?","unknown worker - was the name changed on Workers?",IF($D975="","missing type",IF(N($E975)=0,"missing amount",IF(AND($E975&lt;0,$D975&lt;&gt;"Correction"),"negative amount - use a Correction to undo",IF(OR($B975&lt;Weeks!$A$7,$B975&gt;Weeks!$B$59),"date outside this workbook's year",IF(AND($D975="Advance",N($L975)&lt;0),"Warning: more than earned so far - worker now owes "&amp;TEXT(ROUND(-$L975,0),"#,##0"),"")))))))))</f>
        <v/>
      </c>
      <c r="N975" s="125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  <c r="AB975" s="126"/>
      <c r="AC975" s="126"/>
      <c r="AD975" s="126"/>
      <c r="AE975" s="126"/>
      <c r="AF975" s="126"/>
      <c r="AG975" s="126"/>
      <c r="AH975" s="126"/>
      <c r="AI975" s="126"/>
      <c r="AJ975" s="126"/>
      <c r="AK975" s="126"/>
      <c r="AL975" s="126"/>
      <c r="AM975" s="126"/>
      <c r="AN975" s="126"/>
    </row>
    <row r="976" spans="1:40" s="127" customFormat="1" ht="21" customHeight="1" x14ac:dyDescent="0.25">
      <c r="A976" s="51" t="str">
        <f t="shared" si="45"/>
        <v/>
      </c>
      <c r="B976" s="77"/>
      <c r="C976" s="133"/>
      <c r="D976" s="50"/>
      <c r="E976" s="141"/>
      <c r="F976" s="133"/>
      <c r="G976" s="133"/>
      <c r="H976" s="50"/>
      <c r="I976" s="51" t="str">
        <f t="shared" si="46"/>
        <v/>
      </c>
      <c r="J976" s="52" t="str">
        <f t="shared" si="47"/>
        <v/>
      </c>
      <c r="K976" s="142" t="str">
        <f>IF(OR($I976="",$I976="?",$D976&lt;&gt;"Advance",$B976=""),"",$I976&amp;"|"&amp;$J976&amp;"|"&amp;COUNTIFS($I$7:$I976,$I976,$J$7:$J976,$J976,$D$7:$D976,"Advance"))</f>
        <v/>
      </c>
      <c r="L976" s="143" t="str">
        <f>IF(OR($I976="",$I976="?",$B976=""),"",SUMPRODUCT((Weeks!$A$7:$A$59&lt;=$J976)*(Weeks!$X$5:$AI$5=$I976)*Weeks!$X$7:$AI$59)-SUMIFS($E$7:$E$1006,$I$7:$I$1006,$I976,$B$7:$B$1006,"&lt;="&amp;$B976))</f>
        <v/>
      </c>
      <c r="M976" s="132" t="str">
        <f>IF($B976&amp;$C976&amp;$D976&amp;$E976="","",IF($B976="","missing date",IF($C976="","missing worker",IF($I976="?","unknown worker - was the name changed on Workers?",IF($D976="","missing type",IF(N($E976)=0,"missing amount",IF(AND($E976&lt;0,$D976&lt;&gt;"Correction"),"negative amount - use a Correction to undo",IF(OR($B976&lt;Weeks!$A$7,$B976&gt;Weeks!$B$59),"date outside this workbook's year",IF(AND($D976="Advance",N($L976)&lt;0),"Warning: more than earned so far - worker now owes "&amp;TEXT(ROUND(-$L976,0),"#,##0"),"")))))))))</f>
        <v/>
      </c>
      <c r="N976" s="125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  <c r="AB976" s="126"/>
      <c r="AC976" s="126"/>
      <c r="AD976" s="126"/>
      <c r="AE976" s="126"/>
      <c r="AF976" s="126"/>
      <c r="AG976" s="126"/>
      <c r="AH976" s="126"/>
      <c r="AI976" s="126"/>
      <c r="AJ976" s="126"/>
      <c r="AK976" s="126"/>
      <c r="AL976" s="126"/>
      <c r="AM976" s="126"/>
      <c r="AN976" s="126"/>
    </row>
    <row r="977" spans="1:40" s="127" customFormat="1" ht="21" customHeight="1" x14ac:dyDescent="0.25">
      <c r="A977" s="51" t="str">
        <f t="shared" si="45"/>
        <v/>
      </c>
      <c r="B977" s="77"/>
      <c r="C977" s="133"/>
      <c r="D977" s="50"/>
      <c r="E977" s="141"/>
      <c r="F977" s="133"/>
      <c r="G977" s="133"/>
      <c r="H977" s="50"/>
      <c r="I977" s="51" t="str">
        <f t="shared" si="46"/>
        <v/>
      </c>
      <c r="J977" s="52" t="str">
        <f t="shared" si="47"/>
        <v/>
      </c>
      <c r="K977" s="142" t="str">
        <f>IF(OR($I977="",$I977="?",$D977&lt;&gt;"Advance",$B977=""),"",$I977&amp;"|"&amp;$J977&amp;"|"&amp;COUNTIFS($I$7:$I977,$I977,$J$7:$J977,$J977,$D$7:$D977,"Advance"))</f>
        <v/>
      </c>
      <c r="L977" s="143" t="str">
        <f>IF(OR($I977="",$I977="?",$B977=""),"",SUMPRODUCT((Weeks!$A$7:$A$59&lt;=$J977)*(Weeks!$X$5:$AI$5=$I977)*Weeks!$X$7:$AI$59)-SUMIFS($E$7:$E$1006,$I$7:$I$1006,$I977,$B$7:$B$1006,"&lt;="&amp;$B977))</f>
        <v/>
      </c>
      <c r="M977" s="132" t="str">
        <f>IF($B977&amp;$C977&amp;$D977&amp;$E977="","",IF($B977="","missing date",IF($C977="","missing worker",IF($I977="?","unknown worker - was the name changed on Workers?",IF($D977="","missing type",IF(N($E977)=0,"missing amount",IF(AND($E977&lt;0,$D977&lt;&gt;"Correction"),"negative amount - use a Correction to undo",IF(OR($B977&lt;Weeks!$A$7,$B977&gt;Weeks!$B$59),"date outside this workbook's year",IF(AND($D977="Advance",N($L977)&lt;0),"Warning: more than earned so far - worker now owes "&amp;TEXT(ROUND(-$L977,0),"#,##0"),"")))))))))</f>
        <v/>
      </c>
      <c r="N977" s="125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  <c r="AB977" s="126"/>
      <c r="AC977" s="126"/>
      <c r="AD977" s="126"/>
      <c r="AE977" s="126"/>
      <c r="AF977" s="126"/>
      <c r="AG977" s="126"/>
      <c r="AH977" s="126"/>
      <c r="AI977" s="126"/>
      <c r="AJ977" s="126"/>
      <c r="AK977" s="126"/>
      <c r="AL977" s="126"/>
      <c r="AM977" s="126"/>
      <c r="AN977" s="126"/>
    </row>
    <row r="978" spans="1:40" s="127" customFormat="1" ht="21" customHeight="1" x14ac:dyDescent="0.25">
      <c r="A978" s="51" t="str">
        <f t="shared" si="45"/>
        <v/>
      </c>
      <c r="B978" s="77"/>
      <c r="C978" s="133"/>
      <c r="D978" s="50"/>
      <c r="E978" s="141"/>
      <c r="F978" s="133"/>
      <c r="G978" s="133"/>
      <c r="H978" s="50"/>
      <c r="I978" s="51" t="str">
        <f t="shared" si="46"/>
        <v/>
      </c>
      <c r="J978" s="52" t="str">
        <f t="shared" si="47"/>
        <v/>
      </c>
      <c r="K978" s="142" t="str">
        <f>IF(OR($I978="",$I978="?",$D978&lt;&gt;"Advance",$B978=""),"",$I978&amp;"|"&amp;$J978&amp;"|"&amp;COUNTIFS($I$7:$I978,$I978,$J$7:$J978,$J978,$D$7:$D978,"Advance"))</f>
        <v/>
      </c>
      <c r="L978" s="143" t="str">
        <f>IF(OR($I978="",$I978="?",$B978=""),"",SUMPRODUCT((Weeks!$A$7:$A$59&lt;=$J978)*(Weeks!$X$5:$AI$5=$I978)*Weeks!$X$7:$AI$59)-SUMIFS($E$7:$E$1006,$I$7:$I$1006,$I978,$B$7:$B$1006,"&lt;="&amp;$B978))</f>
        <v/>
      </c>
      <c r="M978" s="132" t="str">
        <f>IF($B978&amp;$C978&amp;$D978&amp;$E978="","",IF($B978="","missing date",IF($C978="","missing worker",IF($I978="?","unknown worker - was the name changed on Workers?",IF($D978="","missing type",IF(N($E978)=0,"missing amount",IF(AND($E978&lt;0,$D978&lt;&gt;"Correction"),"negative amount - use a Correction to undo",IF(OR($B978&lt;Weeks!$A$7,$B978&gt;Weeks!$B$59),"date outside this workbook's year",IF(AND($D978="Advance",N($L978)&lt;0),"Warning: more than earned so far - worker now owes "&amp;TEXT(ROUND(-$L978,0),"#,##0"),"")))))))))</f>
        <v/>
      </c>
      <c r="N978" s="125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  <c r="AB978" s="126"/>
      <c r="AC978" s="126"/>
      <c r="AD978" s="126"/>
      <c r="AE978" s="126"/>
      <c r="AF978" s="126"/>
      <c r="AG978" s="126"/>
      <c r="AH978" s="126"/>
      <c r="AI978" s="126"/>
      <c r="AJ978" s="126"/>
      <c r="AK978" s="126"/>
      <c r="AL978" s="126"/>
      <c r="AM978" s="126"/>
      <c r="AN978" s="126"/>
    </row>
    <row r="979" spans="1:40" s="127" customFormat="1" ht="21" customHeight="1" x14ac:dyDescent="0.25">
      <c r="A979" s="51" t="str">
        <f t="shared" si="45"/>
        <v/>
      </c>
      <c r="B979" s="77"/>
      <c r="C979" s="133"/>
      <c r="D979" s="50"/>
      <c r="E979" s="141"/>
      <c r="F979" s="133"/>
      <c r="G979" s="133"/>
      <c r="H979" s="50"/>
      <c r="I979" s="51" t="str">
        <f t="shared" si="46"/>
        <v/>
      </c>
      <c r="J979" s="52" t="str">
        <f t="shared" si="47"/>
        <v/>
      </c>
      <c r="K979" s="142" t="str">
        <f>IF(OR($I979="",$I979="?",$D979&lt;&gt;"Advance",$B979=""),"",$I979&amp;"|"&amp;$J979&amp;"|"&amp;COUNTIFS($I$7:$I979,$I979,$J$7:$J979,$J979,$D$7:$D979,"Advance"))</f>
        <v/>
      </c>
      <c r="L979" s="143" t="str">
        <f>IF(OR($I979="",$I979="?",$B979=""),"",SUMPRODUCT((Weeks!$A$7:$A$59&lt;=$J979)*(Weeks!$X$5:$AI$5=$I979)*Weeks!$X$7:$AI$59)-SUMIFS($E$7:$E$1006,$I$7:$I$1006,$I979,$B$7:$B$1006,"&lt;="&amp;$B979))</f>
        <v/>
      </c>
      <c r="M979" s="132" t="str">
        <f>IF($B979&amp;$C979&amp;$D979&amp;$E979="","",IF($B979="","missing date",IF($C979="","missing worker",IF($I979="?","unknown worker - was the name changed on Workers?",IF($D979="","missing type",IF(N($E979)=0,"missing amount",IF(AND($E979&lt;0,$D979&lt;&gt;"Correction"),"negative amount - use a Correction to undo",IF(OR($B979&lt;Weeks!$A$7,$B979&gt;Weeks!$B$59),"date outside this workbook's year",IF(AND($D979="Advance",N($L979)&lt;0),"Warning: more than earned so far - worker now owes "&amp;TEXT(ROUND(-$L979,0),"#,##0"),"")))))))))</f>
        <v/>
      </c>
      <c r="N979" s="125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  <c r="AB979" s="126"/>
      <c r="AC979" s="126"/>
      <c r="AD979" s="126"/>
      <c r="AE979" s="126"/>
      <c r="AF979" s="126"/>
      <c r="AG979" s="126"/>
      <c r="AH979" s="126"/>
      <c r="AI979" s="126"/>
      <c r="AJ979" s="126"/>
      <c r="AK979" s="126"/>
      <c r="AL979" s="126"/>
      <c r="AM979" s="126"/>
      <c r="AN979" s="126"/>
    </row>
    <row r="980" spans="1:40" s="127" customFormat="1" ht="21" customHeight="1" x14ac:dyDescent="0.25">
      <c r="A980" s="51" t="str">
        <f t="shared" si="45"/>
        <v/>
      </c>
      <c r="B980" s="77"/>
      <c r="C980" s="133"/>
      <c r="D980" s="50"/>
      <c r="E980" s="141"/>
      <c r="F980" s="133"/>
      <c r="G980" s="133"/>
      <c r="H980" s="50"/>
      <c r="I980" s="51" t="str">
        <f t="shared" si="46"/>
        <v/>
      </c>
      <c r="J980" s="52" t="str">
        <f t="shared" si="47"/>
        <v/>
      </c>
      <c r="K980" s="142" t="str">
        <f>IF(OR($I980="",$I980="?",$D980&lt;&gt;"Advance",$B980=""),"",$I980&amp;"|"&amp;$J980&amp;"|"&amp;COUNTIFS($I$7:$I980,$I980,$J$7:$J980,$J980,$D$7:$D980,"Advance"))</f>
        <v/>
      </c>
      <c r="L980" s="143" t="str">
        <f>IF(OR($I980="",$I980="?",$B980=""),"",SUMPRODUCT((Weeks!$A$7:$A$59&lt;=$J980)*(Weeks!$X$5:$AI$5=$I980)*Weeks!$X$7:$AI$59)-SUMIFS($E$7:$E$1006,$I$7:$I$1006,$I980,$B$7:$B$1006,"&lt;="&amp;$B980))</f>
        <v/>
      </c>
      <c r="M980" s="132" t="str">
        <f>IF($B980&amp;$C980&amp;$D980&amp;$E980="","",IF($B980="","missing date",IF($C980="","missing worker",IF($I980="?","unknown worker - was the name changed on Workers?",IF($D980="","missing type",IF(N($E980)=0,"missing amount",IF(AND($E980&lt;0,$D980&lt;&gt;"Correction"),"negative amount - use a Correction to undo",IF(OR($B980&lt;Weeks!$A$7,$B980&gt;Weeks!$B$59),"date outside this workbook's year",IF(AND($D980="Advance",N($L980)&lt;0),"Warning: more than earned so far - worker now owes "&amp;TEXT(ROUND(-$L980,0),"#,##0"),"")))))))))</f>
        <v/>
      </c>
      <c r="N980" s="125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  <c r="AB980" s="126"/>
      <c r="AC980" s="126"/>
      <c r="AD980" s="126"/>
      <c r="AE980" s="126"/>
      <c r="AF980" s="126"/>
      <c r="AG980" s="126"/>
      <c r="AH980" s="126"/>
      <c r="AI980" s="126"/>
      <c r="AJ980" s="126"/>
      <c r="AK980" s="126"/>
      <c r="AL980" s="126"/>
      <c r="AM980" s="126"/>
      <c r="AN980" s="126"/>
    </row>
    <row r="981" spans="1:40" s="127" customFormat="1" ht="21" customHeight="1" x14ac:dyDescent="0.25">
      <c r="A981" s="51" t="str">
        <f t="shared" si="45"/>
        <v/>
      </c>
      <c r="B981" s="77"/>
      <c r="C981" s="133"/>
      <c r="D981" s="50"/>
      <c r="E981" s="141"/>
      <c r="F981" s="133"/>
      <c r="G981" s="133"/>
      <c r="H981" s="50"/>
      <c r="I981" s="51" t="str">
        <f t="shared" si="46"/>
        <v/>
      </c>
      <c r="J981" s="52" t="str">
        <f t="shared" si="47"/>
        <v/>
      </c>
      <c r="K981" s="142" t="str">
        <f>IF(OR($I981="",$I981="?",$D981&lt;&gt;"Advance",$B981=""),"",$I981&amp;"|"&amp;$J981&amp;"|"&amp;COUNTIFS($I$7:$I981,$I981,$J$7:$J981,$J981,$D$7:$D981,"Advance"))</f>
        <v/>
      </c>
      <c r="L981" s="143" t="str">
        <f>IF(OR($I981="",$I981="?",$B981=""),"",SUMPRODUCT((Weeks!$A$7:$A$59&lt;=$J981)*(Weeks!$X$5:$AI$5=$I981)*Weeks!$X$7:$AI$59)-SUMIFS($E$7:$E$1006,$I$7:$I$1006,$I981,$B$7:$B$1006,"&lt;="&amp;$B981))</f>
        <v/>
      </c>
      <c r="M981" s="132" t="str">
        <f>IF($B981&amp;$C981&amp;$D981&amp;$E981="","",IF($B981="","missing date",IF($C981="","missing worker",IF($I981="?","unknown worker - was the name changed on Workers?",IF($D981="","missing type",IF(N($E981)=0,"missing amount",IF(AND($E981&lt;0,$D981&lt;&gt;"Correction"),"negative amount - use a Correction to undo",IF(OR($B981&lt;Weeks!$A$7,$B981&gt;Weeks!$B$59),"date outside this workbook's year",IF(AND($D981="Advance",N($L981)&lt;0),"Warning: more than earned so far - worker now owes "&amp;TEXT(ROUND(-$L981,0),"#,##0"),"")))))))))</f>
        <v/>
      </c>
      <c r="N981" s="125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  <c r="AB981" s="126"/>
      <c r="AC981" s="126"/>
      <c r="AD981" s="126"/>
      <c r="AE981" s="126"/>
      <c r="AF981" s="126"/>
      <c r="AG981" s="126"/>
      <c r="AH981" s="126"/>
      <c r="AI981" s="126"/>
      <c r="AJ981" s="126"/>
      <c r="AK981" s="126"/>
      <c r="AL981" s="126"/>
      <c r="AM981" s="126"/>
      <c r="AN981" s="126"/>
    </row>
    <row r="982" spans="1:40" s="127" customFormat="1" ht="21" customHeight="1" x14ac:dyDescent="0.25">
      <c r="A982" s="51" t="str">
        <f t="shared" si="45"/>
        <v/>
      </c>
      <c r="B982" s="77"/>
      <c r="C982" s="133"/>
      <c r="D982" s="50"/>
      <c r="E982" s="141"/>
      <c r="F982" s="133"/>
      <c r="G982" s="133"/>
      <c r="H982" s="50"/>
      <c r="I982" s="51" t="str">
        <f t="shared" si="46"/>
        <v/>
      </c>
      <c r="J982" s="52" t="str">
        <f t="shared" si="47"/>
        <v/>
      </c>
      <c r="K982" s="142" t="str">
        <f>IF(OR($I982="",$I982="?",$D982&lt;&gt;"Advance",$B982=""),"",$I982&amp;"|"&amp;$J982&amp;"|"&amp;COUNTIFS($I$7:$I982,$I982,$J$7:$J982,$J982,$D$7:$D982,"Advance"))</f>
        <v/>
      </c>
      <c r="L982" s="143" t="str">
        <f>IF(OR($I982="",$I982="?",$B982=""),"",SUMPRODUCT((Weeks!$A$7:$A$59&lt;=$J982)*(Weeks!$X$5:$AI$5=$I982)*Weeks!$X$7:$AI$59)-SUMIFS($E$7:$E$1006,$I$7:$I$1006,$I982,$B$7:$B$1006,"&lt;="&amp;$B982))</f>
        <v/>
      </c>
      <c r="M982" s="132" t="str">
        <f>IF($B982&amp;$C982&amp;$D982&amp;$E982="","",IF($B982="","missing date",IF($C982="","missing worker",IF($I982="?","unknown worker - was the name changed on Workers?",IF($D982="","missing type",IF(N($E982)=0,"missing amount",IF(AND($E982&lt;0,$D982&lt;&gt;"Correction"),"negative amount - use a Correction to undo",IF(OR($B982&lt;Weeks!$A$7,$B982&gt;Weeks!$B$59),"date outside this workbook's year",IF(AND($D982="Advance",N($L982)&lt;0),"Warning: more than earned so far - worker now owes "&amp;TEXT(ROUND(-$L982,0),"#,##0"),"")))))))))</f>
        <v/>
      </c>
      <c r="N982" s="125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  <c r="AB982" s="126"/>
      <c r="AC982" s="126"/>
      <c r="AD982" s="126"/>
      <c r="AE982" s="126"/>
      <c r="AF982" s="126"/>
      <c r="AG982" s="126"/>
      <c r="AH982" s="126"/>
      <c r="AI982" s="126"/>
      <c r="AJ982" s="126"/>
      <c r="AK982" s="126"/>
      <c r="AL982" s="126"/>
      <c r="AM982" s="126"/>
      <c r="AN982" s="126"/>
    </row>
    <row r="983" spans="1:40" s="127" customFormat="1" ht="21" customHeight="1" x14ac:dyDescent="0.25">
      <c r="A983" s="51" t="str">
        <f t="shared" si="45"/>
        <v/>
      </c>
      <c r="B983" s="77"/>
      <c r="C983" s="133"/>
      <c r="D983" s="50"/>
      <c r="E983" s="141"/>
      <c r="F983" s="133"/>
      <c r="G983" s="133"/>
      <c r="H983" s="50"/>
      <c r="I983" s="51" t="str">
        <f t="shared" si="46"/>
        <v/>
      </c>
      <c r="J983" s="52" t="str">
        <f t="shared" si="47"/>
        <v/>
      </c>
      <c r="K983" s="142" t="str">
        <f>IF(OR($I983="",$I983="?",$D983&lt;&gt;"Advance",$B983=""),"",$I983&amp;"|"&amp;$J983&amp;"|"&amp;COUNTIFS($I$7:$I983,$I983,$J$7:$J983,$J983,$D$7:$D983,"Advance"))</f>
        <v/>
      </c>
      <c r="L983" s="143" t="str">
        <f>IF(OR($I983="",$I983="?",$B983=""),"",SUMPRODUCT((Weeks!$A$7:$A$59&lt;=$J983)*(Weeks!$X$5:$AI$5=$I983)*Weeks!$X$7:$AI$59)-SUMIFS($E$7:$E$1006,$I$7:$I$1006,$I983,$B$7:$B$1006,"&lt;="&amp;$B983))</f>
        <v/>
      </c>
      <c r="M983" s="132" t="str">
        <f>IF($B983&amp;$C983&amp;$D983&amp;$E983="","",IF($B983="","missing date",IF($C983="","missing worker",IF($I983="?","unknown worker - was the name changed on Workers?",IF($D983="","missing type",IF(N($E983)=0,"missing amount",IF(AND($E983&lt;0,$D983&lt;&gt;"Correction"),"negative amount - use a Correction to undo",IF(OR($B983&lt;Weeks!$A$7,$B983&gt;Weeks!$B$59),"date outside this workbook's year",IF(AND($D983="Advance",N($L983)&lt;0),"Warning: more than earned so far - worker now owes "&amp;TEXT(ROUND(-$L983,0),"#,##0"),"")))))))))</f>
        <v/>
      </c>
      <c r="N983" s="125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  <c r="AB983" s="126"/>
      <c r="AC983" s="126"/>
      <c r="AD983" s="126"/>
      <c r="AE983" s="126"/>
      <c r="AF983" s="126"/>
      <c r="AG983" s="126"/>
      <c r="AH983" s="126"/>
      <c r="AI983" s="126"/>
      <c r="AJ983" s="126"/>
      <c r="AK983" s="126"/>
      <c r="AL983" s="126"/>
      <c r="AM983" s="126"/>
      <c r="AN983" s="126"/>
    </row>
    <row r="984" spans="1:40" s="127" customFormat="1" ht="21" customHeight="1" x14ac:dyDescent="0.25">
      <c r="A984" s="51" t="str">
        <f t="shared" si="45"/>
        <v/>
      </c>
      <c r="B984" s="77"/>
      <c r="C984" s="133"/>
      <c r="D984" s="50"/>
      <c r="E984" s="141"/>
      <c r="F984" s="133"/>
      <c r="G984" s="133"/>
      <c r="H984" s="50"/>
      <c r="I984" s="51" t="str">
        <f t="shared" si="46"/>
        <v/>
      </c>
      <c r="J984" s="52" t="str">
        <f t="shared" si="47"/>
        <v/>
      </c>
      <c r="K984" s="142" t="str">
        <f>IF(OR($I984="",$I984="?",$D984&lt;&gt;"Advance",$B984=""),"",$I984&amp;"|"&amp;$J984&amp;"|"&amp;COUNTIFS($I$7:$I984,$I984,$J$7:$J984,$J984,$D$7:$D984,"Advance"))</f>
        <v/>
      </c>
      <c r="L984" s="143" t="str">
        <f>IF(OR($I984="",$I984="?",$B984=""),"",SUMPRODUCT((Weeks!$A$7:$A$59&lt;=$J984)*(Weeks!$X$5:$AI$5=$I984)*Weeks!$X$7:$AI$59)-SUMIFS($E$7:$E$1006,$I$7:$I$1006,$I984,$B$7:$B$1006,"&lt;="&amp;$B984))</f>
        <v/>
      </c>
      <c r="M984" s="132" t="str">
        <f>IF($B984&amp;$C984&amp;$D984&amp;$E984="","",IF($B984="","missing date",IF($C984="","missing worker",IF($I984="?","unknown worker - was the name changed on Workers?",IF($D984="","missing type",IF(N($E984)=0,"missing amount",IF(AND($E984&lt;0,$D984&lt;&gt;"Correction"),"negative amount - use a Correction to undo",IF(OR($B984&lt;Weeks!$A$7,$B984&gt;Weeks!$B$59),"date outside this workbook's year",IF(AND($D984="Advance",N($L984)&lt;0),"Warning: more than earned so far - worker now owes "&amp;TEXT(ROUND(-$L984,0),"#,##0"),"")))))))))</f>
        <v/>
      </c>
      <c r="N984" s="125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  <c r="AB984" s="126"/>
      <c r="AC984" s="126"/>
      <c r="AD984" s="126"/>
      <c r="AE984" s="126"/>
      <c r="AF984" s="126"/>
      <c r="AG984" s="126"/>
      <c r="AH984" s="126"/>
      <c r="AI984" s="126"/>
      <c r="AJ984" s="126"/>
      <c r="AK984" s="126"/>
      <c r="AL984" s="126"/>
      <c r="AM984" s="126"/>
      <c r="AN984" s="126"/>
    </row>
    <row r="985" spans="1:40" s="127" customFormat="1" ht="21" customHeight="1" x14ac:dyDescent="0.25">
      <c r="A985" s="51" t="str">
        <f t="shared" si="45"/>
        <v/>
      </c>
      <c r="B985" s="77"/>
      <c r="C985" s="133"/>
      <c r="D985" s="50"/>
      <c r="E985" s="141"/>
      <c r="F985" s="133"/>
      <c r="G985" s="133"/>
      <c r="H985" s="50"/>
      <c r="I985" s="51" t="str">
        <f t="shared" si="46"/>
        <v/>
      </c>
      <c r="J985" s="52" t="str">
        <f t="shared" si="47"/>
        <v/>
      </c>
      <c r="K985" s="142" t="str">
        <f>IF(OR($I985="",$I985="?",$D985&lt;&gt;"Advance",$B985=""),"",$I985&amp;"|"&amp;$J985&amp;"|"&amp;COUNTIFS($I$7:$I985,$I985,$J$7:$J985,$J985,$D$7:$D985,"Advance"))</f>
        <v/>
      </c>
      <c r="L985" s="143" t="str">
        <f>IF(OR($I985="",$I985="?",$B985=""),"",SUMPRODUCT((Weeks!$A$7:$A$59&lt;=$J985)*(Weeks!$X$5:$AI$5=$I985)*Weeks!$X$7:$AI$59)-SUMIFS($E$7:$E$1006,$I$7:$I$1006,$I985,$B$7:$B$1006,"&lt;="&amp;$B985))</f>
        <v/>
      </c>
      <c r="M985" s="132" t="str">
        <f>IF($B985&amp;$C985&amp;$D985&amp;$E985="","",IF($B985="","missing date",IF($C985="","missing worker",IF($I985="?","unknown worker - was the name changed on Workers?",IF($D985="","missing type",IF(N($E985)=0,"missing amount",IF(AND($E985&lt;0,$D985&lt;&gt;"Correction"),"negative amount - use a Correction to undo",IF(OR($B985&lt;Weeks!$A$7,$B985&gt;Weeks!$B$59),"date outside this workbook's year",IF(AND($D985="Advance",N($L985)&lt;0),"Warning: more than earned so far - worker now owes "&amp;TEXT(ROUND(-$L985,0),"#,##0"),"")))))))))</f>
        <v/>
      </c>
      <c r="N985" s="125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  <c r="AB985" s="126"/>
      <c r="AC985" s="126"/>
      <c r="AD985" s="126"/>
      <c r="AE985" s="126"/>
      <c r="AF985" s="126"/>
      <c r="AG985" s="126"/>
      <c r="AH985" s="126"/>
      <c r="AI985" s="126"/>
      <c r="AJ985" s="126"/>
      <c r="AK985" s="126"/>
      <c r="AL985" s="126"/>
      <c r="AM985" s="126"/>
      <c r="AN985" s="126"/>
    </row>
    <row r="986" spans="1:40" s="127" customFormat="1" ht="21" customHeight="1" x14ac:dyDescent="0.25">
      <c r="A986" s="51" t="str">
        <f t="shared" si="45"/>
        <v/>
      </c>
      <c r="B986" s="77"/>
      <c r="C986" s="133"/>
      <c r="D986" s="50"/>
      <c r="E986" s="141"/>
      <c r="F986" s="133"/>
      <c r="G986" s="133"/>
      <c r="H986" s="50"/>
      <c r="I986" s="51" t="str">
        <f t="shared" si="46"/>
        <v/>
      </c>
      <c r="J986" s="52" t="str">
        <f t="shared" si="47"/>
        <v/>
      </c>
      <c r="K986" s="142" t="str">
        <f>IF(OR($I986="",$I986="?",$D986&lt;&gt;"Advance",$B986=""),"",$I986&amp;"|"&amp;$J986&amp;"|"&amp;COUNTIFS($I$7:$I986,$I986,$J$7:$J986,$J986,$D$7:$D986,"Advance"))</f>
        <v/>
      </c>
      <c r="L986" s="143" t="str">
        <f>IF(OR($I986="",$I986="?",$B986=""),"",SUMPRODUCT((Weeks!$A$7:$A$59&lt;=$J986)*(Weeks!$X$5:$AI$5=$I986)*Weeks!$X$7:$AI$59)-SUMIFS($E$7:$E$1006,$I$7:$I$1006,$I986,$B$7:$B$1006,"&lt;="&amp;$B986))</f>
        <v/>
      </c>
      <c r="M986" s="132" t="str">
        <f>IF($B986&amp;$C986&amp;$D986&amp;$E986="","",IF($B986="","missing date",IF($C986="","missing worker",IF($I986="?","unknown worker - was the name changed on Workers?",IF($D986="","missing type",IF(N($E986)=0,"missing amount",IF(AND($E986&lt;0,$D986&lt;&gt;"Correction"),"negative amount - use a Correction to undo",IF(OR($B986&lt;Weeks!$A$7,$B986&gt;Weeks!$B$59),"date outside this workbook's year",IF(AND($D986="Advance",N($L986)&lt;0),"Warning: more than earned so far - worker now owes "&amp;TEXT(ROUND(-$L986,0),"#,##0"),"")))))))))</f>
        <v/>
      </c>
      <c r="N986" s="125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  <c r="AB986" s="126"/>
      <c r="AC986" s="126"/>
      <c r="AD986" s="126"/>
      <c r="AE986" s="126"/>
      <c r="AF986" s="126"/>
      <c r="AG986" s="126"/>
      <c r="AH986" s="126"/>
      <c r="AI986" s="126"/>
      <c r="AJ986" s="126"/>
      <c r="AK986" s="126"/>
      <c r="AL986" s="126"/>
      <c r="AM986" s="126"/>
      <c r="AN986" s="126"/>
    </row>
    <row r="987" spans="1:40" s="127" customFormat="1" ht="21" customHeight="1" x14ac:dyDescent="0.25">
      <c r="A987" s="51" t="str">
        <f t="shared" si="45"/>
        <v/>
      </c>
      <c r="B987" s="77"/>
      <c r="C987" s="133"/>
      <c r="D987" s="50"/>
      <c r="E987" s="141"/>
      <c r="F987" s="133"/>
      <c r="G987" s="133"/>
      <c r="H987" s="50"/>
      <c r="I987" s="51" t="str">
        <f t="shared" si="46"/>
        <v/>
      </c>
      <c r="J987" s="52" t="str">
        <f t="shared" si="47"/>
        <v/>
      </c>
      <c r="K987" s="142" t="str">
        <f>IF(OR($I987="",$I987="?",$D987&lt;&gt;"Advance",$B987=""),"",$I987&amp;"|"&amp;$J987&amp;"|"&amp;COUNTIFS($I$7:$I987,$I987,$J$7:$J987,$J987,$D$7:$D987,"Advance"))</f>
        <v/>
      </c>
      <c r="L987" s="143" t="str">
        <f>IF(OR($I987="",$I987="?",$B987=""),"",SUMPRODUCT((Weeks!$A$7:$A$59&lt;=$J987)*(Weeks!$X$5:$AI$5=$I987)*Weeks!$X$7:$AI$59)-SUMIFS($E$7:$E$1006,$I$7:$I$1006,$I987,$B$7:$B$1006,"&lt;="&amp;$B987))</f>
        <v/>
      </c>
      <c r="M987" s="132" t="str">
        <f>IF($B987&amp;$C987&amp;$D987&amp;$E987="","",IF($B987="","missing date",IF($C987="","missing worker",IF($I987="?","unknown worker - was the name changed on Workers?",IF($D987="","missing type",IF(N($E987)=0,"missing amount",IF(AND($E987&lt;0,$D987&lt;&gt;"Correction"),"negative amount - use a Correction to undo",IF(OR($B987&lt;Weeks!$A$7,$B987&gt;Weeks!$B$59),"date outside this workbook's year",IF(AND($D987="Advance",N($L987)&lt;0),"Warning: more than earned so far - worker now owes "&amp;TEXT(ROUND(-$L987,0),"#,##0"),"")))))))))</f>
        <v/>
      </c>
      <c r="N987" s="125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  <c r="AB987" s="126"/>
      <c r="AC987" s="126"/>
      <c r="AD987" s="126"/>
      <c r="AE987" s="126"/>
      <c r="AF987" s="126"/>
      <c r="AG987" s="126"/>
      <c r="AH987" s="126"/>
      <c r="AI987" s="126"/>
      <c r="AJ987" s="126"/>
      <c r="AK987" s="126"/>
      <c r="AL987" s="126"/>
      <c r="AM987" s="126"/>
      <c r="AN987" s="126"/>
    </row>
    <row r="988" spans="1:40" s="127" customFormat="1" ht="21" customHeight="1" x14ac:dyDescent="0.25">
      <c r="A988" s="51" t="str">
        <f t="shared" si="45"/>
        <v/>
      </c>
      <c r="B988" s="77"/>
      <c r="C988" s="133"/>
      <c r="D988" s="50"/>
      <c r="E988" s="141"/>
      <c r="F988" s="133"/>
      <c r="G988" s="133"/>
      <c r="H988" s="50"/>
      <c r="I988" s="51" t="str">
        <f t="shared" si="46"/>
        <v/>
      </c>
      <c r="J988" s="52" t="str">
        <f t="shared" si="47"/>
        <v/>
      </c>
      <c r="K988" s="142" t="str">
        <f>IF(OR($I988="",$I988="?",$D988&lt;&gt;"Advance",$B988=""),"",$I988&amp;"|"&amp;$J988&amp;"|"&amp;COUNTIFS($I$7:$I988,$I988,$J$7:$J988,$J988,$D$7:$D988,"Advance"))</f>
        <v/>
      </c>
      <c r="L988" s="143" t="str">
        <f>IF(OR($I988="",$I988="?",$B988=""),"",SUMPRODUCT((Weeks!$A$7:$A$59&lt;=$J988)*(Weeks!$X$5:$AI$5=$I988)*Weeks!$X$7:$AI$59)-SUMIFS($E$7:$E$1006,$I$7:$I$1006,$I988,$B$7:$B$1006,"&lt;="&amp;$B988))</f>
        <v/>
      </c>
      <c r="M988" s="132" t="str">
        <f>IF($B988&amp;$C988&amp;$D988&amp;$E988="","",IF($B988="","missing date",IF($C988="","missing worker",IF($I988="?","unknown worker - was the name changed on Workers?",IF($D988="","missing type",IF(N($E988)=0,"missing amount",IF(AND($E988&lt;0,$D988&lt;&gt;"Correction"),"negative amount - use a Correction to undo",IF(OR($B988&lt;Weeks!$A$7,$B988&gt;Weeks!$B$59),"date outside this workbook's year",IF(AND($D988="Advance",N($L988)&lt;0),"Warning: more than earned so far - worker now owes "&amp;TEXT(ROUND(-$L988,0),"#,##0"),"")))))))))</f>
        <v/>
      </c>
      <c r="N988" s="125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  <c r="AB988" s="126"/>
      <c r="AC988" s="126"/>
      <c r="AD988" s="126"/>
      <c r="AE988" s="126"/>
      <c r="AF988" s="126"/>
      <c r="AG988" s="126"/>
      <c r="AH988" s="126"/>
      <c r="AI988" s="126"/>
      <c r="AJ988" s="126"/>
      <c r="AK988" s="126"/>
      <c r="AL988" s="126"/>
      <c r="AM988" s="126"/>
      <c r="AN988" s="126"/>
    </row>
    <row r="989" spans="1:40" s="127" customFormat="1" ht="21" customHeight="1" x14ac:dyDescent="0.25">
      <c r="A989" s="51" t="str">
        <f t="shared" si="45"/>
        <v/>
      </c>
      <c r="B989" s="77"/>
      <c r="C989" s="133"/>
      <c r="D989" s="50"/>
      <c r="E989" s="141"/>
      <c r="F989" s="133"/>
      <c r="G989" s="133"/>
      <c r="H989" s="50"/>
      <c r="I989" s="51" t="str">
        <f t="shared" si="46"/>
        <v/>
      </c>
      <c r="J989" s="52" t="str">
        <f t="shared" si="47"/>
        <v/>
      </c>
      <c r="K989" s="142" t="str">
        <f>IF(OR($I989="",$I989="?",$D989&lt;&gt;"Advance",$B989=""),"",$I989&amp;"|"&amp;$J989&amp;"|"&amp;COUNTIFS($I$7:$I989,$I989,$J$7:$J989,$J989,$D$7:$D989,"Advance"))</f>
        <v/>
      </c>
      <c r="L989" s="143" t="str">
        <f>IF(OR($I989="",$I989="?",$B989=""),"",SUMPRODUCT((Weeks!$A$7:$A$59&lt;=$J989)*(Weeks!$X$5:$AI$5=$I989)*Weeks!$X$7:$AI$59)-SUMIFS($E$7:$E$1006,$I$7:$I$1006,$I989,$B$7:$B$1006,"&lt;="&amp;$B989))</f>
        <v/>
      </c>
      <c r="M989" s="132" t="str">
        <f>IF($B989&amp;$C989&amp;$D989&amp;$E989="","",IF($B989="","missing date",IF($C989="","missing worker",IF($I989="?","unknown worker - was the name changed on Workers?",IF($D989="","missing type",IF(N($E989)=0,"missing amount",IF(AND($E989&lt;0,$D989&lt;&gt;"Correction"),"negative amount - use a Correction to undo",IF(OR($B989&lt;Weeks!$A$7,$B989&gt;Weeks!$B$59),"date outside this workbook's year",IF(AND($D989="Advance",N($L989)&lt;0),"Warning: more than earned so far - worker now owes "&amp;TEXT(ROUND(-$L989,0),"#,##0"),"")))))))))</f>
        <v/>
      </c>
      <c r="N989" s="125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  <c r="AB989" s="126"/>
      <c r="AC989" s="126"/>
      <c r="AD989" s="126"/>
      <c r="AE989" s="126"/>
      <c r="AF989" s="126"/>
      <c r="AG989" s="126"/>
      <c r="AH989" s="126"/>
      <c r="AI989" s="126"/>
      <c r="AJ989" s="126"/>
      <c r="AK989" s="126"/>
      <c r="AL989" s="126"/>
      <c r="AM989" s="126"/>
      <c r="AN989" s="126"/>
    </row>
    <row r="990" spans="1:40" s="127" customFormat="1" ht="21" customHeight="1" x14ac:dyDescent="0.25">
      <c r="A990" s="51" t="str">
        <f t="shared" si="45"/>
        <v/>
      </c>
      <c r="B990" s="77"/>
      <c r="C990" s="133"/>
      <c r="D990" s="50"/>
      <c r="E990" s="141"/>
      <c r="F990" s="133"/>
      <c r="G990" s="133"/>
      <c r="H990" s="50"/>
      <c r="I990" s="51" t="str">
        <f t="shared" si="46"/>
        <v/>
      </c>
      <c r="J990" s="52" t="str">
        <f t="shared" si="47"/>
        <v/>
      </c>
      <c r="K990" s="142" t="str">
        <f>IF(OR($I990="",$I990="?",$D990&lt;&gt;"Advance",$B990=""),"",$I990&amp;"|"&amp;$J990&amp;"|"&amp;COUNTIFS($I$7:$I990,$I990,$J$7:$J990,$J990,$D$7:$D990,"Advance"))</f>
        <v/>
      </c>
      <c r="L990" s="143" t="str">
        <f>IF(OR($I990="",$I990="?",$B990=""),"",SUMPRODUCT((Weeks!$A$7:$A$59&lt;=$J990)*(Weeks!$X$5:$AI$5=$I990)*Weeks!$X$7:$AI$59)-SUMIFS($E$7:$E$1006,$I$7:$I$1006,$I990,$B$7:$B$1006,"&lt;="&amp;$B990))</f>
        <v/>
      </c>
      <c r="M990" s="132" t="str">
        <f>IF($B990&amp;$C990&amp;$D990&amp;$E990="","",IF($B990="","missing date",IF($C990="","missing worker",IF($I990="?","unknown worker - was the name changed on Workers?",IF($D990="","missing type",IF(N($E990)=0,"missing amount",IF(AND($E990&lt;0,$D990&lt;&gt;"Correction"),"negative amount - use a Correction to undo",IF(OR($B990&lt;Weeks!$A$7,$B990&gt;Weeks!$B$59),"date outside this workbook's year",IF(AND($D990="Advance",N($L990)&lt;0),"Warning: more than earned so far - worker now owes "&amp;TEXT(ROUND(-$L990,0),"#,##0"),"")))))))))</f>
        <v/>
      </c>
      <c r="N990" s="125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  <c r="AB990" s="126"/>
      <c r="AC990" s="126"/>
      <c r="AD990" s="126"/>
      <c r="AE990" s="126"/>
      <c r="AF990" s="126"/>
      <c r="AG990" s="126"/>
      <c r="AH990" s="126"/>
      <c r="AI990" s="126"/>
      <c r="AJ990" s="126"/>
      <c r="AK990" s="126"/>
      <c r="AL990" s="126"/>
      <c r="AM990" s="126"/>
      <c r="AN990" s="126"/>
    </row>
    <row r="991" spans="1:40" s="127" customFormat="1" ht="21" customHeight="1" x14ac:dyDescent="0.25">
      <c r="A991" s="51" t="str">
        <f t="shared" si="45"/>
        <v/>
      </c>
      <c r="B991" s="77"/>
      <c r="C991" s="133"/>
      <c r="D991" s="50"/>
      <c r="E991" s="141"/>
      <c r="F991" s="133"/>
      <c r="G991" s="133"/>
      <c r="H991" s="50"/>
      <c r="I991" s="51" t="str">
        <f t="shared" si="46"/>
        <v/>
      </c>
      <c r="J991" s="52" t="str">
        <f t="shared" si="47"/>
        <v/>
      </c>
      <c r="K991" s="142" t="str">
        <f>IF(OR($I991="",$I991="?",$D991&lt;&gt;"Advance",$B991=""),"",$I991&amp;"|"&amp;$J991&amp;"|"&amp;COUNTIFS($I$7:$I991,$I991,$J$7:$J991,$J991,$D$7:$D991,"Advance"))</f>
        <v/>
      </c>
      <c r="L991" s="143" t="str">
        <f>IF(OR($I991="",$I991="?",$B991=""),"",SUMPRODUCT((Weeks!$A$7:$A$59&lt;=$J991)*(Weeks!$X$5:$AI$5=$I991)*Weeks!$X$7:$AI$59)-SUMIFS($E$7:$E$1006,$I$7:$I$1006,$I991,$B$7:$B$1006,"&lt;="&amp;$B991))</f>
        <v/>
      </c>
      <c r="M991" s="132" t="str">
        <f>IF($B991&amp;$C991&amp;$D991&amp;$E991="","",IF($B991="","missing date",IF($C991="","missing worker",IF($I991="?","unknown worker - was the name changed on Workers?",IF($D991="","missing type",IF(N($E991)=0,"missing amount",IF(AND($E991&lt;0,$D991&lt;&gt;"Correction"),"negative amount - use a Correction to undo",IF(OR($B991&lt;Weeks!$A$7,$B991&gt;Weeks!$B$59),"date outside this workbook's year",IF(AND($D991="Advance",N($L991)&lt;0),"Warning: more than earned so far - worker now owes "&amp;TEXT(ROUND(-$L991,0),"#,##0"),"")))))))))</f>
        <v/>
      </c>
      <c r="N991" s="125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  <c r="AB991" s="126"/>
      <c r="AC991" s="126"/>
      <c r="AD991" s="126"/>
      <c r="AE991" s="126"/>
      <c r="AF991" s="126"/>
      <c r="AG991" s="126"/>
      <c r="AH991" s="126"/>
      <c r="AI991" s="126"/>
      <c r="AJ991" s="126"/>
      <c r="AK991" s="126"/>
      <c r="AL991" s="126"/>
      <c r="AM991" s="126"/>
      <c r="AN991" s="126"/>
    </row>
    <row r="992" spans="1:40" s="127" customFormat="1" ht="21" customHeight="1" x14ac:dyDescent="0.25">
      <c r="A992" s="51" t="str">
        <f t="shared" si="45"/>
        <v/>
      </c>
      <c r="B992" s="77"/>
      <c r="C992" s="133"/>
      <c r="D992" s="50"/>
      <c r="E992" s="141"/>
      <c r="F992" s="133"/>
      <c r="G992" s="133"/>
      <c r="H992" s="50"/>
      <c r="I992" s="51" t="str">
        <f t="shared" si="46"/>
        <v/>
      </c>
      <c r="J992" s="52" t="str">
        <f t="shared" si="47"/>
        <v/>
      </c>
      <c r="K992" s="142" t="str">
        <f>IF(OR($I992="",$I992="?",$D992&lt;&gt;"Advance",$B992=""),"",$I992&amp;"|"&amp;$J992&amp;"|"&amp;COUNTIFS($I$7:$I992,$I992,$J$7:$J992,$J992,$D$7:$D992,"Advance"))</f>
        <v/>
      </c>
      <c r="L992" s="143" t="str">
        <f>IF(OR($I992="",$I992="?",$B992=""),"",SUMPRODUCT((Weeks!$A$7:$A$59&lt;=$J992)*(Weeks!$X$5:$AI$5=$I992)*Weeks!$X$7:$AI$59)-SUMIFS($E$7:$E$1006,$I$7:$I$1006,$I992,$B$7:$B$1006,"&lt;="&amp;$B992))</f>
        <v/>
      </c>
      <c r="M992" s="132" t="str">
        <f>IF($B992&amp;$C992&amp;$D992&amp;$E992="","",IF($B992="","missing date",IF($C992="","missing worker",IF($I992="?","unknown worker - was the name changed on Workers?",IF($D992="","missing type",IF(N($E992)=0,"missing amount",IF(AND($E992&lt;0,$D992&lt;&gt;"Correction"),"negative amount - use a Correction to undo",IF(OR($B992&lt;Weeks!$A$7,$B992&gt;Weeks!$B$59),"date outside this workbook's year",IF(AND($D992="Advance",N($L992)&lt;0),"Warning: more than earned so far - worker now owes "&amp;TEXT(ROUND(-$L992,0),"#,##0"),"")))))))))</f>
        <v/>
      </c>
      <c r="N992" s="125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  <c r="AB992" s="126"/>
      <c r="AC992" s="126"/>
      <c r="AD992" s="126"/>
      <c r="AE992" s="126"/>
      <c r="AF992" s="126"/>
      <c r="AG992" s="126"/>
      <c r="AH992" s="126"/>
      <c r="AI992" s="126"/>
      <c r="AJ992" s="126"/>
      <c r="AK992" s="126"/>
      <c r="AL992" s="126"/>
      <c r="AM992" s="126"/>
      <c r="AN992" s="126"/>
    </row>
    <row r="993" spans="1:40" s="127" customFormat="1" ht="21" customHeight="1" x14ac:dyDescent="0.25">
      <c r="A993" s="51" t="str">
        <f t="shared" si="45"/>
        <v/>
      </c>
      <c r="B993" s="77"/>
      <c r="C993" s="133"/>
      <c r="D993" s="50"/>
      <c r="E993" s="141"/>
      <c r="F993" s="133"/>
      <c r="G993" s="133"/>
      <c r="H993" s="50"/>
      <c r="I993" s="51" t="str">
        <f t="shared" si="46"/>
        <v/>
      </c>
      <c r="J993" s="52" t="str">
        <f t="shared" si="47"/>
        <v/>
      </c>
      <c r="K993" s="142" t="str">
        <f>IF(OR($I993="",$I993="?",$D993&lt;&gt;"Advance",$B993=""),"",$I993&amp;"|"&amp;$J993&amp;"|"&amp;COUNTIFS($I$7:$I993,$I993,$J$7:$J993,$J993,$D$7:$D993,"Advance"))</f>
        <v/>
      </c>
      <c r="L993" s="143" t="str">
        <f>IF(OR($I993="",$I993="?",$B993=""),"",SUMPRODUCT((Weeks!$A$7:$A$59&lt;=$J993)*(Weeks!$X$5:$AI$5=$I993)*Weeks!$X$7:$AI$59)-SUMIFS($E$7:$E$1006,$I$7:$I$1006,$I993,$B$7:$B$1006,"&lt;="&amp;$B993))</f>
        <v/>
      </c>
      <c r="M993" s="132" t="str">
        <f>IF($B993&amp;$C993&amp;$D993&amp;$E993="","",IF($B993="","missing date",IF($C993="","missing worker",IF($I993="?","unknown worker - was the name changed on Workers?",IF($D993="","missing type",IF(N($E993)=0,"missing amount",IF(AND($E993&lt;0,$D993&lt;&gt;"Correction"),"negative amount - use a Correction to undo",IF(OR($B993&lt;Weeks!$A$7,$B993&gt;Weeks!$B$59),"date outside this workbook's year",IF(AND($D993="Advance",N($L993)&lt;0),"Warning: more than earned so far - worker now owes "&amp;TEXT(ROUND(-$L993,0),"#,##0"),"")))))))))</f>
        <v/>
      </c>
      <c r="N993" s="125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  <c r="AB993" s="126"/>
      <c r="AC993" s="126"/>
      <c r="AD993" s="126"/>
      <c r="AE993" s="126"/>
      <c r="AF993" s="126"/>
      <c r="AG993" s="126"/>
      <c r="AH993" s="126"/>
      <c r="AI993" s="126"/>
      <c r="AJ993" s="126"/>
      <c r="AK993" s="126"/>
      <c r="AL993" s="126"/>
      <c r="AM993" s="126"/>
      <c r="AN993" s="126"/>
    </row>
    <row r="994" spans="1:40" s="127" customFormat="1" ht="21" customHeight="1" x14ac:dyDescent="0.25">
      <c r="A994" s="51" t="str">
        <f t="shared" si="45"/>
        <v/>
      </c>
      <c r="B994" s="77"/>
      <c r="C994" s="133"/>
      <c r="D994" s="50"/>
      <c r="E994" s="141"/>
      <c r="F994" s="133"/>
      <c r="G994" s="133"/>
      <c r="H994" s="50"/>
      <c r="I994" s="51" t="str">
        <f t="shared" si="46"/>
        <v/>
      </c>
      <c r="J994" s="52" t="str">
        <f t="shared" si="47"/>
        <v/>
      </c>
      <c r="K994" s="142" t="str">
        <f>IF(OR($I994="",$I994="?",$D994&lt;&gt;"Advance",$B994=""),"",$I994&amp;"|"&amp;$J994&amp;"|"&amp;COUNTIFS($I$7:$I994,$I994,$J$7:$J994,$J994,$D$7:$D994,"Advance"))</f>
        <v/>
      </c>
      <c r="L994" s="143" t="str">
        <f>IF(OR($I994="",$I994="?",$B994=""),"",SUMPRODUCT((Weeks!$A$7:$A$59&lt;=$J994)*(Weeks!$X$5:$AI$5=$I994)*Weeks!$X$7:$AI$59)-SUMIFS($E$7:$E$1006,$I$7:$I$1006,$I994,$B$7:$B$1006,"&lt;="&amp;$B994))</f>
        <v/>
      </c>
      <c r="M994" s="132" t="str">
        <f>IF($B994&amp;$C994&amp;$D994&amp;$E994="","",IF($B994="","missing date",IF($C994="","missing worker",IF($I994="?","unknown worker - was the name changed on Workers?",IF($D994="","missing type",IF(N($E994)=0,"missing amount",IF(AND($E994&lt;0,$D994&lt;&gt;"Correction"),"negative amount - use a Correction to undo",IF(OR($B994&lt;Weeks!$A$7,$B994&gt;Weeks!$B$59),"date outside this workbook's year",IF(AND($D994="Advance",N($L994)&lt;0),"Warning: more than earned so far - worker now owes "&amp;TEXT(ROUND(-$L994,0),"#,##0"),"")))))))))</f>
        <v/>
      </c>
      <c r="N994" s="125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  <c r="AB994" s="126"/>
      <c r="AC994" s="126"/>
      <c r="AD994" s="126"/>
      <c r="AE994" s="126"/>
      <c r="AF994" s="126"/>
      <c r="AG994" s="126"/>
      <c r="AH994" s="126"/>
      <c r="AI994" s="126"/>
      <c r="AJ994" s="126"/>
      <c r="AK994" s="126"/>
      <c r="AL994" s="126"/>
      <c r="AM994" s="126"/>
      <c r="AN994" s="126"/>
    </row>
    <row r="995" spans="1:40" s="127" customFormat="1" ht="21" customHeight="1" x14ac:dyDescent="0.25">
      <c r="A995" s="51" t="str">
        <f t="shared" si="45"/>
        <v/>
      </c>
      <c r="B995" s="77"/>
      <c r="C995" s="133"/>
      <c r="D995" s="50"/>
      <c r="E995" s="141"/>
      <c r="F995" s="133"/>
      <c r="G995" s="133"/>
      <c r="H995" s="50"/>
      <c r="I995" s="51" t="str">
        <f t="shared" si="46"/>
        <v/>
      </c>
      <c r="J995" s="52" t="str">
        <f t="shared" si="47"/>
        <v/>
      </c>
      <c r="K995" s="142" t="str">
        <f>IF(OR($I995="",$I995="?",$D995&lt;&gt;"Advance",$B995=""),"",$I995&amp;"|"&amp;$J995&amp;"|"&amp;COUNTIFS($I$7:$I995,$I995,$J$7:$J995,$J995,$D$7:$D995,"Advance"))</f>
        <v/>
      </c>
      <c r="L995" s="143" t="str">
        <f>IF(OR($I995="",$I995="?",$B995=""),"",SUMPRODUCT((Weeks!$A$7:$A$59&lt;=$J995)*(Weeks!$X$5:$AI$5=$I995)*Weeks!$X$7:$AI$59)-SUMIFS($E$7:$E$1006,$I$7:$I$1006,$I995,$B$7:$B$1006,"&lt;="&amp;$B995))</f>
        <v/>
      </c>
      <c r="M995" s="132" t="str">
        <f>IF($B995&amp;$C995&amp;$D995&amp;$E995="","",IF($B995="","missing date",IF($C995="","missing worker",IF($I995="?","unknown worker - was the name changed on Workers?",IF($D995="","missing type",IF(N($E995)=0,"missing amount",IF(AND($E995&lt;0,$D995&lt;&gt;"Correction"),"negative amount - use a Correction to undo",IF(OR($B995&lt;Weeks!$A$7,$B995&gt;Weeks!$B$59),"date outside this workbook's year",IF(AND($D995="Advance",N($L995)&lt;0),"Warning: more than earned so far - worker now owes "&amp;TEXT(ROUND(-$L995,0),"#,##0"),"")))))))))</f>
        <v/>
      </c>
      <c r="N995" s="125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  <c r="AB995" s="126"/>
      <c r="AC995" s="126"/>
      <c r="AD995" s="126"/>
      <c r="AE995" s="126"/>
      <c r="AF995" s="126"/>
      <c r="AG995" s="126"/>
      <c r="AH995" s="126"/>
      <c r="AI995" s="126"/>
      <c r="AJ995" s="126"/>
      <c r="AK995" s="126"/>
      <c r="AL995" s="126"/>
      <c r="AM995" s="126"/>
      <c r="AN995" s="126"/>
    </row>
    <row r="996" spans="1:40" s="127" customFormat="1" ht="21" customHeight="1" x14ac:dyDescent="0.25">
      <c r="A996" s="51" t="str">
        <f t="shared" si="45"/>
        <v/>
      </c>
      <c r="B996" s="77"/>
      <c r="C996" s="133"/>
      <c r="D996" s="50"/>
      <c r="E996" s="141"/>
      <c r="F996" s="133"/>
      <c r="G996" s="133"/>
      <c r="H996" s="50"/>
      <c r="I996" s="51" t="str">
        <f t="shared" si="46"/>
        <v/>
      </c>
      <c r="J996" s="52" t="str">
        <f t="shared" si="47"/>
        <v/>
      </c>
      <c r="K996" s="142" t="str">
        <f>IF(OR($I996="",$I996="?",$D996&lt;&gt;"Advance",$B996=""),"",$I996&amp;"|"&amp;$J996&amp;"|"&amp;COUNTIFS($I$7:$I996,$I996,$J$7:$J996,$J996,$D$7:$D996,"Advance"))</f>
        <v/>
      </c>
      <c r="L996" s="143" t="str">
        <f>IF(OR($I996="",$I996="?",$B996=""),"",SUMPRODUCT((Weeks!$A$7:$A$59&lt;=$J996)*(Weeks!$X$5:$AI$5=$I996)*Weeks!$X$7:$AI$59)-SUMIFS($E$7:$E$1006,$I$7:$I$1006,$I996,$B$7:$B$1006,"&lt;="&amp;$B996))</f>
        <v/>
      </c>
      <c r="M996" s="132" t="str">
        <f>IF($B996&amp;$C996&amp;$D996&amp;$E996="","",IF($B996="","missing date",IF($C996="","missing worker",IF($I996="?","unknown worker - was the name changed on Workers?",IF($D996="","missing type",IF(N($E996)=0,"missing amount",IF(AND($E996&lt;0,$D996&lt;&gt;"Correction"),"negative amount - use a Correction to undo",IF(OR($B996&lt;Weeks!$A$7,$B996&gt;Weeks!$B$59),"date outside this workbook's year",IF(AND($D996="Advance",N($L996)&lt;0),"Warning: more than earned so far - worker now owes "&amp;TEXT(ROUND(-$L996,0),"#,##0"),"")))))))))</f>
        <v/>
      </c>
      <c r="N996" s="125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  <c r="AB996" s="126"/>
      <c r="AC996" s="126"/>
      <c r="AD996" s="126"/>
      <c r="AE996" s="126"/>
      <c r="AF996" s="126"/>
      <c r="AG996" s="126"/>
      <c r="AH996" s="126"/>
      <c r="AI996" s="126"/>
      <c r="AJ996" s="126"/>
      <c r="AK996" s="126"/>
      <c r="AL996" s="126"/>
      <c r="AM996" s="126"/>
      <c r="AN996" s="126"/>
    </row>
    <row r="997" spans="1:40" s="127" customFormat="1" ht="21" customHeight="1" x14ac:dyDescent="0.25">
      <c r="A997" s="51" t="str">
        <f t="shared" si="45"/>
        <v/>
      </c>
      <c r="B997" s="77"/>
      <c r="C997" s="133"/>
      <c r="D997" s="50"/>
      <c r="E997" s="141"/>
      <c r="F997" s="133"/>
      <c r="G997" s="133"/>
      <c r="H997" s="50"/>
      <c r="I997" s="51" t="str">
        <f t="shared" si="46"/>
        <v/>
      </c>
      <c r="J997" s="52" t="str">
        <f t="shared" si="47"/>
        <v/>
      </c>
      <c r="K997" s="142" t="str">
        <f>IF(OR($I997="",$I997="?",$D997&lt;&gt;"Advance",$B997=""),"",$I997&amp;"|"&amp;$J997&amp;"|"&amp;COUNTIFS($I$7:$I997,$I997,$J$7:$J997,$J997,$D$7:$D997,"Advance"))</f>
        <v/>
      </c>
      <c r="L997" s="143" t="str">
        <f>IF(OR($I997="",$I997="?",$B997=""),"",SUMPRODUCT((Weeks!$A$7:$A$59&lt;=$J997)*(Weeks!$X$5:$AI$5=$I997)*Weeks!$X$7:$AI$59)-SUMIFS($E$7:$E$1006,$I$7:$I$1006,$I997,$B$7:$B$1006,"&lt;="&amp;$B997))</f>
        <v/>
      </c>
      <c r="M997" s="132" t="str">
        <f>IF($B997&amp;$C997&amp;$D997&amp;$E997="","",IF($B997="","missing date",IF($C997="","missing worker",IF($I997="?","unknown worker - was the name changed on Workers?",IF($D997="","missing type",IF(N($E997)=0,"missing amount",IF(AND($E997&lt;0,$D997&lt;&gt;"Correction"),"negative amount - use a Correction to undo",IF(OR($B997&lt;Weeks!$A$7,$B997&gt;Weeks!$B$59),"date outside this workbook's year",IF(AND($D997="Advance",N($L997)&lt;0),"Warning: more than earned so far - worker now owes "&amp;TEXT(ROUND(-$L997,0),"#,##0"),"")))))))))</f>
        <v/>
      </c>
      <c r="N997" s="125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  <c r="AB997" s="126"/>
      <c r="AC997" s="126"/>
      <c r="AD997" s="126"/>
      <c r="AE997" s="126"/>
      <c r="AF997" s="126"/>
      <c r="AG997" s="126"/>
      <c r="AH997" s="126"/>
      <c r="AI997" s="126"/>
      <c r="AJ997" s="126"/>
      <c r="AK997" s="126"/>
      <c r="AL997" s="126"/>
      <c r="AM997" s="126"/>
      <c r="AN997" s="126"/>
    </row>
    <row r="998" spans="1:40" s="127" customFormat="1" ht="21" customHeight="1" x14ac:dyDescent="0.25">
      <c r="A998" s="51" t="str">
        <f t="shared" si="45"/>
        <v/>
      </c>
      <c r="B998" s="77"/>
      <c r="C998" s="133"/>
      <c r="D998" s="50"/>
      <c r="E998" s="141"/>
      <c r="F998" s="133"/>
      <c r="G998" s="133"/>
      <c r="H998" s="50"/>
      <c r="I998" s="51" t="str">
        <f t="shared" si="46"/>
        <v/>
      </c>
      <c r="J998" s="52" t="str">
        <f t="shared" si="47"/>
        <v/>
      </c>
      <c r="K998" s="142" t="str">
        <f>IF(OR($I998="",$I998="?",$D998&lt;&gt;"Advance",$B998=""),"",$I998&amp;"|"&amp;$J998&amp;"|"&amp;COUNTIFS($I$7:$I998,$I998,$J$7:$J998,$J998,$D$7:$D998,"Advance"))</f>
        <v/>
      </c>
      <c r="L998" s="143" t="str">
        <f>IF(OR($I998="",$I998="?",$B998=""),"",SUMPRODUCT((Weeks!$A$7:$A$59&lt;=$J998)*(Weeks!$X$5:$AI$5=$I998)*Weeks!$X$7:$AI$59)-SUMIFS($E$7:$E$1006,$I$7:$I$1006,$I998,$B$7:$B$1006,"&lt;="&amp;$B998))</f>
        <v/>
      </c>
      <c r="M998" s="132" t="str">
        <f>IF($B998&amp;$C998&amp;$D998&amp;$E998="","",IF($B998="","missing date",IF($C998="","missing worker",IF($I998="?","unknown worker - was the name changed on Workers?",IF($D998="","missing type",IF(N($E998)=0,"missing amount",IF(AND($E998&lt;0,$D998&lt;&gt;"Correction"),"negative amount - use a Correction to undo",IF(OR($B998&lt;Weeks!$A$7,$B998&gt;Weeks!$B$59),"date outside this workbook's year",IF(AND($D998="Advance",N($L998)&lt;0),"Warning: more than earned so far - worker now owes "&amp;TEXT(ROUND(-$L998,0),"#,##0"),"")))))))))</f>
        <v/>
      </c>
      <c r="N998" s="125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  <c r="AB998" s="126"/>
      <c r="AC998" s="126"/>
      <c r="AD998" s="126"/>
      <c r="AE998" s="126"/>
      <c r="AF998" s="126"/>
      <c r="AG998" s="126"/>
      <c r="AH998" s="126"/>
      <c r="AI998" s="126"/>
      <c r="AJ998" s="126"/>
      <c r="AK998" s="126"/>
      <c r="AL998" s="126"/>
      <c r="AM998" s="126"/>
      <c r="AN998" s="126"/>
    </row>
    <row r="999" spans="1:40" s="127" customFormat="1" ht="21" customHeight="1" x14ac:dyDescent="0.25">
      <c r="A999" s="51" t="str">
        <f t="shared" si="45"/>
        <v/>
      </c>
      <c r="B999" s="77"/>
      <c r="C999" s="133"/>
      <c r="D999" s="50"/>
      <c r="E999" s="141"/>
      <c r="F999" s="133"/>
      <c r="G999" s="133"/>
      <c r="H999" s="50"/>
      <c r="I999" s="51" t="str">
        <f t="shared" si="46"/>
        <v/>
      </c>
      <c r="J999" s="52" t="str">
        <f t="shared" si="47"/>
        <v/>
      </c>
      <c r="K999" s="142" t="str">
        <f>IF(OR($I999="",$I999="?",$D999&lt;&gt;"Advance",$B999=""),"",$I999&amp;"|"&amp;$J999&amp;"|"&amp;COUNTIFS($I$7:$I999,$I999,$J$7:$J999,$J999,$D$7:$D999,"Advance"))</f>
        <v/>
      </c>
      <c r="L999" s="143" t="str">
        <f>IF(OR($I999="",$I999="?",$B999=""),"",SUMPRODUCT((Weeks!$A$7:$A$59&lt;=$J999)*(Weeks!$X$5:$AI$5=$I999)*Weeks!$X$7:$AI$59)-SUMIFS($E$7:$E$1006,$I$7:$I$1006,$I999,$B$7:$B$1006,"&lt;="&amp;$B999))</f>
        <v/>
      </c>
      <c r="M999" s="132" t="str">
        <f>IF($B999&amp;$C999&amp;$D999&amp;$E999="","",IF($B999="","missing date",IF($C999="","missing worker",IF($I999="?","unknown worker - was the name changed on Workers?",IF($D999="","missing type",IF(N($E999)=0,"missing amount",IF(AND($E999&lt;0,$D999&lt;&gt;"Correction"),"negative amount - use a Correction to undo",IF(OR($B999&lt;Weeks!$A$7,$B999&gt;Weeks!$B$59),"date outside this workbook's year",IF(AND($D999="Advance",N($L999)&lt;0),"Warning: more than earned so far - worker now owes "&amp;TEXT(ROUND(-$L999,0),"#,##0"),"")))))))))</f>
        <v/>
      </c>
      <c r="N999" s="125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  <c r="AB999" s="126"/>
      <c r="AC999" s="126"/>
      <c r="AD999" s="126"/>
      <c r="AE999" s="126"/>
      <c r="AF999" s="126"/>
      <c r="AG999" s="126"/>
      <c r="AH999" s="126"/>
      <c r="AI999" s="126"/>
      <c r="AJ999" s="126"/>
      <c r="AK999" s="126"/>
      <c r="AL999" s="126"/>
      <c r="AM999" s="126"/>
      <c r="AN999" s="126"/>
    </row>
    <row r="1000" spans="1:40" s="127" customFormat="1" ht="21" customHeight="1" x14ac:dyDescent="0.25">
      <c r="A1000" s="51" t="str">
        <f t="shared" si="45"/>
        <v/>
      </c>
      <c r="B1000" s="77"/>
      <c r="C1000" s="133"/>
      <c r="D1000" s="50"/>
      <c r="E1000" s="141"/>
      <c r="F1000" s="133"/>
      <c r="G1000" s="133"/>
      <c r="H1000" s="50"/>
      <c r="I1000" s="51" t="str">
        <f t="shared" si="46"/>
        <v/>
      </c>
      <c r="J1000" s="52" t="str">
        <f t="shared" si="47"/>
        <v/>
      </c>
      <c r="K1000" s="142" t="str">
        <f>IF(OR($I1000="",$I1000="?",$D1000&lt;&gt;"Advance",$B1000=""),"",$I1000&amp;"|"&amp;$J1000&amp;"|"&amp;COUNTIFS($I$7:$I1000,$I1000,$J$7:$J1000,$J1000,$D$7:$D1000,"Advance"))</f>
        <v/>
      </c>
      <c r="L1000" s="143" t="str">
        <f>IF(OR($I1000="",$I1000="?",$B1000=""),"",SUMPRODUCT((Weeks!$A$7:$A$59&lt;=$J1000)*(Weeks!$X$5:$AI$5=$I1000)*Weeks!$X$7:$AI$59)-SUMIFS($E$7:$E$1006,$I$7:$I$1006,$I1000,$B$7:$B$1006,"&lt;="&amp;$B1000))</f>
        <v/>
      </c>
      <c r="M1000" s="132" t="str">
        <f>IF($B1000&amp;$C1000&amp;$D1000&amp;$E1000="","",IF($B1000="","missing date",IF($C1000="","missing worker",IF($I1000="?","unknown worker - was the name changed on Workers?",IF($D1000="","missing type",IF(N($E1000)=0,"missing amount",IF(AND($E1000&lt;0,$D1000&lt;&gt;"Correction"),"negative amount - use a Correction to undo",IF(OR($B1000&lt;Weeks!$A$7,$B1000&gt;Weeks!$B$59),"date outside this workbook's year",IF(AND($D1000="Advance",N($L1000)&lt;0),"Warning: more than earned so far - worker now owes "&amp;TEXT(ROUND(-$L1000,0),"#,##0"),"")))))))))</f>
        <v/>
      </c>
      <c r="N1000" s="125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  <c r="AB1000" s="126"/>
      <c r="AC1000" s="126"/>
      <c r="AD1000" s="126"/>
      <c r="AE1000" s="126"/>
      <c r="AF1000" s="126"/>
      <c r="AG1000" s="126"/>
      <c r="AH1000" s="126"/>
      <c r="AI1000" s="126"/>
      <c r="AJ1000" s="126"/>
      <c r="AK1000" s="126"/>
      <c r="AL1000" s="126"/>
      <c r="AM1000" s="126"/>
      <c r="AN1000" s="126"/>
    </row>
    <row r="1001" spans="1:40" s="127" customFormat="1" ht="21" customHeight="1" x14ac:dyDescent="0.25">
      <c r="A1001" s="51" t="str">
        <f t="shared" si="45"/>
        <v/>
      </c>
      <c r="B1001" s="77"/>
      <c r="C1001" s="133"/>
      <c r="D1001" s="50"/>
      <c r="E1001" s="141"/>
      <c r="F1001" s="133"/>
      <c r="G1001" s="133"/>
      <c r="H1001" s="50"/>
      <c r="I1001" s="51" t="str">
        <f t="shared" si="46"/>
        <v/>
      </c>
      <c r="J1001" s="52" t="str">
        <f t="shared" si="47"/>
        <v/>
      </c>
      <c r="K1001" s="142" t="str">
        <f>IF(OR($I1001="",$I1001="?",$D1001&lt;&gt;"Advance",$B1001=""),"",$I1001&amp;"|"&amp;$J1001&amp;"|"&amp;COUNTIFS($I$7:$I1001,$I1001,$J$7:$J1001,$J1001,$D$7:$D1001,"Advance"))</f>
        <v/>
      </c>
      <c r="L1001" s="143" t="str">
        <f>IF(OR($I1001="",$I1001="?",$B1001=""),"",SUMPRODUCT((Weeks!$A$7:$A$59&lt;=$J1001)*(Weeks!$X$5:$AI$5=$I1001)*Weeks!$X$7:$AI$59)-SUMIFS($E$7:$E$1006,$I$7:$I$1006,$I1001,$B$7:$B$1006,"&lt;="&amp;$B1001))</f>
        <v/>
      </c>
      <c r="M1001" s="132" t="str">
        <f>IF($B1001&amp;$C1001&amp;$D1001&amp;$E1001="","",IF($B1001="","missing date",IF($C1001="","missing worker",IF($I1001="?","unknown worker - was the name changed on Workers?",IF($D1001="","missing type",IF(N($E1001)=0,"missing amount",IF(AND($E1001&lt;0,$D1001&lt;&gt;"Correction"),"negative amount - use a Correction to undo",IF(OR($B1001&lt;Weeks!$A$7,$B1001&gt;Weeks!$B$59),"date outside this workbook's year",IF(AND($D1001="Advance",N($L1001)&lt;0),"Warning: more than earned so far - worker now owes "&amp;TEXT(ROUND(-$L1001,0),"#,##0"),"")))))))))</f>
        <v/>
      </c>
      <c r="N1001" s="125"/>
      <c r="O1001" s="126"/>
      <c r="P1001" s="126"/>
      <c r="Q1001" s="126"/>
      <c r="R1001" s="126"/>
      <c r="S1001" s="126"/>
      <c r="T1001" s="126"/>
      <c r="U1001" s="126"/>
      <c r="V1001" s="126"/>
      <c r="W1001" s="126"/>
      <c r="X1001" s="126"/>
      <c r="Y1001" s="126"/>
      <c r="Z1001" s="126"/>
      <c r="AA1001" s="126"/>
      <c r="AB1001" s="126"/>
      <c r="AC1001" s="126"/>
      <c r="AD1001" s="126"/>
      <c r="AE1001" s="126"/>
      <c r="AF1001" s="126"/>
      <c r="AG1001" s="126"/>
      <c r="AH1001" s="126"/>
      <c r="AI1001" s="126"/>
      <c r="AJ1001" s="126"/>
      <c r="AK1001" s="126"/>
      <c r="AL1001" s="126"/>
      <c r="AM1001" s="126"/>
      <c r="AN1001" s="126"/>
    </row>
    <row r="1002" spans="1:40" s="127" customFormat="1" ht="21" customHeight="1" x14ac:dyDescent="0.25">
      <c r="A1002" s="51" t="str">
        <f t="shared" si="45"/>
        <v/>
      </c>
      <c r="B1002" s="77"/>
      <c r="C1002" s="133"/>
      <c r="D1002" s="50"/>
      <c r="E1002" s="141"/>
      <c r="F1002" s="133"/>
      <c r="G1002" s="133"/>
      <c r="H1002" s="50"/>
      <c r="I1002" s="51" t="str">
        <f t="shared" si="46"/>
        <v/>
      </c>
      <c r="J1002" s="52" t="str">
        <f t="shared" si="47"/>
        <v/>
      </c>
      <c r="K1002" s="142" t="str">
        <f>IF(OR($I1002="",$I1002="?",$D1002&lt;&gt;"Advance",$B1002=""),"",$I1002&amp;"|"&amp;$J1002&amp;"|"&amp;COUNTIFS($I$7:$I1002,$I1002,$J$7:$J1002,$J1002,$D$7:$D1002,"Advance"))</f>
        <v/>
      </c>
      <c r="L1002" s="143" t="str">
        <f>IF(OR($I1002="",$I1002="?",$B1002=""),"",SUMPRODUCT((Weeks!$A$7:$A$59&lt;=$J1002)*(Weeks!$X$5:$AI$5=$I1002)*Weeks!$X$7:$AI$59)-SUMIFS($E$7:$E$1006,$I$7:$I$1006,$I1002,$B$7:$B$1006,"&lt;="&amp;$B1002))</f>
        <v/>
      </c>
      <c r="M1002" s="132" t="str">
        <f>IF($B1002&amp;$C1002&amp;$D1002&amp;$E1002="","",IF($B1002="","missing date",IF($C1002="","missing worker",IF($I1002="?","unknown worker - was the name changed on Workers?",IF($D1002="","missing type",IF(N($E1002)=0,"missing amount",IF(AND($E1002&lt;0,$D1002&lt;&gt;"Correction"),"negative amount - use a Correction to undo",IF(OR($B1002&lt;Weeks!$A$7,$B1002&gt;Weeks!$B$59),"date outside this workbook's year",IF(AND($D1002="Advance",N($L1002)&lt;0),"Warning: more than earned so far - worker now owes "&amp;TEXT(ROUND(-$L1002,0),"#,##0"),"")))))))))</f>
        <v/>
      </c>
      <c r="N1002" s="125"/>
      <c r="O1002" s="126"/>
      <c r="P1002" s="126"/>
      <c r="Q1002" s="126"/>
      <c r="R1002" s="126"/>
      <c r="S1002" s="126"/>
      <c r="T1002" s="126"/>
      <c r="U1002" s="126"/>
      <c r="V1002" s="126"/>
      <c r="W1002" s="126"/>
      <c r="X1002" s="126"/>
      <c r="Y1002" s="126"/>
      <c r="Z1002" s="126"/>
      <c r="AA1002" s="126"/>
      <c r="AB1002" s="126"/>
      <c r="AC1002" s="126"/>
      <c r="AD1002" s="126"/>
      <c r="AE1002" s="126"/>
      <c r="AF1002" s="126"/>
      <c r="AG1002" s="126"/>
      <c r="AH1002" s="126"/>
      <c r="AI1002" s="126"/>
      <c r="AJ1002" s="126"/>
      <c r="AK1002" s="126"/>
      <c r="AL1002" s="126"/>
      <c r="AM1002" s="126"/>
      <c r="AN1002" s="126"/>
    </row>
    <row r="1003" spans="1:40" s="127" customFormat="1" ht="21" customHeight="1" x14ac:dyDescent="0.25">
      <c r="A1003" s="51" t="str">
        <f t="shared" si="45"/>
        <v/>
      </c>
      <c r="B1003" s="77"/>
      <c r="C1003" s="133"/>
      <c r="D1003" s="50"/>
      <c r="E1003" s="141"/>
      <c r="F1003" s="133"/>
      <c r="G1003" s="133"/>
      <c r="H1003" s="50"/>
      <c r="I1003" s="51" t="str">
        <f t="shared" si="46"/>
        <v/>
      </c>
      <c r="J1003" s="52" t="str">
        <f t="shared" si="47"/>
        <v/>
      </c>
      <c r="K1003" s="142" t="str">
        <f>IF(OR($I1003="",$I1003="?",$D1003&lt;&gt;"Advance",$B1003=""),"",$I1003&amp;"|"&amp;$J1003&amp;"|"&amp;COUNTIFS($I$7:$I1003,$I1003,$J$7:$J1003,$J1003,$D$7:$D1003,"Advance"))</f>
        <v/>
      </c>
      <c r="L1003" s="143" t="str">
        <f>IF(OR($I1003="",$I1003="?",$B1003=""),"",SUMPRODUCT((Weeks!$A$7:$A$59&lt;=$J1003)*(Weeks!$X$5:$AI$5=$I1003)*Weeks!$X$7:$AI$59)-SUMIFS($E$7:$E$1006,$I$7:$I$1006,$I1003,$B$7:$B$1006,"&lt;="&amp;$B1003))</f>
        <v/>
      </c>
      <c r="M1003" s="132" t="str">
        <f>IF($B1003&amp;$C1003&amp;$D1003&amp;$E1003="","",IF($B1003="","missing date",IF($C1003="","missing worker",IF($I1003="?","unknown worker - was the name changed on Workers?",IF($D1003="","missing type",IF(N($E1003)=0,"missing amount",IF(AND($E1003&lt;0,$D1003&lt;&gt;"Correction"),"negative amount - use a Correction to undo",IF(OR($B1003&lt;Weeks!$A$7,$B1003&gt;Weeks!$B$59),"date outside this workbook's year",IF(AND($D1003="Advance",N($L1003)&lt;0),"Warning: more than earned so far - worker now owes "&amp;TEXT(ROUND(-$L1003,0),"#,##0"),"")))))))))</f>
        <v/>
      </c>
      <c r="N1003" s="125"/>
      <c r="O1003" s="126"/>
      <c r="P1003" s="126"/>
      <c r="Q1003" s="126"/>
      <c r="R1003" s="126"/>
      <c r="S1003" s="126"/>
      <c r="T1003" s="126"/>
      <c r="U1003" s="126"/>
      <c r="V1003" s="126"/>
      <c r="W1003" s="126"/>
      <c r="X1003" s="126"/>
      <c r="Y1003" s="126"/>
      <c r="Z1003" s="126"/>
      <c r="AA1003" s="126"/>
      <c r="AB1003" s="126"/>
      <c r="AC1003" s="126"/>
      <c r="AD1003" s="126"/>
      <c r="AE1003" s="126"/>
      <c r="AF1003" s="126"/>
      <c r="AG1003" s="126"/>
      <c r="AH1003" s="126"/>
      <c r="AI1003" s="126"/>
      <c r="AJ1003" s="126"/>
      <c r="AK1003" s="126"/>
      <c r="AL1003" s="126"/>
      <c r="AM1003" s="126"/>
      <c r="AN1003" s="126"/>
    </row>
    <row r="1004" spans="1:40" s="127" customFormat="1" ht="21" customHeight="1" x14ac:dyDescent="0.25">
      <c r="A1004" s="51" t="str">
        <f t="shared" si="45"/>
        <v/>
      </c>
      <c r="B1004" s="77"/>
      <c r="C1004" s="133"/>
      <c r="D1004" s="50"/>
      <c r="E1004" s="141"/>
      <c r="F1004" s="133"/>
      <c r="G1004" s="133"/>
      <c r="H1004" s="50"/>
      <c r="I1004" s="51" t="str">
        <f t="shared" si="46"/>
        <v/>
      </c>
      <c r="J1004" s="52" t="str">
        <f t="shared" si="47"/>
        <v/>
      </c>
      <c r="K1004" s="142" t="str">
        <f>IF(OR($I1004="",$I1004="?",$D1004&lt;&gt;"Advance",$B1004=""),"",$I1004&amp;"|"&amp;$J1004&amp;"|"&amp;COUNTIFS($I$7:$I1004,$I1004,$J$7:$J1004,$J1004,$D$7:$D1004,"Advance"))</f>
        <v/>
      </c>
      <c r="L1004" s="143" t="str">
        <f>IF(OR($I1004="",$I1004="?",$B1004=""),"",SUMPRODUCT((Weeks!$A$7:$A$59&lt;=$J1004)*(Weeks!$X$5:$AI$5=$I1004)*Weeks!$X$7:$AI$59)-SUMIFS($E$7:$E$1006,$I$7:$I$1006,$I1004,$B$7:$B$1006,"&lt;="&amp;$B1004))</f>
        <v/>
      </c>
      <c r="M1004" s="132" t="str">
        <f>IF($B1004&amp;$C1004&amp;$D1004&amp;$E1004="","",IF($B1004="","missing date",IF($C1004="","missing worker",IF($I1004="?","unknown worker - was the name changed on Workers?",IF($D1004="","missing type",IF(N($E1004)=0,"missing amount",IF(AND($E1004&lt;0,$D1004&lt;&gt;"Correction"),"negative amount - use a Correction to undo",IF(OR($B1004&lt;Weeks!$A$7,$B1004&gt;Weeks!$B$59),"date outside this workbook's year",IF(AND($D1004="Advance",N($L1004)&lt;0),"Warning: more than earned so far - worker now owes "&amp;TEXT(ROUND(-$L1004,0),"#,##0"),"")))))))))</f>
        <v/>
      </c>
      <c r="N1004" s="125"/>
      <c r="O1004" s="126"/>
      <c r="P1004" s="126"/>
      <c r="Q1004" s="126"/>
      <c r="R1004" s="126"/>
      <c r="S1004" s="126"/>
      <c r="T1004" s="126"/>
      <c r="U1004" s="126"/>
      <c r="V1004" s="126"/>
      <c r="W1004" s="126"/>
      <c r="X1004" s="126"/>
      <c r="Y1004" s="126"/>
      <c r="Z1004" s="126"/>
      <c r="AA1004" s="126"/>
      <c r="AB1004" s="126"/>
      <c r="AC1004" s="126"/>
      <c r="AD1004" s="126"/>
      <c r="AE1004" s="126"/>
      <c r="AF1004" s="126"/>
      <c r="AG1004" s="126"/>
      <c r="AH1004" s="126"/>
      <c r="AI1004" s="126"/>
      <c r="AJ1004" s="126"/>
      <c r="AK1004" s="126"/>
      <c r="AL1004" s="126"/>
      <c r="AM1004" s="126"/>
      <c r="AN1004" s="126"/>
    </row>
    <row r="1005" spans="1:40" s="127" customFormat="1" ht="21" customHeight="1" x14ac:dyDescent="0.25">
      <c r="A1005" s="51" t="str">
        <f t="shared" si="45"/>
        <v/>
      </c>
      <c r="B1005" s="77"/>
      <c r="C1005" s="133"/>
      <c r="D1005" s="50"/>
      <c r="E1005" s="141"/>
      <c r="F1005" s="133"/>
      <c r="G1005" s="133"/>
      <c r="H1005" s="50"/>
      <c r="I1005" s="51" t="str">
        <f t="shared" si="46"/>
        <v/>
      </c>
      <c r="J1005" s="52" t="str">
        <f t="shared" si="47"/>
        <v/>
      </c>
      <c r="K1005" s="142" t="str">
        <f>IF(OR($I1005="",$I1005="?",$D1005&lt;&gt;"Advance",$B1005=""),"",$I1005&amp;"|"&amp;$J1005&amp;"|"&amp;COUNTIFS($I$7:$I1005,$I1005,$J$7:$J1005,$J1005,$D$7:$D1005,"Advance"))</f>
        <v/>
      </c>
      <c r="L1005" s="143" t="str">
        <f>IF(OR($I1005="",$I1005="?",$B1005=""),"",SUMPRODUCT((Weeks!$A$7:$A$59&lt;=$J1005)*(Weeks!$X$5:$AI$5=$I1005)*Weeks!$X$7:$AI$59)-SUMIFS($E$7:$E$1006,$I$7:$I$1006,$I1005,$B$7:$B$1006,"&lt;="&amp;$B1005))</f>
        <v/>
      </c>
      <c r="M1005" s="132" t="str">
        <f>IF($B1005&amp;$C1005&amp;$D1005&amp;$E1005="","",IF($B1005="","missing date",IF($C1005="","missing worker",IF($I1005="?","unknown worker - was the name changed on Workers?",IF($D1005="","missing type",IF(N($E1005)=0,"missing amount",IF(AND($E1005&lt;0,$D1005&lt;&gt;"Correction"),"negative amount - use a Correction to undo",IF(OR($B1005&lt;Weeks!$A$7,$B1005&gt;Weeks!$B$59),"date outside this workbook's year",IF(AND($D1005="Advance",N($L1005)&lt;0),"Warning: more than earned so far - worker now owes "&amp;TEXT(ROUND(-$L1005,0),"#,##0"),"")))))))))</f>
        <v/>
      </c>
      <c r="N1005" s="125"/>
      <c r="O1005" s="126"/>
      <c r="P1005" s="126"/>
      <c r="Q1005" s="126"/>
      <c r="R1005" s="126"/>
      <c r="S1005" s="126"/>
      <c r="T1005" s="126"/>
      <c r="U1005" s="126"/>
      <c r="V1005" s="126"/>
      <c r="W1005" s="126"/>
      <c r="X1005" s="126"/>
      <c r="Y1005" s="126"/>
      <c r="Z1005" s="126"/>
      <c r="AA1005" s="126"/>
      <c r="AB1005" s="126"/>
      <c r="AC1005" s="126"/>
      <c r="AD1005" s="126"/>
      <c r="AE1005" s="126"/>
      <c r="AF1005" s="126"/>
      <c r="AG1005" s="126"/>
      <c r="AH1005" s="126"/>
      <c r="AI1005" s="126"/>
      <c r="AJ1005" s="126"/>
      <c r="AK1005" s="126"/>
      <c r="AL1005" s="126"/>
      <c r="AM1005" s="126"/>
      <c r="AN1005" s="126"/>
    </row>
    <row r="1006" spans="1:40" s="127" customFormat="1" ht="21" customHeight="1" x14ac:dyDescent="0.25">
      <c r="A1006" s="46" t="str">
        <f t="shared" si="45"/>
        <v/>
      </c>
      <c r="B1006" s="76"/>
      <c r="C1006" s="136"/>
      <c r="D1006" s="44"/>
      <c r="E1006" s="144"/>
      <c r="F1006" s="136"/>
      <c r="G1006" s="136"/>
      <c r="H1006" s="44"/>
      <c r="I1006" s="46" t="str">
        <f t="shared" si="46"/>
        <v/>
      </c>
      <c r="J1006" s="48" t="str">
        <f t="shared" si="47"/>
        <v/>
      </c>
      <c r="K1006" s="145" t="str">
        <f>IF(OR($I1006="",$I1006="?",$D1006&lt;&gt;"Advance",$B1006=""),"",$I1006&amp;"|"&amp;$J1006&amp;"|"&amp;COUNTIFS($I$7:$I1006,$I1006,$J$7:$J1006,$J1006,$D$7:$D1006,"Advance"))</f>
        <v/>
      </c>
      <c r="L1006" s="146" t="str">
        <f>IF(OR($I1006="",$I1006="?",$B1006=""),"",SUMPRODUCT((Weeks!$A$7:$A$59&lt;=$J1006)*(Weeks!$X$5:$AI$5=$I1006)*Weeks!$X$7:$AI$59)-SUMIFS($E$7:$E$1006,$I$7:$I$1006,$I1006,$B$7:$B$1006,"&lt;="&amp;$B1006))</f>
        <v/>
      </c>
      <c r="M1006" s="135" t="str">
        <f>IF($B1006&amp;$C1006&amp;$D1006&amp;$E1006="","",IF($B1006="","missing date",IF($C1006="","missing worker",IF($I1006="?","unknown worker - was the name changed on Workers?",IF($D1006="","missing type",IF(N($E1006)=0,"missing amount",IF(AND($E1006&lt;0,$D1006&lt;&gt;"Correction"),"negative amount - use a Correction to undo",IF(OR($B1006&lt;Weeks!$A$7,$B1006&gt;Weeks!$B$59),"date outside this workbook's year",IF(AND($D1006="Advance",N($L1006)&lt;0),"Warning: more than earned so far - worker now owes "&amp;TEXT(ROUND(-$L1006,0),"#,##0"),"")))))))))</f>
        <v/>
      </c>
      <c r="N1006" s="137"/>
      <c r="O1006" s="126"/>
      <c r="P1006" s="126"/>
      <c r="Q1006" s="126"/>
      <c r="R1006" s="126"/>
      <c r="S1006" s="126"/>
      <c r="T1006" s="126"/>
      <c r="U1006" s="126"/>
      <c r="V1006" s="126"/>
      <c r="W1006" s="126"/>
      <c r="X1006" s="126"/>
      <c r="Y1006" s="126"/>
      <c r="Z1006" s="126"/>
      <c r="AA1006" s="126"/>
      <c r="AB1006" s="126"/>
      <c r="AC1006" s="126"/>
      <c r="AD1006" s="126"/>
      <c r="AE1006" s="126"/>
      <c r="AF1006" s="126"/>
      <c r="AG1006" s="126"/>
      <c r="AH1006" s="126"/>
      <c r="AI1006" s="126"/>
      <c r="AJ1006" s="126"/>
      <c r="AK1006" s="126"/>
      <c r="AL1006" s="126"/>
      <c r="AM1006" s="126"/>
      <c r="AN1006" s="126"/>
    </row>
  </sheetData>
  <autoFilter ref="A6:M1006" xr:uid="{00000000-0009-0000-0000-000002000000}"/>
  <mergeCells count="11">
    <mergeCell ref="P1:Q1"/>
    <mergeCell ref="A1:C1"/>
    <mergeCell ref="E1:F1"/>
    <mergeCell ref="G1:H1"/>
    <mergeCell ref="I1:M1"/>
    <mergeCell ref="N1:O1"/>
    <mergeCell ref="R1:S1"/>
    <mergeCell ref="T1:U1"/>
    <mergeCell ref="W1:X1"/>
    <mergeCell ref="Y1:Z1"/>
    <mergeCell ref="AA1:AB1"/>
  </mergeCells>
  <conditionalFormatting sqref="M7:M1006">
    <cfRule type="expression" dxfId="11" priority="2">
      <formula>LEN(M7)&gt;0</formula>
    </cfRule>
  </conditionalFormatting>
  <dataValidations count="4">
    <dataValidation type="date" operator="greaterThan" allowBlank="1" showErrorMessage="1" error="Type a date, e.g. 2026-09-23." sqref="B7:B1006" xr:uid="{00000000-0002-0000-0200-000000000000}">
      <formula1>36526</formula1>
      <formula2>0</formula2>
    </dataValidation>
    <dataValidation type="list" allowBlank="1" showErrorMessage="1" error="Pick a value from the list." sqref="C7:C1006" xr:uid="{00000000-0002-0000-0200-000001000000}">
      <formula1>WorkerNames</formula1>
      <formula2>0</formula2>
    </dataValidation>
    <dataValidation type="list" allowBlank="1" showInputMessage="1" showErrorMessage="1" error="Pick a value from the list." prompt="Advance: money before payday. Weekly pay: payday cash. Correction: undo a mistake (may be negative)." sqref="D7:D1006" xr:uid="{00000000-0002-0000-0200-000002000000}">
      <formula1>EntryTypes</formula1>
      <formula2>0</formula2>
    </dataValidation>
    <dataValidation type="list" allowBlank="1" showErrorMessage="1" error="Pick a value from the list." sqref="H7:H1006" xr:uid="{00000000-0002-0000-0200-000003000000}">
      <formula1>YesNo</formula1>
      <formula2>0</formula2>
    </dataValidation>
  </dataValidations>
  <hyperlinks>
    <hyperlink ref="D1" location="'Home'!A1" tooltip="Go to Home" display="Home" xr:uid="{2D090347-E200-4692-9E97-FB291EC09DC6}"/>
    <hyperlink ref="E1" location="'Daily Log'!A1" tooltip="Go to Daily Log" display="Daily Log" xr:uid="{082995EC-0D00-49A3-8952-C0103FF1F52D}"/>
    <hyperlink ref="I1" location="'Weekly Pay'!A1" tooltip="Go to Weekly Pay" display="Weekly Pay" xr:uid="{B71F49EA-1E4B-42E7-956D-1FCEB134FA77}"/>
    <hyperlink ref="N1" location="'Payslip'!A1" tooltip="Go to Payslip" display="Payslip" xr:uid="{81325B32-B457-4E18-8B0E-B40D96C80664}"/>
    <hyperlink ref="P1" location="'Workers'!A1" tooltip="Go to Workers" display="Workers" xr:uid="{42D7EB28-F35B-432F-B979-4DC374025A86}"/>
    <hyperlink ref="R1" location="'Settings'!A1" tooltip="Go to Settings" display="Settings" xr:uid="{15527246-7E91-4758-97D8-EA9B6A50ED49}"/>
    <hyperlink ref="T1" location="'Guide'!A1" tooltip="Go to Guide" display="Guide" xr:uid="{97BACD2A-6C52-4AD2-B859-1238A2A85C79}"/>
    <hyperlink ref="W1" location="'Worker History'!A1" tooltip="Go to Worker History" display="History" xr:uid="{1502548E-C76E-46E0-82AE-7995397DE28A}"/>
    <hyperlink ref="Y1" location="'Weeks'!A1" tooltip="Go to Weeks" display="Weeks" xr:uid="{8C64E481-6496-4DB8-9D57-BDAC3581C608}"/>
    <hyperlink ref="AA1" location="'Checks'!A1" tooltip="Go to Checks" display="Checks" xr:uid="{231FEA40-C3B5-4FFA-AED8-763F9894FA85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46E5"/>
    <pageSetUpPr fitToPage="1"/>
  </sheetPr>
  <dimension ref="A1:AN35"/>
  <sheetViews>
    <sheetView showGridLines="0" zoomScaleNormal="10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J1" sqref="J1:K1"/>
    </sheetView>
  </sheetViews>
  <sheetFormatPr defaultColWidth="8.5703125" defaultRowHeight="15" outlineLevelCol="1" x14ac:dyDescent="0.25"/>
  <cols>
    <col min="1" max="1" width="6" customWidth="1"/>
    <col min="2" max="2" width="20" customWidth="1"/>
    <col min="3" max="3" width="13" bestFit="1" customWidth="1"/>
    <col min="4" max="4" width="12.28515625" bestFit="1" customWidth="1"/>
    <col min="5" max="5" width="8" customWidth="1"/>
    <col min="6" max="6" width="14" customWidth="1"/>
    <col min="7" max="7" width="15" customWidth="1"/>
    <col min="8" max="8" width="13" customWidth="1"/>
    <col min="9" max="9" width="12" customWidth="1"/>
    <col min="10" max="10" width="14" customWidth="1"/>
    <col min="11" max="11" width="15" customWidth="1"/>
    <col min="12" max="12" width="14" customWidth="1"/>
    <col min="13" max="13" width="13" customWidth="1"/>
    <col min="14" max="14" width="15" customWidth="1"/>
    <col min="15" max="15" width="26" customWidth="1"/>
    <col min="17" max="17" width="14.28515625" customWidth="1"/>
    <col min="18" max="18" width="17.140625" customWidth="1"/>
    <col min="19" max="19" width="13.28515625" customWidth="1"/>
    <col min="20" max="20" width="17.140625" customWidth="1"/>
    <col min="21" max="21" width="0" hidden="1" customWidth="1" outlineLevel="1"/>
    <col min="22" max="22" width="8.5703125" collapsed="1"/>
  </cols>
  <sheetData>
    <row r="1" spans="1:40" s="1" customFormat="1" ht="30" customHeight="1" thickBot="1" x14ac:dyDescent="0.3">
      <c r="A1" s="185" t="s">
        <v>196</v>
      </c>
      <c r="B1" s="185"/>
      <c r="C1" s="29" t="s">
        <v>197</v>
      </c>
      <c r="D1" s="181" t="s">
        <v>9</v>
      </c>
      <c r="E1" s="182"/>
      <c r="F1" s="181" t="s">
        <v>12</v>
      </c>
      <c r="G1" s="182"/>
      <c r="H1" s="205" t="s">
        <v>67</v>
      </c>
      <c r="I1" s="205"/>
      <c r="J1" s="181" t="s">
        <v>93</v>
      </c>
      <c r="K1" s="182"/>
      <c r="L1" s="181" t="s">
        <v>118</v>
      </c>
      <c r="M1" s="182"/>
      <c r="N1" s="181" t="s">
        <v>137</v>
      </c>
      <c r="O1" s="182"/>
      <c r="P1" s="181" t="s">
        <v>198</v>
      </c>
      <c r="Q1" s="182"/>
      <c r="R1" s="31" t="s">
        <v>199</v>
      </c>
      <c r="S1" s="183" t="s">
        <v>200</v>
      </c>
      <c r="T1" s="184"/>
      <c r="U1" s="183" t="s">
        <v>166</v>
      </c>
      <c r="V1" s="184"/>
      <c r="W1" s="184"/>
      <c r="X1" s="183" t="s">
        <v>155</v>
      </c>
      <c r="Y1" s="184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0" ht="36" customHeight="1" thickTop="1" x14ac:dyDescent="0.45">
      <c r="A2" s="172" t="s">
        <v>67</v>
      </c>
      <c r="B2" s="33"/>
      <c r="C2" s="33"/>
      <c r="D2" s="33"/>
      <c r="E2" s="33"/>
      <c r="F2" s="33"/>
      <c r="G2" s="33"/>
      <c r="H2" s="34"/>
      <c r="I2" s="34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6.5" x14ac:dyDescent="0.3">
      <c r="A3" s="35" t="s">
        <v>195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6.5" x14ac:dyDescent="0.3">
      <c r="A4" s="3"/>
      <c r="B4" s="3"/>
      <c r="C4" s="3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7.25" x14ac:dyDescent="0.3">
      <c r="A5" s="3"/>
      <c r="B5" s="84" t="s">
        <v>68</v>
      </c>
      <c r="C5" s="80">
        <v>46286</v>
      </c>
      <c r="D5" s="123">
        <f>$C$5+6</f>
        <v>46292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6.5" x14ac:dyDescent="0.3">
      <c r="A6" s="3"/>
      <c r="B6" s="3"/>
      <c r="C6" s="3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6.5" x14ac:dyDescent="0.3">
      <c r="A7" s="3"/>
      <c r="B7" s="211" t="s">
        <v>69</v>
      </c>
      <c r="C7" s="211"/>
      <c r="D7" s="211" t="s">
        <v>46</v>
      </c>
      <c r="E7" s="211"/>
      <c r="F7" s="211" t="s">
        <v>70</v>
      </c>
      <c r="G7" s="211"/>
      <c r="H7" s="211" t="s">
        <v>47</v>
      </c>
      <c r="I7" s="211"/>
      <c r="J7" s="211" t="s">
        <v>71</v>
      </c>
      <c r="K7" s="211"/>
      <c r="L7" s="211" t="s">
        <v>72</v>
      </c>
      <c r="M7" s="211"/>
      <c r="N7" s="21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8.75" x14ac:dyDescent="0.3">
      <c r="A8" s="33"/>
      <c r="B8" s="212">
        <f>IFERROR(INDEX(Weeks!$E$7:$E$59,MATCH($C$5,Weeks!$A$7:$A$59,0)),0)</f>
        <v>11857</v>
      </c>
      <c r="C8" s="212"/>
      <c r="D8" s="212">
        <f>IFERROR(INDEX(Weeks!$F$7:$F$59,MATCH($C$5,Weeks!$A$7:$A$59,0)),0)</f>
        <v>11857</v>
      </c>
      <c r="E8" s="212"/>
      <c r="F8" s="213">
        <f>IFERROR(INDEX(Weeks!$G$7:$G$59,MATCH($C$5,Weeks!$A$7:$A$59,0)),0)</f>
        <v>5928500</v>
      </c>
      <c r="G8" s="213"/>
      <c r="H8" s="214">
        <f>IFERROR(INDEX(Weeks!$H$7:$H$59,MATCH($C$5,Weeks!$A$7:$A$59,0)),0)</f>
        <v>24</v>
      </c>
      <c r="I8" s="214"/>
      <c r="J8" s="215">
        <f>IFERROR(INDEX(Weeks!$I$7:$I$59,MATCH($C$5,Weeks!$A$7:$A$59,0)),0)</f>
        <v>1.0101853397896142E-2</v>
      </c>
      <c r="K8" s="215"/>
      <c r="L8" s="216" t="str">
        <f>Checks!$C$5</f>
        <v>ALL CHECKS OK</v>
      </c>
      <c r="M8" s="216"/>
      <c r="N8" s="216"/>
      <c r="O8" s="33"/>
      <c r="P8" s="3"/>
      <c r="Q8" s="8" t="s">
        <v>191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6.5" x14ac:dyDescent="0.3">
      <c r="A9" s="3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"/>
      <c r="P9" s="3"/>
      <c r="Q9" s="35" t="s">
        <v>192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6.5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"/>
      <c r="Q10" s="36"/>
      <c r="R10" s="36"/>
      <c r="S10" s="36"/>
      <c r="T10" s="36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s="127" customFormat="1" ht="32.1" customHeight="1" x14ac:dyDescent="0.25">
      <c r="A11" s="58" t="s">
        <v>64</v>
      </c>
      <c r="B11" s="58" t="s">
        <v>58</v>
      </c>
      <c r="C11" s="58" t="s">
        <v>73</v>
      </c>
      <c r="D11" s="58" t="s">
        <v>74</v>
      </c>
      <c r="E11" s="58" t="s">
        <v>75</v>
      </c>
      <c r="F11" s="58" t="s">
        <v>76</v>
      </c>
      <c r="G11" s="58" t="s">
        <v>77</v>
      </c>
      <c r="H11" s="58" t="s">
        <v>54</v>
      </c>
      <c r="I11" s="58" t="s">
        <v>56</v>
      </c>
      <c r="J11" s="58" t="s">
        <v>78</v>
      </c>
      <c r="K11" s="87" t="s">
        <v>79</v>
      </c>
      <c r="L11" s="58" t="s">
        <v>80</v>
      </c>
      <c r="M11" s="58" t="s">
        <v>81</v>
      </c>
      <c r="N11" s="58" t="s">
        <v>82</v>
      </c>
      <c r="O11" s="58" t="s">
        <v>83</v>
      </c>
      <c r="P11" s="125"/>
      <c r="Q11" s="147" t="s">
        <v>41</v>
      </c>
      <c r="R11" s="147" t="s">
        <v>58</v>
      </c>
      <c r="S11" s="147" t="s">
        <v>59</v>
      </c>
      <c r="T11" s="147" t="s">
        <v>60</v>
      </c>
      <c r="U11" s="148" t="s">
        <v>193</v>
      </c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</row>
    <row r="12" spans="1:40" s="127" customFormat="1" ht="21" customHeight="1" x14ac:dyDescent="0.25">
      <c r="A12" s="88" t="str">
        <f>Workers!$A$6</f>
        <v>W01</v>
      </c>
      <c r="B12" s="149" t="str">
        <f>IF(Workers!$B$6="","",Workers!$B$6)</f>
        <v>Davlatbek</v>
      </c>
      <c r="C12" s="89" t="str">
        <f>IF($B12="","",Workers!$C$6)</f>
        <v>Active</v>
      </c>
      <c r="D12" s="45">
        <f>IF($B12="","",IFERROR(INDEX(Weeks!$L$7:$W$59,MATCH($C$5,Weeks!$A$7:$A$59,0),MATCH($A12,Weeks!$L$5:$W$5,0)),0))</f>
        <v>6</v>
      </c>
      <c r="E12" s="81">
        <f t="shared" ref="E12:E23" si="0">IF(OR($B12="",N($H$8)=0),"",$D12/$H$8)</f>
        <v>0.25</v>
      </c>
      <c r="F12" s="128">
        <f>IF($B12="","",IFERROR(INDEX(Weeks!$X$7:$AI$59,MATCH($C$5,Weeks!$A$7:$A$59,0),MATCH($A12,Weeks!$X$5:$AI$5,0)),0))</f>
        <v>1482125</v>
      </c>
      <c r="G12" s="140">
        <f>IF($B12="","",SUMPRODUCT((Weeks!$A$7:$A$59&lt;$C$5)*(Weeks!$X$5:$AI$5=$A12)*Weeks!$X$7:$AI$59)-SUMIFS('Cash Ledger'!$E$7:$E$1006,'Cash Ledger'!$I$7:$I$1006,$A12,'Cash Ledger'!$B$7:$B$1006,"&lt;"&amp;$C$5))</f>
        <v>0</v>
      </c>
      <c r="H12" s="128">
        <f>IF($B12="","",SUMIFS('Cash Ledger'!$E$7:$E$1006,'Cash Ledger'!$I$7:$I$1006,$A12,'Cash Ledger'!$D$7:$D$1006,"Advance",'Cash Ledger'!$B$7:$B$1006,"&gt;="&amp;$C$5,'Cash Ledger'!$B$7:$B$1006,"&lt;="&amp;($C$5+6)))</f>
        <v>150000</v>
      </c>
      <c r="I12" s="140">
        <f>IF($B12="","",SUMIFS('Cash Ledger'!$E$7:$E$1006,'Cash Ledger'!$I$7:$I$1006,$A12,'Cash Ledger'!$D$7:$D$1006,"Correction",'Cash Ledger'!$B$7:$B$1006,"&gt;="&amp;$C$5,'Cash Ledger'!$B$7:$B$1006,"&lt;="&amp;($C$5+6)))</f>
        <v>0</v>
      </c>
      <c r="J12" s="140">
        <f t="shared" ref="J12:J23" si="1">IF($B12="","",$G12+$F12-$H12-$I12)</f>
        <v>1332125</v>
      </c>
      <c r="K12" s="150">
        <f t="shared" ref="K12:K23" si="2">IF($B12="","",ROUND(MAX(0,IF($G12&gt;=0,$J12,$F12-$H12-$I12-MIN(-$G12,DebtCap*$F12))),0))</f>
        <v>1332125</v>
      </c>
      <c r="L12" s="128">
        <f>IF($B12="","",SUMIFS('Cash Ledger'!$E$7:$E$1006,'Cash Ledger'!$I$7:$I$1006,$A12,'Cash Ledger'!$D$7:$D$1006,"Weekly pay",'Cash Ledger'!$B$7:$B$1006,"&gt;="&amp;$C$5,'Cash Ledger'!$B$7:$B$1006,"&lt;="&amp;($C$5+6)))</f>
        <v>0</v>
      </c>
      <c r="M12" s="128">
        <f t="shared" ref="M12:M23" si="3">IF($B12="","",MAX(0,$K12-$L12))</f>
        <v>1332125</v>
      </c>
      <c r="N12" s="140">
        <f t="shared" ref="N12:N23" si="4">IF($B12="","",$J12-$L12)</f>
        <v>1332125</v>
      </c>
      <c r="O12" s="129" t="str">
        <f t="shared" ref="O12:O23" si="5">IF($B12="","",IF(ROUND($N12,0)&lt;0,"owes you "&amp;TEXT(ROUND(-$N12,0),"#,##0"),IF(AND(ROUND($N12,0)&gt;0,$M12&gt;0),"not yet paid",IF(ROUND($N12,0)&gt;0,"you owe "&amp;TEXT(ROUND($N12,0),"#,##0"),"settled"))))</f>
        <v>not yet paid</v>
      </c>
      <c r="P12" s="125"/>
      <c r="Q12" s="151">
        <f t="shared" ref="Q12:Q23" ca="1" si="6">IF($U12="","",MEDIAN($C$5,$C$5+6,TODAY()))</f>
        <v>46289</v>
      </c>
      <c r="R12" s="152" t="str" cm="1">
        <f t="array" ref="R12">IF($U12="","",INDEX($B$12:$B$23,$U12))</f>
        <v>Davlatbek</v>
      </c>
      <c r="S12" s="153" t="str">
        <f t="shared" ref="S12:S23" si="7">IF($U12="","","Weekly pay")</f>
        <v>Weekly pay</v>
      </c>
      <c r="T12" s="154" cm="1">
        <f t="array" ref="T12">IF($U12="","",INDEX($M$12:$M$23,$U12))</f>
        <v>1332125</v>
      </c>
      <c r="U12" s="148" cm="1">
        <f t="array" ref="U12">IFERROR(_xlfn.AGGREGATE(15,6,(ROW($M$12:$M$23)-ROW($M$12)+1)/(ISNUMBER($M$12:$M$23)*($M$12:$M$23&gt;0)),ROWS($U$12:U12)),"")</f>
        <v>1</v>
      </c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</row>
    <row r="13" spans="1:40" s="127" customFormat="1" ht="21" customHeight="1" x14ac:dyDescent="0.25">
      <c r="A13" s="85" t="str">
        <f>Workers!$A$7</f>
        <v>W02</v>
      </c>
      <c r="B13" s="155" t="str">
        <f>IF(Workers!$B$7="","",Workers!$B$7)</f>
        <v>Xusanboy</v>
      </c>
      <c r="C13" s="90" t="str">
        <f>IF($B13="","",Workers!$C$7)</f>
        <v>Active</v>
      </c>
      <c r="D13" s="51">
        <f>IF($B13="","",IFERROR(INDEX(Weeks!$L$7:$W$59,MATCH($C$5,Weeks!$A$7:$A$59,0),MATCH($A13,Weeks!$L$5:$W$5,0)),0))</f>
        <v>6</v>
      </c>
      <c r="E13" s="83">
        <f t="shared" si="0"/>
        <v>0.25</v>
      </c>
      <c r="F13" s="131">
        <f>IF($B13="","",IFERROR(INDEX(Weeks!$X$7:$AI$59,MATCH($C$5,Weeks!$A$7:$A$59,0),MATCH($A13,Weeks!$X$5:$AI$5,0)),0))</f>
        <v>1482125</v>
      </c>
      <c r="G13" s="143">
        <f>IF($B13="","",SUMPRODUCT((Weeks!$A$7:$A$59&lt;$C$5)*(Weeks!$X$5:$AI$5=$A13)*Weeks!$X$7:$AI$59)-SUMIFS('Cash Ledger'!$E$7:$E$1006,'Cash Ledger'!$I$7:$I$1006,$A13,'Cash Ledger'!$B$7:$B$1006,"&lt;"&amp;$C$5))</f>
        <v>0</v>
      </c>
      <c r="H13" s="131">
        <f>IF($B13="","",SUMIFS('Cash Ledger'!$E$7:$E$1006,'Cash Ledger'!$I$7:$I$1006,$A13,'Cash Ledger'!$D$7:$D$1006,"Advance",'Cash Ledger'!$B$7:$B$1006,"&gt;="&amp;$C$5,'Cash Ledger'!$B$7:$B$1006,"&lt;="&amp;($C$5+6)))</f>
        <v>500000</v>
      </c>
      <c r="I13" s="143">
        <f>IF($B13="","",SUMIFS('Cash Ledger'!$E$7:$E$1006,'Cash Ledger'!$I$7:$I$1006,$A13,'Cash Ledger'!$D$7:$D$1006,"Correction",'Cash Ledger'!$B$7:$B$1006,"&gt;="&amp;$C$5,'Cash Ledger'!$B$7:$B$1006,"&lt;="&amp;($C$5+6)))</f>
        <v>0</v>
      </c>
      <c r="J13" s="143">
        <f t="shared" si="1"/>
        <v>982125</v>
      </c>
      <c r="K13" s="150">
        <f t="shared" si="2"/>
        <v>982125</v>
      </c>
      <c r="L13" s="131">
        <f>IF($B13="","",SUMIFS('Cash Ledger'!$E$7:$E$1006,'Cash Ledger'!$I$7:$I$1006,$A13,'Cash Ledger'!$D$7:$D$1006,"Weekly pay",'Cash Ledger'!$B$7:$B$1006,"&gt;="&amp;$C$5,'Cash Ledger'!$B$7:$B$1006,"&lt;="&amp;($C$5+6)))</f>
        <v>0</v>
      </c>
      <c r="M13" s="131">
        <f t="shared" si="3"/>
        <v>982125</v>
      </c>
      <c r="N13" s="143">
        <f t="shared" si="4"/>
        <v>982125</v>
      </c>
      <c r="O13" s="132" t="str">
        <f t="shared" si="5"/>
        <v>not yet paid</v>
      </c>
      <c r="P13" s="125"/>
      <c r="Q13" s="156">
        <f t="shared" ca="1" si="6"/>
        <v>46289</v>
      </c>
      <c r="R13" s="157" t="str" cm="1">
        <f t="array" ref="R13">IF($U13="","",INDEX($B$12:$B$23,$U13))</f>
        <v>Xusanboy</v>
      </c>
      <c r="S13" s="158" t="str">
        <f t="shared" si="7"/>
        <v>Weekly pay</v>
      </c>
      <c r="T13" s="159" cm="1">
        <f t="array" ref="T13">IF($U13="","",INDEX($M$12:$M$23,$U13))</f>
        <v>982125</v>
      </c>
      <c r="U13" s="148" cm="1">
        <f t="array" ref="U13">IFERROR(_xlfn.AGGREGATE(15,6,(ROW($M$12:$M$23)-ROW($M$12)+1)/(ISNUMBER($M$12:$M$23)*($M$12:$M$23&gt;0)),ROWS($U$12:U13)),"")</f>
        <v>2</v>
      </c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</row>
    <row r="14" spans="1:40" s="127" customFormat="1" ht="21" customHeight="1" x14ac:dyDescent="0.25">
      <c r="A14" s="85" t="str">
        <f>Workers!$A$8</f>
        <v>W03</v>
      </c>
      <c r="B14" s="155" t="str">
        <f>IF(Workers!$B$8="","",Workers!$B$8)</f>
        <v>Oybek</v>
      </c>
      <c r="C14" s="90" t="str">
        <f>IF($B14="","",Workers!$C$8)</f>
        <v>Active</v>
      </c>
      <c r="D14" s="51">
        <f>IF($B14="","",IFERROR(INDEX(Weeks!$L$7:$W$59,MATCH($C$5,Weeks!$A$7:$A$59,0),MATCH($A14,Weeks!$L$5:$W$5,0)),0))</f>
        <v>6</v>
      </c>
      <c r="E14" s="83">
        <f t="shared" si="0"/>
        <v>0.25</v>
      </c>
      <c r="F14" s="131">
        <f>IF($B14="","",IFERROR(INDEX(Weeks!$X$7:$AI$59,MATCH($C$5,Weeks!$A$7:$A$59,0),MATCH($A14,Weeks!$X$5:$AI$5,0)),0))</f>
        <v>1482125</v>
      </c>
      <c r="G14" s="143">
        <f>IF($B14="","",SUMPRODUCT((Weeks!$A$7:$A$59&lt;$C$5)*(Weeks!$X$5:$AI$5=$A14)*Weeks!$X$7:$AI$59)-SUMIFS('Cash Ledger'!$E$7:$E$1006,'Cash Ledger'!$I$7:$I$1006,$A14,'Cash Ledger'!$B$7:$B$1006,"&lt;"&amp;$C$5))</f>
        <v>0</v>
      </c>
      <c r="H14" s="131">
        <f>IF($B14="","",SUMIFS('Cash Ledger'!$E$7:$E$1006,'Cash Ledger'!$I$7:$I$1006,$A14,'Cash Ledger'!$D$7:$D$1006,"Advance",'Cash Ledger'!$B$7:$B$1006,"&gt;="&amp;$C$5,'Cash Ledger'!$B$7:$B$1006,"&lt;="&amp;($C$5+6)))</f>
        <v>0</v>
      </c>
      <c r="I14" s="143">
        <f>IF($B14="","",SUMIFS('Cash Ledger'!$E$7:$E$1006,'Cash Ledger'!$I$7:$I$1006,$A14,'Cash Ledger'!$D$7:$D$1006,"Correction",'Cash Ledger'!$B$7:$B$1006,"&gt;="&amp;$C$5,'Cash Ledger'!$B$7:$B$1006,"&lt;="&amp;($C$5+6)))</f>
        <v>0</v>
      </c>
      <c r="J14" s="143">
        <f t="shared" si="1"/>
        <v>1482125</v>
      </c>
      <c r="K14" s="150">
        <f t="shared" si="2"/>
        <v>1482125</v>
      </c>
      <c r="L14" s="131">
        <f>IF($B14="","",SUMIFS('Cash Ledger'!$E$7:$E$1006,'Cash Ledger'!$I$7:$I$1006,$A14,'Cash Ledger'!$D$7:$D$1006,"Weekly pay",'Cash Ledger'!$B$7:$B$1006,"&gt;="&amp;$C$5,'Cash Ledger'!$B$7:$B$1006,"&lt;="&amp;($C$5+6)))</f>
        <v>0</v>
      </c>
      <c r="M14" s="131">
        <f t="shared" si="3"/>
        <v>1482125</v>
      </c>
      <c r="N14" s="143">
        <f t="shared" si="4"/>
        <v>1482125</v>
      </c>
      <c r="O14" s="132" t="str">
        <f t="shared" si="5"/>
        <v>not yet paid</v>
      </c>
      <c r="P14" s="125"/>
      <c r="Q14" s="156">
        <f t="shared" ca="1" si="6"/>
        <v>46289</v>
      </c>
      <c r="R14" s="157" t="str" cm="1">
        <f t="array" ref="R14">IF($U14="","",INDEX($B$12:$B$23,$U14))</f>
        <v>Oybek</v>
      </c>
      <c r="S14" s="158" t="str">
        <f t="shared" si="7"/>
        <v>Weekly pay</v>
      </c>
      <c r="T14" s="159" cm="1">
        <f t="array" ref="T14">IF($U14="","",INDEX($M$12:$M$23,$U14))</f>
        <v>1482125</v>
      </c>
      <c r="U14" s="148" cm="1">
        <f t="array" ref="U14">IFERROR(_xlfn.AGGREGATE(15,6,(ROW($M$12:$M$23)-ROW($M$12)+1)/(ISNUMBER($M$12:$M$23)*($M$12:$M$23&gt;0)),ROWS($U$12:U14)),"")</f>
        <v>3</v>
      </c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</row>
    <row r="15" spans="1:40" s="127" customFormat="1" ht="21" customHeight="1" x14ac:dyDescent="0.25">
      <c r="A15" s="85" t="str">
        <f>Workers!$A$9</f>
        <v>W04</v>
      </c>
      <c r="B15" s="155" t="str">
        <f>IF(Workers!$B$9="","",Workers!$B$9)</f>
        <v>Abdurashid</v>
      </c>
      <c r="C15" s="90" t="str">
        <f>IF($B15="","",Workers!$C$9)</f>
        <v>Active</v>
      </c>
      <c r="D15" s="51">
        <f>IF($B15="","",IFERROR(INDEX(Weeks!$L$7:$W$59,MATCH($C$5,Weeks!$A$7:$A$59,0),MATCH($A15,Weeks!$L$5:$W$5,0)),0))</f>
        <v>6</v>
      </c>
      <c r="E15" s="83">
        <f t="shared" si="0"/>
        <v>0.25</v>
      </c>
      <c r="F15" s="131">
        <f>IF($B15="","",IFERROR(INDEX(Weeks!$X$7:$AI$59,MATCH($C$5,Weeks!$A$7:$A$59,0),MATCH($A15,Weeks!$X$5:$AI$5,0)),0))</f>
        <v>1482125</v>
      </c>
      <c r="G15" s="143">
        <f>IF($B15="","",SUMPRODUCT((Weeks!$A$7:$A$59&lt;$C$5)*(Weeks!$X$5:$AI$5=$A15)*Weeks!$X$7:$AI$59)-SUMIFS('Cash Ledger'!$E$7:$E$1006,'Cash Ledger'!$I$7:$I$1006,$A15,'Cash Ledger'!$B$7:$B$1006,"&lt;"&amp;$C$5))</f>
        <v>0</v>
      </c>
      <c r="H15" s="131">
        <f>IF($B15="","",SUMIFS('Cash Ledger'!$E$7:$E$1006,'Cash Ledger'!$I$7:$I$1006,$A15,'Cash Ledger'!$D$7:$D$1006,"Advance",'Cash Ledger'!$B$7:$B$1006,"&gt;="&amp;$C$5,'Cash Ledger'!$B$7:$B$1006,"&lt;="&amp;($C$5+6)))</f>
        <v>0</v>
      </c>
      <c r="I15" s="143">
        <f>IF($B15="","",SUMIFS('Cash Ledger'!$E$7:$E$1006,'Cash Ledger'!$I$7:$I$1006,$A15,'Cash Ledger'!$D$7:$D$1006,"Correction",'Cash Ledger'!$B$7:$B$1006,"&gt;="&amp;$C$5,'Cash Ledger'!$B$7:$B$1006,"&lt;="&amp;($C$5+6)))</f>
        <v>0</v>
      </c>
      <c r="J15" s="143">
        <f t="shared" si="1"/>
        <v>1482125</v>
      </c>
      <c r="K15" s="150">
        <f t="shared" si="2"/>
        <v>1482125</v>
      </c>
      <c r="L15" s="131">
        <f>IF($B15="","",SUMIFS('Cash Ledger'!$E$7:$E$1006,'Cash Ledger'!$I$7:$I$1006,$A15,'Cash Ledger'!$D$7:$D$1006,"Weekly pay",'Cash Ledger'!$B$7:$B$1006,"&gt;="&amp;$C$5,'Cash Ledger'!$B$7:$B$1006,"&lt;="&amp;($C$5+6)))</f>
        <v>0</v>
      </c>
      <c r="M15" s="131">
        <f t="shared" si="3"/>
        <v>1482125</v>
      </c>
      <c r="N15" s="143">
        <f t="shared" si="4"/>
        <v>1482125</v>
      </c>
      <c r="O15" s="132" t="str">
        <f t="shared" si="5"/>
        <v>not yet paid</v>
      </c>
      <c r="P15" s="125"/>
      <c r="Q15" s="156">
        <f t="shared" ca="1" si="6"/>
        <v>46289</v>
      </c>
      <c r="R15" s="157" t="str" cm="1">
        <f t="array" ref="R15">IF($U15="","",INDEX($B$12:$B$23,$U15))</f>
        <v>Abdurashid</v>
      </c>
      <c r="S15" s="158" t="str">
        <f t="shared" si="7"/>
        <v>Weekly pay</v>
      </c>
      <c r="T15" s="159" cm="1">
        <f t="array" ref="T15">IF($U15="","",INDEX($M$12:$M$23,$U15))</f>
        <v>1482125</v>
      </c>
      <c r="U15" s="148" cm="1">
        <f t="array" ref="U15">IFERROR(_xlfn.AGGREGATE(15,6,(ROW($M$12:$M$23)-ROW($M$12)+1)/(ISNUMBER($M$12:$M$23)*($M$12:$M$23&gt;0)),ROWS($U$12:U15)),"")</f>
        <v>4</v>
      </c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</row>
    <row r="16" spans="1:40" s="127" customFormat="1" ht="21" customHeight="1" x14ac:dyDescent="0.25">
      <c r="A16" s="85" t="str">
        <f>Workers!$A$10</f>
        <v>W05</v>
      </c>
      <c r="B16" s="155" t="str">
        <f>IF(Workers!$B$10="","",Workers!$B$10)</f>
        <v/>
      </c>
      <c r="C16" s="90" t="str">
        <f>IF($B16="","",Workers!$C$10)</f>
        <v/>
      </c>
      <c r="D16" s="51" t="str">
        <f>IF($B16="","",IFERROR(INDEX(Weeks!$L$7:$W$59,MATCH($C$5,Weeks!$A$7:$A$59,0),MATCH($A16,Weeks!$L$5:$W$5,0)),0))</f>
        <v/>
      </c>
      <c r="E16" s="83" t="str">
        <f t="shared" si="0"/>
        <v/>
      </c>
      <c r="F16" s="131" t="str">
        <f>IF($B16="","",IFERROR(INDEX(Weeks!$X$7:$AI$59,MATCH($C$5,Weeks!$A$7:$A$59,0),MATCH($A16,Weeks!$X$5:$AI$5,0)),0))</f>
        <v/>
      </c>
      <c r="G16" s="143" t="str">
        <f>IF($B16="","",SUMPRODUCT((Weeks!$A$7:$A$59&lt;$C$5)*(Weeks!$X$5:$AI$5=$A16)*Weeks!$X$7:$AI$59)-SUMIFS('Cash Ledger'!$E$7:$E$1006,'Cash Ledger'!$I$7:$I$1006,$A16,'Cash Ledger'!$B$7:$B$1006,"&lt;"&amp;$C$5))</f>
        <v/>
      </c>
      <c r="H16" s="131" t="str">
        <f>IF($B16="","",SUMIFS('Cash Ledger'!$E$7:$E$1006,'Cash Ledger'!$I$7:$I$1006,$A16,'Cash Ledger'!$D$7:$D$1006,"Advance",'Cash Ledger'!$B$7:$B$1006,"&gt;="&amp;$C$5,'Cash Ledger'!$B$7:$B$1006,"&lt;="&amp;($C$5+6)))</f>
        <v/>
      </c>
      <c r="I16" s="143" t="str">
        <f>IF($B16="","",SUMIFS('Cash Ledger'!$E$7:$E$1006,'Cash Ledger'!$I$7:$I$1006,$A16,'Cash Ledger'!$D$7:$D$1006,"Correction",'Cash Ledger'!$B$7:$B$1006,"&gt;="&amp;$C$5,'Cash Ledger'!$B$7:$B$1006,"&lt;="&amp;($C$5+6)))</f>
        <v/>
      </c>
      <c r="J16" s="143" t="str">
        <f t="shared" si="1"/>
        <v/>
      </c>
      <c r="K16" s="150" t="str">
        <f t="shared" si="2"/>
        <v/>
      </c>
      <c r="L16" s="131" t="str">
        <f>IF($B16="","",SUMIFS('Cash Ledger'!$E$7:$E$1006,'Cash Ledger'!$I$7:$I$1006,$A16,'Cash Ledger'!$D$7:$D$1006,"Weekly pay",'Cash Ledger'!$B$7:$B$1006,"&gt;="&amp;$C$5,'Cash Ledger'!$B$7:$B$1006,"&lt;="&amp;($C$5+6)))</f>
        <v/>
      </c>
      <c r="M16" s="131" t="str">
        <f t="shared" si="3"/>
        <v/>
      </c>
      <c r="N16" s="143" t="str">
        <f t="shared" si="4"/>
        <v/>
      </c>
      <c r="O16" s="132" t="str">
        <f t="shared" si="5"/>
        <v/>
      </c>
      <c r="P16" s="125"/>
      <c r="Q16" s="156" t="str">
        <f t="shared" ca="1" si="6"/>
        <v/>
      </c>
      <c r="R16" s="157" t="str" cm="1">
        <f t="array" ref="R16">IF($U16="","",INDEX($B$12:$B$23,$U16))</f>
        <v/>
      </c>
      <c r="S16" s="158" t="str">
        <f t="shared" si="7"/>
        <v/>
      </c>
      <c r="T16" s="159" t="str" cm="1">
        <f t="array" ref="T16">IF($U16="","",INDEX($M$12:$M$23,$U16))</f>
        <v/>
      </c>
      <c r="U16" s="148" t="str" cm="1">
        <f t="array" ref="U16">IFERROR(_xlfn.AGGREGATE(15,6,(ROW($M$12:$M$23)-ROW($M$12)+1)/(ISNUMBER($M$12:$M$23)*($M$12:$M$23&gt;0)),ROWS($U$12:U16)),"")</f>
        <v/>
      </c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</row>
    <row r="17" spans="1:40" s="127" customFormat="1" ht="21" customHeight="1" x14ac:dyDescent="0.25">
      <c r="A17" s="85" t="str">
        <f>Workers!$A$11</f>
        <v>W06</v>
      </c>
      <c r="B17" s="155" t="str">
        <f>IF(Workers!$B$11="","",Workers!$B$11)</f>
        <v/>
      </c>
      <c r="C17" s="90" t="str">
        <f>IF($B17="","",Workers!$C$11)</f>
        <v/>
      </c>
      <c r="D17" s="51" t="str">
        <f>IF($B17="","",IFERROR(INDEX(Weeks!$L$7:$W$59,MATCH($C$5,Weeks!$A$7:$A$59,0),MATCH($A17,Weeks!$L$5:$W$5,0)),0))</f>
        <v/>
      </c>
      <c r="E17" s="83" t="str">
        <f t="shared" si="0"/>
        <v/>
      </c>
      <c r="F17" s="131" t="str">
        <f>IF($B17="","",IFERROR(INDEX(Weeks!$X$7:$AI$59,MATCH($C$5,Weeks!$A$7:$A$59,0),MATCH($A17,Weeks!$X$5:$AI$5,0)),0))</f>
        <v/>
      </c>
      <c r="G17" s="143" t="str">
        <f>IF($B17="","",SUMPRODUCT((Weeks!$A$7:$A$59&lt;$C$5)*(Weeks!$X$5:$AI$5=$A17)*Weeks!$X$7:$AI$59)-SUMIFS('Cash Ledger'!$E$7:$E$1006,'Cash Ledger'!$I$7:$I$1006,$A17,'Cash Ledger'!$B$7:$B$1006,"&lt;"&amp;$C$5))</f>
        <v/>
      </c>
      <c r="H17" s="131" t="str">
        <f>IF($B17="","",SUMIFS('Cash Ledger'!$E$7:$E$1006,'Cash Ledger'!$I$7:$I$1006,$A17,'Cash Ledger'!$D$7:$D$1006,"Advance",'Cash Ledger'!$B$7:$B$1006,"&gt;="&amp;$C$5,'Cash Ledger'!$B$7:$B$1006,"&lt;="&amp;($C$5+6)))</f>
        <v/>
      </c>
      <c r="I17" s="143" t="str">
        <f>IF($B17="","",SUMIFS('Cash Ledger'!$E$7:$E$1006,'Cash Ledger'!$I$7:$I$1006,$A17,'Cash Ledger'!$D$7:$D$1006,"Correction",'Cash Ledger'!$B$7:$B$1006,"&gt;="&amp;$C$5,'Cash Ledger'!$B$7:$B$1006,"&lt;="&amp;($C$5+6)))</f>
        <v/>
      </c>
      <c r="J17" s="143" t="str">
        <f t="shared" si="1"/>
        <v/>
      </c>
      <c r="K17" s="150" t="str">
        <f t="shared" si="2"/>
        <v/>
      </c>
      <c r="L17" s="131" t="str">
        <f>IF($B17="","",SUMIFS('Cash Ledger'!$E$7:$E$1006,'Cash Ledger'!$I$7:$I$1006,$A17,'Cash Ledger'!$D$7:$D$1006,"Weekly pay",'Cash Ledger'!$B$7:$B$1006,"&gt;="&amp;$C$5,'Cash Ledger'!$B$7:$B$1006,"&lt;="&amp;($C$5+6)))</f>
        <v/>
      </c>
      <c r="M17" s="131" t="str">
        <f t="shared" si="3"/>
        <v/>
      </c>
      <c r="N17" s="143" t="str">
        <f t="shared" si="4"/>
        <v/>
      </c>
      <c r="O17" s="132" t="str">
        <f t="shared" si="5"/>
        <v/>
      </c>
      <c r="P17" s="125"/>
      <c r="Q17" s="156" t="str">
        <f t="shared" ca="1" si="6"/>
        <v/>
      </c>
      <c r="R17" s="157" t="str" cm="1">
        <f t="array" ref="R17">IF($U17="","",INDEX($B$12:$B$23,$U17))</f>
        <v/>
      </c>
      <c r="S17" s="158" t="str">
        <f t="shared" si="7"/>
        <v/>
      </c>
      <c r="T17" s="159" t="str" cm="1">
        <f t="array" ref="T17">IF($U17="","",INDEX($M$12:$M$23,$U17))</f>
        <v/>
      </c>
      <c r="U17" s="148" t="str" cm="1">
        <f t="array" ref="U17">IFERROR(_xlfn.AGGREGATE(15,6,(ROW($M$12:$M$23)-ROW($M$12)+1)/(ISNUMBER($M$12:$M$23)*($M$12:$M$23&gt;0)),ROWS($U$12:U17)),"")</f>
        <v/>
      </c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</row>
    <row r="18" spans="1:40" s="127" customFormat="1" ht="21" customHeight="1" x14ac:dyDescent="0.25">
      <c r="A18" s="85" t="str">
        <f>Workers!$A$12</f>
        <v>W07</v>
      </c>
      <c r="B18" s="155" t="str">
        <f>IF(Workers!$B$12="","",Workers!$B$12)</f>
        <v/>
      </c>
      <c r="C18" s="90" t="str">
        <f>IF($B18="","",Workers!$C$12)</f>
        <v/>
      </c>
      <c r="D18" s="51" t="str">
        <f>IF($B18="","",IFERROR(INDEX(Weeks!$L$7:$W$59,MATCH($C$5,Weeks!$A$7:$A$59,0),MATCH($A18,Weeks!$L$5:$W$5,0)),0))</f>
        <v/>
      </c>
      <c r="E18" s="83" t="str">
        <f t="shared" si="0"/>
        <v/>
      </c>
      <c r="F18" s="131" t="str">
        <f>IF($B18="","",IFERROR(INDEX(Weeks!$X$7:$AI$59,MATCH($C$5,Weeks!$A$7:$A$59,0),MATCH($A18,Weeks!$X$5:$AI$5,0)),0))</f>
        <v/>
      </c>
      <c r="G18" s="143" t="str">
        <f>IF($B18="","",SUMPRODUCT((Weeks!$A$7:$A$59&lt;$C$5)*(Weeks!$X$5:$AI$5=$A18)*Weeks!$X$7:$AI$59)-SUMIFS('Cash Ledger'!$E$7:$E$1006,'Cash Ledger'!$I$7:$I$1006,$A18,'Cash Ledger'!$B$7:$B$1006,"&lt;"&amp;$C$5))</f>
        <v/>
      </c>
      <c r="H18" s="131" t="str">
        <f>IF($B18="","",SUMIFS('Cash Ledger'!$E$7:$E$1006,'Cash Ledger'!$I$7:$I$1006,$A18,'Cash Ledger'!$D$7:$D$1006,"Advance",'Cash Ledger'!$B$7:$B$1006,"&gt;="&amp;$C$5,'Cash Ledger'!$B$7:$B$1006,"&lt;="&amp;($C$5+6)))</f>
        <v/>
      </c>
      <c r="I18" s="143" t="str">
        <f>IF($B18="","",SUMIFS('Cash Ledger'!$E$7:$E$1006,'Cash Ledger'!$I$7:$I$1006,$A18,'Cash Ledger'!$D$7:$D$1006,"Correction",'Cash Ledger'!$B$7:$B$1006,"&gt;="&amp;$C$5,'Cash Ledger'!$B$7:$B$1006,"&lt;="&amp;($C$5+6)))</f>
        <v/>
      </c>
      <c r="J18" s="143" t="str">
        <f t="shared" si="1"/>
        <v/>
      </c>
      <c r="K18" s="150" t="str">
        <f t="shared" si="2"/>
        <v/>
      </c>
      <c r="L18" s="131" t="str">
        <f>IF($B18="","",SUMIFS('Cash Ledger'!$E$7:$E$1006,'Cash Ledger'!$I$7:$I$1006,$A18,'Cash Ledger'!$D$7:$D$1006,"Weekly pay",'Cash Ledger'!$B$7:$B$1006,"&gt;="&amp;$C$5,'Cash Ledger'!$B$7:$B$1006,"&lt;="&amp;($C$5+6)))</f>
        <v/>
      </c>
      <c r="M18" s="131" t="str">
        <f t="shared" si="3"/>
        <v/>
      </c>
      <c r="N18" s="143" t="str">
        <f t="shared" si="4"/>
        <v/>
      </c>
      <c r="O18" s="132" t="str">
        <f t="shared" si="5"/>
        <v/>
      </c>
      <c r="P18" s="125"/>
      <c r="Q18" s="156" t="str">
        <f t="shared" ca="1" si="6"/>
        <v/>
      </c>
      <c r="R18" s="157" t="str" cm="1">
        <f t="array" ref="R18">IF($U18="","",INDEX($B$12:$B$23,$U18))</f>
        <v/>
      </c>
      <c r="S18" s="158" t="str">
        <f t="shared" si="7"/>
        <v/>
      </c>
      <c r="T18" s="159" t="str" cm="1">
        <f t="array" ref="T18">IF($U18="","",INDEX($M$12:$M$23,$U18))</f>
        <v/>
      </c>
      <c r="U18" s="148" t="str" cm="1">
        <f t="array" ref="U18">IFERROR(_xlfn.AGGREGATE(15,6,(ROW($M$12:$M$23)-ROW($M$12)+1)/(ISNUMBER($M$12:$M$23)*($M$12:$M$23&gt;0)),ROWS($U$12:U18)),"")</f>
        <v/>
      </c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</row>
    <row r="19" spans="1:40" s="127" customFormat="1" ht="21" customHeight="1" x14ac:dyDescent="0.25">
      <c r="A19" s="85" t="str">
        <f>Workers!$A$13</f>
        <v>W08</v>
      </c>
      <c r="B19" s="155" t="str">
        <f>IF(Workers!$B$13="","",Workers!$B$13)</f>
        <v/>
      </c>
      <c r="C19" s="90" t="str">
        <f>IF($B19="","",Workers!$C$13)</f>
        <v/>
      </c>
      <c r="D19" s="51" t="str">
        <f>IF($B19="","",IFERROR(INDEX(Weeks!$L$7:$W$59,MATCH($C$5,Weeks!$A$7:$A$59,0),MATCH($A19,Weeks!$L$5:$W$5,0)),0))</f>
        <v/>
      </c>
      <c r="E19" s="83" t="str">
        <f t="shared" si="0"/>
        <v/>
      </c>
      <c r="F19" s="131" t="str">
        <f>IF($B19="","",IFERROR(INDEX(Weeks!$X$7:$AI$59,MATCH($C$5,Weeks!$A$7:$A$59,0),MATCH($A19,Weeks!$X$5:$AI$5,0)),0))</f>
        <v/>
      </c>
      <c r="G19" s="143" t="str">
        <f>IF($B19="","",SUMPRODUCT((Weeks!$A$7:$A$59&lt;$C$5)*(Weeks!$X$5:$AI$5=$A19)*Weeks!$X$7:$AI$59)-SUMIFS('Cash Ledger'!$E$7:$E$1006,'Cash Ledger'!$I$7:$I$1006,$A19,'Cash Ledger'!$B$7:$B$1006,"&lt;"&amp;$C$5))</f>
        <v/>
      </c>
      <c r="H19" s="131" t="str">
        <f>IF($B19="","",SUMIFS('Cash Ledger'!$E$7:$E$1006,'Cash Ledger'!$I$7:$I$1006,$A19,'Cash Ledger'!$D$7:$D$1006,"Advance",'Cash Ledger'!$B$7:$B$1006,"&gt;="&amp;$C$5,'Cash Ledger'!$B$7:$B$1006,"&lt;="&amp;($C$5+6)))</f>
        <v/>
      </c>
      <c r="I19" s="143" t="str">
        <f>IF($B19="","",SUMIFS('Cash Ledger'!$E$7:$E$1006,'Cash Ledger'!$I$7:$I$1006,$A19,'Cash Ledger'!$D$7:$D$1006,"Correction",'Cash Ledger'!$B$7:$B$1006,"&gt;="&amp;$C$5,'Cash Ledger'!$B$7:$B$1006,"&lt;="&amp;($C$5+6)))</f>
        <v/>
      </c>
      <c r="J19" s="143" t="str">
        <f t="shared" si="1"/>
        <v/>
      </c>
      <c r="K19" s="150" t="str">
        <f t="shared" si="2"/>
        <v/>
      </c>
      <c r="L19" s="131" t="str">
        <f>IF($B19="","",SUMIFS('Cash Ledger'!$E$7:$E$1006,'Cash Ledger'!$I$7:$I$1006,$A19,'Cash Ledger'!$D$7:$D$1006,"Weekly pay",'Cash Ledger'!$B$7:$B$1006,"&gt;="&amp;$C$5,'Cash Ledger'!$B$7:$B$1006,"&lt;="&amp;($C$5+6)))</f>
        <v/>
      </c>
      <c r="M19" s="131" t="str">
        <f t="shared" si="3"/>
        <v/>
      </c>
      <c r="N19" s="143" t="str">
        <f t="shared" si="4"/>
        <v/>
      </c>
      <c r="O19" s="132" t="str">
        <f t="shared" si="5"/>
        <v/>
      </c>
      <c r="P19" s="125"/>
      <c r="Q19" s="156" t="str">
        <f t="shared" ca="1" si="6"/>
        <v/>
      </c>
      <c r="R19" s="157" t="str" cm="1">
        <f t="array" ref="R19">IF($U19="","",INDEX($B$12:$B$23,$U19))</f>
        <v/>
      </c>
      <c r="S19" s="158" t="str">
        <f t="shared" si="7"/>
        <v/>
      </c>
      <c r="T19" s="159" t="str" cm="1">
        <f t="array" ref="T19">IF($U19="","",INDEX($M$12:$M$23,$U19))</f>
        <v/>
      </c>
      <c r="U19" s="148" t="str" cm="1">
        <f t="array" ref="U19">IFERROR(_xlfn.AGGREGATE(15,6,(ROW($M$12:$M$23)-ROW($M$12)+1)/(ISNUMBER($M$12:$M$23)*($M$12:$M$23&gt;0)),ROWS($U$12:U19)),"")</f>
        <v/>
      </c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</row>
    <row r="20" spans="1:40" s="127" customFormat="1" ht="21" customHeight="1" x14ac:dyDescent="0.25">
      <c r="A20" s="85" t="str">
        <f>Workers!$A$14</f>
        <v>W09</v>
      </c>
      <c r="B20" s="155" t="str">
        <f>IF(Workers!$B$14="","",Workers!$B$14)</f>
        <v/>
      </c>
      <c r="C20" s="90" t="str">
        <f>IF($B20="","",Workers!$C$14)</f>
        <v/>
      </c>
      <c r="D20" s="51" t="str">
        <f>IF($B20="","",IFERROR(INDEX(Weeks!$L$7:$W$59,MATCH($C$5,Weeks!$A$7:$A$59,0),MATCH($A20,Weeks!$L$5:$W$5,0)),0))</f>
        <v/>
      </c>
      <c r="E20" s="83" t="str">
        <f t="shared" si="0"/>
        <v/>
      </c>
      <c r="F20" s="131" t="str">
        <f>IF($B20="","",IFERROR(INDEX(Weeks!$X$7:$AI$59,MATCH($C$5,Weeks!$A$7:$A$59,0),MATCH($A20,Weeks!$X$5:$AI$5,0)),0))</f>
        <v/>
      </c>
      <c r="G20" s="143" t="str">
        <f>IF($B20="","",SUMPRODUCT((Weeks!$A$7:$A$59&lt;$C$5)*(Weeks!$X$5:$AI$5=$A20)*Weeks!$X$7:$AI$59)-SUMIFS('Cash Ledger'!$E$7:$E$1006,'Cash Ledger'!$I$7:$I$1006,$A20,'Cash Ledger'!$B$7:$B$1006,"&lt;"&amp;$C$5))</f>
        <v/>
      </c>
      <c r="H20" s="131" t="str">
        <f>IF($B20="","",SUMIFS('Cash Ledger'!$E$7:$E$1006,'Cash Ledger'!$I$7:$I$1006,$A20,'Cash Ledger'!$D$7:$D$1006,"Advance",'Cash Ledger'!$B$7:$B$1006,"&gt;="&amp;$C$5,'Cash Ledger'!$B$7:$B$1006,"&lt;="&amp;($C$5+6)))</f>
        <v/>
      </c>
      <c r="I20" s="143" t="str">
        <f>IF($B20="","",SUMIFS('Cash Ledger'!$E$7:$E$1006,'Cash Ledger'!$I$7:$I$1006,$A20,'Cash Ledger'!$D$7:$D$1006,"Correction",'Cash Ledger'!$B$7:$B$1006,"&gt;="&amp;$C$5,'Cash Ledger'!$B$7:$B$1006,"&lt;="&amp;($C$5+6)))</f>
        <v/>
      </c>
      <c r="J20" s="143" t="str">
        <f t="shared" si="1"/>
        <v/>
      </c>
      <c r="K20" s="150" t="str">
        <f t="shared" si="2"/>
        <v/>
      </c>
      <c r="L20" s="131" t="str">
        <f>IF($B20="","",SUMIFS('Cash Ledger'!$E$7:$E$1006,'Cash Ledger'!$I$7:$I$1006,$A20,'Cash Ledger'!$D$7:$D$1006,"Weekly pay",'Cash Ledger'!$B$7:$B$1006,"&gt;="&amp;$C$5,'Cash Ledger'!$B$7:$B$1006,"&lt;="&amp;($C$5+6)))</f>
        <v/>
      </c>
      <c r="M20" s="131" t="str">
        <f t="shared" si="3"/>
        <v/>
      </c>
      <c r="N20" s="143" t="str">
        <f t="shared" si="4"/>
        <v/>
      </c>
      <c r="O20" s="132" t="str">
        <f t="shared" si="5"/>
        <v/>
      </c>
      <c r="P20" s="125"/>
      <c r="Q20" s="156" t="str">
        <f t="shared" ca="1" si="6"/>
        <v/>
      </c>
      <c r="R20" s="157" t="str" cm="1">
        <f t="array" ref="R20">IF($U20="","",INDEX($B$12:$B$23,$U20))</f>
        <v/>
      </c>
      <c r="S20" s="158" t="str">
        <f t="shared" si="7"/>
        <v/>
      </c>
      <c r="T20" s="159" t="str" cm="1">
        <f t="array" ref="T20">IF($U20="","",INDEX($M$12:$M$23,$U20))</f>
        <v/>
      </c>
      <c r="U20" s="148" t="str" cm="1">
        <f t="array" ref="U20">IFERROR(_xlfn.AGGREGATE(15,6,(ROW($M$12:$M$23)-ROW($M$12)+1)/(ISNUMBER($M$12:$M$23)*($M$12:$M$23&gt;0)),ROWS($U$12:U20)),"")</f>
        <v/>
      </c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</row>
    <row r="21" spans="1:40" s="127" customFormat="1" ht="21" customHeight="1" x14ac:dyDescent="0.25">
      <c r="A21" s="85" t="str">
        <f>Workers!$A$15</f>
        <v>W10</v>
      </c>
      <c r="B21" s="155" t="str">
        <f>IF(Workers!$B$15="","",Workers!$B$15)</f>
        <v/>
      </c>
      <c r="C21" s="90" t="str">
        <f>IF($B21="","",Workers!$C$15)</f>
        <v/>
      </c>
      <c r="D21" s="51" t="str">
        <f>IF($B21="","",IFERROR(INDEX(Weeks!$L$7:$W$59,MATCH($C$5,Weeks!$A$7:$A$59,0),MATCH($A21,Weeks!$L$5:$W$5,0)),0))</f>
        <v/>
      </c>
      <c r="E21" s="83" t="str">
        <f t="shared" si="0"/>
        <v/>
      </c>
      <c r="F21" s="131" t="str">
        <f>IF($B21="","",IFERROR(INDEX(Weeks!$X$7:$AI$59,MATCH($C$5,Weeks!$A$7:$A$59,0),MATCH($A21,Weeks!$X$5:$AI$5,0)),0))</f>
        <v/>
      </c>
      <c r="G21" s="143" t="str">
        <f>IF($B21="","",SUMPRODUCT((Weeks!$A$7:$A$59&lt;$C$5)*(Weeks!$X$5:$AI$5=$A21)*Weeks!$X$7:$AI$59)-SUMIFS('Cash Ledger'!$E$7:$E$1006,'Cash Ledger'!$I$7:$I$1006,$A21,'Cash Ledger'!$B$7:$B$1006,"&lt;"&amp;$C$5))</f>
        <v/>
      </c>
      <c r="H21" s="131" t="str">
        <f>IF($B21="","",SUMIFS('Cash Ledger'!$E$7:$E$1006,'Cash Ledger'!$I$7:$I$1006,$A21,'Cash Ledger'!$D$7:$D$1006,"Advance",'Cash Ledger'!$B$7:$B$1006,"&gt;="&amp;$C$5,'Cash Ledger'!$B$7:$B$1006,"&lt;="&amp;($C$5+6)))</f>
        <v/>
      </c>
      <c r="I21" s="143" t="str">
        <f>IF($B21="","",SUMIFS('Cash Ledger'!$E$7:$E$1006,'Cash Ledger'!$I$7:$I$1006,$A21,'Cash Ledger'!$D$7:$D$1006,"Correction",'Cash Ledger'!$B$7:$B$1006,"&gt;="&amp;$C$5,'Cash Ledger'!$B$7:$B$1006,"&lt;="&amp;($C$5+6)))</f>
        <v/>
      </c>
      <c r="J21" s="143" t="str">
        <f t="shared" si="1"/>
        <v/>
      </c>
      <c r="K21" s="150" t="str">
        <f t="shared" si="2"/>
        <v/>
      </c>
      <c r="L21" s="131" t="str">
        <f>IF($B21="","",SUMIFS('Cash Ledger'!$E$7:$E$1006,'Cash Ledger'!$I$7:$I$1006,$A21,'Cash Ledger'!$D$7:$D$1006,"Weekly pay",'Cash Ledger'!$B$7:$B$1006,"&gt;="&amp;$C$5,'Cash Ledger'!$B$7:$B$1006,"&lt;="&amp;($C$5+6)))</f>
        <v/>
      </c>
      <c r="M21" s="131" t="str">
        <f t="shared" si="3"/>
        <v/>
      </c>
      <c r="N21" s="143" t="str">
        <f t="shared" si="4"/>
        <v/>
      </c>
      <c r="O21" s="132" t="str">
        <f t="shared" si="5"/>
        <v/>
      </c>
      <c r="P21" s="125"/>
      <c r="Q21" s="156" t="str">
        <f t="shared" ca="1" si="6"/>
        <v/>
      </c>
      <c r="R21" s="157" t="str" cm="1">
        <f t="array" ref="R21">IF($U21="","",INDEX($B$12:$B$23,$U21))</f>
        <v/>
      </c>
      <c r="S21" s="158" t="str">
        <f t="shared" si="7"/>
        <v/>
      </c>
      <c r="T21" s="159" t="str" cm="1">
        <f t="array" ref="T21">IF($U21="","",INDEX($M$12:$M$23,$U21))</f>
        <v/>
      </c>
      <c r="U21" s="148" t="str" cm="1">
        <f t="array" ref="U21">IFERROR(_xlfn.AGGREGATE(15,6,(ROW($M$12:$M$23)-ROW($M$12)+1)/(ISNUMBER($M$12:$M$23)*($M$12:$M$23&gt;0)),ROWS($U$12:U21)),"")</f>
        <v/>
      </c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</row>
    <row r="22" spans="1:40" s="127" customFormat="1" ht="21" customHeight="1" x14ac:dyDescent="0.25">
      <c r="A22" s="85" t="str">
        <f>Workers!$A$16</f>
        <v>W11</v>
      </c>
      <c r="B22" s="155" t="str">
        <f>IF(Workers!$B$16="","",Workers!$B$16)</f>
        <v/>
      </c>
      <c r="C22" s="90" t="str">
        <f>IF($B22="","",Workers!$C$16)</f>
        <v/>
      </c>
      <c r="D22" s="51" t="str">
        <f>IF($B22="","",IFERROR(INDEX(Weeks!$L$7:$W$59,MATCH($C$5,Weeks!$A$7:$A$59,0),MATCH($A22,Weeks!$L$5:$W$5,0)),0))</f>
        <v/>
      </c>
      <c r="E22" s="83" t="str">
        <f t="shared" si="0"/>
        <v/>
      </c>
      <c r="F22" s="131" t="str">
        <f>IF($B22="","",IFERROR(INDEX(Weeks!$X$7:$AI$59,MATCH($C$5,Weeks!$A$7:$A$59,0),MATCH($A22,Weeks!$X$5:$AI$5,0)),0))</f>
        <v/>
      </c>
      <c r="G22" s="143" t="str">
        <f>IF($B22="","",SUMPRODUCT((Weeks!$A$7:$A$59&lt;$C$5)*(Weeks!$X$5:$AI$5=$A22)*Weeks!$X$7:$AI$59)-SUMIFS('Cash Ledger'!$E$7:$E$1006,'Cash Ledger'!$I$7:$I$1006,$A22,'Cash Ledger'!$B$7:$B$1006,"&lt;"&amp;$C$5))</f>
        <v/>
      </c>
      <c r="H22" s="131" t="str">
        <f>IF($B22="","",SUMIFS('Cash Ledger'!$E$7:$E$1006,'Cash Ledger'!$I$7:$I$1006,$A22,'Cash Ledger'!$D$7:$D$1006,"Advance",'Cash Ledger'!$B$7:$B$1006,"&gt;="&amp;$C$5,'Cash Ledger'!$B$7:$B$1006,"&lt;="&amp;($C$5+6)))</f>
        <v/>
      </c>
      <c r="I22" s="143" t="str">
        <f>IF($B22="","",SUMIFS('Cash Ledger'!$E$7:$E$1006,'Cash Ledger'!$I$7:$I$1006,$A22,'Cash Ledger'!$D$7:$D$1006,"Correction",'Cash Ledger'!$B$7:$B$1006,"&gt;="&amp;$C$5,'Cash Ledger'!$B$7:$B$1006,"&lt;="&amp;($C$5+6)))</f>
        <v/>
      </c>
      <c r="J22" s="143" t="str">
        <f t="shared" si="1"/>
        <v/>
      </c>
      <c r="K22" s="150" t="str">
        <f t="shared" si="2"/>
        <v/>
      </c>
      <c r="L22" s="131" t="str">
        <f>IF($B22="","",SUMIFS('Cash Ledger'!$E$7:$E$1006,'Cash Ledger'!$I$7:$I$1006,$A22,'Cash Ledger'!$D$7:$D$1006,"Weekly pay",'Cash Ledger'!$B$7:$B$1006,"&gt;="&amp;$C$5,'Cash Ledger'!$B$7:$B$1006,"&lt;="&amp;($C$5+6)))</f>
        <v/>
      </c>
      <c r="M22" s="131" t="str">
        <f t="shared" si="3"/>
        <v/>
      </c>
      <c r="N22" s="143" t="str">
        <f t="shared" si="4"/>
        <v/>
      </c>
      <c r="O22" s="132" t="str">
        <f t="shared" si="5"/>
        <v/>
      </c>
      <c r="P22" s="125"/>
      <c r="Q22" s="156" t="str">
        <f t="shared" ca="1" si="6"/>
        <v/>
      </c>
      <c r="R22" s="157" t="str" cm="1">
        <f t="array" ref="R22">IF($U22="","",INDEX($B$12:$B$23,$U22))</f>
        <v/>
      </c>
      <c r="S22" s="158" t="str">
        <f t="shared" si="7"/>
        <v/>
      </c>
      <c r="T22" s="159" t="str" cm="1">
        <f t="array" ref="T22">IF($U22="","",INDEX($M$12:$M$23,$U22))</f>
        <v/>
      </c>
      <c r="U22" s="148" t="str" cm="1">
        <f t="array" ref="U22">IFERROR(_xlfn.AGGREGATE(15,6,(ROW($M$12:$M$23)-ROW($M$12)+1)/(ISNUMBER($M$12:$M$23)*($M$12:$M$23&gt;0)),ROWS($U$12:U22)),"")</f>
        <v/>
      </c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</row>
    <row r="23" spans="1:40" s="127" customFormat="1" ht="21" customHeight="1" x14ac:dyDescent="0.25">
      <c r="A23" s="85" t="str">
        <f>Workers!$A$17</f>
        <v>W12</v>
      </c>
      <c r="B23" s="155" t="str">
        <f>IF(Workers!$B$17="","",Workers!$B$17)</f>
        <v/>
      </c>
      <c r="C23" s="90" t="str">
        <f>IF($B23="","",Workers!$C$17)</f>
        <v/>
      </c>
      <c r="D23" s="51" t="str">
        <f>IF($B23="","",IFERROR(INDEX(Weeks!$L$7:$W$59,MATCH($C$5,Weeks!$A$7:$A$59,0),MATCH($A23,Weeks!$L$5:$W$5,0)),0))</f>
        <v/>
      </c>
      <c r="E23" s="83" t="str">
        <f t="shared" si="0"/>
        <v/>
      </c>
      <c r="F23" s="131" t="str">
        <f>IF($B23="","",IFERROR(INDEX(Weeks!$X$7:$AI$59,MATCH($C$5,Weeks!$A$7:$A$59,0),MATCH($A23,Weeks!$X$5:$AI$5,0)),0))</f>
        <v/>
      </c>
      <c r="G23" s="143" t="str">
        <f>IF($B23="","",SUMPRODUCT((Weeks!$A$7:$A$59&lt;$C$5)*(Weeks!$X$5:$AI$5=$A23)*Weeks!$X$7:$AI$59)-SUMIFS('Cash Ledger'!$E$7:$E$1006,'Cash Ledger'!$I$7:$I$1006,$A23,'Cash Ledger'!$B$7:$B$1006,"&lt;"&amp;$C$5))</f>
        <v/>
      </c>
      <c r="H23" s="131" t="str">
        <f>IF($B23="","",SUMIFS('Cash Ledger'!$E$7:$E$1006,'Cash Ledger'!$I$7:$I$1006,$A23,'Cash Ledger'!$D$7:$D$1006,"Advance",'Cash Ledger'!$B$7:$B$1006,"&gt;="&amp;$C$5,'Cash Ledger'!$B$7:$B$1006,"&lt;="&amp;($C$5+6)))</f>
        <v/>
      </c>
      <c r="I23" s="143" t="str">
        <f>IF($B23="","",SUMIFS('Cash Ledger'!$E$7:$E$1006,'Cash Ledger'!$I$7:$I$1006,$A23,'Cash Ledger'!$D$7:$D$1006,"Correction",'Cash Ledger'!$B$7:$B$1006,"&gt;="&amp;$C$5,'Cash Ledger'!$B$7:$B$1006,"&lt;="&amp;($C$5+6)))</f>
        <v/>
      </c>
      <c r="J23" s="143" t="str">
        <f t="shared" si="1"/>
        <v/>
      </c>
      <c r="K23" s="150" t="str">
        <f t="shared" si="2"/>
        <v/>
      </c>
      <c r="L23" s="131" t="str">
        <f>IF($B23="","",SUMIFS('Cash Ledger'!$E$7:$E$1006,'Cash Ledger'!$I$7:$I$1006,$A23,'Cash Ledger'!$D$7:$D$1006,"Weekly pay",'Cash Ledger'!$B$7:$B$1006,"&gt;="&amp;$C$5,'Cash Ledger'!$B$7:$B$1006,"&lt;="&amp;($C$5+6)))</f>
        <v/>
      </c>
      <c r="M23" s="131" t="str">
        <f t="shared" si="3"/>
        <v/>
      </c>
      <c r="N23" s="143" t="str">
        <f t="shared" si="4"/>
        <v/>
      </c>
      <c r="O23" s="132" t="str">
        <f t="shared" si="5"/>
        <v/>
      </c>
      <c r="P23" s="137"/>
      <c r="Q23" s="156" t="str">
        <f t="shared" ca="1" si="6"/>
        <v/>
      </c>
      <c r="R23" s="157" t="str" cm="1">
        <f t="array" ref="R23">IF($U23="","",INDEX($B$12:$B$23,$U23))</f>
        <v/>
      </c>
      <c r="S23" s="158" t="str">
        <f t="shared" si="7"/>
        <v/>
      </c>
      <c r="T23" s="159" t="str" cm="1">
        <f t="array" ref="T23">IF($U23="","",INDEX($M$12:$M$23,$U23))</f>
        <v/>
      </c>
      <c r="U23" s="160" t="str" cm="1">
        <f t="array" ref="U23">IFERROR(_xlfn.AGGREGATE(15,6,(ROW($M$12:$M$23)-ROW($M$12)+1)/(ISNUMBER($M$12:$M$23)*($M$12:$M$23&gt;0)),ROWS($U$12:U23)),"")</f>
        <v/>
      </c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</row>
    <row r="24" spans="1:40" s="127" customFormat="1" ht="21" customHeight="1" x14ac:dyDescent="0.25">
      <c r="A24" s="137"/>
      <c r="B24" s="161" t="s">
        <v>84</v>
      </c>
      <c r="C24" s="137"/>
      <c r="D24" s="162">
        <f>SUM(D12:D23)</f>
        <v>24</v>
      </c>
      <c r="E24" s="137"/>
      <c r="F24" s="163">
        <f t="shared" ref="F24:N24" si="8">SUM(F12:F23)</f>
        <v>5928500</v>
      </c>
      <c r="G24" s="164">
        <f t="shared" si="8"/>
        <v>0</v>
      </c>
      <c r="H24" s="163">
        <f t="shared" si="8"/>
        <v>650000</v>
      </c>
      <c r="I24" s="164">
        <f t="shared" si="8"/>
        <v>0</v>
      </c>
      <c r="J24" s="164">
        <f t="shared" si="8"/>
        <v>5278500</v>
      </c>
      <c r="K24" s="163">
        <f t="shared" si="8"/>
        <v>5278500</v>
      </c>
      <c r="L24" s="163">
        <f t="shared" si="8"/>
        <v>0</v>
      </c>
      <c r="M24" s="163">
        <f t="shared" si="8"/>
        <v>5278500</v>
      </c>
      <c r="N24" s="164">
        <f t="shared" si="8"/>
        <v>5278500</v>
      </c>
      <c r="O24" s="137"/>
      <c r="P24" s="126"/>
      <c r="Q24" s="165" t="str">
        <f>"Rows to copy: "&amp;COUNT($U$12:$U$23)</f>
        <v>Rows to copy: 4</v>
      </c>
      <c r="R24" s="137"/>
      <c r="S24" s="137"/>
      <c r="T24" s="137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</row>
    <row r="25" spans="1:40" ht="16.5" x14ac:dyDescent="0.3">
      <c r="A25" s="3"/>
      <c r="B25" s="33"/>
      <c r="C25" s="3"/>
      <c r="D25" s="33"/>
      <c r="E25" s="3"/>
      <c r="F25" s="36"/>
      <c r="G25" s="36"/>
      <c r="H25" s="36"/>
      <c r="I25" s="33"/>
      <c r="J25" s="33"/>
      <c r="K25" s="33"/>
      <c r="L25" s="33"/>
      <c r="M25" s="33"/>
      <c r="N25" s="3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7.25" x14ac:dyDescent="0.3">
      <c r="A26" s="3"/>
      <c r="B26" s="8" t="s">
        <v>85</v>
      </c>
      <c r="C26" s="3"/>
      <c r="D26" s="3"/>
      <c r="E26" s="3"/>
      <c r="F26" s="36"/>
      <c r="G26" s="36"/>
      <c r="H26" s="3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16.5" x14ac:dyDescent="0.3">
      <c r="A27" s="3"/>
      <c r="B27" s="206" t="s">
        <v>86</v>
      </c>
      <c r="C27" s="206"/>
      <c r="D27" s="206"/>
      <c r="E27" s="207"/>
      <c r="F27" s="208" t="str">
        <f>IF(ABS($F$24-$F$8)&lt;=12,"OK","MISMATCH: "&amp;TEXT(ROUND($F$24-$F$8,0),"#,##0"))</f>
        <v>OK</v>
      </c>
      <c r="G27" s="208"/>
      <c r="H27" s="208"/>
      <c r="I27" s="3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6.5" x14ac:dyDescent="0.3">
      <c r="A28" s="3"/>
      <c r="B28" s="206" t="s">
        <v>87</v>
      </c>
      <c r="C28" s="206"/>
      <c r="D28" s="206"/>
      <c r="E28" s="207"/>
      <c r="F28" s="208" t="str">
        <f>IF(ABS($D$24-$H$8)&lt;0.001,"OK","MISMATCH - check attendance")</f>
        <v>OK</v>
      </c>
      <c r="G28" s="208"/>
      <c r="H28" s="208"/>
      <c r="I28" s="3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6.5" x14ac:dyDescent="0.3">
      <c r="A29" s="3"/>
      <c r="B29" s="206" t="s">
        <v>88</v>
      </c>
      <c r="C29" s="206"/>
      <c r="D29" s="206"/>
      <c r="E29" s="207"/>
      <c r="F29" s="208" t="str">
        <f>IF(AND($F$8&gt;0,$H$8=0),"NO - mark attendance in the Daily Log","OK")</f>
        <v>OK</v>
      </c>
      <c r="G29" s="208"/>
      <c r="H29" s="208"/>
      <c r="I29" s="3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6.5" x14ac:dyDescent="0.3">
      <c r="A30" s="3"/>
      <c r="B30" s="206" t="s">
        <v>71</v>
      </c>
      <c r="C30" s="206"/>
      <c r="D30" s="206"/>
      <c r="E30" s="207"/>
      <c r="F30" s="208" t="str">
        <f>IF($F$8=0,"-",IF(N($J$8)&gt;RejectAlarm,"HIGH - look at curing and handling","OK"))</f>
        <v>OK</v>
      </c>
      <c r="G30" s="208"/>
      <c r="H30" s="208"/>
      <c r="I30" s="3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6.5" x14ac:dyDescent="0.3">
      <c r="A31" s="3"/>
      <c r="B31" s="206" t="s">
        <v>89</v>
      </c>
      <c r="C31" s="206"/>
      <c r="D31" s="206"/>
      <c r="E31" s="209"/>
      <c r="F31" s="210">
        <f>$M$24</f>
        <v>5278500</v>
      </c>
      <c r="G31" s="210"/>
      <c r="H31" s="210"/>
      <c r="I31" s="3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6.5" x14ac:dyDescent="0.3">
      <c r="A32" s="3"/>
      <c r="B32" s="3"/>
      <c r="C32" s="3"/>
      <c r="D32" s="3"/>
      <c r="E32" s="3"/>
      <c r="F32" s="33"/>
      <c r="G32" s="33"/>
      <c r="H32" s="3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 ht="16.5" x14ac:dyDescent="0.3">
      <c r="A33" s="3"/>
      <c r="B33" s="35" t="s">
        <v>90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ht="16.5" x14ac:dyDescent="0.3">
      <c r="A34" s="3"/>
      <c r="B34" s="35" t="s">
        <v>91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1:40" ht="16.5" x14ac:dyDescent="0.3">
      <c r="A35" s="3"/>
      <c r="B35" s="35" t="s">
        <v>92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</sheetData>
  <mergeCells count="33">
    <mergeCell ref="L7:N7"/>
    <mergeCell ref="B8:C8"/>
    <mergeCell ref="D8:E8"/>
    <mergeCell ref="F8:G8"/>
    <mergeCell ref="H8:I8"/>
    <mergeCell ref="J8:K8"/>
    <mergeCell ref="L8:N8"/>
    <mergeCell ref="B7:C7"/>
    <mergeCell ref="D7:E7"/>
    <mergeCell ref="F7:G7"/>
    <mergeCell ref="H7:I7"/>
    <mergeCell ref="J7:K7"/>
    <mergeCell ref="B30:E30"/>
    <mergeCell ref="F30:H30"/>
    <mergeCell ref="B31:E31"/>
    <mergeCell ref="F31:H31"/>
    <mergeCell ref="A1:B1"/>
    <mergeCell ref="D1:E1"/>
    <mergeCell ref="F1:G1"/>
    <mergeCell ref="H1:I1"/>
    <mergeCell ref="B27:E27"/>
    <mergeCell ref="F27:H27"/>
    <mergeCell ref="B28:E28"/>
    <mergeCell ref="F28:H28"/>
    <mergeCell ref="B29:E29"/>
    <mergeCell ref="F29:H29"/>
    <mergeCell ref="U1:W1"/>
    <mergeCell ref="X1:Y1"/>
    <mergeCell ref="J1:K1"/>
    <mergeCell ref="L1:M1"/>
    <mergeCell ref="N1:O1"/>
    <mergeCell ref="P1:Q1"/>
    <mergeCell ref="S1:T1"/>
  </mergeCells>
  <conditionalFormatting sqref="F27:F30">
    <cfRule type="expression" dxfId="10" priority="2">
      <formula>AND(F27&lt;&gt;"OK",F27&lt;&gt;"-")</formula>
    </cfRule>
  </conditionalFormatting>
  <conditionalFormatting sqref="L8">
    <cfRule type="expression" dxfId="9" priority="3">
      <formula>L8&lt;&gt;"ALL CHECKS OK"</formula>
    </cfRule>
    <cfRule type="expression" dxfId="8" priority="4">
      <formula>L8="ALL CHECKS OK"</formula>
    </cfRule>
  </conditionalFormatting>
  <dataValidations count="1">
    <dataValidation type="list" allowBlank="1" showInputMessage="1" showErrorMessage="1" error="Pick a value from the list." prompt="Pick the Monday the week starts on." sqref="C5" xr:uid="{00000000-0002-0000-0300-000000000000}">
      <formula1>WeekStarts</formula1>
      <formula2>0</formula2>
    </dataValidation>
  </dataValidations>
  <hyperlinks>
    <hyperlink ref="C1" location="'Home'!A1" tooltip="Go to Home" display="Home" xr:uid="{630F83CA-A915-49A7-9E26-D88BD2E1E3A7}"/>
    <hyperlink ref="D1" location="'Daily Log'!A1" tooltip="Go to Daily Log" display="Daily Log" xr:uid="{651BCD6F-76EA-46FC-8D50-6BF4B4FE64FB}"/>
    <hyperlink ref="F1" location="'Cash Ledger'!A1" tooltip="Go to Cash Ledger" display="Cash Ledger" xr:uid="{C41AC441-55B7-4B0A-AE29-104160B0B185}"/>
    <hyperlink ref="J1" location="'Payslip'!A1" tooltip="Go to Payslip" display="Payslip" xr:uid="{22CB8333-8165-4F82-BED4-A0CB4A8897DA}"/>
    <hyperlink ref="L1" location="'Workers'!A1" tooltip="Go to Workers" display="Workers" xr:uid="{ED6ED433-A148-4CC4-8E9F-1B0242825A1C}"/>
    <hyperlink ref="N1" location="'Settings'!A1" tooltip="Go to Settings" display="Settings" xr:uid="{F9C98BA6-A5B7-49EC-B657-C4B5F3B21443}"/>
    <hyperlink ref="P1" location="'Guide'!A1" tooltip="Go to Guide" display="Guide" xr:uid="{EFD78C0D-F85D-4251-843C-A8DD06313E52}"/>
    <hyperlink ref="S1" location="'Worker History'!A1" tooltip="Go to Worker History" display="History" xr:uid="{316F8D27-11CF-40F2-BB67-5B491C7E3E24}"/>
    <hyperlink ref="U1" location="'Weeks'!A1" tooltip="Go to Weeks" display="Weeks" xr:uid="{B4144370-C2A2-48E4-803A-0E9E37E6C39E}"/>
    <hyperlink ref="X1" location="'Checks'!A1" tooltip="Go to Checks" display="Checks" xr:uid="{458F9E4B-3740-45D5-A041-1B518E1463D6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F46E5"/>
    <pageSetUpPr fitToPage="1"/>
  </sheetPr>
  <dimension ref="A1:AN45"/>
  <sheetViews>
    <sheetView showGridLines="0" zoomScaleNormal="100" workbookViewId="0">
      <pane ySplit="1" topLeftCell="A2" activePane="bottomLeft" state="frozen"/>
      <selection pane="bottomLeft" activeCell="M1" sqref="M1:N1"/>
    </sheetView>
  </sheetViews>
  <sheetFormatPr defaultColWidth="8.5703125" defaultRowHeight="15" x14ac:dyDescent="0.25"/>
  <cols>
    <col min="1" max="1" width="2" customWidth="1"/>
    <col min="2" max="2" width="30" customWidth="1"/>
    <col min="3" max="4" width="18" customWidth="1"/>
    <col min="5" max="5" width="26" customWidth="1"/>
    <col min="6" max="6" width="4" customWidth="1"/>
  </cols>
  <sheetData>
    <row r="1" spans="1:40" s="1" customFormat="1" ht="30" customHeight="1" thickBot="1" x14ac:dyDescent="0.3">
      <c r="A1" s="185" t="s">
        <v>196</v>
      </c>
      <c r="B1" s="185"/>
      <c r="C1" s="29" t="s">
        <v>197</v>
      </c>
      <c r="D1" s="29" t="s">
        <v>9</v>
      </c>
      <c r="E1" s="29" t="s">
        <v>12</v>
      </c>
      <c r="F1" s="181" t="s">
        <v>67</v>
      </c>
      <c r="G1" s="182"/>
      <c r="H1" s="182"/>
      <c r="I1" s="205" t="s">
        <v>93</v>
      </c>
      <c r="J1" s="205"/>
      <c r="K1" s="181" t="s">
        <v>118</v>
      </c>
      <c r="L1" s="182"/>
      <c r="M1" s="181" t="s">
        <v>137</v>
      </c>
      <c r="N1" s="182"/>
      <c r="O1" s="181" t="s">
        <v>198</v>
      </c>
      <c r="P1" s="182"/>
      <c r="Q1" s="31" t="s">
        <v>199</v>
      </c>
      <c r="R1" s="183" t="s">
        <v>200</v>
      </c>
      <c r="S1" s="184"/>
      <c r="T1" s="183" t="s">
        <v>166</v>
      </c>
      <c r="U1" s="184"/>
      <c r="V1" s="183" t="s">
        <v>155</v>
      </c>
      <c r="W1" s="184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0" ht="36" customHeight="1" thickTop="1" x14ac:dyDescent="0.45">
      <c r="A2" s="172" t="s">
        <v>93</v>
      </c>
      <c r="B2" s="33"/>
      <c r="C2" s="33"/>
      <c r="D2" s="33"/>
      <c r="E2" s="33"/>
      <c r="F2" s="33"/>
      <c r="G2" s="33"/>
      <c r="H2" s="33"/>
      <c r="I2" s="34"/>
      <c r="J2" s="34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6.5" x14ac:dyDescent="0.3">
      <c r="A3" s="35" t="s">
        <v>94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6.5" x14ac:dyDescent="0.3">
      <c r="A4" s="3"/>
      <c r="B4" s="3"/>
      <c r="C4" s="3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6.5" x14ac:dyDescent="0.3">
      <c r="A5" s="3"/>
      <c r="B5" s="38" t="s">
        <v>95</v>
      </c>
      <c r="C5" s="77">
        <v>46286</v>
      </c>
      <c r="D5" s="3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6.5" x14ac:dyDescent="0.3">
      <c r="A6" s="3"/>
      <c r="B6" s="37" t="s">
        <v>58</v>
      </c>
      <c r="C6" s="69" t="s">
        <v>186</v>
      </c>
      <c r="D6" s="98" t="str">
        <f>IFERROR(INDEX(WorkerIDs,MATCH($C$6,WorkerNames,0)),"unknown worker")</f>
        <v>W02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6.5" x14ac:dyDescent="0.3">
      <c r="A7" s="3"/>
      <c r="B7" s="3"/>
      <c r="C7" s="3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20.25" x14ac:dyDescent="0.35">
      <c r="A8" s="3"/>
      <c r="B8" s="99" t="s">
        <v>96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6.5" x14ac:dyDescent="0.3">
      <c r="A9" s="3"/>
      <c r="B9" s="55" t="str">
        <f>$C$6</f>
        <v>Xusanboy</v>
      </c>
      <c r="C9" s="94">
        <f>$C$5</f>
        <v>46286</v>
      </c>
      <c r="D9" s="124">
        <f>$C$5+6</f>
        <v>46292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6.5" x14ac:dyDescent="0.3">
      <c r="A10" s="3"/>
      <c r="B10" s="3"/>
      <c r="C10" s="3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6.5" x14ac:dyDescent="0.3">
      <c r="A11" s="3"/>
      <c r="B11" s="92" t="s">
        <v>97</v>
      </c>
      <c r="C11" s="100">
        <f>IFERROR(INDEX(Weeks!$F$7:$F$59,MATCH($C$5,Weeks!$A$7:$A$59,0)),0)</f>
        <v>11857</v>
      </c>
      <c r="D11" s="3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6.5" x14ac:dyDescent="0.3">
      <c r="A12" s="3"/>
      <c r="B12" s="92" t="s">
        <v>98</v>
      </c>
      <c r="C12" s="67">
        <f>IFERROR(INDEX(Weeks!$G$7:$G$59,MATCH($C$5,Weeks!$A$7:$A$59,0)),0)</f>
        <v>5928500</v>
      </c>
      <c r="D12" s="3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6.5" x14ac:dyDescent="0.3">
      <c r="A13" s="3"/>
      <c r="B13" s="92" t="s">
        <v>99</v>
      </c>
      <c r="C13" s="68">
        <f>IFERROR(INDEX(Weeks!$H$7:$H$59,MATCH($C$5,Weeks!$A$7:$A$59,0)),0)</f>
        <v>24</v>
      </c>
      <c r="D13" s="3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6.5" x14ac:dyDescent="0.3">
      <c r="A14" s="3"/>
      <c r="B14" s="92" t="s">
        <v>100</v>
      </c>
      <c r="C14" s="68">
        <f>IFERROR(INDEX(Weeks!$L$7:$W$59,MATCH($C$5,Weeks!$A$7:$A$59,0),MATCH($D$6,Weeks!$L$5:$W$5,0)),0)</f>
        <v>6</v>
      </c>
      <c r="D14" s="3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6.5" x14ac:dyDescent="0.3">
      <c r="A15" s="3"/>
      <c r="B15" s="93" t="s">
        <v>101</v>
      </c>
      <c r="C15" s="95">
        <f>IF(N($C$13)=0,0,$C$14/$C$13)</f>
        <v>0.25</v>
      </c>
      <c r="D15" s="3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16.5" x14ac:dyDescent="0.3">
      <c r="A16" s="3"/>
      <c r="B16" s="3"/>
      <c r="C16" s="3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6.5" x14ac:dyDescent="0.3">
      <c r="A17" s="3"/>
      <c r="B17" s="38" t="s">
        <v>76</v>
      </c>
      <c r="C17" s="67">
        <f>IFERROR(INDEX(Weeks!$X$7:$AI$59,MATCH($C$5,Weeks!$A$7:$A$59,0),MATCH($D$6,Weeks!$X$5:$AI$5,0)),0)</f>
        <v>1482125</v>
      </c>
      <c r="D17" s="3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6.5" x14ac:dyDescent="0.3">
      <c r="A18" s="3"/>
      <c r="B18" s="92" t="s">
        <v>102</v>
      </c>
      <c r="C18" s="79">
        <f>SUMPRODUCT((Weeks!$A$7:$A$59&lt;$C$5)*(Weeks!$X$5:$AI$5=$D$6)*Weeks!$X$7:$AI$59)-SUMIFS('Cash Ledger'!$E$7:$E$1006,'Cash Ledger'!$I$7:$I$1006,$D$6,'Cash Ledger'!$B$7:$B$1006,"&lt;"&amp;$C$5)</f>
        <v>0</v>
      </c>
      <c r="D18" s="3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6.5" x14ac:dyDescent="0.3">
      <c r="A19" s="3"/>
      <c r="B19" s="92" t="s">
        <v>103</v>
      </c>
      <c r="C19" s="79">
        <f>-SUMIFS('Cash Ledger'!$E$7:$E$1006,'Cash Ledger'!$I$7:$I$1006,$D$6,'Cash Ledger'!$D$7:$D$1006,"Advance",'Cash Ledger'!$B$7:$B$1006,"&gt;="&amp;$C$5,'Cash Ledger'!$B$7:$B$1006,"&lt;="&amp;($C$5+6))</f>
        <v>-500000</v>
      </c>
      <c r="D19" s="3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6.5" x14ac:dyDescent="0.3">
      <c r="A20" s="3"/>
      <c r="B20" s="92" t="s">
        <v>104</v>
      </c>
      <c r="C20" s="79">
        <f>-SUMIFS('Cash Ledger'!$E$7:$E$1006,'Cash Ledger'!$I$7:$I$1006,$D$6,'Cash Ledger'!$D$7:$D$1006,"Correction",'Cash Ledger'!$B$7:$B$1006,"&gt;="&amp;$C$5,'Cash Ledger'!$B$7:$B$1006,"&lt;="&amp;($C$5+6))</f>
        <v>0</v>
      </c>
      <c r="D20" s="3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16.5" x14ac:dyDescent="0.3">
      <c r="A21" s="3"/>
      <c r="B21" s="37" t="s">
        <v>78</v>
      </c>
      <c r="C21" s="101">
        <f>$C$17+$C$18+$C$19+$C$20</f>
        <v>982125</v>
      </c>
      <c r="D21" s="3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6.5" x14ac:dyDescent="0.3">
      <c r="A22" s="3"/>
      <c r="B22" s="3"/>
      <c r="C22" s="3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17.25" x14ac:dyDescent="0.3">
      <c r="A23" s="3"/>
      <c r="B23" s="38" t="s">
        <v>105</v>
      </c>
      <c r="C23" s="102">
        <f>ROUND(MAX(0,IF($C$18&gt;=0,$C$21,$C$17+$C$19+$C$20-MIN(-$C$18,DebtCap*$C$17))),0)</f>
        <v>982125</v>
      </c>
      <c r="D23" s="3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16.5" x14ac:dyDescent="0.3">
      <c r="A24" s="3"/>
      <c r="B24" s="92" t="s">
        <v>106</v>
      </c>
      <c r="C24" s="67">
        <f>SUMIFS('Cash Ledger'!$E$7:$E$1006,'Cash Ledger'!$I$7:$I$1006,$D$6,'Cash Ledger'!$D$7:$D$1006,"Weekly pay",'Cash Ledger'!$B$7:$B$1006,"&gt;="&amp;$C$5,'Cash Ledger'!$B$7:$B$1006,"&lt;="&amp;($C$5+6))</f>
        <v>0</v>
      </c>
      <c r="D24" s="3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6.5" x14ac:dyDescent="0.3">
      <c r="A25" s="3"/>
      <c r="B25" s="37" t="s">
        <v>107</v>
      </c>
      <c r="C25" s="101">
        <f>$C$21-$C$24</f>
        <v>982125</v>
      </c>
      <c r="D25" s="98" t="str">
        <f>IF(ROUND($C$25,0)&lt;0,"you owe the workshop "&amp;TEXT(ROUND(-$C$25,0),"#,##0")&amp;" so'm",IF(ROUND($C$25,0)&gt;0,"the workshop owes you "&amp;TEXT(ROUND($C$25,0),"#,##0")&amp;" so'm","settled"))</f>
        <v>the workshop owes you 982,125 so'm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6.5" x14ac:dyDescent="0.3">
      <c r="A26" s="3"/>
      <c r="B26" s="3"/>
      <c r="C26" s="3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17.25" x14ac:dyDescent="0.3">
      <c r="A27" s="3"/>
      <c r="B27" s="103" t="s">
        <v>108</v>
      </c>
      <c r="C27" s="36"/>
      <c r="D27" s="3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9.5" customHeight="1" x14ac:dyDescent="0.3">
      <c r="A28" s="36"/>
      <c r="B28" s="58" t="s">
        <v>41</v>
      </c>
      <c r="C28" s="58" t="s">
        <v>60</v>
      </c>
      <c r="D28" s="58" t="s">
        <v>61</v>
      </c>
      <c r="E28" s="3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6.5" x14ac:dyDescent="0.3">
      <c r="A29" s="36"/>
      <c r="B29" s="96">
        <f>IFERROR(INDEX('Cash Ledger'!$B$7:$B$1006,MATCH($D$6&amp;"|"&amp;$C$5&amp;"|"&amp;1,'Cash Ledger'!$K$7:$K$1006,0)),"")</f>
        <v>46287</v>
      </c>
      <c r="C29" s="104">
        <f>IFERROR(INDEX('Cash Ledger'!$E$7:$E$1006,MATCH($D$6&amp;"|"&amp;$C$5&amp;"|"&amp;1,'Cash Ledger'!$K$7:$K$1006,0)),"")</f>
        <v>500000</v>
      </c>
      <c r="D29" s="219" t="str">
        <f>IFERROR(INDEX('Cash Ledger'!$F$7:$F$1006,MATCH($D$6&amp;"|"&amp;$C$5&amp;"|"&amp;1,'Cash Ledger'!$K$7:$K$1006,0)),"")</f>
        <v>Karta+Naqd</v>
      </c>
      <c r="E29" s="207"/>
      <c r="F29" s="3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6.5" x14ac:dyDescent="0.3">
      <c r="A30" s="36"/>
      <c r="B30" s="97" t="str">
        <f>IFERROR(INDEX('Cash Ledger'!$B$7:$B$1006,MATCH($D$6&amp;"|"&amp;$C$5&amp;"|"&amp;2,'Cash Ledger'!$K$7:$K$1006,0)),"")</f>
        <v/>
      </c>
      <c r="C30" s="106" t="str">
        <f>IFERROR(INDEX('Cash Ledger'!$E$7:$E$1006,MATCH($D$6&amp;"|"&amp;$C$5&amp;"|"&amp;2,'Cash Ledger'!$K$7:$K$1006,0)),"")</f>
        <v/>
      </c>
      <c r="D30" s="207" t="str">
        <f>IFERROR(INDEX('Cash Ledger'!$F$7:$F$1006,MATCH($D$6&amp;"|"&amp;$C$5&amp;"|"&amp;2,'Cash Ledger'!$K$7:$K$1006,0)),"")</f>
        <v/>
      </c>
      <c r="E30" s="207"/>
      <c r="F30" s="3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6.5" x14ac:dyDescent="0.3">
      <c r="A31" s="36"/>
      <c r="B31" s="97" t="str">
        <f>IFERROR(INDEX('Cash Ledger'!$B$7:$B$1006,MATCH($D$6&amp;"|"&amp;$C$5&amp;"|"&amp;3,'Cash Ledger'!$K$7:$K$1006,0)),"")</f>
        <v/>
      </c>
      <c r="C31" s="106" t="str">
        <f>IFERROR(INDEX('Cash Ledger'!$E$7:$E$1006,MATCH($D$6&amp;"|"&amp;$C$5&amp;"|"&amp;3,'Cash Ledger'!$K$7:$K$1006,0)),"")</f>
        <v/>
      </c>
      <c r="D31" s="207" t="str">
        <f>IFERROR(INDEX('Cash Ledger'!$F$7:$F$1006,MATCH($D$6&amp;"|"&amp;$C$5&amp;"|"&amp;3,'Cash Ledger'!$K$7:$K$1006,0)),"")</f>
        <v/>
      </c>
      <c r="E31" s="207"/>
      <c r="F31" s="3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6.5" x14ac:dyDescent="0.3">
      <c r="A32" s="36"/>
      <c r="B32" s="97" t="str">
        <f>IFERROR(INDEX('Cash Ledger'!$B$7:$B$1006,MATCH($D$6&amp;"|"&amp;$C$5&amp;"|"&amp;4,'Cash Ledger'!$K$7:$K$1006,0)),"")</f>
        <v/>
      </c>
      <c r="C32" s="106" t="str">
        <f>IFERROR(INDEX('Cash Ledger'!$E$7:$E$1006,MATCH($D$6&amp;"|"&amp;$C$5&amp;"|"&amp;4,'Cash Ledger'!$K$7:$K$1006,0)),"")</f>
        <v/>
      </c>
      <c r="D32" s="207" t="str">
        <f>IFERROR(INDEX('Cash Ledger'!$F$7:$F$1006,MATCH($D$6&amp;"|"&amp;$C$5&amp;"|"&amp;4,'Cash Ledger'!$K$7:$K$1006,0)),"")</f>
        <v/>
      </c>
      <c r="E32" s="207"/>
      <c r="F32" s="3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 ht="16.5" x14ac:dyDescent="0.3">
      <c r="A33" s="36"/>
      <c r="B33" s="97" t="str">
        <f>IFERROR(INDEX('Cash Ledger'!$B$7:$B$1006,MATCH($D$6&amp;"|"&amp;$C$5&amp;"|"&amp;5,'Cash Ledger'!$K$7:$K$1006,0)),"")</f>
        <v/>
      </c>
      <c r="C33" s="106" t="str">
        <f>IFERROR(INDEX('Cash Ledger'!$E$7:$E$1006,MATCH($D$6&amp;"|"&amp;$C$5&amp;"|"&amp;5,'Cash Ledger'!$K$7:$K$1006,0)),"")</f>
        <v/>
      </c>
      <c r="D33" s="207" t="str">
        <f>IFERROR(INDEX('Cash Ledger'!$F$7:$F$1006,MATCH($D$6&amp;"|"&amp;$C$5&amp;"|"&amp;5,'Cash Ledger'!$K$7:$K$1006,0)),"")</f>
        <v/>
      </c>
      <c r="E33" s="207"/>
      <c r="F33" s="3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ht="16.5" x14ac:dyDescent="0.3">
      <c r="A34" s="36"/>
      <c r="B34" s="97" t="str">
        <f>IFERROR(INDEX('Cash Ledger'!$B$7:$B$1006,MATCH($D$6&amp;"|"&amp;$C$5&amp;"|"&amp;6,'Cash Ledger'!$K$7:$K$1006,0)),"")</f>
        <v/>
      </c>
      <c r="C34" s="106" t="str">
        <f>IFERROR(INDEX('Cash Ledger'!$E$7:$E$1006,MATCH($D$6&amp;"|"&amp;$C$5&amp;"|"&amp;6,'Cash Ledger'!$K$7:$K$1006,0)),"")</f>
        <v/>
      </c>
      <c r="D34" s="207" t="str">
        <f>IFERROR(INDEX('Cash Ledger'!$F$7:$F$1006,MATCH($D$6&amp;"|"&amp;$C$5&amp;"|"&amp;6,'Cash Ledger'!$K$7:$K$1006,0)),"")</f>
        <v/>
      </c>
      <c r="E34" s="207"/>
      <c r="F34" s="3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1:40" ht="16.5" x14ac:dyDescent="0.3">
      <c r="A35" s="36"/>
      <c r="B35" s="97" t="str">
        <f>IFERROR(INDEX('Cash Ledger'!$B$7:$B$1006,MATCH($D$6&amp;"|"&amp;$C$5&amp;"|"&amp;7,'Cash Ledger'!$K$7:$K$1006,0)),"")</f>
        <v/>
      </c>
      <c r="C35" s="106" t="str">
        <f>IFERROR(INDEX('Cash Ledger'!$E$7:$E$1006,MATCH($D$6&amp;"|"&amp;$C$5&amp;"|"&amp;7,'Cash Ledger'!$K$7:$K$1006,0)),"")</f>
        <v/>
      </c>
      <c r="D35" s="207" t="str">
        <f>IFERROR(INDEX('Cash Ledger'!$F$7:$F$1006,MATCH($D$6&amp;"|"&amp;$C$5&amp;"|"&amp;7,'Cash Ledger'!$K$7:$K$1006,0)),"")</f>
        <v/>
      </c>
      <c r="E35" s="207"/>
      <c r="F35" s="3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1:40" ht="16.5" x14ac:dyDescent="0.3">
      <c r="A36" s="36"/>
      <c r="B36" s="97" t="str">
        <f>IFERROR(INDEX('Cash Ledger'!$B$7:$B$1006,MATCH($D$6&amp;"|"&amp;$C$5&amp;"|"&amp;8,'Cash Ledger'!$K$7:$K$1006,0)),"")</f>
        <v/>
      </c>
      <c r="C36" s="106" t="str">
        <f>IFERROR(INDEX('Cash Ledger'!$E$7:$E$1006,MATCH($D$6&amp;"|"&amp;$C$5&amp;"|"&amp;8,'Cash Ledger'!$K$7:$K$1006,0)),"")</f>
        <v/>
      </c>
      <c r="D36" s="207" t="str">
        <f>IFERROR(INDEX('Cash Ledger'!$F$7:$F$1006,MATCH($D$6&amp;"|"&amp;$C$5&amp;"|"&amp;8,'Cash Ledger'!$K$7:$K$1006,0)),"")</f>
        <v/>
      </c>
      <c r="E36" s="207"/>
      <c r="F36" s="3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1:40" ht="16.5" x14ac:dyDescent="0.3">
      <c r="A37" s="36"/>
      <c r="B37" s="97" t="str">
        <f>IFERROR(INDEX('Cash Ledger'!$B$7:$B$1006,MATCH($D$6&amp;"|"&amp;$C$5&amp;"|"&amp;9,'Cash Ledger'!$K$7:$K$1006,0)),"")</f>
        <v/>
      </c>
      <c r="C37" s="106" t="str">
        <f>IFERROR(INDEX('Cash Ledger'!$E$7:$E$1006,MATCH($D$6&amp;"|"&amp;$C$5&amp;"|"&amp;9,'Cash Ledger'!$K$7:$K$1006,0)),"")</f>
        <v/>
      </c>
      <c r="D37" s="207" t="str">
        <f>IFERROR(INDEX('Cash Ledger'!$F$7:$F$1006,MATCH($D$6&amp;"|"&amp;$C$5&amp;"|"&amp;9,'Cash Ledger'!$K$7:$K$1006,0)),"")</f>
        <v/>
      </c>
      <c r="E37" s="207"/>
      <c r="F37" s="3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1:40" ht="16.5" x14ac:dyDescent="0.3">
      <c r="A38" s="33"/>
      <c r="B38" s="97" t="str">
        <f>IFERROR(INDEX('Cash Ledger'!$B$7:$B$1006,MATCH($D$6&amp;"|"&amp;$C$5&amp;"|"&amp;10,'Cash Ledger'!$K$7:$K$1006,0)),"")</f>
        <v/>
      </c>
      <c r="C38" s="106" t="str">
        <f>IFERROR(INDEX('Cash Ledger'!$E$7:$E$1006,MATCH($D$6&amp;"|"&amp;$C$5&amp;"|"&amp;10,'Cash Ledger'!$K$7:$K$1006,0)),"")</f>
        <v/>
      </c>
      <c r="D38" s="207" t="str">
        <f>IFERROR(INDEX('Cash Ledger'!$F$7:$F$1006,MATCH($D$6&amp;"|"&amp;$C$5&amp;"|"&amp;10,'Cash Ledger'!$K$7:$K$1006,0)),"")</f>
        <v/>
      </c>
      <c r="E38" s="207"/>
      <c r="F38" s="3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1:40" ht="16.5" x14ac:dyDescent="0.3">
      <c r="A39" s="3"/>
      <c r="B39" s="98" t="str">
        <f>IF(COUNTIFS('Cash Ledger'!$I$7:$I$1006,$D$6,'Cash Ledger'!$D$7:$D$1006,"Advance",'Cash Ledger'!$B$7:$B$1006,"&gt;="&amp;$C$5,'Cash Ledger'!$B$7:$B$1006,"&lt;="&amp;($C$5+6))&gt;10,"More advances than fit here - see the Cash Ledger","")</f>
        <v/>
      </c>
      <c r="C39" s="33"/>
      <c r="D39" s="33"/>
      <c r="E39" s="3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1:40" ht="16.5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1:40" ht="16.5" x14ac:dyDescent="0.3">
      <c r="A41" s="3"/>
      <c r="B41" s="91" t="s">
        <v>109</v>
      </c>
      <c r="C41" s="217"/>
      <c r="D41" s="217"/>
      <c r="E41" s="21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1:40" ht="16.5" x14ac:dyDescent="0.3">
      <c r="A42" s="3"/>
      <c r="B42" s="3"/>
      <c r="C42" s="36"/>
      <c r="D42" s="36"/>
      <c r="E42" s="3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1:40" ht="16.5" x14ac:dyDescent="0.3">
      <c r="A43" s="3"/>
      <c r="B43" s="91" t="s">
        <v>110</v>
      </c>
      <c r="C43" s="217"/>
      <c r="D43" s="217"/>
      <c r="E43" s="21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1:40" ht="16.5" x14ac:dyDescent="0.3">
      <c r="A44" s="3"/>
      <c r="B44" s="3"/>
      <c r="C44" s="36"/>
      <c r="D44" s="36"/>
      <c r="E44" s="3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1:40" ht="16.5" x14ac:dyDescent="0.3">
      <c r="A45" s="3"/>
      <c r="B45" s="91" t="s">
        <v>111</v>
      </c>
      <c r="C45" s="218"/>
      <c r="D45" s="218"/>
      <c r="E45" s="21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</sheetData>
  <mergeCells count="22">
    <mergeCell ref="C41:E41"/>
    <mergeCell ref="C43:E43"/>
    <mergeCell ref="C45:E45"/>
    <mergeCell ref="A1:B1"/>
    <mergeCell ref="F1:H1"/>
    <mergeCell ref="D34:E34"/>
    <mergeCell ref="D35:E35"/>
    <mergeCell ref="D36:E36"/>
    <mergeCell ref="D37:E37"/>
    <mergeCell ref="D38:E38"/>
    <mergeCell ref="D29:E29"/>
    <mergeCell ref="D30:E30"/>
    <mergeCell ref="D31:E31"/>
    <mergeCell ref="D32:E32"/>
    <mergeCell ref="D33:E33"/>
    <mergeCell ref="T1:U1"/>
    <mergeCell ref="V1:W1"/>
    <mergeCell ref="I1:J1"/>
    <mergeCell ref="K1:L1"/>
    <mergeCell ref="M1:N1"/>
    <mergeCell ref="O1:P1"/>
    <mergeCell ref="R1:S1"/>
  </mergeCells>
  <dataValidations count="2">
    <dataValidation type="list" allowBlank="1" showErrorMessage="1" error="Pick a value from the list." sqref="C5" xr:uid="{00000000-0002-0000-0400-000000000000}">
      <formula1>WeekStarts</formula1>
      <formula2>0</formula2>
    </dataValidation>
    <dataValidation type="list" allowBlank="1" showErrorMessage="1" error="Pick a value from the list." sqref="C6" xr:uid="{00000000-0002-0000-0400-000001000000}">
      <formula1>WorkerNames</formula1>
      <formula2>0</formula2>
    </dataValidation>
  </dataValidations>
  <hyperlinks>
    <hyperlink ref="C1" location="'Home'!A1" tooltip="Go to Home" display="Home" xr:uid="{AF9F8360-2C9B-4250-9946-68A8A5BE44BE}"/>
    <hyperlink ref="D1" location="'Daily Log'!A1" tooltip="Go to Daily Log" display="Daily Log" xr:uid="{7D2E0D0F-73AD-4552-A1C5-030248F9F6DD}"/>
    <hyperlink ref="E1" location="'Cash Ledger'!A1" tooltip="Go to Cash Ledger" display="Cash Ledger" xr:uid="{4894E61B-F968-4D6F-A3E6-898240A2D918}"/>
    <hyperlink ref="F1" location="'Weekly Pay'!A1" tooltip="Go to Weekly Pay" display="Weekly Pay" xr:uid="{4829A977-C363-4451-A380-ABE71722B9B7}"/>
    <hyperlink ref="K1" location="'Workers'!A1" tooltip="Go to Workers" display="Workers" xr:uid="{C153516D-FBE5-4131-9AE2-788A6C188C67}"/>
    <hyperlink ref="M1" location="'Settings'!A1" tooltip="Go to Settings" display="Settings" xr:uid="{9F6FB1A3-283B-4C70-9D8B-24AED685EFFB}"/>
    <hyperlink ref="O1" location="'Guide'!A1" tooltip="Go to Guide" display="Guide" xr:uid="{529784AF-7826-4943-B164-825616A10F23}"/>
    <hyperlink ref="R1" location="'Worker History'!A1" tooltip="Go to Worker History" display="History" xr:uid="{588EB5F5-C73A-4704-A30D-5AA28440CC9D}"/>
    <hyperlink ref="T1" location="'Weeks'!A1" tooltip="Go to Weeks" display="Weeks" xr:uid="{34BC6006-28A8-4758-9D7D-809F8CD5A82D}"/>
    <hyperlink ref="V1" location="'Checks'!A1" tooltip="Go to Checks" display="Checks" xr:uid="{1F9FAC2C-8E34-41E2-9EA2-9E2431FFA345}"/>
  </hyperlinks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BD5E1"/>
  </sheetPr>
  <dimension ref="A1:AN60"/>
  <sheetViews>
    <sheetView showGridLines="0" zoomScaleNormal="100" workbookViewId="0">
      <pane ySplit="7" topLeftCell="A8" activePane="bottomLeft" state="frozen"/>
      <selection pane="bottomLeft" sqref="A1:B1"/>
    </sheetView>
  </sheetViews>
  <sheetFormatPr defaultColWidth="8.5703125" defaultRowHeight="15" x14ac:dyDescent="0.25"/>
  <cols>
    <col min="1" max="1" width="12" customWidth="1"/>
    <col min="2" max="2" width="7" customWidth="1"/>
    <col min="3" max="3" width="14" customWidth="1"/>
    <col min="4" max="4" width="13" customWidth="1"/>
    <col min="5" max="5" width="12" customWidth="1"/>
    <col min="6" max="6" width="13" customWidth="1"/>
    <col min="7" max="7" width="18" customWidth="1"/>
    <col min="8" max="8" width="30" customWidth="1"/>
  </cols>
  <sheetData>
    <row r="1" spans="1:40" s="1" customFormat="1" ht="30" customHeight="1" thickBot="1" x14ac:dyDescent="0.3">
      <c r="A1" s="185" t="s">
        <v>196</v>
      </c>
      <c r="B1" s="185"/>
      <c r="C1" s="29" t="s">
        <v>197</v>
      </c>
      <c r="D1" s="181" t="s">
        <v>9</v>
      </c>
      <c r="E1" s="182"/>
      <c r="F1" s="181" t="s">
        <v>12</v>
      </c>
      <c r="G1" s="182"/>
      <c r="H1" s="29" t="s">
        <v>67</v>
      </c>
      <c r="I1" s="181" t="s">
        <v>93</v>
      </c>
      <c r="J1" s="182"/>
      <c r="K1" s="181" t="s">
        <v>118</v>
      </c>
      <c r="L1" s="182"/>
      <c r="M1" s="181" t="s">
        <v>137</v>
      </c>
      <c r="N1" s="182"/>
      <c r="O1" s="181" t="s">
        <v>198</v>
      </c>
      <c r="P1" s="182"/>
      <c r="Q1" s="31" t="s">
        <v>199</v>
      </c>
      <c r="R1" s="205" t="s">
        <v>200</v>
      </c>
      <c r="S1" s="205"/>
      <c r="T1" s="183" t="s">
        <v>166</v>
      </c>
      <c r="U1" s="184"/>
      <c r="V1" s="183" t="s">
        <v>155</v>
      </c>
      <c r="W1" s="184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0" ht="36" customHeight="1" thickTop="1" x14ac:dyDescent="0.45">
      <c r="A2" s="172" t="s">
        <v>112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  <c r="S2" s="34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6.5" x14ac:dyDescent="0.3">
      <c r="A3" s="35" t="s">
        <v>113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6.5" x14ac:dyDescent="0.3">
      <c r="A4" s="3"/>
      <c r="B4" s="3"/>
      <c r="C4" s="3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6.5" x14ac:dyDescent="0.3">
      <c r="A5" s="3"/>
      <c r="B5" s="38" t="s">
        <v>58</v>
      </c>
      <c r="C5" s="69" t="s">
        <v>186</v>
      </c>
      <c r="D5" s="57" t="str">
        <f>IFERROR(INDEX(WorkerIDs,MATCH($C$5,WorkerNames,0)),"unknown worker")</f>
        <v>W02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6.5" x14ac:dyDescent="0.3">
      <c r="A6" s="36"/>
      <c r="B6" s="36"/>
      <c r="C6" s="36"/>
      <c r="D6" s="36"/>
      <c r="E6" s="36"/>
      <c r="F6" s="36"/>
      <c r="G6" s="85" t="s">
        <v>114</v>
      </c>
      <c r="H6" s="3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s="127" customFormat="1" ht="32.1" customHeight="1" x14ac:dyDescent="0.25">
      <c r="A7" s="58" t="s">
        <v>50</v>
      </c>
      <c r="B7" s="58" t="s">
        <v>74</v>
      </c>
      <c r="C7" s="58" t="s">
        <v>115</v>
      </c>
      <c r="D7" s="58" t="s">
        <v>54</v>
      </c>
      <c r="E7" s="58" t="s">
        <v>56</v>
      </c>
      <c r="F7" s="58" t="s">
        <v>55</v>
      </c>
      <c r="G7" s="58" t="s">
        <v>116</v>
      </c>
      <c r="H7" s="58" t="s">
        <v>117</v>
      </c>
      <c r="I7" s="125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</row>
    <row r="8" spans="1:40" s="127" customFormat="1" ht="21" customHeight="1" x14ac:dyDescent="0.25">
      <c r="A8" s="41">
        <f>Weeks!$A$7</f>
        <v>46286</v>
      </c>
      <c r="B8" s="45">
        <f ca="1">IF($A8&gt;TODAY(),"",IFERROR(INDEX(Weeks!$L$7:$W$59,MATCH($A8,Weeks!$A$7:$A$59,0),MATCH($D$5,Weeks!$L$5:$W$5,0)),0))</f>
        <v>6</v>
      </c>
      <c r="C8" s="128">
        <f ca="1">IF($A8&gt;TODAY(),"",IFERROR(INDEX(Weeks!$X$7:$AI$59,MATCH($A8,Weeks!$A$7:$A$59,0),MATCH($D$5,Weeks!$X$5:$AI$5,0)),0))</f>
        <v>1482125</v>
      </c>
      <c r="D8" s="128">
        <f ca="1">IF($A8&gt;TODAY(),"",SUMIFS('Cash Ledger'!$E$7:$E$1006,'Cash Ledger'!$I$7:$I$1006,$D$5,'Cash Ledger'!$D$7:$D$1006,"Advance",'Cash Ledger'!$B$7:$B$1006,"&gt;="&amp;$A8,'Cash Ledger'!$B$7:$B$1006,"&lt;="&amp;($A8+6)))</f>
        <v>500000</v>
      </c>
      <c r="E8" s="140">
        <f ca="1">IF($A8&gt;TODAY(),"",SUMIFS('Cash Ledger'!$E$7:$E$1006,'Cash Ledger'!$I$7:$I$1006,$D$5,'Cash Ledger'!$D$7:$D$1006,"Correction",'Cash Ledger'!$B$7:$B$1006,"&gt;="&amp;$A8,'Cash Ledger'!$B$7:$B$1006,"&lt;="&amp;($A8+6)))</f>
        <v>0</v>
      </c>
      <c r="F8" s="128">
        <f ca="1">IF($A8&gt;TODAY(),"",SUMIFS('Cash Ledger'!$E$7:$E$1006,'Cash Ledger'!$I$7:$I$1006,$D$5,'Cash Ledger'!$D$7:$D$1006,"Weekly pay",'Cash Ledger'!$B$7:$B$1006,"&gt;="&amp;$A8,'Cash Ledger'!$B$7:$B$1006,"&lt;="&amp;($A8+6)))</f>
        <v>0</v>
      </c>
      <c r="G8" s="166">
        <f ca="1">IF($A8&gt;TODAY(),"",SUMPRODUCT((Weeks!$A$7:$A$59&lt;=$A8)*(Weeks!$X$5:$AI$5=$D$5)*Weeks!$X$7:$AI$59)-SUMIFS('Cash Ledger'!$E$7:$E$1006,'Cash Ledger'!$I$7:$I$1006,$D$5,'Cash Ledger'!$B$7:$B$1006,"&lt;="&amp;($A8+6)))</f>
        <v>982125</v>
      </c>
      <c r="H8" s="129" t="str">
        <f t="shared" ref="H8:H39" ca="1" si="0">IF(OR($A8&gt;TODAY(),$G8=""),"",IF(ROUND($G8,0)&lt;0,"owes you",IF(ROUND($G8,0)&gt;0,"you owe","settled")))</f>
        <v>you owe</v>
      </c>
      <c r="I8" s="125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</row>
    <row r="9" spans="1:40" s="127" customFormat="1" ht="21" customHeight="1" x14ac:dyDescent="0.25">
      <c r="A9" s="49">
        <f>Weeks!$A$8</f>
        <v>46293</v>
      </c>
      <c r="B9" s="51" t="str">
        <f ca="1">IF($A9&gt;TODAY(),"",IFERROR(INDEX(Weeks!$L$7:$W$59,MATCH($A9,Weeks!$A$7:$A$59,0),MATCH($D$5,Weeks!$L$5:$W$5,0)),0))</f>
        <v/>
      </c>
      <c r="C9" s="131" t="str">
        <f ca="1">IF($A9&gt;TODAY(),"",IFERROR(INDEX(Weeks!$X$7:$AI$59,MATCH($A9,Weeks!$A$7:$A$59,0),MATCH($D$5,Weeks!$X$5:$AI$5,0)),0))</f>
        <v/>
      </c>
      <c r="D9" s="131" t="str">
        <f ca="1">IF($A9&gt;TODAY(),"",SUMIFS('Cash Ledger'!$E$7:$E$1006,'Cash Ledger'!$I$7:$I$1006,$D$5,'Cash Ledger'!$D$7:$D$1006,"Advance",'Cash Ledger'!$B$7:$B$1006,"&gt;="&amp;$A9,'Cash Ledger'!$B$7:$B$1006,"&lt;="&amp;($A9+6)))</f>
        <v/>
      </c>
      <c r="E9" s="143" t="str">
        <f ca="1">IF($A9&gt;TODAY(),"",SUMIFS('Cash Ledger'!$E$7:$E$1006,'Cash Ledger'!$I$7:$I$1006,$D$5,'Cash Ledger'!$D$7:$D$1006,"Correction",'Cash Ledger'!$B$7:$B$1006,"&gt;="&amp;$A9,'Cash Ledger'!$B$7:$B$1006,"&lt;="&amp;($A9+6)))</f>
        <v/>
      </c>
      <c r="F9" s="131" t="str">
        <f ca="1">IF($A9&gt;TODAY(),"",SUMIFS('Cash Ledger'!$E$7:$E$1006,'Cash Ledger'!$I$7:$I$1006,$D$5,'Cash Ledger'!$D$7:$D$1006,"Weekly pay",'Cash Ledger'!$B$7:$B$1006,"&gt;="&amp;$A9,'Cash Ledger'!$B$7:$B$1006,"&lt;="&amp;($A9+6)))</f>
        <v/>
      </c>
      <c r="G9" s="167" t="str">
        <f ca="1">IF($A9&gt;TODAY(),"",SUMPRODUCT((Weeks!$A$7:$A$59&lt;=$A9)*(Weeks!$X$5:$AI$5=$D$5)*Weeks!$X$7:$AI$59)-SUMIFS('Cash Ledger'!$E$7:$E$1006,'Cash Ledger'!$I$7:$I$1006,$D$5,'Cash Ledger'!$B$7:$B$1006,"&lt;="&amp;($A9+6)))</f>
        <v/>
      </c>
      <c r="H9" s="132" t="str">
        <f t="shared" ca="1" si="0"/>
        <v/>
      </c>
      <c r="I9" s="125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</row>
    <row r="10" spans="1:40" s="127" customFormat="1" ht="21" customHeight="1" x14ac:dyDescent="0.25">
      <c r="A10" s="49">
        <f>Weeks!$A$9</f>
        <v>46300</v>
      </c>
      <c r="B10" s="51" t="str">
        <f ca="1">IF($A10&gt;TODAY(),"",IFERROR(INDEX(Weeks!$L$7:$W$59,MATCH($A10,Weeks!$A$7:$A$59,0),MATCH($D$5,Weeks!$L$5:$W$5,0)),0))</f>
        <v/>
      </c>
      <c r="C10" s="131" t="str">
        <f ca="1">IF($A10&gt;TODAY(),"",IFERROR(INDEX(Weeks!$X$7:$AI$59,MATCH($A10,Weeks!$A$7:$A$59,0),MATCH($D$5,Weeks!$X$5:$AI$5,0)),0))</f>
        <v/>
      </c>
      <c r="D10" s="131" t="str">
        <f ca="1">IF($A10&gt;TODAY(),"",SUMIFS('Cash Ledger'!$E$7:$E$1006,'Cash Ledger'!$I$7:$I$1006,$D$5,'Cash Ledger'!$D$7:$D$1006,"Advance",'Cash Ledger'!$B$7:$B$1006,"&gt;="&amp;$A10,'Cash Ledger'!$B$7:$B$1006,"&lt;="&amp;($A10+6)))</f>
        <v/>
      </c>
      <c r="E10" s="143" t="str">
        <f ca="1">IF($A10&gt;TODAY(),"",SUMIFS('Cash Ledger'!$E$7:$E$1006,'Cash Ledger'!$I$7:$I$1006,$D$5,'Cash Ledger'!$D$7:$D$1006,"Correction",'Cash Ledger'!$B$7:$B$1006,"&gt;="&amp;$A10,'Cash Ledger'!$B$7:$B$1006,"&lt;="&amp;($A10+6)))</f>
        <v/>
      </c>
      <c r="F10" s="131" t="str">
        <f ca="1">IF($A10&gt;TODAY(),"",SUMIFS('Cash Ledger'!$E$7:$E$1006,'Cash Ledger'!$I$7:$I$1006,$D$5,'Cash Ledger'!$D$7:$D$1006,"Weekly pay",'Cash Ledger'!$B$7:$B$1006,"&gt;="&amp;$A10,'Cash Ledger'!$B$7:$B$1006,"&lt;="&amp;($A10+6)))</f>
        <v/>
      </c>
      <c r="G10" s="167" t="str">
        <f ca="1">IF($A10&gt;TODAY(),"",SUMPRODUCT((Weeks!$A$7:$A$59&lt;=$A10)*(Weeks!$X$5:$AI$5=$D$5)*Weeks!$X$7:$AI$59)-SUMIFS('Cash Ledger'!$E$7:$E$1006,'Cash Ledger'!$I$7:$I$1006,$D$5,'Cash Ledger'!$B$7:$B$1006,"&lt;="&amp;($A10+6)))</f>
        <v/>
      </c>
      <c r="H10" s="132" t="str">
        <f t="shared" ca="1" si="0"/>
        <v/>
      </c>
      <c r="I10" s="125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</row>
    <row r="11" spans="1:40" s="127" customFormat="1" ht="21" customHeight="1" x14ac:dyDescent="0.25">
      <c r="A11" s="49">
        <f>Weeks!$A$10</f>
        <v>46307</v>
      </c>
      <c r="B11" s="51" t="str">
        <f ca="1">IF($A11&gt;TODAY(),"",IFERROR(INDEX(Weeks!$L$7:$W$59,MATCH($A11,Weeks!$A$7:$A$59,0),MATCH($D$5,Weeks!$L$5:$W$5,0)),0))</f>
        <v/>
      </c>
      <c r="C11" s="131" t="str">
        <f ca="1">IF($A11&gt;TODAY(),"",IFERROR(INDEX(Weeks!$X$7:$AI$59,MATCH($A11,Weeks!$A$7:$A$59,0),MATCH($D$5,Weeks!$X$5:$AI$5,0)),0))</f>
        <v/>
      </c>
      <c r="D11" s="131" t="str">
        <f ca="1">IF($A11&gt;TODAY(),"",SUMIFS('Cash Ledger'!$E$7:$E$1006,'Cash Ledger'!$I$7:$I$1006,$D$5,'Cash Ledger'!$D$7:$D$1006,"Advance",'Cash Ledger'!$B$7:$B$1006,"&gt;="&amp;$A11,'Cash Ledger'!$B$7:$B$1006,"&lt;="&amp;($A11+6)))</f>
        <v/>
      </c>
      <c r="E11" s="143" t="str">
        <f ca="1">IF($A11&gt;TODAY(),"",SUMIFS('Cash Ledger'!$E$7:$E$1006,'Cash Ledger'!$I$7:$I$1006,$D$5,'Cash Ledger'!$D$7:$D$1006,"Correction",'Cash Ledger'!$B$7:$B$1006,"&gt;="&amp;$A11,'Cash Ledger'!$B$7:$B$1006,"&lt;="&amp;($A11+6)))</f>
        <v/>
      </c>
      <c r="F11" s="131" t="str">
        <f ca="1">IF($A11&gt;TODAY(),"",SUMIFS('Cash Ledger'!$E$7:$E$1006,'Cash Ledger'!$I$7:$I$1006,$D$5,'Cash Ledger'!$D$7:$D$1006,"Weekly pay",'Cash Ledger'!$B$7:$B$1006,"&gt;="&amp;$A11,'Cash Ledger'!$B$7:$B$1006,"&lt;="&amp;($A11+6)))</f>
        <v/>
      </c>
      <c r="G11" s="167" t="str">
        <f ca="1">IF($A11&gt;TODAY(),"",SUMPRODUCT((Weeks!$A$7:$A$59&lt;=$A11)*(Weeks!$X$5:$AI$5=$D$5)*Weeks!$X$7:$AI$59)-SUMIFS('Cash Ledger'!$E$7:$E$1006,'Cash Ledger'!$I$7:$I$1006,$D$5,'Cash Ledger'!$B$7:$B$1006,"&lt;="&amp;($A11+6)))</f>
        <v/>
      </c>
      <c r="H11" s="132" t="str">
        <f t="shared" ca="1" si="0"/>
        <v/>
      </c>
      <c r="I11" s="125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</row>
    <row r="12" spans="1:40" s="127" customFormat="1" ht="21" customHeight="1" x14ac:dyDescent="0.25">
      <c r="A12" s="49">
        <f>Weeks!$A$11</f>
        <v>46314</v>
      </c>
      <c r="B12" s="51" t="str">
        <f ca="1">IF($A12&gt;TODAY(),"",IFERROR(INDEX(Weeks!$L$7:$W$59,MATCH($A12,Weeks!$A$7:$A$59,0),MATCH($D$5,Weeks!$L$5:$W$5,0)),0))</f>
        <v/>
      </c>
      <c r="C12" s="131" t="str">
        <f ca="1">IF($A12&gt;TODAY(),"",IFERROR(INDEX(Weeks!$X$7:$AI$59,MATCH($A12,Weeks!$A$7:$A$59,0),MATCH($D$5,Weeks!$X$5:$AI$5,0)),0))</f>
        <v/>
      </c>
      <c r="D12" s="131" t="str">
        <f ca="1">IF($A12&gt;TODAY(),"",SUMIFS('Cash Ledger'!$E$7:$E$1006,'Cash Ledger'!$I$7:$I$1006,$D$5,'Cash Ledger'!$D$7:$D$1006,"Advance",'Cash Ledger'!$B$7:$B$1006,"&gt;="&amp;$A12,'Cash Ledger'!$B$7:$B$1006,"&lt;="&amp;($A12+6)))</f>
        <v/>
      </c>
      <c r="E12" s="143" t="str">
        <f ca="1">IF($A12&gt;TODAY(),"",SUMIFS('Cash Ledger'!$E$7:$E$1006,'Cash Ledger'!$I$7:$I$1006,$D$5,'Cash Ledger'!$D$7:$D$1006,"Correction",'Cash Ledger'!$B$7:$B$1006,"&gt;="&amp;$A12,'Cash Ledger'!$B$7:$B$1006,"&lt;="&amp;($A12+6)))</f>
        <v/>
      </c>
      <c r="F12" s="131" t="str">
        <f ca="1">IF($A12&gt;TODAY(),"",SUMIFS('Cash Ledger'!$E$7:$E$1006,'Cash Ledger'!$I$7:$I$1006,$D$5,'Cash Ledger'!$D$7:$D$1006,"Weekly pay",'Cash Ledger'!$B$7:$B$1006,"&gt;="&amp;$A12,'Cash Ledger'!$B$7:$B$1006,"&lt;="&amp;($A12+6)))</f>
        <v/>
      </c>
      <c r="G12" s="167" t="str">
        <f ca="1">IF($A12&gt;TODAY(),"",SUMPRODUCT((Weeks!$A$7:$A$59&lt;=$A12)*(Weeks!$X$5:$AI$5=$D$5)*Weeks!$X$7:$AI$59)-SUMIFS('Cash Ledger'!$E$7:$E$1006,'Cash Ledger'!$I$7:$I$1006,$D$5,'Cash Ledger'!$B$7:$B$1006,"&lt;="&amp;($A12+6)))</f>
        <v/>
      </c>
      <c r="H12" s="132" t="str">
        <f t="shared" ca="1" si="0"/>
        <v/>
      </c>
      <c r="I12" s="125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</row>
    <row r="13" spans="1:40" s="127" customFormat="1" ht="21" customHeight="1" x14ac:dyDescent="0.25">
      <c r="A13" s="49">
        <f>Weeks!$A$12</f>
        <v>46321</v>
      </c>
      <c r="B13" s="51" t="str">
        <f ca="1">IF($A13&gt;TODAY(),"",IFERROR(INDEX(Weeks!$L$7:$W$59,MATCH($A13,Weeks!$A$7:$A$59,0),MATCH($D$5,Weeks!$L$5:$W$5,0)),0))</f>
        <v/>
      </c>
      <c r="C13" s="131" t="str">
        <f ca="1">IF($A13&gt;TODAY(),"",IFERROR(INDEX(Weeks!$X$7:$AI$59,MATCH($A13,Weeks!$A$7:$A$59,0),MATCH($D$5,Weeks!$X$5:$AI$5,0)),0))</f>
        <v/>
      </c>
      <c r="D13" s="131" t="str">
        <f ca="1">IF($A13&gt;TODAY(),"",SUMIFS('Cash Ledger'!$E$7:$E$1006,'Cash Ledger'!$I$7:$I$1006,$D$5,'Cash Ledger'!$D$7:$D$1006,"Advance",'Cash Ledger'!$B$7:$B$1006,"&gt;="&amp;$A13,'Cash Ledger'!$B$7:$B$1006,"&lt;="&amp;($A13+6)))</f>
        <v/>
      </c>
      <c r="E13" s="143" t="str">
        <f ca="1">IF($A13&gt;TODAY(),"",SUMIFS('Cash Ledger'!$E$7:$E$1006,'Cash Ledger'!$I$7:$I$1006,$D$5,'Cash Ledger'!$D$7:$D$1006,"Correction",'Cash Ledger'!$B$7:$B$1006,"&gt;="&amp;$A13,'Cash Ledger'!$B$7:$B$1006,"&lt;="&amp;($A13+6)))</f>
        <v/>
      </c>
      <c r="F13" s="131" t="str">
        <f ca="1">IF($A13&gt;TODAY(),"",SUMIFS('Cash Ledger'!$E$7:$E$1006,'Cash Ledger'!$I$7:$I$1006,$D$5,'Cash Ledger'!$D$7:$D$1006,"Weekly pay",'Cash Ledger'!$B$7:$B$1006,"&gt;="&amp;$A13,'Cash Ledger'!$B$7:$B$1006,"&lt;="&amp;($A13+6)))</f>
        <v/>
      </c>
      <c r="G13" s="167" t="str">
        <f ca="1">IF($A13&gt;TODAY(),"",SUMPRODUCT((Weeks!$A$7:$A$59&lt;=$A13)*(Weeks!$X$5:$AI$5=$D$5)*Weeks!$X$7:$AI$59)-SUMIFS('Cash Ledger'!$E$7:$E$1006,'Cash Ledger'!$I$7:$I$1006,$D$5,'Cash Ledger'!$B$7:$B$1006,"&lt;="&amp;($A13+6)))</f>
        <v/>
      </c>
      <c r="H13" s="132" t="str">
        <f t="shared" ca="1" si="0"/>
        <v/>
      </c>
      <c r="I13" s="125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</row>
    <row r="14" spans="1:40" s="127" customFormat="1" ht="21" customHeight="1" x14ac:dyDescent="0.25">
      <c r="A14" s="49">
        <f>Weeks!$A$13</f>
        <v>46328</v>
      </c>
      <c r="B14" s="51" t="str">
        <f ca="1">IF($A14&gt;TODAY(),"",IFERROR(INDEX(Weeks!$L$7:$W$59,MATCH($A14,Weeks!$A$7:$A$59,0),MATCH($D$5,Weeks!$L$5:$W$5,0)),0))</f>
        <v/>
      </c>
      <c r="C14" s="131" t="str">
        <f ca="1">IF($A14&gt;TODAY(),"",IFERROR(INDEX(Weeks!$X$7:$AI$59,MATCH($A14,Weeks!$A$7:$A$59,0),MATCH($D$5,Weeks!$X$5:$AI$5,0)),0))</f>
        <v/>
      </c>
      <c r="D14" s="131" t="str">
        <f ca="1">IF($A14&gt;TODAY(),"",SUMIFS('Cash Ledger'!$E$7:$E$1006,'Cash Ledger'!$I$7:$I$1006,$D$5,'Cash Ledger'!$D$7:$D$1006,"Advance",'Cash Ledger'!$B$7:$B$1006,"&gt;="&amp;$A14,'Cash Ledger'!$B$7:$B$1006,"&lt;="&amp;($A14+6)))</f>
        <v/>
      </c>
      <c r="E14" s="143" t="str">
        <f ca="1">IF($A14&gt;TODAY(),"",SUMIFS('Cash Ledger'!$E$7:$E$1006,'Cash Ledger'!$I$7:$I$1006,$D$5,'Cash Ledger'!$D$7:$D$1006,"Correction",'Cash Ledger'!$B$7:$B$1006,"&gt;="&amp;$A14,'Cash Ledger'!$B$7:$B$1006,"&lt;="&amp;($A14+6)))</f>
        <v/>
      </c>
      <c r="F14" s="131" t="str">
        <f ca="1">IF($A14&gt;TODAY(),"",SUMIFS('Cash Ledger'!$E$7:$E$1006,'Cash Ledger'!$I$7:$I$1006,$D$5,'Cash Ledger'!$D$7:$D$1006,"Weekly pay",'Cash Ledger'!$B$7:$B$1006,"&gt;="&amp;$A14,'Cash Ledger'!$B$7:$B$1006,"&lt;="&amp;($A14+6)))</f>
        <v/>
      </c>
      <c r="G14" s="167" t="str">
        <f ca="1">IF($A14&gt;TODAY(),"",SUMPRODUCT((Weeks!$A$7:$A$59&lt;=$A14)*(Weeks!$X$5:$AI$5=$D$5)*Weeks!$X$7:$AI$59)-SUMIFS('Cash Ledger'!$E$7:$E$1006,'Cash Ledger'!$I$7:$I$1006,$D$5,'Cash Ledger'!$B$7:$B$1006,"&lt;="&amp;($A14+6)))</f>
        <v/>
      </c>
      <c r="H14" s="132" t="str">
        <f t="shared" ca="1" si="0"/>
        <v/>
      </c>
      <c r="I14" s="125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</row>
    <row r="15" spans="1:40" s="127" customFormat="1" ht="21" customHeight="1" x14ac:dyDescent="0.25">
      <c r="A15" s="49">
        <f>Weeks!$A$14</f>
        <v>46335</v>
      </c>
      <c r="B15" s="51" t="str">
        <f ca="1">IF($A15&gt;TODAY(),"",IFERROR(INDEX(Weeks!$L$7:$W$59,MATCH($A15,Weeks!$A$7:$A$59,0),MATCH($D$5,Weeks!$L$5:$W$5,0)),0))</f>
        <v/>
      </c>
      <c r="C15" s="131" t="str">
        <f ca="1">IF($A15&gt;TODAY(),"",IFERROR(INDEX(Weeks!$X$7:$AI$59,MATCH($A15,Weeks!$A$7:$A$59,0),MATCH($D$5,Weeks!$X$5:$AI$5,0)),0))</f>
        <v/>
      </c>
      <c r="D15" s="131" t="str">
        <f ca="1">IF($A15&gt;TODAY(),"",SUMIFS('Cash Ledger'!$E$7:$E$1006,'Cash Ledger'!$I$7:$I$1006,$D$5,'Cash Ledger'!$D$7:$D$1006,"Advance",'Cash Ledger'!$B$7:$B$1006,"&gt;="&amp;$A15,'Cash Ledger'!$B$7:$B$1006,"&lt;="&amp;($A15+6)))</f>
        <v/>
      </c>
      <c r="E15" s="143" t="str">
        <f ca="1">IF($A15&gt;TODAY(),"",SUMIFS('Cash Ledger'!$E$7:$E$1006,'Cash Ledger'!$I$7:$I$1006,$D$5,'Cash Ledger'!$D$7:$D$1006,"Correction",'Cash Ledger'!$B$7:$B$1006,"&gt;="&amp;$A15,'Cash Ledger'!$B$7:$B$1006,"&lt;="&amp;($A15+6)))</f>
        <v/>
      </c>
      <c r="F15" s="131" t="str">
        <f ca="1">IF($A15&gt;TODAY(),"",SUMIFS('Cash Ledger'!$E$7:$E$1006,'Cash Ledger'!$I$7:$I$1006,$D$5,'Cash Ledger'!$D$7:$D$1006,"Weekly pay",'Cash Ledger'!$B$7:$B$1006,"&gt;="&amp;$A15,'Cash Ledger'!$B$7:$B$1006,"&lt;="&amp;($A15+6)))</f>
        <v/>
      </c>
      <c r="G15" s="167" t="str">
        <f ca="1">IF($A15&gt;TODAY(),"",SUMPRODUCT((Weeks!$A$7:$A$59&lt;=$A15)*(Weeks!$X$5:$AI$5=$D$5)*Weeks!$X$7:$AI$59)-SUMIFS('Cash Ledger'!$E$7:$E$1006,'Cash Ledger'!$I$7:$I$1006,$D$5,'Cash Ledger'!$B$7:$B$1006,"&lt;="&amp;($A15+6)))</f>
        <v/>
      </c>
      <c r="H15" s="132" t="str">
        <f t="shared" ca="1" si="0"/>
        <v/>
      </c>
      <c r="I15" s="125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</row>
    <row r="16" spans="1:40" s="127" customFormat="1" ht="21" customHeight="1" x14ac:dyDescent="0.25">
      <c r="A16" s="49">
        <f>Weeks!$A$15</f>
        <v>46342</v>
      </c>
      <c r="B16" s="51" t="str">
        <f ca="1">IF($A16&gt;TODAY(),"",IFERROR(INDEX(Weeks!$L$7:$W$59,MATCH($A16,Weeks!$A$7:$A$59,0),MATCH($D$5,Weeks!$L$5:$W$5,0)),0))</f>
        <v/>
      </c>
      <c r="C16" s="131" t="str">
        <f ca="1">IF($A16&gt;TODAY(),"",IFERROR(INDEX(Weeks!$X$7:$AI$59,MATCH($A16,Weeks!$A$7:$A$59,0),MATCH($D$5,Weeks!$X$5:$AI$5,0)),0))</f>
        <v/>
      </c>
      <c r="D16" s="131" t="str">
        <f ca="1">IF($A16&gt;TODAY(),"",SUMIFS('Cash Ledger'!$E$7:$E$1006,'Cash Ledger'!$I$7:$I$1006,$D$5,'Cash Ledger'!$D$7:$D$1006,"Advance",'Cash Ledger'!$B$7:$B$1006,"&gt;="&amp;$A16,'Cash Ledger'!$B$7:$B$1006,"&lt;="&amp;($A16+6)))</f>
        <v/>
      </c>
      <c r="E16" s="143" t="str">
        <f ca="1">IF($A16&gt;TODAY(),"",SUMIFS('Cash Ledger'!$E$7:$E$1006,'Cash Ledger'!$I$7:$I$1006,$D$5,'Cash Ledger'!$D$7:$D$1006,"Correction",'Cash Ledger'!$B$7:$B$1006,"&gt;="&amp;$A16,'Cash Ledger'!$B$7:$B$1006,"&lt;="&amp;($A16+6)))</f>
        <v/>
      </c>
      <c r="F16" s="131" t="str">
        <f ca="1">IF($A16&gt;TODAY(),"",SUMIFS('Cash Ledger'!$E$7:$E$1006,'Cash Ledger'!$I$7:$I$1006,$D$5,'Cash Ledger'!$D$7:$D$1006,"Weekly pay",'Cash Ledger'!$B$7:$B$1006,"&gt;="&amp;$A16,'Cash Ledger'!$B$7:$B$1006,"&lt;="&amp;($A16+6)))</f>
        <v/>
      </c>
      <c r="G16" s="167" t="str">
        <f ca="1">IF($A16&gt;TODAY(),"",SUMPRODUCT((Weeks!$A$7:$A$59&lt;=$A16)*(Weeks!$X$5:$AI$5=$D$5)*Weeks!$X$7:$AI$59)-SUMIFS('Cash Ledger'!$E$7:$E$1006,'Cash Ledger'!$I$7:$I$1006,$D$5,'Cash Ledger'!$B$7:$B$1006,"&lt;="&amp;($A16+6)))</f>
        <v/>
      </c>
      <c r="H16" s="132" t="str">
        <f t="shared" ca="1" si="0"/>
        <v/>
      </c>
      <c r="I16" s="125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</row>
    <row r="17" spans="1:40" s="127" customFormat="1" ht="21" customHeight="1" x14ac:dyDescent="0.25">
      <c r="A17" s="49">
        <f>Weeks!$A$16</f>
        <v>46349</v>
      </c>
      <c r="B17" s="51" t="str">
        <f ca="1">IF($A17&gt;TODAY(),"",IFERROR(INDEX(Weeks!$L$7:$W$59,MATCH($A17,Weeks!$A$7:$A$59,0),MATCH($D$5,Weeks!$L$5:$W$5,0)),0))</f>
        <v/>
      </c>
      <c r="C17" s="131" t="str">
        <f ca="1">IF($A17&gt;TODAY(),"",IFERROR(INDEX(Weeks!$X$7:$AI$59,MATCH($A17,Weeks!$A$7:$A$59,0),MATCH($D$5,Weeks!$X$5:$AI$5,0)),0))</f>
        <v/>
      </c>
      <c r="D17" s="131" t="str">
        <f ca="1">IF($A17&gt;TODAY(),"",SUMIFS('Cash Ledger'!$E$7:$E$1006,'Cash Ledger'!$I$7:$I$1006,$D$5,'Cash Ledger'!$D$7:$D$1006,"Advance",'Cash Ledger'!$B$7:$B$1006,"&gt;="&amp;$A17,'Cash Ledger'!$B$7:$B$1006,"&lt;="&amp;($A17+6)))</f>
        <v/>
      </c>
      <c r="E17" s="143" t="str">
        <f ca="1">IF($A17&gt;TODAY(),"",SUMIFS('Cash Ledger'!$E$7:$E$1006,'Cash Ledger'!$I$7:$I$1006,$D$5,'Cash Ledger'!$D$7:$D$1006,"Correction",'Cash Ledger'!$B$7:$B$1006,"&gt;="&amp;$A17,'Cash Ledger'!$B$7:$B$1006,"&lt;="&amp;($A17+6)))</f>
        <v/>
      </c>
      <c r="F17" s="131" t="str">
        <f ca="1">IF($A17&gt;TODAY(),"",SUMIFS('Cash Ledger'!$E$7:$E$1006,'Cash Ledger'!$I$7:$I$1006,$D$5,'Cash Ledger'!$D$7:$D$1006,"Weekly pay",'Cash Ledger'!$B$7:$B$1006,"&gt;="&amp;$A17,'Cash Ledger'!$B$7:$B$1006,"&lt;="&amp;($A17+6)))</f>
        <v/>
      </c>
      <c r="G17" s="167" t="str">
        <f ca="1">IF($A17&gt;TODAY(),"",SUMPRODUCT((Weeks!$A$7:$A$59&lt;=$A17)*(Weeks!$X$5:$AI$5=$D$5)*Weeks!$X$7:$AI$59)-SUMIFS('Cash Ledger'!$E$7:$E$1006,'Cash Ledger'!$I$7:$I$1006,$D$5,'Cash Ledger'!$B$7:$B$1006,"&lt;="&amp;($A17+6)))</f>
        <v/>
      </c>
      <c r="H17" s="132" t="str">
        <f t="shared" ca="1" si="0"/>
        <v/>
      </c>
      <c r="I17" s="125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</row>
    <row r="18" spans="1:40" s="127" customFormat="1" ht="21" customHeight="1" x14ac:dyDescent="0.25">
      <c r="A18" s="49">
        <f>Weeks!$A$17</f>
        <v>46356</v>
      </c>
      <c r="B18" s="51" t="str">
        <f ca="1">IF($A18&gt;TODAY(),"",IFERROR(INDEX(Weeks!$L$7:$W$59,MATCH($A18,Weeks!$A$7:$A$59,0),MATCH($D$5,Weeks!$L$5:$W$5,0)),0))</f>
        <v/>
      </c>
      <c r="C18" s="131" t="str">
        <f ca="1">IF($A18&gt;TODAY(),"",IFERROR(INDEX(Weeks!$X$7:$AI$59,MATCH($A18,Weeks!$A$7:$A$59,0),MATCH($D$5,Weeks!$X$5:$AI$5,0)),0))</f>
        <v/>
      </c>
      <c r="D18" s="131" t="str">
        <f ca="1">IF($A18&gt;TODAY(),"",SUMIFS('Cash Ledger'!$E$7:$E$1006,'Cash Ledger'!$I$7:$I$1006,$D$5,'Cash Ledger'!$D$7:$D$1006,"Advance",'Cash Ledger'!$B$7:$B$1006,"&gt;="&amp;$A18,'Cash Ledger'!$B$7:$B$1006,"&lt;="&amp;($A18+6)))</f>
        <v/>
      </c>
      <c r="E18" s="143" t="str">
        <f ca="1">IF($A18&gt;TODAY(),"",SUMIFS('Cash Ledger'!$E$7:$E$1006,'Cash Ledger'!$I$7:$I$1006,$D$5,'Cash Ledger'!$D$7:$D$1006,"Correction",'Cash Ledger'!$B$7:$B$1006,"&gt;="&amp;$A18,'Cash Ledger'!$B$7:$B$1006,"&lt;="&amp;($A18+6)))</f>
        <v/>
      </c>
      <c r="F18" s="131" t="str">
        <f ca="1">IF($A18&gt;TODAY(),"",SUMIFS('Cash Ledger'!$E$7:$E$1006,'Cash Ledger'!$I$7:$I$1006,$D$5,'Cash Ledger'!$D$7:$D$1006,"Weekly pay",'Cash Ledger'!$B$7:$B$1006,"&gt;="&amp;$A18,'Cash Ledger'!$B$7:$B$1006,"&lt;="&amp;($A18+6)))</f>
        <v/>
      </c>
      <c r="G18" s="167" t="str">
        <f ca="1">IF($A18&gt;TODAY(),"",SUMPRODUCT((Weeks!$A$7:$A$59&lt;=$A18)*(Weeks!$X$5:$AI$5=$D$5)*Weeks!$X$7:$AI$59)-SUMIFS('Cash Ledger'!$E$7:$E$1006,'Cash Ledger'!$I$7:$I$1006,$D$5,'Cash Ledger'!$B$7:$B$1006,"&lt;="&amp;($A18+6)))</f>
        <v/>
      </c>
      <c r="H18" s="132" t="str">
        <f t="shared" ca="1" si="0"/>
        <v/>
      </c>
      <c r="I18" s="125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</row>
    <row r="19" spans="1:40" s="127" customFormat="1" ht="21" customHeight="1" x14ac:dyDescent="0.25">
      <c r="A19" s="49">
        <f>Weeks!$A$18</f>
        <v>46363</v>
      </c>
      <c r="B19" s="51" t="str">
        <f ca="1">IF($A19&gt;TODAY(),"",IFERROR(INDEX(Weeks!$L$7:$W$59,MATCH($A19,Weeks!$A$7:$A$59,0),MATCH($D$5,Weeks!$L$5:$W$5,0)),0))</f>
        <v/>
      </c>
      <c r="C19" s="131" t="str">
        <f ca="1">IF($A19&gt;TODAY(),"",IFERROR(INDEX(Weeks!$X$7:$AI$59,MATCH($A19,Weeks!$A$7:$A$59,0),MATCH($D$5,Weeks!$X$5:$AI$5,0)),0))</f>
        <v/>
      </c>
      <c r="D19" s="131" t="str">
        <f ca="1">IF($A19&gt;TODAY(),"",SUMIFS('Cash Ledger'!$E$7:$E$1006,'Cash Ledger'!$I$7:$I$1006,$D$5,'Cash Ledger'!$D$7:$D$1006,"Advance",'Cash Ledger'!$B$7:$B$1006,"&gt;="&amp;$A19,'Cash Ledger'!$B$7:$B$1006,"&lt;="&amp;($A19+6)))</f>
        <v/>
      </c>
      <c r="E19" s="143" t="str">
        <f ca="1">IF($A19&gt;TODAY(),"",SUMIFS('Cash Ledger'!$E$7:$E$1006,'Cash Ledger'!$I$7:$I$1006,$D$5,'Cash Ledger'!$D$7:$D$1006,"Correction",'Cash Ledger'!$B$7:$B$1006,"&gt;="&amp;$A19,'Cash Ledger'!$B$7:$B$1006,"&lt;="&amp;($A19+6)))</f>
        <v/>
      </c>
      <c r="F19" s="131" t="str">
        <f ca="1">IF($A19&gt;TODAY(),"",SUMIFS('Cash Ledger'!$E$7:$E$1006,'Cash Ledger'!$I$7:$I$1006,$D$5,'Cash Ledger'!$D$7:$D$1006,"Weekly pay",'Cash Ledger'!$B$7:$B$1006,"&gt;="&amp;$A19,'Cash Ledger'!$B$7:$B$1006,"&lt;="&amp;($A19+6)))</f>
        <v/>
      </c>
      <c r="G19" s="167" t="str">
        <f ca="1">IF($A19&gt;TODAY(),"",SUMPRODUCT((Weeks!$A$7:$A$59&lt;=$A19)*(Weeks!$X$5:$AI$5=$D$5)*Weeks!$X$7:$AI$59)-SUMIFS('Cash Ledger'!$E$7:$E$1006,'Cash Ledger'!$I$7:$I$1006,$D$5,'Cash Ledger'!$B$7:$B$1006,"&lt;="&amp;($A19+6)))</f>
        <v/>
      </c>
      <c r="H19" s="132" t="str">
        <f t="shared" ca="1" si="0"/>
        <v/>
      </c>
      <c r="I19" s="125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</row>
    <row r="20" spans="1:40" s="127" customFormat="1" ht="21" customHeight="1" x14ac:dyDescent="0.25">
      <c r="A20" s="49">
        <f>Weeks!$A$19</f>
        <v>46370</v>
      </c>
      <c r="B20" s="51" t="str">
        <f ca="1">IF($A20&gt;TODAY(),"",IFERROR(INDEX(Weeks!$L$7:$W$59,MATCH($A20,Weeks!$A$7:$A$59,0),MATCH($D$5,Weeks!$L$5:$W$5,0)),0))</f>
        <v/>
      </c>
      <c r="C20" s="131" t="str">
        <f ca="1">IF($A20&gt;TODAY(),"",IFERROR(INDEX(Weeks!$X$7:$AI$59,MATCH($A20,Weeks!$A$7:$A$59,0),MATCH($D$5,Weeks!$X$5:$AI$5,0)),0))</f>
        <v/>
      </c>
      <c r="D20" s="131" t="str">
        <f ca="1">IF($A20&gt;TODAY(),"",SUMIFS('Cash Ledger'!$E$7:$E$1006,'Cash Ledger'!$I$7:$I$1006,$D$5,'Cash Ledger'!$D$7:$D$1006,"Advance",'Cash Ledger'!$B$7:$B$1006,"&gt;="&amp;$A20,'Cash Ledger'!$B$7:$B$1006,"&lt;="&amp;($A20+6)))</f>
        <v/>
      </c>
      <c r="E20" s="143" t="str">
        <f ca="1">IF($A20&gt;TODAY(),"",SUMIFS('Cash Ledger'!$E$7:$E$1006,'Cash Ledger'!$I$7:$I$1006,$D$5,'Cash Ledger'!$D$7:$D$1006,"Correction",'Cash Ledger'!$B$7:$B$1006,"&gt;="&amp;$A20,'Cash Ledger'!$B$7:$B$1006,"&lt;="&amp;($A20+6)))</f>
        <v/>
      </c>
      <c r="F20" s="131" t="str">
        <f ca="1">IF($A20&gt;TODAY(),"",SUMIFS('Cash Ledger'!$E$7:$E$1006,'Cash Ledger'!$I$7:$I$1006,$D$5,'Cash Ledger'!$D$7:$D$1006,"Weekly pay",'Cash Ledger'!$B$7:$B$1006,"&gt;="&amp;$A20,'Cash Ledger'!$B$7:$B$1006,"&lt;="&amp;($A20+6)))</f>
        <v/>
      </c>
      <c r="G20" s="167" t="str">
        <f ca="1">IF($A20&gt;TODAY(),"",SUMPRODUCT((Weeks!$A$7:$A$59&lt;=$A20)*(Weeks!$X$5:$AI$5=$D$5)*Weeks!$X$7:$AI$59)-SUMIFS('Cash Ledger'!$E$7:$E$1006,'Cash Ledger'!$I$7:$I$1006,$D$5,'Cash Ledger'!$B$7:$B$1006,"&lt;="&amp;($A20+6)))</f>
        <v/>
      </c>
      <c r="H20" s="132" t="str">
        <f t="shared" ca="1" si="0"/>
        <v/>
      </c>
      <c r="I20" s="125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</row>
    <row r="21" spans="1:40" s="127" customFormat="1" ht="21" customHeight="1" x14ac:dyDescent="0.25">
      <c r="A21" s="49">
        <f>Weeks!$A$20</f>
        <v>46377</v>
      </c>
      <c r="B21" s="51" t="str">
        <f ca="1">IF($A21&gt;TODAY(),"",IFERROR(INDEX(Weeks!$L$7:$W$59,MATCH($A21,Weeks!$A$7:$A$59,0),MATCH($D$5,Weeks!$L$5:$W$5,0)),0))</f>
        <v/>
      </c>
      <c r="C21" s="131" t="str">
        <f ca="1">IF($A21&gt;TODAY(),"",IFERROR(INDEX(Weeks!$X$7:$AI$59,MATCH($A21,Weeks!$A$7:$A$59,0),MATCH($D$5,Weeks!$X$5:$AI$5,0)),0))</f>
        <v/>
      </c>
      <c r="D21" s="131" t="str">
        <f ca="1">IF($A21&gt;TODAY(),"",SUMIFS('Cash Ledger'!$E$7:$E$1006,'Cash Ledger'!$I$7:$I$1006,$D$5,'Cash Ledger'!$D$7:$D$1006,"Advance",'Cash Ledger'!$B$7:$B$1006,"&gt;="&amp;$A21,'Cash Ledger'!$B$7:$B$1006,"&lt;="&amp;($A21+6)))</f>
        <v/>
      </c>
      <c r="E21" s="143" t="str">
        <f ca="1">IF($A21&gt;TODAY(),"",SUMIFS('Cash Ledger'!$E$7:$E$1006,'Cash Ledger'!$I$7:$I$1006,$D$5,'Cash Ledger'!$D$7:$D$1006,"Correction",'Cash Ledger'!$B$7:$B$1006,"&gt;="&amp;$A21,'Cash Ledger'!$B$7:$B$1006,"&lt;="&amp;($A21+6)))</f>
        <v/>
      </c>
      <c r="F21" s="131" t="str">
        <f ca="1">IF($A21&gt;TODAY(),"",SUMIFS('Cash Ledger'!$E$7:$E$1006,'Cash Ledger'!$I$7:$I$1006,$D$5,'Cash Ledger'!$D$7:$D$1006,"Weekly pay",'Cash Ledger'!$B$7:$B$1006,"&gt;="&amp;$A21,'Cash Ledger'!$B$7:$B$1006,"&lt;="&amp;($A21+6)))</f>
        <v/>
      </c>
      <c r="G21" s="167" t="str">
        <f ca="1">IF($A21&gt;TODAY(),"",SUMPRODUCT((Weeks!$A$7:$A$59&lt;=$A21)*(Weeks!$X$5:$AI$5=$D$5)*Weeks!$X$7:$AI$59)-SUMIFS('Cash Ledger'!$E$7:$E$1006,'Cash Ledger'!$I$7:$I$1006,$D$5,'Cash Ledger'!$B$7:$B$1006,"&lt;="&amp;($A21+6)))</f>
        <v/>
      </c>
      <c r="H21" s="132" t="str">
        <f t="shared" ca="1" si="0"/>
        <v/>
      </c>
      <c r="I21" s="125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</row>
    <row r="22" spans="1:40" s="127" customFormat="1" ht="21" customHeight="1" x14ac:dyDescent="0.25">
      <c r="A22" s="49">
        <f>Weeks!$A$21</f>
        <v>46384</v>
      </c>
      <c r="B22" s="51" t="str">
        <f ca="1">IF($A22&gt;TODAY(),"",IFERROR(INDEX(Weeks!$L$7:$W$59,MATCH($A22,Weeks!$A$7:$A$59,0),MATCH($D$5,Weeks!$L$5:$W$5,0)),0))</f>
        <v/>
      </c>
      <c r="C22" s="131" t="str">
        <f ca="1">IF($A22&gt;TODAY(),"",IFERROR(INDEX(Weeks!$X$7:$AI$59,MATCH($A22,Weeks!$A$7:$A$59,0),MATCH($D$5,Weeks!$X$5:$AI$5,0)),0))</f>
        <v/>
      </c>
      <c r="D22" s="131" t="str">
        <f ca="1">IF($A22&gt;TODAY(),"",SUMIFS('Cash Ledger'!$E$7:$E$1006,'Cash Ledger'!$I$7:$I$1006,$D$5,'Cash Ledger'!$D$7:$D$1006,"Advance",'Cash Ledger'!$B$7:$B$1006,"&gt;="&amp;$A22,'Cash Ledger'!$B$7:$B$1006,"&lt;="&amp;($A22+6)))</f>
        <v/>
      </c>
      <c r="E22" s="143" t="str">
        <f ca="1">IF($A22&gt;TODAY(),"",SUMIFS('Cash Ledger'!$E$7:$E$1006,'Cash Ledger'!$I$7:$I$1006,$D$5,'Cash Ledger'!$D$7:$D$1006,"Correction",'Cash Ledger'!$B$7:$B$1006,"&gt;="&amp;$A22,'Cash Ledger'!$B$7:$B$1006,"&lt;="&amp;($A22+6)))</f>
        <v/>
      </c>
      <c r="F22" s="131" t="str">
        <f ca="1">IF($A22&gt;TODAY(),"",SUMIFS('Cash Ledger'!$E$7:$E$1006,'Cash Ledger'!$I$7:$I$1006,$D$5,'Cash Ledger'!$D$7:$D$1006,"Weekly pay",'Cash Ledger'!$B$7:$B$1006,"&gt;="&amp;$A22,'Cash Ledger'!$B$7:$B$1006,"&lt;="&amp;($A22+6)))</f>
        <v/>
      </c>
      <c r="G22" s="167" t="str">
        <f ca="1">IF($A22&gt;TODAY(),"",SUMPRODUCT((Weeks!$A$7:$A$59&lt;=$A22)*(Weeks!$X$5:$AI$5=$D$5)*Weeks!$X$7:$AI$59)-SUMIFS('Cash Ledger'!$E$7:$E$1006,'Cash Ledger'!$I$7:$I$1006,$D$5,'Cash Ledger'!$B$7:$B$1006,"&lt;="&amp;($A22+6)))</f>
        <v/>
      </c>
      <c r="H22" s="132" t="str">
        <f t="shared" ca="1" si="0"/>
        <v/>
      </c>
      <c r="I22" s="125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</row>
    <row r="23" spans="1:40" s="127" customFormat="1" ht="21" customHeight="1" x14ac:dyDescent="0.25">
      <c r="A23" s="49">
        <f>Weeks!$A$22</f>
        <v>46391</v>
      </c>
      <c r="B23" s="51" t="str">
        <f ca="1">IF($A23&gt;TODAY(),"",IFERROR(INDEX(Weeks!$L$7:$W$59,MATCH($A23,Weeks!$A$7:$A$59,0),MATCH($D$5,Weeks!$L$5:$W$5,0)),0))</f>
        <v/>
      </c>
      <c r="C23" s="131" t="str">
        <f ca="1">IF($A23&gt;TODAY(),"",IFERROR(INDEX(Weeks!$X$7:$AI$59,MATCH($A23,Weeks!$A$7:$A$59,0),MATCH($D$5,Weeks!$X$5:$AI$5,0)),0))</f>
        <v/>
      </c>
      <c r="D23" s="131" t="str">
        <f ca="1">IF($A23&gt;TODAY(),"",SUMIFS('Cash Ledger'!$E$7:$E$1006,'Cash Ledger'!$I$7:$I$1006,$D$5,'Cash Ledger'!$D$7:$D$1006,"Advance",'Cash Ledger'!$B$7:$B$1006,"&gt;="&amp;$A23,'Cash Ledger'!$B$7:$B$1006,"&lt;="&amp;($A23+6)))</f>
        <v/>
      </c>
      <c r="E23" s="143" t="str">
        <f ca="1">IF($A23&gt;TODAY(),"",SUMIFS('Cash Ledger'!$E$7:$E$1006,'Cash Ledger'!$I$7:$I$1006,$D$5,'Cash Ledger'!$D$7:$D$1006,"Correction",'Cash Ledger'!$B$7:$B$1006,"&gt;="&amp;$A23,'Cash Ledger'!$B$7:$B$1006,"&lt;="&amp;($A23+6)))</f>
        <v/>
      </c>
      <c r="F23" s="131" t="str">
        <f ca="1">IF($A23&gt;TODAY(),"",SUMIFS('Cash Ledger'!$E$7:$E$1006,'Cash Ledger'!$I$7:$I$1006,$D$5,'Cash Ledger'!$D$7:$D$1006,"Weekly pay",'Cash Ledger'!$B$7:$B$1006,"&gt;="&amp;$A23,'Cash Ledger'!$B$7:$B$1006,"&lt;="&amp;($A23+6)))</f>
        <v/>
      </c>
      <c r="G23" s="167" t="str">
        <f ca="1">IF($A23&gt;TODAY(),"",SUMPRODUCT((Weeks!$A$7:$A$59&lt;=$A23)*(Weeks!$X$5:$AI$5=$D$5)*Weeks!$X$7:$AI$59)-SUMIFS('Cash Ledger'!$E$7:$E$1006,'Cash Ledger'!$I$7:$I$1006,$D$5,'Cash Ledger'!$B$7:$B$1006,"&lt;="&amp;($A23+6)))</f>
        <v/>
      </c>
      <c r="H23" s="132" t="str">
        <f t="shared" ca="1" si="0"/>
        <v/>
      </c>
      <c r="I23" s="125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</row>
    <row r="24" spans="1:40" s="127" customFormat="1" ht="21" customHeight="1" x14ac:dyDescent="0.25">
      <c r="A24" s="49">
        <f>Weeks!$A$23</f>
        <v>46398</v>
      </c>
      <c r="B24" s="51" t="str">
        <f ca="1">IF($A24&gt;TODAY(),"",IFERROR(INDEX(Weeks!$L$7:$W$59,MATCH($A24,Weeks!$A$7:$A$59,0),MATCH($D$5,Weeks!$L$5:$W$5,0)),0))</f>
        <v/>
      </c>
      <c r="C24" s="131" t="str">
        <f ca="1">IF($A24&gt;TODAY(),"",IFERROR(INDEX(Weeks!$X$7:$AI$59,MATCH($A24,Weeks!$A$7:$A$59,0),MATCH($D$5,Weeks!$X$5:$AI$5,0)),0))</f>
        <v/>
      </c>
      <c r="D24" s="131" t="str">
        <f ca="1">IF($A24&gt;TODAY(),"",SUMIFS('Cash Ledger'!$E$7:$E$1006,'Cash Ledger'!$I$7:$I$1006,$D$5,'Cash Ledger'!$D$7:$D$1006,"Advance",'Cash Ledger'!$B$7:$B$1006,"&gt;="&amp;$A24,'Cash Ledger'!$B$7:$B$1006,"&lt;="&amp;($A24+6)))</f>
        <v/>
      </c>
      <c r="E24" s="143" t="str">
        <f ca="1">IF($A24&gt;TODAY(),"",SUMIFS('Cash Ledger'!$E$7:$E$1006,'Cash Ledger'!$I$7:$I$1006,$D$5,'Cash Ledger'!$D$7:$D$1006,"Correction",'Cash Ledger'!$B$7:$B$1006,"&gt;="&amp;$A24,'Cash Ledger'!$B$7:$B$1006,"&lt;="&amp;($A24+6)))</f>
        <v/>
      </c>
      <c r="F24" s="131" t="str">
        <f ca="1">IF($A24&gt;TODAY(),"",SUMIFS('Cash Ledger'!$E$7:$E$1006,'Cash Ledger'!$I$7:$I$1006,$D$5,'Cash Ledger'!$D$7:$D$1006,"Weekly pay",'Cash Ledger'!$B$7:$B$1006,"&gt;="&amp;$A24,'Cash Ledger'!$B$7:$B$1006,"&lt;="&amp;($A24+6)))</f>
        <v/>
      </c>
      <c r="G24" s="167" t="str">
        <f ca="1">IF($A24&gt;TODAY(),"",SUMPRODUCT((Weeks!$A$7:$A$59&lt;=$A24)*(Weeks!$X$5:$AI$5=$D$5)*Weeks!$X$7:$AI$59)-SUMIFS('Cash Ledger'!$E$7:$E$1006,'Cash Ledger'!$I$7:$I$1006,$D$5,'Cash Ledger'!$B$7:$B$1006,"&lt;="&amp;($A24+6)))</f>
        <v/>
      </c>
      <c r="H24" s="132" t="str">
        <f t="shared" ca="1" si="0"/>
        <v/>
      </c>
      <c r="I24" s="125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</row>
    <row r="25" spans="1:40" s="127" customFormat="1" ht="21" customHeight="1" x14ac:dyDescent="0.25">
      <c r="A25" s="49">
        <f>Weeks!$A$24</f>
        <v>46405</v>
      </c>
      <c r="B25" s="51" t="str">
        <f ca="1">IF($A25&gt;TODAY(),"",IFERROR(INDEX(Weeks!$L$7:$W$59,MATCH($A25,Weeks!$A$7:$A$59,0),MATCH($D$5,Weeks!$L$5:$W$5,0)),0))</f>
        <v/>
      </c>
      <c r="C25" s="131" t="str">
        <f ca="1">IF($A25&gt;TODAY(),"",IFERROR(INDEX(Weeks!$X$7:$AI$59,MATCH($A25,Weeks!$A$7:$A$59,0),MATCH($D$5,Weeks!$X$5:$AI$5,0)),0))</f>
        <v/>
      </c>
      <c r="D25" s="131" t="str">
        <f ca="1">IF($A25&gt;TODAY(),"",SUMIFS('Cash Ledger'!$E$7:$E$1006,'Cash Ledger'!$I$7:$I$1006,$D$5,'Cash Ledger'!$D$7:$D$1006,"Advance",'Cash Ledger'!$B$7:$B$1006,"&gt;="&amp;$A25,'Cash Ledger'!$B$7:$B$1006,"&lt;="&amp;($A25+6)))</f>
        <v/>
      </c>
      <c r="E25" s="143" t="str">
        <f ca="1">IF($A25&gt;TODAY(),"",SUMIFS('Cash Ledger'!$E$7:$E$1006,'Cash Ledger'!$I$7:$I$1006,$D$5,'Cash Ledger'!$D$7:$D$1006,"Correction",'Cash Ledger'!$B$7:$B$1006,"&gt;="&amp;$A25,'Cash Ledger'!$B$7:$B$1006,"&lt;="&amp;($A25+6)))</f>
        <v/>
      </c>
      <c r="F25" s="131" t="str">
        <f ca="1">IF($A25&gt;TODAY(),"",SUMIFS('Cash Ledger'!$E$7:$E$1006,'Cash Ledger'!$I$7:$I$1006,$D$5,'Cash Ledger'!$D$7:$D$1006,"Weekly pay",'Cash Ledger'!$B$7:$B$1006,"&gt;="&amp;$A25,'Cash Ledger'!$B$7:$B$1006,"&lt;="&amp;($A25+6)))</f>
        <v/>
      </c>
      <c r="G25" s="167" t="str">
        <f ca="1">IF($A25&gt;TODAY(),"",SUMPRODUCT((Weeks!$A$7:$A$59&lt;=$A25)*(Weeks!$X$5:$AI$5=$D$5)*Weeks!$X$7:$AI$59)-SUMIFS('Cash Ledger'!$E$7:$E$1006,'Cash Ledger'!$I$7:$I$1006,$D$5,'Cash Ledger'!$B$7:$B$1006,"&lt;="&amp;($A25+6)))</f>
        <v/>
      </c>
      <c r="H25" s="132" t="str">
        <f t="shared" ca="1" si="0"/>
        <v/>
      </c>
      <c r="I25" s="125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</row>
    <row r="26" spans="1:40" s="127" customFormat="1" ht="21" customHeight="1" x14ac:dyDescent="0.25">
      <c r="A26" s="49">
        <f>Weeks!$A$25</f>
        <v>46412</v>
      </c>
      <c r="B26" s="51" t="str">
        <f ca="1">IF($A26&gt;TODAY(),"",IFERROR(INDEX(Weeks!$L$7:$W$59,MATCH($A26,Weeks!$A$7:$A$59,0),MATCH($D$5,Weeks!$L$5:$W$5,0)),0))</f>
        <v/>
      </c>
      <c r="C26" s="131" t="str">
        <f ca="1">IF($A26&gt;TODAY(),"",IFERROR(INDEX(Weeks!$X$7:$AI$59,MATCH($A26,Weeks!$A$7:$A$59,0),MATCH($D$5,Weeks!$X$5:$AI$5,0)),0))</f>
        <v/>
      </c>
      <c r="D26" s="131" t="str">
        <f ca="1">IF($A26&gt;TODAY(),"",SUMIFS('Cash Ledger'!$E$7:$E$1006,'Cash Ledger'!$I$7:$I$1006,$D$5,'Cash Ledger'!$D$7:$D$1006,"Advance",'Cash Ledger'!$B$7:$B$1006,"&gt;="&amp;$A26,'Cash Ledger'!$B$7:$B$1006,"&lt;="&amp;($A26+6)))</f>
        <v/>
      </c>
      <c r="E26" s="143" t="str">
        <f ca="1">IF($A26&gt;TODAY(),"",SUMIFS('Cash Ledger'!$E$7:$E$1006,'Cash Ledger'!$I$7:$I$1006,$D$5,'Cash Ledger'!$D$7:$D$1006,"Correction",'Cash Ledger'!$B$7:$B$1006,"&gt;="&amp;$A26,'Cash Ledger'!$B$7:$B$1006,"&lt;="&amp;($A26+6)))</f>
        <v/>
      </c>
      <c r="F26" s="131" t="str">
        <f ca="1">IF($A26&gt;TODAY(),"",SUMIFS('Cash Ledger'!$E$7:$E$1006,'Cash Ledger'!$I$7:$I$1006,$D$5,'Cash Ledger'!$D$7:$D$1006,"Weekly pay",'Cash Ledger'!$B$7:$B$1006,"&gt;="&amp;$A26,'Cash Ledger'!$B$7:$B$1006,"&lt;="&amp;($A26+6)))</f>
        <v/>
      </c>
      <c r="G26" s="167" t="str">
        <f ca="1">IF($A26&gt;TODAY(),"",SUMPRODUCT((Weeks!$A$7:$A$59&lt;=$A26)*(Weeks!$X$5:$AI$5=$D$5)*Weeks!$X$7:$AI$59)-SUMIFS('Cash Ledger'!$E$7:$E$1006,'Cash Ledger'!$I$7:$I$1006,$D$5,'Cash Ledger'!$B$7:$B$1006,"&lt;="&amp;($A26+6)))</f>
        <v/>
      </c>
      <c r="H26" s="132" t="str">
        <f t="shared" ca="1" si="0"/>
        <v/>
      </c>
      <c r="I26" s="125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</row>
    <row r="27" spans="1:40" s="127" customFormat="1" ht="21" customHeight="1" x14ac:dyDescent="0.25">
      <c r="A27" s="49">
        <f>Weeks!$A$26</f>
        <v>46419</v>
      </c>
      <c r="B27" s="51" t="str">
        <f ca="1">IF($A27&gt;TODAY(),"",IFERROR(INDEX(Weeks!$L$7:$W$59,MATCH($A27,Weeks!$A$7:$A$59,0),MATCH($D$5,Weeks!$L$5:$W$5,0)),0))</f>
        <v/>
      </c>
      <c r="C27" s="131" t="str">
        <f ca="1">IF($A27&gt;TODAY(),"",IFERROR(INDEX(Weeks!$X$7:$AI$59,MATCH($A27,Weeks!$A$7:$A$59,0),MATCH($D$5,Weeks!$X$5:$AI$5,0)),0))</f>
        <v/>
      </c>
      <c r="D27" s="131" t="str">
        <f ca="1">IF($A27&gt;TODAY(),"",SUMIFS('Cash Ledger'!$E$7:$E$1006,'Cash Ledger'!$I$7:$I$1006,$D$5,'Cash Ledger'!$D$7:$D$1006,"Advance",'Cash Ledger'!$B$7:$B$1006,"&gt;="&amp;$A27,'Cash Ledger'!$B$7:$B$1006,"&lt;="&amp;($A27+6)))</f>
        <v/>
      </c>
      <c r="E27" s="143" t="str">
        <f ca="1">IF($A27&gt;TODAY(),"",SUMIFS('Cash Ledger'!$E$7:$E$1006,'Cash Ledger'!$I$7:$I$1006,$D$5,'Cash Ledger'!$D$7:$D$1006,"Correction",'Cash Ledger'!$B$7:$B$1006,"&gt;="&amp;$A27,'Cash Ledger'!$B$7:$B$1006,"&lt;="&amp;($A27+6)))</f>
        <v/>
      </c>
      <c r="F27" s="131" t="str">
        <f ca="1">IF($A27&gt;TODAY(),"",SUMIFS('Cash Ledger'!$E$7:$E$1006,'Cash Ledger'!$I$7:$I$1006,$D$5,'Cash Ledger'!$D$7:$D$1006,"Weekly pay",'Cash Ledger'!$B$7:$B$1006,"&gt;="&amp;$A27,'Cash Ledger'!$B$7:$B$1006,"&lt;="&amp;($A27+6)))</f>
        <v/>
      </c>
      <c r="G27" s="167" t="str">
        <f ca="1">IF($A27&gt;TODAY(),"",SUMPRODUCT((Weeks!$A$7:$A$59&lt;=$A27)*(Weeks!$X$5:$AI$5=$D$5)*Weeks!$X$7:$AI$59)-SUMIFS('Cash Ledger'!$E$7:$E$1006,'Cash Ledger'!$I$7:$I$1006,$D$5,'Cash Ledger'!$B$7:$B$1006,"&lt;="&amp;($A27+6)))</f>
        <v/>
      </c>
      <c r="H27" s="132" t="str">
        <f t="shared" ca="1" si="0"/>
        <v/>
      </c>
      <c r="I27" s="125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</row>
    <row r="28" spans="1:40" s="127" customFormat="1" ht="21" customHeight="1" x14ac:dyDescent="0.25">
      <c r="A28" s="49">
        <f>Weeks!$A$27</f>
        <v>46426</v>
      </c>
      <c r="B28" s="51" t="str">
        <f ca="1">IF($A28&gt;TODAY(),"",IFERROR(INDEX(Weeks!$L$7:$W$59,MATCH($A28,Weeks!$A$7:$A$59,0),MATCH($D$5,Weeks!$L$5:$W$5,0)),0))</f>
        <v/>
      </c>
      <c r="C28" s="131" t="str">
        <f ca="1">IF($A28&gt;TODAY(),"",IFERROR(INDEX(Weeks!$X$7:$AI$59,MATCH($A28,Weeks!$A$7:$A$59,0),MATCH($D$5,Weeks!$X$5:$AI$5,0)),0))</f>
        <v/>
      </c>
      <c r="D28" s="131" t="str">
        <f ca="1">IF($A28&gt;TODAY(),"",SUMIFS('Cash Ledger'!$E$7:$E$1006,'Cash Ledger'!$I$7:$I$1006,$D$5,'Cash Ledger'!$D$7:$D$1006,"Advance",'Cash Ledger'!$B$7:$B$1006,"&gt;="&amp;$A28,'Cash Ledger'!$B$7:$B$1006,"&lt;="&amp;($A28+6)))</f>
        <v/>
      </c>
      <c r="E28" s="143" t="str">
        <f ca="1">IF($A28&gt;TODAY(),"",SUMIFS('Cash Ledger'!$E$7:$E$1006,'Cash Ledger'!$I$7:$I$1006,$D$5,'Cash Ledger'!$D$7:$D$1006,"Correction",'Cash Ledger'!$B$7:$B$1006,"&gt;="&amp;$A28,'Cash Ledger'!$B$7:$B$1006,"&lt;="&amp;($A28+6)))</f>
        <v/>
      </c>
      <c r="F28" s="131" t="str">
        <f ca="1">IF($A28&gt;TODAY(),"",SUMIFS('Cash Ledger'!$E$7:$E$1006,'Cash Ledger'!$I$7:$I$1006,$D$5,'Cash Ledger'!$D$7:$D$1006,"Weekly pay",'Cash Ledger'!$B$7:$B$1006,"&gt;="&amp;$A28,'Cash Ledger'!$B$7:$B$1006,"&lt;="&amp;($A28+6)))</f>
        <v/>
      </c>
      <c r="G28" s="167" t="str">
        <f ca="1">IF($A28&gt;TODAY(),"",SUMPRODUCT((Weeks!$A$7:$A$59&lt;=$A28)*(Weeks!$X$5:$AI$5=$D$5)*Weeks!$X$7:$AI$59)-SUMIFS('Cash Ledger'!$E$7:$E$1006,'Cash Ledger'!$I$7:$I$1006,$D$5,'Cash Ledger'!$B$7:$B$1006,"&lt;="&amp;($A28+6)))</f>
        <v/>
      </c>
      <c r="H28" s="132" t="str">
        <f t="shared" ca="1" si="0"/>
        <v/>
      </c>
      <c r="I28" s="125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</row>
    <row r="29" spans="1:40" s="127" customFormat="1" ht="21" customHeight="1" x14ac:dyDescent="0.25">
      <c r="A29" s="49">
        <f>Weeks!$A$28</f>
        <v>46433</v>
      </c>
      <c r="B29" s="51" t="str">
        <f ca="1">IF($A29&gt;TODAY(),"",IFERROR(INDEX(Weeks!$L$7:$W$59,MATCH($A29,Weeks!$A$7:$A$59,0),MATCH($D$5,Weeks!$L$5:$W$5,0)),0))</f>
        <v/>
      </c>
      <c r="C29" s="131" t="str">
        <f ca="1">IF($A29&gt;TODAY(),"",IFERROR(INDEX(Weeks!$X$7:$AI$59,MATCH($A29,Weeks!$A$7:$A$59,0),MATCH($D$5,Weeks!$X$5:$AI$5,0)),0))</f>
        <v/>
      </c>
      <c r="D29" s="131" t="str">
        <f ca="1">IF($A29&gt;TODAY(),"",SUMIFS('Cash Ledger'!$E$7:$E$1006,'Cash Ledger'!$I$7:$I$1006,$D$5,'Cash Ledger'!$D$7:$D$1006,"Advance",'Cash Ledger'!$B$7:$B$1006,"&gt;="&amp;$A29,'Cash Ledger'!$B$7:$B$1006,"&lt;="&amp;($A29+6)))</f>
        <v/>
      </c>
      <c r="E29" s="143" t="str">
        <f ca="1">IF($A29&gt;TODAY(),"",SUMIFS('Cash Ledger'!$E$7:$E$1006,'Cash Ledger'!$I$7:$I$1006,$D$5,'Cash Ledger'!$D$7:$D$1006,"Correction",'Cash Ledger'!$B$7:$B$1006,"&gt;="&amp;$A29,'Cash Ledger'!$B$7:$B$1006,"&lt;="&amp;($A29+6)))</f>
        <v/>
      </c>
      <c r="F29" s="131" t="str">
        <f ca="1">IF($A29&gt;TODAY(),"",SUMIFS('Cash Ledger'!$E$7:$E$1006,'Cash Ledger'!$I$7:$I$1006,$D$5,'Cash Ledger'!$D$7:$D$1006,"Weekly pay",'Cash Ledger'!$B$7:$B$1006,"&gt;="&amp;$A29,'Cash Ledger'!$B$7:$B$1006,"&lt;="&amp;($A29+6)))</f>
        <v/>
      </c>
      <c r="G29" s="167" t="str">
        <f ca="1">IF($A29&gt;TODAY(),"",SUMPRODUCT((Weeks!$A$7:$A$59&lt;=$A29)*(Weeks!$X$5:$AI$5=$D$5)*Weeks!$X$7:$AI$59)-SUMIFS('Cash Ledger'!$E$7:$E$1006,'Cash Ledger'!$I$7:$I$1006,$D$5,'Cash Ledger'!$B$7:$B$1006,"&lt;="&amp;($A29+6)))</f>
        <v/>
      </c>
      <c r="H29" s="132" t="str">
        <f t="shared" ca="1" si="0"/>
        <v/>
      </c>
      <c r="I29" s="125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</row>
    <row r="30" spans="1:40" s="127" customFormat="1" ht="21" customHeight="1" x14ac:dyDescent="0.25">
      <c r="A30" s="49">
        <f>Weeks!$A$29</f>
        <v>46440</v>
      </c>
      <c r="B30" s="51" t="str">
        <f ca="1">IF($A30&gt;TODAY(),"",IFERROR(INDEX(Weeks!$L$7:$W$59,MATCH($A30,Weeks!$A$7:$A$59,0),MATCH($D$5,Weeks!$L$5:$W$5,0)),0))</f>
        <v/>
      </c>
      <c r="C30" s="131" t="str">
        <f ca="1">IF($A30&gt;TODAY(),"",IFERROR(INDEX(Weeks!$X$7:$AI$59,MATCH($A30,Weeks!$A$7:$A$59,0),MATCH($D$5,Weeks!$X$5:$AI$5,0)),0))</f>
        <v/>
      </c>
      <c r="D30" s="131" t="str">
        <f ca="1">IF($A30&gt;TODAY(),"",SUMIFS('Cash Ledger'!$E$7:$E$1006,'Cash Ledger'!$I$7:$I$1006,$D$5,'Cash Ledger'!$D$7:$D$1006,"Advance",'Cash Ledger'!$B$7:$B$1006,"&gt;="&amp;$A30,'Cash Ledger'!$B$7:$B$1006,"&lt;="&amp;($A30+6)))</f>
        <v/>
      </c>
      <c r="E30" s="143" t="str">
        <f ca="1">IF($A30&gt;TODAY(),"",SUMIFS('Cash Ledger'!$E$7:$E$1006,'Cash Ledger'!$I$7:$I$1006,$D$5,'Cash Ledger'!$D$7:$D$1006,"Correction",'Cash Ledger'!$B$7:$B$1006,"&gt;="&amp;$A30,'Cash Ledger'!$B$7:$B$1006,"&lt;="&amp;($A30+6)))</f>
        <v/>
      </c>
      <c r="F30" s="131" t="str">
        <f ca="1">IF($A30&gt;TODAY(),"",SUMIFS('Cash Ledger'!$E$7:$E$1006,'Cash Ledger'!$I$7:$I$1006,$D$5,'Cash Ledger'!$D$7:$D$1006,"Weekly pay",'Cash Ledger'!$B$7:$B$1006,"&gt;="&amp;$A30,'Cash Ledger'!$B$7:$B$1006,"&lt;="&amp;($A30+6)))</f>
        <v/>
      </c>
      <c r="G30" s="167" t="str">
        <f ca="1">IF($A30&gt;TODAY(),"",SUMPRODUCT((Weeks!$A$7:$A$59&lt;=$A30)*(Weeks!$X$5:$AI$5=$D$5)*Weeks!$X$7:$AI$59)-SUMIFS('Cash Ledger'!$E$7:$E$1006,'Cash Ledger'!$I$7:$I$1006,$D$5,'Cash Ledger'!$B$7:$B$1006,"&lt;="&amp;($A30+6)))</f>
        <v/>
      </c>
      <c r="H30" s="132" t="str">
        <f t="shared" ca="1" si="0"/>
        <v/>
      </c>
      <c r="I30" s="125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</row>
    <row r="31" spans="1:40" s="127" customFormat="1" ht="21" customHeight="1" x14ac:dyDescent="0.25">
      <c r="A31" s="49">
        <f>Weeks!$A$30</f>
        <v>46447</v>
      </c>
      <c r="B31" s="51" t="str">
        <f ca="1">IF($A31&gt;TODAY(),"",IFERROR(INDEX(Weeks!$L$7:$W$59,MATCH($A31,Weeks!$A$7:$A$59,0),MATCH($D$5,Weeks!$L$5:$W$5,0)),0))</f>
        <v/>
      </c>
      <c r="C31" s="131" t="str">
        <f ca="1">IF($A31&gt;TODAY(),"",IFERROR(INDEX(Weeks!$X$7:$AI$59,MATCH($A31,Weeks!$A$7:$A$59,0),MATCH($D$5,Weeks!$X$5:$AI$5,0)),0))</f>
        <v/>
      </c>
      <c r="D31" s="131" t="str">
        <f ca="1">IF($A31&gt;TODAY(),"",SUMIFS('Cash Ledger'!$E$7:$E$1006,'Cash Ledger'!$I$7:$I$1006,$D$5,'Cash Ledger'!$D$7:$D$1006,"Advance",'Cash Ledger'!$B$7:$B$1006,"&gt;="&amp;$A31,'Cash Ledger'!$B$7:$B$1006,"&lt;="&amp;($A31+6)))</f>
        <v/>
      </c>
      <c r="E31" s="143" t="str">
        <f ca="1">IF($A31&gt;TODAY(),"",SUMIFS('Cash Ledger'!$E$7:$E$1006,'Cash Ledger'!$I$7:$I$1006,$D$5,'Cash Ledger'!$D$7:$D$1006,"Correction",'Cash Ledger'!$B$7:$B$1006,"&gt;="&amp;$A31,'Cash Ledger'!$B$7:$B$1006,"&lt;="&amp;($A31+6)))</f>
        <v/>
      </c>
      <c r="F31" s="131" t="str">
        <f ca="1">IF($A31&gt;TODAY(),"",SUMIFS('Cash Ledger'!$E$7:$E$1006,'Cash Ledger'!$I$7:$I$1006,$D$5,'Cash Ledger'!$D$7:$D$1006,"Weekly pay",'Cash Ledger'!$B$7:$B$1006,"&gt;="&amp;$A31,'Cash Ledger'!$B$7:$B$1006,"&lt;="&amp;($A31+6)))</f>
        <v/>
      </c>
      <c r="G31" s="167" t="str">
        <f ca="1">IF($A31&gt;TODAY(),"",SUMPRODUCT((Weeks!$A$7:$A$59&lt;=$A31)*(Weeks!$X$5:$AI$5=$D$5)*Weeks!$X$7:$AI$59)-SUMIFS('Cash Ledger'!$E$7:$E$1006,'Cash Ledger'!$I$7:$I$1006,$D$5,'Cash Ledger'!$B$7:$B$1006,"&lt;="&amp;($A31+6)))</f>
        <v/>
      </c>
      <c r="H31" s="132" t="str">
        <f t="shared" ca="1" si="0"/>
        <v/>
      </c>
      <c r="I31" s="125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</row>
    <row r="32" spans="1:40" s="127" customFormat="1" ht="21" customHeight="1" x14ac:dyDescent="0.25">
      <c r="A32" s="49">
        <f>Weeks!$A$31</f>
        <v>46454</v>
      </c>
      <c r="B32" s="51" t="str">
        <f ca="1">IF($A32&gt;TODAY(),"",IFERROR(INDEX(Weeks!$L$7:$W$59,MATCH($A32,Weeks!$A$7:$A$59,0),MATCH($D$5,Weeks!$L$5:$W$5,0)),0))</f>
        <v/>
      </c>
      <c r="C32" s="131" t="str">
        <f ca="1">IF($A32&gt;TODAY(),"",IFERROR(INDEX(Weeks!$X$7:$AI$59,MATCH($A32,Weeks!$A$7:$A$59,0),MATCH($D$5,Weeks!$X$5:$AI$5,0)),0))</f>
        <v/>
      </c>
      <c r="D32" s="131" t="str">
        <f ca="1">IF($A32&gt;TODAY(),"",SUMIFS('Cash Ledger'!$E$7:$E$1006,'Cash Ledger'!$I$7:$I$1006,$D$5,'Cash Ledger'!$D$7:$D$1006,"Advance",'Cash Ledger'!$B$7:$B$1006,"&gt;="&amp;$A32,'Cash Ledger'!$B$7:$B$1006,"&lt;="&amp;($A32+6)))</f>
        <v/>
      </c>
      <c r="E32" s="143" t="str">
        <f ca="1">IF($A32&gt;TODAY(),"",SUMIFS('Cash Ledger'!$E$7:$E$1006,'Cash Ledger'!$I$7:$I$1006,$D$5,'Cash Ledger'!$D$7:$D$1006,"Correction",'Cash Ledger'!$B$7:$B$1006,"&gt;="&amp;$A32,'Cash Ledger'!$B$7:$B$1006,"&lt;="&amp;($A32+6)))</f>
        <v/>
      </c>
      <c r="F32" s="131" t="str">
        <f ca="1">IF($A32&gt;TODAY(),"",SUMIFS('Cash Ledger'!$E$7:$E$1006,'Cash Ledger'!$I$7:$I$1006,$D$5,'Cash Ledger'!$D$7:$D$1006,"Weekly pay",'Cash Ledger'!$B$7:$B$1006,"&gt;="&amp;$A32,'Cash Ledger'!$B$7:$B$1006,"&lt;="&amp;($A32+6)))</f>
        <v/>
      </c>
      <c r="G32" s="167" t="str">
        <f ca="1">IF($A32&gt;TODAY(),"",SUMPRODUCT((Weeks!$A$7:$A$59&lt;=$A32)*(Weeks!$X$5:$AI$5=$D$5)*Weeks!$X$7:$AI$59)-SUMIFS('Cash Ledger'!$E$7:$E$1006,'Cash Ledger'!$I$7:$I$1006,$D$5,'Cash Ledger'!$B$7:$B$1006,"&lt;="&amp;($A32+6)))</f>
        <v/>
      </c>
      <c r="H32" s="132" t="str">
        <f t="shared" ca="1" si="0"/>
        <v/>
      </c>
      <c r="I32" s="125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</row>
    <row r="33" spans="1:40" s="127" customFormat="1" ht="21" customHeight="1" x14ac:dyDescent="0.25">
      <c r="A33" s="49">
        <f>Weeks!$A$32</f>
        <v>46461</v>
      </c>
      <c r="B33" s="51" t="str">
        <f ca="1">IF($A33&gt;TODAY(),"",IFERROR(INDEX(Weeks!$L$7:$W$59,MATCH($A33,Weeks!$A$7:$A$59,0),MATCH($D$5,Weeks!$L$5:$W$5,0)),0))</f>
        <v/>
      </c>
      <c r="C33" s="131" t="str">
        <f ca="1">IF($A33&gt;TODAY(),"",IFERROR(INDEX(Weeks!$X$7:$AI$59,MATCH($A33,Weeks!$A$7:$A$59,0),MATCH($D$5,Weeks!$X$5:$AI$5,0)),0))</f>
        <v/>
      </c>
      <c r="D33" s="131" t="str">
        <f ca="1">IF($A33&gt;TODAY(),"",SUMIFS('Cash Ledger'!$E$7:$E$1006,'Cash Ledger'!$I$7:$I$1006,$D$5,'Cash Ledger'!$D$7:$D$1006,"Advance",'Cash Ledger'!$B$7:$B$1006,"&gt;="&amp;$A33,'Cash Ledger'!$B$7:$B$1006,"&lt;="&amp;($A33+6)))</f>
        <v/>
      </c>
      <c r="E33" s="143" t="str">
        <f ca="1">IF($A33&gt;TODAY(),"",SUMIFS('Cash Ledger'!$E$7:$E$1006,'Cash Ledger'!$I$7:$I$1006,$D$5,'Cash Ledger'!$D$7:$D$1006,"Correction",'Cash Ledger'!$B$7:$B$1006,"&gt;="&amp;$A33,'Cash Ledger'!$B$7:$B$1006,"&lt;="&amp;($A33+6)))</f>
        <v/>
      </c>
      <c r="F33" s="131" t="str">
        <f ca="1">IF($A33&gt;TODAY(),"",SUMIFS('Cash Ledger'!$E$7:$E$1006,'Cash Ledger'!$I$7:$I$1006,$D$5,'Cash Ledger'!$D$7:$D$1006,"Weekly pay",'Cash Ledger'!$B$7:$B$1006,"&gt;="&amp;$A33,'Cash Ledger'!$B$7:$B$1006,"&lt;="&amp;($A33+6)))</f>
        <v/>
      </c>
      <c r="G33" s="167" t="str">
        <f ca="1">IF($A33&gt;TODAY(),"",SUMPRODUCT((Weeks!$A$7:$A$59&lt;=$A33)*(Weeks!$X$5:$AI$5=$D$5)*Weeks!$X$7:$AI$59)-SUMIFS('Cash Ledger'!$E$7:$E$1006,'Cash Ledger'!$I$7:$I$1006,$D$5,'Cash Ledger'!$B$7:$B$1006,"&lt;="&amp;($A33+6)))</f>
        <v/>
      </c>
      <c r="H33" s="132" t="str">
        <f t="shared" ca="1" si="0"/>
        <v/>
      </c>
      <c r="I33" s="125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</row>
    <row r="34" spans="1:40" s="127" customFormat="1" ht="21" customHeight="1" x14ac:dyDescent="0.25">
      <c r="A34" s="49">
        <f>Weeks!$A$33</f>
        <v>46468</v>
      </c>
      <c r="B34" s="51" t="str">
        <f ca="1">IF($A34&gt;TODAY(),"",IFERROR(INDEX(Weeks!$L$7:$W$59,MATCH($A34,Weeks!$A$7:$A$59,0),MATCH($D$5,Weeks!$L$5:$W$5,0)),0))</f>
        <v/>
      </c>
      <c r="C34" s="131" t="str">
        <f ca="1">IF($A34&gt;TODAY(),"",IFERROR(INDEX(Weeks!$X$7:$AI$59,MATCH($A34,Weeks!$A$7:$A$59,0),MATCH($D$5,Weeks!$X$5:$AI$5,0)),0))</f>
        <v/>
      </c>
      <c r="D34" s="131" t="str">
        <f ca="1">IF($A34&gt;TODAY(),"",SUMIFS('Cash Ledger'!$E$7:$E$1006,'Cash Ledger'!$I$7:$I$1006,$D$5,'Cash Ledger'!$D$7:$D$1006,"Advance",'Cash Ledger'!$B$7:$B$1006,"&gt;="&amp;$A34,'Cash Ledger'!$B$7:$B$1006,"&lt;="&amp;($A34+6)))</f>
        <v/>
      </c>
      <c r="E34" s="143" t="str">
        <f ca="1">IF($A34&gt;TODAY(),"",SUMIFS('Cash Ledger'!$E$7:$E$1006,'Cash Ledger'!$I$7:$I$1006,$D$5,'Cash Ledger'!$D$7:$D$1006,"Correction",'Cash Ledger'!$B$7:$B$1006,"&gt;="&amp;$A34,'Cash Ledger'!$B$7:$B$1006,"&lt;="&amp;($A34+6)))</f>
        <v/>
      </c>
      <c r="F34" s="131" t="str">
        <f ca="1">IF($A34&gt;TODAY(),"",SUMIFS('Cash Ledger'!$E$7:$E$1006,'Cash Ledger'!$I$7:$I$1006,$D$5,'Cash Ledger'!$D$7:$D$1006,"Weekly pay",'Cash Ledger'!$B$7:$B$1006,"&gt;="&amp;$A34,'Cash Ledger'!$B$7:$B$1006,"&lt;="&amp;($A34+6)))</f>
        <v/>
      </c>
      <c r="G34" s="167" t="str">
        <f ca="1">IF($A34&gt;TODAY(),"",SUMPRODUCT((Weeks!$A$7:$A$59&lt;=$A34)*(Weeks!$X$5:$AI$5=$D$5)*Weeks!$X$7:$AI$59)-SUMIFS('Cash Ledger'!$E$7:$E$1006,'Cash Ledger'!$I$7:$I$1006,$D$5,'Cash Ledger'!$B$7:$B$1006,"&lt;="&amp;($A34+6)))</f>
        <v/>
      </c>
      <c r="H34" s="132" t="str">
        <f t="shared" ca="1" si="0"/>
        <v/>
      </c>
      <c r="I34" s="125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</row>
    <row r="35" spans="1:40" s="127" customFormat="1" ht="21" customHeight="1" x14ac:dyDescent="0.25">
      <c r="A35" s="49">
        <f>Weeks!$A$34</f>
        <v>46475</v>
      </c>
      <c r="B35" s="51" t="str">
        <f ca="1">IF($A35&gt;TODAY(),"",IFERROR(INDEX(Weeks!$L$7:$W$59,MATCH($A35,Weeks!$A$7:$A$59,0),MATCH($D$5,Weeks!$L$5:$W$5,0)),0))</f>
        <v/>
      </c>
      <c r="C35" s="131" t="str">
        <f ca="1">IF($A35&gt;TODAY(),"",IFERROR(INDEX(Weeks!$X$7:$AI$59,MATCH($A35,Weeks!$A$7:$A$59,0),MATCH($D$5,Weeks!$X$5:$AI$5,0)),0))</f>
        <v/>
      </c>
      <c r="D35" s="131" t="str">
        <f ca="1">IF($A35&gt;TODAY(),"",SUMIFS('Cash Ledger'!$E$7:$E$1006,'Cash Ledger'!$I$7:$I$1006,$D$5,'Cash Ledger'!$D$7:$D$1006,"Advance",'Cash Ledger'!$B$7:$B$1006,"&gt;="&amp;$A35,'Cash Ledger'!$B$7:$B$1006,"&lt;="&amp;($A35+6)))</f>
        <v/>
      </c>
      <c r="E35" s="143" t="str">
        <f ca="1">IF($A35&gt;TODAY(),"",SUMIFS('Cash Ledger'!$E$7:$E$1006,'Cash Ledger'!$I$7:$I$1006,$D$5,'Cash Ledger'!$D$7:$D$1006,"Correction",'Cash Ledger'!$B$7:$B$1006,"&gt;="&amp;$A35,'Cash Ledger'!$B$7:$B$1006,"&lt;="&amp;($A35+6)))</f>
        <v/>
      </c>
      <c r="F35" s="131" t="str">
        <f ca="1">IF($A35&gt;TODAY(),"",SUMIFS('Cash Ledger'!$E$7:$E$1006,'Cash Ledger'!$I$7:$I$1006,$D$5,'Cash Ledger'!$D$7:$D$1006,"Weekly pay",'Cash Ledger'!$B$7:$B$1006,"&gt;="&amp;$A35,'Cash Ledger'!$B$7:$B$1006,"&lt;="&amp;($A35+6)))</f>
        <v/>
      </c>
      <c r="G35" s="167" t="str">
        <f ca="1">IF($A35&gt;TODAY(),"",SUMPRODUCT((Weeks!$A$7:$A$59&lt;=$A35)*(Weeks!$X$5:$AI$5=$D$5)*Weeks!$X$7:$AI$59)-SUMIFS('Cash Ledger'!$E$7:$E$1006,'Cash Ledger'!$I$7:$I$1006,$D$5,'Cash Ledger'!$B$7:$B$1006,"&lt;="&amp;($A35+6)))</f>
        <v/>
      </c>
      <c r="H35" s="132" t="str">
        <f t="shared" ca="1" si="0"/>
        <v/>
      </c>
      <c r="I35" s="125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</row>
    <row r="36" spans="1:40" s="127" customFormat="1" ht="21" customHeight="1" x14ac:dyDescent="0.25">
      <c r="A36" s="49">
        <f>Weeks!$A$35</f>
        <v>46482</v>
      </c>
      <c r="B36" s="51" t="str">
        <f ca="1">IF($A36&gt;TODAY(),"",IFERROR(INDEX(Weeks!$L$7:$W$59,MATCH($A36,Weeks!$A$7:$A$59,0),MATCH($D$5,Weeks!$L$5:$W$5,0)),0))</f>
        <v/>
      </c>
      <c r="C36" s="131" t="str">
        <f ca="1">IF($A36&gt;TODAY(),"",IFERROR(INDEX(Weeks!$X$7:$AI$59,MATCH($A36,Weeks!$A$7:$A$59,0),MATCH($D$5,Weeks!$X$5:$AI$5,0)),0))</f>
        <v/>
      </c>
      <c r="D36" s="131" t="str">
        <f ca="1">IF($A36&gt;TODAY(),"",SUMIFS('Cash Ledger'!$E$7:$E$1006,'Cash Ledger'!$I$7:$I$1006,$D$5,'Cash Ledger'!$D$7:$D$1006,"Advance",'Cash Ledger'!$B$7:$B$1006,"&gt;="&amp;$A36,'Cash Ledger'!$B$7:$B$1006,"&lt;="&amp;($A36+6)))</f>
        <v/>
      </c>
      <c r="E36" s="143" t="str">
        <f ca="1">IF($A36&gt;TODAY(),"",SUMIFS('Cash Ledger'!$E$7:$E$1006,'Cash Ledger'!$I$7:$I$1006,$D$5,'Cash Ledger'!$D$7:$D$1006,"Correction",'Cash Ledger'!$B$7:$B$1006,"&gt;="&amp;$A36,'Cash Ledger'!$B$7:$B$1006,"&lt;="&amp;($A36+6)))</f>
        <v/>
      </c>
      <c r="F36" s="131" t="str">
        <f ca="1">IF($A36&gt;TODAY(),"",SUMIFS('Cash Ledger'!$E$7:$E$1006,'Cash Ledger'!$I$7:$I$1006,$D$5,'Cash Ledger'!$D$7:$D$1006,"Weekly pay",'Cash Ledger'!$B$7:$B$1006,"&gt;="&amp;$A36,'Cash Ledger'!$B$7:$B$1006,"&lt;="&amp;($A36+6)))</f>
        <v/>
      </c>
      <c r="G36" s="167" t="str">
        <f ca="1">IF($A36&gt;TODAY(),"",SUMPRODUCT((Weeks!$A$7:$A$59&lt;=$A36)*(Weeks!$X$5:$AI$5=$D$5)*Weeks!$X$7:$AI$59)-SUMIFS('Cash Ledger'!$E$7:$E$1006,'Cash Ledger'!$I$7:$I$1006,$D$5,'Cash Ledger'!$B$7:$B$1006,"&lt;="&amp;($A36+6)))</f>
        <v/>
      </c>
      <c r="H36" s="132" t="str">
        <f t="shared" ca="1" si="0"/>
        <v/>
      </c>
      <c r="I36" s="125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</row>
    <row r="37" spans="1:40" s="127" customFormat="1" ht="21" customHeight="1" x14ac:dyDescent="0.25">
      <c r="A37" s="49">
        <f>Weeks!$A$36</f>
        <v>46489</v>
      </c>
      <c r="B37" s="51" t="str">
        <f ca="1">IF($A37&gt;TODAY(),"",IFERROR(INDEX(Weeks!$L$7:$W$59,MATCH($A37,Weeks!$A$7:$A$59,0),MATCH($D$5,Weeks!$L$5:$W$5,0)),0))</f>
        <v/>
      </c>
      <c r="C37" s="131" t="str">
        <f ca="1">IF($A37&gt;TODAY(),"",IFERROR(INDEX(Weeks!$X$7:$AI$59,MATCH($A37,Weeks!$A$7:$A$59,0),MATCH($D$5,Weeks!$X$5:$AI$5,0)),0))</f>
        <v/>
      </c>
      <c r="D37" s="131" t="str">
        <f ca="1">IF($A37&gt;TODAY(),"",SUMIFS('Cash Ledger'!$E$7:$E$1006,'Cash Ledger'!$I$7:$I$1006,$D$5,'Cash Ledger'!$D$7:$D$1006,"Advance",'Cash Ledger'!$B$7:$B$1006,"&gt;="&amp;$A37,'Cash Ledger'!$B$7:$B$1006,"&lt;="&amp;($A37+6)))</f>
        <v/>
      </c>
      <c r="E37" s="143" t="str">
        <f ca="1">IF($A37&gt;TODAY(),"",SUMIFS('Cash Ledger'!$E$7:$E$1006,'Cash Ledger'!$I$7:$I$1006,$D$5,'Cash Ledger'!$D$7:$D$1006,"Correction",'Cash Ledger'!$B$7:$B$1006,"&gt;="&amp;$A37,'Cash Ledger'!$B$7:$B$1006,"&lt;="&amp;($A37+6)))</f>
        <v/>
      </c>
      <c r="F37" s="131" t="str">
        <f ca="1">IF($A37&gt;TODAY(),"",SUMIFS('Cash Ledger'!$E$7:$E$1006,'Cash Ledger'!$I$7:$I$1006,$D$5,'Cash Ledger'!$D$7:$D$1006,"Weekly pay",'Cash Ledger'!$B$7:$B$1006,"&gt;="&amp;$A37,'Cash Ledger'!$B$7:$B$1006,"&lt;="&amp;($A37+6)))</f>
        <v/>
      </c>
      <c r="G37" s="167" t="str">
        <f ca="1">IF($A37&gt;TODAY(),"",SUMPRODUCT((Weeks!$A$7:$A$59&lt;=$A37)*(Weeks!$X$5:$AI$5=$D$5)*Weeks!$X$7:$AI$59)-SUMIFS('Cash Ledger'!$E$7:$E$1006,'Cash Ledger'!$I$7:$I$1006,$D$5,'Cash Ledger'!$B$7:$B$1006,"&lt;="&amp;($A37+6)))</f>
        <v/>
      </c>
      <c r="H37" s="132" t="str">
        <f t="shared" ca="1" si="0"/>
        <v/>
      </c>
      <c r="I37" s="125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</row>
    <row r="38" spans="1:40" s="127" customFormat="1" ht="21" customHeight="1" x14ac:dyDescent="0.25">
      <c r="A38" s="49">
        <f>Weeks!$A$37</f>
        <v>46496</v>
      </c>
      <c r="B38" s="51" t="str">
        <f ca="1">IF($A38&gt;TODAY(),"",IFERROR(INDEX(Weeks!$L$7:$W$59,MATCH($A38,Weeks!$A$7:$A$59,0),MATCH($D$5,Weeks!$L$5:$W$5,0)),0))</f>
        <v/>
      </c>
      <c r="C38" s="131" t="str">
        <f ca="1">IF($A38&gt;TODAY(),"",IFERROR(INDEX(Weeks!$X$7:$AI$59,MATCH($A38,Weeks!$A$7:$A$59,0),MATCH($D$5,Weeks!$X$5:$AI$5,0)),0))</f>
        <v/>
      </c>
      <c r="D38" s="131" t="str">
        <f ca="1">IF($A38&gt;TODAY(),"",SUMIFS('Cash Ledger'!$E$7:$E$1006,'Cash Ledger'!$I$7:$I$1006,$D$5,'Cash Ledger'!$D$7:$D$1006,"Advance",'Cash Ledger'!$B$7:$B$1006,"&gt;="&amp;$A38,'Cash Ledger'!$B$7:$B$1006,"&lt;="&amp;($A38+6)))</f>
        <v/>
      </c>
      <c r="E38" s="143" t="str">
        <f ca="1">IF($A38&gt;TODAY(),"",SUMIFS('Cash Ledger'!$E$7:$E$1006,'Cash Ledger'!$I$7:$I$1006,$D$5,'Cash Ledger'!$D$7:$D$1006,"Correction",'Cash Ledger'!$B$7:$B$1006,"&gt;="&amp;$A38,'Cash Ledger'!$B$7:$B$1006,"&lt;="&amp;($A38+6)))</f>
        <v/>
      </c>
      <c r="F38" s="131" t="str">
        <f ca="1">IF($A38&gt;TODAY(),"",SUMIFS('Cash Ledger'!$E$7:$E$1006,'Cash Ledger'!$I$7:$I$1006,$D$5,'Cash Ledger'!$D$7:$D$1006,"Weekly pay",'Cash Ledger'!$B$7:$B$1006,"&gt;="&amp;$A38,'Cash Ledger'!$B$7:$B$1006,"&lt;="&amp;($A38+6)))</f>
        <v/>
      </c>
      <c r="G38" s="167" t="str">
        <f ca="1">IF($A38&gt;TODAY(),"",SUMPRODUCT((Weeks!$A$7:$A$59&lt;=$A38)*(Weeks!$X$5:$AI$5=$D$5)*Weeks!$X$7:$AI$59)-SUMIFS('Cash Ledger'!$E$7:$E$1006,'Cash Ledger'!$I$7:$I$1006,$D$5,'Cash Ledger'!$B$7:$B$1006,"&lt;="&amp;($A38+6)))</f>
        <v/>
      </c>
      <c r="H38" s="132" t="str">
        <f t="shared" ca="1" si="0"/>
        <v/>
      </c>
      <c r="I38" s="125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</row>
    <row r="39" spans="1:40" s="127" customFormat="1" ht="21" customHeight="1" x14ac:dyDescent="0.25">
      <c r="A39" s="49">
        <f>Weeks!$A$38</f>
        <v>46503</v>
      </c>
      <c r="B39" s="51" t="str">
        <f ca="1">IF($A39&gt;TODAY(),"",IFERROR(INDEX(Weeks!$L$7:$W$59,MATCH($A39,Weeks!$A$7:$A$59,0),MATCH($D$5,Weeks!$L$5:$W$5,0)),0))</f>
        <v/>
      </c>
      <c r="C39" s="131" t="str">
        <f ca="1">IF($A39&gt;TODAY(),"",IFERROR(INDEX(Weeks!$X$7:$AI$59,MATCH($A39,Weeks!$A$7:$A$59,0),MATCH($D$5,Weeks!$X$5:$AI$5,0)),0))</f>
        <v/>
      </c>
      <c r="D39" s="131" t="str">
        <f ca="1">IF($A39&gt;TODAY(),"",SUMIFS('Cash Ledger'!$E$7:$E$1006,'Cash Ledger'!$I$7:$I$1006,$D$5,'Cash Ledger'!$D$7:$D$1006,"Advance",'Cash Ledger'!$B$7:$B$1006,"&gt;="&amp;$A39,'Cash Ledger'!$B$7:$B$1006,"&lt;="&amp;($A39+6)))</f>
        <v/>
      </c>
      <c r="E39" s="143" t="str">
        <f ca="1">IF($A39&gt;TODAY(),"",SUMIFS('Cash Ledger'!$E$7:$E$1006,'Cash Ledger'!$I$7:$I$1006,$D$5,'Cash Ledger'!$D$7:$D$1006,"Correction",'Cash Ledger'!$B$7:$B$1006,"&gt;="&amp;$A39,'Cash Ledger'!$B$7:$B$1006,"&lt;="&amp;($A39+6)))</f>
        <v/>
      </c>
      <c r="F39" s="131" t="str">
        <f ca="1">IF($A39&gt;TODAY(),"",SUMIFS('Cash Ledger'!$E$7:$E$1006,'Cash Ledger'!$I$7:$I$1006,$D$5,'Cash Ledger'!$D$7:$D$1006,"Weekly pay",'Cash Ledger'!$B$7:$B$1006,"&gt;="&amp;$A39,'Cash Ledger'!$B$7:$B$1006,"&lt;="&amp;($A39+6)))</f>
        <v/>
      </c>
      <c r="G39" s="167" t="str">
        <f ca="1">IF($A39&gt;TODAY(),"",SUMPRODUCT((Weeks!$A$7:$A$59&lt;=$A39)*(Weeks!$X$5:$AI$5=$D$5)*Weeks!$X$7:$AI$59)-SUMIFS('Cash Ledger'!$E$7:$E$1006,'Cash Ledger'!$I$7:$I$1006,$D$5,'Cash Ledger'!$B$7:$B$1006,"&lt;="&amp;($A39+6)))</f>
        <v/>
      </c>
      <c r="H39" s="132" t="str">
        <f t="shared" ca="1" si="0"/>
        <v/>
      </c>
      <c r="I39" s="125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</row>
    <row r="40" spans="1:40" s="127" customFormat="1" ht="21" customHeight="1" x14ac:dyDescent="0.25">
      <c r="A40" s="49">
        <f>Weeks!$A$39</f>
        <v>46510</v>
      </c>
      <c r="B40" s="51" t="str">
        <f ca="1">IF($A40&gt;TODAY(),"",IFERROR(INDEX(Weeks!$L$7:$W$59,MATCH($A40,Weeks!$A$7:$A$59,0),MATCH($D$5,Weeks!$L$5:$W$5,0)),0))</f>
        <v/>
      </c>
      <c r="C40" s="131" t="str">
        <f ca="1">IF($A40&gt;TODAY(),"",IFERROR(INDEX(Weeks!$X$7:$AI$59,MATCH($A40,Weeks!$A$7:$A$59,0),MATCH($D$5,Weeks!$X$5:$AI$5,0)),0))</f>
        <v/>
      </c>
      <c r="D40" s="131" t="str">
        <f ca="1">IF($A40&gt;TODAY(),"",SUMIFS('Cash Ledger'!$E$7:$E$1006,'Cash Ledger'!$I$7:$I$1006,$D$5,'Cash Ledger'!$D$7:$D$1006,"Advance",'Cash Ledger'!$B$7:$B$1006,"&gt;="&amp;$A40,'Cash Ledger'!$B$7:$B$1006,"&lt;="&amp;($A40+6)))</f>
        <v/>
      </c>
      <c r="E40" s="143" t="str">
        <f ca="1">IF($A40&gt;TODAY(),"",SUMIFS('Cash Ledger'!$E$7:$E$1006,'Cash Ledger'!$I$7:$I$1006,$D$5,'Cash Ledger'!$D$7:$D$1006,"Correction",'Cash Ledger'!$B$7:$B$1006,"&gt;="&amp;$A40,'Cash Ledger'!$B$7:$B$1006,"&lt;="&amp;($A40+6)))</f>
        <v/>
      </c>
      <c r="F40" s="131" t="str">
        <f ca="1">IF($A40&gt;TODAY(),"",SUMIFS('Cash Ledger'!$E$7:$E$1006,'Cash Ledger'!$I$7:$I$1006,$D$5,'Cash Ledger'!$D$7:$D$1006,"Weekly pay",'Cash Ledger'!$B$7:$B$1006,"&gt;="&amp;$A40,'Cash Ledger'!$B$7:$B$1006,"&lt;="&amp;($A40+6)))</f>
        <v/>
      </c>
      <c r="G40" s="167" t="str">
        <f ca="1">IF($A40&gt;TODAY(),"",SUMPRODUCT((Weeks!$A$7:$A$59&lt;=$A40)*(Weeks!$X$5:$AI$5=$D$5)*Weeks!$X$7:$AI$59)-SUMIFS('Cash Ledger'!$E$7:$E$1006,'Cash Ledger'!$I$7:$I$1006,$D$5,'Cash Ledger'!$B$7:$B$1006,"&lt;="&amp;($A40+6)))</f>
        <v/>
      </c>
      <c r="H40" s="132" t="str">
        <f t="shared" ref="H40:H60" ca="1" si="1">IF(OR($A40&gt;TODAY(),$G40=""),"",IF(ROUND($G40,0)&lt;0,"owes you",IF(ROUND($G40,0)&gt;0,"you owe","settled")))</f>
        <v/>
      </c>
      <c r="I40" s="125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</row>
    <row r="41" spans="1:40" s="127" customFormat="1" ht="21" customHeight="1" x14ac:dyDescent="0.25">
      <c r="A41" s="49">
        <f>Weeks!$A$40</f>
        <v>46517</v>
      </c>
      <c r="B41" s="51" t="str">
        <f ca="1">IF($A41&gt;TODAY(),"",IFERROR(INDEX(Weeks!$L$7:$W$59,MATCH($A41,Weeks!$A$7:$A$59,0),MATCH($D$5,Weeks!$L$5:$W$5,0)),0))</f>
        <v/>
      </c>
      <c r="C41" s="131" t="str">
        <f ca="1">IF($A41&gt;TODAY(),"",IFERROR(INDEX(Weeks!$X$7:$AI$59,MATCH($A41,Weeks!$A$7:$A$59,0),MATCH($D$5,Weeks!$X$5:$AI$5,0)),0))</f>
        <v/>
      </c>
      <c r="D41" s="131" t="str">
        <f ca="1">IF($A41&gt;TODAY(),"",SUMIFS('Cash Ledger'!$E$7:$E$1006,'Cash Ledger'!$I$7:$I$1006,$D$5,'Cash Ledger'!$D$7:$D$1006,"Advance",'Cash Ledger'!$B$7:$B$1006,"&gt;="&amp;$A41,'Cash Ledger'!$B$7:$B$1006,"&lt;="&amp;($A41+6)))</f>
        <v/>
      </c>
      <c r="E41" s="143" t="str">
        <f ca="1">IF($A41&gt;TODAY(),"",SUMIFS('Cash Ledger'!$E$7:$E$1006,'Cash Ledger'!$I$7:$I$1006,$D$5,'Cash Ledger'!$D$7:$D$1006,"Correction",'Cash Ledger'!$B$7:$B$1006,"&gt;="&amp;$A41,'Cash Ledger'!$B$7:$B$1006,"&lt;="&amp;($A41+6)))</f>
        <v/>
      </c>
      <c r="F41" s="131" t="str">
        <f ca="1">IF($A41&gt;TODAY(),"",SUMIFS('Cash Ledger'!$E$7:$E$1006,'Cash Ledger'!$I$7:$I$1006,$D$5,'Cash Ledger'!$D$7:$D$1006,"Weekly pay",'Cash Ledger'!$B$7:$B$1006,"&gt;="&amp;$A41,'Cash Ledger'!$B$7:$B$1006,"&lt;="&amp;($A41+6)))</f>
        <v/>
      </c>
      <c r="G41" s="167" t="str">
        <f ca="1">IF($A41&gt;TODAY(),"",SUMPRODUCT((Weeks!$A$7:$A$59&lt;=$A41)*(Weeks!$X$5:$AI$5=$D$5)*Weeks!$X$7:$AI$59)-SUMIFS('Cash Ledger'!$E$7:$E$1006,'Cash Ledger'!$I$7:$I$1006,$D$5,'Cash Ledger'!$B$7:$B$1006,"&lt;="&amp;($A41+6)))</f>
        <v/>
      </c>
      <c r="H41" s="132" t="str">
        <f t="shared" ca="1" si="1"/>
        <v/>
      </c>
      <c r="I41" s="125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</row>
    <row r="42" spans="1:40" s="127" customFormat="1" ht="21" customHeight="1" x14ac:dyDescent="0.25">
      <c r="A42" s="49">
        <f>Weeks!$A$41</f>
        <v>46524</v>
      </c>
      <c r="B42" s="51" t="str">
        <f ca="1">IF($A42&gt;TODAY(),"",IFERROR(INDEX(Weeks!$L$7:$W$59,MATCH($A42,Weeks!$A$7:$A$59,0),MATCH($D$5,Weeks!$L$5:$W$5,0)),0))</f>
        <v/>
      </c>
      <c r="C42" s="131" t="str">
        <f ca="1">IF($A42&gt;TODAY(),"",IFERROR(INDEX(Weeks!$X$7:$AI$59,MATCH($A42,Weeks!$A$7:$A$59,0),MATCH($D$5,Weeks!$X$5:$AI$5,0)),0))</f>
        <v/>
      </c>
      <c r="D42" s="131" t="str">
        <f ca="1">IF($A42&gt;TODAY(),"",SUMIFS('Cash Ledger'!$E$7:$E$1006,'Cash Ledger'!$I$7:$I$1006,$D$5,'Cash Ledger'!$D$7:$D$1006,"Advance",'Cash Ledger'!$B$7:$B$1006,"&gt;="&amp;$A42,'Cash Ledger'!$B$7:$B$1006,"&lt;="&amp;($A42+6)))</f>
        <v/>
      </c>
      <c r="E42" s="143" t="str">
        <f ca="1">IF($A42&gt;TODAY(),"",SUMIFS('Cash Ledger'!$E$7:$E$1006,'Cash Ledger'!$I$7:$I$1006,$D$5,'Cash Ledger'!$D$7:$D$1006,"Correction",'Cash Ledger'!$B$7:$B$1006,"&gt;="&amp;$A42,'Cash Ledger'!$B$7:$B$1006,"&lt;="&amp;($A42+6)))</f>
        <v/>
      </c>
      <c r="F42" s="131" t="str">
        <f ca="1">IF($A42&gt;TODAY(),"",SUMIFS('Cash Ledger'!$E$7:$E$1006,'Cash Ledger'!$I$7:$I$1006,$D$5,'Cash Ledger'!$D$7:$D$1006,"Weekly pay",'Cash Ledger'!$B$7:$B$1006,"&gt;="&amp;$A42,'Cash Ledger'!$B$7:$B$1006,"&lt;="&amp;($A42+6)))</f>
        <v/>
      </c>
      <c r="G42" s="167" t="str">
        <f ca="1">IF($A42&gt;TODAY(),"",SUMPRODUCT((Weeks!$A$7:$A$59&lt;=$A42)*(Weeks!$X$5:$AI$5=$D$5)*Weeks!$X$7:$AI$59)-SUMIFS('Cash Ledger'!$E$7:$E$1006,'Cash Ledger'!$I$7:$I$1006,$D$5,'Cash Ledger'!$B$7:$B$1006,"&lt;="&amp;($A42+6)))</f>
        <v/>
      </c>
      <c r="H42" s="132" t="str">
        <f t="shared" ca="1" si="1"/>
        <v/>
      </c>
      <c r="I42" s="125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</row>
    <row r="43" spans="1:40" s="127" customFormat="1" ht="21" customHeight="1" x14ac:dyDescent="0.25">
      <c r="A43" s="49">
        <f>Weeks!$A$42</f>
        <v>46531</v>
      </c>
      <c r="B43" s="51" t="str">
        <f ca="1">IF($A43&gt;TODAY(),"",IFERROR(INDEX(Weeks!$L$7:$W$59,MATCH($A43,Weeks!$A$7:$A$59,0),MATCH($D$5,Weeks!$L$5:$W$5,0)),0))</f>
        <v/>
      </c>
      <c r="C43" s="131" t="str">
        <f ca="1">IF($A43&gt;TODAY(),"",IFERROR(INDEX(Weeks!$X$7:$AI$59,MATCH($A43,Weeks!$A$7:$A$59,0),MATCH($D$5,Weeks!$X$5:$AI$5,0)),0))</f>
        <v/>
      </c>
      <c r="D43" s="131" t="str">
        <f ca="1">IF($A43&gt;TODAY(),"",SUMIFS('Cash Ledger'!$E$7:$E$1006,'Cash Ledger'!$I$7:$I$1006,$D$5,'Cash Ledger'!$D$7:$D$1006,"Advance",'Cash Ledger'!$B$7:$B$1006,"&gt;="&amp;$A43,'Cash Ledger'!$B$7:$B$1006,"&lt;="&amp;($A43+6)))</f>
        <v/>
      </c>
      <c r="E43" s="143" t="str">
        <f ca="1">IF($A43&gt;TODAY(),"",SUMIFS('Cash Ledger'!$E$7:$E$1006,'Cash Ledger'!$I$7:$I$1006,$D$5,'Cash Ledger'!$D$7:$D$1006,"Correction",'Cash Ledger'!$B$7:$B$1006,"&gt;="&amp;$A43,'Cash Ledger'!$B$7:$B$1006,"&lt;="&amp;($A43+6)))</f>
        <v/>
      </c>
      <c r="F43" s="131" t="str">
        <f ca="1">IF($A43&gt;TODAY(),"",SUMIFS('Cash Ledger'!$E$7:$E$1006,'Cash Ledger'!$I$7:$I$1006,$D$5,'Cash Ledger'!$D$7:$D$1006,"Weekly pay",'Cash Ledger'!$B$7:$B$1006,"&gt;="&amp;$A43,'Cash Ledger'!$B$7:$B$1006,"&lt;="&amp;($A43+6)))</f>
        <v/>
      </c>
      <c r="G43" s="167" t="str">
        <f ca="1">IF($A43&gt;TODAY(),"",SUMPRODUCT((Weeks!$A$7:$A$59&lt;=$A43)*(Weeks!$X$5:$AI$5=$D$5)*Weeks!$X$7:$AI$59)-SUMIFS('Cash Ledger'!$E$7:$E$1006,'Cash Ledger'!$I$7:$I$1006,$D$5,'Cash Ledger'!$B$7:$B$1006,"&lt;="&amp;($A43+6)))</f>
        <v/>
      </c>
      <c r="H43" s="132" t="str">
        <f t="shared" ca="1" si="1"/>
        <v/>
      </c>
      <c r="I43" s="125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</row>
    <row r="44" spans="1:40" s="127" customFormat="1" ht="21" customHeight="1" x14ac:dyDescent="0.25">
      <c r="A44" s="49">
        <f>Weeks!$A$43</f>
        <v>46538</v>
      </c>
      <c r="B44" s="51" t="str">
        <f ca="1">IF($A44&gt;TODAY(),"",IFERROR(INDEX(Weeks!$L$7:$W$59,MATCH($A44,Weeks!$A$7:$A$59,0),MATCH($D$5,Weeks!$L$5:$W$5,0)),0))</f>
        <v/>
      </c>
      <c r="C44" s="131" t="str">
        <f ca="1">IF($A44&gt;TODAY(),"",IFERROR(INDEX(Weeks!$X$7:$AI$59,MATCH($A44,Weeks!$A$7:$A$59,0),MATCH($D$5,Weeks!$X$5:$AI$5,0)),0))</f>
        <v/>
      </c>
      <c r="D44" s="131" t="str">
        <f ca="1">IF($A44&gt;TODAY(),"",SUMIFS('Cash Ledger'!$E$7:$E$1006,'Cash Ledger'!$I$7:$I$1006,$D$5,'Cash Ledger'!$D$7:$D$1006,"Advance",'Cash Ledger'!$B$7:$B$1006,"&gt;="&amp;$A44,'Cash Ledger'!$B$7:$B$1006,"&lt;="&amp;($A44+6)))</f>
        <v/>
      </c>
      <c r="E44" s="143" t="str">
        <f ca="1">IF($A44&gt;TODAY(),"",SUMIFS('Cash Ledger'!$E$7:$E$1006,'Cash Ledger'!$I$7:$I$1006,$D$5,'Cash Ledger'!$D$7:$D$1006,"Correction",'Cash Ledger'!$B$7:$B$1006,"&gt;="&amp;$A44,'Cash Ledger'!$B$7:$B$1006,"&lt;="&amp;($A44+6)))</f>
        <v/>
      </c>
      <c r="F44" s="131" t="str">
        <f ca="1">IF($A44&gt;TODAY(),"",SUMIFS('Cash Ledger'!$E$7:$E$1006,'Cash Ledger'!$I$7:$I$1006,$D$5,'Cash Ledger'!$D$7:$D$1006,"Weekly pay",'Cash Ledger'!$B$7:$B$1006,"&gt;="&amp;$A44,'Cash Ledger'!$B$7:$B$1006,"&lt;="&amp;($A44+6)))</f>
        <v/>
      </c>
      <c r="G44" s="167" t="str">
        <f ca="1">IF($A44&gt;TODAY(),"",SUMPRODUCT((Weeks!$A$7:$A$59&lt;=$A44)*(Weeks!$X$5:$AI$5=$D$5)*Weeks!$X$7:$AI$59)-SUMIFS('Cash Ledger'!$E$7:$E$1006,'Cash Ledger'!$I$7:$I$1006,$D$5,'Cash Ledger'!$B$7:$B$1006,"&lt;="&amp;($A44+6)))</f>
        <v/>
      </c>
      <c r="H44" s="132" t="str">
        <f t="shared" ca="1" si="1"/>
        <v/>
      </c>
      <c r="I44" s="125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</row>
    <row r="45" spans="1:40" s="127" customFormat="1" ht="21" customHeight="1" x14ac:dyDescent="0.25">
      <c r="A45" s="49">
        <f>Weeks!$A$44</f>
        <v>46545</v>
      </c>
      <c r="B45" s="51" t="str">
        <f ca="1">IF($A45&gt;TODAY(),"",IFERROR(INDEX(Weeks!$L$7:$W$59,MATCH($A45,Weeks!$A$7:$A$59,0),MATCH($D$5,Weeks!$L$5:$W$5,0)),0))</f>
        <v/>
      </c>
      <c r="C45" s="131" t="str">
        <f ca="1">IF($A45&gt;TODAY(),"",IFERROR(INDEX(Weeks!$X$7:$AI$59,MATCH($A45,Weeks!$A$7:$A$59,0),MATCH($D$5,Weeks!$X$5:$AI$5,0)),0))</f>
        <v/>
      </c>
      <c r="D45" s="131" t="str">
        <f ca="1">IF($A45&gt;TODAY(),"",SUMIFS('Cash Ledger'!$E$7:$E$1006,'Cash Ledger'!$I$7:$I$1006,$D$5,'Cash Ledger'!$D$7:$D$1006,"Advance",'Cash Ledger'!$B$7:$B$1006,"&gt;="&amp;$A45,'Cash Ledger'!$B$7:$B$1006,"&lt;="&amp;($A45+6)))</f>
        <v/>
      </c>
      <c r="E45" s="143" t="str">
        <f ca="1">IF($A45&gt;TODAY(),"",SUMIFS('Cash Ledger'!$E$7:$E$1006,'Cash Ledger'!$I$7:$I$1006,$D$5,'Cash Ledger'!$D$7:$D$1006,"Correction",'Cash Ledger'!$B$7:$B$1006,"&gt;="&amp;$A45,'Cash Ledger'!$B$7:$B$1006,"&lt;="&amp;($A45+6)))</f>
        <v/>
      </c>
      <c r="F45" s="131" t="str">
        <f ca="1">IF($A45&gt;TODAY(),"",SUMIFS('Cash Ledger'!$E$7:$E$1006,'Cash Ledger'!$I$7:$I$1006,$D$5,'Cash Ledger'!$D$7:$D$1006,"Weekly pay",'Cash Ledger'!$B$7:$B$1006,"&gt;="&amp;$A45,'Cash Ledger'!$B$7:$B$1006,"&lt;="&amp;($A45+6)))</f>
        <v/>
      </c>
      <c r="G45" s="167" t="str">
        <f ca="1">IF($A45&gt;TODAY(),"",SUMPRODUCT((Weeks!$A$7:$A$59&lt;=$A45)*(Weeks!$X$5:$AI$5=$D$5)*Weeks!$X$7:$AI$59)-SUMIFS('Cash Ledger'!$E$7:$E$1006,'Cash Ledger'!$I$7:$I$1006,$D$5,'Cash Ledger'!$B$7:$B$1006,"&lt;="&amp;($A45+6)))</f>
        <v/>
      </c>
      <c r="H45" s="132" t="str">
        <f t="shared" ca="1" si="1"/>
        <v/>
      </c>
      <c r="I45" s="125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</row>
    <row r="46" spans="1:40" s="127" customFormat="1" ht="21" customHeight="1" x14ac:dyDescent="0.25">
      <c r="A46" s="49">
        <f>Weeks!$A$45</f>
        <v>46552</v>
      </c>
      <c r="B46" s="51" t="str">
        <f ca="1">IF($A46&gt;TODAY(),"",IFERROR(INDEX(Weeks!$L$7:$W$59,MATCH($A46,Weeks!$A$7:$A$59,0),MATCH($D$5,Weeks!$L$5:$W$5,0)),0))</f>
        <v/>
      </c>
      <c r="C46" s="131" t="str">
        <f ca="1">IF($A46&gt;TODAY(),"",IFERROR(INDEX(Weeks!$X$7:$AI$59,MATCH($A46,Weeks!$A$7:$A$59,0),MATCH($D$5,Weeks!$X$5:$AI$5,0)),0))</f>
        <v/>
      </c>
      <c r="D46" s="131" t="str">
        <f ca="1">IF($A46&gt;TODAY(),"",SUMIFS('Cash Ledger'!$E$7:$E$1006,'Cash Ledger'!$I$7:$I$1006,$D$5,'Cash Ledger'!$D$7:$D$1006,"Advance",'Cash Ledger'!$B$7:$B$1006,"&gt;="&amp;$A46,'Cash Ledger'!$B$7:$B$1006,"&lt;="&amp;($A46+6)))</f>
        <v/>
      </c>
      <c r="E46" s="143" t="str">
        <f ca="1">IF($A46&gt;TODAY(),"",SUMIFS('Cash Ledger'!$E$7:$E$1006,'Cash Ledger'!$I$7:$I$1006,$D$5,'Cash Ledger'!$D$7:$D$1006,"Correction",'Cash Ledger'!$B$7:$B$1006,"&gt;="&amp;$A46,'Cash Ledger'!$B$7:$B$1006,"&lt;="&amp;($A46+6)))</f>
        <v/>
      </c>
      <c r="F46" s="131" t="str">
        <f ca="1">IF($A46&gt;TODAY(),"",SUMIFS('Cash Ledger'!$E$7:$E$1006,'Cash Ledger'!$I$7:$I$1006,$D$5,'Cash Ledger'!$D$7:$D$1006,"Weekly pay",'Cash Ledger'!$B$7:$B$1006,"&gt;="&amp;$A46,'Cash Ledger'!$B$7:$B$1006,"&lt;="&amp;($A46+6)))</f>
        <v/>
      </c>
      <c r="G46" s="167" t="str">
        <f ca="1">IF($A46&gt;TODAY(),"",SUMPRODUCT((Weeks!$A$7:$A$59&lt;=$A46)*(Weeks!$X$5:$AI$5=$D$5)*Weeks!$X$7:$AI$59)-SUMIFS('Cash Ledger'!$E$7:$E$1006,'Cash Ledger'!$I$7:$I$1006,$D$5,'Cash Ledger'!$B$7:$B$1006,"&lt;="&amp;($A46+6)))</f>
        <v/>
      </c>
      <c r="H46" s="132" t="str">
        <f t="shared" ca="1" si="1"/>
        <v/>
      </c>
      <c r="I46" s="125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</row>
    <row r="47" spans="1:40" s="127" customFormat="1" ht="21" customHeight="1" x14ac:dyDescent="0.25">
      <c r="A47" s="49">
        <f>Weeks!$A$46</f>
        <v>46559</v>
      </c>
      <c r="B47" s="51" t="str">
        <f ca="1">IF($A47&gt;TODAY(),"",IFERROR(INDEX(Weeks!$L$7:$W$59,MATCH($A47,Weeks!$A$7:$A$59,0),MATCH($D$5,Weeks!$L$5:$W$5,0)),0))</f>
        <v/>
      </c>
      <c r="C47" s="131" t="str">
        <f ca="1">IF($A47&gt;TODAY(),"",IFERROR(INDEX(Weeks!$X$7:$AI$59,MATCH($A47,Weeks!$A$7:$A$59,0),MATCH($D$5,Weeks!$X$5:$AI$5,0)),0))</f>
        <v/>
      </c>
      <c r="D47" s="131" t="str">
        <f ca="1">IF($A47&gt;TODAY(),"",SUMIFS('Cash Ledger'!$E$7:$E$1006,'Cash Ledger'!$I$7:$I$1006,$D$5,'Cash Ledger'!$D$7:$D$1006,"Advance",'Cash Ledger'!$B$7:$B$1006,"&gt;="&amp;$A47,'Cash Ledger'!$B$7:$B$1006,"&lt;="&amp;($A47+6)))</f>
        <v/>
      </c>
      <c r="E47" s="143" t="str">
        <f ca="1">IF($A47&gt;TODAY(),"",SUMIFS('Cash Ledger'!$E$7:$E$1006,'Cash Ledger'!$I$7:$I$1006,$D$5,'Cash Ledger'!$D$7:$D$1006,"Correction",'Cash Ledger'!$B$7:$B$1006,"&gt;="&amp;$A47,'Cash Ledger'!$B$7:$B$1006,"&lt;="&amp;($A47+6)))</f>
        <v/>
      </c>
      <c r="F47" s="131" t="str">
        <f ca="1">IF($A47&gt;TODAY(),"",SUMIFS('Cash Ledger'!$E$7:$E$1006,'Cash Ledger'!$I$7:$I$1006,$D$5,'Cash Ledger'!$D$7:$D$1006,"Weekly pay",'Cash Ledger'!$B$7:$B$1006,"&gt;="&amp;$A47,'Cash Ledger'!$B$7:$B$1006,"&lt;="&amp;($A47+6)))</f>
        <v/>
      </c>
      <c r="G47" s="167" t="str">
        <f ca="1">IF($A47&gt;TODAY(),"",SUMPRODUCT((Weeks!$A$7:$A$59&lt;=$A47)*(Weeks!$X$5:$AI$5=$D$5)*Weeks!$X$7:$AI$59)-SUMIFS('Cash Ledger'!$E$7:$E$1006,'Cash Ledger'!$I$7:$I$1006,$D$5,'Cash Ledger'!$B$7:$B$1006,"&lt;="&amp;($A47+6)))</f>
        <v/>
      </c>
      <c r="H47" s="132" t="str">
        <f t="shared" ca="1" si="1"/>
        <v/>
      </c>
      <c r="I47" s="125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</row>
    <row r="48" spans="1:40" s="127" customFormat="1" ht="21" customHeight="1" x14ac:dyDescent="0.25">
      <c r="A48" s="49">
        <f>Weeks!$A$47</f>
        <v>46566</v>
      </c>
      <c r="B48" s="51" t="str">
        <f ca="1">IF($A48&gt;TODAY(),"",IFERROR(INDEX(Weeks!$L$7:$W$59,MATCH($A48,Weeks!$A$7:$A$59,0),MATCH($D$5,Weeks!$L$5:$W$5,0)),0))</f>
        <v/>
      </c>
      <c r="C48" s="131" t="str">
        <f ca="1">IF($A48&gt;TODAY(),"",IFERROR(INDEX(Weeks!$X$7:$AI$59,MATCH($A48,Weeks!$A$7:$A$59,0),MATCH($D$5,Weeks!$X$5:$AI$5,0)),0))</f>
        <v/>
      </c>
      <c r="D48" s="131" t="str">
        <f ca="1">IF($A48&gt;TODAY(),"",SUMIFS('Cash Ledger'!$E$7:$E$1006,'Cash Ledger'!$I$7:$I$1006,$D$5,'Cash Ledger'!$D$7:$D$1006,"Advance",'Cash Ledger'!$B$7:$B$1006,"&gt;="&amp;$A48,'Cash Ledger'!$B$7:$B$1006,"&lt;="&amp;($A48+6)))</f>
        <v/>
      </c>
      <c r="E48" s="143" t="str">
        <f ca="1">IF($A48&gt;TODAY(),"",SUMIFS('Cash Ledger'!$E$7:$E$1006,'Cash Ledger'!$I$7:$I$1006,$D$5,'Cash Ledger'!$D$7:$D$1006,"Correction",'Cash Ledger'!$B$7:$B$1006,"&gt;="&amp;$A48,'Cash Ledger'!$B$7:$B$1006,"&lt;="&amp;($A48+6)))</f>
        <v/>
      </c>
      <c r="F48" s="131" t="str">
        <f ca="1">IF($A48&gt;TODAY(),"",SUMIFS('Cash Ledger'!$E$7:$E$1006,'Cash Ledger'!$I$7:$I$1006,$D$5,'Cash Ledger'!$D$7:$D$1006,"Weekly pay",'Cash Ledger'!$B$7:$B$1006,"&gt;="&amp;$A48,'Cash Ledger'!$B$7:$B$1006,"&lt;="&amp;($A48+6)))</f>
        <v/>
      </c>
      <c r="G48" s="167" t="str">
        <f ca="1">IF($A48&gt;TODAY(),"",SUMPRODUCT((Weeks!$A$7:$A$59&lt;=$A48)*(Weeks!$X$5:$AI$5=$D$5)*Weeks!$X$7:$AI$59)-SUMIFS('Cash Ledger'!$E$7:$E$1006,'Cash Ledger'!$I$7:$I$1006,$D$5,'Cash Ledger'!$B$7:$B$1006,"&lt;="&amp;($A48+6)))</f>
        <v/>
      </c>
      <c r="H48" s="132" t="str">
        <f t="shared" ca="1" si="1"/>
        <v/>
      </c>
      <c r="I48" s="125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</row>
    <row r="49" spans="1:40" s="127" customFormat="1" ht="21" customHeight="1" x14ac:dyDescent="0.25">
      <c r="A49" s="49">
        <f>Weeks!$A$48</f>
        <v>46573</v>
      </c>
      <c r="B49" s="51" t="str">
        <f ca="1">IF($A49&gt;TODAY(),"",IFERROR(INDEX(Weeks!$L$7:$W$59,MATCH($A49,Weeks!$A$7:$A$59,0),MATCH($D$5,Weeks!$L$5:$W$5,0)),0))</f>
        <v/>
      </c>
      <c r="C49" s="131" t="str">
        <f ca="1">IF($A49&gt;TODAY(),"",IFERROR(INDEX(Weeks!$X$7:$AI$59,MATCH($A49,Weeks!$A$7:$A$59,0),MATCH($D$5,Weeks!$X$5:$AI$5,0)),0))</f>
        <v/>
      </c>
      <c r="D49" s="131" t="str">
        <f ca="1">IF($A49&gt;TODAY(),"",SUMIFS('Cash Ledger'!$E$7:$E$1006,'Cash Ledger'!$I$7:$I$1006,$D$5,'Cash Ledger'!$D$7:$D$1006,"Advance",'Cash Ledger'!$B$7:$B$1006,"&gt;="&amp;$A49,'Cash Ledger'!$B$7:$B$1006,"&lt;="&amp;($A49+6)))</f>
        <v/>
      </c>
      <c r="E49" s="143" t="str">
        <f ca="1">IF($A49&gt;TODAY(),"",SUMIFS('Cash Ledger'!$E$7:$E$1006,'Cash Ledger'!$I$7:$I$1006,$D$5,'Cash Ledger'!$D$7:$D$1006,"Correction",'Cash Ledger'!$B$7:$B$1006,"&gt;="&amp;$A49,'Cash Ledger'!$B$7:$B$1006,"&lt;="&amp;($A49+6)))</f>
        <v/>
      </c>
      <c r="F49" s="131" t="str">
        <f ca="1">IF($A49&gt;TODAY(),"",SUMIFS('Cash Ledger'!$E$7:$E$1006,'Cash Ledger'!$I$7:$I$1006,$D$5,'Cash Ledger'!$D$7:$D$1006,"Weekly pay",'Cash Ledger'!$B$7:$B$1006,"&gt;="&amp;$A49,'Cash Ledger'!$B$7:$B$1006,"&lt;="&amp;($A49+6)))</f>
        <v/>
      </c>
      <c r="G49" s="167" t="str">
        <f ca="1">IF($A49&gt;TODAY(),"",SUMPRODUCT((Weeks!$A$7:$A$59&lt;=$A49)*(Weeks!$X$5:$AI$5=$D$5)*Weeks!$X$7:$AI$59)-SUMIFS('Cash Ledger'!$E$7:$E$1006,'Cash Ledger'!$I$7:$I$1006,$D$5,'Cash Ledger'!$B$7:$B$1006,"&lt;="&amp;($A49+6)))</f>
        <v/>
      </c>
      <c r="H49" s="132" t="str">
        <f t="shared" ca="1" si="1"/>
        <v/>
      </c>
      <c r="I49" s="125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</row>
    <row r="50" spans="1:40" s="127" customFormat="1" ht="21" customHeight="1" x14ac:dyDescent="0.25">
      <c r="A50" s="49">
        <f>Weeks!$A$49</f>
        <v>46580</v>
      </c>
      <c r="B50" s="51" t="str">
        <f ca="1">IF($A50&gt;TODAY(),"",IFERROR(INDEX(Weeks!$L$7:$W$59,MATCH($A50,Weeks!$A$7:$A$59,0),MATCH($D$5,Weeks!$L$5:$W$5,0)),0))</f>
        <v/>
      </c>
      <c r="C50" s="131" t="str">
        <f ca="1">IF($A50&gt;TODAY(),"",IFERROR(INDEX(Weeks!$X$7:$AI$59,MATCH($A50,Weeks!$A$7:$A$59,0),MATCH($D$5,Weeks!$X$5:$AI$5,0)),0))</f>
        <v/>
      </c>
      <c r="D50" s="131" t="str">
        <f ca="1">IF($A50&gt;TODAY(),"",SUMIFS('Cash Ledger'!$E$7:$E$1006,'Cash Ledger'!$I$7:$I$1006,$D$5,'Cash Ledger'!$D$7:$D$1006,"Advance",'Cash Ledger'!$B$7:$B$1006,"&gt;="&amp;$A50,'Cash Ledger'!$B$7:$B$1006,"&lt;="&amp;($A50+6)))</f>
        <v/>
      </c>
      <c r="E50" s="143" t="str">
        <f ca="1">IF($A50&gt;TODAY(),"",SUMIFS('Cash Ledger'!$E$7:$E$1006,'Cash Ledger'!$I$7:$I$1006,$D$5,'Cash Ledger'!$D$7:$D$1006,"Correction",'Cash Ledger'!$B$7:$B$1006,"&gt;="&amp;$A50,'Cash Ledger'!$B$7:$B$1006,"&lt;="&amp;($A50+6)))</f>
        <v/>
      </c>
      <c r="F50" s="131" t="str">
        <f ca="1">IF($A50&gt;TODAY(),"",SUMIFS('Cash Ledger'!$E$7:$E$1006,'Cash Ledger'!$I$7:$I$1006,$D$5,'Cash Ledger'!$D$7:$D$1006,"Weekly pay",'Cash Ledger'!$B$7:$B$1006,"&gt;="&amp;$A50,'Cash Ledger'!$B$7:$B$1006,"&lt;="&amp;($A50+6)))</f>
        <v/>
      </c>
      <c r="G50" s="167" t="str">
        <f ca="1">IF($A50&gt;TODAY(),"",SUMPRODUCT((Weeks!$A$7:$A$59&lt;=$A50)*(Weeks!$X$5:$AI$5=$D$5)*Weeks!$X$7:$AI$59)-SUMIFS('Cash Ledger'!$E$7:$E$1006,'Cash Ledger'!$I$7:$I$1006,$D$5,'Cash Ledger'!$B$7:$B$1006,"&lt;="&amp;($A50+6)))</f>
        <v/>
      </c>
      <c r="H50" s="132" t="str">
        <f t="shared" ca="1" si="1"/>
        <v/>
      </c>
      <c r="I50" s="125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</row>
    <row r="51" spans="1:40" s="127" customFormat="1" ht="21" customHeight="1" x14ac:dyDescent="0.25">
      <c r="A51" s="49">
        <f>Weeks!$A$50</f>
        <v>46587</v>
      </c>
      <c r="B51" s="51" t="str">
        <f ca="1">IF($A51&gt;TODAY(),"",IFERROR(INDEX(Weeks!$L$7:$W$59,MATCH($A51,Weeks!$A$7:$A$59,0),MATCH($D$5,Weeks!$L$5:$W$5,0)),0))</f>
        <v/>
      </c>
      <c r="C51" s="131" t="str">
        <f ca="1">IF($A51&gt;TODAY(),"",IFERROR(INDEX(Weeks!$X$7:$AI$59,MATCH($A51,Weeks!$A$7:$A$59,0),MATCH($D$5,Weeks!$X$5:$AI$5,0)),0))</f>
        <v/>
      </c>
      <c r="D51" s="131" t="str">
        <f ca="1">IF($A51&gt;TODAY(),"",SUMIFS('Cash Ledger'!$E$7:$E$1006,'Cash Ledger'!$I$7:$I$1006,$D$5,'Cash Ledger'!$D$7:$D$1006,"Advance",'Cash Ledger'!$B$7:$B$1006,"&gt;="&amp;$A51,'Cash Ledger'!$B$7:$B$1006,"&lt;="&amp;($A51+6)))</f>
        <v/>
      </c>
      <c r="E51" s="143" t="str">
        <f ca="1">IF($A51&gt;TODAY(),"",SUMIFS('Cash Ledger'!$E$7:$E$1006,'Cash Ledger'!$I$7:$I$1006,$D$5,'Cash Ledger'!$D$7:$D$1006,"Correction",'Cash Ledger'!$B$7:$B$1006,"&gt;="&amp;$A51,'Cash Ledger'!$B$7:$B$1006,"&lt;="&amp;($A51+6)))</f>
        <v/>
      </c>
      <c r="F51" s="131" t="str">
        <f ca="1">IF($A51&gt;TODAY(),"",SUMIFS('Cash Ledger'!$E$7:$E$1006,'Cash Ledger'!$I$7:$I$1006,$D$5,'Cash Ledger'!$D$7:$D$1006,"Weekly pay",'Cash Ledger'!$B$7:$B$1006,"&gt;="&amp;$A51,'Cash Ledger'!$B$7:$B$1006,"&lt;="&amp;($A51+6)))</f>
        <v/>
      </c>
      <c r="G51" s="167" t="str">
        <f ca="1">IF($A51&gt;TODAY(),"",SUMPRODUCT((Weeks!$A$7:$A$59&lt;=$A51)*(Weeks!$X$5:$AI$5=$D$5)*Weeks!$X$7:$AI$59)-SUMIFS('Cash Ledger'!$E$7:$E$1006,'Cash Ledger'!$I$7:$I$1006,$D$5,'Cash Ledger'!$B$7:$B$1006,"&lt;="&amp;($A51+6)))</f>
        <v/>
      </c>
      <c r="H51" s="132" t="str">
        <f t="shared" ca="1" si="1"/>
        <v/>
      </c>
      <c r="I51" s="125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</row>
    <row r="52" spans="1:40" s="127" customFormat="1" ht="21" customHeight="1" x14ac:dyDescent="0.25">
      <c r="A52" s="49">
        <f>Weeks!$A$51</f>
        <v>46594</v>
      </c>
      <c r="B52" s="51" t="str">
        <f ca="1">IF($A52&gt;TODAY(),"",IFERROR(INDEX(Weeks!$L$7:$W$59,MATCH($A52,Weeks!$A$7:$A$59,0),MATCH($D$5,Weeks!$L$5:$W$5,0)),0))</f>
        <v/>
      </c>
      <c r="C52" s="131" t="str">
        <f ca="1">IF($A52&gt;TODAY(),"",IFERROR(INDEX(Weeks!$X$7:$AI$59,MATCH($A52,Weeks!$A$7:$A$59,0),MATCH($D$5,Weeks!$X$5:$AI$5,0)),0))</f>
        <v/>
      </c>
      <c r="D52" s="131" t="str">
        <f ca="1">IF($A52&gt;TODAY(),"",SUMIFS('Cash Ledger'!$E$7:$E$1006,'Cash Ledger'!$I$7:$I$1006,$D$5,'Cash Ledger'!$D$7:$D$1006,"Advance",'Cash Ledger'!$B$7:$B$1006,"&gt;="&amp;$A52,'Cash Ledger'!$B$7:$B$1006,"&lt;="&amp;($A52+6)))</f>
        <v/>
      </c>
      <c r="E52" s="143" t="str">
        <f ca="1">IF($A52&gt;TODAY(),"",SUMIFS('Cash Ledger'!$E$7:$E$1006,'Cash Ledger'!$I$7:$I$1006,$D$5,'Cash Ledger'!$D$7:$D$1006,"Correction",'Cash Ledger'!$B$7:$B$1006,"&gt;="&amp;$A52,'Cash Ledger'!$B$7:$B$1006,"&lt;="&amp;($A52+6)))</f>
        <v/>
      </c>
      <c r="F52" s="131" t="str">
        <f ca="1">IF($A52&gt;TODAY(),"",SUMIFS('Cash Ledger'!$E$7:$E$1006,'Cash Ledger'!$I$7:$I$1006,$D$5,'Cash Ledger'!$D$7:$D$1006,"Weekly pay",'Cash Ledger'!$B$7:$B$1006,"&gt;="&amp;$A52,'Cash Ledger'!$B$7:$B$1006,"&lt;="&amp;($A52+6)))</f>
        <v/>
      </c>
      <c r="G52" s="167" t="str">
        <f ca="1">IF($A52&gt;TODAY(),"",SUMPRODUCT((Weeks!$A$7:$A$59&lt;=$A52)*(Weeks!$X$5:$AI$5=$D$5)*Weeks!$X$7:$AI$59)-SUMIFS('Cash Ledger'!$E$7:$E$1006,'Cash Ledger'!$I$7:$I$1006,$D$5,'Cash Ledger'!$B$7:$B$1006,"&lt;="&amp;($A52+6)))</f>
        <v/>
      </c>
      <c r="H52" s="132" t="str">
        <f t="shared" ca="1" si="1"/>
        <v/>
      </c>
      <c r="I52" s="125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</row>
    <row r="53" spans="1:40" s="127" customFormat="1" ht="21" customHeight="1" x14ac:dyDescent="0.25">
      <c r="A53" s="49">
        <f>Weeks!$A$52</f>
        <v>46601</v>
      </c>
      <c r="B53" s="51" t="str">
        <f ca="1">IF($A53&gt;TODAY(),"",IFERROR(INDEX(Weeks!$L$7:$W$59,MATCH($A53,Weeks!$A$7:$A$59,0),MATCH($D$5,Weeks!$L$5:$W$5,0)),0))</f>
        <v/>
      </c>
      <c r="C53" s="131" t="str">
        <f ca="1">IF($A53&gt;TODAY(),"",IFERROR(INDEX(Weeks!$X$7:$AI$59,MATCH($A53,Weeks!$A$7:$A$59,0),MATCH($D$5,Weeks!$X$5:$AI$5,0)),0))</f>
        <v/>
      </c>
      <c r="D53" s="131" t="str">
        <f ca="1">IF($A53&gt;TODAY(),"",SUMIFS('Cash Ledger'!$E$7:$E$1006,'Cash Ledger'!$I$7:$I$1006,$D$5,'Cash Ledger'!$D$7:$D$1006,"Advance",'Cash Ledger'!$B$7:$B$1006,"&gt;="&amp;$A53,'Cash Ledger'!$B$7:$B$1006,"&lt;="&amp;($A53+6)))</f>
        <v/>
      </c>
      <c r="E53" s="143" t="str">
        <f ca="1">IF($A53&gt;TODAY(),"",SUMIFS('Cash Ledger'!$E$7:$E$1006,'Cash Ledger'!$I$7:$I$1006,$D$5,'Cash Ledger'!$D$7:$D$1006,"Correction",'Cash Ledger'!$B$7:$B$1006,"&gt;="&amp;$A53,'Cash Ledger'!$B$7:$B$1006,"&lt;="&amp;($A53+6)))</f>
        <v/>
      </c>
      <c r="F53" s="131" t="str">
        <f ca="1">IF($A53&gt;TODAY(),"",SUMIFS('Cash Ledger'!$E$7:$E$1006,'Cash Ledger'!$I$7:$I$1006,$D$5,'Cash Ledger'!$D$7:$D$1006,"Weekly pay",'Cash Ledger'!$B$7:$B$1006,"&gt;="&amp;$A53,'Cash Ledger'!$B$7:$B$1006,"&lt;="&amp;($A53+6)))</f>
        <v/>
      </c>
      <c r="G53" s="167" t="str">
        <f ca="1">IF($A53&gt;TODAY(),"",SUMPRODUCT((Weeks!$A$7:$A$59&lt;=$A53)*(Weeks!$X$5:$AI$5=$D$5)*Weeks!$X$7:$AI$59)-SUMIFS('Cash Ledger'!$E$7:$E$1006,'Cash Ledger'!$I$7:$I$1006,$D$5,'Cash Ledger'!$B$7:$B$1006,"&lt;="&amp;($A53+6)))</f>
        <v/>
      </c>
      <c r="H53" s="132" t="str">
        <f t="shared" ca="1" si="1"/>
        <v/>
      </c>
      <c r="I53" s="125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</row>
    <row r="54" spans="1:40" s="127" customFormat="1" ht="21" customHeight="1" x14ac:dyDescent="0.25">
      <c r="A54" s="49">
        <f>Weeks!$A$53</f>
        <v>46608</v>
      </c>
      <c r="B54" s="51" t="str">
        <f ca="1">IF($A54&gt;TODAY(),"",IFERROR(INDEX(Weeks!$L$7:$W$59,MATCH($A54,Weeks!$A$7:$A$59,0),MATCH($D$5,Weeks!$L$5:$W$5,0)),0))</f>
        <v/>
      </c>
      <c r="C54" s="131" t="str">
        <f ca="1">IF($A54&gt;TODAY(),"",IFERROR(INDEX(Weeks!$X$7:$AI$59,MATCH($A54,Weeks!$A$7:$A$59,0),MATCH($D$5,Weeks!$X$5:$AI$5,0)),0))</f>
        <v/>
      </c>
      <c r="D54" s="131" t="str">
        <f ca="1">IF($A54&gt;TODAY(),"",SUMIFS('Cash Ledger'!$E$7:$E$1006,'Cash Ledger'!$I$7:$I$1006,$D$5,'Cash Ledger'!$D$7:$D$1006,"Advance",'Cash Ledger'!$B$7:$B$1006,"&gt;="&amp;$A54,'Cash Ledger'!$B$7:$B$1006,"&lt;="&amp;($A54+6)))</f>
        <v/>
      </c>
      <c r="E54" s="143" t="str">
        <f ca="1">IF($A54&gt;TODAY(),"",SUMIFS('Cash Ledger'!$E$7:$E$1006,'Cash Ledger'!$I$7:$I$1006,$D$5,'Cash Ledger'!$D$7:$D$1006,"Correction",'Cash Ledger'!$B$7:$B$1006,"&gt;="&amp;$A54,'Cash Ledger'!$B$7:$B$1006,"&lt;="&amp;($A54+6)))</f>
        <v/>
      </c>
      <c r="F54" s="131" t="str">
        <f ca="1">IF($A54&gt;TODAY(),"",SUMIFS('Cash Ledger'!$E$7:$E$1006,'Cash Ledger'!$I$7:$I$1006,$D$5,'Cash Ledger'!$D$7:$D$1006,"Weekly pay",'Cash Ledger'!$B$7:$B$1006,"&gt;="&amp;$A54,'Cash Ledger'!$B$7:$B$1006,"&lt;="&amp;($A54+6)))</f>
        <v/>
      </c>
      <c r="G54" s="167" t="str">
        <f ca="1">IF($A54&gt;TODAY(),"",SUMPRODUCT((Weeks!$A$7:$A$59&lt;=$A54)*(Weeks!$X$5:$AI$5=$D$5)*Weeks!$X$7:$AI$59)-SUMIFS('Cash Ledger'!$E$7:$E$1006,'Cash Ledger'!$I$7:$I$1006,$D$5,'Cash Ledger'!$B$7:$B$1006,"&lt;="&amp;($A54+6)))</f>
        <v/>
      </c>
      <c r="H54" s="132" t="str">
        <f t="shared" ca="1" si="1"/>
        <v/>
      </c>
      <c r="I54" s="125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</row>
    <row r="55" spans="1:40" s="127" customFormat="1" ht="21" customHeight="1" x14ac:dyDescent="0.25">
      <c r="A55" s="49">
        <f>Weeks!$A$54</f>
        <v>46615</v>
      </c>
      <c r="B55" s="51" t="str">
        <f ca="1">IF($A55&gt;TODAY(),"",IFERROR(INDEX(Weeks!$L$7:$W$59,MATCH($A55,Weeks!$A$7:$A$59,0),MATCH($D$5,Weeks!$L$5:$W$5,0)),0))</f>
        <v/>
      </c>
      <c r="C55" s="131" t="str">
        <f ca="1">IF($A55&gt;TODAY(),"",IFERROR(INDEX(Weeks!$X$7:$AI$59,MATCH($A55,Weeks!$A$7:$A$59,0),MATCH($D$5,Weeks!$X$5:$AI$5,0)),0))</f>
        <v/>
      </c>
      <c r="D55" s="131" t="str">
        <f ca="1">IF($A55&gt;TODAY(),"",SUMIFS('Cash Ledger'!$E$7:$E$1006,'Cash Ledger'!$I$7:$I$1006,$D$5,'Cash Ledger'!$D$7:$D$1006,"Advance",'Cash Ledger'!$B$7:$B$1006,"&gt;="&amp;$A55,'Cash Ledger'!$B$7:$B$1006,"&lt;="&amp;($A55+6)))</f>
        <v/>
      </c>
      <c r="E55" s="143" t="str">
        <f ca="1">IF($A55&gt;TODAY(),"",SUMIFS('Cash Ledger'!$E$7:$E$1006,'Cash Ledger'!$I$7:$I$1006,$D$5,'Cash Ledger'!$D$7:$D$1006,"Correction",'Cash Ledger'!$B$7:$B$1006,"&gt;="&amp;$A55,'Cash Ledger'!$B$7:$B$1006,"&lt;="&amp;($A55+6)))</f>
        <v/>
      </c>
      <c r="F55" s="131" t="str">
        <f ca="1">IF($A55&gt;TODAY(),"",SUMIFS('Cash Ledger'!$E$7:$E$1006,'Cash Ledger'!$I$7:$I$1006,$D$5,'Cash Ledger'!$D$7:$D$1006,"Weekly pay",'Cash Ledger'!$B$7:$B$1006,"&gt;="&amp;$A55,'Cash Ledger'!$B$7:$B$1006,"&lt;="&amp;($A55+6)))</f>
        <v/>
      </c>
      <c r="G55" s="167" t="str">
        <f ca="1">IF($A55&gt;TODAY(),"",SUMPRODUCT((Weeks!$A$7:$A$59&lt;=$A55)*(Weeks!$X$5:$AI$5=$D$5)*Weeks!$X$7:$AI$59)-SUMIFS('Cash Ledger'!$E$7:$E$1006,'Cash Ledger'!$I$7:$I$1006,$D$5,'Cash Ledger'!$B$7:$B$1006,"&lt;="&amp;($A55+6)))</f>
        <v/>
      </c>
      <c r="H55" s="132" t="str">
        <f t="shared" ca="1" si="1"/>
        <v/>
      </c>
      <c r="I55" s="125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</row>
    <row r="56" spans="1:40" s="127" customFormat="1" ht="21" customHeight="1" x14ac:dyDescent="0.25">
      <c r="A56" s="49">
        <f>Weeks!$A$55</f>
        <v>46622</v>
      </c>
      <c r="B56" s="51" t="str">
        <f ca="1">IF($A56&gt;TODAY(),"",IFERROR(INDEX(Weeks!$L$7:$W$59,MATCH($A56,Weeks!$A$7:$A$59,0),MATCH($D$5,Weeks!$L$5:$W$5,0)),0))</f>
        <v/>
      </c>
      <c r="C56" s="131" t="str">
        <f ca="1">IF($A56&gt;TODAY(),"",IFERROR(INDEX(Weeks!$X$7:$AI$59,MATCH($A56,Weeks!$A$7:$A$59,0),MATCH($D$5,Weeks!$X$5:$AI$5,0)),0))</f>
        <v/>
      </c>
      <c r="D56" s="131" t="str">
        <f ca="1">IF($A56&gt;TODAY(),"",SUMIFS('Cash Ledger'!$E$7:$E$1006,'Cash Ledger'!$I$7:$I$1006,$D$5,'Cash Ledger'!$D$7:$D$1006,"Advance",'Cash Ledger'!$B$7:$B$1006,"&gt;="&amp;$A56,'Cash Ledger'!$B$7:$B$1006,"&lt;="&amp;($A56+6)))</f>
        <v/>
      </c>
      <c r="E56" s="143" t="str">
        <f ca="1">IF($A56&gt;TODAY(),"",SUMIFS('Cash Ledger'!$E$7:$E$1006,'Cash Ledger'!$I$7:$I$1006,$D$5,'Cash Ledger'!$D$7:$D$1006,"Correction",'Cash Ledger'!$B$7:$B$1006,"&gt;="&amp;$A56,'Cash Ledger'!$B$7:$B$1006,"&lt;="&amp;($A56+6)))</f>
        <v/>
      </c>
      <c r="F56" s="131" t="str">
        <f ca="1">IF($A56&gt;TODAY(),"",SUMIFS('Cash Ledger'!$E$7:$E$1006,'Cash Ledger'!$I$7:$I$1006,$D$5,'Cash Ledger'!$D$7:$D$1006,"Weekly pay",'Cash Ledger'!$B$7:$B$1006,"&gt;="&amp;$A56,'Cash Ledger'!$B$7:$B$1006,"&lt;="&amp;($A56+6)))</f>
        <v/>
      </c>
      <c r="G56" s="167" t="str">
        <f ca="1">IF($A56&gt;TODAY(),"",SUMPRODUCT((Weeks!$A$7:$A$59&lt;=$A56)*(Weeks!$X$5:$AI$5=$D$5)*Weeks!$X$7:$AI$59)-SUMIFS('Cash Ledger'!$E$7:$E$1006,'Cash Ledger'!$I$7:$I$1006,$D$5,'Cash Ledger'!$B$7:$B$1006,"&lt;="&amp;($A56+6)))</f>
        <v/>
      </c>
      <c r="H56" s="132" t="str">
        <f t="shared" ca="1" si="1"/>
        <v/>
      </c>
      <c r="I56" s="125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</row>
    <row r="57" spans="1:40" s="127" customFormat="1" ht="21" customHeight="1" x14ac:dyDescent="0.25">
      <c r="A57" s="49">
        <f>Weeks!$A$56</f>
        <v>46629</v>
      </c>
      <c r="B57" s="51" t="str">
        <f ca="1">IF($A57&gt;TODAY(),"",IFERROR(INDEX(Weeks!$L$7:$W$59,MATCH($A57,Weeks!$A$7:$A$59,0),MATCH($D$5,Weeks!$L$5:$W$5,0)),0))</f>
        <v/>
      </c>
      <c r="C57" s="131" t="str">
        <f ca="1">IF($A57&gt;TODAY(),"",IFERROR(INDEX(Weeks!$X$7:$AI$59,MATCH($A57,Weeks!$A$7:$A$59,0),MATCH($D$5,Weeks!$X$5:$AI$5,0)),0))</f>
        <v/>
      </c>
      <c r="D57" s="131" t="str">
        <f ca="1">IF($A57&gt;TODAY(),"",SUMIFS('Cash Ledger'!$E$7:$E$1006,'Cash Ledger'!$I$7:$I$1006,$D$5,'Cash Ledger'!$D$7:$D$1006,"Advance",'Cash Ledger'!$B$7:$B$1006,"&gt;="&amp;$A57,'Cash Ledger'!$B$7:$B$1006,"&lt;="&amp;($A57+6)))</f>
        <v/>
      </c>
      <c r="E57" s="143" t="str">
        <f ca="1">IF($A57&gt;TODAY(),"",SUMIFS('Cash Ledger'!$E$7:$E$1006,'Cash Ledger'!$I$7:$I$1006,$D$5,'Cash Ledger'!$D$7:$D$1006,"Correction",'Cash Ledger'!$B$7:$B$1006,"&gt;="&amp;$A57,'Cash Ledger'!$B$7:$B$1006,"&lt;="&amp;($A57+6)))</f>
        <v/>
      </c>
      <c r="F57" s="131" t="str">
        <f ca="1">IF($A57&gt;TODAY(),"",SUMIFS('Cash Ledger'!$E$7:$E$1006,'Cash Ledger'!$I$7:$I$1006,$D$5,'Cash Ledger'!$D$7:$D$1006,"Weekly pay",'Cash Ledger'!$B$7:$B$1006,"&gt;="&amp;$A57,'Cash Ledger'!$B$7:$B$1006,"&lt;="&amp;($A57+6)))</f>
        <v/>
      </c>
      <c r="G57" s="167" t="str">
        <f ca="1">IF($A57&gt;TODAY(),"",SUMPRODUCT((Weeks!$A$7:$A$59&lt;=$A57)*(Weeks!$X$5:$AI$5=$D$5)*Weeks!$X$7:$AI$59)-SUMIFS('Cash Ledger'!$E$7:$E$1006,'Cash Ledger'!$I$7:$I$1006,$D$5,'Cash Ledger'!$B$7:$B$1006,"&lt;="&amp;($A57+6)))</f>
        <v/>
      </c>
      <c r="H57" s="132" t="str">
        <f t="shared" ca="1" si="1"/>
        <v/>
      </c>
      <c r="I57" s="125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</row>
    <row r="58" spans="1:40" s="127" customFormat="1" ht="21" customHeight="1" x14ac:dyDescent="0.25">
      <c r="A58" s="49">
        <f>Weeks!$A$57</f>
        <v>46636</v>
      </c>
      <c r="B58" s="51" t="str">
        <f ca="1">IF($A58&gt;TODAY(),"",IFERROR(INDEX(Weeks!$L$7:$W$59,MATCH($A58,Weeks!$A$7:$A$59,0),MATCH($D$5,Weeks!$L$5:$W$5,0)),0))</f>
        <v/>
      </c>
      <c r="C58" s="131" t="str">
        <f ca="1">IF($A58&gt;TODAY(),"",IFERROR(INDEX(Weeks!$X$7:$AI$59,MATCH($A58,Weeks!$A$7:$A$59,0),MATCH($D$5,Weeks!$X$5:$AI$5,0)),0))</f>
        <v/>
      </c>
      <c r="D58" s="131" t="str">
        <f ca="1">IF($A58&gt;TODAY(),"",SUMIFS('Cash Ledger'!$E$7:$E$1006,'Cash Ledger'!$I$7:$I$1006,$D$5,'Cash Ledger'!$D$7:$D$1006,"Advance",'Cash Ledger'!$B$7:$B$1006,"&gt;="&amp;$A58,'Cash Ledger'!$B$7:$B$1006,"&lt;="&amp;($A58+6)))</f>
        <v/>
      </c>
      <c r="E58" s="143" t="str">
        <f ca="1">IF($A58&gt;TODAY(),"",SUMIFS('Cash Ledger'!$E$7:$E$1006,'Cash Ledger'!$I$7:$I$1006,$D$5,'Cash Ledger'!$D$7:$D$1006,"Correction",'Cash Ledger'!$B$7:$B$1006,"&gt;="&amp;$A58,'Cash Ledger'!$B$7:$B$1006,"&lt;="&amp;($A58+6)))</f>
        <v/>
      </c>
      <c r="F58" s="131" t="str">
        <f ca="1">IF($A58&gt;TODAY(),"",SUMIFS('Cash Ledger'!$E$7:$E$1006,'Cash Ledger'!$I$7:$I$1006,$D$5,'Cash Ledger'!$D$7:$D$1006,"Weekly pay",'Cash Ledger'!$B$7:$B$1006,"&gt;="&amp;$A58,'Cash Ledger'!$B$7:$B$1006,"&lt;="&amp;($A58+6)))</f>
        <v/>
      </c>
      <c r="G58" s="167" t="str">
        <f ca="1">IF($A58&gt;TODAY(),"",SUMPRODUCT((Weeks!$A$7:$A$59&lt;=$A58)*(Weeks!$X$5:$AI$5=$D$5)*Weeks!$X$7:$AI$59)-SUMIFS('Cash Ledger'!$E$7:$E$1006,'Cash Ledger'!$I$7:$I$1006,$D$5,'Cash Ledger'!$B$7:$B$1006,"&lt;="&amp;($A58+6)))</f>
        <v/>
      </c>
      <c r="H58" s="132" t="str">
        <f t="shared" ca="1" si="1"/>
        <v/>
      </c>
      <c r="I58" s="125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</row>
    <row r="59" spans="1:40" s="127" customFormat="1" ht="21" customHeight="1" x14ac:dyDescent="0.25">
      <c r="A59" s="49">
        <f>Weeks!$A$58</f>
        <v>46643</v>
      </c>
      <c r="B59" s="51" t="str">
        <f ca="1">IF($A59&gt;TODAY(),"",IFERROR(INDEX(Weeks!$L$7:$W$59,MATCH($A59,Weeks!$A$7:$A$59,0),MATCH($D$5,Weeks!$L$5:$W$5,0)),0))</f>
        <v/>
      </c>
      <c r="C59" s="131" t="str">
        <f ca="1">IF($A59&gt;TODAY(),"",IFERROR(INDEX(Weeks!$X$7:$AI$59,MATCH($A59,Weeks!$A$7:$A$59,0),MATCH($D$5,Weeks!$X$5:$AI$5,0)),0))</f>
        <v/>
      </c>
      <c r="D59" s="131" t="str">
        <f ca="1">IF($A59&gt;TODAY(),"",SUMIFS('Cash Ledger'!$E$7:$E$1006,'Cash Ledger'!$I$7:$I$1006,$D$5,'Cash Ledger'!$D$7:$D$1006,"Advance",'Cash Ledger'!$B$7:$B$1006,"&gt;="&amp;$A59,'Cash Ledger'!$B$7:$B$1006,"&lt;="&amp;($A59+6)))</f>
        <v/>
      </c>
      <c r="E59" s="143" t="str">
        <f ca="1">IF($A59&gt;TODAY(),"",SUMIFS('Cash Ledger'!$E$7:$E$1006,'Cash Ledger'!$I$7:$I$1006,$D$5,'Cash Ledger'!$D$7:$D$1006,"Correction",'Cash Ledger'!$B$7:$B$1006,"&gt;="&amp;$A59,'Cash Ledger'!$B$7:$B$1006,"&lt;="&amp;($A59+6)))</f>
        <v/>
      </c>
      <c r="F59" s="131" t="str">
        <f ca="1">IF($A59&gt;TODAY(),"",SUMIFS('Cash Ledger'!$E$7:$E$1006,'Cash Ledger'!$I$7:$I$1006,$D$5,'Cash Ledger'!$D$7:$D$1006,"Weekly pay",'Cash Ledger'!$B$7:$B$1006,"&gt;="&amp;$A59,'Cash Ledger'!$B$7:$B$1006,"&lt;="&amp;($A59+6)))</f>
        <v/>
      </c>
      <c r="G59" s="167" t="str">
        <f ca="1">IF($A59&gt;TODAY(),"",SUMPRODUCT((Weeks!$A$7:$A$59&lt;=$A59)*(Weeks!$X$5:$AI$5=$D$5)*Weeks!$X$7:$AI$59)-SUMIFS('Cash Ledger'!$E$7:$E$1006,'Cash Ledger'!$I$7:$I$1006,$D$5,'Cash Ledger'!$B$7:$B$1006,"&lt;="&amp;($A59+6)))</f>
        <v/>
      </c>
      <c r="H59" s="132" t="str">
        <f t="shared" ca="1" si="1"/>
        <v/>
      </c>
      <c r="I59" s="125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</row>
    <row r="60" spans="1:40" s="127" customFormat="1" ht="21" customHeight="1" x14ac:dyDescent="0.25">
      <c r="A60" s="42">
        <f>Weeks!$A$59</f>
        <v>46650</v>
      </c>
      <c r="B60" s="46" t="str">
        <f ca="1">IF($A60&gt;TODAY(),"",IFERROR(INDEX(Weeks!$L$7:$W$59,MATCH($A60,Weeks!$A$7:$A$59,0),MATCH($D$5,Weeks!$L$5:$W$5,0)),0))</f>
        <v/>
      </c>
      <c r="C60" s="134" t="str">
        <f ca="1">IF($A60&gt;TODAY(),"",IFERROR(INDEX(Weeks!$X$7:$AI$59,MATCH($A60,Weeks!$A$7:$A$59,0),MATCH($D$5,Weeks!$X$5:$AI$5,0)),0))</f>
        <v/>
      </c>
      <c r="D60" s="134" t="str">
        <f ca="1">IF($A60&gt;TODAY(),"",SUMIFS('Cash Ledger'!$E$7:$E$1006,'Cash Ledger'!$I$7:$I$1006,$D$5,'Cash Ledger'!$D$7:$D$1006,"Advance",'Cash Ledger'!$B$7:$B$1006,"&gt;="&amp;$A60,'Cash Ledger'!$B$7:$B$1006,"&lt;="&amp;($A60+6)))</f>
        <v/>
      </c>
      <c r="E60" s="146" t="str">
        <f ca="1">IF($A60&gt;TODAY(),"",SUMIFS('Cash Ledger'!$E$7:$E$1006,'Cash Ledger'!$I$7:$I$1006,$D$5,'Cash Ledger'!$D$7:$D$1006,"Correction",'Cash Ledger'!$B$7:$B$1006,"&gt;="&amp;$A60,'Cash Ledger'!$B$7:$B$1006,"&lt;="&amp;($A60+6)))</f>
        <v/>
      </c>
      <c r="F60" s="134" t="str">
        <f ca="1">IF($A60&gt;TODAY(),"",SUMIFS('Cash Ledger'!$E$7:$E$1006,'Cash Ledger'!$I$7:$I$1006,$D$5,'Cash Ledger'!$D$7:$D$1006,"Weekly pay",'Cash Ledger'!$B$7:$B$1006,"&gt;="&amp;$A60,'Cash Ledger'!$B$7:$B$1006,"&lt;="&amp;($A60+6)))</f>
        <v/>
      </c>
      <c r="G60" s="168" t="str">
        <f ca="1">IF($A60&gt;TODAY(),"",SUMPRODUCT((Weeks!$A$7:$A$59&lt;=$A60)*(Weeks!$X$5:$AI$5=$D$5)*Weeks!$X$7:$AI$59)-SUMIFS('Cash Ledger'!$E$7:$E$1006,'Cash Ledger'!$I$7:$I$1006,$D$5,'Cash Ledger'!$B$7:$B$1006,"&lt;="&amp;($A60+6)))</f>
        <v/>
      </c>
      <c r="H60" s="135" t="str">
        <f t="shared" ca="1" si="1"/>
        <v/>
      </c>
      <c r="I60" s="137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</row>
  </sheetData>
  <mergeCells count="10">
    <mergeCell ref="O1:P1"/>
    <mergeCell ref="R1:S1"/>
    <mergeCell ref="T1:U1"/>
    <mergeCell ref="V1:W1"/>
    <mergeCell ref="A1:B1"/>
    <mergeCell ref="D1:E1"/>
    <mergeCell ref="F1:G1"/>
    <mergeCell ref="I1:J1"/>
    <mergeCell ref="K1:L1"/>
    <mergeCell ref="M1:N1"/>
  </mergeCells>
  <dataValidations count="1">
    <dataValidation type="list" allowBlank="1" showErrorMessage="1" error="Pick a value from the list." sqref="C5" xr:uid="{00000000-0002-0000-0500-000000000000}">
      <formula1>WorkerNames</formula1>
      <formula2>0</formula2>
    </dataValidation>
  </dataValidations>
  <hyperlinks>
    <hyperlink ref="C1" location="'Home'!A1" tooltip="Go to Home" display="Home" xr:uid="{7C96EB81-2B10-4281-8DB4-9AABE5737363}"/>
    <hyperlink ref="D1" location="'Daily Log'!A1" tooltip="Go to Daily Log" display="Daily Log" xr:uid="{96EFD1B2-1665-4BCA-B1AE-CD7E61625009}"/>
    <hyperlink ref="F1" location="'Cash Ledger'!A1" tooltip="Go to Cash Ledger" display="Cash Ledger" xr:uid="{628A6DD2-B948-46EE-AD2A-68545CA5BF84}"/>
    <hyperlink ref="H1" location="'Weekly Pay'!A1" tooltip="Go to Weekly Pay" display="Weekly Pay" xr:uid="{8E25BA08-D7F1-4F6B-B823-65343E1BE0E2}"/>
    <hyperlink ref="I1" location="'Payslip'!A1" tooltip="Go to Payslip" display="Payslip" xr:uid="{3DA8AA4A-5C54-4156-997A-907444740EE5}"/>
    <hyperlink ref="K1" location="'Workers'!A1" tooltip="Go to Workers" display="Workers" xr:uid="{BBA98A69-992C-4119-B8F6-6A74180CDE16}"/>
    <hyperlink ref="M1" location="'Settings'!A1" tooltip="Go to Settings" display="Settings" xr:uid="{8A1CD3A1-65B6-41AC-A77D-F52F22FF07B2}"/>
    <hyperlink ref="O1" location="'Guide'!A1" tooltip="Go to Guide" display="Guide" xr:uid="{E41E8629-5072-45C1-BF2D-9A2F35F1C9E5}"/>
    <hyperlink ref="T1" location="'Weeks'!A1" tooltip="Go to Weeks" display="Weeks" xr:uid="{9AEDAD01-2312-4914-8255-297625151D93}"/>
    <hyperlink ref="V1" location="'Checks'!A1" tooltip="Go to Checks" display="Checks" xr:uid="{F69D7084-171F-4C24-AEAA-F39189F0FE64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4A3B8"/>
  </sheetPr>
  <dimension ref="A1:AN17"/>
  <sheetViews>
    <sheetView showGridLines="0" zoomScaleNormal="100" workbookViewId="0">
      <pane ySplit="5" topLeftCell="A6" activePane="bottomLeft" state="frozen"/>
      <selection pane="bottomLeft" activeCell="I1" sqref="I1:J1"/>
    </sheetView>
  </sheetViews>
  <sheetFormatPr defaultColWidth="8.5703125" defaultRowHeight="15" x14ac:dyDescent="0.25"/>
  <cols>
    <col min="1" max="1" width="7" customWidth="1"/>
    <col min="2" max="2" width="24" customWidth="1"/>
    <col min="3" max="3" width="10" customWidth="1"/>
    <col min="4" max="5" width="12" customWidth="1"/>
    <col min="6" max="6" width="16" customWidth="1"/>
    <col min="7" max="7" width="30" customWidth="1"/>
    <col min="8" max="8" width="34" customWidth="1"/>
  </cols>
  <sheetData>
    <row r="1" spans="1:40" s="1" customFormat="1" ht="30" customHeight="1" thickBot="1" x14ac:dyDescent="0.3">
      <c r="A1" s="185" t="s">
        <v>196</v>
      </c>
      <c r="B1" s="185"/>
      <c r="C1" s="29" t="s">
        <v>197</v>
      </c>
      <c r="D1" s="181" t="s">
        <v>9</v>
      </c>
      <c r="E1" s="182"/>
      <c r="F1" s="181" t="s">
        <v>12</v>
      </c>
      <c r="G1" s="182"/>
      <c r="H1" s="29" t="s">
        <v>67</v>
      </c>
      <c r="I1" s="181" t="s">
        <v>93</v>
      </c>
      <c r="J1" s="182"/>
      <c r="K1" s="205" t="s">
        <v>118</v>
      </c>
      <c r="L1" s="205"/>
      <c r="M1" s="181" t="s">
        <v>137</v>
      </c>
      <c r="N1" s="182"/>
      <c r="O1" s="181" t="s">
        <v>198</v>
      </c>
      <c r="P1" s="182"/>
      <c r="Q1" s="31" t="s">
        <v>199</v>
      </c>
      <c r="R1" s="183" t="s">
        <v>200</v>
      </c>
      <c r="S1" s="184"/>
      <c r="T1" s="183" t="s">
        <v>166</v>
      </c>
      <c r="U1" s="184"/>
      <c r="V1" s="183" t="s">
        <v>155</v>
      </c>
      <c r="W1" s="184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0" ht="36" customHeight="1" thickTop="1" x14ac:dyDescent="0.45">
      <c r="A2" s="172" t="s">
        <v>118</v>
      </c>
      <c r="B2" s="33"/>
      <c r="C2" s="33"/>
      <c r="D2" s="33"/>
      <c r="E2" s="33"/>
      <c r="F2" s="33"/>
      <c r="G2" s="33"/>
      <c r="H2" s="33"/>
      <c r="I2" s="33"/>
      <c r="J2" s="33"/>
      <c r="K2" s="34"/>
      <c r="L2" s="34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6.5" x14ac:dyDescent="0.3">
      <c r="A3" s="35" t="s">
        <v>119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6.5" x14ac:dyDescent="0.3">
      <c r="A4" s="36"/>
      <c r="B4" s="36"/>
      <c r="C4" s="36"/>
      <c r="D4" s="36"/>
      <c r="E4" s="36"/>
      <c r="F4" s="36"/>
      <c r="G4" s="36"/>
      <c r="H4" s="3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s="127" customFormat="1" ht="32.1" customHeight="1" x14ac:dyDescent="0.25">
      <c r="A5" s="58" t="s">
        <v>64</v>
      </c>
      <c r="B5" s="58" t="s">
        <v>120</v>
      </c>
      <c r="C5" s="58" t="s">
        <v>73</v>
      </c>
      <c r="D5" s="58" t="s">
        <v>121</v>
      </c>
      <c r="E5" s="58" t="s">
        <v>122</v>
      </c>
      <c r="F5" s="58" t="s">
        <v>123</v>
      </c>
      <c r="G5" s="58" t="s">
        <v>52</v>
      </c>
      <c r="H5" s="58" t="s">
        <v>51</v>
      </c>
      <c r="I5" s="125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</row>
    <row r="6" spans="1:40" s="127" customFormat="1" ht="21" customHeight="1" x14ac:dyDescent="0.25">
      <c r="A6" s="107" t="s">
        <v>124</v>
      </c>
      <c r="B6" s="130" t="s">
        <v>185</v>
      </c>
      <c r="C6" s="43" t="s">
        <v>125</v>
      </c>
      <c r="D6" s="75">
        <v>46286</v>
      </c>
      <c r="E6" s="75"/>
      <c r="F6" s="169"/>
      <c r="G6" s="130"/>
      <c r="H6" s="129" t="str">
        <f t="shared" ref="H6:H17" si="0">IF($B6="",IF($C6&lt;&gt;"","status set but no name",""),IF(COUNTIF($B$6:$B$17,$B6)&gt;1,"same name twice - make it unique",IF($C6="","choose Active or Left","")))</f>
        <v/>
      </c>
      <c r="I6" s="125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</row>
    <row r="7" spans="1:40" s="127" customFormat="1" ht="21" customHeight="1" x14ac:dyDescent="0.25">
      <c r="A7" s="108" t="s">
        <v>126</v>
      </c>
      <c r="B7" s="133" t="s">
        <v>186</v>
      </c>
      <c r="C7" s="50" t="s">
        <v>125</v>
      </c>
      <c r="D7" s="77">
        <v>46286</v>
      </c>
      <c r="E7" s="77"/>
      <c r="F7" s="170"/>
      <c r="G7" s="133"/>
      <c r="H7" s="132" t="str">
        <f t="shared" si="0"/>
        <v/>
      </c>
      <c r="I7" s="125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</row>
    <row r="8" spans="1:40" s="127" customFormat="1" ht="21" customHeight="1" x14ac:dyDescent="0.25">
      <c r="A8" s="108" t="s">
        <v>127</v>
      </c>
      <c r="B8" s="133" t="s">
        <v>187</v>
      </c>
      <c r="C8" s="50" t="s">
        <v>125</v>
      </c>
      <c r="D8" s="77">
        <v>46286</v>
      </c>
      <c r="E8" s="77"/>
      <c r="F8" s="170"/>
      <c r="G8" s="133"/>
      <c r="H8" s="132" t="str">
        <f t="shared" si="0"/>
        <v/>
      </c>
      <c r="I8" s="125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</row>
    <row r="9" spans="1:40" s="127" customFormat="1" ht="21" customHeight="1" x14ac:dyDescent="0.25">
      <c r="A9" s="108" t="s">
        <v>128</v>
      </c>
      <c r="B9" s="133" t="s">
        <v>188</v>
      </c>
      <c r="C9" s="50" t="s">
        <v>125</v>
      </c>
      <c r="D9" s="77">
        <v>46286</v>
      </c>
      <c r="E9" s="77"/>
      <c r="F9" s="170"/>
      <c r="G9" s="133"/>
      <c r="H9" s="132" t="str">
        <f t="shared" si="0"/>
        <v/>
      </c>
      <c r="I9" s="125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</row>
    <row r="10" spans="1:40" s="127" customFormat="1" ht="21" customHeight="1" x14ac:dyDescent="0.25">
      <c r="A10" s="108" t="s">
        <v>129</v>
      </c>
      <c r="B10" s="133"/>
      <c r="C10" s="50"/>
      <c r="D10" s="77"/>
      <c r="E10" s="77"/>
      <c r="F10" s="170"/>
      <c r="G10" s="133"/>
      <c r="H10" s="132" t="str">
        <f t="shared" si="0"/>
        <v/>
      </c>
      <c r="I10" s="125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</row>
    <row r="11" spans="1:40" s="127" customFormat="1" ht="21" customHeight="1" x14ac:dyDescent="0.25">
      <c r="A11" s="108" t="s">
        <v>130</v>
      </c>
      <c r="B11" s="133"/>
      <c r="C11" s="50"/>
      <c r="D11" s="77"/>
      <c r="E11" s="77"/>
      <c r="F11" s="170"/>
      <c r="G11" s="133"/>
      <c r="H11" s="132" t="str">
        <f t="shared" si="0"/>
        <v/>
      </c>
      <c r="I11" s="125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</row>
    <row r="12" spans="1:40" s="127" customFormat="1" ht="21" customHeight="1" x14ac:dyDescent="0.25">
      <c r="A12" s="108" t="s">
        <v>131</v>
      </c>
      <c r="B12" s="133"/>
      <c r="C12" s="50"/>
      <c r="D12" s="77"/>
      <c r="E12" s="77"/>
      <c r="F12" s="170"/>
      <c r="G12" s="133"/>
      <c r="H12" s="132" t="str">
        <f t="shared" si="0"/>
        <v/>
      </c>
      <c r="I12" s="125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</row>
    <row r="13" spans="1:40" s="127" customFormat="1" ht="21" customHeight="1" x14ac:dyDescent="0.25">
      <c r="A13" s="108" t="s">
        <v>132</v>
      </c>
      <c r="B13" s="133"/>
      <c r="C13" s="50"/>
      <c r="D13" s="77"/>
      <c r="E13" s="77"/>
      <c r="F13" s="170"/>
      <c r="G13" s="133"/>
      <c r="H13" s="132" t="str">
        <f t="shared" si="0"/>
        <v/>
      </c>
      <c r="I13" s="125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</row>
    <row r="14" spans="1:40" s="127" customFormat="1" ht="21" customHeight="1" x14ac:dyDescent="0.25">
      <c r="A14" s="108" t="s">
        <v>133</v>
      </c>
      <c r="B14" s="133"/>
      <c r="C14" s="50"/>
      <c r="D14" s="77"/>
      <c r="E14" s="77"/>
      <c r="F14" s="170"/>
      <c r="G14" s="133"/>
      <c r="H14" s="132" t="str">
        <f t="shared" si="0"/>
        <v/>
      </c>
      <c r="I14" s="125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</row>
    <row r="15" spans="1:40" s="127" customFormat="1" ht="21" customHeight="1" x14ac:dyDescent="0.25">
      <c r="A15" s="108" t="s">
        <v>134</v>
      </c>
      <c r="B15" s="133"/>
      <c r="C15" s="50"/>
      <c r="D15" s="77"/>
      <c r="E15" s="77"/>
      <c r="F15" s="170"/>
      <c r="G15" s="133"/>
      <c r="H15" s="132" t="str">
        <f t="shared" si="0"/>
        <v/>
      </c>
      <c r="I15" s="125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</row>
    <row r="16" spans="1:40" s="127" customFormat="1" ht="21" customHeight="1" x14ac:dyDescent="0.25">
      <c r="A16" s="108" t="s">
        <v>135</v>
      </c>
      <c r="B16" s="133"/>
      <c r="C16" s="50"/>
      <c r="D16" s="77"/>
      <c r="E16" s="77"/>
      <c r="F16" s="170"/>
      <c r="G16" s="133"/>
      <c r="H16" s="132" t="str">
        <f t="shared" si="0"/>
        <v/>
      </c>
      <c r="I16" s="125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</row>
    <row r="17" spans="1:40" s="127" customFormat="1" ht="21" customHeight="1" x14ac:dyDescent="0.25">
      <c r="A17" s="109" t="s">
        <v>136</v>
      </c>
      <c r="B17" s="136"/>
      <c r="C17" s="44"/>
      <c r="D17" s="76"/>
      <c r="E17" s="76"/>
      <c r="F17" s="171"/>
      <c r="G17" s="136"/>
      <c r="H17" s="135" t="str">
        <f t="shared" si="0"/>
        <v/>
      </c>
      <c r="I17" s="137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</row>
  </sheetData>
  <mergeCells count="10">
    <mergeCell ref="O1:P1"/>
    <mergeCell ref="R1:S1"/>
    <mergeCell ref="T1:U1"/>
    <mergeCell ref="V1:W1"/>
    <mergeCell ref="A1:B1"/>
    <mergeCell ref="D1:E1"/>
    <mergeCell ref="F1:G1"/>
    <mergeCell ref="I1:J1"/>
    <mergeCell ref="K1:L1"/>
    <mergeCell ref="M1:N1"/>
  </mergeCells>
  <conditionalFormatting sqref="H6:H17">
    <cfRule type="expression" dxfId="7" priority="2">
      <formula>LEN(H6)&gt;0</formula>
    </cfRule>
  </conditionalFormatting>
  <dataValidations count="2">
    <dataValidation type="date" operator="greaterThan" allowBlank="1" showErrorMessage="1" error="Type a date, e.g. 2026-09-23." sqref="D6:E17" xr:uid="{00000000-0002-0000-0600-000000000000}">
      <formula1>36526</formula1>
      <formula2>0</formula2>
    </dataValidation>
    <dataValidation type="list" allowBlank="1" showErrorMessage="1" error="Pick a value from the list." sqref="C6:C17" xr:uid="{00000000-0002-0000-0600-000001000000}">
      <formula1>StatusList</formula1>
      <formula2>0</formula2>
    </dataValidation>
  </dataValidations>
  <hyperlinks>
    <hyperlink ref="C1" location="'Home'!A1" tooltip="Go to Home" display="Home" xr:uid="{932226EE-0097-45D6-9BF9-3E89D68B37AA}"/>
    <hyperlink ref="D1" location="'Daily Log'!A1" tooltip="Go to Daily Log" display="Daily Log" xr:uid="{32CA3D8B-F9B3-4405-B979-E7C408E461BD}"/>
    <hyperlink ref="F1" location="'Cash Ledger'!A1" tooltip="Go to Cash Ledger" display="Cash Ledger" xr:uid="{BAFA9833-C189-4B4B-A0D0-B3AF36107B9C}"/>
    <hyperlink ref="H1" location="'Weekly Pay'!A1" tooltip="Go to Weekly Pay" display="Weekly Pay" xr:uid="{F0CC7EE3-F489-48DA-A105-B86BEBBE285A}"/>
    <hyperlink ref="I1" location="'Payslip'!A1" tooltip="Go to Payslip" display="Payslip" xr:uid="{26B07372-EEED-4AB1-9FDF-AC4648FF9F65}"/>
    <hyperlink ref="M1" location="'Settings'!A1" tooltip="Go to Settings" display="Settings" xr:uid="{0DAEC243-6A62-431E-B8C3-0FF08BE71370}"/>
    <hyperlink ref="O1" location="'Guide'!A1" tooltip="Go to Guide" display="Guide" xr:uid="{F2F4C955-56E3-4182-9546-C0DB96C2E58F}"/>
    <hyperlink ref="R1" location="'Worker History'!A1" tooltip="Go to Worker History" display="History" xr:uid="{B7D556FA-D475-4CFF-BF0D-BC40DBD98FB2}"/>
    <hyperlink ref="T1" location="'Weeks'!A1" tooltip="Go to Weeks" display="Weeks" xr:uid="{FDE908ED-AC89-4DCC-AE20-EFB5530C3B8A}"/>
    <hyperlink ref="V1" location="'Checks'!A1" tooltip="Go to Checks" display="Checks" xr:uid="{242B1EF2-FD73-4119-9CE6-FA6F300CCCF9}"/>
  </hyperlink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4A3B8"/>
  </sheetPr>
  <dimension ref="A1:AN32"/>
  <sheetViews>
    <sheetView showGridLines="0" zoomScaleNormal="100" workbookViewId="0">
      <pane ySplit="1" topLeftCell="A2" activePane="bottomLeft" state="frozen"/>
      <selection pane="bottomLeft" activeCell="C1" sqref="C1"/>
    </sheetView>
  </sheetViews>
  <sheetFormatPr defaultColWidth="8.5703125" defaultRowHeight="15" x14ac:dyDescent="0.25"/>
  <cols>
    <col min="1" max="1" width="2" customWidth="1"/>
    <col min="2" max="2" width="46" customWidth="1"/>
    <col min="3" max="3" width="16" customWidth="1"/>
    <col min="4" max="4" width="60" customWidth="1"/>
  </cols>
  <sheetData>
    <row r="1" spans="1:40" s="1" customFormat="1" ht="30" customHeight="1" thickBot="1" x14ac:dyDescent="0.3">
      <c r="A1" s="185" t="s">
        <v>196</v>
      </c>
      <c r="B1" s="185"/>
      <c r="C1" s="29" t="s">
        <v>197</v>
      </c>
      <c r="D1" s="29" t="s">
        <v>9</v>
      </c>
      <c r="E1" s="181" t="s">
        <v>12</v>
      </c>
      <c r="F1" s="182"/>
      <c r="G1" s="182"/>
      <c r="H1" s="181" t="s">
        <v>67</v>
      </c>
      <c r="I1" s="182"/>
      <c r="J1" s="182"/>
      <c r="K1" s="181" t="s">
        <v>93</v>
      </c>
      <c r="L1" s="182"/>
      <c r="M1" s="181" t="s">
        <v>118</v>
      </c>
      <c r="N1" s="182"/>
      <c r="O1" s="205" t="s">
        <v>137</v>
      </c>
      <c r="P1" s="205"/>
      <c r="Q1" s="181" t="s">
        <v>198</v>
      </c>
      <c r="R1" s="182"/>
      <c r="S1" s="31" t="s">
        <v>199</v>
      </c>
      <c r="T1" s="183" t="s">
        <v>200</v>
      </c>
      <c r="U1" s="184"/>
      <c r="V1" s="183" t="s">
        <v>166</v>
      </c>
      <c r="W1" s="184"/>
      <c r="X1" s="183" t="s">
        <v>155</v>
      </c>
      <c r="Y1" s="184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0" ht="36" customHeight="1" thickTop="1" x14ac:dyDescent="0.45">
      <c r="A2" s="172" t="s">
        <v>137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4"/>
      <c r="P2" s="34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6.5" x14ac:dyDescent="0.3">
      <c r="A3" s="35" t="s">
        <v>236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6.5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7.25" x14ac:dyDescent="0.3">
      <c r="A5" s="3"/>
      <c r="B5" s="8" t="s">
        <v>138</v>
      </c>
      <c r="C5" s="36"/>
      <c r="D5" s="3"/>
      <c r="E5" s="3"/>
      <c r="F5" s="35" t="s">
        <v>139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48" customHeight="1" x14ac:dyDescent="0.3">
      <c r="A6" s="126"/>
      <c r="B6" s="173" t="s">
        <v>140</v>
      </c>
      <c r="C6" s="110">
        <v>0</v>
      </c>
      <c r="D6" s="174" t="s">
        <v>141</v>
      </c>
      <c r="E6" s="126"/>
      <c r="F6" s="175" t="s">
        <v>142</v>
      </c>
      <c r="G6" s="175" t="s">
        <v>125</v>
      </c>
      <c r="H6" s="175" t="s">
        <v>143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48" customHeight="1" x14ac:dyDescent="0.3">
      <c r="A7" s="126"/>
      <c r="B7" s="173" t="s">
        <v>144</v>
      </c>
      <c r="C7" s="110">
        <v>1</v>
      </c>
      <c r="D7" s="174" t="s">
        <v>145</v>
      </c>
      <c r="E7" s="126"/>
      <c r="F7" s="175" t="s">
        <v>55</v>
      </c>
      <c r="G7" s="175" t="s">
        <v>146</v>
      </c>
      <c r="H7" s="175" t="s">
        <v>147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48" customHeight="1" x14ac:dyDescent="0.3">
      <c r="A8" s="126"/>
      <c r="B8" s="173" t="s">
        <v>148</v>
      </c>
      <c r="C8" s="110">
        <v>0.08</v>
      </c>
      <c r="D8" s="174" t="s">
        <v>149</v>
      </c>
      <c r="E8" s="126"/>
      <c r="F8" s="175" t="s">
        <v>150</v>
      </c>
      <c r="G8" s="126"/>
      <c r="H8" s="12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6.5" x14ac:dyDescent="0.3">
      <c r="A9" s="126"/>
      <c r="B9" s="126"/>
      <c r="C9" s="137"/>
      <c r="D9" s="126"/>
      <c r="E9" s="126"/>
      <c r="F9" s="126"/>
      <c r="G9" s="126"/>
      <c r="H9" s="12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6.5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7.25" x14ac:dyDescent="0.3">
      <c r="A11" s="3"/>
      <c r="B11" s="103" t="s">
        <v>151</v>
      </c>
      <c r="C11" s="3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30" customHeight="1" x14ac:dyDescent="0.3">
      <c r="A12" s="36"/>
      <c r="B12" s="58" t="s">
        <v>152</v>
      </c>
      <c r="C12" s="58" t="s">
        <v>153</v>
      </c>
      <c r="D12" s="3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24" x14ac:dyDescent="0.3">
      <c r="A13" s="36"/>
      <c r="B13" s="75">
        <v>46286</v>
      </c>
      <c r="C13" s="112">
        <v>500</v>
      </c>
      <c r="D13" s="111" t="s">
        <v>154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6.5" x14ac:dyDescent="0.3">
      <c r="A14" s="36"/>
      <c r="B14" s="77"/>
      <c r="C14" s="113"/>
      <c r="D14" s="3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6.5" x14ac:dyDescent="0.3">
      <c r="A15" s="36"/>
      <c r="B15" s="77"/>
      <c r="C15" s="113"/>
      <c r="D15" s="3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16.5" x14ac:dyDescent="0.3">
      <c r="A16" s="36"/>
      <c r="B16" s="77"/>
      <c r="C16" s="113"/>
      <c r="D16" s="3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6.5" x14ac:dyDescent="0.3">
      <c r="A17" s="36"/>
      <c r="B17" s="77"/>
      <c r="C17" s="113"/>
      <c r="D17" s="3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6.5" x14ac:dyDescent="0.3">
      <c r="A18" s="36"/>
      <c r="B18" s="77"/>
      <c r="C18" s="113"/>
      <c r="D18" s="3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6.5" x14ac:dyDescent="0.3">
      <c r="A19" s="36"/>
      <c r="B19" s="77"/>
      <c r="C19" s="113"/>
      <c r="D19" s="3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6.5" x14ac:dyDescent="0.3">
      <c r="A20" s="36"/>
      <c r="B20" s="77"/>
      <c r="C20" s="113"/>
      <c r="D20" s="3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16.5" x14ac:dyDescent="0.3">
      <c r="A21" s="36"/>
      <c r="B21" s="77"/>
      <c r="C21" s="113"/>
      <c r="D21" s="3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6.5" x14ac:dyDescent="0.3">
      <c r="A22" s="36"/>
      <c r="B22" s="77"/>
      <c r="C22" s="113"/>
      <c r="D22" s="3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16.5" x14ac:dyDescent="0.3">
      <c r="A23" s="36"/>
      <c r="B23" s="77"/>
      <c r="C23" s="113"/>
      <c r="D23" s="3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16.5" x14ac:dyDescent="0.3">
      <c r="A24" s="36"/>
      <c r="B24" s="77"/>
      <c r="C24" s="113"/>
      <c r="D24" s="3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6.5" x14ac:dyDescent="0.3">
      <c r="A25" s="36"/>
      <c r="B25" s="77"/>
      <c r="C25" s="113"/>
      <c r="D25" s="3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6.5" x14ac:dyDescent="0.3">
      <c r="A26" s="36"/>
      <c r="B26" s="77"/>
      <c r="C26" s="113"/>
      <c r="D26" s="3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16.5" x14ac:dyDescent="0.3">
      <c r="A27" s="36"/>
      <c r="B27" s="77"/>
      <c r="C27" s="113"/>
      <c r="D27" s="3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6.5" x14ac:dyDescent="0.3">
      <c r="A28" s="36"/>
      <c r="B28" s="77"/>
      <c r="C28" s="113"/>
      <c r="D28" s="3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6.5" x14ac:dyDescent="0.3">
      <c r="A29" s="36"/>
      <c r="B29" s="77"/>
      <c r="C29" s="113"/>
      <c r="D29" s="3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6.5" x14ac:dyDescent="0.3">
      <c r="A30" s="36"/>
      <c r="B30" s="77"/>
      <c r="C30" s="113"/>
      <c r="D30" s="3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6.5" x14ac:dyDescent="0.3">
      <c r="A31" s="36"/>
      <c r="B31" s="77"/>
      <c r="C31" s="113"/>
      <c r="D31" s="3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6.5" x14ac:dyDescent="0.3">
      <c r="A32" s="33"/>
      <c r="B32" s="76"/>
      <c r="C32" s="114"/>
      <c r="D32" s="3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</sheetData>
  <mergeCells count="10">
    <mergeCell ref="Q1:R1"/>
    <mergeCell ref="T1:U1"/>
    <mergeCell ref="V1:W1"/>
    <mergeCell ref="X1:Y1"/>
    <mergeCell ref="A1:B1"/>
    <mergeCell ref="E1:G1"/>
    <mergeCell ref="H1:J1"/>
    <mergeCell ref="K1:L1"/>
    <mergeCell ref="M1:N1"/>
    <mergeCell ref="O1:P1"/>
  </mergeCells>
  <dataValidations count="2">
    <dataValidation type="date" operator="greaterThan" allowBlank="1" showErrorMessage="1" error="Type a date, e.g. 2026-09-23." sqref="B13:B32" xr:uid="{00000000-0002-0000-0700-000000000000}">
      <formula1>36526</formula1>
      <formula2>0</formula2>
    </dataValidation>
    <dataValidation type="decimal" allowBlank="1" showErrorMessage="1" error="Type the rate in so'm per block." sqref="C13:C32" xr:uid="{00000000-0002-0000-0700-000001000000}">
      <formula1>0</formula1>
      <formula2>1000000</formula2>
    </dataValidation>
  </dataValidations>
  <hyperlinks>
    <hyperlink ref="C1" location="'Home'!A1" tooltip="Go to Home" display="Home" xr:uid="{735AB53B-B112-4CAE-B5E4-6C0B01E1F583}"/>
    <hyperlink ref="D1" location="'Daily Log'!A1" tooltip="Go to Daily Log" display="Daily Log" xr:uid="{33B61652-5841-430C-9965-A3F1391E790B}"/>
    <hyperlink ref="E1" location="'Cash Ledger'!A1" tooltip="Go to Cash Ledger" display="Cash Ledger" xr:uid="{5D329817-228F-4DAC-8A4B-8878E320EB9D}"/>
    <hyperlink ref="H1" location="'Weekly Pay'!A1" tooltip="Go to Weekly Pay" display="Weekly Pay" xr:uid="{EB2CCDC4-3422-4788-95C6-FF23CB7D0C90}"/>
    <hyperlink ref="K1" location="'Payslip'!A1" tooltip="Go to Payslip" display="Payslip" xr:uid="{506459F8-0228-4C51-BF41-AC880F9384B1}"/>
    <hyperlink ref="M1" location="'Workers'!A1" tooltip="Go to Workers" display="Workers" xr:uid="{79FC1B83-903E-475F-9889-5DB73A9E8A5C}"/>
    <hyperlink ref="Q1" location="'Guide'!A1" tooltip="Go to Guide" display="Guide" xr:uid="{0C02150C-561F-40E2-867E-C84FBD9C44DB}"/>
    <hyperlink ref="T1" location="'Worker History'!A1" tooltip="Go to Worker History" display="History" xr:uid="{EC202120-709D-4A2C-AB62-EB9B280C4FE1}"/>
    <hyperlink ref="V1" location="'Weeks'!A1" tooltip="Go to Weeks" display="Weeks" xr:uid="{6510AADD-2541-435A-BFA7-6031000F3456}"/>
    <hyperlink ref="X1" location="'Checks'!A1" tooltip="Go to Checks" display="Checks" xr:uid="{D2957362-C034-4EC4-8930-D3BE242EC673}"/>
  </hyperlink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4A3B8"/>
  </sheetPr>
  <dimension ref="A1:AN35"/>
  <sheetViews>
    <sheetView showGridLines="0" zoomScaleNormal="100" workbookViewId="0">
      <pane ySplit="1" topLeftCell="A2" activePane="bottomLeft" state="frozen"/>
      <selection pane="bottomLeft" sqref="A1:B1"/>
    </sheetView>
  </sheetViews>
  <sheetFormatPr defaultColWidth="8.5703125" defaultRowHeight="15" x14ac:dyDescent="0.25"/>
  <cols>
    <col min="1" max="1" width="3" customWidth="1"/>
    <col min="2" max="2" width="26" customWidth="1"/>
    <col min="3" max="3" width="92" customWidth="1"/>
  </cols>
  <sheetData>
    <row r="1" spans="1:40" s="1" customFormat="1" ht="30" customHeight="1" thickBot="1" x14ac:dyDescent="0.3">
      <c r="A1" s="185" t="s">
        <v>196</v>
      </c>
      <c r="B1" s="185"/>
      <c r="C1" s="29" t="s">
        <v>197</v>
      </c>
      <c r="D1" s="181" t="s">
        <v>9</v>
      </c>
      <c r="E1" s="182"/>
      <c r="F1" s="181" t="s">
        <v>12</v>
      </c>
      <c r="G1" s="182"/>
      <c r="H1" s="182"/>
      <c r="I1" s="181" t="s">
        <v>67</v>
      </c>
      <c r="J1" s="182"/>
      <c r="K1" s="182"/>
      <c r="L1" s="181" t="s">
        <v>93</v>
      </c>
      <c r="M1" s="182"/>
      <c r="N1" s="181" t="s">
        <v>118</v>
      </c>
      <c r="O1" s="182"/>
      <c r="P1" s="181" t="s">
        <v>137</v>
      </c>
      <c r="Q1" s="182"/>
      <c r="R1" s="205" t="s">
        <v>198</v>
      </c>
      <c r="S1" s="205"/>
      <c r="T1" s="31" t="s">
        <v>199</v>
      </c>
      <c r="U1" s="183" t="s">
        <v>200</v>
      </c>
      <c r="V1" s="184"/>
      <c r="W1" s="183" t="s">
        <v>166</v>
      </c>
      <c r="X1" s="184"/>
      <c r="Y1" s="183" t="s">
        <v>155</v>
      </c>
      <c r="Z1" s="184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0" ht="36" customHeight="1" thickTop="1" x14ac:dyDescent="0.45">
      <c r="A2" s="17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  <c r="S2" s="34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6.5" x14ac:dyDescent="0.3">
      <c r="A3" s="3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6.5" x14ac:dyDescent="0.3">
      <c r="A4" s="3"/>
      <c r="B4" s="3"/>
      <c r="C4" s="3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6.5" x14ac:dyDescent="0.3">
      <c r="A5" s="3"/>
      <c r="B5" s="37" t="s">
        <v>2</v>
      </c>
      <c r="C5" s="38" t="str">
        <f>Checks!$C$5</f>
        <v>ALL CHECKS OK</v>
      </c>
      <c r="D5" s="3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6.5" x14ac:dyDescent="0.3">
      <c r="A6" s="3"/>
      <c r="B6" s="3"/>
      <c r="C6" s="3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6.5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7.25" x14ac:dyDescent="0.3">
      <c r="A8" s="3"/>
      <c r="B8" s="8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3"/>
      <c r="B9" s="39" t="s">
        <v>4</v>
      </c>
      <c r="C9" s="40" t="s">
        <v>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3"/>
      <c r="B10" s="39" t="s">
        <v>6</v>
      </c>
      <c r="C10" s="40" t="s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6.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7.25" x14ac:dyDescent="0.3">
      <c r="A12" s="3"/>
      <c r="B12" s="8" t="s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27.75" customHeight="1" x14ac:dyDescent="0.3">
      <c r="A13" s="3"/>
      <c r="B13" s="39" t="s">
        <v>9</v>
      </c>
      <c r="C13" s="40" t="s">
        <v>10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6.5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7.25" x14ac:dyDescent="0.3">
      <c r="A15" s="3"/>
      <c r="B15" s="8" t="s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27.75" customHeight="1" x14ac:dyDescent="0.3">
      <c r="A16" s="3"/>
      <c r="B16" s="39" t="s">
        <v>12</v>
      </c>
      <c r="C16" s="40" t="s">
        <v>13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6.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7.25" x14ac:dyDescent="0.3">
      <c r="A18" s="3"/>
      <c r="B18" s="8" t="s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5" customHeight="1" x14ac:dyDescent="0.3">
      <c r="A19" s="3"/>
      <c r="B19" s="39" t="s">
        <v>15</v>
      </c>
      <c r="C19" s="40" t="s">
        <v>16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5" customHeight="1" x14ac:dyDescent="0.3">
      <c r="A20" s="3"/>
      <c r="B20" s="39" t="s">
        <v>17</v>
      </c>
      <c r="C20" s="40" t="s">
        <v>237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15" customHeight="1" x14ac:dyDescent="0.3">
      <c r="A21" s="3"/>
      <c r="B21" s="39" t="s">
        <v>18</v>
      </c>
      <c r="C21" s="40" t="s">
        <v>19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6.5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17.25" x14ac:dyDescent="0.3">
      <c r="A23" s="3"/>
      <c r="B23" s="8" t="s">
        <v>20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15" customHeight="1" x14ac:dyDescent="0.3">
      <c r="A24" s="3"/>
      <c r="B24" s="39" t="s">
        <v>21</v>
      </c>
      <c r="C24" s="40" t="s">
        <v>22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5" customHeight="1" x14ac:dyDescent="0.3">
      <c r="A25" s="3"/>
      <c r="B25" s="39" t="s">
        <v>23</v>
      </c>
      <c r="C25" s="40" t="s">
        <v>24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5" customHeight="1" x14ac:dyDescent="0.3">
      <c r="A26" s="3"/>
      <c r="B26" s="39" t="s">
        <v>25</v>
      </c>
      <c r="C26" s="40" t="s">
        <v>26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16.5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7.25" x14ac:dyDescent="0.3">
      <c r="A28" s="3"/>
      <c r="B28" s="8" t="s">
        <v>27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5" customHeight="1" x14ac:dyDescent="0.3">
      <c r="A29" s="3"/>
      <c r="B29" s="39" t="s">
        <v>28</v>
      </c>
      <c r="C29" s="40" t="s">
        <v>29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6.5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7.25" x14ac:dyDescent="0.3">
      <c r="A31" s="3"/>
      <c r="B31" s="8" t="s"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5" customHeight="1" x14ac:dyDescent="0.3">
      <c r="A32" s="3"/>
      <c r="B32" s="39" t="s">
        <v>31</v>
      </c>
      <c r="C32" s="40" t="s">
        <v>32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 ht="15" customHeight="1" x14ac:dyDescent="0.3">
      <c r="A33" s="3"/>
      <c r="B33" s="39" t="s">
        <v>33</v>
      </c>
      <c r="C33" s="40" t="s">
        <v>34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ht="27.75" customHeight="1" x14ac:dyDescent="0.3">
      <c r="A34" s="3"/>
      <c r="B34" s="39" t="s">
        <v>35</v>
      </c>
      <c r="C34" s="40" t="s">
        <v>36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1:40" ht="15" customHeight="1" x14ac:dyDescent="0.3">
      <c r="A35" s="3"/>
      <c r="B35" s="39" t="s">
        <v>37</v>
      </c>
      <c r="C35" s="40" t="s">
        <v>238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</sheetData>
  <mergeCells count="11">
    <mergeCell ref="N1:O1"/>
    <mergeCell ref="A1:B1"/>
    <mergeCell ref="D1:E1"/>
    <mergeCell ref="F1:H1"/>
    <mergeCell ref="I1:K1"/>
    <mergeCell ref="L1:M1"/>
    <mergeCell ref="P1:Q1"/>
    <mergeCell ref="R1:S1"/>
    <mergeCell ref="U1:V1"/>
    <mergeCell ref="W1:X1"/>
    <mergeCell ref="Y1:Z1"/>
  </mergeCells>
  <conditionalFormatting sqref="C5">
    <cfRule type="expression" dxfId="6" priority="2">
      <formula>C5="ALL CHECKS OK"</formula>
    </cfRule>
    <cfRule type="expression" dxfId="5" priority="3">
      <formula>C5&lt;&gt;"ALL CHECKS OK"</formula>
    </cfRule>
  </conditionalFormatting>
  <hyperlinks>
    <hyperlink ref="C1" location="'Home'!A1" tooltip="Go to Home" display="Home" xr:uid="{9EA21382-923A-46AC-BE2C-FB076E6EA9C7}"/>
    <hyperlink ref="D1" location="'Daily Log'!A1" tooltip="Go to Daily Log" display="Daily Log" xr:uid="{C20C69A4-1AD7-49FB-B248-FBCBE71F79C3}"/>
    <hyperlink ref="F1" location="'Cash Ledger'!A1" tooltip="Go to Cash Ledger" display="Cash Ledger" xr:uid="{D28AF59F-9A87-484A-AAED-B08A58A5EFEE}"/>
    <hyperlink ref="I1" location="'Weekly Pay'!A1" tooltip="Go to Weekly Pay" display="Weekly Pay" xr:uid="{C8B9EB40-FB0D-4D47-B17B-BF06C0A9047E}"/>
    <hyperlink ref="L1" location="'Payslip'!A1" tooltip="Go to Payslip" display="Payslip" xr:uid="{A382A583-62FF-4B13-8182-176819FDC3F2}"/>
    <hyperlink ref="N1" location="'Workers'!A1" tooltip="Go to Workers" display="Workers" xr:uid="{33D04958-D565-480E-A46F-E02930FD2B61}"/>
    <hyperlink ref="P1" location="'Settings'!A1" tooltip="Go to Settings" display="Settings" xr:uid="{17539CE5-2792-4749-A2E5-78D5A8E8F5E8}"/>
    <hyperlink ref="U1" location="'Worker History'!A1" tooltip="Go to Worker History" display="History" xr:uid="{BFDD57A7-E7A2-48C0-9C67-5B79FA70FE1D}"/>
    <hyperlink ref="W1" location="'Weeks'!A1" tooltip="Go to Weeks" display="Weeks" xr:uid="{61206116-B9E7-46FB-BEAB-5D5B82596244}"/>
    <hyperlink ref="Y1" location="'Checks'!A1" tooltip="Go to Checks" display="Checks" xr:uid="{2E802A46-4824-4F9F-8AFA-3C7D015FCE39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BD5E1"/>
  </sheetPr>
  <dimension ref="A1:AL59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" sqref="F1:G1"/>
    </sheetView>
  </sheetViews>
  <sheetFormatPr defaultColWidth="8.5703125" defaultRowHeight="15" x14ac:dyDescent="0.25"/>
  <cols>
    <col min="1" max="2" width="11" customWidth="1"/>
    <col min="3" max="3" width="10" customWidth="1"/>
    <col min="4" max="4" width="9" customWidth="1"/>
    <col min="5" max="6" width="10" customWidth="1"/>
    <col min="7" max="7" width="13" customWidth="1"/>
    <col min="8" max="8" width="9" customWidth="1"/>
    <col min="9" max="9" width="8" customWidth="1"/>
    <col min="10" max="10" width="10" customWidth="1"/>
    <col min="11" max="11" width="30" customWidth="1"/>
    <col min="12" max="15" width="8" customWidth="1"/>
    <col min="16" max="23" width="8" hidden="1" customWidth="1"/>
    <col min="24" max="27" width="11" customWidth="1"/>
    <col min="28" max="35" width="11" hidden="1" customWidth="1"/>
    <col min="36" max="36" width="13" customWidth="1"/>
    <col min="37" max="37" width="11" customWidth="1"/>
  </cols>
  <sheetData>
    <row r="1" spans="1:38" s="1" customFormat="1" ht="30" customHeight="1" thickBot="1" x14ac:dyDescent="0.3">
      <c r="A1" s="185" t="s">
        <v>196</v>
      </c>
      <c r="B1" s="185"/>
      <c r="C1" s="176" t="s">
        <v>197</v>
      </c>
      <c r="D1" s="220" t="s">
        <v>9</v>
      </c>
      <c r="E1" s="182"/>
      <c r="F1" s="220" t="s">
        <v>12</v>
      </c>
      <c r="G1" s="182"/>
      <c r="H1" s="223" t="s">
        <v>67</v>
      </c>
      <c r="I1" s="223"/>
      <c r="J1" s="177" t="s">
        <v>93</v>
      </c>
      <c r="K1" s="176" t="s">
        <v>118</v>
      </c>
      <c r="L1" s="220" t="s">
        <v>137</v>
      </c>
      <c r="M1" s="182"/>
      <c r="N1" s="220" t="s">
        <v>198</v>
      </c>
      <c r="O1" s="182"/>
      <c r="P1" s="221" t="s">
        <v>199</v>
      </c>
      <c r="Q1" s="221"/>
      <c r="R1" s="221"/>
      <c r="S1" s="221"/>
      <c r="T1" s="221"/>
      <c r="U1" s="221"/>
      <c r="V1" s="221"/>
      <c r="W1" s="221"/>
      <c r="X1" s="221"/>
      <c r="Y1" s="222" t="s">
        <v>200</v>
      </c>
      <c r="Z1" s="184"/>
      <c r="AA1" s="205" t="s">
        <v>166</v>
      </c>
      <c r="AB1" s="205"/>
      <c r="AC1" s="205"/>
      <c r="AD1" s="205"/>
      <c r="AE1" s="205"/>
      <c r="AF1" s="205"/>
      <c r="AG1" s="205"/>
      <c r="AH1" s="205"/>
      <c r="AI1" s="205"/>
      <c r="AJ1" s="205"/>
      <c r="AK1" s="222" t="s">
        <v>155</v>
      </c>
      <c r="AL1" s="184"/>
    </row>
    <row r="2" spans="1:38" ht="36" customHeight="1" thickTop="1" x14ac:dyDescent="0.45">
      <c r="A2" s="172" t="s">
        <v>166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3"/>
      <c r="AL2" s="33"/>
    </row>
    <row r="3" spans="1:38" ht="16.5" x14ac:dyDescent="0.3">
      <c r="A3" s="35" t="s">
        <v>177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7.25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8" t="s">
        <v>178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8" t="s">
        <v>179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6.5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85" t="s">
        <v>124</v>
      </c>
      <c r="M5" s="85" t="s">
        <v>126</v>
      </c>
      <c r="N5" s="85" t="s">
        <v>127</v>
      </c>
      <c r="O5" s="85" t="s">
        <v>128</v>
      </c>
      <c r="P5" s="85" t="s">
        <v>129</v>
      </c>
      <c r="Q5" s="85" t="s">
        <v>130</v>
      </c>
      <c r="R5" s="85" t="s">
        <v>131</v>
      </c>
      <c r="S5" s="85" t="s">
        <v>132</v>
      </c>
      <c r="T5" s="85" t="s">
        <v>133</v>
      </c>
      <c r="U5" s="85" t="s">
        <v>134</v>
      </c>
      <c r="V5" s="85" t="s">
        <v>135</v>
      </c>
      <c r="W5" s="85" t="s">
        <v>136</v>
      </c>
      <c r="X5" s="85" t="s">
        <v>124</v>
      </c>
      <c r="Y5" s="85" t="s">
        <v>126</v>
      </c>
      <c r="Z5" s="85" t="s">
        <v>127</v>
      </c>
      <c r="AA5" s="85" t="s">
        <v>128</v>
      </c>
      <c r="AB5" s="85" t="s">
        <v>129</v>
      </c>
      <c r="AC5" s="85" t="s">
        <v>130</v>
      </c>
      <c r="AD5" s="85" t="s">
        <v>131</v>
      </c>
      <c r="AE5" s="85" t="s">
        <v>132</v>
      </c>
      <c r="AF5" s="85" t="s">
        <v>133</v>
      </c>
      <c r="AG5" s="85" t="s">
        <v>134</v>
      </c>
      <c r="AH5" s="85" t="s">
        <v>135</v>
      </c>
      <c r="AI5" s="85" t="s">
        <v>136</v>
      </c>
      <c r="AJ5" s="36"/>
      <c r="AK5" s="36"/>
      <c r="AL5" s="3"/>
    </row>
    <row r="6" spans="1:38" s="127" customFormat="1" ht="32.1" customHeight="1" x14ac:dyDescent="0.25">
      <c r="A6" s="58" t="s">
        <v>50</v>
      </c>
      <c r="B6" s="58" t="s">
        <v>180</v>
      </c>
      <c r="C6" s="58" t="s">
        <v>43</v>
      </c>
      <c r="D6" s="58" t="s">
        <v>44</v>
      </c>
      <c r="E6" s="58" t="s">
        <v>45</v>
      </c>
      <c r="F6" s="58" t="s">
        <v>46</v>
      </c>
      <c r="G6" s="58" t="s">
        <v>70</v>
      </c>
      <c r="H6" s="58" t="s">
        <v>47</v>
      </c>
      <c r="I6" s="58" t="s">
        <v>181</v>
      </c>
      <c r="J6" s="58" t="s">
        <v>182</v>
      </c>
      <c r="K6" s="58" t="s">
        <v>51</v>
      </c>
      <c r="L6" s="58" t="str">
        <f>IF(Workers!$B$6="",Workers!$A$6,Workers!$B$6)</f>
        <v>Davlatbek</v>
      </c>
      <c r="M6" s="58" t="str">
        <f>IF(Workers!$B$7="",Workers!$A$7,Workers!$B$7)</f>
        <v>Xusanboy</v>
      </c>
      <c r="N6" s="58" t="str">
        <f>IF(Workers!$B$8="",Workers!$A$8,Workers!$B$8)</f>
        <v>Oybek</v>
      </c>
      <c r="O6" s="58" t="str">
        <f>IF(Workers!$B$9="",Workers!$A$9,Workers!$B$9)</f>
        <v>Abdurashid</v>
      </c>
      <c r="P6" s="58" t="str">
        <f>IF(Workers!$B$10="",Workers!$A$10,Workers!$B$10)</f>
        <v>W05</v>
      </c>
      <c r="Q6" s="58" t="str">
        <f>IF(Workers!$B$11="",Workers!$A$11,Workers!$B$11)</f>
        <v>W06</v>
      </c>
      <c r="R6" s="58" t="str">
        <f>IF(Workers!$B$12="",Workers!$A$12,Workers!$B$12)</f>
        <v>W07</v>
      </c>
      <c r="S6" s="58" t="str">
        <f>IF(Workers!$B$13="",Workers!$A$13,Workers!$B$13)</f>
        <v>W08</v>
      </c>
      <c r="T6" s="58" t="str">
        <f>IF(Workers!$B$14="",Workers!$A$14,Workers!$B$14)</f>
        <v>W09</v>
      </c>
      <c r="U6" s="58" t="str">
        <f>IF(Workers!$B$15="",Workers!$A$15,Workers!$B$15)</f>
        <v>W10</v>
      </c>
      <c r="V6" s="58" t="str">
        <f>IF(Workers!$B$16="",Workers!$A$16,Workers!$B$16)</f>
        <v>W11</v>
      </c>
      <c r="W6" s="58" t="str">
        <f>IF(Workers!$B$17="",Workers!$A$17,Workers!$B$17)</f>
        <v>W12</v>
      </c>
      <c r="X6" s="58" t="str">
        <f>IF(Workers!$B$6="",Workers!$A$6,Workers!$B$6)</f>
        <v>Davlatbek</v>
      </c>
      <c r="Y6" s="58" t="str">
        <f>IF(Workers!$B$7="",Workers!$A$7,Workers!$B$7)</f>
        <v>Xusanboy</v>
      </c>
      <c r="Z6" s="58" t="str">
        <f>IF(Workers!$B$8="",Workers!$A$8,Workers!$B$8)</f>
        <v>Oybek</v>
      </c>
      <c r="AA6" s="58" t="str">
        <f>IF(Workers!$B$9="",Workers!$A$9,Workers!$B$9)</f>
        <v>Abdurashid</v>
      </c>
      <c r="AB6" s="58" t="str">
        <f>IF(Workers!$B$10="",Workers!$A$10,Workers!$B$10)</f>
        <v>W05</v>
      </c>
      <c r="AC6" s="58" t="str">
        <f>IF(Workers!$B$11="",Workers!$A$11,Workers!$B$11)</f>
        <v>W06</v>
      </c>
      <c r="AD6" s="58" t="str">
        <f>IF(Workers!$B$12="",Workers!$A$12,Workers!$B$12)</f>
        <v>W07</v>
      </c>
      <c r="AE6" s="58" t="str">
        <f>IF(Workers!$B$13="",Workers!$A$13,Workers!$B$13)</f>
        <v>W08</v>
      </c>
      <c r="AF6" s="58" t="str">
        <f>IF(Workers!$B$14="",Workers!$A$14,Workers!$B$14)</f>
        <v>W09</v>
      </c>
      <c r="AG6" s="58" t="str">
        <f>IF(Workers!$B$15="",Workers!$A$15,Workers!$B$15)</f>
        <v>W10</v>
      </c>
      <c r="AH6" s="58" t="str">
        <f>IF(Workers!$B$16="",Workers!$A$16,Workers!$B$16)</f>
        <v>W11</v>
      </c>
      <c r="AI6" s="58" t="str">
        <f>IF(Workers!$B$17="",Workers!$A$17,Workers!$B$17)</f>
        <v>W12</v>
      </c>
      <c r="AJ6" s="58" t="s">
        <v>183</v>
      </c>
      <c r="AK6" s="58" t="s">
        <v>184</v>
      </c>
      <c r="AL6" s="125"/>
    </row>
    <row r="7" spans="1:38" s="127" customFormat="1" ht="21" customHeight="1" x14ac:dyDescent="0.25">
      <c r="A7" s="115">
        <v>46286</v>
      </c>
      <c r="B7" s="41">
        <f t="shared" ref="B7:B38" si="0">$A7+6</f>
        <v>46292</v>
      </c>
      <c r="C7" s="178">
        <f>SUMIFS('Daily Log'!$C$7:$C$377,'Daily Log'!$V$7:$V$377,$A7)</f>
        <v>11978</v>
      </c>
      <c r="D7" s="178">
        <f>SUMIFS('Daily Log'!$D$7:$D$377,'Daily Log'!$V$7:$V$377,$A7)</f>
        <v>121</v>
      </c>
      <c r="E7" s="178">
        <f>SUMIFS('Daily Log'!$E$7:$E$377,'Daily Log'!$V$7:$V$377,$A7)</f>
        <v>11857</v>
      </c>
      <c r="F7" s="178">
        <f>SUMIFS('Daily Log'!$F$7:$F$377,'Daily Log'!$V$7:$V$377,$A7)</f>
        <v>11857</v>
      </c>
      <c r="G7" s="128">
        <f>SUMIFS('Daily Log'!$U$7:$U$377,'Daily Log'!$V$7:$V$377,$A7)</f>
        <v>5928500</v>
      </c>
      <c r="H7" s="178">
        <f>SUMIFS('Daily Log'!$S$7:$S$377,'Daily Log'!$V$7:$V$377,$A7)</f>
        <v>24</v>
      </c>
      <c r="I7" s="81">
        <f t="shared" ref="I7:I38" si="1">IF($C7=0,"",$D7/$C7)</f>
        <v>1.0101853397896142E-2</v>
      </c>
      <c r="J7" s="61">
        <f t="shared" ref="J7:J38" si="2">IF($H7=0,"",$E7/$H7)</f>
        <v>494.04166666666669</v>
      </c>
      <c r="K7" s="129" t="str">
        <f t="shared" ref="K7:K38" si="3">IF(AND($G7&gt;0,$H7=0),"pot not shared - no attendance marked",IF(AND($I7&lt;&gt;"",N($I7)&gt;RejectAlarm),"reject rate high",""))</f>
        <v/>
      </c>
      <c r="L7" s="45">
        <f>SUMIFS('Daily Log'!$G$7:$G$377,'Daily Log'!$V$7:$V$377,$A7)</f>
        <v>6</v>
      </c>
      <c r="M7" s="45">
        <f>SUMIFS('Daily Log'!$H$7:$H$377,'Daily Log'!$V$7:$V$377,$A7)</f>
        <v>6</v>
      </c>
      <c r="N7" s="45">
        <f>SUMIFS('Daily Log'!$I$7:$I$377,'Daily Log'!$V$7:$V$377,$A7)</f>
        <v>6</v>
      </c>
      <c r="O7" s="45">
        <f>SUMIFS('Daily Log'!$J$7:$J$377,'Daily Log'!$V$7:$V$377,$A7)</f>
        <v>6</v>
      </c>
      <c r="P7" s="45">
        <f>SUMIFS('Daily Log'!$K$7:$K$377,'Daily Log'!$V$7:$V$377,$A7)</f>
        <v>0</v>
      </c>
      <c r="Q7" s="45">
        <f>SUMIFS('Daily Log'!$L$7:$L$377,'Daily Log'!$V$7:$V$377,$A7)</f>
        <v>0</v>
      </c>
      <c r="R7" s="45">
        <f>SUMIFS('Daily Log'!$M$7:$M$377,'Daily Log'!$V$7:$V$377,$A7)</f>
        <v>0</v>
      </c>
      <c r="S7" s="45">
        <f>SUMIFS('Daily Log'!$N$7:$N$377,'Daily Log'!$V$7:$V$377,$A7)</f>
        <v>0</v>
      </c>
      <c r="T7" s="45">
        <f>SUMIFS('Daily Log'!$O$7:$O$377,'Daily Log'!$V$7:$V$377,$A7)</f>
        <v>0</v>
      </c>
      <c r="U7" s="45">
        <f>SUMIFS('Daily Log'!$P$7:$P$377,'Daily Log'!$V$7:$V$377,$A7)</f>
        <v>0</v>
      </c>
      <c r="V7" s="45">
        <f>SUMIFS('Daily Log'!$Q$7:$Q$377,'Daily Log'!$V$7:$V$377,$A7)</f>
        <v>0</v>
      </c>
      <c r="W7" s="45">
        <f>SUMIFS('Daily Log'!$R$7:$R$377,'Daily Log'!$V$7:$V$377,$A7)</f>
        <v>0</v>
      </c>
      <c r="X7" s="128">
        <f t="shared" ref="X7:X38" si="4">IF($H7=0,0,ROUND($G7*L7/$H7,0))</f>
        <v>1482125</v>
      </c>
      <c r="Y7" s="128">
        <f t="shared" ref="Y7:Y38" si="5">IF($H7=0,0,ROUND($G7*M7/$H7,0))</f>
        <v>1482125</v>
      </c>
      <c r="Z7" s="128">
        <f t="shared" ref="Z7:Z38" si="6">IF($H7=0,0,ROUND($G7*N7/$H7,0))</f>
        <v>1482125</v>
      </c>
      <c r="AA7" s="128">
        <f t="shared" ref="AA7:AA38" si="7">IF($H7=0,0,ROUND($G7*O7/$H7,0))</f>
        <v>1482125</v>
      </c>
      <c r="AB7" s="128">
        <f t="shared" ref="AB7:AB38" si="8">IF($H7=0,0,ROUND($G7*P7/$H7,0))</f>
        <v>0</v>
      </c>
      <c r="AC7" s="128">
        <f t="shared" ref="AC7:AC38" si="9">IF($H7=0,0,ROUND($G7*Q7/$H7,0))</f>
        <v>0</v>
      </c>
      <c r="AD7" s="128">
        <f t="shared" ref="AD7:AD38" si="10">IF($H7=0,0,ROUND($G7*R7/$H7,0))</f>
        <v>0</v>
      </c>
      <c r="AE7" s="128">
        <f t="shared" ref="AE7:AE38" si="11">IF($H7=0,0,ROUND($G7*S7/$H7,0))</f>
        <v>0</v>
      </c>
      <c r="AF7" s="128">
        <f t="shared" ref="AF7:AF38" si="12">IF($H7=0,0,ROUND($G7*T7/$H7,0))</f>
        <v>0</v>
      </c>
      <c r="AG7" s="128">
        <f t="shared" ref="AG7:AG38" si="13">IF($H7=0,0,ROUND($G7*U7/$H7,0))</f>
        <v>0</v>
      </c>
      <c r="AH7" s="128">
        <f t="shared" ref="AH7:AH38" si="14">IF($H7=0,0,ROUND($G7*V7/$H7,0))</f>
        <v>0</v>
      </c>
      <c r="AI7" s="128">
        <f t="shared" ref="AI7:AI38" si="15">IF($H7=0,0,ROUND($G7*W7/$H7,0))</f>
        <v>0</v>
      </c>
      <c r="AJ7" s="128">
        <f t="shared" ref="AJ7:AJ38" si="16">SUM(X7:AI7)</f>
        <v>5928500</v>
      </c>
      <c r="AK7" s="140">
        <f t="shared" ref="AK7:AK38" si="17">$AJ7-$G7</f>
        <v>0</v>
      </c>
      <c r="AL7" s="125"/>
    </row>
    <row r="8" spans="1:38" s="127" customFormat="1" ht="21" customHeight="1" x14ac:dyDescent="0.25">
      <c r="A8" s="117">
        <v>46293</v>
      </c>
      <c r="B8" s="49">
        <f t="shared" si="0"/>
        <v>46299</v>
      </c>
      <c r="C8" s="179">
        <f>SUMIFS('Daily Log'!$C$7:$C$377,'Daily Log'!$V$7:$V$377,$A8)</f>
        <v>0</v>
      </c>
      <c r="D8" s="179">
        <f>SUMIFS('Daily Log'!$D$7:$D$377,'Daily Log'!$V$7:$V$377,$A8)</f>
        <v>0</v>
      </c>
      <c r="E8" s="179">
        <f>SUMIFS('Daily Log'!$E$7:$E$377,'Daily Log'!$V$7:$V$377,$A8)</f>
        <v>0</v>
      </c>
      <c r="F8" s="179">
        <f>SUMIFS('Daily Log'!$F$7:$F$377,'Daily Log'!$V$7:$V$377,$A8)</f>
        <v>0</v>
      </c>
      <c r="G8" s="131">
        <f>SUMIFS('Daily Log'!$U$7:$U$377,'Daily Log'!$V$7:$V$377,$A8)</f>
        <v>0</v>
      </c>
      <c r="H8" s="179">
        <f>SUMIFS('Daily Log'!$S$7:$S$377,'Daily Log'!$V$7:$V$377,$A8)</f>
        <v>0</v>
      </c>
      <c r="I8" s="83" t="str">
        <f t="shared" si="1"/>
        <v/>
      </c>
      <c r="J8" s="65" t="str">
        <f t="shared" si="2"/>
        <v/>
      </c>
      <c r="K8" s="132" t="str">
        <f t="shared" si="3"/>
        <v/>
      </c>
      <c r="L8" s="51">
        <f>SUMIFS('Daily Log'!$G$7:$G$377,'Daily Log'!$V$7:$V$377,$A8)</f>
        <v>0</v>
      </c>
      <c r="M8" s="51">
        <f>SUMIFS('Daily Log'!$H$7:$H$377,'Daily Log'!$V$7:$V$377,$A8)</f>
        <v>0</v>
      </c>
      <c r="N8" s="51">
        <f>SUMIFS('Daily Log'!$I$7:$I$377,'Daily Log'!$V$7:$V$377,$A8)</f>
        <v>0</v>
      </c>
      <c r="O8" s="51">
        <f>SUMIFS('Daily Log'!$J$7:$J$377,'Daily Log'!$V$7:$V$377,$A8)</f>
        <v>0</v>
      </c>
      <c r="P8" s="51">
        <f>SUMIFS('Daily Log'!$K$7:$K$377,'Daily Log'!$V$7:$V$377,$A8)</f>
        <v>0</v>
      </c>
      <c r="Q8" s="51">
        <f>SUMIFS('Daily Log'!$L$7:$L$377,'Daily Log'!$V$7:$V$377,$A8)</f>
        <v>0</v>
      </c>
      <c r="R8" s="51">
        <f>SUMIFS('Daily Log'!$M$7:$M$377,'Daily Log'!$V$7:$V$377,$A8)</f>
        <v>0</v>
      </c>
      <c r="S8" s="51">
        <f>SUMIFS('Daily Log'!$N$7:$N$377,'Daily Log'!$V$7:$V$377,$A8)</f>
        <v>0</v>
      </c>
      <c r="T8" s="51">
        <f>SUMIFS('Daily Log'!$O$7:$O$377,'Daily Log'!$V$7:$V$377,$A8)</f>
        <v>0</v>
      </c>
      <c r="U8" s="51">
        <f>SUMIFS('Daily Log'!$P$7:$P$377,'Daily Log'!$V$7:$V$377,$A8)</f>
        <v>0</v>
      </c>
      <c r="V8" s="51">
        <f>SUMIFS('Daily Log'!$Q$7:$Q$377,'Daily Log'!$V$7:$V$377,$A8)</f>
        <v>0</v>
      </c>
      <c r="W8" s="51">
        <f>SUMIFS('Daily Log'!$R$7:$R$377,'Daily Log'!$V$7:$V$377,$A8)</f>
        <v>0</v>
      </c>
      <c r="X8" s="131">
        <f t="shared" si="4"/>
        <v>0</v>
      </c>
      <c r="Y8" s="131">
        <f t="shared" si="5"/>
        <v>0</v>
      </c>
      <c r="Z8" s="131">
        <f t="shared" si="6"/>
        <v>0</v>
      </c>
      <c r="AA8" s="131">
        <f t="shared" si="7"/>
        <v>0</v>
      </c>
      <c r="AB8" s="131">
        <f t="shared" si="8"/>
        <v>0</v>
      </c>
      <c r="AC8" s="131">
        <f t="shared" si="9"/>
        <v>0</v>
      </c>
      <c r="AD8" s="131">
        <f t="shared" si="10"/>
        <v>0</v>
      </c>
      <c r="AE8" s="131">
        <f t="shared" si="11"/>
        <v>0</v>
      </c>
      <c r="AF8" s="131">
        <f t="shared" si="12"/>
        <v>0</v>
      </c>
      <c r="AG8" s="131">
        <f t="shared" si="13"/>
        <v>0</v>
      </c>
      <c r="AH8" s="131">
        <f t="shared" si="14"/>
        <v>0</v>
      </c>
      <c r="AI8" s="131">
        <f t="shared" si="15"/>
        <v>0</v>
      </c>
      <c r="AJ8" s="131">
        <f t="shared" si="16"/>
        <v>0</v>
      </c>
      <c r="AK8" s="143">
        <f t="shared" si="17"/>
        <v>0</v>
      </c>
      <c r="AL8" s="125"/>
    </row>
    <row r="9" spans="1:38" s="127" customFormat="1" ht="21" customHeight="1" x14ac:dyDescent="0.25">
      <c r="A9" s="117">
        <v>46300</v>
      </c>
      <c r="B9" s="49">
        <f t="shared" si="0"/>
        <v>46306</v>
      </c>
      <c r="C9" s="179">
        <f>SUMIFS('Daily Log'!$C$7:$C$377,'Daily Log'!$V$7:$V$377,$A9)</f>
        <v>0</v>
      </c>
      <c r="D9" s="179">
        <f>SUMIFS('Daily Log'!$D$7:$D$377,'Daily Log'!$V$7:$V$377,$A9)</f>
        <v>0</v>
      </c>
      <c r="E9" s="179">
        <f>SUMIFS('Daily Log'!$E$7:$E$377,'Daily Log'!$V$7:$V$377,$A9)</f>
        <v>0</v>
      </c>
      <c r="F9" s="179">
        <f>SUMIFS('Daily Log'!$F$7:$F$377,'Daily Log'!$V$7:$V$377,$A9)</f>
        <v>0</v>
      </c>
      <c r="G9" s="131">
        <f>SUMIFS('Daily Log'!$U$7:$U$377,'Daily Log'!$V$7:$V$377,$A9)</f>
        <v>0</v>
      </c>
      <c r="H9" s="179">
        <f>SUMIFS('Daily Log'!$S$7:$S$377,'Daily Log'!$V$7:$V$377,$A9)</f>
        <v>0</v>
      </c>
      <c r="I9" s="83" t="str">
        <f t="shared" si="1"/>
        <v/>
      </c>
      <c r="J9" s="65" t="str">
        <f t="shared" si="2"/>
        <v/>
      </c>
      <c r="K9" s="132" t="str">
        <f t="shared" si="3"/>
        <v/>
      </c>
      <c r="L9" s="51">
        <f>SUMIFS('Daily Log'!$G$7:$G$377,'Daily Log'!$V$7:$V$377,$A9)</f>
        <v>0</v>
      </c>
      <c r="M9" s="51">
        <f>SUMIFS('Daily Log'!$H$7:$H$377,'Daily Log'!$V$7:$V$377,$A9)</f>
        <v>0</v>
      </c>
      <c r="N9" s="51">
        <f>SUMIFS('Daily Log'!$I$7:$I$377,'Daily Log'!$V$7:$V$377,$A9)</f>
        <v>0</v>
      </c>
      <c r="O9" s="51">
        <f>SUMIFS('Daily Log'!$J$7:$J$377,'Daily Log'!$V$7:$V$377,$A9)</f>
        <v>0</v>
      </c>
      <c r="P9" s="51">
        <f>SUMIFS('Daily Log'!$K$7:$K$377,'Daily Log'!$V$7:$V$377,$A9)</f>
        <v>0</v>
      </c>
      <c r="Q9" s="51">
        <f>SUMIFS('Daily Log'!$L$7:$L$377,'Daily Log'!$V$7:$V$377,$A9)</f>
        <v>0</v>
      </c>
      <c r="R9" s="51">
        <f>SUMIFS('Daily Log'!$M$7:$M$377,'Daily Log'!$V$7:$V$377,$A9)</f>
        <v>0</v>
      </c>
      <c r="S9" s="51">
        <f>SUMIFS('Daily Log'!$N$7:$N$377,'Daily Log'!$V$7:$V$377,$A9)</f>
        <v>0</v>
      </c>
      <c r="T9" s="51">
        <f>SUMIFS('Daily Log'!$O$7:$O$377,'Daily Log'!$V$7:$V$377,$A9)</f>
        <v>0</v>
      </c>
      <c r="U9" s="51">
        <f>SUMIFS('Daily Log'!$P$7:$P$377,'Daily Log'!$V$7:$V$377,$A9)</f>
        <v>0</v>
      </c>
      <c r="V9" s="51">
        <f>SUMIFS('Daily Log'!$Q$7:$Q$377,'Daily Log'!$V$7:$V$377,$A9)</f>
        <v>0</v>
      </c>
      <c r="W9" s="51">
        <f>SUMIFS('Daily Log'!$R$7:$R$377,'Daily Log'!$V$7:$V$377,$A9)</f>
        <v>0</v>
      </c>
      <c r="X9" s="131">
        <f t="shared" si="4"/>
        <v>0</v>
      </c>
      <c r="Y9" s="131">
        <f t="shared" si="5"/>
        <v>0</v>
      </c>
      <c r="Z9" s="131">
        <f t="shared" si="6"/>
        <v>0</v>
      </c>
      <c r="AA9" s="131">
        <f t="shared" si="7"/>
        <v>0</v>
      </c>
      <c r="AB9" s="131">
        <f t="shared" si="8"/>
        <v>0</v>
      </c>
      <c r="AC9" s="131">
        <f t="shared" si="9"/>
        <v>0</v>
      </c>
      <c r="AD9" s="131">
        <f t="shared" si="10"/>
        <v>0</v>
      </c>
      <c r="AE9" s="131">
        <f t="shared" si="11"/>
        <v>0</v>
      </c>
      <c r="AF9" s="131">
        <f t="shared" si="12"/>
        <v>0</v>
      </c>
      <c r="AG9" s="131">
        <f t="shared" si="13"/>
        <v>0</v>
      </c>
      <c r="AH9" s="131">
        <f t="shared" si="14"/>
        <v>0</v>
      </c>
      <c r="AI9" s="131">
        <f t="shared" si="15"/>
        <v>0</v>
      </c>
      <c r="AJ9" s="131">
        <f t="shared" si="16"/>
        <v>0</v>
      </c>
      <c r="AK9" s="143">
        <f t="shared" si="17"/>
        <v>0</v>
      </c>
      <c r="AL9" s="125"/>
    </row>
    <row r="10" spans="1:38" s="127" customFormat="1" ht="21" customHeight="1" x14ac:dyDescent="0.25">
      <c r="A10" s="117">
        <v>46307</v>
      </c>
      <c r="B10" s="49">
        <f t="shared" si="0"/>
        <v>46313</v>
      </c>
      <c r="C10" s="179">
        <f>SUMIFS('Daily Log'!$C$7:$C$377,'Daily Log'!$V$7:$V$377,$A10)</f>
        <v>0</v>
      </c>
      <c r="D10" s="179">
        <f>SUMIFS('Daily Log'!$D$7:$D$377,'Daily Log'!$V$7:$V$377,$A10)</f>
        <v>0</v>
      </c>
      <c r="E10" s="179">
        <f>SUMIFS('Daily Log'!$E$7:$E$377,'Daily Log'!$V$7:$V$377,$A10)</f>
        <v>0</v>
      </c>
      <c r="F10" s="179">
        <f>SUMIFS('Daily Log'!$F$7:$F$377,'Daily Log'!$V$7:$V$377,$A10)</f>
        <v>0</v>
      </c>
      <c r="G10" s="131">
        <f>SUMIFS('Daily Log'!$U$7:$U$377,'Daily Log'!$V$7:$V$377,$A10)</f>
        <v>0</v>
      </c>
      <c r="H10" s="179">
        <f>SUMIFS('Daily Log'!$S$7:$S$377,'Daily Log'!$V$7:$V$377,$A10)</f>
        <v>0</v>
      </c>
      <c r="I10" s="83" t="str">
        <f t="shared" si="1"/>
        <v/>
      </c>
      <c r="J10" s="65" t="str">
        <f t="shared" si="2"/>
        <v/>
      </c>
      <c r="K10" s="132" t="str">
        <f t="shared" si="3"/>
        <v/>
      </c>
      <c r="L10" s="51">
        <f>SUMIFS('Daily Log'!$G$7:$G$377,'Daily Log'!$V$7:$V$377,$A10)</f>
        <v>0</v>
      </c>
      <c r="M10" s="51">
        <f>SUMIFS('Daily Log'!$H$7:$H$377,'Daily Log'!$V$7:$V$377,$A10)</f>
        <v>0</v>
      </c>
      <c r="N10" s="51">
        <f>SUMIFS('Daily Log'!$I$7:$I$377,'Daily Log'!$V$7:$V$377,$A10)</f>
        <v>0</v>
      </c>
      <c r="O10" s="51">
        <f>SUMIFS('Daily Log'!$J$7:$J$377,'Daily Log'!$V$7:$V$377,$A10)</f>
        <v>0</v>
      </c>
      <c r="P10" s="51">
        <f>SUMIFS('Daily Log'!$K$7:$K$377,'Daily Log'!$V$7:$V$377,$A10)</f>
        <v>0</v>
      </c>
      <c r="Q10" s="51">
        <f>SUMIFS('Daily Log'!$L$7:$L$377,'Daily Log'!$V$7:$V$377,$A10)</f>
        <v>0</v>
      </c>
      <c r="R10" s="51">
        <f>SUMIFS('Daily Log'!$M$7:$M$377,'Daily Log'!$V$7:$V$377,$A10)</f>
        <v>0</v>
      </c>
      <c r="S10" s="51">
        <f>SUMIFS('Daily Log'!$N$7:$N$377,'Daily Log'!$V$7:$V$377,$A10)</f>
        <v>0</v>
      </c>
      <c r="T10" s="51">
        <f>SUMIFS('Daily Log'!$O$7:$O$377,'Daily Log'!$V$7:$V$377,$A10)</f>
        <v>0</v>
      </c>
      <c r="U10" s="51">
        <f>SUMIFS('Daily Log'!$P$7:$P$377,'Daily Log'!$V$7:$V$377,$A10)</f>
        <v>0</v>
      </c>
      <c r="V10" s="51">
        <f>SUMIFS('Daily Log'!$Q$7:$Q$377,'Daily Log'!$V$7:$V$377,$A10)</f>
        <v>0</v>
      </c>
      <c r="W10" s="51">
        <f>SUMIFS('Daily Log'!$R$7:$R$377,'Daily Log'!$V$7:$V$377,$A10)</f>
        <v>0</v>
      </c>
      <c r="X10" s="131">
        <f t="shared" si="4"/>
        <v>0</v>
      </c>
      <c r="Y10" s="131">
        <f t="shared" si="5"/>
        <v>0</v>
      </c>
      <c r="Z10" s="131">
        <f t="shared" si="6"/>
        <v>0</v>
      </c>
      <c r="AA10" s="131">
        <f t="shared" si="7"/>
        <v>0</v>
      </c>
      <c r="AB10" s="131">
        <f t="shared" si="8"/>
        <v>0</v>
      </c>
      <c r="AC10" s="131">
        <f t="shared" si="9"/>
        <v>0</v>
      </c>
      <c r="AD10" s="131">
        <f t="shared" si="10"/>
        <v>0</v>
      </c>
      <c r="AE10" s="131">
        <f t="shared" si="11"/>
        <v>0</v>
      </c>
      <c r="AF10" s="131">
        <f t="shared" si="12"/>
        <v>0</v>
      </c>
      <c r="AG10" s="131">
        <f t="shared" si="13"/>
        <v>0</v>
      </c>
      <c r="AH10" s="131">
        <f t="shared" si="14"/>
        <v>0</v>
      </c>
      <c r="AI10" s="131">
        <f t="shared" si="15"/>
        <v>0</v>
      </c>
      <c r="AJ10" s="131">
        <f t="shared" si="16"/>
        <v>0</v>
      </c>
      <c r="AK10" s="143">
        <f t="shared" si="17"/>
        <v>0</v>
      </c>
      <c r="AL10" s="125"/>
    </row>
    <row r="11" spans="1:38" s="127" customFormat="1" ht="21" customHeight="1" x14ac:dyDescent="0.25">
      <c r="A11" s="117">
        <v>46314</v>
      </c>
      <c r="B11" s="49">
        <f t="shared" si="0"/>
        <v>46320</v>
      </c>
      <c r="C11" s="179">
        <f>SUMIFS('Daily Log'!$C$7:$C$377,'Daily Log'!$V$7:$V$377,$A11)</f>
        <v>0</v>
      </c>
      <c r="D11" s="179">
        <f>SUMIFS('Daily Log'!$D$7:$D$377,'Daily Log'!$V$7:$V$377,$A11)</f>
        <v>0</v>
      </c>
      <c r="E11" s="179">
        <f>SUMIFS('Daily Log'!$E$7:$E$377,'Daily Log'!$V$7:$V$377,$A11)</f>
        <v>0</v>
      </c>
      <c r="F11" s="179">
        <f>SUMIFS('Daily Log'!$F$7:$F$377,'Daily Log'!$V$7:$V$377,$A11)</f>
        <v>0</v>
      </c>
      <c r="G11" s="131">
        <f>SUMIFS('Daily Log'!$U$7:$U$377,'Daily Log'!$V$7:$V$377,$A11)</f>
        <v>0</v>
      </c>
      <c r="H11" s="179">
        <f>SUMIFS('Daily Log'!$S$7:$S$377,'Daily Log'!$V$7:$V$377,$A11)</f>
        <v>0</v>
      </c>
      <c r="I11" s="83" t="str">
        <f t="shared" si="1"/>
        <v/>
      </c>
      <c r="J11" s="65" t="str">
        <f t="shared" si="2"/>
        <v/>
      </c>
      <c r="K11" s="132" t="str">
        <f t="shared" si="3"/>
        <v/>
      </c>
      <c r="L11" s="51">
        <f>SUMIFS('Daily Log'!$G$7:$G$377,'Daily Log'!$V$7:$V$377,$A11)</f>
        <v>0</v>
      </c>
      <c r="M11" s="51">
        <f>SUMIFS('Daily Log'!$H$7:$H$377,'Daily Log'!$V$7:$V$377,$A11)</f>
        <v>0</v>
      </c>
      <c r="N11" s="51">
        <f>SUMIFS('Daily Log'!$I$7:$I$377,'Daily Log'!$V$7:$V$377,$A11)</f>
        <v>0</v>
      </c>
      <c r="O11" s="51">
        <f>SUMIFS('Daily Log'!$J$7:$J$377,'Daily Log'!$V$7:$V$377,$A11)</f>
        <v>0</v>
      </c>
      <c r="P11" s="51">
        <f>SUMIFS('Daily Log'!$K$7:$K$377,'Daily Log'!$V$7:$V$377,$A11)</f>
        <v>0</v>
      </c>
      <c r="Q11" s="51">
        <f>SUMIFS('Daily Log'!$L$7:$L$377,'Daily Log'!$V$7:$V$377,$A11)</f>
        <v>0</v>
      </c>
      <c r="R11" s="51">
        <f>SUMIFS('Daily Log'!$M$7:$M$377,'Daily Log'!$V$7:$V$377,$A11)</f>
        <v>0</v>
      </c>
      <c r="S11" s="51">
        <f>SUMIFS('Daily Log'!$N$7:$N$377,'Daily Log'!$V$7:$V$377,$A11)</f>
        <v>0</v>
      </c>
      <c r="T11" s="51">
        <f>SUMIFS('Daily Log'!$O$7:$O$377,'Daily Log'!$V$7:$V$377,$A11)</f>
        <v>0</v>
      </c>
      <c r="U11" s="51">
        <f>SUMIFS('Daily Log'!$P$7:$P$377,'Daily Log'!$V$7:$V$377,$A11)</f>
        <v>0</v>
      </c>
      <c r="V11" s="51">
        <f>SUMIFS('Daily Log'!$Q$7:$Q$377,'Daily Log'!$V$7:$V$377,$A11)</f>
        <v>0</v>
      </c>
      <c r="W11" s="51">
        <f>SUMIFS('Daily Log'!$R$7:$R$377,'Daily Log'!$V$7:$V$377,$A11)</f>
        <v>0</v>
      </c>
      <c r="X11" s="131">
        <f t="shared" si="4"/>
        <v>0</v>
      </c>
      <c r="Y11" s="131">
        <f t="shared" si="5"/>
        <v>0</v>
      </c>
      <c r="Z11" s="131">
        <f t="shared" si="6"/>
        <v>0</v>
      </c>
      <c r="AA11" s="131">
        <f t="shared" si="7"/>
        <v>0</v>
      </c>
      <c r="AB11" s="131">
        <f t="shared" si="8"/>
        <v>0</v>
      </c>
      <c r="AC11" s="131">
        <f t="shared" si="9"/>
        <v>0</v>
      </c>
      <c r="AD11" s="131">
        <f t="shared" si="10"/>
        <v>0</v>
      </c>
      <c r="AE11" s="131">
        <f t="shared" si="11"/>
        <v>0</v>
      </c>
      <c r="AF11" s="131">
        <f t="shared" si="12"/>
        <v>0</v>
      </c>
      <c r="AG11" s="131">
        <f t="shared" si="13"/>
        <v>0</v>
      </c>
      <c r="AH11" s="131">
        <f t="shared" si="14"/>
        <v>0</v>
      </c>
      <c r="AI11" s="131">
        <f t="shared" si="15"/>
        <v>0</v>
      </c>
      <c r="AJ11" s="131">
        <f t="shared" si="16"/>
        <v>0</v>
      </c>
      <c r="AK11" s="143">
        <f t="shared" si="17"/>
        <v>0</v>
      </c>
      <c r="AL11" s="125"/>
    </row>
    <row r="12" spans="1:38" s="127" customFormat="1" ht="21" customHeight="1" x14ac:dyDescent="0.25">
      <c r="A12" s="117">
        <v>46321</v>
      </c>
      <c r="B12" s="49">
        <f t="shared" si="0"/>
        <v>46327</v>
      </c>
      <c r="C12" s="179">
        <f>SUMIFS('Daily Log'!$C$7:$C$377,'Daily Log'!$V$7:$V$377,$A12)</f>
        <v>0</v>
      </c>
      <c r="D12" s="179">
        <f>SUMIFS('Daily Log'!$D$7:$D$377,'Daily Log'!$V$7:$V$377,$A12)</f>
        <v>0</v>
      </c>
      <c r="E12" s="179">
        <f>SUMIFS('Daily Log'!$E$7:$E$377,'Daily Log'!$V$7:$V$377,$A12)</f>
        <v>0</v>
      </c>
      <c r="F12" s="179">
        <f>SUMIFS('Daily Log'!$F$7:$F$377,'Daily Log'!$V$7:$V$377,$A12)</f>
        <v>0</v>
      </c>
      <c r="G12" s="131">
        <f>SUMIFS('Daily Log'!$U$7:$U$377,'Daily Log'!$V$7:$V$377,$A12)</f>
        <v>0</v>
      </c>
      <c r="H12" s="179">
        <f>SUMIFS('Daily Log'!$S$7:$S$377,'Daily Log'!$V$7:$V$377,$A12)</f>
        <v>0</v>
      </c>
      <c r="I12" s="83" t="str">
        <f t="shared" si="1"/>
        <v/>
      </c>
      <c r="J12" s="65" t="str">
        <f t="shared" si="2"/>
        <v/>
      </c>
      <c r="K12" s="132" t="str">
        <f t="shared" si="3"/>
        <v/>
      </c>
      <c r="L12" s="51">
        <f>SUMIFS('Daily Log'!$G$7:$G$377,'Daily Log'!$V$7:$V$377,$A12)</f>
        <v>0</v>
      </c>
      <c r="M12" s="51">
        <f>SUMIFS('Daily Log'!$H$7:$H$377,'Daily Log'!$V$7:$V$377,$A12)</f>
        <v>0</v>
      </c>
      <c r="N12" s="51">
        <f>SUMIFS('Daily Log'!$I$7:$I$377,'Daily Log'!$V$7:$V$377,$A12)</f>
        <v>0</v>
      </c>
      <c r="O12" s="51">
        <f>SUMIFS('Daily Log'!$J$7:$J$377,'Daily Log'!$V$7:$V$377,$A12)</f>
        <v>0</v>
      </c>
      <c r="P12" s="51">
        <f>SUMIFS('Daily Log'!$K$7:$K$377,'Daily Log'!$V$7:$V$377,$A12)</f>
        <v>0</v>
      </c>
      <c r="Q12" s="51">
        <f>SUMIFS('Daily Log'!$L$7:$L$377,'Daily Log'!$V$7:$V$377,$A12)</f>
        <v>0</v>
      </c>
      <c r="R12" s="51">
        <f>SUMIFS('Daily Log'!$M$7:$M$377,'Daily Log'!$V$7:$V$377,$A12)</f>
        <v>0</v>
      </c>
      <c r="S12" s="51">
        <f>SUMIFS('Daily Log'!$N$7:$N$377,'Daily Log'!$V$7:$V$377,$A12)</f>
        <v>0</v>
      </c>
      <c r="T12" s="51">
        <f>SUMIFS('Daily Log'!$O$7:$O$377,'Daily Log'!$V$7:$V$377,$A12)</f>
        <v>0</v>
      </c>
      <c r="U12" s="51">
        <f>SUMIFS('Daily Log'!$P$7:$P$377,'Daily Log'!$V$7:$V$377,$A12)</f>
        <v>0</v>
      </c>
      <c r="V12" s="51">
        <f>SUMIFS('Daily Log'!$Q$7:$Q$377,'Daily Log'!$V$7:$V$377,$A12)</f>
        <v>0</v>
      </c>
      <c r="W12" s="51">
        <f>SUMIFS('Daily Log'!$R$7:$R$377,'Daily Log'!$V$7:$V$377,$A12)</f>
        <v>0</v>
      </c>
      <c r="X12" s="131">
        <f t="shared" si="4"/>
        <v>0</v>
      </c>
      <c r="Y12" s="131">
        <f t="shared" si="5"/>
        <v>0</v>
      </c>
      <c r="Z12" s="131">
        <f t="shared" si="6"/>
        <v>0</v>
      </c>
      <c r="AA12" s="131">
        <f t="shared" si="7"/>
        <v>0</v>
      </c>
      <c r="AB12" s="131">
        <f t="shared" si="8"/>
        <v>0</v>
      </c>
      <c r="AC12" s="131">
        <f t="shared" si="9"/>
        <v>0</v>
      </c>
      <c r="AD12" s="131">
        <f t="shared" si="10"/>
        <v>0</v>
      </c>
      <c r="AE12" s="131">
        <f t="shared" si="11"/>
        <v>0</v>
      </c>
      <c r="AF12" s="131">
        <f t="shared" si="12"/>
        <v>0</v>
      </c>
      <c r="AG12" s="131">
        <f t="shared" si="13"/>
        <v>0</v>
      </c>
      <c r="AH12" s="131">
        <f t="shared" si="14"/>
        <v>0</v>
      </c>
      <c r="AI12" s="131">
        <f t="shared" si="15"/>
        <v>0</v>
      </c>
      <c r="AJ12" s="131">
        <f t="shared" si="16"/>
        <v>0</v>
      </c>
      <c r="AK12" s="143">
        <f t="shared" si="17"/>
        <v>0</v>
      </c>
      <c r="AL12" s="125"/>
    </row>
    <row r="13" spans="1:38" s="127" customFormat="1" ht="21" customHeight="1" x14ac:dyDescent="0.25">
      <c r="A13" s="117">
        <v>46328</v>
      </c>
      <c r="B13" s="49">
        <f t="shared" si="0"/>
        <v>46334</v>
      </c>
      <c r="C13" s="179">
        <f>SUMIFS('Daily Log'!$C$7:$C$377,'Daily Log'!$V$7:$V$377,$A13)</f>
        <v>0</v>
      </c>
      <c r="D13" s="179">
        <f>SUMIFS('Daily Log'!$D$7:$D$377,'Daily Log'!$V$7:$V$377,$A13)</f>
        <v>0</v>
      </c>
      <c r="E13" s="179">
        <f>SUMIFS('Daily Log'!$E$7:$E$377,'Daily Log'!$V$7:$V$377,$A13)</f>
        <v>0</v>
      </c>
      <c r="F13" s="179">
        <f>SUMIFS('Daily Log'!$F$7:$F$377,'Daily Log'!$V$7:$V$377,$A13)</f>
        <v>0</v>
      </c>
      <c r="G13" s="131">
        <f>SUMIFS('Daily Log'!$U$7:$U$377,'Daily Log'!$V$7:$V$377,$A13)</f>
        <v>0</v>
      </c>
      <c r="H13" s="179">
        <f>SUMIFS('Daily Log'!$S$7:$S$377,'Daily Log'!$V$7:$V$377,$A13)</f>
        <v>0</v>
      </c>
      <c r="I13" s="83" t="str">
        <f t="shared" si="1"/>
        <v/>
      </c>
      <c r="J13" s="65" t="str">
        <f t="shared" si="2"/>
        <v/>
      </c>
      <c r="K13" s="132" t="str">
        <f t="shared" si="3"/>
        <v/>
      </c>
      <c r="L13" s="51">
        <f>SUMIFS('Daily Log'!$G$7:$G$377,'Daily Log'!$V$7:$V$377,$A13)</f>
        <v>0</v>
      </c>
      <c r="M13" s="51">
        <f>SUMIFS('Daily Log'!$H$7:$H$377,'Daily Log'!$V$7:$V$377,$A13)</f>
        <v>0</v>
      </c>
      <c r="N13" s="51">
        <f>SUMIFS('Daily Log'!$I$7:$I$377,'Daily Log'!$V$7:$V$377,$A13)</f>
        <v>0</v>
      </c>
      <c r="O13" s="51">
        <f>SUMIFS('Daily Log'!$J$7:$J$377,'Daily Log'!$V$7:$V$377,$A13)</f>
        <v>0</v>
      </c>
      <c r="P13" s="51">
        <f>SUMIFS('Daily Log'!$K$7:$K$377,'Daily Log'!$V$7:$V$377,$A13)</f>
        <v>0</v>
      </c>
      <c r="Q13" s="51">
        <f>SUMIFS('Daily Log'!$L$7:$L$377,'Daily Log'!$V$7:$V$377,$A13)</f>
        <v>0</v>
      </c>
      <c r="R13" s="51">
        <f>SUMIFS('Daily Log'!$M$7:$M$377,'Daily Log'!$V$7:$V$377,$A13)</f>
        <v>0</v>
      </c>
      <c r="S13" s="51">
        <f>SUMIFS('Daily Log'!$N$7:$N$377,'Daily Log'!$V$7:$V$377,$A13)</f>
        <v>0</v>
      </c>
      <c r="T13" s="51">
        <f>SUMIFS('Daily Log'!$O$7:$O$377,'Daily Log'!$V$7:$V$377,$A13)</f>
        <v>0</v>
      </c>
      <c r="U13" s="51">
        <f>SUMIFS('Daily Log'!$P$7:$P$377,'Daily Log'!$V$7:$V$377,$A13)</f>
        <v>0</v>
      </c>
      <c r="V13" s="51">
        <f>SUMIFS('Daily Log'!$Q$7:$Q$377,'Daily Log'!$V$7:$V$377,$A13)</f>
        <v>0</v>
      </c>
      <c r="W13" s="51">
        <f>SUMIFS('Daily Log'!$R$7:$R$377,'Daily Log'!$V$7:$V$377,$A13)</f>
        <v>0</v>
      </c>
      <c r="X13" s="131">
        <f t="shared" si="4"/>
        <v>0</v>
      </c>
      <c r="Y13" s="131">
        <f t="shared" si="5"/>
        <v>0</v>
      </c>
      <c r="Z13" s="131">
        <f t="shared" si="6"/>
        <v>0</v>
      </c>
      <c r="AA13" s="131">
        <f t="shared" si="7"/>
        <v>0</v>
      </c>
      <c r="AB13" s="131">
        <f t="shared" si="8"/>
        <v>0</v>
      </c>
      <c r="AC13" s="131">
        <f t="shared" si="9"/>
        <v>0</v>
      </c>
      <c r="AD13" s="131">
        <f t="shared" si="10"/>
        <v>0</v>
      </c>
      <c r="AE13" s="131">
        <f t="shared" si="11"/>
        <v>0</v>
      </c>
      <c r="AF13" s="131">
        <f t="shared" si="12"/>
        <v>0</v>
      </c>
      <c r="AG13" s="131">
        <f t="shared" si="13"/>
        <v>0</v>
      </c>
      <c r="AH13" s="131">
        <f t="shared" si="14"/>
        <v>0</v>
      </c>
      <c r="AI13" s="131">
        <f t="shared" si="15"/>
        <v>0</v>
      </c>
      <c r="AJ13" s="131">
        <f t="shared" si="16"/>
        <v>0</v>
      </c>
      <c r="AK13" s="143">
        <f t="shared" si="17"/>
        <v>0</v>
      </c>
      <c r="AL13" s="125"/>
    </row>
    <row r="14" spans="1:38" s="127" customFormat="1" ht="21" customHeight="1" x14ac:dyDescent="0.25">
      <c r="A14" s="117">
        <v>46335</v>
      </c>
      <c r="B14" s="49">
        <f t="shared" si="0"/>
        <v>46341</v>
      </c>
      <c r="C14" s="179">
        <f>SUMIFS('Daily Log'!$C$7:$C$377,'Daily Log'!$V$7:$V$377,$A14)</f>
        <v>0</v>
      </c>
      <c r="D14" s="179">
        <f>SUMIFS('Daily Log'!$D$7:$D$377,'Daily Log'!$V$7:$V$377,$A14)</f>
        <v>0</v>
      </c>
      <c r="E14" s="179">
        <f>SUMIFS('Daily Log'!$E$7:$E$377,'Daily Log'!$V$7:$V$377,$A14)</f>
        <v>0</v>
      </c>
      <c r="F14" s="179">
        <f>SUMIFS('Daily Log'!$F$7:$F$377,'Daily Log'!$V$7:$V$377,$A14)</f>
        <v>0</v>
      </c>
      <c r="G14" s="131">
        <f>SUMIFS('Daily Log'!$U$7:$U$377,'Daily Log'!$V$7:$V$377,$A14)</f>
        <v>0</v>
      </c>
      <c r="H14" s="179">
        <f>SUMIFS('Daily Log'!$S$7:$S$377,'Daily Log'!$V$7:$V$377,$A14)</f>
        <v>0</v>
      </c>
      <c r="I14" s="83" t="str">
        <f t="shared" si="1"/>
        <v/>
      </c>
      <c r="J14" s="65" t="str">
        <f t="shared" si="2"/>
        <v/>
      </c>
      <c r="K14" s="132" t="str">
        <f t="shared" si="3"/>
        <v/>
      </c>
      <c r="L14" s="51">
        <f>SUMIFS('Daily Log'!$G$7:$G$377,'Daily Log'!$V$7:$V$377,$A14)</f>
        <v>0</v>
      </c>
      <c r="M14" s="51">
        <f>SUMIFS('Daily Log'!$H$7:$H$377,'Daily Log'!$V$7:$V$377,$A14)</f>
        <v>0</v>
      </c>
      <c r="N14" s="51">
        <f>SUMIFS('Daily Log'!$I$7:$I$377,'Daily Log'!$V$7:$V$377,$A14)</f>
        <v>0</v>
      </c>
      <c r="O14" s="51">
        <f>SUMIFS('Daily Log'!$J$7:$J$377,'Daily Log'!$V$7:$V$377,$A14)</f>
        <v>0</v>
      </c>
      <c r="P14" s="51">
        <f>SUMIFS('Daily Log'!$K$7:$K$377,'Daily Log'!$V$7:$V$377,$A14)</f>
        <v>0</v>
      </c>
      <c r="Q14" s="51">
        <f>SUMIFS('Daily Log'!$L$7:$L$377,'Daily Log'!$V$7:$V$377,$A14)</f>
        <v>0</v>
      </c>
      <c r="R14" s="51">
        <f>SUMIFS('Daily Log'!$M$7:$M$377,'Daily Log'!$V$7:$V$377,$A14)</f>
        <v>0</v>
      </c>
      <c r="S14" s="51">
        <f>SUMIFS('Daily Log'!$N$7:$N$377,'Daily Log'!$V$7:$V$377,$A14)</f>
        <v>0</v>
      </c>
      <c r="T14" s="51">
        <f>SUMIFS('Daily Log'!$O$7:$O$377,'Daily Log'!$V$7:$V$377,$A14)</f>
        <v>0</v>
      </c>
      <c r="U14" s="51">
        <f>SUMIFS('Daily Log'!$P$7:$P$377,'Daily Log'!$V$7:$V$377,$A14)</f>
        <v>0</v>
      </c>
      <c r="V14" s="51">
        <f>SUMIFS('Daily Log'!$Q$7:$Q$377,'Daily Log'!$V$7:$V$377,$A14)</f>
        <v>0</v>
      </c>
      <c r="W14" s="51">
        <f>SUMIFS('Daily Log'!$R$7:$R$377,'Daily Log'!$V$7:$V$377,$A14)</f>
        <v>0</v>
      </c>
      <c r="X14" s="131">
        <f t="shared" si="4"/>
        <v>0</v>
      </c>
      <c r="Y14" s="131">
        <f t="shared" si="5"/>
        <v>0</v>
      </c>
      <c r="Z14" s="131">
        <f t="shared" si="6"/>
        <v>0</v>
      </c>
      <c r="AA14" s="131">
        <f t="shared" si="7"/>
        <v>0</v>
      </c>
      <c r="AB14" s="131">
        <f t="shared" si="8"/>
        <v>0</v>
      </c>
      <c r="AC14" s="131">
        <f t="shared" si="9"/>
        <v>0</v>
      </c>
      <c r="AD14" s="131">
        <f t="shared" si="10"/>
        <v>0</v>
      </c>
      <c r="AE14" s="131">
        <f t="shared" si="11"/>
        <v>0</v>
      </c>
      <c r="AF14" s="131">
        <f t="shared" si="12"/>
        <v>0</v>
      </c>
      <c r="AG14" s="131">
        <f t="shared" si="13"/>
        <v>0</v>
      </c>
      <c r="AH14" s="131">
        <f t="shared" si="14"/>
        <v>0</v>
      </c>
      <c r="AI14" s="131">
        <f t="shared" si="15"/>
        <v>0</v>
      </c>
      <c r="AJ14" s="131">
        <f t="shared" si="16"/>
        <v>0</v>
      </c>
      <c r="AK14" s="143">
        <f t="shared" si="17"/>
        <v>0</v>
      </c>
      <c r="AL14" s="125"/>
    </row>
    <row r="15" spans="1:38" s="127" customFormat="1" ht="21" customHeight="1" x14ac:dyDescent="0.25">
      <c r="A15" s="117">
        <v>46342</v>
      </c>
      <c r="B15" s="49">
        <f t="shared" si="0"/>
        <v>46348</v>
      </c>
      <c r="C15" s="179">
        <f>SUMIFS('Daily Log'!$C$7:$C$377,'Daily Log'!$V$7:$V$377,$A15)</f>
        <v>0</v>
      </c>
      <c r="D15" s="179">
        <f>SUMIFS('Daily Log'!$D$7:$D$377,'Daily Log'!$V$7:$V$377,$A15)</f>
        <v>0</v>
      </c>
      <c r="E15" s="179">
        <f>SUMIFS('Daily Log'!$E$7:$E$377,'Daily Log'!$V$7:$V$377,$A15)</f>
        <v>0</v>
      </c>
      <c r="F15" s="179">
        <f>SUMIFS('Daily Log'!$F$7:$F$377,'Daily Log'!$V$7:$V$377,$A15)</f>
        <v>0</v>
      </c>
      <c r="G15" s="131">
        <f>SUMIFS('Daily Log'!$U$7:$U$377,'Daily Log'!$V$7:$V$377,$A15)</f>
        <v>0</v>
      </c>
      <c r="H15" s="179">
        <f>SUMIFS('Daily Log'!$S$7:$S$377,'Daily Log'!$V$7:$V$377,$A15)</f>
        <v>0</v>
      </c>
      <c r="I15" s="83" t="str">
        <f t="shared" si="1"/>
        <v/>
      </c>
      <c r="J15" s="65" t="str">
        <f t="shared" si="2"/>
        <v/>
      </c>
      <c r="K15" s="132" t="str">
        <f t="shared" si="3"/>
        <v/>
      </c>
      <c r="L15" s="51">
        <f>SUMIFS('Daily Log'!$G$7:$G$377,'Daily Log'!$V$7:$V$377,$A15)</f>
        <v>0</v>
      </c>
      <c r="M15" s="51">
        <f>SUMIFS('Daily Log'!$H$7:$H$377,'Daily Log'!$V$7:$V$377,$A15)</f>
        <v>0</v>
      </c>
      <c r="N15" s="51">
        <f>SUMIFS('Daily Log'!$I$7:$I$377,'Daily Log'!$V$7:$V$377,$A15)</f>
        <v>0</v>
      </c>
      <c r="O15" s="51">
        <f>SUMIFS('Daily Log'!$J$7:$J$377,'Daily Log'!$V$7:$V$377,$A15)</f>
        <v>0</v>
      </c>
      <c r="P15" s="51">
        <f>SUMIFS('Daily Log'!$K$7:$K$377,'Daily Log'!$V$7:$V$377,$A15)</f>
        <v>0</v>
      </c>
      <c r="Q15" s="51">
        <f>SUMIFS('Daily Log'!$L$7:$L$377,'Daily Log'!$V$7:$V$377,$A15)</f>
        <v>0</v>
      </c>
      <c r="R15" s="51">
        <f>SUMIFS('Daily Log'!$M$7:$M$377,'Daily Log'!$V$7:$V$377,$A15)</f>
        <v>0</v>
      </c>
      <c r="S15" s="51">
        <f>SUMIFS('Daily Log'!$N$7:$N$377,'Daily Log'!$V$7:$V$377,$A15)</f>
        <v>0</v>
      </c>
      <c r="T15" s="51">
        <f>SUMIFS('Daily Log'!$O$7:$O$377,'Daily Log'!$V$7:$V$377,$A15)</f>
        <v>0</v>
      </c>
      <c r="U15" s="51">
        <f>SUMIFS('Daily Log'!$P$7:$P$377,'Daily Log'!$V$7:$V$377,$A15)</f>
        <v>0</v>
      </c>
      <c r="V15" s="51">
        <f>SUMIFS('Daily Log'!$Q$7:$Q$377,'Daily Log'!$V$7:$V$377,$A15)</f>
        <v>0</v>
      </c>
      <c r="W15" s="51">
        <f>SUMIFS('Daily Log'!$R$7:$R$377,'Daily Log'!$V$7:$V$377,$A15)</f>
        <v>0</v>
      </c>
      <c r="X15" s="131">
        <f t="shared" si="4"/>
        <v>0</v>
      </c>
      <c r="Y15" s="131">
        <f t="shared" si="5"/>
        <v>0</v>
      </c>
      <c r="Z15" s="131">
        <f t="shared" si="6"/>
        <v>0</v>
      </c>
      <c r="AA15" s="131">
        <f t="shared" si="7"/>
        <v>0</v>
      </c>
      <c r="AB15" s="131">
        <f t="shared" si="8"/>
        <v>0</v>
      </c>
      <c r="AC15" s="131">
        <f t="shared" si="9"/>
        <v>0</v>
      </c>
      <c r="AD15" s="131">
        <f t="shared" si="10"/>
        <v>0</v>
      </c>
      <c r="AE15" s="131">
        <f t="shared" si="11"/>
        <v>0</v>
      </c>
      <c r="AF15" s="131">
        <f t="shared" si="12"/>
        <v>0</v>
      </c>
      <c r="AG15" s="131">
        <f t="shared" si="13"/>
        <v>0</v>
      </c>
      <c r="AH15" s="131">
        <f t="shared" si="14"/>
        <v>0</v>
      </c>
      <c r="AI15" s="131">
        <f t="shared" si="15"/>
        <v>0</v>
      </c>
      <c r="AJ15" s="131">
        <f t="shared" si="16"/>
        <v>0</v>
      </c>
      <c r="AK15" s="143">
        <f t="shared" si="17"/>
        <v>0</v>
      </c>
      <c r="AL15" s="125"/>
    </row>
    <row r="16" spans="1:38" s="127" customFormat="1" ht="21" customHeight="1" x14ac:dyDescent="0.25">
      <c r="A16" s="117">
        <v>46349</v>
      </c>
      <c r="B16" s="49">
        <f t="shared" si="0"/>
        <v>46355</v>
      </c>
      <c r="C16" s="179">
        <f>SUMIFS('Daily Log'!$C$7:$C$377,'Daily Log'!$V$7:$V$377,$A16)</f>
        <v>0</v>
      </c>
      <c r="D16" s="179">
        <f>SUMIFS('Daily Log'!$D$7:$D$377,'Daily Log'!$V$7:$V$377,$A16)</f>
        <v>0</v>
      </c>
      <c r="E16" s="179">
        <f>SUMIFS('Daily Log'!$E$7:$E$377,'Daily Log'!$V$7:$V$377,$A16)</f>
        <v>0</v>
      </c>
      <c r="F16" s="179">
        <f>SUMIFS('Daily Log'!$F$7:$F$377,'Daily Log'!$V$7:$V$377,$A16)</f>
        <v>0</v>
      </c>
      <c r="G16" s="131">
        <f>SUMIFS('Daily Log'!$U$7:$U$377,'Daily Log'!$V$7:$V$377,$A16)</f>
        <v>0</v>
      </c>
      <c r="H16" s="179">
        <f>SUMIFS('Daily Log'!$S$7:$S$377,'Daily Log'!$V$7:$V$377,$A16)</f>
        <v>0</v>
      </c>
      <c r="I16" s="83" t="str">
        <f t="shared" si="1"/>
        <v/>
      </c>
      <c r="J16" s="65" t="str">
        <f t="shared" si="2"/>
        <v/>
      </c>
      <c r="K16" s="132" t="str">
        <f t="shared" si="3"/>
        <v/>
      </c>
      <c r="L16" s="51">
        <f>SUMIFS('Daily Log'!$G$7:$G$377,'Daily Log'!$V$7:$V$377,$A16)</f>
        <v>0</v>
      </c>
      <c r="M16" s="51">
        <f>SUMIFS('Daily Log'!$H$7:$H$377,'Daily Log'!$V$7:$V$377,$A16)</f>
        <v>0</v>
      </c>
      <c r="N16" s="51">
        <f>SUMIFS('Daily Log'!$I$7:$I$377,'Daily Log'!$V$7:$V$377,$A16)</f>
        <v>0</v>
      </c>
      <c r="O16" s="51">
        <f>SUMIFS('Daily Log'!$J$7:$J$377,'Daily Log'!$V$7:$V$377,$A16)</f>
        <v>0</v>
      </c>
      <c r="P16" s="51">
        <f>SUMIFS('Daily Log'!$K$7:$K$377,'Daily Log'!$V$7:$V$377,$A16)</f>
        <v>0</v>
      </c>
      <c r="Q16" s="51">
        <f>SUMIFS('Daily Log'!$L$7:$L$377,'Daily Log'!$V$7:$V$377,$A16)</f>
        <v>0</v>
      </c>
      <c r="R16" s="51">
        <f>SUMIFS('Daily Log'!$M$7:$M$377,'Daily Log'!$V$7:$V$377,$A16)</f>
        <v>0</v>
      </c>
      <c r="S16" s="51">
        <f>SUMIFS('Daily Log'!$N$7:$N$377,'Daily Log'!$V$7:$V$377,$A16)</f>
        <v>0</v>
      </c>
      <c r="T16" s="51">
        <f>SUMIFS('Daily Log'!$O$7:$O$377,'Daily Log'!$V$7:$V$377,$A16)</f>
        <v>0</v>
      </c>
      <c r="U16" s="51">
        <f>SUMIFS('Daily Log'!$P$7:$P$377,'Daily Log'!$V$7:$V$377,$A16)</f>
        <v>0</v>
      </c>
      <c r="V16" s="51">
        <f>SUMIFS('Daily Log'!$Q$7:$Q$377,'Daily Log'!$V$7:$V$377,$A16)</f>
        <v>0</v>
      </c>
      <c r="W16" s="51">
        <f>SUMIFS('Daily Log'!$R$7:$R$377,'Daily Log'!$V$7:$V$377,$A16)</f>
        <v>0</v>
      </c>
      <c r="X16" s="131">
        <f t="shared" si="4"/>
        <v>0</v>
      </c>
      <c r="Y16" s="131">
        <f t="shared" si="5"/>
        <v>0</v>
      </c>
      <c r="Z16" s="131">
        <f t="shared" si="6"/>
        <v>0</v>
      </c>
      <c r="AA16" s="131">
        <f t="shared" si="7"/>
        <v>0</v>
      </c>
      <c r="AB16" s="131">
        <f t="shared" si="8"/>
        <v>0</v>
      </c>
      <c r="AC16" s="131">
        <f t="shared" si="9"/>
        <v>0</v>
      </c>
      <c r="AD16" s="131">
        <f t="shared" si="10"/>
        <v>0</v>
      </c>
      <c r="AE16" s="131">
        <f t="shared" si="11"/>
        <v>0</v>
      </c>
      <c r="AF16" s="131">
        <f t="shared" si="12"/>
        <v>0</v>
      </c>
      <c r="AG16" s="131">
        <f t="shared" si="13"/>
        <v>0</v>
      </c>
      <c r="AH16" s="131">
        <f t="shared" si="14"/>
        <v>0</v>
      </c>
      <c r="AI16" s="131">
        <f t="shared" si="15"/>
        <v>0</v>
      </c>
      <c r="AJ16" s="131">
        <f t="shared" si="16"/>
        <v>0</v>
      </c>
      <c r="AK16" s="143">
        <f t="shared" si="17"/>
        <v>0</v>
      </c>
      <c r="AL16" s="125"/>
    </row>
    <row r="17" spans="1:38" s="127" customFormat="1" ht="21" customHeight="1" x14ac:dyDescent="0.25">
      <c r="A17" s="117">
        <v>46356</v>
      </c>
      <c r="B17" s="49">
        <f t="shared" si="0"/>
        <v>46362</v>
      </c>
      <c r="C17" s="179">
        <f>SUMIFS('Daily Log'!$C$7:$C$377,'Daily Log'!$V$7:$V$377,$A17)</f>
        <v>0</v>
      </c>
      <c r="D17" s="179">
        <f>SUMIFS('Daily Log'!$D$7:$D$377,'Daily Log'!$V$7:$V$377,$A17)</f>
        <v>0</v>
      </c>
      <c r="E17" s="179">
        <f>SUMIFS('Daily Log'!$E$7:$E$377,'Daily Log'!$V$7:$V$377,$A17)</f>
        <v>0</v>
      </c>
      <c r="F17" s="179">
        <f>SUMIFS('Daily Log'!$F$7:$F$377,'Daily Log'!$V$7:$V$377,$A17)</f>
        <v>0</v>
      </c>
      <c r="G17" s="131">
        <f>SUMIFS('Daily Log'!$U$7:$U$377,'Daily Log'!$V$7:$V$377,$A17)</f>
        <v>0</v>
      </c>
      <c r="H17" s="179">
        <f>SUMIFS('Daily Log'!$S$7:$S$377,'Daily Log'!$V$7:$V$377,$A17)</f>
        <v>0</v>
      </c>
      <c r="I17" s="83" t="str">
        <f t="shared" si="1"/>
        <v/>
      </c>
      <c r="J17" s="65" t="str">
        <f t="shared" si="2"/>
        <v/>
      </c>
      <c r="K17" s="132" t="str">
        <f t="shared" si="3"/>
        <v/>
      </c>
      <c r="L17" s="51">
        <f>SUMIFS('Daily Log'!$G$7:$G$377,'Daily Log'!$V$7:$V$377,$A17)</f>
        <v>0</v>
      </c>
      <c r="M17" s="51">
        <f>SUMIFS('Daily Log'!$H$7:$H$377,'Daily Log'!$V$7:$V$377,$A17)</f>
        <v>0</v>
      </c>
      <c r="N17" s="51">
        <f>SUMIFS('Daily Log'!$I$7:$I$377,'Daily Log'!$V$7:$V$377,$A17)</f>
        <v>0</v>
      </c>
      <c r="O17" s="51">
        <f>SUMIFS('Daily Log'!$J$7:$J$377,'Daily Log'!$V$7:$V$377,$A17)</f>
        <v>0</v>
      </c>
      <c r="P17" s="51">
        <f>SUMIFS('Daily Log'!$K$7:$K$377,'Daily Log'!$V$7:$V$377,$A17)</f>
        <v>0</v>
      </c>
      <c r="Q17" s="51">
        <f>SUMIFS('Daily Log'!$L$7:$L$377,'Daily Log'!$V$7:$V$377,$A17)</f>
        <v>0</v>
      </c>
      <c r="R17" s="51">
        <f>SUMIFS('Daily Log'!$M$7:$M$377,'Daily Log'!$V$7:$V$377,$A17)</f>
        <v>0</v>
      </c>
      <c r="S17" s="51">
        <f>SUMIFS('Daily Log'!$N$7:$N$377,'Daily Log'!$V$7:$V$377,$A17)</f>
        <v>0</v>
      </c>
      <c r="T17" s="51">
        <f>SUMIFS('Daily Log'!$O$7:$O$377,'Daily Log'!$V$7:$V$377,$A17)</f>
        <v>0</v>
      </c>
      <c r="U17" s="51">
        <f>SUMIFS('Daily Log'!$P$7:$P$377,'Daily Log'!$V$7:$V$377,$A17)</f>
        <v>0</v>
      </c>
      <c r="V17" s="51">
        <f>SUMIFS('Daily Log'!$Q$7:$Q$377,'Daily Log'!$V$7:$V$377,$A17)</f>
        <v>0</v>
      </c>
      <c r="W17" s="51">
        <f>SUMIFS('Daily Log'!$R$7:$R$377,'Daily Log'!$V$7:$V$377,$A17)</f>
        <v>0</v>
      </c>
      <c r="X17" s="131">
        <f t="shared" si="4"/>
        <v>0</v>
      </c>
      <c r="Y17" s="131">
        <f t="shared" si="5"/>
        <v>0</v>
      </c>
      <c r="Z17" s="131">
        <f t="shared" si="6"/>
        <v>0</v>
      </c>
      <c r="AA17" s="131">
        <f t="shared" si="7"/>
        <v>0</v>
      </c>
      <c r="AB17" s="131">
        <f t="shared" si="8"/>
        <v>0</v>
      </c>
      <c r="AC17" s="131">
        <f t="shared" si="9"/>
        <v>0</v>
      </c>
      <c r="AD17" s="131">
        <f t="shared" si="10"/>
        <v>0</v>
      </c>
      <c r="AE17" s="131">
        <f t="shared" si="11"/>
        <v>0</v>
      </c>
      <c r="AF17" s="131">
        <f t="shared" si="12"/>
        <v>0</v>
      </c>
      <c r="AG17" s="131">
        <f t="shared" si="13"/>
        <v>0</v>
      </c>
      <c r="AH17" s="131">
        <f t="shared" si="14"/>
        <v>0</v>
      </c>
      <c r="AI17" s="131">
        <f t="shared" si="15"/>
        <v>0</v>
      </c>
      <c r="AJ17" s="131">
        <f t="shared" si="16"/>
        <v>0</v>
      </c>
      <c r="AK17" s="143">
        <f t="shared" si="17"/>
        <v>0</v>
      </c>
      <c r="AL17" s="125"/>
    </row>
    <row r="18" spans="1:38" s="127" customFormat="1" ht="21" customHeight="1" x14ac:dyDescent="0.25">
      <c r="A18" s="117">
        <v>46363</v>
      </c>
      <c r="B18" s="49">
        <f t="shared" si="0"/>
        <v>46369</v>
      </c>
      <c r="C18" s="179">
        <f>SUMIFS('Daily Log'!$C$7:$C$377,'Daily Log'!$V$7:$V$377,$A18)</f>
        <v>0</v>
      </c>
      <c r="D18" s="179">
        <f>SUMIFS('Daily Log'!$D$7:$D$377,'Daily Log'!$V$7:$V$377,$A18)</f>
        <v>0</v>
      </c>
      <c r="E18" s="179">
        <f>SUMIFS('Daily Log'!$E$7:$E$377,'Daily Log'!$V$7:$V$377,$A18)</f>
        <v>0</v>
      </c>
      <c r="F18" s="179">
        <f>SUMIFS('Daily Log'!$F$7:$F$377,'Daily Log'!$V$7:$V$377,$A18)</f>
        <v>0</v>
      </c>
      <c r="G18" s="131">
        <f>SUMIFS('Daily Log'!$U$7:$U$377,'Daily Log'!$V$7:$V$377,$A18)</f>
        <v>0</v>
      </c>
      <c r="H18" s="179">
        <f>SUMIFS('Daily Log'!$S$7:$S$377,'Daily Log'!$V$7:$V$377,$A18)</f>
        <v>0</v>
      </c>
      <c r="I18" s="83" t="str">
        <f t="shared" si="1"/>
        <v/>
      </c>
      <c r="J18" s="65" t="str">
        <f t="shared" si="2"/>
        <v/>
      </c>
      <c r="K18" s="132" t="str">
        <f t="shared" si="3"/>
        <v/>
      </c>
      <c r="L18" s="51">
        <f>SUMIFS('Daily Log'!$G$7:$G$377,'Daily Log'!$V$7:$V$377,$A18)</f>
        <v>0</v>
      </c>
      <c r="M18" s="51">
        <f>SUMIFS('Daily Log'!$H$7:$H$377,'Daily Log'!$V$7:$V$377,$A18)</f>
        <v>0</v>
      </c>
      <c r="N18" s="51">
        <f>SUMIFS('Daily Log'!$I$7:$I$377,'Daily Log'!$V$7:$V$377,$A18)</f>
        <v>0</v>
      </c>
      <c r="O18" s="51">
        <f>SUMIFS('Daily Log'!$J$7:$J$377,'Daily Log'!$V$7:$V$377,$A18)</f>
        <v>0</v>
      </c>
      <c r="P18" s="51">
        <f>SUMIFS('Daily Log'!$K$7:$K$377,'Daily Log'!$V$7:$V$377,$A18)</f>
        <v>0</v>
      </c>
      <c r="Q18" s="51">
        <f>SUMIFS('Daily Log'!$L$7:$L$377,'Daily Log'!$V$7:$V$377,$A18)</f>
        <v>0</v>
      </c>
      <c r="R18" s="51">
        <f>SUMIFS('Daily Log'!$M$7:$M$377,'Daily Log'!$V$7:$V$377,$A18)</f>
        <v>0</v>
      </c>
      <c r="S18" s="51">
        <f>SUMIFS('Daily Log'!$N$7:$N$377,'Daily Log'!$V$7:$V$377,$A18)</f>
        <v>0</v>
      </c>
      <c r="T18" s="51">
        <f>SUMIFS('Daily Log'!$O$7:$O$377,'Daily Log'!$V$7:$V$377,$A18)</f>
        <v>0</v>
      </c>
      <c r="U18" s="51">
        <f>SUMIFS('Daily Log'!$P$7:$P$377,'Daily Log'!$V$7:$V$377,$A18)</f>
        <v>0</v>
      </c>
      <c r="V18" s="51">
        <f>SUMIFS('Daily Log'!$Q$7:$Q$377,'Daily Log'!$V$7:$V$377,$A18)</f>
        <v>0</v>
      </c>
      <c r="W18" s="51">
        <f>SUMIFS('Daily Log'!$R$7:$R$377,'Daily Log'!$V$7:$V$377,$A18)</f>
        <v>0</v>
      </c>
      <c r="X18" s="131">
        <f t="shared" si="4"/>
        <v>0</v>
      </c>
      <c r="Y18" s="131">
        <f t="shared" si="5"/>
        <v>0</v>
      </c>
      <c r="Z18" s="131">
        <f t="shared" si="6"/>
        <v>0</v>
      </c>
      <c r="AA18" s="131">
        <f t="shared" si="7"/>
        <v>0</v>
      </c>
      <c r="AB18" s="131">
        <f t="shared" si="8"/>
        <v>0</v>
      </c>
      <c r="AC18" s="131">
        <f t="shared" si="9"/>
        <v>0</v>
      </c>
      <c r="AD18" s="131">
        <f t="shared" si="10"/>
        <v>0</v>
      </c>
      <c r="AE18" s="131">
        <f t="shared" si="11"/>
        <v>0</v>
      </c>
      <c r="AF18" s="131">
        <f t="shared" si="12"/>
        <v>0</v>
      </c>
      <c r="AG18" s="131">
        <f t="shared" si="13"/>
        <v>0</v>
      </c>
      <c r="AH18" s="131">
        <f t="shared" si="14"/>
        <v>0</v>
      </c>
      <c r="AI18" s="131">
        <f t="shared" si="15"/>
        <v>0</v>
      </c>
      <c r="AJ18" s="131">
        <f t="shared" si="16"/>
        <v>0</v>
      </c>
      <c r="AK18" s="143">
        <f t="shared" si="17"/>
        <v>0</v>
      </c>
      <c r="AL18" s="125"/>
    </row>
    <row r="19" spans="1:38" s="127" customFormat="1" ht="21" customHeight="1" x14ac:dyDescent="0.25">
      <c r="A19" s="117">
        <v>46370</v>
      </c>
      <c r="B19" s="49">
        <f t="shared" si="0"/>
        <v>46376</v>
      </c>
      <c r="C19" s="179">
        <f>SUMIFS('Daily Log'!$C$7:$C$377,'Daily Log'!$V$7:$V$377,$A19)</f>
        <v>0</v>
      </c>
      <c r="D19" s="179">
        <f>SUMIFS('Daily Log'!$D$7:$D$377,'Daily Log'!$V$7:$V$377,$A19)</f>
        <v>0</v>
      </c>
      <c r="E19" s="179">
        <f>SUMIFS('Daily Log'!$E$7:$E$377,'Daily Log'!$V$7:$V$377,$A19)</f>
        <v>0</v>
      </c>
      <c r="F19" s="179">
        <f>SUMIFS('Daily Log'!$F$7:$F$377,'Daily Log'!$V$7:$V$377,$A19)</f>
        <v>0</v>
      </c>
      <c r="G19" s="131">
        <f>SUMIFS('Daily Log'!$U$7:$U$377,'Daily Log'!$V$7:$V$377,$A19)</f>
        <v>0</v>
      </c>
      <c r="H19" s="179">
        <f>SUMIFS('Daily Log'!$S$7:$S$377,'Daily Log'!$V$7:$V$377,$A19)</f>
        <v>0</v>
      </c>
      <c r="I19" s="83" t="str">
        <f t="shared" si="1"/>
        <v/>
      </c>
      <c r="J19" s="65" t="str">
        <f t="shared" si="2"/>
        <v/>
      </c>
      <c r="K19" s="132" t="str">
        <f t="shared" si="3"/>
        <v/>
      </c>
      <c r="L19" s="51">
        <f>SUMIFS('Daily Log'!$G$7:$G$377,'Daily Log'!$V$7:$V$377,$A19)</f>
        <v>0</v>
      </c>
      <c r="M19" s="51">
        <f>SUMIFS('Daily Log'!$H$7:$H$377,'Daily Log'!$V$7:$V$377,$A19)</f>
        <v>0</v>
      </c>
      <c r="N19" s="51">
        <f>SUMIFS('Daily Log'!$I$7:$I$377,'Daily Log'!$V$7:$V$377,$A19)</f>
        <v>0</v>
      </c>
      <c r="O19" s="51">
        <f>SUMIFS('Daily Log'!$J$7:$J$377,'Daily Log'!$V$7:$V$377,$A19)</f>
        <v>0</v>
      </c>
      <c r="P19" s="51">
        <f>SUMIFS('Daily Log'!$K$7:$K$377,'Daily Log'!$V$7:$V$377,$A19)</f>
        <v>0</v>
      </c>
      <c r="Q19" s="51">
        <f>SUMIFS('Daily Log'!$L$7:$L$377,'Daily Log'!$V$7:$V$377,$A19)</f>
        <v>0</v>
      </c>
      <c r="R19" s="51">
        <f>SUMIFS('Daily Log'!$M$7:$M$377,'Daily Log'!$V$7:$V$377,$A19)</f>
        <v>0</v>
      </c>
      <c r="S19" s="51">
        <f>SUMIFS('Daily Log'!$N$7:$N$377,'Daily Log'!$V$7:$V$377,$A19)</f>
        <v>0</v>
      </c>
      <c r="T19" s="51">
        <f>SUMIFS('Daily Log'!$O$7:$O$377,'Daily Log'!$V$7:$V$377,$A19)</f>
        <v>0</v>
      </c>
      <c r="U19" s="51">
        <f>SUMIFS('Daily Log'!$P$7:$P$377,'Daily Log'!$V$7:$V$377,$A19)</f>
        <v>0</v>
      </c>
      <c r="V19" s="51">
        <f>SUMIFS('Daily Log'!$Q$7:$Q$377,'Daily Log'!$V$7:$V$377,$A19)</f>
        <v>0</v>
      </c>
      <c r="W19" s="51">
        <f>SUMIFS('Daily Log'!$R$7:$R$377,'Daily Log'!$V$7:$V$377,$A19)</f>
        <v>0</v>
      </c>
      <c r="X19" s="131">
        <f t="shared" si="4"/>
        <v>0</v>
      </c>
      <c r="Y19" s="131">
        <f t="shared" si="5"/>
        <v>0</v>
      </c>
      <c r="Z19" s="131">
        <f t="shared" si="6"/>
        <v>0</v>
      </c>
      <c r="AA19" s="131">
        <f t="shared" si="7"/>
        <v>0</v>
      </c>
      <c r="AB19" s="131">
        <f t="shared" si="8"/>
        <v>0</v>
      </c>
      <c r="AC19" s="131">
        <f t="shared" si="9"/>
        <v>0</v>
      </c>
      <c r="AD19" s="131">
        <f t="shared" si="10"/>
        <v>0</v>
      </c>
      <c r="AE19" s="131">
        <f t="shared" si="11"/>
        <v>0</v>
      </c>
      <c r="AF19" s="131">
        <f t="shared" si="12"/>
        <v>0</v>
      </c>
      <c r="AG19" s="131">
        <f t="shared" si="13"/>
        <v>0</v>
      </c>
      <c r="AH19" s="131">
        <f t="shared" si="14"/>
        <v>0</v>
      </c>
      <c r="AI19" s="131">
        <f t="shared" si="15"/>
        <v>0</v>
      </c>
      <c r="AJ19" s="131">
        <f t="shared" si="16"/>
        <v>0</v>
      </c>
      <c r="AK19" s="143">
        <f t="shared" si="17"/>
        <v>0</v>
      </c>
      <c r="AL19" s="125"/>
    </row>
    <row r="20" spans="1:38" s="127" customFormat="1" ht="21" customHeight="1" x14ac:dyDescent="0.25">
      <c r="A20" s="117">
        <v>46377</v>
      </c>
      <c r="B20" s="49">
        <f t="shared" si="0"/>
        <v>46383</v>
      </c>
      <c r="C20" s="179">
        <f>SUMIFS('Daily Log'!$C$7:$C$377,'Daily Log'!$V$7:$V$377,$A20)</f>
        <v>0</v>
      </c>
      <c r="D20" s="179">
        <f>SUMIFS('Daily Log'!$D$7:$D$377,'Daily Log'!$V$7:$V$377,$A20)</f>
        <v>0</v>
      </c>
      <c r="E20" s="179">
        <f>SUMIFS('Daily Log'!$E$7:$E$377,'Daily Log'!$V$7:$V$377,$A20)</f>
        <v>0</v>
      </c>
      <c r="F20" s="179">
        <f>SUMIFS('Daily Log'!$F$7:$F$377,'Daily Log'!$V$7:$V$377,$A20)</f>
        <v>0</v>
      </c>
      <c r="G20" s="131">
        <f>SUMIFS('Daily Log'!$U$7:$U$377,'Daily Log'!$V$7:$V$377,$A20)</f>
        <v>0</v>
      </c>
      <c r="H20" s="179">
        <f>SUMIFS('Daily Log'!$S$7:$S$377,'Daily Log'!$V$7:$V$377,$A20)</f>
        <v>0</v>
      </c>
      <c r="I20" s="83" t="str">
        <f t="shared" si="1"/>
        <v/>
      </c>
      <c r="J20" s="65" t="str">
        <f t="shared" si="2"/>
        <v/>
      </c>
      <c r="K20" s="132" t="str">
        <f t="shared" si="3"/>
        <v/>
      </c>
      <c r="L20" s="51">
        <f>SUMIFS('Daily Log'!$G$7:$G$377,'Daily Log'!$V$7:$V$377,$A20)</f>
        <v>0</v>
      </c>
      <c r="M20" s="51">
        <f>SUMIFS('Daily Log'!$H$7:$H$377,'Daily Log'!$V$7:$V$377,$A20)</f>
        <v>0</v>
      </c>
      <c r="N20" s="51">
        <f>SUMIFS('Daily Log'!$I$7:$I$377,'Daily Log'!$V$7:$V$377,$A20)</f>
        <v>0</v>
      </c>
      <c r="O20" s="51">
        <f>SUMIFS('Daily Log'!$J$7:$J$377,'Daily Log'!$V$7:$V$377,$A20)</f>
        <v>0</v>
      </c>
      <c r="P20" s="51">
        <f>SUMIFS('Daily Log'!$K$7:$K$377,'Daily Log'!$V$7:$V$377,$A20)</f>
        <v>0</v>
      </c>
      <c r="Q20" s="51">
        <f>SUMIFS('Daily Log'!$L$7:$L$377,'Daily Log'!$V$7:$V$377,$A20)</f>
        <v>0</v>
      </c>
      <c r="R20" s="51">
        <f>SUMIFS('Daily Log'!$M$7:$M$377,'Daily Log'!$V$7:$V$377,$A20)</f>
        <v>0</v>
      </c>
      <c r="S20" s="51">
        <f>SUMIFS('Daily Log'!$N$7:$N$377,'Daily Log'!$V$7:$V$377,$A20)</f>
        <v>0</v>
      </c>
      <c r="T20" s="51">
        <f>SUMIFS('Daily Log'!$O$7:$O$377,'Daily Log'!$V$7:$V$377,$A20)</f>
        <v>0</v>
      </c>
      <c r="U20" s="51">
        <f>SUMIFS('Daily Log'!$P$7:$P$377,'Daily Log'!$V$7:$V$377,$A20)</f>
        <v>0</v>
      </c>
      <c r="V20" s="51">
        <f>SUMIFS('Daily Log'!$Q$7:$Q$377,'Daily Log'!$V$7:$V$377,$A20)</f>
        <v>0</v>
      </c>
      <c r="W20" s="51">
        <f>SUMIFS('Daily Log'!$R$7:$R$377,'Daily Log'!$V$7:$V$377,$A20)</f>
        <v>0</v>
      </c>
      <c r="X20" s="131">
        <f t="shared" si="4"/>
        <v>0</v>
      </c>
      <c r="Y20" s="131">
        <f t="shared" si="5"/>
        <v>0</v>
      </c>
      <c r="Z20" s="131">
        <f t="shared" si="6"/>
        <v>0</v>
      </c>
      <c r="AA20" s="131">
        <f t="shared" si="7"/>
        <v>0</v>
      </c>
      <c r="AB20" s="131">
        <f t="shared" si="8"/>
        <v>0</v>
      </c>
      <c r="AC20" s="131">
        <f t="shared" si="9"/>
        <v>0</v>
      </c>
      <c r="AD20" s="131">
        <f t="shared" si="10"/>
        <v>0</v>
      </c>
      <c r="AE20" s="131">
        <f t="shared" si="11"/>
        <v>0</v>
      </c>
      <c r="AF20" s="131">
        <f t="shared" si="12"/>
        <v>0</v>
      </c>
      <c r="AG20" s="131">
        <f t="shared" si="13"/>
        <v>0</v>
      </c>
      <c r="AH20" s="131">
        <f t="shared" si="14"/>
        <v>0</v>
      </c>
      <c r="AI20" s="131">
        <f t="shared" si="15"/>
        <v>0</v>
      </c>
      <c r="AJ20" s="131">
        <f t="shared" si="16"/>
        <v>0</v>
      </c>
      <c r="AK20" s="143">
        <f t="shared" si="17"/>
        <v>0</v>
      </c>
      <c r="AL20" s="125"/>
    </row>
    <row r="21" spans="1:38" s="127" customFormat="1" ht="21" customHeight="1" x14ac:dyDescent="0.25">
      <c r="A21" s="117">
        <v>46384</v>
      </c>
      <c r="B21" s="49">
        <f t="shared" si="0"/>
        <v>46390</v>
      </c>
      <c r="C21" s="179">
        <f>SUMIFS('Daily Log'!$C$7:$C$377,'Daily Log'!$V$7:$V$377,$A21)</f>
        <v>0</v>
      </c>
      <c r="D21" s="179">
        <f>SUMIFS('Daily Log'!$D$7:$D$377,'Daily Log'!$V$7:$V$377,$A21)</f>
        <v>0</v>
      </c>
      <c r="E21" s="179">
        <f>SUMIFS('Daily Log'!$E$7:$E$377,'Daily Log'!$V$7:$V$377,$A21)</f>
        <v>0</v>
      </c>
      <c r="F21" s="179">
        <f>SUMIFS('Daily Log'!$F$7:$F$377,'Daily Log'!$V$7:$V$377,$A21)</f>
        <v>0</v>
      </c>
      <c r="G21" s="131">
        <f>SUMIFS('Daily Log'!$U$7:$U$377,'Daily Log'!$V$7:$V$377,$A21)</f>
        <v>0</v>
      </c>
      <c r="H21" s="179">
        <f>SUMIFS('Daily Log'!$S$7:$S$377,'Daily Log'!$V$7:$V$377,$A21)</f>
        <v>0</v>
      </c>
      <c r="I21" s="83" t="str">
        <f t="shared" si="1"/>
        <v/>
      </c>
      <c r="J21" s="65" t="str">
        <f t="shared" si="2"/>
        <v/>
      </c>
      <c r="K21" s="132" t="str">
        <f t="shared" si="3"/>
        <v/>
      </c>
      <c r="L21" s="51">
        <f>SUMIFS('Daily Log'!$G$7:$G$377,'Daily Log'!$V$7:$V$377,$A21)</f>
        <v>0</v>
      </c>
      <c r="M21" s="51">
        <f>SUMIFS('Daily Log'!$H$7:$H$377,'Daily Log'!$V$7:$V$377,$A21)</f>
        <v>0</v>
      </c>
      <c r="N21" s="51">
        <f>SUMIFS('Daily Log'!$I$7:$I$377,'Daily Log'!$V$7:$V$377,$A21)</f>
        <v>0</v>
      </c>
      <c r="O21" s="51">
        <f>SUMIFS('Daily Log'!$J$7:$J$377,'Daily Log'!$V$7:$V$377,$A21)</f>
        <v>0</v>
      </c>
      <c r="P21" s="51">
        <f>SUMIFS('Daily Log'!$K$7:$K$377,'Daily Log'!$V$7:$V$377,$A21)</f>
        <v>0</v>
      </c>
      <c r="Q21" s="51">
        <f>SUMIFS('Daily Log'!$L$7:$L$377,'Daily Log'!$V$7:$V$377,$A21)</f>
        <v>0</v>
      </c>
      <c r="R21" s="51">
        <f>SUMIFS('Daily Log'!$M$7:$M$377,'Daily Log'!$V$7:$V$377,$A21)</f>
        <v>0</v>
      </c>
      <c r="S21" s="51">
        <f>SUMIFS('Daily Log'!$N$7:$N$377,'Daily Log'!$V$7:$V$377,$A21)</f>
        <v>0</v>
      </c>
      <c r="T21" s="51">
        <f>SUMIFS('Daily Log'!$O$7:$O$377,'Daily Log'!$V$7:$V$377,$A21)</f>
        <v>0</v>
      </c>
      <c r="U21" s="51">
        <f>SUMIFS('Daily Log'!$P$7:$P$377,'Daily Log'!$V$7:$V$377,$A21)</f>
        <v>0</v>
      </c>
      <c r="V21" s="51">
        <f>SUMIFS('Daily Log'!$Q$7:$Q$377,'Daily Log'!$V$7:$V$377,$A21)</f>
        <v>0</v>
      </c>
      <c r="W21" s="51">
        <f>SUMIFS('Daily Log'!$R$7:$R$377,'Daily Log'!$V$7:$V$377,$A21)</f>
        <v>0</v>
      </c>
      <c r="X21" s="131">
        <f t="shared" si="4"/>
        <v>0</v>
      </c>
      <c r="Y21" s="131">
        <f t="shared" si="5"/>
        <v>0</v>
      </c>
      <c r="Z21" s="131">
        <f t="shared" si="6"/>
        <v>0</v>
      </c>
      <c r="AA21" s="131">
        <f t="shared" si="7"/>
        <v>0</v>
      </c>
      <c r="AB21" s="131">
        <f t="shared" si="8"/>
        <v>0</v>
      </c>
      <c r="AC21" s="131">
        <f t="shared" si="9"/>
        <v>0</v>
      </c>
      <c r="AD21" s="131">
        <f t="shared" si="10"/>
        <v>0</v>
      </c>
      <c r="AE21" s="131">
        <f t="shared" si="11"/>
        <v>0</v>
      </c>
      <c r="AF21" s="131">
        <f t="shared" si="12"/>
        <v>0</v>
      </c>
      <c r="AG21" s="131">
        <f t="shared" si="13"/>
        <v>0</v>
      </c>
      <c r="AH21" s="131">
        <f t="shared" si="14"/>
        <v>0</v>
      </c>
      <c r="AI21" s="131">
        <f t="shared" si="15"/>
        <v>0</v>
      </c>
      <c r="AJ21" s="131">
        <f t="shared" si="16"/>
        <v>0</v>
      </c>
      <c r="AK21" s="143">
        <f t="shared" si="17"/>
        <v>0</v>
      </c>
      <c r="AL21" s="125"/>
    </row>
    <row r="22" spans="1:38" s="127" customFormat="1" ht="21" customHeight="1" x14ac:dyDescent="0.25">
      <c r="A22" s="117">
        <v>46391</v>
      </c>
      <c r="B22" s="49">
        <f t="shared" si="0"/>
        <v>46397</v>
      </c>
      <c r="C22" s="179">
        <f>SUMIFS('Daily Log'!$C$7:$C$377,'Daily Log'!$V$7:$V$377,$A22)</f>
        <v>0</v>
      </c>
      <c r="D22" s="179">
        <f>SUMIFS('Daily Log'!$D$7:$D$377,'Daily Log'!$V$7:$V$377,$A22)</f>
        <v>0</v>
      </c>
      <c r="E22" s="179">
        <f>SUMIFS('Daily Log'!$E$7:$E$377,'Daily Log'!$V$7:$V$377,$A22)</f>
        <v>0</v>
      </c>
      <c r="F22" s="179">
        <f>SUMIFS('Daily Log'!$F$7:$F$377,'Daily Log'!$V$7:$V$377,$A22)</f>
        <v>0</v>
      </c>
      <c r="G22" s="131">
        <f>SUMIFS('Daily Log'!$U$7:$U$377,'Daily Log'!$V$7:$V$377,$A22)</f>
        <v>0</v>
      </c>
      <c r="H22" s="179">
        <f>SUMIFS('Daily Log'!$S$7:$S$377,'Daily Log'!$V$7:$V$377,$A22)</f>
        <v>0</v>
      </c>
      <c r="I22" s="83" t="str">
        <f t="shared" si="1"/>
        <v/>
      </c>
      <c r="J22" s="65" t="str">
        <f t="shared" si="2"/>
        <v/>
      </c>
      <c r="K22" s="132" t="str">
        <f t="shared" si="3"/>
        <v/>
      </c>
      <c r="L22" s="51">
        <f>SUMIFS('Daily Log'!$G$7:$G$377,'Daily Log'!$V$7:$V$377,$A22)</f>
        <v>0</v>
      </c>
      <c r="M22" s="51">
        <f>SUMIFS('Daily Log'!$H$7:$H$377,'Daily Log'!$V$7:$V$377,$A22)</f>
        <v>0</v>
      </c>
      <c r="N22" s="51">
        <f>SUMIFS('Daily Log'!$I$7:$I$377,'Daily Log'!$V$7:$V$377,$A22)</f>
        <v>0</v>
      </c>
      <c r="O22" s="51">
        <f>SUMIFS('Daily Log'!$J$7:$J$377,'Daily Log'!$V$7:$V$377,$A22)</f>
        <v>0</v>
      </c>
      <c r="P22" s="51">
        <f>SUMIFS('Daily Log'!$K$7:$K$377,'Daily Log'!$V$7:$V$377,$A22)</f>
        <v>0</v>
      </c>
      <c r="Q22" s="51">
        <f>SUMIFS('Daily Log'!$L$7:$L$377,'Daily Log'!$V$7:$V$377,$A22)</f>
        <v>0</v>
      </c>
      <c r="R22" s="51">
        <f>SUMIFS('Daily Log'!$M$7:$M$377,'Daily Log'!$V$7:$V$377,$A22)</f>
        <v>0</v>
      </c>
      <c r="S22" s="51">
        <f>SUMIFS('Daily Log'!$N$7:$N$377,'Daily Log'!$V$7:$V$377,$A22)</f>
        <v>0</v>
      </c>
      <c r="T22" s="51">
        <f>SUMIFS('Daily Log'!$O$7:$O$377,'Daily Log'!$V$7:$V$377,$A22)</f>
        <v>0</v>
      </c>
      <c r="U22" s="51">
        <f>SUMIFS('Daily Log'!$P$7:$P$377,'Daily Log'!$V$7:$V$377,$A22)</f>
        <v>0</v>
      </c>
      <c r="V22" s="51">
        <f>SUMIFS('Daily Log'!$Q$7:$Q$377,'Daily Log'!$V$7:$V$377,$A22)</f>
        <v>0</v>
      </c>
      <c r="W22" s="51">
        <f>SUMIFS('Daily Log'!$R$7:$R$377,'Daily Log'!$V$7:$V$377,$A22)</f>
        <v>0</v>
      </c>
      <c r="X22" s="131">
        <f t="shared" si="4"/>
        <v>0</v>
      </c>
      <c r="Y22" s="131">
        <f t="shared" si="5"/>
        <v>0</v>
      </c>
      <c r="Z22" s="131">
        <f t="shared" si="6"/>
        <v>0</v>
      </c>
      <c r="AA22" s="131">
        <f t="shared" si="7"/>
        <v>0</v>
      </c>
      <c r="AB22" s="131">
        <f t="shared" si="8"/>
        <v>0</v>
      </c>
      <c r="AC22" s="131">
        <f t="shared" si="9"/>
        <v>0</v>
      </c>
      <c r="AD22" s="131">
        <f t="shared" si="10"/>
        <v>0</v>
      </c>
      <c r="AE22" s="131">
        <f t="shared" si="11"/>
        <v>0</v>
      </c>
      <c r="AF22" s="131">
        <f t="shared" si="12"/>
        <v>0</v>
      </c>
      <c r="AG22" s="131">
        <f t="shared" si="13"/>
        <v>0</v>
      </c>
      <c r="AH22" s="131">
        <f t="shared" si="14"/>
        <v>0</v>
      </c>
      <c r="AI22" s="131">
        <f t="shared" si="15"/>
        <v>0</v>
      </c>
      <c r="AJ22" s="131">
        <f t="shared" si="16"/>
        <v>0</v>
      </c>
      <c r="AK22" s="143">
        <f t="shared" si="17"/>
        <v>0</v>
      </c>
      <c r="AL22" s="125"/>
    </row>
    <row r="23" spans="1:38" s="127" customFormat="1" ht="21" customHeight="1" x14ac:dyDescent="0.25">
      <c r="A23" s="117">
        <v>46398</v>
      </c>
      <c r="B23" s="49">
        <f t="shared" si="0"/>
        <v>46404</v>
      </c>
      <c r="C23" s="179">
        <f>SUMIFS('Daily Log'!$C$7:$C$377,'Daily Log'!$V$7:$V$377,$A23)</f>
        <v>0</v>
      </c>
      <c r="D23" s="179">
        <f>SUMIFS('Daily Log'!$D$7:$D$377,'Daily Log'!$V$7:$V$377,$A23)</f>
        <v>0</v>
      </c>
      <c r="E23" s="179">
        <f>SUMIFS('Daily Log'!$E$7:$E$377,'Daily Log'!$V$7:$V$377,$A23)</f>
        <v>0</v>
      </c>
      <c r="F23" s="179">
        <f>SUMIFS('Daily Log'!$F$7:$F$377,'Daily Log'!$V$7:$V$377,$A23)</f>
        <v>0</v>
      </c>
      <c r="G23" s="131">
        <f>SUMIFS('Daily Log'!$U$7:$U$377,'Daily Log'!$V$7:$V$377,$A23)</f>
        <v>0</v>
      </c>
      <c r="H23" s="179">
        <f>SUMIFS('Daily Log'!$S$7:$S$377,'Daily Log'!$V$7:$V$377,$A23)</f>
        <v>0</v>
      </c>
      <c r="I23" s="83" t="str">
        <f t="shared" si="1"/>
        <v/>
      </c>
      <c r="J23" s="65" t="str">
        <f t="shared" si="2"/>
        <v/>
      </c>
      <c r="K23" s="132" t="str">
        <f t="shared" si="3"/>
        <v/>
      </c>
      <c r="L23" s="51">
        <f>SUMIFS('Daily Log'!$G$7:$G$377,'Daily Log'!$V$7:$V$377,$A23)</f>
        <v>0</v>
      </c>
      <c r="M23" s="51">
        <f>SUMIFS('Daily Log'!$H$7:$H$377,'Daily Log'!$V$7:$V$377,$A23)</f>
        <v>0</v>
      </c>
      <c r="N23" s="51">
        <f>SUMIFS('Daily Log'!$I$7:$I$377,'Daily Log'!$V$7:$V$377,$A23)</f>
        <v>0</v>
      </c>
      <c r="O23" s="51">
        <f>SUMIFS('Daily Log'!$J$7:$J$377,'Daily Log'!$V$7:$V$377,$A23)</f>
        <v>0</v>
      </c>
      <c r="P23" s="51">
        <f>SUMIFS('Daily Log'!$K$7:$K$377,'Daily Log'!$V$7:$V$377,$A23)</f>
        <v>0</v>
      </c>
      <c r="Q23" s="51">
        <f>SUMIFS('Daily Log'!$L$7:$L$377,'Daily Log'!$V$7:$V$377,$A23)</f>
        <v>0</v>
      </c>
      <c r="R23" s="51">
        <f>SUMIFS('Daily Log'!$M$7:$M$377,'Daily Log'!$V$7:$V$377,$A23)</f>
        <v>0</v>
      </c>
      <c r="S23" s="51">
        <f>SUMIFS('Daily Log'!$N$7:$N$377,'Daily Log'!$V$7:$V$377,$A23)</f>
        <v>0</v>
      </c>
      <c r="T23" s="51">
        <f>SUMIFS('Daily Log'!$O$7:$O$377,'Daily Log'!$V$7:$V$377,$A23)</f>
        <v>0</v>
      </c>
      <c r="U23" s="51">
        <f>SUMIFS('Daily Log'!$P$7:$P$377,'Daily Log'!$V$7:$V$377,$A23)</f>
        <v>0</v>
      </c>
      <c r="V23" s="51">
        <f>SUMIFS('Daily Log'!$Q$7:$Q$377,'Daily Log'!$V$7:$V$377,$A23)</f>
        <v>0</v>
      </c>
      <c r="W23" s="51">
        <f>SUMIFS('Daily Log'!$R$7:$R$377,'Daily Log'!$V$7:$V$377,$A23)</f>
        <v>0</v>
      </c>
      <c r="X23" s="131">
        <f t="shared" si="4"/>
        <v>0</v>
      </c>
      <c r="Y23" s="131">
        <f t="shared" si="5"/>
        <v>0</v>
      </c>
      <c r="Z23" s="131">
        <f t="shared" si="6"/>
        <v>0</v>
      </c>
      <c r="AA23" s="131">
        <f t="shared" si="7"/>
        <v>0</v>
      </c>
      <c r="AB23" s="131">
        <f t="shared" si="8"/>
        <v>0</v>
      </c>
      <c r="AC23" s="131">
        <f t="shared" si="9"/>
        <v>0</v>
      </c>
      <c r="AD23" s="131">
        <f t="shared" si="10"/>
        <v>0</v>
      </c>
      <c r="AE23" s="131">
        <f t="shared" si="11"/>
        <v>0</v>
      </c>
      <c r="AF23" s="131">
        <f t="shared" si="12"/>
        <v>0</v>
      </c>
      <c r="AG23" s="131">
        <f t="shared" si="13"/>
        <v>0</v>
      </c>
      <c r="AH23" s="131">
        <f t="shared" si="14"/>
        <v>0</v>
      </c>
      <c r="AI23" s="131">
        <f t="shared" si="15"/>
        <v>0</v>
      </c>
      <c r="AJ23" s="131">
        <f t="shared" si="16"/>
        <v>0</v>
      </c>
      <c r="AK23" s="143">
        <f t="shared" si="17"/>
        <v>0</v>
      </c>
      <c r="AL23" s="125"/>
    </row>
    <row r="24" spans="1:38" s="127" customFormat="1" ht="21" customHeight="1" x14ac:dyDescent="0.25">
      <c r="A24" s="117">
        <v>46405</v>
      </c>
      <c r="B24" s="49">
        <f t="shared" si="0"/>
        <v>46411</v>
      </c>
      <c r="C24" s="179">
        <f>SUMIFS('Daily Log'!$C$7:$C$377,'Daily Log'!$V$7:$V$377,$A24)</f>
        <v>0</v>
      </c>
      <c r="D24" s="179">
        <f>SUMIFS('Daily Log'!$D$7:$D$377,'Daily Log'!$V$7:$V$377,$A24)</f>
        <v>0</v>
      </c>
      <c r="E24" s="179">
        <f>SUMIFS('Daily Log'!$E$7:$E$377,'Daily Log'!$V$7:$V$377,$A24)</f>
        <v>0</v>
      </c>
      <c r="F24" s="179">
        <f>SUMIFS('Daily Log'!$F$7:$F$377,'Daily Log'!$V$7:$V$377,$A24)</f>
        <v>0</v>
      </c>
      <c r="G24" s="131">
        <f>SUMIFS('Daily Log'!$U$7:$U$377,'Daily Log'!$V$7:$V$377,$A24)</f>
        <v>0</v>
      </c>
      <c r="H24" s="179">
        <f>SUMIFS('Daily Log'!$S$7:$S$377,'Daily Log'!$V$7:$V$377,$A24)</f>
        <v>0</v>
      </c>
      <c r="I24" s="83" t="str">
        <f t="shared" si="1"/>
        <v/>
      </c>
      <c r="J24" s="65" t="str">
        <f t="shared" si="2"/>
        <v/>
      </c>
      <c r="K24" s="132" t="str">
        <f t="shared" si="3"/>
        <v/>
      </c>
      <c r="L24" s="51">
        <f>SUMIFS('Daily Log'!$G$7:$G$377,'Daily Log'!$V$7:$V$377,$A24)</f>
        <v>0</v>
      </c>
      <c r="M24" s="51">
        <f>SUMIFS('Daily Log'!$H$7:$H$377,'Daily Log'!$V$7:$V$377,$A24)</f>
        <v>0</v>
      </c>
      <c r="N24" s="51">
        <f>SUMIFS('Daily Log'!$I$7:$I$377,'Daily Log'!$V$7:$V$377,$A24)</f>
        <v>0</v>
      </c>
      <c r="O24" s="51">
        <f>SUMIFS('Daily Log'!$J$7:$J$377,'Daily Log'!$V$7:$V$377,$A24)</f>
        <v>0</v>
      </c>
      <c r="P24" s="51">
        <f>SUMIFS('Daily Log'!$K$7:$K$377,'Daily Log'!$V$7:$V$377,$A24)</f>
        <v>0</v>
      </c>
      <c r="Q24" s="51">
        <f>SUMIFS('Daily Log'!$L$7:$L$377,'Daily Log'!$V$7:$V$377,$A24)</f>
        <v>0</v>
      </c>
      <c r="R24" s="51">
        <f>SUMIFS('Daily Log'!$M$7:$M$377,'Daily Log'!$V$7:$V$377,$A24)</f>
        <v>0</v>
      </c>
      <c r="S24" s="51">
        <f>SUMIFS('Daily Log'!$N$7:$N$377,'Daily Log'!$V$7:$V$377,$A24)</f>
        <v>0</v>
      </c>
      <c r="T24" s="51">
        <f>SUMIFS('Daily Log'!$O$7:$O$377,'Daily Log'!$V$7:$V$377,$A24)</f>
        <v>0</v>
      </c>
      <c r="U24" s="51">
        <f>SUMIFS('Daily Log'!$P$7:$P$377,'Daily Log'!$V$7:$V$377,$A24)</f>
        <v>0</v>
      </c>
      <c r="V24" s="51">
        <f>SUMIFS('Daily Log'!$Q$7:$Q$377,'Daily Log'!$V$7:$V$377,$A24)</f>
        <v>0</v>
      </c>
      <c r="W24" s="51">
        <f>SUMIFS('Daily Log'!$R$7:$R$377,'Daily Log'!$V$7:$V$377,$A24)</f>
        <v>0</v>
      </c>
      <c r="X24" s="131">
        <f t="shared" si="4"/>
        <v>0</v>
      </c>
      <c r="Y24" s="131">
        <f t="shared" si="5"/>
        <v>0</v>
      </c>
      <c r="Z24" s="131">
        <f t="shared" si="6"/>
        <v>0</v>
      </c>
      <c r="AA24" s="131">
        <f t="shared" si="7"/>
        <v>0</v>
      </c>
      <c r="AB24" s="131">
        <f t="shared" si="8"/>
        <v>0</v>
      </c>
      <c r="AC24" s="131">
        <f t="shared" si="9"/>
        <v>0</v>
      </c>
      <c r="AD24" s="131">
        <f t="shared" si="10"/>
        <v>0</v>
      </c>
      <c r="AE24" s="131">
        <f t="shared" si="11"/>
        <v>0</v>
      </c>
      <c r="AF24" s="131">
        <f t="shared" si="12"/>
        <v>0</v>
      </c>
      <c r="AG24" s="131">
        <f t="shared" si="13"/>
        <v>0</v>
      </c>
      <c r="AH24" s="131">
        <f t="shared" si="14"/>
        <v>0</v>
      </c>
      <c r="AI24" s="131">
        <f t="shared" si="15"/>
        <v>0</v>
      </c>
      <c r="AJ24" s="131">
        <f t="shared" si="16"/>
        <v>0</v>
      </c>
      <c r="AK24" s="143">
        <f t="shared" si="17"/>
        <v>0</v>
      </c>
      <c r="AL24" s="125"/>
    </row>
    <row r="25" spans="1:38" s="127" customFormat="1" ht="21" customHeight="1" x14ac:dyDescent="0.25">
      <c r="A25" s="117">
        <v>46412</v>
      </c>
      <c r="B25" s="49">
        <f t="shared" si="0"/>
        <v>46418</v>
      </c>
      <c r="C25" s="179">
        <f>SUMIFS('Daily Log'!$C$7:$C$377,'Daily Log'!$V$7:$V$377,$A25)</f>
        <v>0</v>
      </c>
      <c r="D25" s="179">
        <f>SUMIFS('Daily Log'!$D$7:$D$377,'Daily Log'!$V$7:$V$377,$A25)</f>
        <v>0</v>
      </c>
      <c r="E25" s="179">
        <f>SUMIFS('Daily Log'!$E$7:$E$377,'Daily Log'!$V$7:$V$377,$A25)</f>
        <v>0</v>
      </c>
      <c r="F25" s="179">
        <f>SUMIFS('Daily Log'!$F$7:$F$377,'Daily Log'!$V$7:$V$377,$A25)</f>
        <v>0</v>
      </c>
      <c r="G25" s="131">
        <f>SUMIFS('Daily Log'!$U$7:$U$377,'Daily Log'!$V$7:$V$377,$A25)</f>
        <v>0</v>
      </c>
      <c r="H25" s="179">
        <f>SUMIFS('Daily Log'!$S$7:$S$377,'Daily Log'!$V$7:$V$377,$A25)</f>
        <v>0</v>
      </c>
      <c r="I25" s="83" t="str">
        <f t="shared" si="1"/>
        <v/>
      </c>
      <c r="J25" s="65" t="str">
        <f t="shared" si="2"/>
        <v/>
      </c>
      <c r="K25" s="132" t="str">
        <f t="shared" si="3"/>
        <v/>
      </c>
      <c r="L25" s="51">
        <f>SUMIFS('Daily Log'!$G$7:$G$377,'Daily Log'!$V$7:$V$377,$A25)</f>
        <v>0</v>
      </c>
      <c r="M25" s="51">
        <f>SUMIFS('Daily Log'!$H$7:$H$377,'Daily Log'!$V$7:$V$377,$A25)</f>
        <v>0</v>
      </c>
      <c r="N25" s="51">
        <f>SUMIFS('Daily Log'!$I$7:$I$377,'Daily Log'!$V$7:$V$377,$A25)</f>
        <v>0</v>
      </c>
      <c r="O25" s="51">
        <f>SUMIFS('Daily Log'!$J$7:$J$377,'Daily Log'!$V$7:$V$377,$A25)</f>
        <v>0</v>
      </c>
      <c r="P25" s="51">
        <f>SUMIFS('Daily Log'!$K$7:$K$377,'Daily Log'!$V$7:$V$377,$A25)</f>
        <v>0</v>
      </c>
      <c r="Q25" s="51">
        <f>SUMIFS('Daily Log'!$L$7:$L$377,'Daily Log'!$V$7:$V$377,$A25)</f>
        <v>0</v>
      </c>
      <c r="R25" s="51">
        <f>SUMIFS('Daily Log'!$M$7:$M$377,'Daily Log'!$V$7:$V$377,$A25)</f>
        <v>0</v>
      </c>
      <c r="S25" s="51">
        <f>SUMIFS('Daily Log'!$N$7:$N$377,'Daily Log'!$V$7:$V$377,$A25)</f>
        <v>0</v>
      </c>
      <c r="T25" s="51">
        <f>SUMIFS('Daily Log'!$O$7:$O$377,'Daily Log'!$V$7:$V$377,$A25)</f>
        <v>0</v>
      </c>
      <c r="U25" s="51">
        <f>SUMIFS('Daily Log'!$P$7:$P$377,'Daily Log'!$V$7:$V$377,$A25)</f>
        <v>0</v>
      </c>
      <c r="V25" s="51">
        <f>SUMIFS('Daily Log'!$Q$7:$Q$377,'Daily Log'!$V$7:$V$377,$A25)</f>
        <v>0</v>
      </c>
      <c r="W25" s="51">
        <f>SUMIFS('Daily Log'!$R$7:$R$377,'Daily Log'!$V$7:$V$377,$A25)</f>
        <v>0</v>
      </c>
      <c r="X25" s="131">
        <f t="shared" si="4"/>
        <v>0</v>
      </c>
      <c r="Y25" s="131">
        <f t="shared" si="5"/>
        <v>0</v>
      </c>
      <c r="Z25" s="131">
        <f t="shared" si="6"/>
        <v>0</v>
      </c>
      <c r="AA25" s="131">
        <f t="shared" si="7"/>
        <v>0</v>
      </c>
      <c r="AB25" s="131">
        <f t="shared" si="8"/>
        <v>0</v>
      </c>
      <c r="AC25" s="131">
        <f t="shared" si="9"/>
        <v>0</v>
      </c>
      <c r="AD25" s="131">
        <f t="shared" si="10"/>
        <v>0</v>
      </c>
      <c r="AE25" s="131">
        <f t="shared" si="11"/>
        <v>0</v>
      </c>
      <c r="AF25" s="131">
        <f t="shared" si="12"/>
        <v>0</v>
      </c>
      <c r="AG25" s="131">
        <f t="shared" si="13"/>
        <v>0</v>
      </c>
      <c r="AH25" s="131">
        <f t="shared" si="14"/>
        <v>0</v>
      </c>
      <c r="AI25" s="131">
        <f t="shared" si="15"/>
        <v>0</v>
      </c>
      <c r="AJ25" s="131">
        <f t="shared" si="16"/>
        <v>0</v>
      </c>
      <c r="AK25" s="143">
        <f t="shared" si="17"/>
        <v>0</v>
      </c>
      <c r="AL25" s="125"/>
    </row>
    <row r="26" spans="1:38" s="127" customFormat="1" ht="21" customHeight="1" x14ac:dyDescent="0.25">
      <c r="A26" s="117">
        <v>46419</v>
      </c>
      <c r="B26" s="49">
        <f t="shared" si="0"/>
        <v>46425</v>
      </c>
      <c r="C26" s="179">
        <f>SUMIFS('Daily Log'!$C$7:$C$377,'Daily Log'!$V$7:$V$377,$A26)</f>
        <v>0</v>
      </c>
      <c r="D26" s="179">
        <f>SUMIFS('Daily Log'!$D$7:$D$377,'Daily Log'!$V$7:$V$377,$A26)</f>
        <v>0</v>
      </c>
      <c r="E26" s="179">
        <f>SUMIFS('Daily Log'!$E$7:$E$377,'Daily Log'!$V$7:$V$377,$A26)</f>
        <v>0</v>
      </c>
      <c r="F26" s="179">
        <f>SUMIFS('Daily Log'!$F$7:$F$377,'Daily Log'!$V$7:$V$377,$A26)</f>
        <v>0</v>
      </c>
      <c r="G26" s="131">
        <f>SUMIFS('Daily Log'!$U$7:$U$377,'Daily Log'!$V$7:$V$377,$A26)</f>
        <v>0</v>
      </c>
      <c r="H26" s="179">
        <f>SUMIFS('Daily Log'!$S$7:$S$377,'Daily Log'!$V$7:$V$377,$A26)</f>
        <v>0</v>
      </c>
      <c r="I26" s="83" t="str">
        <f t="shared" si="1"/>
        <v/>
      </c>
      <c r="J26" s="65" t="str">
        <f t="shared" si="2"/>
        <v/>
      </c>
      <c r="K26" s="132" t="str">
        <f t="shared" si="3"/>
        <v/>
      </c>
      <c r="L26" s="51">
        <f>SUMIFS('Daily Log'!$G$7:$G$377,'Daily Log'!$V$7:$V$377,$A26)</f>
        <v>0</v>
      </c>
      <c r="M26" s="51">
        <f>SUMIFS('Daily Log'!$H$7:$H$377,'Daily Log'!$V$7:$V$377,$A26)</f>
        <v>0</v>
      </c>
      <c r="N26" s="51">
        <f>SUMIFS('Daily Log'!$I$7:$I$377,'Daily Log'!$V$7:$V$377,$A26)</f>
        <v>0</v>
      </c>
      <c r="O26" s="51">
        <f>SUMIFS('Daily Log'!$J$7:$J$377,'Daily Log'!$V$7:$V$377,$A26)</f>
        <v>0</v>
      </c>
      <c r="P26" s="51">
        <f>SUMIFS('Daily Log'!$K$7:$K$377,'Daily Log'!$V$7:$V$377,$A26)</f>
        <v>0</v>
      </c>
      <c r="Q26" s="51">
        <f>SUMIFS('Daily Log'!$L$7:$L$377,'Daily Log'!$V$7:$V$377,$A26)</f>
        <v>0</v>
      </c>
      <c r="R26" s="51">
        <f>SUMIFS('Daily Log'!$M$7:$M$377,'Daily Log'!$V$7:$V$377,$A26)</f>
        <v>0</v>
      </c>
      <c r="S26" s="51">
        <f>SUMIFS('Daily Log'!$N$7:$N$377,'Daily Log'!$V$7:$V$377,$A26)</f>
        <v>0</v>
      </c>
      <c r="T26" s="51">
        <f>SUMIFS('Daily Log'!$O$7:$O$377,'Daily Log'!$V$7:$V$377,$A26)</f>
        <v>0</v>
      </c>
      <c r="U26" s="51">
        <f>SUMIFS('Daily Log'!$P$7:$P$377,'Daily Log'!$V$7:$V$377,$A26)</f>
        <v>0</v>
      </c>
      <c r="V26" s="51">
        <f>SUMIFS('Daily Log'!$Q$7:$Q$377,'Daily Log'!$V$7:$V$377,$A26)</f>
        <v>0</v>
      </c>
      <c r="W26" s="51">
        <f>SUMIFS('Daily Log'!$R$7:$R$377,'Daily Log'!$V$7:$V$377,$A26)</f>
        <v>0</v>
      </c>
      <c r="X26" s="131">
        <f t="shared" si="4"/>
        <v>0</v>
      </c>
      <c r="Y26" s="131">
        <f t="shared" si="5"/>
        <v>0</v>
      </c>
      <c r="Z26" s="131">
        <f t="shared" si="6"/>
        <v>0</v>
      </c>
      <c r="AA26" s="131">
        <f t="shared" si="7"/>
        <v>0</v>
      </c>
      <c r="AB26" s="131">
        <f t="shared" si="8"/>
        <v>0</v>
      </c>
      <c r="AC26" s="131">
        <f t="shared" si="9"/>
        <v>0</v>
      </c>
      <c r="AD26" s="131">
        <f t="shared" si="10"/>
        <v>0</v>
      </c>
      <c r="AE26" s="131">
        <f t="shared" si="11"/>
        <v>0</v>
      </c>
      <c r="AF26" s="131">
        <f t="shared" si="12"/>
        <v>0</v>
      </c>
      <c r="AG26" s="131">
        <f t="shared" si="13"/>
        <v>0</v>
      </c>
      <c r="AH26" s="131">
        <f t="shared" si="14"/>
        <v>0</v>
      </c>
      <c r="AI26" s="131">
        <f t="shared" si="15"/>
        <v>0</v>
      </c>
      <c r="AJ26" s="131">
        <f t="shared" si="16"/>
        <v>0</v>
      </c>
      <c r="AK26" s="143">
        <f t="shared" si="17"/>
        <v>0</v>
      </c>
      <c r="AL26" s="125"/>
    </row>
    <row r="27" spans="1:38" s="127" customFormat="1" ht="21" customHeight="1" x14ac:dyDescent="0.25">
      <c r="A27" s="117">
        <v>46426</v>
      </c>
      <c r="B27" s="49">
        <f t="shared" si="0"/>
        <v>46432</v>
      </c>
      <c r="C27" s="179">
        <f>SUMIFS('Daily Log'!$C$7:$C$377,'Daily Log'!$V$7:$V$377,$A27)</f>
        <v>0</v>
      </c>
      <c r="D27" s="179">
        <f>SUMIFS('Daily Log'!$D$7:$D$377,'Daily Log'!$V$7:$V$377,$A27)</f>
        <v>0</v>
      </c>
      <c r="E27" s="179">
        <f>SUMIFS('Daily Log'!$E$7:$E$377,'Daily Log'!$V$7:$V$377,$A27)</f>
        <v>0</v>
      </c>
      <c r="F27" s="179">
        <f>SUMIFS('Daily Log'!$F$7:$F$377,'Daily Log'!$V$7:$V$377,$A27)</f>
        <v>0</v>
      </c>
      <c r="G27" s="131">
        <f>SUMIFS('Daily Log'!$U$7:$U$377,'Daily Log'!$V$7:$V$377,$A27)</f>
        <v>0</v>
      </c>
      <c r="H27" s="179">
        <f>SUMIFS('Daily Log'!$S$7:$S$377,'Daily Log'!$V$7:$V$377,$A27)</f>
        <v>0</v>
      </c>
      <c r="I27" s="83" t="str">
        <f t="shared" si="1"/>
        <v/>
      </c>
      <c r="J27" s="65" t="str">
        <f t="shared" si="2"/>
        <v/>
      </c>
      <c r="K27" s="132" t="str">
        <f t="shared" si="3"/>
        <v/>
      </c>
      <c r="L27" s="51">
        <f>SUMIFS('Daily Log'!$G$7:$G$377,'Daily Log'!$V$7:$V$377,$A27)</f>
        <v>0</v>
      </c>
      <c r="M27" s="51">
        <f>SUMIFS('Daily Log'!$H$7:$H$377,'Daily Log'!$V$7:$V$377,$A27)</f>
        <v>0</v>
      </c>
      <c r="N27" s="51">
        <f>SUMIFS('Daily Log'!$I$7:$I$377,'Daily Log'!$V$7:$V$377,$A27)</f>
        <v>0</v>
      </c>
      <c r="O27" s="51">
        <f>SUMIFS('Daily Log'!$J$7:$J$377,'Daily Log'!$V$7:$V$377,$A27)</f>
        <v>0</v>
      </c>
      <c r="P27" s="51">
        <f>SUMIFS('Daily Log'!$K$7:$K$377,'Daily Log'!$V$7:$V$377,$A27)</f>
        <v>0</v>
      </c>
      <c r="Q27" s="51">
        <f>SUMIFS('Daily Log'!$L$7:$L$377,'Daily Log'!$V$7:$V$377,$A27)</f>
        <v>0</v>
      </c>
      <c r="R27" s="51">
        <f>SUMIFS('Daily Log'!$M$7:$M$377,'Daily Log'!$V$7:$V$377,$A27)</f>
        <v>0</v>
      </c>
      <c r="S27" s="51">
        <f>SUMIFS('Daily Log'!$N$7:$N$377,'Daily Log'!$V$7:$V$377,$A27)</f>
        <v>0</v>
      </c>
      <c r="T27" s="51">
        <f>SUMIFS('Daily Log'!$O$7:$O$377,'Daily Log'!$V$7:$V$377,$A27)</f>
        <v>0</v>
      </c>
      <c r="U27" s="51">
        <f>SUMIFS('Daily Log'!$P$7:$P$377,'Daily Log'!$V$7:$V$377,$A27)</f>
        <v>0</v>
      </c>
      <c r="V27" s="51">
        <f>SUMIFS('Daily Log'!$Q$7:$Q$377,'Daily Log'!$V$7:$V$377,$A27)</f>
        <v>0</v>
      </c>
      <c r="W27" s="51">
        <f>SUMIFS('Daily Log'!$R$7:$R$377,'Daily Log'!$V$7:$V$377,$A27)</f>
        <v>0</v>
      </c>
      <c r="X27" s="131">
        <f t="shared" si="4"/>
        <v>0</v>
      </c>
      <c r="Y27" s="131">
        <f t="shared" si="5"/>
        <v>0</v>
      </c>
      <c r="Z27" s="131">
        <f t="shared" si="6"/>
        <v>0</v>
      </c>
      <c r="AA27" s="131">
        <f t="shared" si="7"/>
        <v>0</v>
      </c>
      <c r="AB27" s="131">
        <f t="shared" si="8"/>
        <v>0</v>
      </c>
      <c r="AC27" s="131">
        <f t="shared" si="9"/>
        <v>0</v>
      </c>
      <c r="AD27" s="131">
        <f t="shared" si="10"/>
        <v>0</v>
      </c>
      <c r="AE27" s="131">
        <f t="shared" si="11"/>
        <v>0</v>
      </c>
      <c r="AF27" s="131">
        <f t="shared" si="12"/>
        <v>0</v>
      </c>
      <c r="AG27" s="131">
        <f t="shared" si="13"/>
        <v>0</v>
      </c>
      <c r="AH27" s="131">
        <f t="shared" si="14"/>
        <v>0</v>
      </c>
      <c r="AI27" s="131">
        <f t="shared" si="15"/>
        <v>0</v>
      </c>
      <c r="AJ27" s="131">
        <f t="shared" si="16"/>
        <v>0</v>
      </c>
      <c r="AK27" s="143">
        <f t="shared" si="17"/>
        <v>0</v>
      </c>
      <c r="AL27" s="125"/>
    </row>
    <row r="28" spans="1:38" s="127" customFormat="1" ht="21" customHeight="1" x14ac:dyDescent="0.25">
      <c r="A28" s="117">
        <v>46433</v>
      </c>
      <c r="B28" s="49">
        <f t="shared" si="0"/>
        <v>46439</v>
      </c>
      <c r="C28" s="179">
        <f>SUMIFS('Daily Log'!$C$7:$C$377,'Daily Log'!$V$7:$V$377,$A28)</f>
        <v>0</v>
      </c>
      <c r="D28" s="179">
        <f>SUMIFS('Daily Log'!$D$7:$D$377,'Daily Log'!$V$7:$V$377,$A28)</f>
        <v>0</v>
      </c>
      <c r="E28" s="179">
        <f>SUMIFS('Daily Log'!$E$7:$E$377,'Daily Log'!$V$7:$V$377,$A28)</f>
        <v>0</v>
      </c>
      <c r="F28" s="179">
        <f>SUMIFS('Daily Log'!$F$7:$F$377,'Daily Log'!$V$7:$V$377,$A28)</f>
        <v>0</v>
      </c>
      <c r="G28" s="131">
        <f>SUMIFS('Daily Log'!$U$7:$U$377,'Daily Log'!$V$7:$V$377,$A28)</f>
        <v>0</v>
      </c>
      <c r="H28" s="179">
        <f>SUMIFS('Daily Log'!$S$7:$S$377,'Daily Log'!$V$7:$V$377,$A28)</f>
        <v>0</v>
      </c>
      <c r="I28" s="83" t="str">
        <f t="shared" si="1"/>
        <v/>
      </c>
      <c r="J28" s="65" t="str">
        <f t="shared" si="2"/>
        <v/>
      </c>
      <c r="K28" s="132" t="str">
        <f t="shared" si="3"/>
        <v/>
      </c>
      <c r="L28" s="51">
        <f>SUMIFS('Daily Log'!$G$7:$G$377,'Daily Log'!$V$7:$V$377,$A28)</f>
        <v>0</v>
      </c>
      <c r="M28" s="51">
        <f>SUMIFS('Daily Log'!$H$7:$H$377,'Daily Log'!$V$7:$V$377,$A28)</f>
        <v>0</v>
      </c>
      <c r="N28" s="51">
        <f>SUMIFS('Daily Log'!$I$7:$I$377,'Daily Log'!$V$7:$V$377,$A28)</f>
        <v>0</v>
      </c>
      <c r="O28" s="51">
        <f>SUMIFS('Daily Log'!$J$7:$J$377,'Daily Log'!$V$7:$V$377,$A28)</f>
        <v>0</v>
      </c>
      <c r="P28" s="51">
        <f>SUMIFS('Daily Log'!$K$7:$K$377,'Daily Log'!$V$7:$V$377,$A28)</f>
        <v>0</v>
      </c>
      <c r="Q28" s="51">
        <f>SUMIFS('Daily Log'!$L$7:$L$377,'Daily Log'!$V$7:$V$377,$A28)</f>
        <v>0</v>
      </c>
      <c r="R28" s="51">
        <f>SUMIFS('Daily Log'!$M$7:$M$377,'Daily Log'!$V$7:$V$377,$A28)</f>
        <v>0</v>
      </c>
      <c r="S28" s="51">
        <f>SUMIFS('Daily Log'!$N$7:$N$377,'Daily Log'!$V$7:$V$377,$A28)</f>
        <v>0</v>
      </c>
      <c r="T28" s="51">
        <f>SUMIFS('Daily Log'!$O$7:$O$377,'Daily Log'!$V$7:$V$377,$A28)</f>
        <v>0</v>
      </c>
      <c r="U28" s="51">
        <f>SUMIFS('Daily Log'!$P$7:$P$377,'Daily Log'!$V$7:$V$377,$A28)</f>
        <v>0</v>
      </c>
      <c r="V28" s="51">
        <f>SUMIFS('Daily Log'!$Q$7:$Q$377,'Daily Log'!$V$7:$V$377,$A28)</f>
        <v>0</v>
      </c>
      <c r="W28" s="51">
        <f>SUMIFS('Daily Log'!$R$7:$R$377,'Daily Log'!$V$7:$V$377,$A28)</f>
        <v>0</v>
      </c>
      <c r="X28" s="131">
        <f t="shared" si="4"/>
        <v>0</v>
      </c>
      <c r="Y28" s="131">
        <f t="shared" si="5"/>
        <v>0</v>
      </c>
      <c r="Z28" s="131">
        <f t="shared" si="6"/>
        <v>0</v>
      </c>
      <c r="AA28" s="131">
        <f t="shared" si="7"/>
        <v>0</v>
      </c>
      <c r="AB28" s="131">
        <f t="shared" si="8"/>
        <v>0</v>
      </c>
      <c r="AC28" s="131">
        <f t="shared" si="9"/>
        <v>0</v>
      </c>
      <c r="AD28" s="131">
        <f t="shared" si="10"/>
        <v>0</v>
      </c>
      <c r="AE28" s="131">
        <f t="shared" si="11"/>
        <v>0</v>
      </c>
      <c r="AF28" s="131">
        <f t="shared" si="12"/>
        <v>0</v>
      </c>
      <c r="AG28" s="131">
        <f t="shared" si="13"/>
        <v>0</v>
      </c>
      <c r="AH28" s="131">
        <f t="shared" si="14"/>
        <v>0</v>
      </c>
      <c r="AI28" s="131">
        <f t="shared" si="15"/>
        <v>0</v>
      </c>
      <c r="AJ28" s="131">
        <f t="shared" si="16"/>
        <v>0</v>
      </c>
      <c r="AK28" s="143">
        <f t="shared" si="17"/>
        <v>0</v>
      </c>
      <c r="AL28" s="125"/>
    </row>
    <row r="29" spans="1:38" s="127" customFormat="1" ht="21" customHeight="1" x14ac:dyDescent="0.25">
      <c r="A29" s="117">
        <v>46440</v>
      </c>
      <c r="B29" s="49">
        <f t="shared" si="0"/>
        <v>46446</v>
      </c>
      <c r="C29" s="179">
        <f>SUMIFS('Daily Log'!$C$7:$C$377,'Daily Log'!$V$7:$V$377,$A29)</f>
        <v>0</v>
      </c>
      <c r="D29" s="179">
        <f>SUMIFS('Daily Log'!$D$7:$D$377,'Daily Log'!$V$7:$V$377,$A29)</f>
        <v>0</v>
      </c>
      <c r="E29" s="179">
        <f>SUMIFS('Daily Log'!$E$7:$E$377,'Daily Log'!$V$7:$V$377,$A29)</f>
        <v>0</v>
      </c>
      <c r="F29" s="179">
        <f>SUMIFS('Daily Log'!$F$7:$F$377,'Daily Log'!$V$7:$V$377,$A29)</f>
        <v>0</v>
      </c>
      <c r="G29" s="131">
        <f>SUMIFS('Daily Log'!$U$7:$U$377,'Daily Log'!$V$7:$V$377,$A29)</f>
        <v>0</v>
      </c>
      <c r="H29" s="179">
        <f>SUMIFS('Daily Log'!$S$7:$S$377,'Daily Log'!$V$7:$V$377,$A29)</f>
        <v>0</v>
      </c>
      <c r="I29" s="83" t="str">
        <f t="shared" si="1"/>
        <v/>
      </c>
      <c r="J29" s="65" t="str">
        <f t="shared" si="2"/>
        <v/>
      </c>
      <c r="K29" s="132" t="str">
        <f t="shared" si="3"/>
        <v/>
      </c>
      <c r="L29" s="51">
        <f>SUMIFS('Daily Log'!$G$7:$G$377,'Daily Log'!$V$7:$V$377,$A29)</f>
        <v>0</v>
      </c>
      <c r="M29" s="51">
        <f>SUMIFS('Daily Log'!$H$7:$H$377,'Daily Log'!$V$7:$V$377,$A29)</f>
        <v>0</v>
      </c>
      <c r="N29" s="51">
        <f>SUMIFS('Daily Log'!$I$7:$I$377,'Daily Log'!$V$7:$V$377,$A29)</f>
        <v>0</v>
      </c>
      <c r="O29" s="51">
        <f>SUMIFS('Daily Log'!$J$7:$J$377,'Daily Log'!$V$7:$V$377,$A29)</f>
        <v>0</v>
      </c>
      <c r="P29" s="51">
        <f>SUMIFS('Daily Log'!$K$7:$K$377,'Daily Log'!$V$7:$V$377,$A29)</f>
        <v>0</v>
      </c>
      <c r="Q29" s="51">
        <f>SUMIFS('Daily Log'!$L$7:$L$377,'Daily Log'!$V$7:$V$377,$A29)</f>
        <v>0</v>
      </c>
      <c r="R29" s="51">
        <f>SUMIFS('Daily Log'!$M$7:$M$377,'Daily Log'!$V$7:$V$377,$A29)</f>
        <v>0</v>
      </c>
      <c r="S29" s="51">
        <f>SUMIFS('Daily Log'!$N$7:$N$377,'Daily Log'!$V$7:$V$377,$A29)</f>
        <v>0</v>
      </c>
      <c r="T29" s="51">
        <f>SUMIFS('Daily Log'!$O$7:$O$377,'Daily Log'!$V$7:$V$377,$A29)</f>
        <v>0</v>
      </c>
      <c r="U29" s="51">
        <f>SUMIFS('Daily Log'!$P$7:$P$377,'Daily Log'!$V$7:$V$377,$A29)</f>
        <v>0</v>
      </c>
      <c r="V29" s="51">
        <f>SUMIFS('Daily Log'!$Q$7:$Q$377,'Daily Log'!$V$7:$V$377,$A29)</f>
        <v>0</v>
      </c>
      <c r="W29" s="51">
        <f>SUMIFS('Daily Log'!$R$7:$R$377,'Daily Log'!$V$7:$V$377,$A29)</f>
        <v>0</v>
      </c>
      <c r="X29" s="131">
        <f t="shared" si="4"/>
        <v>0</v>
      </c>
      <c r="Y29" s="131">
        <f t="shared" si="5"/>
        <v>0</v>
      </c>
      <c r="Z29" s="131">
        <f t="shared" si="6"/>
        <v>0</v>
      </c>
      <c r="AA29" s="131">
        <f t="shared" si="7"/>
        <v>0</v>
      </c>
      <c r="AB29" s="131">
        <f t="shared" si="8"/>
        <v>0</v>
      </c>
      <c r="AC29" s="131">
        <f t="shared" si="9"/>
        <v>0</v>
      </c>
      <c r="AD29" s="131">
        <f t="shared" si="10"/>
        <v>0</v>
      </c>
      <c r="AE29" s="131">
        <f t="shared" si="11"/>
        <v>0</v>
      </c>
      <c r="AF29" s="131">
        <f t="shared" si="12"/>
        <v>0</v>
      </c>
      <c r="AG29" s="131">
        <f t="shared" si="13"/>
        <v>0</v>
      </c>
      <c r="AH29" s="131">
        <f t="shared" si="14"/>
        <v>0</v>
      </c>
      <c r="AI29" s="131">
        <f t="shared" si="15"/>
        <v>0</v>
      </c>
      <c r="AJ29" s="131">
        <f t="shared" si="16"/>
        <v>0</v>
      </c>
      <c r="AK29" s="143">
        <f t="shared" si="17"/>
        <v>0</v>
      </c>
      <c r="AL29" s="125"/>
    </row>
    <row r="30" spans="1:38" s="127" customFormat="1" ht="21" customHeight="1" x14ac:dyDescent="0.25">
      <c r="A30" s="117">
        <v>46447</v>
      </c>
      <c r="B30" s="49">
        <f t="shared" si="0"/>
        <v>46453</v>
      </c>
      <c r="C30" s="179">
        <f>SUMIFS('Daily Log'!$C$7:$C$377,'Daily Log'!$V$7:$V$377,$A30)</f>
        <v>0</v>
      </c>
      <c r="D30" s="179">
        <f>SUMIFS('Daily Log'!$D$7:$D$377,'Daily Log'!$V$7:$V$377,$A30)</f>
        <v>0</v>
      </c>
      <c r="E30" s="179">
        <f>SUMIFS('Daily Log'!$E$7:$E$377,'Daily Log'!$V$7:$V$377,$A30)</f>
        <v>0</v>
      </c>
      <c r="F30" s="179">
        <f>SUMIFS('Daily Log'!$F$7:$F$377,'Daily Log'!$V$7:$V$377,$A30)</f>
        <v>0</v>
      </c>
      <c r="G30" s="131">
        <f>SUMIFS('Daily Log'!$U$7:$U$377,'Daily Log'!$V$7:$V$377,$A30)</f>
        <v>0</v>
      </c>
      <c r="H30" s="179">
        <f>SUMIFS('Daily Log'!$S$7:$S$377,'Daily Log'!$V$7:$V$377,$A30)</f>
        <v>0</v>
      </c>
      <c r="I30" s="83" t="str">
        <f t="shared" si="1"/>
        <v/>
      </c>
      <c r="J30" s="65" t="str">
        <f t="shared" si="2"/>
        <v/>
      </c>
      <c r="K30" s="132" t="str">
        <f t="shared" si="3"/>
        <v/>
      </c>
      <c r="L30" s="51">
        <f>SUMIFS('Daily Log'!$G$7:$G$377,'Daily Log'!$V$7:$V$377,$A30)</f>
        <v>0</v>
      </c>
      <c r="M30" s="51">
        <f>SUMIFS('Daily Log'!$H$7:$H$377,'Daily Log'!$V$7:$V$377,$A30)</f>
        <v>0</v>
      </c>
      <c r="N30" s="51">
        <f>SUMIFS('Daily Log'!$I$7:$I$377,'Daily Log'!$V$7:$V$377,$A30)</f>
        <v>0</v>
      </c>
      <c r="O30" s="51">
        <f>SUMIFS('Daily Log'!$J$7:$J$377,'Daily Log'!$V$7:$V$377,$A30)</f>
        <v>0</v>
      </c>
      <c r="P30" s="51">
        <f>SUMIFS('Daily Log'!$K$7:$K$377,'Daily Log'!$V$7:$V$377,$A30)</f>
        <v>0</v>
      </c>
      <c r="Q30" s="51">
        <f>SUMIFS('Daily Log'!$L$7:$L$377,'Daily Log'!$V$7:$V$377,$A30)</f>
        <v>0</v>
      </c>
      <c r="R30" s="51">
        <f>SUMIFS('Daily Log'!$M$7:$M$377,'Daily Log'!$V$7:$V$377,$A30)</f>
        <v>0</v>
      </c>
      <c r="S30" s="51">
        <f>SUMIFS('Daily Log'!$N$7:$N$377,'Daily Log'!$V$7:$V$377,$A30)</f>
        <v>0</v>
      </c>
      <c r="T30" s="51">
        <f>SUMIFS('Daily Log'!$O$7:$O$377,'Daily Log'!$V$7:$V$377,$A30)</f>
        <v>0</v>
      </c>
      <c r="U30" s="51">
        <f>SUMIFS('Daily Log'!$P$7:$P$377,'Daily Log'!$V$7:$V$377,$A30)</f>
        <v>0</v>
      </c>
      <c r="V30" s="51">
        <f>SUMIFS('Daily Log'!$Q$7:$Q$377,'Daily Log'!$V$7:$V$377,$A30)</f>
        <v>0</v>
      </c>
      <c r="W30" s="51">
        <f>SUMIFS('Daily Log'!$R$7:$R$377,'Daily Log'!$V$7:$V$377,$A30)</f>
        <v>0</v>
      </c>
      <c r="X30" s="131">
        <f t="shared" si="4"/>
        <v>0</v>
      </c>
      <c r="Y30" s="131">
        <f t="shared" si="5"/>
        <v>0</v>
      </c>
      <c r="Z30" s="131">
        <f t="shared" si="6"/>
        <v>0</v>
      </c>
      <c r="AA30" s="131">
        <f t="shared" si="7"/>
        <v>0</v>
      </c>
      <c r="AB30" s="131">
        <f t="shared" si="8"/>
        <v>0</v>
      </c>
      <c r="AC30" s="131">
        <f t="shared" si="9"/>
        <v>0</v>
      </c>
      <c r="AD30" s="131">
        <f t="shared" si="10"/>
        <v>0</v>
      </c>
      <c r="AE30" s="131">
        <f t="shared" si="11"/>
        <v>0</v>
      </c>
      <c r="AF30" s="131">
        <f t="shared" si="12"/>
        <v>0</v>
      </c>
      <c r="AG30" s="131">
        <f t="shared" si="13"/>
        <v>0</v>
      </c>
      <c r="AH30" s="131">
        <f t="shared" si="14"/>
        <v>0</v>
      </c>
      <c r="AI30" s="131">
        <f t="shared" si="15"/>
        <v>0</v>
      </c>
      <c r="AJ30" s="131">
        <f t="shared" si="16"/>
        <v>0</v>
      </c>
      <c r="AK30" s="143">
        <f t="shared" si="17"/>
        <v>0</v>
      </c>
      <c r="AL30" s="125"/>
    </row>
    <row r="31" spans="1:38" s="127" customFormat="1" ht="21" customHeight="1" x14ac:dyDescent="0.25">
      <c r="A31" s="117">
        <v>46454</v>
      </c>
      <c r="B31" s="49">
        <f t="shared" si="0"/>
        <v>46460</v>
      </c>
      <c r="C31" s="179">
        <f>SUMIFS('Daily Log'!$C$7:$C$377,'Daily Log'!$V$7:$V$377,$A31)</f>
        <v>0</v>
      </c>
      <c r="D31" s="179">
        <f>SUMIFS('Daily Log'!$D$7:$D$377,'Daily Log'!$V$7:$V$377,$A31)</f>
        <v>0</v>
      </c>
      <c r="E31" s="179">
        <f>SUMIFS('Daily Log'!$E$7:$E$377,'Daily Log'!$V$7:$V$377,$A31)</f>
        <v>0</v>
      </c>
      <c r="F31" s="179">
        <f>SUMIFS('Daily Log'!$F$7:$F$377,'Daily Log'!$V$7:$V$377,$A31)</f>
        <v>0</v>
      </c>
      <c r="G31" s="131">
        <f>SUMIFS('Daily Log'!$U$7:$U$377,'Daily Log'!$V$7:$V$377,$A31)</f>
        <v>0</v>
      </c>
      <c r="H31" s="179">
        <f>SUMIFS('Daily Log'!$S$7:$S$377,'Daily Log'!$V$7:$V$377,$A31)</f>
        <v>0</v>
      </c>
      <c r="I31" s="83" t="str">
        <f t="shared" si="1"/>
        <v/>
      </c>
      <c r="J31" s="65" t="str">
        <f t="shared" si="2"/>
        <v/>
      </c>
      <c r="K31" s="132" t="str">
        <f t="shared" si="3"/>
        <v/>
      </c>
      <c r="L31" s="51">
        <f>SUMIFS('Daily Log'!$G$7:$G$377,'Daily Log'!$V$7:$V$377,$A31)</f>
        <v>0</v>
      </c>
      <c r="M31" s="51">
        <f>SUMIFS('Daily Log'!$H$7:$H$377,'Daily Log'!$V$7:$V$377,$A31)</f>
        <v>0</v>
      </c>
      <c r="N31" s="51">
        <f>SUMIFS('Daily Log'!$I$7:$I$377,'Daily Log'!$V$7:$V$377,$A31)</f>
        <v>0</v>
      </c>
      <c r="O31" s="51">
        <f>SUMIFS('Daily Log'!$J$7:$J$377,'Daily Log'!$V$7:$V$377,$A31)</f>
        <v>0</v>
      </c>
      <c r="P31" s="51">
        <f>SUMIFS('Daily Log'!$K$7:$K$377,'Daily Log'!$V$7:$V$377,$A31)</f>
        <v>0</v>
      </c>
      <c r="Q31" s="51">
        <f>SUMIFS('Daily Log'!$L$7:$L$377,'Daily Log'!$V$7:$V$377,$A31)</f>
        <v>0</v>
      </c>
      <c r="R31" s="51">
        <f>SUMIFS('Daily Log'!$M$7:$M$377,'Daily Log'!$V$7:$V$377,$A31)</f>
        <v>0</v>
      </c>
      <c r="S31" s="51">
        <f>SUMIFS('Daily Log'!$N$7:$N$377,'Daily Log'!$V$7:$V$377,$A31)</f>
        <v>0</v>
      </c>
      <c r="T31" s="51">
        <f>SUMIFS('Daily Log'!$O$7:$O$377,'Daily Log'!$V$7:$V$377,$A31)</f>
        <v>0</v>
      </c>
      <c r="U31" s="51">
        <f>SUMIFS('Daily Log'!$P$7:$P$377,'Daily Log'!$V$7:$V$377,$A31)</f>
        <v>0</v>
      </c>
      <c r="V31" s="51">
        <f>SUMIFS('Daily Log'!$Q$7:$Q$377,'Daily Log'!$V$7:$V$377,$A31)</f>
        <v>0</v>
      </c>
      <c r="W31" s="51">
        <f>SUMIFS('Daily Log'!$R$7:$R$377,'Daily Log'!$V$7:$V$377,$A31)</f>
        <v>0</v>
      </c>
      <c r="X31" s="131">
        <f t="shared" si="4"/>
        <v>0</v>
      </c>
      <c r="Y31" s="131">
        <f t="shared" si="5"/>
        <v>0</v>
      </c>
      <c r="Z31" s="131">
        <f t="shared" si="6"/>
        <v>0</v>
      </c>
      <c r="AA31" s="131">
        <f t="shared" si="7"/>
        <v>0</v>
      </c>
      <c r="AB31" s="131">
        <f t="shared" si="8"/>
        <v>0</v>
      </c>
      <c r="AC31" s="131">
        <f t="shared" si="9"/>
        <v>0</v>
      </c>
      <c r="AD31" s="131">
        <f t="shared" si="10"/>
        <v>0</v>
      </c>
      <c r="AE31" s="131">
        <f t="shared" si="11"/>
        <v>0</v>
      </c>
      <c r="AF31" s="131">
        <f t="shared" si="12"/>
        <v>0</v>
      </c>
      <c r="AG31" s="131">
        <f t="shared" si="13"/>
        <v>0</v>
      </c>
      <c r="AH31" s="131">
        <f t="shared" si="14"/>
        <v>0</v>
      </c>
      <c r="AI31" s="131">
        <f t="shared" si="15"/>
        <v>0</v>
      </c>
      <c r="AJ31" s="131">
        <f t="shared" si="16"/>
        <v>0</v>
      </c>
      <c r="AK31" s="143">
        <f t="shared" si="17"/>
        <v>0</v>
      </c>
      <c r="AL31" s="125"/>
    </row>
    <row r="32" spans="1:38" s="127" customFormat="1" ht="21" customHeight="1" x14ac:dyDescent="0.25">
      <c r="A32" s="117">
        <v>46461</v>
      </c>
      <c r="B32" s="49">
        <f t="shared" si="0"/>
        <v>46467</v>
      </c>
      <c r="C32" s="179">
        <f>SUMIFS('Daily Log'!$C$7:$C$377,'Daily Log'!$V$7:$V$377,$A32)</f>
        <v>0</v>
      </c>
      <c r="D32" s="179">
        <f>SUMIFS('Daily Log'!$D$7:$D$377,'Daily Log'!$V$7:$V$377,$A32)</f>
        <v>0</v>
      </c>
      <c r="E32" s="179">
        <f>SUMIFS('Daily Log'!$E$7:$E$377,'Daily Log'!$V$7:$V$377,$A32)</f>
        <v>0</v>
      </c>
      <c r="F32" s="179">
        <f>SUMIFS('Daily Log'!$F$7:$F$377,'Daily Log'!$V$7:$V$377,$A32)</f>
        <v>0</v>
      </c>
      <c r="G32" s="131">
        <f>SUMIFS('Daily Log'!$U$7:$U$377,'Daily Log'!$V$7:$V$377,$A32)</f>
        <v>0</v>
      </c>
      <c r="H32" s="179">
        <f>SUMIFS('Daily Log'!$S$7:$S$377,'Daily Log'!$V$7:$V$377,$A32)</f>
        <v>0</v>
      </c>
      <c r="I32" s="83" t="str">
        <f t="shared" si="1"/>
        <v/>
      </c>
      <c r="J32" s="65" t="str">
        <f t="shared" si="2"/>
        <v/>
      </c>
      <c r="K32" s="132" t="str">
        <f t="shared" si="3"/>
        <v/>
      </c>
      <c r="L32" s="51">
        <f>SUMIFS('Daily Log'!$G$7:$G$377,'Daily Log'!$V$7:$V$377,$A32)</f>
        <v>0</v>
      </c>
      <c r="M32" s="51">
        <f>SUMIFS('Daily Log'!$H$7:$H$377,'Daily Log'!$V$7:$V$377,$A32)</f>
        <v>0</v>
      </c>
      <c r="N32" s="51">
        <f>SUMIFS('Daily Log'!$I$7:$I$377,'Daily Log'!$V$7:$V$377,$A32)</f>
        <v>0</v>
      </c>
      <c r="O32" s="51">
        <f>SUMIFS('Daily Log'!$J$7:$J$377,'Daily Log'!$V$7:$V$377,$A32)</f>
        <v>0</v>
      </c>
      <c r="P32" s="51">
        <f>SUMIFS('Daily Log'!$K$7:$K$377,'Daily Log'!$V$7:$V$377,$A32)</f>
        <v>0</v>
      </c>
      <c r="Q32" s="51">
        <f>SUMIFS('Daily Log'!$L$7:$L$377,'Daily Log'!$V$7:$V$377,$A32)</f>
        <v>0</v>
      </c>
      <c r="R32" s="51">
        <f>SUMIFS('Daily Log'!$M$7:$M$377,'Daily Log'!$V$7:$V$377,$A32)</f>
        <v>0</v>
      </c>
      <c r="S32" s="51">
        <f>SUMIFS('Daily Log'!$N$7:$N$377,'Daily Log'!$V$7:$V$377,$A32)</f>
        <v>0</v>
      </c>
      <c r="T32" s="51">
        <f>SUMIFS('Daily Log'!$O$7:$O$377,'Daily Log'!$V$7:$V$377,$A32)</f>
        <v>0</v>
      </c>
      <c r="U32" s="51">
        <f>SUMIFS('Daily Log'!$P$7:$P$377,'Daily Log'!$V$7:$V$377,$A32)</f>
        <v>0</v>
      </c>
      <c r="V32" s="51">
        <f>SUMIFS('Daily Log'!$Q$7:$Q$377,'Daily Log'!$V$7:$V$377,$A32)</f>
        <v>0</v>
      </c>
      <c r="W32" s="51">
        <f>SUMIFS('Daily Log'!$R$7:$R$377,'Daily Log'!$V$7:$V$377,$A32)</f>
        <v>0</v>
      </c>
      <c r="X32" s="131">
        <f t="shared" si="4"/>
        <v>0</v>
      </c>
      <c r="Y32" s="131">
        <f t="shared" si="5"/>
        <v>0</v>
      </c>
      <c r="Z32" s="131">
        <f t="shared" si="6"/>
        <v>0</v>
      </c>
      <c r="AA32" s="131">
        <f t="shared" si="7"/>
        <v>0</v>
      </c>
      <c r="AB32" s="131">
        <f t="shared" si="8"/>
        <v>0</v>
      </c>
      <c r="AC32" s="131">
        <f t="shared" si="9"/>
        <v>0</v>
      </c>
      <c r="AD32" s="131">
        <f t="shared" si="10"/>
        <v>0</v>
      </c>
      <c r="AE32" s="131">
        <f t="shared" si="11"/>
        <v>0</v>
      </c>
      <c r="AF32" s="131">
        <f t="shared" si="12"/>
        <v>0</v>
      </c>
      <c r="AG32" s="131">
        <f t="shared" si="13"/>
        <v>0</v>
      </c>
      <c r="AH32" s="131">
        <f t="shared" si="14"/>
        <v>0</v>
      </c>
      <c r="AI32" s="131">
        <f t="shared" si="15"/>
        <v>0</v>
      </c>
      <c r="AJ32" s="131">
        <f t="shared" si="16"/>
        <v>0</v>
      </c>
      <c r="AK32" s="143">
        <f t="shared" si="17"/>
        <v>0</v>
      </c>
      <c r="AL32" s="125"/>
    </row>
    <row r="33" spans="1:38" s="127" customFormat="1" ht="21" customHeight="1" x14ac:dyDescent="0.25">
      <c r="A33" s="117">
        <v>46468</v>
      </c>
      <c r="B33" s="49">
        <f t="shared" si="0"/>
        <v>46474</v>
      </c>
      <c r="C33" s="179">
        <f>SUMIFS('Daily Log'!$C$7:$C$377,'Daily Log'!$V$7:$V$377,$A33)</f>
        <v>0</v>
      </c>
      <c r="D33" s="179">
        <f>SUMIFS('Daily Log'!$D$7:$D$377,'Daily Log'!$V$7:$V$377,$A33)</f>
        <v>0</v>
      </c>
      <c r="E33" s="179">
        <f>SUMIFS('Daily Log'!$E$7:$E$377,'Daily Log'!$V$7:$V$377,$A33)</f>
        <v>0</v>
      </c>
      <c r="F33" s="179">
        <f>SUMIFS('Daily Log'!$F$7:$F$377,'Daily Log'!$V$7:$V$377,$A33)</f>
        <v>0</v>
      </c>
      <c r="G33" s="131">
        <f>SUMIFS('Daily Log'!$U$7:$U$377,'Daily Log'!$V$7:$V$377,$A33)</f>
        <v>0</v>
      </c>
      <c r="H33" s="179">
        <f>SUMIFS('Daily Log'!$S$7:$S$377,'Daily Log'!$V$7:$V$377,$A33)</f>
        <v>0</v>
      </c>
      <c r="I33" s="83" t="str">
        <f t="shared" si="1"/>
        <v/>
      </c>
      <c r="J33" s="65" t="str">
        <f t="shared" si="2"/>
        <v/>
      </c>
      <c r="K33" s="132" t="str">
        <f t="shared" si="3"/>
        <v/>
      </c>
      <c r="L33" s="51">
        <f>SUMIFS('Daily Log'!$G$7:$G$377,'Daily Log'!$V$7:$V$377,$A33)</f>
        <v>0</v>
      </c>
      <c r="M33" s="51">
        <f>SUMIFS('Daily Log'!$H$7:$H$377,'Daily Log'!$V$7:$V$377,$A33)</f>
        <v>0</v>
      </c>
      <c r="N33" s="51">
        <f>SUMIFS('Daily Log'!$I$7:$I$377,'Daily Log'!$V$7:$V$377,$A33)</f>
        <v>0</v>
      </c>
      <c r="O33" s="51">
        <f>SUMIFS('Daily Log'!$J$7:$J$377,'Daily Log'!$V$7:$V$377,$A33)</f>
        <v>0</v>
      </c>
      <c r="P33" s="51">
        <f>SUMIFS('Daily Log'!$K$7:$K$377,'Daily Log'!$V$7:$V$377,$A33)</f>
        <v>0</v>
      </c>
      <c r="Q33" s="51">
        <f>SUMIFS('Daily Log'!$L$7:$L$377,'Daily Log'!$V$7:$V$377,$A33)</f>
        <v>0</v>
      </c>
      <c r="R33" s="51">
        <f>SUMIFS('Daily Log'!$M$7:$M$377,'Daily Log'!$V$7:$V$377,$A33)</f>
        <v>0</v>
      </c>
      <c r="S33" s="51">
        <f>SUMIFS('Daily Log'!$N$7:$N$377,'Daily Log'!$V$7:$V$377,$A33)</f>
        <v>0</v>
      </c>
      <c r="T33" s="51">
        <f>SUMIFS('Daily Log'!$O$7:$O$377,'Daily Log'!$V$7:$V$377,$A33)</f>
        <v>0</v>
      </c>
      <c r="U33" s="51">
        <f>SUMIFS('Daily Log'!$P$7:$P$377,'Daily Log'!$V$7:$V$377,$A33)</f>
        <v>0</v>
      </c>
      <c r="V33" s="51">
        <f>SUMIFS('Daily Log'!$Q$7:$Q$377,'Daily Log'!$V$7:$V$377,$A33)</f>
        <v>0</v>
      </c>
      <c r="W33" s="51">
        <f>SUMIFS('Daily Log'!$R$7:$R$377,'Daily Log'!$V$7:$V$377,$A33)</f>
        <v>0</v>
      </c>
      <c r="X33" s="131">
        <f t="shared" si="4"/>
        <v>0</v>
      </c>
      <c r="Y33" s="131">
        <f t="shared" si="5"/>
        <v>0</v>
      </c>
      <c r="Z33" s="131">
        <f t="shared" si="6"/>
        <v>0</v>
      </c>
      <c r="AA33" s="131">
        <f t="shared" si="7"/>
        <v>0</v>
      </c>
      <c r="AB33" s="131">
        <f t="shared" si="8"/>
        <v>0</v>
      </c>
      <c r="AC33" s="131">
        <f t="shared" si="9"/>
        <v>0</v>
      </c>
      <c r="AD33" s="131">
        <f t="shared" si="10"/>
        <v>0</v>
      </c>
      <c r="AE33" s="131">
        <f t="shared" si="11"/>
        <v>0</v>
      </c>
      <c r="AF33" s="131">
        <f t="shared" si="12"/>
        <v>0</v>
      </c>
      <c r="AG33" s="131">
        <f t="shared" si="13"/>
        <v>0</v>
      </c>
      <c r="AH33" s="131">
        <f t="shared" si="14"/>
        <v>0</v>
      </c>
      <c r="AI33" s="131">
        <f t="shared" si="15"/>
        <v>0</v>
      </c>
      <c r="AJ33" s="131">
        <f t="shared" si="16"/>
        <v>0</v>
      </c>
      <c r="AK33" s="143">
        <f t="shared" si="17"/>
        <v>0</v>
      </c>
      <c r="AL33" s="125"/>
    </row>
    <row r="34" spans="1:38" s="127" customFormat="1" ht="21" customHeight="1" x14ac:dyDescent="0.25">
      <c r="A34" s="117">
        <v>46475</v>
      </c>
      <c r="B34" s="49">
        <f t="shared" si="0"/>
        <v>46481</v>
      </c>
      <c r="C34" s="179">
        <f>SUMIFS('Daily Log'!$C$7:$C$377,'Daily Log'!$V$7:$V$377,$A34)</f>
        <v>0</v>
      </c>
      <c r="D34" s="179">
        <f>SUMIFS('Daily Log'!$D$7:$D$377,'Daily Log'!$V$7:$V$377,$A34)</f>
        <v>0</v>
      </c>
      <c r="E34" s="179">
        <f>SUMIFS('Daily Log'!$E$7:$E$377,'Daily Log'!$V$7:$V$377,$A34)</f>
        <v>0</v>
      </c>
      <c r="F34" s="179">
        <f>SUMIFS('Daily Log'!$F$7:$F$377,'Daily Log'!$V$7:$V$377,$A34)</f>
        <v>0</v>
      </c>
      <c r="G34" s="131">
        <f>SUMIFS('Daily Log'!$U$7:$U$377,'Daily Log'!$V$7:$V$377,$A34)</f>
        <v>0</v>
      </c>
      <c r="H34" s="179">
        <f>SUMIFS('Daily Log'!$S$7:$S$377,'Daily Log'!$V$7:$V$377,$A34)</f>
        <v>0</v>
      </c>
      <c r="I34" s="83" t="str">
        <f t="shared" si="1"/>
        <v/>
      </c>
      <c r="J34" s="65" t="str">
        <f t="shared" si="2"/>
        <v/>
      </c>
      <c r="K34" s="132" t="str">
        <f t="shared" si="3"/>
        <v/>
      </c>
      <c r="L34" s="51">
        <f>SUMIFS('Daily Log'!$G$7:$G$377,'Daily Log'!$V$7:$V$377,$A34)</f>
        <v>0</v>
      </c>
      <c r="M34" s="51">
        <f>SUMIFS('Daily Log'!$H$7:$H$377,'Daily Log'!$V$7:$V$377,$A34)</f>
        <v>0</v>
      </c>
      <c r="N34" s="51">
        <f>SUMIFS('Daily Log'!$I$7:$I$377,'Daily Log'!$V$7:$V$377,$A34)</f>
        <v>0</v>
      </c>
      <c r="O34" s="51">
        <f>SUMIFS('Daily Log'!$J$7:$J$377,'Daily Log'!$V$7:$V$377,$A34)</f>
        <v>0</v>
      </c>
      <c r="P34" s="51">
        <f>SUMIFS('Daily Log'!$K$7:$K$377,'Daily Log'!$V$7:$V$377,$A34)</f>
        <v>0</v>
      </c>
      <c r="Q34" s="51">
        <f>SUMIFS('Daily Log'!$L$7:$L$377,'Daily Log'!$V$7:$V$377,$A34)</f>
        <v>0</v>
      </c>
      <c r="R34" s="51">
        <f>SUMIFS('Daily Log'!$M$7:$M$377,'Daily Log'!$V$7:$V$377,$A34)</f>
        <v>0</v>
      </c>
      <c r="S34" s="51">
        <f>SUMIFS('Daily Log'!$N$7:$N$377,'Daily Log'!$V$7:$V$377,$A34)</f>
        <v>0</v>
      </c>
      <c r="T34" s="51">
        <f>SUMIFS('Daily Log'!$O$7:$O$377,'Daily Log'!$V$7:$V$377,$A34)</f>
        <v>0</v>
      </c>
      <c r="U34" s="51">
        <f>SUMIFS('Daily Log'!$P$7:$P$377,'Daily Log'!$V$7:$V$377,$A34)</f>
        <v>0</v>
      </c>
      <c r="V34" s="51">
        <f>SUMIFS('Daily Log'!$Q$7:$Q$377,'Daily Log'!$V$7:$V$377,$A34)</f>
        <v>0</v>
      </c>
      <c r="W34" s="51">
        <f>SUMIFS('Daily Log'!$R$7:$R$377,'Daily Log'!$V$7:$V$377,$A34)</f>
        <v>0</v>
      </c>
      <c r="X34" s="131">
        <f t="shared" si="4"/>
        <v>0</v>
      </c>
      <c r="Y34" s="131">
        <f t="shared" si="5"/>
        <v>0</v>
      </c>
      <c r="Z34" s="131">
        <f t="shared" si="6"/>
        <v>0</v>
      </c>
      <c r="AA34" s="131">
        <f t="shared" si="7"/>
        <v>0</v>
      </c>
      <c r="AB34" s="131">
        <f t="shared" si="8"/>
        <v>0</v>
      </c>
      <c r="AC34" s="131">
        <f t="shared" si="9"/>
        <v>0</v>
      </c>
      <c r="AD34" s="131">
        <f t="shared" si="10"/>
        <v>0</v>
      </c>
      <c r="AE34" s="131">
        <f t="shared" si="11"/>
        <v>0</v>
      </c>
      <c r="AF34" s="131">
        <f t="shared" si="12"/>
        <v>0</v>
      </c>
      <c r="AG34" s="131">
        <f t="shared" si="13"/>
        <v>0</v>
      </c>
      <c r="AH34" s="131">
        <f t="shared" si="14"/>
        <v>0</v>
      </c>
      <c r="AI34" s="131">
        <f t="shared" si="15"/>
        <v>0</v>
      </c>
      <c r="AJ34" s="131">
        <f t="shared" si="16"/>
        <v>0</v>
      </c>
      <c r="AK34" s="143">
        <f t="shared" si="17"/>
        <v>0</v>
      </c>
      <c r="AL34" s="125"/>
    </row>
    <row r="35" spans="1:38" s="127" customFormat="1" ht="21" customHeight="1" x14ac:dyDescent="0.25">
      <c r="A35" s="117">
        <v>46482</v>
      </c>
      <c r="B35" s="49">
        <f t="shared" si="0"/>
        <v>46488</v>
      </c>
      <c r="C35" s="179">
        <f>SUMIFS('Daily Log'!$C$7:$C$377,'Daily Log'!$V$7:$V$377,$A35)</f>
        <v>0</v>
      </c>
      <c r="D35" s="179">
        <f>SUMIFS('Daily Log'!$D$7:$D$377,'Daily Log'!$V$7:$V$377,$A35)</f>
        <v>0</v>
      </c>
      <c r="E35" s="179">
        <f>SUMIFS('Daily Log'!$E$7:$E$377,'Daily Log'!$V$7:$V$377,$A35)</f>
        <v>0</v>
      </c>
      <c r="F35" s="179">
        <f>SUMIFS('Daily Log'!$F$7:$F$377,'Daily Log'!$V$7:$V$377,$A35)</f>
        <v>0</v>
      </c>
      <c r="G35" s="131">
        <f>SUMIFS('Daily Log'!$U$7:$U$377,'Daily Log'!$V$7:$V$377,$A35)</f>
        <v>0</v>
      </c>
      <c r="H35" s="179">
        <f>SUMIFS('Daily Log'!$S$7:$S$377,'Daily Log'!$V$7:$V$377,$A35)</f>
        <v>0</v>
      </c>
      <c r="I35" s="83" t="str">
        <f t="shared" si="1"/>
        <v/>
      </c>
      <c r="J35" s="65" t="str">
        <f t="shared" si="2"/>
        <v/>
      </c>
      <c r="K35" s="132" t="str">
        <f t="shared" si="3"/>
        <v/>
      </c>
      <c r="L35" s="51">
        <f>SUMIFS('Daily Log'!$G$7:$G$377,'Daily Log'!$V$7:$V$377,$A35)</f>
        <v>0</v>
      </c>
      <c r="M35" s="51">
        <f>SUMIFS('Daily Log'!$H$7:$H$377,'Daily Log'!$V$7:$V$377,$A35)</f>
        <v>0</v>
      </c>
      <c r="N35" s="51">
        <f>SUMIFS('Daily Log'!$I$7:$I$377,'Daily Log'!$V$7:$V$377,$A35)</f>
        <v>0</v>
      </c>
      <c r="O35" s="51">
        <f>SUMIFS('Daily Log'!$J$7:$J$377,'Daily Log'!$V$7:$V$377,$A35)</f>
        <v>0</v>
      </c>
      <c r="P35" s="51">
        <f>SUMIFS('Daily Log'!$K$7:$K$377,'Daily Log'!$V$7:$V$377,$A35)</f>
        <v>0</v>
      </c>
      <c r="Q35" s="51">
        <f>SUMIFS('Daily Log'!$L$7:$L$377,'Daily Log'!$V$7:$V$377,$A35)</f>
        <v>0</v>
      </c>
      <c r="R35" s="51">
        <f>SUMIFS('Daily Log'!$M$7:$M$377,'Daily Log'!$V$7:$V$377,$A35)</f>
        <v>0</v>
      </c>
      <c r="S35" s="51">
        <f>SUMIFS('Daily Log'!$N$7:$N$377,'Daily Log'!$V$7:$V$377,$A35)</f>
        <v>0</v>
      </c>
      <c r="T35" s="51">
        <f>SUMIFS('Daily Log'!$O$7:$O$377,'Daily Log'!$V$7:$V$377,$A35)</f>
        <v>0</v>
      </c>
      <c r="U35" s="51">
        <f>SUMIFS('Daily Log'!$P$7:$P$377,'Daily Log'!$V$7:$V$377,$A35)</f>
        <v>0</v>
      </c>
      <c r="V35" s="51">
        <f>SUMIFS('Daily Log'!$Q$7:$Q$377,'Daily Log'!$V$7:$V$377,$A35)</f>
        <v>0</v>
      </c>
      <c r="W35" s="51">
        <f>SUMIFS('Daily Log'!$R$7:$R$377,'Daily Log'!$V$7:$V$377,$A35)</f>
        <v>0</v>
      </c>
      <c r="X35" s="131">
        <f t="shared" si="4"/>
        <v>0</v>
      </c>
      <c r="Y35" s="131">
        <f t="shared" si="5"/>
        <v>0</v>
      </c>
      <c r="Z35" s="131">
        <f t="shared" si="6"/>
        <v>0</v>
      </c>
      <c r="AA35" s="131">
        <f t="shared" si="7"/>
        <v>0</v>
      </c>
      <c r="AB35" s="131">
        <f t="shared" si="8"/>
        <v>0</v>
      </c>
      <c r="AC35" s="131">
        <f t="shared" si="9"/>
        <v>0</v>
      </c>
      <c r="AD35" s="131">
        <f t="shared" si="10"/>
        <v>0</v>
      </c>
      <c r="AE35" s="131">
        <f t="shared" si="11"/>
        <v>0</v>
      </c>
      <c r="AF35" s="131">
        <f t="shared" si="12"/>
        <v>0</v>
      </c>
      <c r="AG35" s="131">
        <f t="shared" si="13"/>
        <v>0</v>
      </c>
      <c r="AH35" s="131">
        <f t="shared" si="14"/>
        <v>0</v>
      </c>
      <c r="AI35" s="131">
        <f t="shared" si="15"/>
        <v>0</v>
      </c>
      <c r="AJ35" s="131">
        <f t="shared" si="16"/>
        <v>0</v>
      </c>
      <c r="AK35" s="143">
        <f t="shared" si="17"/>
        <v>0</v>
      </c>
      <c r="AL35" s="125"/>
    </row>
    <row r="36" spans="1:38" s="127" customFormat="1" ht="21" customHeight="1" x14ac:dyDescent="0.25">
      <c r="A36" s="117">
        <v>46489</v>
      </c>
      <c r="B36" s="49">
        <f t="shared" si="0"/>
        <v>46495</v>
      </c>
      <c r="C36" s="179">
        <f>SUMIFS('Daily Log'!$C$7:$C$377,'Daily Log'!$V$7:$V$377,$A36)</f>
        <v>0</v>
      </c>
      <c r="D36" s="179">
        <f>SUMIFS('Daily Log'!$D$7:$D$377,'Daily Log'!$V$7:$V$377,$A36)</f>
        <v>0</v>
      </c>
      <c r="E36" s="179">
        <f>SUMIFS('Daily Log'!$E$7:$E$377,'Daily Log'!$V$7:$V$377,$A36)</f>
        <v>0</v>
      </c>
      <c r="F36" s="179">
        <f>SUMIFS('Daily Log'!$F$7:$F$377,'Daily Log'!$V$7:$V$377,$A36)</f>
        <v>0</v>
      </c>
      <c r="G36" s="131">
        <f>SUMIFS('Daily Log'!$U$7:$U$377,'Daily Log'!$V$7:$V$377,$A36)</f>
        <v>0</v>
      </c>
      <c r="H36" s="179">
        <f>SUMIFS('Daily Log'!$S$7:$S$377,'Daily Log'!$V$7:$V$377,$A36)</f>
        <v>0</v>
      </c>
      <c r="I36" s="83" t="str">
        <f t="shared" si="1"/>
        <v/>
      </c>
      <c r="J36" s="65" t="str">
        <f t="shared" si="2"/>
        <v/>
      </c>
      <c r="K36" s="132" t="str">
        <f t="shared" si="3"/>
        <v/>
      </c>
      <c r="L36" s="51">
        <f>SUMIFS('Daily Log'!$G$7:$G$377,'Daily Log'!$V$7:$V$377,$A36)</f>
        <v>0</v>
      </c>
      <c r="M36" s="51">
        <f>SUMIFS('Daily Log'!$H$7:$H$377,'Daily Log'!$V$7:$V$377,$A36)</f>
        <v>0</v>
      </c>
      <c r="N36" s="51">
        <f>SUMIFS('Daily Log'!$I$7:$I$377,'Daily Log'!$V$7:$V$377,$A36)</f>
        <v>0</v>
      </c>
      <c r="O36" s="51">
        <f>SUMIFS('Daily Log'!$J$7:$J$377,'Daily Log'!$V$7:$V$377,$A36)</f>
        <v>0</v>
      </c>
      <c r="P36" s="51">
        <f>SUMIFS('Daily Log'!$K$7:$K$377,'Daily Log'!$V$7:$V$377,$A36)</f>
        <v>0</v>
      </c>
      <c r="Q36" s="51">
        <f>SUMIFS('Daily Log'!$L$7:$L$377,'Daily Log'!$V$7:$V$377,$A36)</f>
        <v>0</v>
      </c>
      <c r="R36" s="51">
        <f>SUMIFS('Daily Log'!$M$7:$M$377,'Daily Log'!$V$7:$V$377,$A36)</f>
        <v>0</v>
      </c>
      <c r="S36" s="51">
        <f>SUMIFS('Daily Log'!$N$7:$N$377,'Daily Log'!$V$7:$V$377,$A36)</f>
        <v>0</v>
      </c>
      <c r="T36" s="51">
        <f>SUMIFS('Daily Log'!$O$7:$O$377,'Daily Log'!$V$7:$V$377,$A36)</f>
        <v>0</v>
      </c>
      <c r="U36" s="51">
        <f>SUMIFS('Daily Log'!$P$7:$P$377,'Daily Log'!$V$7:$V$377,$A36)</f>
        <v>0</v>
      </c>
      <c r="V36" s="51">
        <f>SUMIFS('Daily Log'!$Q$7:$Q$377,'Daily Log'!$V$7:$V$377,$A36)</f>
        <v>0</v>
      </c>
      <c r="W36" s="51">
        <f>SUMIFS('Daily Log'!$R$7:$R$377,'Daily Log'!$V$7:$V$377,$A36)</f>
        <v>0</v>
      </c>
      <c r="X36" s="131">
        <f t="shared" si="4"/>
        <v>0</v>
      </c>
      <c r="Y36" s="131">
        <f t="shared" si="5"/>
        <v>0</v>
      </c>
      <c r="Z36" s="131">
        <f t="shared" si="6"/>
        <v>0</v>
      </c>
      <c r="AA36" s="131">
        <f t="shared" si="7"/>
        <v>0</v>
      </c>
      <c r="AB36" s="131">
        <f t="shared" si="8"/>
        <v>0</v>
      </c>
      <c r="AC36" s="131">
        <f t="shared" si="9"/>
        <v>0</v>
      </c>
      <c r="AD36" s="131">
        <f t="shared" si="10"/>
        <v>0</v>
      </c>
      <c r="AE36" s="131">
        <f t="shared" si="11"/>
        <v>0</v>
      </c>
      <c r="AF36" s="131">
        <f t="shared" si="12"/>
        <v>0</v>
      </c>
      <c r="AG36" s="131">
        <f t="shared" si="13"/>
        <v>0</v>
      </c>
      <c r="AH36" s="131">
        <f t="shared" si="14"/>
        <v>0</v>
      </c>
      <c r="AI36" s="131">
        <f t="shared" si="15"/>
        <v>0</v>
      </c>
      <c r="AJ36" s="131">
        <f t="shared" si="16"/>
        <v>0</v>
      </c>
      <c r="AK36" s="143">
        <f t="shared" si="17"/>
        <v>0</v>
      </c>
      <c r="AL36" s="125"/>
    </row>
    <row r="37" spans="1:38" s="127" customFormat="1" ht="21" customHeight="1" x14ac:dyDescent="0.25">
      <c r="A37" s="117">
        <v>46496</v>
      </c>
      <c r="B37" s="49">
        <f t="shared" si="0"/>
        <v>46502</v>
      </c>
      <c r="C37" s="179">
        <f>SUMIFS('Daily Log'!$C$7:$C$377,'Daily Log'!$V$7:$V$377,$A37)</f>
        <v>0</v>
      </c>
      <c r="D37" s="179">
        <f>SUMIFS('Daily Log'!$D$7:$D$377,'Daily Log'!$V$7:$V$377,$A37)</f>
        <v>0</v>
      </c>
      <c r="E37" s="179">
        <f>SUMIFS('Daily Log'!$E$7:$E$377,'Daily Log'!$V$7:$V$377,$A37)</f>
        <v>0</v>
      </c>
      <c r="F37" s="179">
        <f>SUMIFS('Daily Log'!$F$7:$F$377,'Daily Log'!$V$7:$V$377,$A37)</f>
        <v>0</v>
      </c>
      <c r="G37" s="131">
        <f>SUMIFS('Daily Log'!$U$7:$U$377,'Daily Log'!$V$7:$V$377,$A37)</f>
        <v>0</v>
      </c>
      <c r="H37" s="179">
        <f>SUMIFS('Daily Log'!$S$7:$S$377,'Daily Log'!$V$7:$V$377,$A37)</f>
        <v>0</v>
      </c>
      <c r="I37" s="83" t="str">
        <f t="shared" si="1"/>
        <v/>
      </c>
      <c r="J37" s="65" t="str">
        <f t="shared" si="2"/>
        <v/>
      </c>
      <c r="K37" s="132" t="str">
        <f t="shared" si="3"/>
        <v/>
      </c>
      <c r="L37" s="51">
        <f>SUMIFS('Daily Log'!$G$7:$G$377,'Daily Log'!$V$7:$V$377,$A37)</f>
        <v>0</v>
      </c>
      <c r="M37" s="51">
        <f>SUMIFS('Daily Log'!$H$7:$H$377,'Daily Log'!$V$7:$V$377,$A37)</f>
        <v>0</v>
      </c>
      <c r="N37" s="51">
        <f>SUMIFS('Daily Log'!$I$7:$I$377,'Daily Log'!$V$7:$V$377,$A37)</f>
        <v>0</v>
      </c>
      <c r="O37" s="51">
        <f>SUMIFS('Daily Log'!$J$7:$J$377,'Daily Log'!$V$7:$V$377,$A37)</f>
        <v>0</v>
      </c>
      <c r="P37" s="51">
        <f>SUMIFS('Daily Log'!$K$7:$K$377,'Daily Log'!$V$7:$V$377,$A37)</f>
        <v>0</v>
      </c>
      <c r="Q37" s="51">
        <f>SUMIFS('Daily Log'!$L$7:$L$377,'Daily Log'!$V$7:$V$377,$A37)</f>
        <v>0</v>
      </c>
      <c r="R37" s="51">
        <f>SUMIFS('Daily Log'!$M$7:$M$377,'Daily Log'!$V$7:$V$377,$A37)</f>
        <v>0</v>
      </c>
      <c r="S37" s="51">
        <f>SUMIFS('Daily Log'!$N$7:$N$377,'Daily Log'!$V$7:$V$377,$A37)</f>
        <v>0</v>
      </c>
      <c r="T37" s="51">
        <f>SUMIFS('Daily Log'!$O$7:$O$377,'Daily Log'!$V$7:$V$377,$A37)</f>
        <v>0</v>
      </c>
      <c r="U37" s="51">
        <f>SUMIFS('Daily Log'!$P$7:$P$377,'Daily Log'!$V$7:$V$377,$A37)</f>
        <v>0</v>
      </c>
      <c r="V37" s="51">
        <f>SUMIFS('Daily Log'!$Q$7:$Q$377,'Daily Log'!$V$7:$V$377,$A37)</f>
        <v>0</v>
      </c>
      <c r="W37" s="51">
        <f>SUMIFS('Daily Log'!$R$7:$R$377,'Daily Log'!$V$7:$V$377,$A37)</f>
        <v>0</v>
      </c>
      <c r="X37" s="131">
        <f t="shared" si="4"/>
        <v>0</v>
      </c>
      <c r="Y37" s="131">
        <f t="shared" si="5"/>
        <v>0</v>
      </c>
      <c r="Z37" s="131">
        <f t="shared" si="6"/>
        <v>0</v>
      </c>
      <c r="AA37" s="131">
        <f t="shared" si="7"/>
        <v>0</v>
      </c>
      <c r="AB37" s="131">
        <f t="shared" si="8"/>
        <v>0</v>
      </c>
      <c r="AC37" s="131">
        <f t="shared" si="9"/>
        <v>0</v>
      </c>
      <c r="AD37" s="131">
        <f t="shared" si="10"/>
        <v>0</v>
      </c>
      <c r="AE37" s="131">
        <f t="shared" si="11"/>
        <v>0</v>
      </c>
      <c r="AF37" s="131">
        <f t="shared" si="12"/>
        <v>0</v>
      </c>
      <c r="AG37" s="131">
        <f t="shared" si="13"/>
        <v>0</v>
      </c>
      <c r="AH37" s="131">
        <f t="shared" si="14"/>
        <v>0</v>
      </c>
      <c r="AI37" s="131">
        <f t="shared" si="15"/>
        <v>0</v>
      </c>
      <c r="AJ37" s="131">
        <f t="shared" si="16"/>
        <v>0</v>
      </c>
      <c r="AK37" s="143">
        <f t="shared" si="17"/>
        <v>0</v>
      </c>
      <c r="AL37" s="125"/>
    </row>
    <row r="38" spans="1:38" s="127" customFormat="1" ht="21" customHeight="1" x14ac:dyDescent="0.25">
      <c r="A38" s="117">
        <v>46503</v>
      </c>
      <c r="B38" s="49">
        <f t="shared" si="0"/>
        <v>46509</v>
      </c>
      <c r="C38" s="179">
        <f>SUMIFS('Daily Log'!$C$7:$C$377,'Daily Log'!$V$7:$V$377,$A38)</f>
        <v>0</v>
      </c>
      <c r="D38" s="179">
        <f>SUMIFS('Daily Log'!$D$7:$D$377,'Daily Log'!$V$7:$V$377,$A38)</f>
        <v>0</v>
      </c>
      <c r="E38" s="179">
        <f>SUMIFS('Daily Log'!$E$7:$E$377,'Daily Log'!$V$7:$V$377,$A38)</f>
        <v>0</v>
      </c>
      <c r="F38" s="179">
        <f>SUMIFS('Daily Log'!$F$7:$F$377,'Daily Log'!$V$7:$V$377,$A38)</f>
        <v>0</v>
      </c>
      <c r="G38" s="131">
        <f>SUMIFS('Daily Log'!$U$7:$U$377,'Daily Log'!$V$7:$V$377,$A38)</f>
        <v>0</v>
      </c>
      <c r="H38" s="179">
        <f>SUMIFS('Daily Log'!$S$7:$S$377,'Daily Log'!$V$7:$V$377,$A38)</f>
        <v>0</v>
      </c>
      <c r="I38" s="83" t="str">
        <f t="shared" si="1"/>
        <v/>
      </c>
      <c r="J38" s="65" t="str">
        <f t="shared" si="2"/>
        <v/>
      </c>
      <c r="K38" s="132" t="str">
        <f t="shared" si="3"/>
        <v/>
      </c>
      <c r="L38" s="51">
        <f>SUMIFS('Daily Log'!$G$7:$G$377,'Daily Log'!$V$7:$V$377,$A38)</f>
        <v>0</v>
      </c>
      <c r="M38" s="51">
        <f>SUMIFS('Daily Log'!$H$7:$H$377,'Daily Log'!$V$7:$V$377,$A38)</f>
        <v>0</v>
      </c>
      <c r="N38" s="51">
        <f>SUMIFS('Daily Log'!$I$7:$I$377,'Daily Log'!$V$7:$V$377,$A38)</f>
        <v>0</v>
      </c>
      <c r="O38" s="51">
        <f>SUMIFS('Daily Log'!$J$7:$J$377,'Daily Log'!$V$7:$V$377,$A38)</f>
        <v>0</v>
      </c>
      <c r="P38" s="51">
        <f>SUMIFS('Daily Log'!$K$7:$K$377,'Daily Log'!$V$7:$V$377,$A38)</f>
        <v>0</v>
      </c>
      <c r="Q38" s="51">
        <f>SUMIFS('Daily Log'!$L$7:$L$377,'Daily Log'!$V$7:$V$377,$A38)</f>
        <v>0</v>
      </c>
      <c r="R38" s="51">
        <f>SUMIFS('Daily Log'!$M$7:$M$377,'Daily Log'!$V$7:$V$377,$A38)</f>
        <v>0</v>
      </c>
      <c r="S38" s="51">
        <f>SUMIFS('Daily Log'!$N$7:$N$377,'Daily Log'!$V$7:$V$377,$A38)</f>
        <v>0</v>
      </c>
      <c r="T38" s="51">
        <f>SUMIFS('Daily Log'!$O$7:$O$377,'Daily Log'!$V$7:$V$377,$A38)</f>
        <v>0</v>
      </c>
      <c r="U38" s="51">
        <f>SUMIFS('Daily Log'!$P$7:$P$377,'Daily Log'!$V$7:$V$377,$A38)</f>
        <v>0</v>
      </c>
      <c r="V38" s="51">
        <f>SUMIFS('Daily Log'!$Q$7:$Q$377,'Daily Log'!$V$7:$V$377,$A38)</f>
        <v>0</v>
      </c>
      <c r="W38" s="51">
        <f>SUMIFS('Daily Log'!$R$7:$R$377,'Daily Log'!$V$7:$V$377,$A38)</f>
        <v>0</v>
      </c>
      <c r="X38" s="131">
        <f t="shared" si="4"/>
        <v>0</v>
      </c>
      <c r="Y38" s="131">
        <f t="shared" si="5"/>
        <v>0</v>
      </c>
      <c r="Z38" s="131">
        <f t="shared" si="6"/>
        <v>0</v>
      </c>
      <c r="AA38" s="131">
        <f t="shared" si="7"/>
        <v>0</v>
      </c>
      <c r="AB38" s="131">
        <f t="shared" si="8"/>
        <v>0</v>
      </c>
      <c r="AC38" s="131">
        <f t="shared" si="9"/>
        <v>0</v>
      </c>
      <c r="AD38" s="131">
        <f t="shared" si="10"/>
        <v>0</v>
      </c>
      <c r="AE38" s="131">
        <f t="shared" si="11"/>
        <v>0</v>
      </c>
      <c r="AF38" s="131">
        <f t="shared" si="12"/>
        <v>0</v>
      </c>
      <c r="AG38" s="131">
        <f t="shared" si="13"/>
        <v>0</v>
      </c>
      <c r="AH38" s="131">
        <f t="shared" si="14"/>
        <v>0</v>
      </c>
      <c r="AI38" s="131">
        <f t="shared" si="15"/>
        <v>0</v>
      </c>
      <c r="AJ38" s="131">
        <f t="shared" si="16"/>
        <v>0</v>
      </c>
      <c r="AK38" s="143">
        <f t="shared" si="17"/>
        <v>0</v>
      </c>
      <c r="AL38" s="125"/>
    </row>
    <row r="39" spans="1:38" s="127" customFormat="1" ht="21" customHeight="1" x14ac:dyDescent="0.25">
      <c r="A39" s="117">
        <v>46510</v>
      </c>
      <c r="B39" s="49">
        <f t="shared" ref="B39:B59" si="18">$A39+6</f>
        <v>46516</v>
      </c>
      <c r="C39" s="179">
        <f>SUMIFS('Daily Log'!$C$7:$C$377,'Daily Log'!$V$7:$V$377,$A39)</f>
        <v>0</v>
      </c>
      <c r="D39" s="179">
        <f>SUMIFS('Daily Log'!$D$7:$D$377,'Daily Log'!$V$7:$V$377,$A39)</f>
        <v>0</v>
      </c>
      <c r="E39" s="179">
        <f>SUMIFS('Daily Log'!$E$7:$E$377,'Daily Log'!$V$7:$V$377,$A39)</f>
        <v>0</v>
      </c>
      <c r="F39" s="179">
        <f>SUMIFS('Daily Log'!$F$7:$F$377,'Daily Log'!$V$7:$V$377,$A39)</f>
        <v>0</v>
      </c>
      <c r="G39" s="131">
        <f>SUMIFS('Daily Log'!$U$7:$U$377,'Daily Log'!$V$7:$V$377,$A39)</f>
        <v>0</v>
      </c>
      <c r="H39" s="179">
        <f>SUMIFS('Daily Log'!$S$7:$S$377,'Daily Log'!$V$7:$V$377,$A39)</f>
        <v>0</v>
      </c>
      <c r="I39" s="83" t="str">
        <f t="shared" ref="I39:I59" si="19">IF($C39=0,"",$D39/$C39)</f>
        <v/>
      </c>
      <c r="J39" s="65" t="str">
        <f t="shared" ref="J39:J59" si="20">IF($H39=0,"",$E39/$H39)</f>
        <v/>
      </c>
      <c r="K39" s="132" t="str">
        <f t="shared" ref="K39:K59" si="21">IF(AND($G39&gt;0,$H39=0),"pot not shared - no attendance marked",IF(AND($I39&lt;&gt;"",N($I39)&gt;RejectAlarm),"reject rate high",""))</f>
        <v/>
      </c>
      <c r="L39" s="51">
        <f>SUMIFS('Daily Log'!$G$7:$G$377,'Daily Log'!$V$7:$V$377,$A39)</f>
        <v>0</v>
      </c>
      <c r="M39" s="51">
        <f>SUMIFS('Daily Log'!$H$7:$H$377,'Daily Log'!$V$7:$V$377,$A39)</f>
        <v>0</v>
      </c>
      <c r="N39" s="51">
        <f>SUMIFS('Daily Log'!$I$7:$I$377,'Daily Log'!$V$7:$V$377,$A39)</f>
        <v>0</v>
      </c>
      <c r="O39" s="51">
        <f>SUMIFS('Daily Log'!$J$7:$J$377,'Daily Log'!$V$7:$V$377,$A39)</f>
        <v>0</v>
      </c>
      <c r="P39" s="51">
        <f>SUMIFS('Daily Log'!$K$7:$K$377,'Daily Log'!$V$7:$V$377,$A39)</f>
        <v>0</v>
      </c>
      <c r="Q39" s="51">
        <f>SUMIFS('Daily Log'!$L$7:$L$377,'Daily Log'!$V$7:$V$377,$A39)</f>
        <v>0</v>
      </c>
      <c r="R39" s="51">
        <f>SUMIFS('Daily Log'!$M$7:$M$377,'Daily Log'!$V$7:$V$377,$A39)</f>
        <v>0</v>
      </c>
      <c r="S39" s="51">
        <f>SUMIFS('Daily Log'!$N$7:$N$377,'Daily Log'!$V$7:$V$377,$A39)</f>
        <v>0</v>
      </c>
      <c r="T39" s="51">
        <f>SUMIFS('Daily Log'!$O$7:$O$377,'Daily Log'!$V$7:$V$377,$A39)</f>
        <v>0</v>
      </c>
      <c r="U39" s="51">
        <f>SUMIFS('Daily Log'!$P$7:$P$377,'Daily Log'!$V$7:$V$377,$A39)</f>
        <v>0</v>
      </c>
      <c r="V39" s="51">
        <f>SUMIFS('Daily Log'!$Q$7:$Q$377,'Daily Log'!$V$7:$V$377,$A39)</f>
        <v>0</v>
      </c>
      <c r="W39" s="51">
        <f>SUMIFS('Daily Log'!$R$7:$R$377,'Daily Log'!$V$7:$V$377,$A39)</f>
        <v>0</v>
      </c>
      <c r="X39" s="131">
        <f t="shared" ref="X39:X59" si="22">IF($H39=0,0,ROUND($G39*L39/$H39,0))</f>
        <v>0</v>
      </c>
      <c r="Y39" s="131">
        <f t="shared" ref="Y39:Y59" si="23">IF($H39=0,0,ROUND($G39*M39/$H39,0))</f>
        <v>0</v>
      </c>
      <c r="Z39" s="131">
        <f t="shared" ref="Z39:Z59" si="24">IF($H39=0,0,ROUND($G39*N39/$H39,0))</f>
        <v>0</v>
      </c>
      <c r="AA39" s="131">
        <f t="shared" ref="AA39:AA59" si="25">IF($H39=0,0,ROUND($G39*O39/$H39,0))</f>
        <v>0</v>
      </c>
      <c r="AB39" s="131">
        <f t="shared" ref="AB39:AB59" si="26">IF($H39=0,0,ROUND($G39*P39/$H39,0))</f>
        <v>0</v>
      </c>
      <c r="AC39" s="131">
        <f t="shared" ref="AC39:AC59" si="27">IF($H39=0,0,ROUND($G39*Q39/$H39,0))</f>
        <v>0</v>
      </c>
      <c r="AD39" s="131">
        <f t="shared" ref="AD39:AD59" si="28">IF($H39=0,0,ROUND($G39*R39/$H39,0))</f>
        <v>0</v>
      </c>
      <c r="AE39" s="131">
        <f t="shared" ref="AE39:AE59" si="29">IF($H39=0,0,ROUND($G39*S39/$H39,0))</f>
        <v>0</v>
      </c>
      <c r="AF39" s="131">
        <f t="shared" ref="AF39:AF59" si="30">IF($H39=0,0,ROUND($G39*T39/$H39,0))</f>
        <v>0</v>
      </c>
      <c r="AG39" s="131">
        <f t="shared" ref="AG39:AG59" si="31">IF($H39=0,0,ROUND($G39*U39/$H39,0))</f>
        <v>0</v>
      </c>
      <c r="AH39" s="131">
        <f t="shared" ref="AH39:AH59" si="32">IF($H39=0,0,ROUND($G39*V39/$H39,0))</f>
        <v>0</v>
      </c>
      <c r="AI39" s="131">
        <f t="shared" ref="AI39:AI59" si="33">IF($H39=0,0,ROUND($G39*W39/$H39,0))</f>
        <v>0</v>
      </c>
      <c r="AJ39" s="131">
        <f t="shared" ref="AJ39:AJ59" si="34">SUM(X39:AI39)</f>
        <v>0</v>
      </c>
      <c r="AK39" s="143">
        <f t="shared" ref="AK39:AK59" si="35">$AJ39-$G39</f>
        <v>0</v>
      </c>
      <c r="AL39" s="125"/>
    </row>
    <row r="40" spans="1:38" s="127" customFormat="1" ht="21" customHeight="1" x14ac:dyDescent="0.25">
      <c r="A40" s="117">
        <v>46517</v>
      </c>
      <c r="B40" s="49">
        <f t="shared" si="18"/>
        <v>46523</v>
      </c>
      <c r="C40" s="179">
        <f>SUMIFS('Daily Log'!$C$7:$C$377,'Daily Log'!$V$7:$V$377,$A40)</f>
        <v>0</v>
      </c>
      <c r="D40" s="179">
        <f>SUMIFS('Daily Log'!$D$7:$D$377,'Daily Log'!$V$7:$V$377,$A40)</f>
        <v>0</v>
      </c>
      <c r="E40" s="179">
        <f>SUMIFS('Daily Log'!$E$7:$E$377,'Daily Log'!$V$7:$V$377,$A40)</f>
        <v>0</v>
      </c>
      <c r="F40" s="179">
        <f>SUMIFS('Daily Log'!$F$7:$F$377,'Daily Log'!$V$7:$V$377,$A40)</f>
        <v>0</v>
      </c>
      <c r="G40" s="131">
        <f>SUMIFS('Daily Log'!$U$7:$U$377,'Daily Log'!$V$7:$V$377,$A40)</f>
        <v>0</v>
      </c>
      <c r="H40" s="179">
        <f>SUMIFS('Daily Log'!$S$7:$S$377,'Daily Log'!$V$7:$V$377,$A40)</f>
        <v>0</v>
      </c>
      <c r="I40" s="83" t="str">
        <f t="shared" si="19"/>
        <v/>
      </c>
      <c r="J40" s="65" t="str">
        <f t="shared" si="20"/>
        <v/>
      </c>
      <c r="K40" s="132" t="str">
        <f t="shared" si="21"/>
        <v/>
      </c>
      <c r="L40" s="51">
        <f>SUMIFS('Daily Log'!$G$7:$G$377,'Daily Log'!$V$7:$V$377,$A40)</f>
        <v>0</v>
      </c>
      <c r="M40" s="51">
        <f>SUMIFS('Daily Log'!$H$7:$H$377,'Daily Log'!$V$7:$V$377,$A40)</f>
        <v>0</v>
      </c>
      <c r="N40" s="51">
        <f>SUMIFS('Daily Log'!$I$7:$I$377,'Daily Log'!$V$7:$V$377,$A40)</f>
        <v>0</v>
      </c>
      <c r="O40" s="51">
        <f>SUMIFS('Daily Log'!$J$7:$J$377,'Daily Log'!$V$7:$V$377,$A40)</f>
        <v>0</v>
      </c>
      <c r="P40" s="51">
        <f>SUMIFS('Daily Log'!$K$7:$K$377,'Daily Log'!$V$7:$V$377,$A40)</f>
        <v>0</v>
      </c>
      <c r="Q40" s="51">
        <f>SUMIFS('Daily Log'!$L$7:$L$377,'Daily Log'!$V$7:$V$377,$A40)</f>
        <v>0</v>
      </c>
      <c r="R40" s="51">
        <f>SUMIFS('Daily Log'!$M$7:$M$377,'Daily Log'!$V$7:$V$377,$A40)</f>
        <v>0</v>
      </c>
      <c r="S40" s="51">
        <f>SUMIFS('Daily Log'!$N$7:$N$377,'Daily Log'!$V$7:$V$377,$A40)</f>
        <v>0</v>
      </c>
      <c r="T40" s="51">
        <f>SUMIFS('Daily Log'!$O$7:$O$377,'Daily Log'!$V$7:$V$377,$A40)</f>
        <v>0</v>
      </c>
      <c r="U40" s="51">
        <f>SUMIFS('Daily Log'!$P$7:$P$377,'Daily Log'!$V$7:$V$377,$A40)</f>
        <v>0</v>
      </c>
      <c r="V40" s="51">
        <f>SUMIFS('Daily Log'!$Q$7:$Q$377,'Daily Log'!$V$7:$V$377,$A40)</f>
        <v>0</v>
      </c>
      <c r="W40" s="51">
        <f>SUMIFS('Daily Log'!$R$7:$R$377,'Daily Log'!$V$7:$V$377,$A40)</f>
        <v>0</v>
      </c>
      <c r="X40" s="131">
        <f t="shared" si="22"/>
        <v>0</v>
      </c>
      <c r="Y40" s="131">
        <f t="shared" si="23"/>
        <v>0</v>
      </c>
      <c r="Z40" s="131">
        <f t="shared" si="24"/>
        <v>0</v>
      </c>
      <c r="AA40" s="131">
        <f t="shared" si="25"/>
        <v>0</v>
      </c>
      <c r="AB40" s="131">
        <f t="shared" si="26"/>
        <v>0</v>
      </c>
      <c r="AC40" s="131">
        <f t="shared" si="27"/>
        <v>0</v>
      </c>
      <c r="AD40" s="131">
        <f t="shared" si="28"/>
        <v>0</v>
      </c>
      <c r="AE40" s="131">
        <f t="shared" si="29"/>
        <v>0</v>
      </c>
      <c r="AF40" s="131">
        <f t="shared" si="30"/>
        <v>0</v>
      </c>
      <c r="AG40" s="131">
        <f t="shared" si="31"/>
        <v>0</v>
      </c>
      <c r="AH40" s="131">
        <f t="shared" si="32"/>
        <v>0</v>
      </c>
      <c r="AI40" s="131">
        <f t="shared" si="33"/>
        <v>0</v>
      </c>
      <c r="AJ40" s="131">
        <f t="shared" si="34"/>
        <v>0</v>
      </c>
      <c r="AK40" s="143">
        <f t="shared" si="35"/>
        <v>0</v>
      </c>
      <c r="AL40" s="125"/>
    </row>
    <row r="41" spans="1:38" s="127" customFormat="1" ht="21" customHeight="1" x14ac:dyDescent="0.25">
      <c r="A41" s="117">
        <v>46524</v>
      </c>
      <c r="B41" s="49">
        <f t="shared" si="18"/>
        <v>46530</v>
      </c>
      <c r="C41" s="179">
        <f>SUMIFS('Daily Log'!$C$7:$C$377,'Daily Log'!$V$7:$V$377,$A41)</f>
        <v>0</v>
      </c>
      <c r="D41" s="179">
        <f>SUMIFS('Daily Log'!$D$7:$D$377,'Daily Log'!$V$7:$V$377,$A41)</f>
        <v>0</v>
      </c>
      <c r="E41" s="179">
        <f>SUMIFS('Daily Log'!$E$7:$E$377,'Daily Log'!$V$7:$V$377,$A41)</f>
        <v>0</v>
      </c>
      <c r="F41" s="179">
        <f>SUMIFS('Daily Log'!$F$7:$F$377,'Daily Log'!$V$7:$V$377,$A41)</f>
        <v>0</v>
      </c>
      <c r="G41" s="131">
        <f>SUMIFS('Daily Log'!$U$7:$U$377,'Daily Log'!$V$7:$V$377,$A41)</f>
        <v>0</v>
      </c>
      <c r="H41" s="179">
        <f>SUMIFS('Daily Log'!$S$7:$S$377,'Daily Log'!$V$7:$V$377,$A41)</f>
        <v>0</v>
      </c>
      <c r="I41" s="83" t="str">
        <f t="shared" si="19"/>
        <v/>
      </c>
      <c r="J41" s="65" t="str">
        <f t="shared" si="20"/>
        <v/>
      </c>
      <c r="K41" s="132" t="str">
        <f t="shared" si="21"/>
        <v/>
      </c>
      <c r="L41" s="51">
        <f>SUMIFS('Daily Log'!$G$7:$G$377,'Daily Log'!$V$7:$V$377,$A41)</f>
        <v>0</v>
      </c>
      <c r="M41" s="51">
        <f>SUMIFS('Daily Log'!$H$7:$H$377,'Daily Log'!$V$7:$V$377,$A41)</f>
        <v>0</v>
      </c>
      <c r="N41" s="51">
        <f>SUMIFS('Daily Log'!$I$7:$I$377,'Daily Log'!$V$7:$V$377,$A41)</f>
        <v>0</v>
      </c>
      <c r="O41" s="51">
        <f>SUMIFS('Daily Log'!$J$7:$J$377,'Daily Log'!$V$7:$V$377,$A41)</f>
        <v>0</v>
      </c>
      <c r="P41" s="51">
        <f>SUMIFS('Daily Log'!$K$7:$K$377,'Daily Log'!$V$7:$V$377,$A41)</f>
        <v>0</v>
      </c>
      <c r="Q41" s="51">
        <f>SUMIFS('Daily Log'!$L$7:$L$377,'Daily Log'!$V$7:$V$377,$A41)</f>
        <v>0</v>
      </c>
      <c r="R41" s="51">
        <f>SUMIFS('Daily Log'!$M$7:$M$377,'Daily Log'!$V$7:$V$377,$A41)</f>
        <v>0</v>
      </c>
      <c r="S41" s="51">
        <f>SUMIFS('Daily Log'!$N$7:$N$377,'Daily Log'!$V$7:$V$377,$A41)</f>
        <v>0</v>
      </c>
      <c r="T41" s="51">
        <f>SUMIFS('Daily Log'!$O$7:$O$377,'Daily Log'!$V$7:$V$377,$A41)</f>
        <v>0</v>
      </c>
      <c r="U41" s="51">
        <f>SUMIFS('Daily Log'!$P$7:$P$377,'Daily Log'!$V$7:$V$377,$A41)</f>
        <v>0</v>
      </c>
      <c r="V41" s="51">
        <f>SUMIFS('Daily Log'!$Q$7:$Q$377,'Daily Log'!$V$7:$V$377,$A41)</f>
        <v>0</v>
      </c>
      <c r="W41" s="51">
        <f>SUMIFS('Daily Log'!$R$7:$R$377,'Daily Log'!$V$7:$V$377,$A41)</f>
        <v>0</v>
      </c>
      <c r="X41" s="131">
        <f t="shared" si="22"/>
        <v>0</v>
      </c>
      <c r="Y41" s="131">
        <f t="shared" si="23"/>
        <v>0</v>
      </c>
      <c r="Z41" s="131">
        <f t="shared" si="24"/>
        <v>0</v>
      </c>
      <c r="AA41" s="131">
        <f t="shared" si="25"/>
        <v>0</v>
      </c>
      <c r="AB41" s="131">
        <f t="shared" si="26"/>
        <v>0</v>
      </c>
      <c r="AC41" s="131">
        <f t="shared" si="27"/>
        <v>0</v>
      </c>
      <c r="AD41" s="131">
        <f t="shared" si="28"/>
        <v>0</v>
      </c>
      <c r="AE41" s="131">
        <f t="shared" si="29"/>
        <v>0</v>
      </c>
      <c r="AF41" s="131">
        <f t="shared" si="30"/>
        <v>0</v>
      </c>
      <c r="AG41" s="131">
        <f t="shared" si="31"/>
        <v>0</v>
      </c>
      <c r="AH41" s="131">
        <f t="shared" si="32"/>
        <v>0</v>
      </c>
      <c r="AI41" s="131">
        <f t="shared" si="33"/>
        <v>0</v>
      </c>
      <c r="AJ41" s="131">
        <f t="shared" si="34"/>
        <v>0</v>
      </c>
      <c r="AK41" s="143">
        <f t="shared" si="35"/>
        <v>0</v>
      </c>
      <c r="AL41" s="125"/>
    </row>
    <row r="42" spans="1:38" s="127" customFormat="1" ht="21" customHeight="1" x14ac:dyDescent="0.25">
      <c r="A42" s="117">
        <v>46531</v>
      </c>
      <c r="B42" s="49">
        <f t="shared" si="18"/>
        <v>46537</v>
      </c>
      <c r="C42" s="179">
        <f>SUMIFS('Daily Log'!$C$7:$C$377,'Daily Log'!$V$7:$V$377,$A42)</f>
        <v>0</v>
      </c>
      <c r="D42" s="179">
        <f>SUMIFS('Daily Log'!$D$7:$D$377,'Daily Log'!$V$7:$V$377,$A42)</f>
        <v>0</v>
      </c>
      <c r="E42" s="179">
        <f>SUMIFS('Daily Log'!$E$7:$E$377,'Daily Log'!$V$7:$V$377,$A42)</f>
        <v>0</v>
      </c>
      <c r="F42" s="179">
        <f>SUMIFS('Daily Log'!$F$7:$F$377,'Daily Log'!$V$7:$V$377,$A42)</f>
        <v>0</v>
      </c>
      <c r="G42" s="131">
        <f>SUMIFS('Daily Log'!$U$7:$U$377,'Daily Log'!$V$7:$V$377,$A42)</f>
        <v>0</v>
      </c>
      <c r="H42" s="179">
        <f>SUMIFS('Daily Log'!$S$7:$S$377,'Daily Log'!$V$7:$V$377,$A42)</f>
        <v>0</v>
      </c>
      <c r="I42" s="83" t="str">
        <f t="shared" si="19"/>
        <v/>
      </c>
      <c r="J42" s="65" t="str">
        <f t="shared" si="20"/>
        <v/>
      </c>
      <c r="K42" s="132" t="str">
        <f t="shared" si="21"/>
        <v/>
      </c>
      <c r="L42" s="51">
        <f>SUMIFS('Daily Log'!$G$7:$G$377,'Daily Log'!$V$7:$V$377,$A42)</f>
        <v>0</v>
      </c>
      <c r="M42" s="51">
        <f>SUMIFS('Daily Log'!$H$7:$H$377,'Daily Log'!$V$7:$V$377,$A42)</f>
        <v>0</v>
      </c>
      <c r="N42" s="51">
        <f>SUMIFS('Daily Log'!$I$7:$I$377,'Daily Log'!$V$7:$V$377,$A42)</f>
        <v>0</v>
      </c>
      <c r="O42" s="51">
        <f>SUMIFS('Daily Log'!$J$7:$J$377,'Daily Log'!$V$7:$V$377,$A42)</f>
        <v>0</v>
      </c>
      <c r="P42" s="51">
        <f>SUMIFS('Daily Log'!$K$7:$K$377,'Daily Log'!$V$7:$V$377,$A42)</f>
        <v>0</v>
      </c>
      <c r="Q42" s="51">
        <f>SUMIFS('Daily Log'!$L$7:$L$377,'Daily Log'!$V$7:$V$377,$A42)</f>
        <v>0</v>
      </c>
      <c r="R42" s="51">
        <f>SUMIFS('Daily Log'!$M$7:$M$377,'Daily Log'!$V$7:$V$377,$A42)</f>
        <v>0</v>
      </c>
      <c r="S42" s="51">
        <f>SUMIFS('Daily Log'!$N$7:$N$377,'Daily Log'!$V$7:$V$377,$A42)</f>
        <v>0</v>
      </c>
      <c r="T42" s="51">
        <f>SUMIFS('Daily Log'!$O$7:$O$377,'Daily Log'!$V$7:$V$377,$A42)</f>
        <v>0</v>
      </c>
      <c r="U42" s="51">
        <f>SUMIFS('Daily Log'!$P$7:$P$377,'Daily Log'!$V$7:$V$377,$A42)</f>
        <v>0</v>
      </c>
      <c r="V42" s="51">
        <f>SUMIFS('Daily Log'!$Q$7:$Q$377,'Daily Log'!$V$7:$V$377,$A42)</f>
        <v>0</v>
      </c>
      <c r="W42" s="51">
        <f>SUMIFS('Daily Log'!$R$7:$R$377,'Daily Log'!$V$7:$V$377,$A42)</f>
        <v>0</v>
      </c>
      <c r="X42" s="131">
        <f t="shared" si="22"/>
        <v>0</v>
      </c>
      <c r="Y42" s="131">
        <f t="shared" si="23"/>
        <v>0</v>
      </c>
      <c r="Z42" s="131">
        <f t="shared" si="24"/>
        <v>0</v>
      </c>
      <c r="AA42" s="131">
        <f t="shared" si="25"/>
        <v>0</v>
      </c>
      <c r="AB42" s="131">
        <f t="shared" si="26"/>
        <v>0</v>
      </c>
      <c r="AC42" s="131">
        <f t="shared" si="27"/>
        <v>0</v>
      </c>
      <c r="AD42" s="131">
        <f t="shared" si="28"/>
        <v>0</v>
      </c>
      <c r="AE42" s="131">
        <f t="shared" si="29"/>
        <v>0</v>
      </c>
      <c r="AF42" s="131">
        <f t="shared" si="30"/>
        <v>0</v>
      </c>
      <c r="AG42" s="131">
        <f t="shared" si="31"/>
        <v>0</v>
      </c>
      <c r="AH42" s="131">
        <f t="shared" si="32"/>
        <v>0</v>
      </c>
      <c r="AI42" s="131">
        <f t="shared" si="33"/>
        <v>0</v>
      </c>
      <c r="AJ42" s="131">
        <f t="shared" si="34"/>
        <v>0</v>
      </c>
      <c r="AK42" s="143">
        <f t="shared" si="35"/>
        <v>0</v>
      </c>
      <c r="AL42" s="125"/>
    </row>
    <row r="43" spans="1:38" s="127" customFormat="1" ht="21" customHeight="1" x14ac:dyDescent="0.25">
      <c r="A43" s="117">
        <v>46538</v>
      </c>
      <c r="B43" s="49">
        <f t="shared" si="18"/>
        <v>46544</v>
      </c>
      <c r="C43" s="179">
        <f>SUMIFS('Daily Log'!$C$7:$C$377,'Daily Log'!$V$7:$V$377,$A43)</f>
        <v>0</v>
      </c>
      <c r="D43" s="179">
        <f>SUMIFS('Daily Log'!$D$7:$D$377,'Daily Log'!$V$7:$V$377,$A43)</f>
        <v>0</v>
      </c>
      <c r="E43" s="179">
        <f>SUMIFS('Daily Log'!$E$7:$E$377,'Daily Log'!$V$7:$V$377,$A43)</f>
        <v>0</v>
      </c>
      <c r="F43" s="179">
        <f>SUMIFS('Daily Log'!$F$7:$F$377,'Daily Log'!$V$7:$V$377,$A43)</f>
        <v>0</v>
      </c>
      <c r="G43" s="131">
        <f>SUMIFS('Daily Log'!$U$7:$U$377,'Daily Log'!$V$7:$V$377,$A43)</f>
        <v>0</v>
      </c>
      <c r="H43" s="179">
        <f>SUMIFS('Daily Log'!$S$7:$S$377,'Daily Log'!$V$7:$V$377,$A43)</f>
        <v>0</v>
      </c>
      <c r="I43" s="83" t="str">
        <f t="shared" si="19"/>
        <v/>
      </c>
      <c r="J43" s="65" t="str">
        <f t="shared" si="20"/>
        <v/>
      </c>
      <c r="K43" s="132" t="str">
        <f t="shared" si="21"/>
        <v/>
      </c>
      <c r="L43" s="51">
        <f>SUMIFS('Daily Log'!$G$7:$G$377,'Daily Log'!$V$7:$V$377,$A43)</f>
        <v>0</v>
      </c>
      <c r="M43" s="51">
        <f>SUMIFS('Daily Log'!$H$7:$H$377,'Daily Log'!$V$7:$V$377,$A43)</f>
        <v>0</v>
      </c>
      <c r="N43" s="51">
        <f>SUMIFS('Daily Log'!$I$7:$I$377,'Daily Log'!$V$7:$V$377,$A43)</f>
        <v>0</v>
      </c>
      <c r="O43" s="51">
        <f>SUMIFS('Daily Log'!$J$7:$J$377,'Daily Log'!$V$7:$V$377,$A43)</f>
        <v>0</v>
      </c>
      <c r="P43" s="51">
        <f>SUMIFS('Daily Log'!$K$7:$K$377,'Daily Log'!$V$7:$V$377,$A43)</f>
        <v>0</v>
      </c>
      <c r="Q43" s="51">
        <f>SUMIFS('Daily Log'!$L$7:$L$377,'Daily Log'!$V$7:$V$377,$A43)</f>
        <v>0</v>
      </c>
      <c r="R43" s="51">
        <f>SUMIFS('Daily Log'!$M$7:$M$377,'Daily Log'!$V$7:$V$377,$A43)</f>
        <v>0</v>
      </c>
      <c r="S43" s="51">
        <f>SUMIFS('Daily Log'!$N$7:$N$377,'Daily Log'!$V$7:$V$377,$A43)</f>
        <v>0</v>
      </c>
      <c r="T43" s="51">
        <f>SUMIFS('Daily Log'!$O$7:$O$377,'Daily Log'!$V$7:$V$377,$A43)</f>
        <v>0</v>
      </c>
      <c r="U43" s="51">
        <f>SUMIFS('Daily Log'!$P$7:$P$377,'Daily Log'!$V$7:$V$377,$A43)</f>
        <v>0</v>
      </c>
      <c r="V43" s="51">
        <f>SUMIFS('Daily Log'!$Q$7:$Q$377,'Daily Log'!$V$7:$V$377,$A43)</f>
        <v>0</v>
      </c>
      <c r="W43" s="51">
        <f>SUMIFS('Daily Log'!$R$7:$R$377,'Daily Log'!$V$7:$V$377,$A43)</f>
        <v>0</v>
      </c>
      <c r="X43" s="131">
        <f t="shared" si="22"/>
        <v>0</v>
      </c>
      <c r="Y43" s="131">
        <f t="shared" si="23"/>
        <v>0</v>
      </c>
      <c r="Z43" s="131">
        <f t="shared" si="24"/>
        <v>0</v>
      </c>
      <c r="AA43" s="131">
        <f t="shared" si="25"/>
        <v>0</v>
      </c>
      <c r="AB43" s="131">
        <f t="shared" si="26"/>
        <v>0</v>
      </c>
      <c r="AC43" s="131">
        <f t="shared" si="27"/>
        <v>0</v>
      </c>
      <c r="AD43" s="131">
        <f t="shared" si="28"/>
        <v>0</v>
      </c>
      <c r="AE43" s="131">
        <f t="shared" si="29"/>
        <v>0</v>
      </c>
      <c r="AF43" s="131">
        <f t="shared" si="30"/>
        <v>0</v>
      </c>
      <c r="AG43" s="131">
        <f t="shared" si="31"/>
        <v>0</v>
      </c>
      <c r="AH43" s="131">
        <f t="shared" si="32"/>
        <v>0</v>
      </c>
      <c r="AI43" s="131">
        <f t="shared" si="33"/>
        <v>0</v>
      </c>
      <c r="AJ43" s="131">
        <f t="shared" si="34"/>
        <v>0</v>
      </c>
      <c r="AK43" s="143">
        <f t="shared" si="35"/>
        <v>0</v>
      </c>
      <c r="AL43" s="125"/>
    </row>
    <row r="44" spans="1:38" s="127" customFormat="1" ht="21" customHeight="1" x14ac:dyDescent="0.25">
      <c r="A44" s="117">
        <v>46545</v>
      </c>
      <c r="B44" s="49">
        <f t="shared" si="18"/>
        <v>46551</v>
      </c>
      <c r="C44" s="179">
        <f>SUMIFS('Daily Log'!$C$7:$C$377,'Daily Log'!$V$7:$V$377,$A44)</f>
        <v>0</v>
      </c>
      <c r="D44" s="179">
        <f>SUMIFS('Daily Log'!$D$7:$D$377,'Daily Log'!$V$7:$V$377,$A44)</f>
        <v>0</v>
      </c>
      <c r="E44" s="179">
        <f>SUMIFS('Daily Log'!$E$7:$E$377,'Daily Log'!$V$7:$V$377,$A44)</f>
        <v>0</v>
      </c>
      <c r="F44" s="179">
        <f>SUMIFS('Daily Log'!$F$7:$F$377,'Daily Log'!$V$7:$V$377,$A44)</f>
        <v>0</v>
      </c>
      <c r="G44" s="131">
        <f>SUMIFS('Daily Log'!$U$7:$U$377,'Daily Log'!$V$7:$V$377,$A44)</f>
        <v>0</v>
      </c>
      <c r="H44" s="179">
        <f>SUMIFS('Daily Log'!$S$7:$S$377,'Daily Log'!$V$7:$V$377,$A44)</f>
        <v>0</v>
      </c>
      <c r="I44" s="83" t="str">
        <f t="shared" si="19"/>
        <v/>
      </c>
      <c r="J44" s="65" t="str">
        <f t="shared" si="20"/>
        <v/>
      </c>
      <c r="K44" s="132" t="str">
        <f t="shared" si="21"/>
        <v/>
      </c>
      <c r="L44" s="51">
        <f>SUMIFS('Daily Log'!$G$7:$G$377,'Daily Log'!$V$7:$V$377,$A44)</f>
        <v>0</v>
      </c>
      <c r="M44" s="51">
        <f>SUMIFS('Daily Log'!$H$7:$H$377,'Daily Log'!$V$7:$V$377,$A44)</f>
        <v>0</v>
      </c>
      <c r="N44" s="51">
        <f>SUMIFS('Daily Log'!$I$7:$I$377,'Daily Log'!$V$7:$V$377,$A44)</f>
        <v>0</v>
      </c>
      <c r="O44" s="51">
        <f>SUMIFS('Daily Log'!$J$7:$J$377,'Daily Log'!$V$7:$V$377,$A44)</f>
        <v>0</v>
      </c>
      <c r="P44" s="51">
        <f>SUMIFS('Daily Log'!$K$7:$K$377,'Daily Log'!$V$7:$V$377,$A44)</f>
        <v>0</v>
      </c>
      <c r="Q44" s="51">
        <f>SUMIFS('Daily Log'!$L$7:$L$377,'Daily Log'!$V$7:$V$377,$A44)</f>
        <v>0</v>
      </c>
      <c r="R44" s="51">
        <f>SUMIFS('Daily Log'!$M$7:$M$377,'Daily Log'!$V$7:$V$377,$A44)</f>
        <v>0</v>
      </c>
      <c r="S44" s="51">
        <f>SUMIFS('Daily Log'!$N$7:$N$377,'Daily Log'!$V$7:$V$377,$A44)</f>
        <v>0</v>
      </c>
      <c r="T44" s="51">
        <f>SUMIFS('Daily Log'!$O$7:$O$377,'Daily Log'!$V$7:$V$377,$A44)</f>
        <v>0</v>
      </c>
      <c r="U44" s="51">
        <f>SUMIFS('Daily Log'!$P$7:$P$377,'Daily Log'!$V$7:$V$377,$A44)</f>
        <v>0</v>
      </c>
      <c r="V44" s="51">
        <f>SUMIFS('Daily Log'!$Q$7:$Q$377,'Daily Log'!$V$7:$V$377,$A44)</f>
        <v>0</v>
      </c>
      <c r="W44" s="51">
        <f>SUMIFS('Daily Log'!$R$7:$R$377,'Daily Log'!$V$7:$V$377,$A44)</f>
        <v>0</v>
      </c>
      <c r="X44" s="131">
        <f t="shared" si="22"/>
        <v>0</v>
      </c>
      <c r="Y44" s="131">
        <f t="shared" si="23"/>
        <v>0</v>
      </c>
      <c r="Z44" s="131">
        <f t="shared" si="24"/>
        <v>0</v>
      </c>
      <c r="AA44" s="131">
        <f t="shared" si="25"/>
        <v>0</v>
      </c>
      <c r="AB44" s="131">
        <f t="shared" si="26"/>
        <v>0</v>
      </c>
      <c r="AC44" s="131">
        <f t="shared" si="27"/>
        <v>0</v>
      </c>
      <c r="AD44" s="131">
        <f t="shared" si="28"/>
        <v>0</v>
      </c>
      <c r="AE44" s="131">
        <f t="shared" si="29"/>
        <v>0</v>
      </c>
      <c r="AF44" s="131">
        <f t="shared" si="30"/>
        <v>0</v>
      </c>
      <c r="AG44" s="131">
        <f t="shared" si="31"/>
        <v>0</v>
      </c>
      <c r="AH44" s="131">
        <f t="shared" si="32"/>
        <v>0</v>
      </c>
      <c r="AI44" s="131">
        <f t="shared" si="33"/>
        <v>0</v>
      </c>
      <c r="AJ44" s="131">
        <f t="shared" si="34"/>
        <v>0</v>
      </c>
      <c r="AK44" s="143">
        <f t="shared" si="35"/>
        <v>0</v>
      </c>
      <c r="AL44" s="125"/>
    </row>
    <row r="45" spans="1:38" s="127" customFormat="1" ht="21" customHeight="1" x14ac:dyDescent="0.25">
      <c r="A45" s="117">
        <v>46552</v>
      </c>
      <c r="B45" s="49">
        <f t="shared" si="18"/>
        <v>46558</v>
      </c>
      <c r="C45" s="179">
        <f>SUMIFS('Daily Log'!$C$7:$C$377,'Daily Log'!$V$7:$V$377,$A45)</f>
        <v>0</v>
      </c>
      <c r="D45" s="179">
        <f>SUMIFS('Daily Log'!$D$7:$D$377,'Daily Log'!$V$7:$V$377,$A45)</f>
        <v>0</v>
      </c>
      <c r="E45" s="179">
        <f>SUMIFS('Daily Log'!$E$7:$E$377,'Daily Log'!$V$7:$V$377,$A45)</f>
        <v>0</v>
      </c>
      <c r="F45" s="179">
        <f>SUMIFS('Daily Log'!$F$7:$F$377,'Daily Log'!$V$7:$V$377,$A45)</f>
        <v>0</v>
      </c>
      <c r="G45" s="131">
        <f>SUMIFS('Daily Log'!$U$7:$U$377,'Daily Log'!$V$7:$V$377,$A45)</f>
        <v>0</v>
      </c>
      <c r="H45" s="179">
        <f>SUMIFS('Daily Log'!$S$7:$S$377,'Daily Log'!$V$7:$V$377,$A45)</f>
        <v>0</v>
      </c>
      <c r="I45" s="83" t="str">
        <f t="shared" si="19"/>
        <v/>
      </c>
      <c r="J45" s="65" t="str">
        <f t="shared" si="20"/>
        <v/>
      </c>
      <c r="K45" s="132" t="str">
        <f t="shared" si="21"/>
        <v/>
      </c>
      <c r="L45" s="51">
        <f>SUMIFS('Daily Log'!$G$7:$G$377,'Daily Log'!$V$7:$V$377,$A45)</f>
        <v>0</v>
      </c>
      <c r="M45" s="51">
        <f>SUMIFS('Daily Log'!$H$7:$H$377,'Daily Log'!$V$7:$V$377,$A45)</f>
        <v>0</v>
      </c>
      <c r="N45" s="51">
        <f>SUMIFS('Daily Log'!$I$7:$I$377,'Daily Log'!$V$7:$V$377,$A45)</f>
        <v>0</v>
      </c>
      <c r="O45" s="51">
        <f>SUMIFS('Daily Log'!$J$7:$J$377,'Daily Log'!$V$7:$V$377,$A45)</f>
        <v>0</v>
      </c>
      <c r="P45" s="51">
        <f>SUMIFS('Daily Log'!$K$7:$K$377,'Daily Log'!$V$7:$V$377,$A45)</f>
        <v>0</v>
      </c>
      <c r="Q45" s="51">
        <f>SUMIFS('Daily Log'!$L$7:$L$377,'Daily Log'!$V$7:$V$377,$A45)</f>
        <v>0</v>
      </c>
      <c r="R45" s="51">
        <f>SUMIFS('Daily Log'!$M$7:$M$377,'Daily Log'!$V$7:$V$377,$A45)</f>
        <v>0</v>
      </c>
      <c r="S45" s="51">
        <f>SUMIFS('Daily Log'!$N$7:$N$377,'Daily Log'!$V$7:$V$377,$A45)</f>
        <v>0</v>
      </c>
      <c r="T45" s="51">
        <f>SUMIFS('Daily Log'!$O$7:$O$377,'Daily Log'!$V$7:$V$377,$A45)</f>
        <v>0</v>
      </c>
      <c r="U45" s="51">
        <f>SUMIFS('Daily Log'!$P$7:$P$377,'Daily Log'!$V$7:$V$377,$A45)</f>
        <v>0</v>
      </c>
      <c r="V45" s="51">
        <f>SUMIFS('Daily Log'!$Q$7:$Q$377,'Daily Log'!$V$7:$V$377,$A45)</f>
        <v>0</v>
      </c>
      <c r="W45" s="51">
        <f>SUMIFS('Daily Log'!$R$7:$R$377,'Daily Log'!$V$7:$V$377,$A45)</f>
        <v>0</v>
      </c>
      <c r="X45" s="131">
        <f t="shared" si="22"/>
        <v>0</v>
      </c>
      <c r="Y45" s="131">
        <f t="shared" si="23"/>
        <v>0</v>
      </c>
      <c r="Z45" s="131">
        <f t="shared" si="24"/>
        <v>0</v>
      </c>
      <c r="AA45" s="131">
        <f t="shared" si="25"/>
        <v>0</v>
      </c>
      <c r="AB45" s="131">
        <f t="shared" si="26"/>
        <v>0</v>
      </c>
      <c r="AC45" s="131">
        <f t="shared" si="27"/>
        <v>0</v>
      </c>
      <c r="AD45" s="131">
        <f t="shared" si="28"/>
        <v>0</v>
      </c>
      <c r="AE45" s="131">
        <f t="shared" si="29"/>
        <v>0</v>
      </c>
      <c r="AF45" s="131">
        <f t="shared" si="30"/>
        <v>0</v>
      </c>
      <c r="AG45" s="131">
        <f t="shared" si="31"/>
        <v>0</v>
      </c>
      <c r="AH45" s="131">
        <f t="shared" si="32"/>
        <v>0</v>
      </c>
      <c r="AI45" s="131">
        <f t="shared" si="33"/>
        <v>0</v>
      </c>
      <c r="AJ45" s="131">
        <f t="shared" si="34"/>
        <v>0</v>
      </c>
      <c r="AK45" s="143">
        <f t="shared" si="35"/>
        <v>0</v>
      </c>
      <c r="AL45" s="125"/>
    </row>
    <row r="46" spans="1:38" s="127" customFormat="1" ht="21" customHeight="1" x14ac:dyDescent="0.25">
      <c r="A46" s="117">
        <v>46559</v>
      </c>
      <c r="B46" s="49">
        <f t="shared" si="18"/>
        <v>46565</v>
      </c>
      <c r="C46" s="179">
        <f>SUMIFS('Daily Log'!$C$7:$C$377,'Daily Log'!$V$7:$V$377,$A46)</f>
        <v>0</v>
      </c>
      <c r="D46" s="179">
        <f>SUMIFS('Daily Log'!$D$7:$D$377,'Daily Log'!$V$7:$V$377,$A46)</f>
        <v>0</v>
      </c>
      <c r="E46" s="179">
        <f>SUMIFS('Daily Log'!$E$7:$E$377,'Daily Log'!$V$7:$V$377,$A46)</f>
        <v>0</v>
      </c>
      <c r="F46" s="179">
        <f>SUMIFS('Daily Log'!$F$7:$F$377,'Daily Log'!$V$7:$V$377,$A46)</f>
        <v>0</v>
      </c>
      <c r="G46" s="131">
        <f>SUMIFS('Daily Log'!$U$7:$U$377,'Daily Log'!$V$7:$V$377,$A46)</f>
        <v>0</v>
      </c>
      <c r="H46" s="179">
        <f>SUMIFS('Daily Log'!$S$7:$S$377,'Daily Log'!$V$7:$V$377,$A46)</f>
        <v>0</v>
      </c>
      <c r="I46" s="83" t="str">
        <f t="shared" si="19"/>
        <v/>
      </c>
      <c r="J46" s="65" t="str">
        <f t="shared" si="20"/>
        <v/>
      </c>
      <c r="K46" s="132" t="str">
        <f t="shared" si="21"/>
        <v/>
      </c>
      <c r="L46" s="51">
        <f>SUMIFS('Daily Log'!$G$7:$G$377,'Daily Log'!$V$7:$V$377,$A46)</f>
        <v>0</v>
      </c>
      <c r="M46" s="51">
        <f>SUMIFS('Daily Log'!$H$7:$H$377,'Daily Log'!$V$7:$V$377,$A46)</f>
        <v>0</v>
      </c>
      <c r="N46" s="51">
        <f>SUMIFS('Daily Log'!$I$7:$I$377,'Daily Log'!$V$7:$V$377,$A46)</f>
        <v>0</v>
      </c>
      <c r="O46" s="51">
        <f>SUMIFS('Daily Log'!$J$7:$J$377,'Daily Log'!$V$7:$V$377,$A46)</f>
        <v>0</v>
      </c>
      <c r="P46" s="51">
        <f>SUMIFS('Daily Log'!$K$7:$K$377,'Daily Log'!$V$7:$V$377,$A46)</f>
        <v>0</v>
      </c>
      <c r="Q46" s="51">
        <f>SUMIFS('Daily Log'!$L$7:$L$377,'Daily Log'!$V$7:$V$377,$A46)</f>
        <v>0</v>
      </c>
      <c r="R46" s="51">
        <f>SUMIFS('Daily Log'!$M$7:$M$377,'Daily Log'!$V$7:$V$377,$A46)</f>
        <v>0</v>
      </c>
      <c r="S46" s="51">
        <f>SUMIFS('Daily Log'!$N$7:$N$377,'Daily Log'!$V$7:$V$377,$A46)</f>
        <v>0</v>
      </c>
      <c r="T46" s="51">
        <f>SUMIFS('Daily Log'!$O$7:$O$377,'Daily Log'!$V$7:$V$377,$A46)</f>
        <v>0</v>
      </c>
      <c r="U46" s="51">
        <f>SUMIFS('Daily Log'!$P$7:$P$377,'Daily Log'!$V$7:$V$377,$A46)</f>
        <v>0</v>
      </c>
      <c r="V46" s="51">
        <f>SUMIFS('Daily Log'!$Q$7:$Q$377,'Daily Log'!$V$7:$V$377,$A46)</f>
        <v>0</v>
      </c>
      <c r="W46" s="51">
        <f>SUMIFS('Daily Log'!$R$7:$R$377,'Daily Log'!$V$7:$V$377,$A46)</f>
        <v>0</v>
      </c>
      <c r="X46" s="131">
        <f t="shared" si="22"/>
        <v>0</v>
      </c>
      <c r="Y46" s="131">
        <f t="shared" si="23"/>
        <v>0</v>
      </c>
      <c r="Z46" s="131">
        <f t="shared" si="24"/>
        <v>0</v>
      </c>
      <c r="AA46" s="131">
        <f t="shared" si="25"/>
        <v>0</v>
      </c>
      <c r="AB46" s="131">
        <f t="shared" si="26"/>
        <v>0</v>
      </c>
      <c r="AC46" s="131">
        <f t="shared" si="27"/>
        <v>0</v>
      </c>
      <c r="AD46" s="131">
        <f t="shared" si="28"/>
        <v>0</v>
      </c>
      <c r="AE46" s="131">
        <f t="shared" si="29"/>
        <v>0</v>
      </c>
      <c r="AF46" s="131">
        <f t="shared" si="30"/>
        <v>0</v>
      </c>
      <c r="AG46" s="131">
        <f t="shared" si="31"/>
        <v>0</v>
      </c>
      <c r="AH46" s="131">
        <f t="shared" si="32"/>
        <v>0</v>
      </c>
      <c r="AI46" s="131">
        <f t="shared" si="33"/>
        <v>0</v>
      </c>
      <c r="AJ46" s="131">
        <f t="shared" si="34"/>
        <v>0</v>
      </c>
      <c r="AK46" s="143">
        <f t="shared" si="35"/>
        <v>0</v>
      </c>
      <c r="AL46" s="125"/>
    </row>
    <row r="47" spans="1:38" s="127" customFormat="1" ht="21" customHeight="1" x14ac:dyDescent="0.25">
      <c r="A47" s="117">
        <v>46566</v>
      </c>
      <c r="B47" s="49">
        <f t="shared" si="18"/>
        <v>46572</v>
      </c>
      <c r="C47" s="179">
        <f>SUMIFS('Daily Log'!$C$7:$C$377,'Daily Log'!$V$7:$V$377,$A47)</f>
        <v>0</v>
      </c>
      <c r="D47" s="179">
        <f>SUMIFS('Daily Log'!$D$7:$D$377,'Daily Log'!$V$7:$V$377,$A47)</f>
        <v>0</v>
      </c>
      <c r="E47" s="179">
        <f>SUMIFS('Daily Log'!$E$7:$E$377,'Daily Log'!$V$7:$V$377,$A47)</f>
        <v>0</v>
      </c>
      <c r="F47" s="179">
        <f>SUMIFS('Daily Log'!$F$7:$F$377,'Daily Log'!$V$7:$V$377,$A47)</f>
        <v>0</v>
      </c>
      <c r="G47" s="131">
        <f>SUMIFS('Daily Log'!$U$7:$U$377,'Daily Log'!$V$7:$V$377,$A47)</f>
        <v>0</v>
      </c>
      <c r="H47" s="179">
        <f>SUMIFS('Daily Log'!$S$7:$S$377,'Daily Log'!$V$7:$V$377,$A47)</f>
        <v>0</v>
      </c>
      <c r="I47" s="83" t="str">
        <f t="shared" si="19"/>
        <v/>
      </c>
      <c r="J47" s="65" t="str">
        <f t="shared" si="20"/>
        <v/>
      </c>
      <c r="K47" s="132" t="str">
        <f t="shared" si="21"/>
        <v/>
      </c>
      <c r="L47" s="51">
        <f>SUMIFS('Daily Log'!$G$7:$G$377,'Daily Log'!$V$7:$V$377,$A47)</f>
        <v>0</v>
      </c>
      <c r="M47" s="51">
        <f>SUMIFS('Daily Log'!$H$7:$H$377,'Daily Log'!$V$7:$V$377,$A47)</f>
        <v>0</v>
      </c>
      <c r="N47" s="51">
        <f>SUMIFS('Daily Log'!$I$7:$I$377,'Daily Log'!$V$7:$V$377,$A47)</f>
        <v>0</v>
      </c>
      <c r="O47" s="51">
        <f>SUMIFS('Daily Log'!$J$7:$J$377,'Daily Log'!$V$7:$V$377,$A47)</f>
        <v>0</v>
      </c>
      <c r="P47" s="51">
        <f>SUMIFS('Daily Log'!$K$7:$K$377,'Daily Log'!$V$7:$V$377,$A47)</f>
        <v>0</v>
      </c>
      <c r="Q47" s="51">
        <f>SUMIFS('Daily Log'!$L$7:$L$377,'Daily Log'!$V$7:$V$377,$A47)</f>
        <v>0</v>
      </c>
      <c r="R47" s="51">
        <f>SUMIFS('Daily Log'!$M$7:$M$377,'Daily Log'!$V$7:$V$377,$A47)</f>
        <v>0</v>
      </c>
      <c r="S47" s="51">
        <f>SUMIFS('Daily Log'!$N$7:$N$377,'Daily Log'!$V$7:$V$377,$A47)</f>
        <v>0</v>
      </c>
      <c r="T47" s="51">
        <f>SUMIFS('Daily Log'!$O$7:$O$377,'Daily Log'!$V$7:$V$377,$A47)</f>
        <v>0</v>
      </c>
      <c r="U47" s="51">
        <f>SUMIFS('Daily Log'!$P$7:$P$377,'Daily Log'!$V$7:$V$377,$A47)</f>
        <v>0</v>
      </c>
      <c r="V47" s="51">
        <f>SUMIFS('Daily Log'!$Q$7:$Q$377,'Daily Log'!$V$7:$V$377,$A47)</f>
        <v>0</v>
      </c>
      <c r="W47" s="51">
        <f>SUMIFS('Daily Log'!$R$7:$R$377,'Daily Log'!$V$7:$V$377,$A47)</f>
        <v>0</v>
      </c>
      <c r="X47" s="131">
        <f t="shared" si="22"/>
        <v>0</v>
      </c>
      <c r="Y47" s="131">
        <f t="shared" si="23"/>
        <v>0</v>
      </c>
      <c r="Z47" s="131">
        <f t="shared" si="24"/>
        <v>0</v>
      </c>
      <c r="AA47" s="131">
        <f t="shared" si="25"/>
        <v>0</v>
      </c>
      <c r="AB47" s="131">
        <f t="shared" si="26"/>
        <v>0</v>
      </c>
      <c r="AC47" s="131">
        <f t="shared" si="27"/>
        <v>0</v>
      </c>
      <c r="AD47" s="131">
        <f t="shared" si="28"/>
        <v>0</v>
      </c>
      <c r="AE47" s="131">
        <f t="shared" si="29"/>
        <v>0</v>
      </c>
      <c r="AF47" s="131">
        <f t="shared" si="30"/>
        <v>0</v>
      </c>
      <c r="AG47" s="131">
        <f t="shared" si="31"/>
        <v>0</v>
      </c>
      <c r="AH47" s="131">
        <f t="shared" si="32"/>
        <v>0</v>
      </c>
      <c r="AI47" s="131">
        <f t="shared" si="33"/>
        <v>0</v>
      </c>
      <c r="AJ47" s="131">
        <f t="shared" si="34"/>
        <v>0</v>
      </c>
      <c r="AK47" s="143">
        <f t="shared" si="35"/>
        <v>0</v>
      </c>
      <c r="AL47" s="125"/>
    </row>
    <row r="48" spans="1:38" s="127" customFormat="1" ht="21" customHeight="1" x14ac:dyDescent="0.25">
      <c r="A48" s="117">
        <v>46573</v>
      </c>
      <c r="B48" s="49">
        <f t="shared" si="18"/>
        <v>46579</v>
      </c>
      <c r="C48" s="179">
        <f>SUMIFS('Daily Log'!$C$7:$C$377,'Daily Log'!$V$7:$V$377,$A48)</f>
        <v>0</v>
      </c>
      <c r="D48" s="179">
        <f>SUMIFS('Daily Log'!$D$7:$D$377,'Daily Log'!$V$7:$V$377,$A48)</f>
        <v>0</v>
      </c>
      <c r="E48" s="179">
        <f>SUMIFS('Daily Log'!$E$7:$E$377,'Daily Log'!$V$7:$V$377,$A48)</f>
        <v>0</v>
      </c>
      <c r="F48" s="179">
        <f>SUMIFS('Daily Log'!$F$7:$F$377,'Daily Log'!$V$7:$V$377,$A48)</f>
        <v>0</v>
      </c>
      <c r="G48" s="131">
        <f>SUMIFS('Daily Log'!$U$7:$U$377,'Daily Log'!$V$7:$V$377,$A48)</f>
        <v>0</v>
      </c>
      <c r="H48" s="179">
        <f>SUMIFS('Daily Log'!$S$7:$S$377,'Daily Log'!$V$7:$V$377,$A48)</f>
        <v>0</v>
      </c>
      <c r="I48" s="83" t="str">
        <f t="shared" si="19"/>
        <v/>
      </c>
      <c r="J48" s="65" t="str">
        <f t="shared" si="20"/>
        <v/>
      </c>
      <c r="K48" s="132" t="str">
        <f t="shared" si="21"/>
        <v/>
      </c>
      <c r="L48" s="51">
        <f>SUMIFS('Daily Log'!$G$7:$G$377,'Daily Log'!$V$7:$V$377,$A48)</f>
        <v>0</v>
      </c>
      <c r="M48" s="51">
        <f>SUMIFS('Daily Log'!$H$7:$H$377,'Daily Log'!$V$7:$V$377,$A48)</f>
        <v>0</v>
      </c>
      <c r="N48" s="51">
        <f>SUMIFS('Daily Log'!$I$7:$I$377,'Daily Log'!$V$7:$V$377,$A48)</f>
        <v>0</v>
      </c>
      <c r="O48" s="51">
        <f>SUMIFS('Daily Log'!$J$7:$J$377,'Daily Log'!$V$7:$V$377,$A48)</f>
        <v>0</v>
      </c>
      <c r="P48" s="51">
        <f>SUMIFS('Daily Log'!$K$7:$K$377,'Daily Log'!$V$7:$V$377,$A48)</f>
        <v>0</v>
      </c>
      <c r="Q48" s="51">
        <f>SUMIFS('Daily Log'!$L$7:$L$377,'Daily Log'!$V$7:$V$377,$A48)</f>
        <v>0</v>
      </c>
      <c r="R48" s="51">
        <f>SUMIFS('Daily Log'!$M$7:$M$377,'Daily Log'!$V$7:$V$377,$A48)</f>
        <v>0</v>
      </c>
      <c r="S48" s="51">
        <f>SUMIFS('Daily Log'!$N$7:$N$377,'Daily Log'!$V$7:$V$377,$A48)</f>
        <v>0</v>
      </c>
      <c r="T48" s="51">
        <f>SUMIFS('Daily Log'!$O$7:$O$377,'Daily Log'!$V$7:$V$377,$A48)</f>
        <v>0</v>
      </c>
      <c r="U48" s="51">
        <f>SUMIFS('Daily Log'!$P$7:$P$377,'Daily Log'!$V$7:$V$377,$A48)</f>
        <v>0</v>
      </c>
      <c r="V48" s="51">
        <f>SUMIFS('Daily Log'!$Q$7:$Q$377,'Daily Log'!$V$7:$V$377,$A48)</f>
        <v>0</v>
      </c>
      <c r="W48" s="51">
        <f>SUMIFS('Daily Log'!$R$7:$R$377,'Daily Log'!$V$7:$V$377,$A48)</f>
        <v>0</v>
      </c>
      <c r="X48" s="131">
        <f t="shared" si="22"/>
        <v>0</v>
      </c>
      <c r="Y48" s="131">
        <f t="shared" si="23"/>
        <v>0</v>
      </c>
      <c r="Z48" s="131">
        <f t="shared" si="24"/>
        <v>0</v>
      </c>
      <c r="AA48" s="131">
        <f t="shared" si="25"/>
        <v>0</v>
      </c>
      <c r="AB48" s="131">
        <f t="shared" si="26"/>
        <v>0</v>
      </c>
      <c r="AC48" s="131">
        <f t="shared" si="27"/>
        <v>0</v>
      </c>
      <c r="AD48" s="131">
        <f t="shared" si="28"/>
        <v>0</v>
      </c>
      <c r="AE48" s="131">
        <f t="shared" si="29"/>
        <v>0</v>
      </c>
      <c r="AF48" s="131">
        <f t="shared" si="30"/>
        <v>0</v>
      </c>
      <c r="AG48" s="131">
        <f t="shared" si="31"/>
        <v>0</v>
      </c>
      <c r="AH48" s="131">
        <f t="shared" si="32"/>
        <v>0</v>
      </c>
      <c r="AI48" s="131">
        <f t="shared" si="33"/>
        <v>0</v>
      </c>
      <c r="AJ48" s="131">
        <f t="shared" si="34"/>
        <v>0</v>
      </c>
      <c r="AK48" s="143">
        <f t="shared" si="35"/>
        <v>0</v>
      </c>
      <c r="AL48" s="125"/>
    </row>
    <row r="49" spans="1:38" s="127" customFormat="1" ht="21" customHeight="1" x14ac:dyDescent="0.25">
      <c r="A49" s="117">
        <v>46580</v>
      </c>
      <c r="B49" s="49">
        <f t="shared" si="18"/>
        <v>46586</v>
      </c>
      <c r="C49" s="179">
        <f>SUMIFS('Daily Log'!$C$7:$C$377,'Daily Log'!$V$7:$V$377,$A49)</f>
        <v>0</v>
      </c>
      <c r="D49" s="179">
        <f>SUMIFS('Daily Log'!$D$7:$D$377,'Daily Log'!$V$7:$V$377,$A49)</f>
        <v>0</v>
      </c>
      <c r="E49" s="179">
        <f>SUMIFS('Daily Log'!$E$7:$E$377,'Daily Log'!$V$7:$V$377,$A49)</f>
        <v>0</v>
      </c>
      <c r="F49" s="179">
        <f>SUMIFS('Daily Log'!$F$7:$F$377,'Daily Log'!$V$7:$V$377,$A49)</f>
        <v>0</v>
      </c>
      <c r="G49" s="131">
        <f>SUMIFS('Daily Log'!$U$7:$U$377,'Daily Log'!$V$7:$V$377,$A49)</f>
        <v>0</v>
      </c>
      <c r="H49" s="179">
        <f>SUMIFS('Daily Log'!$S$7:$S$377,'Daily Log'!$V$7:$V$377,$A49)</f>
        <v>0</v>
      </c>
      <c r="I49" s="83" t="str">
        <f t="shared" si="19"/>
        <v/>
      </c>
      <c r="J49" s="65" t="str">
        <f t="shared" si="20"/>
        <v/>
      </c>
      <c r="K49" s="132" t="str">
        <f t="shared" si="21"/>
        <v/>
      </c>
      <c r="L49" s="51">
        <f>SUMIFS('Daily Log'!$G$7:$G$377,'Daily Log'!$V$7:$V$377,$A49)</f>
        <v>0</v>
      </c>
      <c r="M49" s="51">
        <f>SUMIFS('Daily Log'!$H$7:$H$377,'Daily Log'!$V$7:$V$377,$A49)</f>
        <v>0</v>
      </c>
      <c r="N49" s="51">
        <f>SUMIFS('Daily Log'!$I$7:$I$377,'Daily Log'!$V$7:$V$377,$A49)</f>
        <v>0</v>
      </c>
      <c r="O49" s="51">
        <f>SUMIFS('Daily Log'!$J$7:$J$377,'Daily Log'!$V$7:$V$377,$A49)</f>
        <v>0</v>
      </c>
      <c r="P49" s="51">
        <f>SUMIFS('Daily Log'!$K$7:$K$377,'Daily Log'!$V$7:$V$377,$A49)</f>
        <v>0</v>
      </c>
      <c r="Q49" s="51">
        <f>SUMIFS('Daily Log'!$L$7:$L$377,'Daily Log'!$V$7:$V$377,$A49)</f>
        <v>0</v>
      </c>
      <c r="R49" s="51">
        <f>SUMIFS('Daily Log'!$M$7:$M$377,'Daily Log'!$V$7:$V$377,$A49)</f>
        <v>0</v>
      </c>
      <c r="S49" s="51">
        <f>SUMIFS('Daily Log'!$N$7:$N$377,'Daily Log'!$V$7:$V$377,$A49)</f>
        <v>0</v>
      </c>
      <c r="T49" s="51">
        <f>SUMIFS('Daily Log'!$O$7:$O$377,'Daily Log'!$V$7:$V$377,$A49)</f>
        <v>0</v>
      </c>
      <c r="U49" s="51">
        <f>SUMIFS('Daily Log'!$P$7:$P$377,'Daily Log'!$V$7:$V$377,$A49)</f>
        <v>0</v>
      </c>
      <c r="V49" s="51">
        <f>SUMIFS('Daily Log'!$Q$7:$Q$377,'Daily Log'!$V$7:$V$377,$A49)</f>
        <v>0</v>
      </c>
      <c r="W49" s="51">
        <f>SUMIFS('Daily Log'!$R$7:$R$377,'Daily Log'!$V$7:$V$377,$A49)</f>
        <v>0</v>
      </c>
      <c r="X49" s="131">
        <f t="shared" si="22"/>
        <v>0</v>
      </c>
      <c r="Y49" s="131">
        <f t="shared" si="23"/>
        <v>0</v>
      </c>
      <c r="Z49" s="131">
        <f t="shared" si="24"/>
        <v>0</v>
      </c>
      <c r="AA49" s="131">
        <f t="shared" si="25"/>
        <v>0</v>
      </c>
      <c r="AB49" s="131">
        <f t="shared" si="26"/>
        <v>0</v>
      </c>
      <c r="AC49" s="131">
        <f t="shared" si="27"/>
        <v>0</v>
      </c>
      <c r="AD49" s="131">
        <f t="shared" si="28"/>
        <v>0</v>
      </c>
      <c r="AE49" s="131">
        <f t="shared" si="29"/>
        <v>0</v>
      </c>
      <c r="AF49" s="131">
        <f t="shared" si="30"/>
        <v>0</v>
      </c>
      <c r="AG49" s="131">
        <f t="shared" si="31"/>
        <v>0</v>
      </c>
      <c r="AH49" s="131">
        <f t="shared" si="32"/>
        <v>0</v>
      </c>
      <c r="AI49" s="131">
        <f t="shared" si="33"/>
        <v>0</v>
      </c>
      <c r="AJ49" s="131">
        <f t="shared" si="34"/>
        <v>0</v>
      </c>
      <c r="AK49" s="143">
        <f t="shared" si="35"/>
        <v>0</v>
      </c>
      <c r="AL49" s="125"/>
    </row>
    <row r="50" spans="1:38" s="127" customFormat="1" ht="21" customHeight="1" x14ac:dyDescent="0.25">
      <c r="A50" s="117">
        <v>46587</v>
      </c>
      <c r="B50" s="49">
        <f t="shared" si="18"/>
        <v>46593</v>
      </c>
      <c r="C50" s="179">
        <f>SUMIFS('Daily Log'!$C$7:$C$377,'Daily Log'!$V$7:$V$377,$A50)</f>
        <v>0</v>
      </c>
      <c r="D50" s="179">
        <f>SUMIFS('Daily Log'!$D$7:$D$377,'Daily Log'!$V$7:$V$377,$A50)</f>
        <v>0</v>
      </c>
      <c r="E50" s="179">
        <f>SUMIFS('Daily Log'!$E$7:$E$377,'Daily Log'!$V$7:$V$377,$A50)</f>
        <v>0</v>
      </c>
      <c r="F50" s="179">
        <f>SUMIFS('Daily Log'!$F$7:$F$377,'Daily Log'!$V$7:$V$377,$A50)</f>
        <v>0</v>
      </c>
      <c r="G50" s="131">
        <f>SUMIFS('Daily Log'!$U$7:$U$377,'Daily Log'!$V$7:$V$377,$A50)</f>
        <v>0</v>
      </c>
      <c r="H50" s="179">
        <f>SUMIFS('Daily Log'!$S$7:$S$377,'Daily Log'!$V$7:$V$377,$A50)</f>
        <v>0</v>
      </c>
      <c r="I50" s="83" t="str">
        <f t="shared" si="19"/>
        <v/>
      </c>
      <c r="J50" s="65" t="str">
        <f t="shared" si="20"/>
        <v/>
      </c>
      <c r="K50" s="132" t="str">
        <f t="shared" si="21"/>
        <v/>
      </c>
      <c r="L50" s="51">
        <f>SUMIFS('Daily Log'!$G$7:$G$377,'Daily Log'!$V$7:$V$377,$A50)</f>
        <v>0</v>
      </c>
      <c r="M50" s="51">
        <f>SUMIFS('Daily Log'!$H$7:$H$377,'Daily Log'!$V$7:$V$377,$A50)</f>
        <v>0</v>
      </c>
      <c r="N50" s="51">
        <f>SUMIFS('Daily Log'!$I$7:$I$377,'Daily Log'!$V$7:$V$377,$A50)</f>
        <v>0</v>
      </c>
      <c r="O50" s="51">
        <f>SUMIFS('Daily Log'!$J$7:$J$377,'Daily Log'!$V$7:$V$377,$A50)</f>
        <v>0</v>
      </c>
      <c r="P50" s="51">
        <f>SUMIFS('Daily Log'!$K$7:$K$377,'Daily Log'!$V$7:$V$377,$A50)</f>
        <v>0</v>
      </c>
      <c r="Q50" s="51">
        <f>SUMIFS('Daily Log'!$L$7:$L$377,'Daily Log'!$V$7:$V$377,$A50)</f>
        <v>0</v>
      </c>
      <c r="R50" s="51">
        <f>SUMIFS('Daily Log'!$M$7:$M$377,'Daily Log'!$V$7:$V$377,$A50)</f>
        <v>0</v>
      </c>
      <c r="S50" s="51">
        <f>SUMIFS('Daily Log'!$N$7:$N$377,'Daily Log'!$V$7:$V$377,$A50)</f>
        <v>0</v>
      </c>
      <c r="T50" s="51">
        <f>SUMIFS('Daily Log'!$O$7:$O$377,'Daily Log'!$V$7:$V$377,$A50)</f>
        <v>0</v>
      </c>
      <c r="U50" s="51">
        <f>SUMIFS('Daily Log'!$P$7:$P$377,'Daily Log'!$V$7:$V$377,$A50)</f>
        <v>0</v>
      </c>
      <c r="V50" s="51">
        <f>SUMIFS('Daily Log'!$Q$7:$Q$377,'Daily Log'!$V$7:$V$377,$A50)</f>
        <v>0</v>
      </c>
      <c r="W50" s="51">
        <f>SUMIFS('Daily Log'!$R$7:$R$377,'Daily Log'!$V$7:$V$377,$A50)</f>
        <v>0</v>
      </c>
      <c r="X50" s="131">
        <f t="shared" si="22"/>
        <v>0</v>
      </c>
      <c r="Y50" s="131">
        <f t="shared" si="23"/>
        <v>0</v>
      </c>
      <c r="Z50" s="131">
        <f t="shared" si="24"/>
        <v>0</v>
      </c>
      <c r="AA50" s="131">
        <f t="shared" si="25"/>
        <v>0</v>
      </c>
      <c r="AB50" s="131">
        <f t="shared" si="26"/>
        <v>0</v>
      </c>
      <c r="AC50" s="131">
        <f t="shared" si="27"/>
        <v>0</v>
      </c>
      <c r="AD50" s="131">
        <f t="shared" si="28"/>
        <v>0</v>
      </c>
      <c r="AE50" s="131">
        <f t="shared" si="29"/>
        <v>0</v>
      </c>
      <c r="AF50" s="131">
        <f t="shared" si="30"/>
        <v>0</v>
      </c>
      <c r="AG50" s="131">
        <f t="shared" si="31"/>
        <v>0</v>
      </c>
      <c r="AH50" s="131">
        <f t="shared" si="32"/>
        <v>0</v>
      </c>
      <c r="AI50" s="131">
        <f t="shared" si="33"/>
        <v>0</v>
      </c>
      <c r="AJ50" s="131">
        <f t="shared" si="34"/>
        <v>0</v>
      </c>
      <c r="AK50" s="143">
        <f t="shared" si="35"/>
        <v>0</v>
      </c>
      <c r="AL50" s="125"/>
    </row>
    <row r="51" spans="1:38" s="127" customFormat="1" ht="21" customHeight="1" x14ac:dyDescent="0.25">
      <c r="A51" s="117">
        <v>46594</v>
      </c>
      <c r="B51" s="49">
        <f t="shared" si="18"/>
        <v>46600</v>
      </c>
      <c r="C51" s="179">
        <f>SUMIFS('Daily Log'!$C$7:$C$377,'Daily Log'!$V$7:$V$377,$A51)</f>
        <v>0</v>
      </c>
      <c r="D51" s="179">
        <f>SUMIFS('Daily Log'!$D$7:$D$377,'Daily Log'!$V$7:$V$377,$A51)</f>
        <v>0</v>
      </c>
      <c r="E51" s="179">
        <f>SUMIFS('Daily Log'!$E$7:$E$377,'Daily Log'!$V$7:$V$377,$A51)</f>
        <v>0</v>
      </c>
      <c r="F51" s="179">
        <f>SUMIFS('Daily Log'!$F$7:$F$377,'Daily Log'!$V$7:$V$377,$A51)</f>
        <v>0</v>
      </c>
      <c r="G51" s="131">
        <f>SUMIFS('Daily Log'!$U$7:$U$377,'Daily Log'!$V$7:$V$377,$A51)</f>
        <v>0</v>
      </c>
      <c r="H51" s="179">
        <f>SUMIFS('Daily Log'!$S$7:$S$377,'Daily Log'!$V$7:$V$377,$A51)</f>
        <v>0</v>
      </c>
      <c r="I51" s="83" t="str">
        <f t="shared" si="19"/>
        <v/>
      </c>
      <c r="J51" s="65" t="str">
        <f t="shared" si="20"/>
        <v/>
      </c>
      <c r="K51" s="132" t="str">
        <f t="shared" si="21"/>
        <v/>
      </c>
      <c r="L51" s="51">
        <f>SUMIFS('Daily Log'!$G$7:$G$377,'Daily Log'!$V$7:$V$377,$A51)</f>
        <v>0</v>
      </c>
      <c r="M51" s="51">
        <f>SUMIFS('Daily Log'!$H$7:$H$377,'Daily Log'!$V$7:$V$377,$A51)</f>
        <v>0</v>
      </c>
      <c r="N51" s="51">
        <f>SUMIFS('Daily Log'!$I$7:$I$377,'Daily Log'!$V$7:$V$377,$A51)</f>
        <v>0</v>
      </c>
      <c r="O51" s="51">
        <f>SUMIFS('Daily Log'!$J$7:$J$377,'Daily Log'!$V$7:$V$377,$A51)</f>
        <v>0</v>
      </c>
      <c r="P51" s="51">
        <f>SUMIFS('Daily Log'!$K$7:$K$377,'Daily Log'!$V$7:$V$377,$A51)</f>
        <v>0</v>
      </c>
      <c r="Q51" s="51">
        <f>SUMIFS('Daily Log'!$L$7:$L$377,'Daily Log'!$V$7:$V$377,$A51)</f>
        <v>0</v>
      </c>
      <c r="R51" s="51">
        <f>SUMIFS('Daily Log'!$M$7:$M$377,'Daily Log'!$V$7:$V$377,$A51)</f>
        <v>0</v>
      </c>
      <c r="S51" s="51">
        <f>SUMIFS('Daily Log'!$N$7:$N$377,'Daily Log'!$V$7:$V$377,$A51)</f>
        <v>0</v>
      </c>
      <c r="T51" s="51">
        <f>SUMIFS('Daily Log'!$O$7:$O$377,'Daily Log'!$V$7:$V$377,$A51)</f>
        <v>0</v>
      </c>
      <c r="U51" s="51">
        <f>SUMIFS('Daily Log'!$P$7:$P$377,'Daily Log'!$V$7:$V$377,$A51)</f>
        <v>0</v>
      </c>
      <c r="V51" s="51">
        <f>SUMIFS('Daily Log'!$Q$7:$Q$377,'Daily Log'!$V$7:$V$377,$A51)</f>
        <v>0</v>
      </c>
      <c r="W51" s="51">
        <f>SUMIFS('Daily Log'!$R$7:$R$377,'Daily Log'!$V$7:$V$377,$A51)</f>
        <v>0</v>
      </c>
      <c r="X51" s="131">
        <f t="shared" si="22"/>
        <v>0</v>
      </c>
      <c r="Y51" s="131">
        <f t="shared" si="23"/>
        <v>0</v>
      </c>
      <c r="Z51" s="131">
        <f t="shared" si="24"/>
        <v>0</v>
      </c>
      <c r="AA51" s="131">
        <f t="shared" si="25"/>
        <v>0</v>
      </c>
      <c r="AB51" s="131">
        <f t="shared" si="26"/>
        <v>0</v>
      </c>
      <c r="AC51" s="131">
        <f t="shared" si="27"/>
        <v>0</v>
      </c>
      <c r="AD51" s="131">
        <f t="shared" si="28"/>
        <v>0</v>
      </c>
      <c r="AE51" s="131">
        <f t="shared" si="29"/>
        <v>0</v>
      </c>
      <c r="AF51" s="131">
        <f t="shared" si="30"/>
        <v>0</v>
      </c>
      <c r="AG51" s="131">
        <f t="shared" si="31"/>
        <v>0</v>
      </c>
      <c r="AH51" s="131">
        <f t="shared" si="32"/>
        <v>0</v>
      </c>
      <c r="AI51" s="131">
        <f t="shared" si="33"/>
        <v>0</v>
      </c>
      <c r="AJ51" s="131">
        <f t="shared" si="34"/>
        <v>0</v>
      </c>
      <c r="AK51" s="143">
        <f t="shared" si="35"/>
        <v>0</v>
      </c>
      <c r="AL51" s="125"/>
    </row>
    <row r="52" spans="1:38" s="127" customFormat="1" ht="21" customHeight="1" x14ac:dyDescent="0.25">
      <c r="A52" s="117">
        <v>46601</v>
      </c>
      <c r="B52" s="49">
        <f t="shared" si="18"/>
        <v>46607</v>
      </c>
      <c r="C52" s="179">
        <f>SUMIFS('Daily Log'!$C$7:$C$377,'Daily Log'!$V$7:$V$377,$A52)</f>
        <v>0</v>
      </c>
      <c r="D52" s="179">
        <f>SUMIFS('Daily Log'!$D$7:$D$377,'Daily Log'!$V$7:$V$377,$A52)</f>
        <v>0</v>
      </c>
      <c r="E52" s="179">
        <f>SUMIFS('Daily Log'!$E$7:$E$377,'Daily Log'!$V$7:$V$377,$A52)</f>
        <v>0</v>
      </c>
      <c r="F52" s="179">
        <f>SUMIFS('Daily Log'!$F$7:$F$377,'Daily Log'!$V$7:$V$377,$A52)</f>
        <v>0</v>
      </c>
      <c r="G52" s="131">
        <f>SUMIFS('Daily Log'!$U$7:$U$377,'Daily Log'!$V$7:$V$377,$A52)</f>
        <v>0</v>
      </c>
      <c r="H52" s="179">
        <f>SUMIFS('Daily Log'!$S$7:$S$377,'Daily Log'!$V$7:$V$377,$A52)</f>
        <v>0</v>
      </c>
      <c r="I52" s="83" t="str">
        <f t="shared" si="19"/>
        <v/>
      </c>
      <c r="J52" s="65" t="str">
        <f t="shared" si="20"/>
        <v/>
      </c>
      <c r="K52" s="132" t="str">
        <f t="shared" si="21"/>
        <v/>
      </c>
      <c r="L52" s="51">
        <f>SUMIFS('Daily Log'!$G$7:$G$377,'Daily Log'!$V$7:$V$377,$A52)</f>
        <v>0</v>
      </c>
      <c r="M52" s="51">
        <f>SUMIFS('Daily Log'!$H$7:$H$377,'Daily Log'!$V$7:$V$377,$A52)</f>
        <v>0</v>
      </c>
      <c r="N52" s="51">
        <f>SUMIFS('Daily Log'!$I$7:$I$377,'Daily Log'!$V$7:$V$377,$A52)</f>
        <v>0</v>
      </c>
      <c r="O52" s="51">
        <f>SUMIFS('Daily Log'!$J$7:$J$377,'Daily Log'!$V$7:$V$377,$A52)</f>
        <v>0</v>
      </c>
      <c r="P52" s="51">
        <f>SUMIFS('Daily Log'!$K$7:$K$377,'Daily Log'!$V$7:$V$377,$A52)</f>
        <v>0</v>
      </c>
      <c r="Q52" s="51">
        <f>SUMIFS('Daily Log'!$L$7:$L$377,'Daily Log'!$V$7:$V$377,$A52)</f>
        <v>0</v>
      </c>
      <c r="R52" s="51">
        <f>SUMIFS('Daily Log'!$M$7:$M$377,'Daily Log'!$V$7:$V$377,$A52)</f>
        <v>0</v>
      </c>
      <c r="S52" s="51">
        <f>SUMIFS('Daily Log'!$N$7:$N$377,'Daily Log'!$V$7:$V$377,$A52)</f>
        <v>0</v>
      </c>
      <c r="T52" s="51">
        <f>SUMIFS('Daily Log'!$O$7:$O$377,'Daily Log'!$V$7:$V$377,$A52)</f>
        <v>0</v>
      </c>
      <c r="U52" s="51">
        <f>SUMIFS('Daily Log'!$P$7:$P$377,'Daily Log'!$V$7:$V$377,$A52)</f>
        <v>0</v>
      </c>
      <c r="V52" s="51">
        <f>SUMIFS('Daily Log'!$Q$7:$Q$377,'Daily Log'!$V$7:$V$377,$A52)</f>
        <v>0</v>
      </c>
      <c r="W52" s="51">
        <f>SUMIFS('Daily Log'!$R$7:$R$377,'Daily Log'!$V$7:$V$377,$A52)</f>
        <v>0</v>
      </c>
      <c r="X52" s="131">
        <f t="shared" si="22"/>
        <v>0</v>
      </c>
      <c r="Y52" s="131">
        <f t="shared" si="23"/>
        <v>0</v>
      </c>
      <c r="Z52" s="131">
        <f t="shared" si="24"/>
        <v>0</v>
      </c>
      <c r="AA52" s="131">
        <f t="shared" si="25"/>
        <v>0</v>
      </c>
      <c r="AB52" s="131">
        <f t="shared" si="26"/>
        <v>0</v>
      </c>
      <c r="AC52" s="131">
        <f t="shared" si="27"/>
        <v>0</v>
      </c>
      <c r="AD52" s="131">
        <f t="shared" si="28"/>
        <v>0</v>
      </c>
      <c r="AE52" s="131">
        <f t="shared" si="29"/>
        <v>0</v>
      </c>
      <c r="AF52" s="131">
        <f t="shared" si="30"/>
        <v>0</v>
      </c>
      <c r="AG52" s="131">
        <f t="shared" si="31"/>
        <v>0</v>
      </c>
      <c r="AH52" s="131">
        <f t="shared" si="32"/>
        <v>0</v>
      </c>
      <c r="AI52" s="131">
        <f t="shared" si="33"/>
        <v>0</v>
      </c>
      <c r="AJ52" s="131">
        <f t="shared" si="34"/>
        <v>0</v>
      </c>
      <c r="AK52" s="143">
        <f t="shared" si="35"/>
        <v>0</v>
      </c>
      <c r="AL52" s="125"/>
    </row>
    <row r="53" spans="1:38" s="127" customFormat="1" ht="21" customHeight="1" x14ac:dyDescent="0.25">
      <c r="A53" s="117">
        <v>46608</v>
      </c>
      <c r="B53" s="49">
        <f t="shared" si="18"/>
        <v>46614</v>
      </c>
      <c r="C53" s="179">
        <f>SUMIFS('Daily Log'!$C$7:$C$377,'Daily Log'!$V$7:$V$377,$A53)</f>
        <v>0</v>
      </c>
      <c r="D53" s="179">
        <f>SUMIFS('Daily Log'!$D$7:$D$377,'Daily Log'!$V$7:$V$377,$A53)</f>
        <v>0</v>
      </c>
      <c r="E53" s="179">
        <f>SUMIFS('Daily Log'!$E$7:$E$377,'Daily Log'!$V$7:$V$377,$A53)</f>
        <v>0</v>
      </c>
      <c r="F53" s="179">
        <f>SUMIFS('Daily Log'!$F$7:$F$377,'Daily Log'!$V$7:$V$377,$A53)</f>
        <v>0</v>
      </c>
      <c r="G53" s="131">
        <f>SUMIFS('Daily Log'!$U$7:$U$377,'Daily Log'!$V$7:$V$377,$A53)</f>
        <v>0</v>
      </c>
      <c r="H53" s="179">
        <f>SUMIFS('Daily Log'!$S$7:$S$377,'Daily Log'!$V$7:$V$377,$A53)</f>
        <v>0</v>
      </c>
      <c r="I53" s="83" t="str">
        <f t="shared" si="19"/>
        <v/>
      </c>
      <c r="J53" s="65" t="str">
        <f t="shared" si="20"/>
        <v/>
      </c>
      <c r="K53" s="132" t="str">
        <f t="shared" si="21"/>
        <v/>
      </c>
      <c r="L53" s="51">
        <f>SUMIFS('Daily Log'!$G$7:$G$377,'Daily Log'!$V$7:$V$377,$A53)</f>
        <v>0</v>
      </c>
      <c r="M53" s="51">
        <f>SUMIFS('Daily Log'!$H$7:$H$377,'Daily Log'!$V$7:$V$377,$A53)</f>
        <v>0</v>
      </c>
      <c r="N53" s="51">
        <f>SUMIFS('Daily Log'!$I$7:$I$377,'Daily Log'!$V$7:$V$377,$A53)</f>
        <v>0</v>
      </c>
      <c r="O53" s="51">
        <f>SUMIFS('Daily Log'!$J$7:$J$377,'Daily Log'!$V$7:$V$377,$A53)</f>
        <v>0</v>
      </c>
      <c r="P53" s="51">
        <f>SUMIFS('Daily Log'!$K$7:$K$377,'Daily Log'!$V$7:$V$377,$A53)</f>
        <v>0</v>
      </c>
      <c r="Q53" s="51">
        <f>SUMIFS('Daily Log'!$L$7:$L$377,'Daily Log'!$V$7:$V$377,$A53)</f>
        <v>0</v>
      </c>
      <c r="R53" s="51">
        <f>SUMIFS('Daily Log'!$M$7:$M$377,'Daily Log'!$V$7:$V$377,$A53)</f>
        <v>0</v>
      </c>
      <c r="S53" s="51">
        <f>SUMIFS('Daily Log'!$N$7:$N$377,'Daily Log'!$V$7:$V$377,$A53)</f>
        <v>0</v>
      </c>
      <c r="T53" s="51">
        <f>SUMIFS('Daily Log'!$O$7:$O$377,'Daily Log'!$V$7:$V$377,$A53)</f>
        <v>0</v>
      </c>
      <c r="U53" s="51">
        <f>SUMIFS('Daily Log'!$P$7:$P$377,'Daily Log'!$V$7:$V$377,$A53)</f>
        <v>0</v>
      </c>
      <c r="V53" s="51">
        <f>SUMIFS('Daily Log'!$Q$7:$Q$377,'Daily Log'!$V$7:$V$377,$A53)</f>
        <v>0</v>
      </c>
      <c r="W53" s="51">
        <f>SUMIFS('Daily Log'!$R$7:$R$377,'Daily Log'!$V$7:$V$377,$A53)</f>
        <v>0</v>
      </c>
      <c r="X53" s="131">
        <f t="shared" si="22"/>
        <v>0</v>
      </c>
      <c r="Y53" s="131">
        <f t="shared" si="23"/>
        <v>0</v>
      </c>
      <c r="Z53" s="131">
        <f t="shared" si="24"/>
        <v>0</v>
      </c>
      <c r="AA53" s="131">
        <f t="shared" si="25"/>
        <v>0</v>
      </c>
      <c r="AB53" s="131">
        <f t="shared" si="26"/>
        <v>0</v>
      </c>
      <c r="AC53" s="131">
        <f t="shared" si="27"/>
        <v>0</v>
      </c>
      <c r="AD53" s="131">
        <f t="shared" si="28"/>
        <v>0</v>
      </c>
      <c r="AE53" s="131">
        <f t="shared" si="29"/>
        <v>0</v>
      </c>
      <c r="AF53" s="131">
        <f t="shared" si="30"/>
        <v>0</v>
      </c>
      <c r="AG53" s="131">
        <f t="shared" si="31"/>
        <v>0</v>
      </c>
      <c r="AH53" s="131">
        <f t="shared" si="32"/>
        <v>0</v>
      </c>
      <c r="AI53" s="131">
        <f t="shared" si="33"/>
        <v>0</v>
      </c>
      <c r="AJ53" s="131">
        <f t="shared" si="34"/>
        <v>0</v>
      </c>
      <c r="AK53" s="143">
        <f t="shared" si="35"/>
        <v>0</v>
      </c>
      <c r="AL53" s="125"/>
    </row>
    <row r="54" spans="1:38" s="127" customFormat="1" ht="21" customHeight="1" x14ac:dyDescent="0.25">
      <c r="A54" s="117">
        <v>46615</v>
      </c>
      <c r="B54" s="49">
        <f t="shared" si="18"/>
        <v>46621</v>
      </c>
      <c r="C54" s="179">
        <f>SUMIFS('Daily Log'!$C$7:$C$377,'Daily Log'!$V$7:$V$377,$A54)</f>
        <v>0</v>
      </c>
      <c r="D54" s="179">
        <f>SUMIFS('Daily Log'!$D$7:$D$377,'Daily Log'!$V$7:$V$377,$A54)</f>
        <v>0</v>
      </c>
      <c r="E54" s="179">
        <f>SUMIFS('Daily Log'!$E$7:$E$377,'Daily Log'!$V$7:$V$377,$A54)</f>
        <v>0</v>
      </c>
      <c r="F54" s="179">
        <f>SUMIFS('Daily Log'!$F$7:$F$377,'Daily Log'!$V$7:$V$377,$A54)</f>
        <v>0</v>
      </c>
      <c r="G54" s="131">
        <f>SUMIFS('Daily Log'!$U$7:$U$377,'Daily Log'!$V$7:$V$377,$A54)</f>
        <v>0</v>
      </c>
      <c r="H54" s="179">
        <f>SUMIFS('Daily Log'!$S$7:$S$377,'Daily Log'!$V$7:$V$377,$A54)</f>
        <v>0</v>
      </c>
      <c r="I54" s="83" t="str">
        <f t="shared" si="19"/>
        <v/>
      </c>
      <c r="J54" s="65" t="str">
        <f t="shared" si="20"/>
        <v/>
      </c>
      <c r="K54" s="132" t="str">
        <f t="shared" si="21"/>
        <v/>
      </c>
      <c r="L54" s="51">
        <f>SUMIFS('Daily Log'!$G$7:$G$377,'Daily Log'!$V$7:$V$377,$A54)</f>
        <v>0</v>
      </c>
      <c r="M54" s="51">
        <f>SUMIFS('Daily Log'!$H$7:$H$377,'Daily Log'!$V$7:$V$377,$A54)</f>
        <v>0</v>
      </c>
      <c r="N54" s="51">
        <f>SUMIFS('Daily Log'!$I$7:$I$377,'Daily Log'!$V$7:$V$377,$A54)</f>
        <v>0</v>
      </c>
      <c r="O54" s="51">
        <f>SUMIFS('Daily Log'!$J$7:$J$377,'Daily Log'!$V$7:$V$377,$A54)</f>
        <v>0</v>
      </c>
      <c r="P54" s="51">
        <f>SUMIFS('Daily Log'!$K$7:$K$377,'Daily Log'!$V$7:$V$377,$A54)</f>
        <v>0</v>
      </c>
      <c r="Q54" s="51">
        <f>SUMIFS('Daily Log'!$L$7:$L$377,'Daily Log'!$V$7:$V$377,$A54)</f>
        <v>0</v>
      </c>
      <c r="R54" s="51">
        <f>SUMIFS('Daily Log'!$M$7:$M$377,'Daily Log'!$V$7:$V$377,$A54)</f>
        <v>0</v>
      </c>
      <c r="S54" s="51">
        <f>SUMIFS('Daily Log'!$N$7:$N$377,'Daily Log'!$V$7:$V$377,$A54)</f>
        <v>0</v>
      </c>
      <c r="T54" s="51">
        <f>SUMIFS('Daily Log'!$O$7:$O$377,'Daily Log'!$V$7:$V$377,$A54)</f>
        <v>0</v>
      </c>
      <c r="U54" s="51">
        <f>SUMIFS('Daily Log'!$P$7:$P$377,'Daily Log'!$V$7:$V$377,$A54)</f>
        <v>0</v>
      </c>
      <c r="V54" s="51">
        <f>SUMIFS('Daily Log'!$Q$7:$Q$377,'Daily Log'!$V$7:$V$377,$A54)</f>
        <v>0</v>
      </c>
      <c r="W54" s="51">
        <f>SUMIFS('Daily Log'!$R$7:$R$377,'Daily Log'!$V$7:$V$377,$A54)</f>
        <v>0</v>
      </c>
      <c r="X54" s="131">
        <f t="shared" si="22"/>
        <v>0</v>
      </c>
      <c r="Y54" s="131">
        <f t="shared" si="23"/>
        <v>0</v>
      </c>
      <c r="Z54" s="131">
        <f t="shared" si="24"/>
        <v>0</v>
      </c>
      <c r="AA54" s="131">
        <f t="shared" si="25"/>
        <v>0</v>
      </c>
      <c r="AB54" s="131">
        <f t="shared" si="26"/>
        <v>0</v>
      </c>
      <c r="AC54" s="131">
        <f t="shared" si="27"/>
        <v>0</v>
      </c>
      <c r="AD54" s="131">
        <f t="shared" si="28"/>
        <v>0</v>
      </c>
      <c r="AE54" s="131">
        <f t="shared" si="29"/>
        <v>0</v>
      </c>
      <c r="AF54" s="131">
        <f t="shared" si="30"/>
        <v>0</v>
      </c>
      <c r="AG54" s="131">
        <f t="shared" si="31"/>
        <v>0</v>
      </c>
      <c r="AH54" s="131">
        <f t="shared" si="32"/>
        <v>0</v>
      </c>
      <c r="AI54" s="131">
        <f t="shared" si="33"/>
        <v>0</v>
      </c>
      <c r="AJ54" s="131">
        <f t="shared" si="34"/>
        <v>0</v>
      </c>
      <c r="AK54" s="143">
        <f t="shared" si="35"/>
        <v>0</v>
      </c>
      <c r="AL54" s="125"/>
    </row>
    <row r="55" spans="1:38" s="127" customFormat="1" ht="21" customHeight="1" x14ac:dyDescent="0.25">
      <c r="A55" s="117">
        <v>46622</v>
      </c>
      <c r="B55" s="49">
        <f t="shared" si="18"/>
        <v>46628</v>
      </c>
      <c r="C55" s="179">
        <f>SUMIFS('Daily Log'!$C$7:$C$377,'Daily Log'!$V$7:$V$377,$A55)</f>
        <v>0</v>
      </c>
      <c r="D55" s="179">
        <f>SUMIFS('Daily Log'!$D$7:$D$377,'Daily Log'!$V$7:$V$377,$A55)</f>
        <v>0</v>
      </c>
      <c r="E55" s="179">
        <f>SUMIFS('Daily Log'!$E$7:$E$377,'Daily Log'!$V$7:$V$377,$A55)</f>
        <v>0</v>
      </c>
      <c r="F55" s="179">
        <f>SUMIFS('Daily Log'!$F$7:$F$377,'Daily Log'!$V$7:$V$377,$A55)</f>
        <v>0</v>
      </c>
      <c r="G55" s="131">
        <f>SUMIFS('Daily Log'!$U$7:$U$377,'Daily Log'!$V$7:$V$377,$A55)</f>
        <v>0</v>
      </c>
      <c r="H55" s="179">
        <f>SUMIFS('Daily Log'!$S$7:$S$377,'Daily Log'!$V$7:$V$377,$A55)</f>
        <v>0</v>
      </c>
      <c r="I55" s="83" t="str">
        <f t="shared" si="19"/>
        <v/>
      </c>
      <c r="J55" s="65" t="str">
        <f t="shared" si="20"/>
        <v/>
      </c>
      <c r="K55" s="132" t="str">
        <f t="shared" si="21"/>
        <v/>
      </c>
      <c r="L55" s="51">
        <f>SUMIFS('Daily Log'!$G$7:$G$377,'Daily Log'!$V$7:$V$377,$A55)</f>
        <v>0</v>
      </c>
      <c r="M55" s="51">
        <f>SUMIFS('Daily Log'!$H$7:$H$377,'Daily Log'!$V$7:$V$377,$A55)</f>
        <v>0</v>
      </c>
      <c r="N55" s="51">
        <f>SUMIFS('Daily Log'!$I$7:$I$377,'Daily Log'!$V$7:$V$377,$A55)</f>
        <v>0</v>
      </c>
      <c r="O55" s="51">
        <f>SUMIFS('Daily Log'!$J$7:$J$377,'Daily Log'!$V$7:$V$377,$A55)</f>
        <v>0</v>
      </c>
      <c r="P55" s="51">
        <f>SUMIFS('Daily Log'!$K$7:$K$377,'Daily Log'!$V$7:$V$377,$A55)</f>
        <v>0</v>
      </c>
      <c r="Q55" s="51">
        <f>SUMIFS('Daily Log'!$L$7:$L$377,'Daily Log'!$V$7:$V$377,$A55)</f>
        <v>0</v>
      </c>
      <c r="R55" s="51">
        <f>SUMIFS('Daily Log'!$M$7:$M$377,'Daily Log'!$V$7:$V$377,$A55)</f>
        <v>0</v>
      </c>
      <c r="S55" s="51">
        <f>SUMIFS('Daily Log'!$N$7:$N$377,'Daily Log'!$V$7:$V$377,$A55)</f>
        <v>0</v>
      </c>
      <c r="T55" s="51">
        <f>SUMIFS('Daily Log'!$O$7:$O$377,'Daily Log'!$V$7:$V$377,$A55)</f>
        <v>0</v>
      </c>
      <c r="U55" s="51">
        <f>SUMIFS('Daily Log'!$P$7:$P$377,'Daily Log'!$V$7:$V$377,$A55)</f>
        <v>0</v>
      </c>
      <c r="V55" s="51">
        <f>SUMIFS('Daily Log'!$Q$7:$Q$377,'Daily Log'!$V$7:$V$377,$A55)</f>
        <v>0</v>
      </c>
      <c r="W55" s="51">
        <f>SUMIFS('Daily Log'!$R$7:$R$377,'Daily Log'!$V$7:$V$377,$A55)</f>
        <v>0</v>
      </c>
      <c r="X55" s="131">
        <f t="shared" si="22"/>
        <v>0</v>
      </c>
      <c r="Y55" s="131">
        <f t="shared" si="23"/>
        <v>0</v>
      </c>
      <c r="Z55" s="131">
        <f t="shared" si="24"/>
        <v>0</v>
      </c>
      <c r="AA55" s="131">
        <f t="shared" si="25"/>
        <v>0</v>
      </c>
      <c r="AB55" s="131">
        <f t="shared" si="26"/>
        <v>0</v>
      </c>
      <c r="AC55" s="131">
        <f t="shared" si="27"/>
        <v>0</v>
      </c>
      <c r="AD55" s="131">
        <f t="shared" si="28"/>
        <v>0</v>
      </c>
      <c r="AE55" s="131">
        <f t="shared" si="29"/>
        <v>0</v>
      </c>
      <c r="AF55" s="131">
        <f t="shared" si="30"/>
        <v>0</v>
      </c>
      <c r="AG55" s="131">
        <f t="shared" si="31"/>
        <v>0</v>
      </c>
      <c r="AH55" s="131">
        <f t="shared" si="32"/>
        <v>0</v>
      </c>
      <c r="AI55" s="131">
        <f t="shared" si="33"/>
        <v>0</v>
      </c>
      <c r="AJ55" s="131">
        <f t="shared" si="34"/>
        <v>0</v>
      </c>
      <c r="AK55" s="143">
        <f t="shared" si="35"/>
        <v>0</v>
      </c>
      <c r="AL55" s="125"/>
    </row>
    <row r="56" spans="1:38" s="127" customFormat="1" ht="21" customHeight="1" x14ac:dyDescent="0.25">
      <c r="A56" s="117">
        <v>46629</v>
      </c>
      <c r="B56" s="49">
        <f t="shared" si="18"/>
        <v>46635</v>
      </c>
      <c r="C56" s="179">
        <f>SUMIFS('Daily Log'!$C$7:$C$377,'Daily Log'!$V$7:$V$377,$A56)</f>
        <v>0</v>
      </c>
      <c r="D56" s="179">
        <f>SUMIFS('Daily Log'!$D$7:$D$377,'Daily Log'!$V$7:$V$377,$A56)</f>
        <v>0</v>
      </c>
      <c r="E56" s="179">
        <f>SUMIFS('Daily Log'!$E$7:$E$377,'Daily Log'!$V$7:$V$377,$A56)</f>
        <v>0</v>
      </c>
      <c r="F56" s="179">
        <f>SUMIFS('Daily Log'!$F$7:$F$377,'Daily Log'!$V$7:$V$377,$A56)</f>
        <v>0</v>
      </c>
      <c r="G56" s="131">
        <f>SUMIFS('Daily Log'!$U$7:$U$377,'Daily Log'!$V$7:$V$377,$A56)</f>
        <v>0</v>
      </c>
      <c r="H56" s="179">
        <f>SUMIFS('Daily Log'!$S$7:$S$377,'Daily Log'!$V$7:$V$377,$A56)</f>
        <v>0</v>
      </c>
      <c r="I56" s="83" t="str">
        <f t="shared" si="19"/>
        <v/>
      </c>
      <c r="J56" s="65" t="str">
        <f t="shared" si="20"/>
        <v/>
      </c>
      <c r="K56" s="132" t="str">
        <f t="shared" si="21"/>
        <v/>
      </c>
      <c r="L56" s="51">
        <f>SUMIFS('Daily Log'!$G$7:$G$377,'Daily Log'!$V$7:$V$377,$A56)</f>
        <v>0</v>
      </c>
      <c r="M56" s="51">
        <f>SUMIFS('Daily Log'!$H$7:$H$377,'Daily Log'!$V$7:$V$377,$A56)</f>
        <v>0</v>
      </c>
      <c r="N56" s="51">
        <f>SUMIFS('Daily Log'!$I$7:$I$377,'Daily Log'!$V$7:$V$377,$A56)</f>
        <v>0</v>
      </c>
      <c r="O56" s="51">
        <f>SUMIFS('Daily Log'!$J$7:$J$377,'Daily Log'!$V$7:$V$377,$A56)</f>
        <v>0</v>
      </c>
      <c r="P56" s="51">
        <f>SUMIFS('Daily Log'!$K$7:$K$377,'Daily Log'!$V$7:$V$377,$A56)</f>
        <v>0</v>
      </c>
      <c r="Q56" s="51">
        <f>SUMIFS('Daily Log'!$L$7:$L$377,'Daily Log'!$V$7:$V$377,$A56)</f>
        <v>0</v>
      </c>
      <c r="R56" s="51">
        <f>SUMIFS('Daily Log'!$M$7:$M$377,'Daily Log'!$V$7:$V$377,$A56)</f>
        <v>0</v>
      </c>
      <c r="S56" s="51">
        <f>SUMIFS('Daily Log'!$N$7:$N$377,'Daily Log'!$V$7:$V$377,$A56)</f>
        <v>0</v>
      </c>
      <c r="T56" s="51">
        <f>SUMIFS('Daily Log'!$O$7:$O$377,'Daily Log'!$V$7:$V$377,$A56)</f>
        <v>0</v>
      </c>
      <c r="U56" s="51">
        <f>SUMIFS('Daily Log'!$P$7:$P$377,'Daily Log'!$V$7:$V$377,$A56)</f>
        <v>0</v>
      </c>
      <c r="V56" s="51">
        <f>SUMIFS('Daily Log'!$Q$7:$Q$377,'Daily Log'!$V$7:$V$377,$A56)</f>
        <v>0</v>
      </c>
      <c r="W56" s="51">
        <f>SUMIFS('Daily Log'!$R$7:$R$377,'Daily Log'!$V$7:$V$377,$A56)</f>
        <v>0</v>
      </c>
      <c r="X56" s="131">
        <f t="shared" si="22"/>
        <v>0</v>
      </c>
      <c r="Y56" s="131">
        <f t="shared" si="23"/>
        <v>0</v>
      </c>
      <c r="Z56" s="131">
        <f t="shared" si="24"/>
        <v>0</v>
      </c>
      <c r="AA56" s="131">
        <f t="shared" si="25"/>
        <v>0</v>
      </c>
      <c r="AB56" s="131">
        <f t="shared" si="26"/>
        <v>0</v>
      </c>
      <c r="AC56" s="131">
        <f t="shared" si="27"/>
        <v>0</v>
      </c>
      <c r="AD56" s="131">
        <f t="shared" si="28"/>
        <v>0</v>
      </c>
      <c r="AE56" s="131">
        <f t="shared" si="29"/>
        <v>0</v>
      </c>
      <c r="AF56" s="131">
        <f t="shared" si="30"/>
        <v>0</v>
      </c>
      <c r="AG56" s="131">
        <f t="shared" si="31"/>
        <v>0</v>
      </c>
      <c r="AH56" s="131">
        <f t="shared" si="32"/>
        <v>0</v>
      </c>
      <c r="AI56" s="131">
        <f t="shared" si="33"/>
        <v>0</v>
      </c>
      <c r="AJ56" s="131">
        <f t="shared" si="34"/>
        <v>0</v>
      </c>
      <c r="AK56" s="143">
        <f t="shared" si="35"/>
        <v>0</v>
      </c>
      <c r="AL56" s="125"/>
    </row>
    <row r="57" spans="1:38" s="127" customFormat="1" ht="21" customHeight="1" x14ac:dyDescent="0.25">
      <c r="A57" s="117">
        <v>46636</v>
      </c>
      <c r="B57" s="49">
        <f t="shared" si="18"/>
        <v>46642</v>
      </c>
      <c r="C57" s="179">
        <f>SUMIFS('Daily Log'!$C$7:$C$377,'Daily Log'!$V$7:$V$377,$A57)</f>
        <v>0</v>
      </c>
      <c r="D57" s="179">
        <f>SUMIFS('Daily Log'!$D$7:$D$377,'Daily Log'!$V$7:$V$377,$A57)</f>
        <v>0</v>
      </c>
      <c r="E57" s="179">
        <f>SUMIFS('Daily Log'!$E$7:$E$377,'Daily Log'!$V$7:$V$377,$A57)</f>
        <v>0</v>
      </c>
      <c r="F57" s="179">
        <f>SUMIFS('Daily Log'!$F$7:$F$377,'Daily Log'!$V$7:$V$377,$A57)</f>
        <v>0</v>
      </c>
      <c r="G57" s="131">
        <f>SUMIFS('Daily Log'!$U$7:$U$377,'Daily Log'!$V$7:$V$377,$A57)</f>
        <v>0</v>
      </c>
      <c r="H57" s="179">
        <f>SUMIFS('Daily Log'!$S$7:$S$377,'Daily Log'!$V$7:$V$377,$A57)</f>
        <v>0</v>
      </c>
      <c r="I57" s="83" t="str">
        <f t="shared" si="19"/>
        <v/>
      </c>
      <c r="J57" s="65" t="str">
        <f t="shared" si="20"/>
        <v/>
      </c>
      <c r="K57" s="132" t="str">
        <f t="shared" si="21"/>
        <v/>
      </c>
      <c r="L57" s="51">
        <f>SUMIFS('Daily Log'!$G$7:$G$377,'Daily Log'!$V$7:$V$377,$A57)</f>
        <v>0</v>
      </c>
      <c r="M57" s="51">
        <f>SUMIFS('Daily Log'!$H$7:$H$377,'Daily Log'!$V$7:$V$377,$A57)</f>
        <v>0</v>
      </c>
      <c r="N57" s="51">
        <f>SUMIFS('Daily Log'!$I$7:$I$377,'Daily Log'!$V$7:$V$377,$A57)</f>
        <v>0</v>
      </c>
      <c r="O57" s="51">
        <f>SUMIFS('Daily Log'!$J$7:$J$377,'Daily Log'!$V$7:$V$377,$A57)</f>
        <v>0</v>
      </c>
      <c r="P57" s="51">
        <f>SUMIFS('Daily Log'!$K$7:$K$377,'Daily Log'!$V$7:$V$377,$A57)</f>
        <v>0</v>
      </c>
      <c r="Q57" s="51">
        <f>SUMIFS('Daily Log'!$L$7:$L$377,'Daily Log'!$V$7:$V$377,$A57)</f>
        <v>0</v>
      </c>
      <c r="R57" s="51">
        <f>SUMIFS('Daily Log'!$M$7:$M$377,'Daily Log'!$V$7:$V$377,$A57)</f>
        <v>0</v>
      </c>
      <c r="S57" s="51">
        <f>SUMIFS('Daily Log'!$N$7:$N$377,'Daily Log'!$V$7:$V$377,$A57)</f>
        <v>0</v>
      </c>
      <c r="T57" s="51">
        <f>SUMIFS('Daily Log'!$O$7:$O$377,'Daily Log'!$V$7:$V$377,$A57)</f>
        <v>0</v>
      </c>
      <c r="U57" s="51">
        <f>SUMIFS('Daily Log'!$P$7:$P$377,'Daily Log'!$V$7:$V$377,$A57)</f>
        <v>0</v>
      </c>
      <c r="V57" s="51">
        <f>SUMIFS('Daily Log'!$Q$7:$Q$377,'Daily Log'!$V$7:$V$377,$A57)</f>
        <v>0</v>
      </c>
      <c r="W57" s="51">
        <f>SUMIFS('Daily Log'!$R$7:$R$377,'Daily Log'!$V$7:$V$377,$A57)</f>
        <v>0</v>
      </c>
      <c r="X57" s="131">
        <f t="shared" si="22"/>
        <v>0</v>
      </c>
      <c r="Y57" s="131">
        <f t="shared" si="23"/>
        <v>0</v>
      </c>
      <c r="Z57" s="131">
        <f t="shared" si="24"/>
        <v>0</v>
      </c>
      <c r="AA57" s="131">
        <f t="shared" si="25"/>
        <v>0</v>
      </c>
      <c r="AB57" s="131">
        <f t="shared" si="26"/>
        <v>0</v>
      </c>
      <c r="AC57" s="131">
        <f t="shared" si="27"/>
        <v>0</v>
      </c>
      <c r="AD57" s="131">
        <f t="shared" si="28"/>
        <v>0</v>
      </c>
      <c r="AE57" s="131">
        <f t="shared" si="29"/>
        <v>0</v>
      </c>
      <c r="AF57" s="131">
        <f t="shared" si="30"/>
        <v>0</v>
      </c>
      <c r="AG57" s="131">
        <f t="shared" si="31"/>
        <v>0</v>
      </c>
      <c r="AH57" s="131">
        <f t="shared" si="32"/>
        <v>0</v>
      </c>
      <c r="AI57" s="131">
        <f t="shared" si="33"/>
        <v>0</v>
      </c>
      <c r="AJ57" s="131">
        <f t="shared" si="34"/>
        <v>0</v>
      </c>
      <c r="AK57" s="143">
        <f t="shared" si="35"/>
        <v>0</v>
      </c>
      <c r="AL57" s="125"/>
    </row>
    <row r="58" spans="1:38" s="127" customFormat="1" ht="21" customHeight="1" x14ac:dyDescent="0.25">
      <c r="A58" s="117">
        <v>46643</v>
      </c>
      <c r="B58" s="49">
        <f t="shared" si="18"/>
        <v>46649</v>
      </c>
      <c r="C58" s="179">
        <f>SUMIFS('Daily Log'!$C$7:$C$377,'Daily Log'!$V$7:$V$377,$A58)</f>
        <v>0</v>
      </c>
      <c r="D58" s="179">
        <f>SUMIFS('Daily Log'!$D$7:$D$377,'Daily Log'!$V$7:$V$377,$A58)</f>
        <v>0</v>
      </c>
      <c r="E58" s="179">
        <f>SUMIFS('Daily Log'!$E$7:$E$377,'Daily Log'!$V$7:$V$377,$A58)</f>
        <v>0</v>
      </c>
      <c r="F58" s="179">
        <f>SUMIFS('Daily Log'!$F$7:$F$377,'Daily Log'!$V$7:$V$377,$A58)</f>
        <v>0</v>
      </c>
      <c r="G58" s="131">
        <f>SUMIFS('Daily Log'!$U$7:$U$377,'Daily Log'!$V$7:$V$377,$A58)</f>
        <v>0</v>
      </c>
      <c r="H58" s="179">
        <f>SUMIFS('Daily Log'!$S$7:$S$377,'Daily Log'!$V$7:$V$377,$A58)</f>
        <v>0</v>
      </c>
      <c r="I58" s="83" t="str">
        <f t="shared" si="19"/>
        <v/>
      </c>
      <c r="J58" s="65" t="str">
        <f t="shared" si="20"/>
        <v/>
      </c>
      <c r="K58" s="132" t="str">
        <f t="shared" si="21"/>
        <v/>
      </c>
      <c r="L58" s="51">
        <f>SUMIFS('Daily Log'!$G$7:$G$377,'Daily Log'!$V$7:$V$377,$A58)</f>
        <v>0</v>
      </c>
      <c r="M58" s="51">
        <f>SUMIFS('Daily Log'!$H$7:$H$377,'Daily Log'!$V$7:$V$377,$A58)</f>
        <v>0</v>
      </c>
      <c r="N58" s="51">
        <f>SUMIFS('Daily Log'!$I$7:$I$377,'Daily Log'!$V$7:$V$377,$A58)</f>
        <v>0</v>
      </c>
      <c r="O58" s="51">
        <f>SUMIFS('Daily Log'!$J$7:$J$377,'Daily Log'!$V$7:$V$377,$A58)</f>
        <v>0</v>
      </c>
      <c r="P58" s="51">
        <f>SUMIFS('Daily Log'!$K$7:$K$377,'Daily Log'!$V$7:$V$377,$A58)</f>
        <v>0</v>
      </c>
      <c r="Q58" s="51">
        <f>SUMIFS('Daily Log'!$L$7:$L$377,'Daily Log'!$V$7:$V$377,$A58)</f>
        <v>0</v>
      </c>
      <c r="R58" s="51">
        <f>SUMIFS('Daily Log'!$M$7:$M$377,'Daily Log'!$V$7:$V$377,$A58)</f>
        <v>0</v>
      </c>
      <c r="S58" s="51">
        <f>SUMIFS('Daily Log'!$N$7:$N$377,'Daily Log'!$V$7:$V$377,$A58)</f>
        <v>0</v>
      </c>
      <c r="T58" s="51">
        <f>SUMIFS('Daily Log'!$O$7:$O$377,'Daily Log'!$V$7:$V$377,$A58)</f>
        <v>0</v>
      </c>
      <c r="U58" s="51">
        <f>SUMIFS('Daily Log'!$P$7:$P$377,'Daily Log'!$V$7:$V$377,$A58)</f>
        <v>0</v>
      </c>
      <c r="V58" s="51">
        <f>SUMIFS('Daily Log'!$Q$7:$Q$377,'Daily Log'!$V$7:$V$377,$A58)</f>
        <v>0</v>
      </c>
      <c r="W58" s="51">
        <f>SUMIFS('Daily Log'!$R$7:$R$377,'Daily Log'!$V$7:$V$377,$A58)</f>
        <v>0</v>
      </c>
      <c r="X58" s="131">
        <f t="shared" si="22"/>
        <v>0</v>
      </c>
      <c r="Y58" s="131">
        <f t="shared" si="23"/>
        <v>0</v>
      </c>
      <c r="Z58" s="131">
        <f t="shared" si="24"/>
        <v>0</v>
      </c>
      <c r="AA58" s="131">
        <f t="shared" si="25"/>
        <v>0</v>
      </c>
      <c r="AB58" s="131">
        <f t="shared" si="26"/>
        <v>0</v>
      </c>
      <c r="AC58" s="131">
        <f t="shared" si="27"/>
        <v>0</v>
      </c>
      <c r="AD58" s="131">
        <f t="shared" si="28"/>
        <v>0</v>
      </c>
      <c r="AE58" s="131">
        <f t="shared" si="29"/>
        <v>0</v>
      </c>
      <c r="AF58" s="131">
        <f t="shared" si="30"/>
        <v>0</v>
      </c>
      <c r="AG58" s="131">
        <f t="shared" si="31"/>
        <v>0</v>
      </c>
      <c r="AH58" s="131">
        <f t="shared" si="32"/>
        <v>0</v>
      </c>
      <c r="AI58" s="131">
        <f t="shared" si="33"/>
        <v>0</v>
      </c>
      <c r="AJ58" s="131">
        <f t="shared" si="34"/>
        <v>0</v>
      </c>
      <c r="AK58" s="143">
        <f t="shared" si="35"/>
        <v>0</v>
      </c>
      <c r="AL58" s="125"/>
    </row>
    <row r="59" spans="1:38" s="127" customFormat="1" ht="21" customHeight="1" x14ac:dyDescent="0.25">
      <c r="A59" s="116">
        <v>46650</v>
      </c>
      <c r="B59" s="42">
        <f t="shared" si="18"/>
        <v>46656</v>
      </c>
      <c r="C59" s="180">
        <f>SUMIFS('Daily Log'!$C$7:$C$377,'Daily Log'!$V$7:$V$377,$A59)</f>
        <v>0</v>
      </c>
      <c r="D59" s="180">
        <f>SUMIFS('Daily Log'!$D$7:$D$377,'Daily Log'!$V$7:$V$377,$A59)</f>
        <v>0</v>
      </c>
      <c r="E59" s="180">
        <f>SUMIFS('Daily Log'!$E$7:$E$377,'Daily Log'!$V$7:$V$377,$A59)</f>
        <v>0</v>
      </c>
      <c r="F59" s="180">
        <f>SUMIFS('Daily Log'!$F$7:$F$377,'Daily Log'!$V$7:$V$377,$A59)</f>
        <v>0</v>
      </c>
      <c r="G59" s="134">
        <f>SUMIFS('Daily Log'!$U$7:$U$377,'Daily Log'!$V$7:$V$377,$A59)</f>
        <v>0</v>
      </c>
      <c r="H59" s="180">
        <f>SUMIFS('Daily Log'!$S$7:$S$377,'Daily Log'!$V$7:$V$377,$A59)</f>
        <v>0</v>
      </c>
      <c r="I59" s="82" t="str">
        <f t="shared" si="19"/>
        <v/>
      </c>
      <c r="J59" s="73" t="str">
        <f t="shared" si="20"/>
        <v/>
      </c>
      <c r="K59" s="135" t="str">
        <f t="shared" si="21"/>
        <v/>
      </c>
      <c r="L59" s="46">
        <f>SUMIFS('Daily Log'!$G$7:$G$377,'Daily Log'!$V$7:$V$377,$A59)</f>
        <v>0</v>
      </c>
      <c r="M59" s="46">
        <f>SUMIFS('Daily Log'!$H$7:$H$377,'Daily Log'!$V$7:$V$377,$A59)</f>
        <v>0</v>
      </c>
      <c r="N59" s="46">
        <f>SUMIFS('Daily Log'!$I$7:$I$377,'Daily Log'!$V$7:$V$377,$A59)</f>
        <v>0</v>
      </c>
      <c r="O59" s="46">
        <f>SUMIFS('Daily Log'!$J$7:$J$377,'Daily Log'!$V$7:$V$377,$A59)</f>
        <v>0</v>
      </c>
      <c r="P59" s="46">
        <f>SUMIFS('Daily Log'!$K$7:$K$377,'Daily Log'!$V$7:$V$377,$A59)</f>
        <v>0</v>
      </c>
      <c r="Q59" s="46">
        <f>SUMIFS('Daily Log'!$L$7:$L$377,'Daily Log'!$V$7:$V$377,$A59)</f>
        <v>0</v>
      </c>
      <c r="R59" s="46">
        <f>SUMIFS('Daily Log'!$M$7:$M$377,'Daily Log'!$V$7:$V$377,$A59)</f>
        <v>0</v>
      </c>
      <c r="S59" s="46">
        <f>SUMIFS('Daily Log'!$N$7:$N$377,'Daily Log'!$V$7:$V$377,$A59)</f>
        <v>0</v>
      </c>
      <c r="T59" s="46">
        <f>SUMIFS('Daily Log'!$O$7:$O$377,'Daily Log'!$V$7:$V$377,$A59)</f>
        <v>0</v>
      </c>
      <c r="U59" s="46">
        <f>SUMIFS('Daily Log'!$P$7:$P$377,'Daily Log'!$V$7:$V$377,$A59)</f>
        <v>0</v>
      </c>
      <c r="V59" s="46">
        <f>SUMIFS('Daily Log'!$Q$7:$Q$377,'Daily Log'!$V$7:$V$377,$A59)</f>
        <v>0</v>
      </c>
      <c r="W59" s="46">
        <f>SUMIFS('Daily Log'!$R$7:$R$377,'Daily Log'!$V$7:$V$377,$A59)</f>
        <v>0</v>
      </c>
      <c r="X59" s="134">
        <f t="shared" si="22"/>
        <v>0</v>
      </c>
      <c r="Y59" s="134">
        <f t="shared" si="23"/>
        <v>0</v>
      </c>
      <c r="Z59" s="134">
        <f t="shared" si="24"/>
        <v>0</v>
      </c>
      <c r="AA59" s="134">
        <f t="shared" si="25"/>
        <v>0</v>
      </c>
      <c r="AB59" s="134">
        <f t="shared" si="26"/>
        <v>0</v>
      </c>
      <c r="AC59" s="134">
        <f t="shared" si="27"/>
        <v>0</v>
      </c>
      <c r="AD59" s="134">
        <f t="shared" si="28"/>
        <v>0</v>
      </c>
      <c r="AE59" s="134">
        <f t="shared" si="29"/>
        <v>0</v>
      </c>
      <c r="AF59" s="134">
        <f t="shared" si="30"/>
        <v>0</v>
      </c>
      <c r="AG59" s="134">
        <f t="shared" si="31"/>
        <v>0</v>
      </c>
      <c r="AH59" s="134">
        <f t="shared" si="32"/>
        <v>0</v>
      </c>
      <c r="AI59" s="134">
        <f t="shared" si="33"/>
        <v>0</v>
      </c>
      <c r="AJ59" s="134">
        <f t="shared" si="34"/>
        <v>0</v>
      </c>
      <c r="AK59" s="146">
        <f t="shared" si="35"/>
        <v>0</v>
      </c>
      <c r="AL59" s="137"/>
    </row>
  </sheetData>
  <mergeCells count="10">
    <mergeCell ref="H1:I1"/>
    <mergeCell ref="A1:B1"/>
    <mergeCell ref="D1:E1"/>
    <mergeCell ref="F1:G1"/>
    <mergeCell ref="L1:M1"/>
    <mergeCell ref="N1:O1"/>
    <mergeCell ref="P1:X1"/>
    <mergeCell ref="Y1:Z1"/>
    <mergeCell ref="AA1:AJ1"/>
    <mergeCell ref="AK1:AL1"/>
  </mergeCells>
  <conditionalFormatting sqref="K7:K59">
    <cfRule type="expression" dxfId="4" priority="2">
      <formula>LEN(K7)&gt;0</formula>
    </cfRule>
  </conditionalFormatting>
  <hyperlinks>
    <hyperlink ref="C1" location="'Home'!A1" tooltip="Go to Home" display="Home" xr:uid="{DEFFA1E6-B7C3-48C2-AA6A-598C2ED6D7D6}"/>
    <hyperlink ref="D1" location="'Daily Log'!A1" tooltip="Go to Daily Log" display="Daily Log" xr:uid="{92180EDC-8482-47E4-B196-71633F023B6F}"/>
    <hyperlink ref="F1" location="'Cash Ledger'!A1" tooltip="Go to Cash Ledger" display="Cash Ledger" xr:uid="{A1C04F76-CDD0-4E61-B647-594F386E1431}"/>
    <hyperlink ref="H1" location="'Weekly Pay'!A1" tooltip="Go to Weekly Pay" display="Weekly Pay" xr:uid="{1DCA441F-E92E-4205-B2A1-861B97A0AF8A}"/>
    <hyperlink ref="K1" location="'Workers'!A1" tooltip="Go to Workers" display="Workers" xr:uid="{74348190-8A90-41B0-A784-E6B23C58A548}"/>
    <hyperlink ref="L1" location="'Settings'!A1" tooltip="Go to Settings" display="Settings" xr:uid="{D2E3C041-DB3A-42EF-A6A1-7C8330D504CC}"/>
    <hyperlink ref="N1" location="'Guide'!A1" tooltip="Go to Guide" display="Guide" xr:uid="{4D820EA0-1698-49F7-9E4E-A749EF5170AA}"/>
    <hyperlink ref="Y1" location="'Worker History'!A1" tooltip="Go to Worker History" display="History" xr:uid="{073DD6A1-72DE-4F4D-9AF9-DCC1B901324B}"/>
    <hyperlink ref="AK1" location="'Checks'!A1" tooltip="Go to Checks" display="Checks" xr:uid="{A9E59D7E-2134-4610-A8F8-6F5E31445FA3}"/>
    <hyperlink ref="J1" location="'Payslip'!A1" tooltip="Go to Payslip" display="Payslip" xr:uid="{99F8311A-A160-4794-89A7-6A983FD1BB05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BD5E1"/>
  </sheetPr>
  <dimension ref="A1:AN20"/>
  <sheetViews>
    <sheetView showGridLines="0" zoomScaleNormal="100" workbookViewId="0">
      <pane ySplit="1" topLeftCell="A2" activePane="bottomLeft" state="frozen"/>
      <selection pane="bottomLeft" activeCell="B13" sqref="B13"/>
    </sheetView>
  </sheetViews>
  <sheetFormatPr defaultColWidth="8.5703125" defaultRowHeight="15" x14ac:dyDescent="0.25"/>
  <cols>
    <col min="1" max="1" width="2" customWidth="1"/>
    <col min="2" max="2" width="58" customWidth="1"/>
    <col min="3" max="3" width="22" customWidth="1"/>
    <col min="4" max="4" width="50" customWidth="1"/>
  </cols>
  <sheetData>
    <row r="1" spans="1:40" s="1" customFormat="1" ht="30" customHeight="1" thickBot="1" x14ac:dyDescent="0.3">
      <c r="A1" s="185" t="s">
        <v>196</v>
      </c>
      <c r="B1" s="185"/>
      <c r="C1" s="29" t="s">
        <v>197</v>
      </c>
      <c r="D1" s="29" t="s">
        <v>9</v>
      </c>
      <c r="E1" s="181" t="s">
        <v>12</v>
      </c>
      <c r="F1" s="182"/>
      <c r="G1" s="182"/>
      <c r="H1" s="181" t="s">
        <v>67</v>
      </c>
      <c r="I1" s="182"/>
      <c r="J1" s="182"/>
      <c r="K1" s="181" t="s">
        <v>93</v>
      </c>
      <c r="L1" s="182"/>
      <c r="M1" s="181" t="s">
        <v>118</v>
      </c>
      <c r="N1" s="182"/>
      <c r="O1" s="181" t="s">
        <v>137</v>
      </c>
      <c r="P1" s="182"/>
      <c r="Q1" s="181" t="s">
        <v>198</v>
      </c>
      <c r="R1" s="182"/>
      <c r="S1" s="31" t="s">
        <v>199</v>
      </c>
      <c r="T1" s="183" t="s">
        <v>200</v>
      </c>
      <c r="U1" s="184"/>
      <c r="V1" s="183" t="s">
        <v>166</v>
      </c>
      <c r="W1" s="184"/>
      <c r="X1" s="205" t="s">
        <v>155</v>
      </c>
      <c r="Y1" s="205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0" ht="36" customHeight="1" thickTop="1" x14ac:dyDescent="0.45">
      <c r="A2" s="172" t="s">
        <v>155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  <c r="Y2" s="34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6.5" x14ac:dyDescent="0.3">
      <c r="A3" s="35" t="s">
        <v>156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6.5" x14ac:dyDescent="0.3">
      <c r="A4" s="3"/>
      <c r="B4" s="3"/>
      <c r="C4" s="36"/>
      <c r="D4" s="3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7.25" x14ac:dyDescent="0.3">
      <c r="A5" s="3"/>
      <c r="B5" s="103" t="s">
        <v>157</v>
      </c>
      <c r="C5" s="224" t="str">
        <f>IF(COUNTIF($C$8:$C$16,"OK")=9,"ALL CHECKS OK",(9-COUNTIF($C$8:$C$16,"OK"))&amp;" check(s) need attention")</f>
        <v>ALL CHECKS OK</v>
      </c>
      <c r="D5" s="224"/>
      <c r="E5" s="3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6.5" x14ac:dyDescent="0.3">
      <c r="A6" s="3"/>
      <c r="B6" s="36"/>
      <c r="C6" s="36"/>
      <c r="D6" s="3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21.75" customHeight="1" x14ac:dyDescent="0.3">
      <c r="A7" s="36"/>
      <c r="B7" s="58" t="s">
        <v>51</v>
      </c>
      <c r="C7" s="58" t="s">
        <v>158</v>
      </c>
      <c r="D7" s="58" t="s">
        <v>159</v>
      </c>
      <c r="E7" s="3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6.5" x14ac:dyDescent="0.3">
      <c r="A8" s="36"/>
      <c r="B8" s="105" t="s">
        <v>160</v>
      </c>
      <c r="C8" s="118" t="str">
        <f>IF((COUNTIF(Workers!$H$6:$H$17,"?*"))=0,"OK",(COUNTIF(Workers!$H$6:$H$17,"?*"))&amp;" to fix")</f>
        <v>OK</v>
      </c>
      <c r="D8" s="119" t="s">
        <v>118</v>
      </c>
      <c r="E8" s="3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6.5" x14ac:dyDescent="0.3">
      <c r="A9" s="36"/>
      <c r="B9" s="92" t="s">
        <v>161</v>
      </c>
      <c r="C9" s="86" t="str">
        <f>IF((COUNTIF('Daily Log'!$W$7:$W$377,"?*"))=0,"OK",(COUNTIF('Daily Log'!$W$7:$W$377,"?*"))&amp;" to fix")</f>
        <v>OK</v>
      </c>
      <c r="D9" s="57" t="s">
        <v>162</v>
      </c>
      <c r="E9" s="3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6.5" x14ac:dyDescent="0.3">
      <c r="A10" s="36"/>
      <c r="B10" s="92" t="s">
        <v>163</v>
      </c>
      <c r="C10" s="86" t="str">
        <f>IF((COUNTIF('Cash Ledger'!$M$7:$M$1006,"?*")-COUNTIF('Cash Ledger'!$M$7:$M$1006,"Warning*"))=0,"OK",(COUNTIF('Cash Ledger'!$M$7:$M$1006,"?*")-COUNTIF('Cash Ledger'!$M$7:$M$1006,"Warning*"))&amp;" to fix")</f>
        <v>OK</v>
      </c>
      <c r="D10" s="57" t="s">
        <v>164</v>
      </c>
      <c r="E10" s="3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6.5" x14ac:dyDescent="0.3">
      <c r="A11" s="36"/>
      <c r="B11" s="92" t="s">
        <v>165</v>
      </c>
      <c r="C11" s="86" t="str">
        <f>IF((COUNTIF(Weeks!$K$7:$K$59,"pot*"))=0,"OK",(COUNTIF(Weeks!$K$7:$K$59,"pot*"))&amp;" to fix")</f>
        <v>OK</v>
      </c>
      <c r="D11" s="57" t="s">
        <v>166</v>
      </c>
      <c r="E11" s="3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6.5" x14ac:dyDescent="0.3">
      <c r="A12" s="36"/>
      <c r="B12" s="92" t="s">
        <v>167</v>
      </c>
      <c r="C12" s="86" t="str">
        <f>IF((SUMPRODUCT(--(ABS(Weeks!$AK$7:$AK$59)&gt;12)))=0,"OK",(SUMPRODUCT(--(ABS(Weeks!$AK$7:$AK$59)&gt;12)))&amp;" to fix")</f>
        <v>OK</v>
      </c>
      <c r="D12" s="57" t="s">
        <v>166</v>
      </c>
      <c r="E12" s="36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6.5" x14ac:dyDescent="0.3">
      <c r="A13" s="36"/>
      <c r="B13" s="92" t="s">
        <v>168</v>
      </c>
      <c r="C13" s="86" t="str">
        <f>IF((IF(COUNTIF(RateValues,"&gt;0")=0,1,0))=0,"OK",(IF(COUNTIF(RateValues,"&gt;0")=0,1,0))&amp;" to fix")</f>
        <v>OK</v>
      </c>
      <c r="D13" s="57" t="s">
        <v>137</v>
      </c>
      <c r="E13" s="3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6.5" x14ac:dyDescent="0.3">
      <c r="A14" s="36"/>
      <c r="B14" s="92" t="s">
        <v>169</v>
      </c>
      <c r="C14" s="86" t="str">
        <f>IF((SUMPRODUCT((Settings!$B$14:$B$32&lt;&gt;"")*(Settings!$B$14:$B$32&lt;=Settings!$B$13:$B$31)))=0,"OK",(SUMPRODUCT((Settings!$B$14:$B$32&lt;&gt;"")*(Settings!$B$14:$B$32&lt;=Settings!$B$13:$B$31)))&amp;" to fix")</f>
        <v>OK</v>
      </c>
      <c r="D14" s="57" t="s">
        <v>137</v>
      </c>
      <c r="E14" s="3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6.5" x14ac:dyDescent="0.3">
      <c r="A15" s="36"/>
      <c r="B15" s="92" t="s">
        <v>170</v>
      </c>
      <c r="C15" s="86" t="str">
        <f>IF((IF(COUNT('Cash Ledger'!$B$7:$B$1006)&gt;950,1,0))=0,"OK",(IF(COUNT('Cash Ledger'!$B$7:$B$1006)&gt;950,1,0))&amp;" to fix")</f>
        <v>OK</v>
      </c>
      <c r="D15" s="57" t="s">
        <v>171</v>
      </c>
      <c r="E15" s="3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16.5" x14ac:dyDescent="0.3">
      <c r="A16" s="33"/>
      <c r="B16" s="92" t="s">
        <v>172</v>
      </c>
      <c r="C16" s="86" t="str">
        <f>IF((IF(COUNTA(Workers!$B$6:$B$17)&gt;=12,1,0))=0,"OK",(IF(COUNTA(Workers!$B$6:$B$17)&gt;=12,1,0))&amp;" to fix")</f>
        <v>OK</v>
      </c>
      <c r="D16" s="57" t="s">
        <v>173</v>
      </c>
      <c r="E16" s="3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6.5" x14ac:dyDescent="0.3">
      <c r="A17" s="3"/>
      <c r="B17" s="36"/>
      <c r="C17" s="36"/>
      <c r="D17" s="3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7.25" x14ac:dyDescent="0.3">
      <c r="A18" s="3"/>
      <c r="B18" s="103" t="s">
        <v>174</v>
      </c>
      <c r="C18" s="36"/>
      <c r="D18" s="3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6.5" x14ac:dyDescent="0.3">
      <c r="A19" s="36"/>
      <c r="B19" s="92" t="s">
        <v>175</v>
      </c>
      <c r="C19" s="86">
        <f>COUNTIF('Cash Ledger'!$M$7:$M$1006,"Warning*")</f>
        <v>0</v>
      </c>
      <c r="D19" s="57" t="s">
        <v>176</v>
      </c>
      <c r="E19" s="3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6.5" x14ac:dyDescent="0.3">
      <c r="A20" s="33"/>
      <c r="B20" s="93" t="s">
        <v>239</v>
      </c>
      <c r="C20" s="120">
        <f>COUNTIF(Weeks!$K$7:$K$59,"?*")-COUNTIF(Weeks!$K$7:$K$59,"pot*")</f>
        <v>0</v>
      </c>
      <c r="D20" s="98" t="s">
        <v>166</v>
      </c>
      <c r="E20" s="3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</sheetData>
  <mergeCells count="11">
    <mergeCell ref="C5:D5"/>
    <mergeCell ref="A1:B1"/>
    <mergeCell ref="E1:G1"/>
    <mergeCell ref="H1:J1"/>
    <mergeCell ref="K1:L1"/>
    <mergeCell ref="X1:Y1"/>
    <mergeCell ref="M1:N1"/>
    <mergeCell ref="O1:P1"/>
    <mergeCell ref="Q1:R1"/>
    <mergeCell ref="T1:U1"/>
    <mergeCell ref="V1:W1"/>
  </mergeCells>
  <conditionalFormatting sqref="C5">
    <cfRule type="expression" dxfId="3" priority="4">
      <formula>C5="ALL CHECKS OK"</formula>
    </cfRule>
    <cfRule type="expression" dxfId="2" priority="5">
      <formula>C5&lt;&gt;"ALL CHECKS OK"</formula>
    </cfRule>
  </conditionalFormatting>
  <conditionalFormatting sqref="C8:C16">
    <cfRule type="expression" dxfId="1" priority="2">
      <formula>C8&lt;&gt;"OK"</formula>
    </cfRule>
    <cfRule type="expression" dxfId="0" priority="3">
      <formula>C8="OK"</formula>
    </cfRule>
  </conditionalFormatting>
  <hyperlinks>
    <hyperlink ref="C1" location="'Home'!A1" tooltip="Go to Home" display="Home" xr:uid="{9B029264-1F5C-44B8-8E98-DD5131515B6F}"/>
    <hyperlink ref="D1" location="'Daily Log'!A1" tooltip="Go to Daily Log" display="Daily Log" xr:uid="{BBC9204F-BFB8-4655-ADE7-55FF5CF8DF74}"/>
    <hyperlink ref="E1" location="'Cash Ledger'!A1" tooltip="Go to Cash Ledger" display="Cash Ledger" xr:uid="{CAEC1E04-6D40-4EA1-99EC-95580CD768BC}"/>
    <hyperlink ref="H1" location="'Weekly Pay'!A1" tooltip="Go to Weekly Pay" display="Weekly Pay" xr:uid="{015DB84C-A927-4274-992F-A8DD4FCC0352}"/>
    <hyperlink ref="K1" location="'Payslip'!A1" tooltip="Go to Payslip" display="Payslip" xr:uid="{9782472D-6CAD-484C-B60E-4F9BD59BC646}"/>
    <hyperlink ref="M1" location="'Workers'!A1" tooltip="Go to Workers" display="Workers" xr:uid="{51FB453C-7320-4B81-8811-F9A4B08441D5}"/>
    <hyperlink ref="O1" location="'Settings'!A1" tooltip="Go to Settings" display="Settings" xr:uid="{5E188F9C-6B26-45E9-91AC-B5573174E810}"/>
    <hyperlink ref="Q1" location="'Guide'!A1" tooltip="Go to Guide" display="Guide" xr:uid="{E5382197-6015-4271-BC51-CE1F5630094B}"/>
    <hyperlink ref="T1" location="'Worker History'!A1" tooltip="Go to Worker History" display="History" xr:uid="{749281C6-E1AF-4A11-A916-CB879D16421C}"/>
    <hyperlink ref="V1" location="'Weeks'!A1" tooltip="Go to Weeks" display="Weeks" xr:uid="{B9D86385-48C0-41C4-B6AC-3BBA23840B6A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B7D9-3A72-43DD-997C-B95892954AB6}">
  <sheetPr>
    <tabColor rgb="FFCBD5E1"/>
  </sheetPr>
  <dimension ref="A1:A113"/>
  <sheetViews>
    <sheetView showGridLines="0" tabSelected="1" workbookViewId="0"/>
  </sheetViews>
  <sheetFormatPr defaultRowHeight="15" x14ac:dyDescent="0.25"/>
  <cols>
    <col min="1" max="1" width="171.42578125" style="225" customWidth="1"/>
  </cols>
  <sheetData>
    <row r="1" spans="1:1" ht="16.5" x14ac:dyDescent="0.3">
      <c r="A1" s="226" t="s">
        <v>331</v>
      </c>
    </row>
    <row r="3" spans="1:1" x14ac:dyDescent="0.25">
      <c r="A3" s="228" t="s">
        <v>240</v>
      </c>
    </row>
    <row r="4" spans="1:1" x14ac:dyDescent="0.25">
      <c r="A4" s="227"/>
    </row>
    <row r="5" spans="1:1" x14ac:dyDescent="0.25">
      <c r="A5" s="227" t="s">
        <v>241</v>
      </c>
    </row>
    <row r="6" spans="1:1" x14ac:dyDescent="0.25">
      <c r="A6" s="227"/>
    </row>
    <row r="7" spans="1:1" ht="26.25" x14ac:dyDescent="0.25">
      <c r="A7" s="227" t="s">
        <v>242</v>
      </c>
    </row>
    <row r="8" spans="1:1" x14ac:dyDescent="0.25">
      <c r="A8" s="227"/>
    </row>
    <row r="9" spans="1:1" x14ac:dyDescent="0.25">
      <c r="A9" s="227" t="s">
        <v>243</v>
      </c>
    </row>
    <row r="10" spans="1:1" x14ac:dyDescent="0.25">
      <c r="A10" s="227"/>
    </row>
    <row r="11" spans="1:1" x14ac:dyDescent="0.25">
      <c r="A11" s="228" t="s">
        <v>244</v>
      </c>
    </row>
    <row r="12" spans="1:1" x14ac:dyDescent="0.25">
      <c r="A12" s="227"/>
    </row>
    <row r="13" spans="1:1" x14ac:dyDescent="0.25">
      <c r="A13" s="227" t="s">
        <v>245</v>
      </c>
    </row>
    <row r="14" spans="1:1" x14ac:dyDescent="0.25">
      <c r="A14" s="227" t="s">
        <v>246</v>
      </c>
    </row>
    <row r="15" spans="1:1" ht="26.25" x14ac:dyDescent="0.25">
      <c r="A15" s="227" t="s">
        <v>247</v>
      </c>
    </row>
    <row r="16" spans="1:1" ht="26.25" x14ac:dyDescent="0.25">
      <c r="A16" s="227" t="s">
        <v>248</v>
      </c>
    </row>
    <row r="17" spans="1:1" x14ac:dyDescent="0.25">
      <c r="A17" s="227" t="s">
        <v>249</v>
      </c>
    </row>
    <row r="18" spans="1:1" x14ac:dyDescent="0.25">
      <c r="A18" s="227" t="s">
        <v>250</v>
      </c>
    </row>
    <row r="19" spans="1:1" x14ac:dyDescent="0.25">
      <c r="A19" s="227" t="s">
        <v>251</v>
      </c>
    </row>
    <row r="20" spans="1:1" ht="26.25" x14ac:dyDescent="0.25">
      <c r="A20" s="227" t="s">
        <v>252</v>
      </c>
    </row>
    <row r="21" spans="1:1" x14ac:dyDescent="0.25">
      <c r="A21" s="227" t="s">
        <v>253</v>
      </c>
    </row>
    <row r="22" spans="1:1" x14ac:dyDescent="0.25">
      <c r="A22" s="227" t="s">
        <v>254</v>
      </c>
    </row>
    <row r="23" spans="1:1" x14ac:dyDescent="0.25">
      <c r="A23" s="227"/>
    </row>
    <row r="24" spans="1:1" x14ac:dyDescent="0.25">
      <c r="A24" s="228" t="s">
        <v>255</v>
      </c>
    </row>
    <row r="25" spans="1:1" x14ac:dyDescent="0.25">
      <c r="A25" s="227"/>
    </row>
    <row r="26" spans="1:1" x14ac:dyDescent="0.25">
      <c r="A26" s="227" t="s">
        <v>256</v>
      </c>
    </row>
    <row r="27" spans="1:1" x14ac:dyDescent="0.25">
      <c r="A27" s="227" t="s">
        <v>257</v>
      </c>
    </row>
    <row r="28" spans="1:1" ht="26.25" x14ac:dyDescent="0.25">
      <c r="A28" s="227" t="s">
        <v>258</v>
      </c>
    </row>
    <row r="29" spans="1:1" ht="39" x14ac:dyDescent="0.25">
      <c r="A29" s="227" t="s">
        <v>259</v>
      </c>
    </row>
    <row r="30" spans="1:1" ht="26.25" x14ac:dyDescent="0.25">
      <c r="A30" s="227" t="s">
        <v>260</v>
      </c>
    </row>
    <row r="31" spans="1:1" ht="39" x14ac:dyDescent="0.25">
      <c r="A31" s="227" t="s">
        <v>261</v>
      </c>
    </row>
    <row r="32" spans="1:1" x14ac:dyDescent="0.25">
      <c r="A32" s="227" t="s">
        <v>262</v>
      </c>
    </row>
    <row r="33" spans="1:1" x14ac:dyDescent="0.25">
      <c r="A33" s="227" t="s">
        <v>263</v>
      </c>
    </row>
    <row r="34" spans="1:1" ht="26.25" x14ac:dyDescent="0.25">
      <c r="A34" s="227" t="s">
        <v>264</v>
      </c>
    </row>
    <row r="35" spans="1:1" x14ac:dyDescent="0.25">
      <c r="A35" s="227" t="s">
        <v>265</v>
      </c>
    </row>
    <row r="36" spans="1:1" x14ac:dyDescent="0.25">
      <c r="A36" s="227" t="s">
        <v>266</v>
      </c>
    </row>
    <row r="37" spans="1:1" ht="26.25" x14ac:dyDescent="0.25">
      <c r="A37" s="227" t="s">
        <v>267</v>
      </c>
    </row>
    <row r="38" spans="1:1" x14ac:dyDescent="0.25">
      <c r="A38" s="227" t="s">
        <v>268</v>
      </c>
    </row>
    <row r="39" spans="1:1" x14ac:dyDescent="0.25">
      <c r="A39" s="227" t="s">
        <v>269</v>
      </c>
    </row>
    <row r="40" spans="1:1" x14ac:dyDescent="0.25">
      <c r="A40" s="227"/>
    </row>
    <row r="41" spans="1:1" x14ac:dyDescent="0.25">
      <c r="A41" s="228" t="s">
        <v>270</v>
      </c>
    </row>
    <row r="42" spans="1:1" ht="39" x14ac:dyDescent="0.25">
      <c r="A42" s="227" t="s">
        <v>271</v>
      </c>
    </row>
    <row r="43" spans="1:1" x14ac:dyDescent="0.25">
      <c r="A43" s="227"/>
    </row>
    <row r="44" spans="1:1" x14ac:dyDescent="0.25">
      <c r="A44" s="228" t="s">
        <v>272</v>
      </c>
    </row>
    <row r="45" spans="1:1" x14ac:dyDescent="0.25">
      <c r="A45" s="227"/>
    </row>
    <row r="46" spans="1:1" x14ac:dyDescent="0.25">
      <c r="A46" s="227" t="s">
        <v>273</v>
      </c>
    </row>
    <row r="47" spans="1:1" x14ac:dyDescent="0.25">
      <c r="A47" s="227" t="s">
        <v>274</v>
      </c>
    </row>
    <row r="48" spans="1:1" x14ac:dyDescent="0.25">
      <c r="A48" s="227" t="s">
        <v>275</v>
      </c>
    </row>
    <row r="49" spans="1:1" x14ac:dyDescent="0.25">
      <c r="A49" s="227" t="s">
        <v>276</v>
      </c>
    </row>
    <row r="50" spans="1:1" x14ac:dyDescent="0.25">
      <c r="A50" s="227" t="s">
        <v>277</v>
      </c>
    </row>
    <row r="51" spans="1:1" x14ac:dyDescent="0.25">
      <c r="A51" s="227"/>
    </row>
    <row r="52" spans="1:1" x14ac:dyDescent="0.25">
      <c r="A52" s="228" t="s">
        <v>278</v>
      </c>
    </row>
    <row r="53" spans="1:1" x14ac:dyDescent="0.25">
      <c r="A53" s="227"/>
    </row>
    <row r="54" spans="1:1" x14ac:dyDescent="0.25">
      <c r="A54" s="227" t="s">
        <v>279</v>
      </c>
    </row>
    <row r="55" spans="1:1" x14ac:dyDescent="0.25">
      <c r="A55" s="227" t="s">
        <v>280</v>
      </c>
    </row>
    <row r="56" spans="1:1" x14ac:dyDescent="0.25">
      <c r="A56" s="227" t="s">
        <v>281</v>
      </c>
    </row>
    <row r="57" spans="1:1" x14ac:dyDescent="0.25">
      <c r="A57" s="227" t="s">
        <v>282</v>
      </c>
    </row>
    <row r="58" spans="1:1" x14ac:dyDescent="0.25">
      <c r="A58" s="227" t="s">
        <v>283</v>
      </c>
    </row>
    <row r="59" spans="1:1" x14ac:dyDescent="0.25">
      <c r="A59" s="227" t="s">
        <v>284</v>
      </c>
    </row>
    <row r="60" spans="1:1" x14ac:dyDescent="0.25">
      <c r="A60" s="227" t="s">
        <v>285</v>
      </c>
    </row>
    <row r="61" spans="1:1" x14ac:dyDescent="0.25">
      <c r="A61" s="227" t="s">
        <v>286</v>
      </c>
    </row>
    <row r="62" spans="1:1" ht="26.25" x14ac:dyDescent="0.25">
      <c r="A62" s="227" t="s">
        <v>287</v>
      </c>
    </row>
    <row r="63" spans="1:1" x14ac:dyDescent="0.25">
      <c r="A63" s="227" t="s">
        <v>288</v>
      </c>
    </row>
    <row r="64" spans="1:1" x14ac:dyDescent="0.25">
      <c r="A64" s="227"/>
    </row>
    <row r="65" spans="1:1" x14ac:dyDescent="0.25">
      <c r="A65" s="228" t="s">
        <v>289</v>
      </c>
    </row>
    <row r="66" spans="1:1" x14ac:dyDescent="0.25">
      <c r="A66" s="227"/>
    </row>
    <row r="67" spans="1:1" x14ac:dyDescent="0.25">
      <c r="A67" s="227" t="s">
        <v>290</v>
      </c>
    </row>
    <row r="68" spans="1:1" x14ac:dyDescent="0.25">
      <c r="A68" s="227" t="s">
        <v>291</v>
      </c>
    </row>
    <row r="69" spans="1:1" x14ac:dyDescent="0.25">
      <c r="A69" s="227" t="s">
        <v>292</v>
      </c>
    </row>
    <row r="70" spans="1:1" x14ac:dyDescent="0.25">
      <c r="A70" s="227" t="s">
        <v>293</v>
      </c>
    </row>
    <row r="71" spans="1:1" x14ac:dyDescent="0.25">
      <c r="A71" s="227" t="s">
        <v>294</v>
      </c>
    </row>
    <row r="72" spans="1:1" x14ac:dyDescent="0.25">
      <c r="A72" s="227" t="s">
        <v>295</v>
      </c>
    </row>
    <row r="73" spans="1:1" x14ac:dyDescent="0.25">
      <c r="A73" s="227" t="s">
        <v>296</v>
      </c>
    </row>
    <row r="74" spans="1:1" x14ac:dyDescent="0.25">
      <c r="A74" s="227" t="s">
        <v>297</v>
      </c>
    </row>
    <row r="75" spans="1:1" x14ac:dyDescent="0.25">
      <c r="A75" s="227" t="s">
        <v>298</v>
      </c>
    </row>
    <row r="76" spans="1:1" x14ac:dyDescent="0.25">
      <c r="A76" s="227" t="s">
        <v>299</v>
      </c>
    </row>
    <row r="77" spans="1:1" x14ac:dyDescent="0.25">
      <c r="A77" s="227" t="s">
        <v>300</v>
      </c>
    </row>
    <row r="78" spans="1:1" x14ac:dyDescent="0.25">
      <c r="A78" s="227" t="s">
        <v>301</v>
      </c>
    </row>
    <row r="79" spans="1:1" x14ac:dyDescent="0.25">
      <c r="A79" s="227" t="s">
        <v>302</v>
      </c>
    </row>
    <row r="80" spans="1:1" x14ac:dyDescent="0.25">
      <c r="A80" s="227" t="s">
        <v>303</v>
      </c>
    </row>
    <row r="81" spans="1:1" x14ac:dyDescent="0.25">
      <c r="A81" s="227" t="s">
        <v>304</v>
      </c>
    </row>
    <row r="82" spans="1:1" x14ac:dyDescent="0.25">
      <c r="A82" s="227" t="s">
        <v>305</v>
      </c>
    </row>
    <row r="83" spans="1:1" x14ac:dyDescent="0.25">
      <c r="A83" s="227" t="s">
        <v>306</v>
      </c>
    </row>
    <row r="84" spans="1:1" x14ac:dyDescent="0.25">
      <c r="A84" s="227" t="s">
        <v>307</v>
      </c>
    </row>
    <row r="85" spans="1:1" x14ac:dyDescent="0.25">
      <c r="A85" s="227" t="s">
        <v>308</v>
      </c>
    </row>
    <row r="86" spans="1:1" x14ac:dyDescent="0.25">
      <c r="A86" s="227" t="s">
        <v>309</v>
      </c>
    </row>
    <row r="87" spans="1:1" x14ac:dyDescent="0.25">
      <c r="A87" s="227" t="s">
        <v>310</v>
      </c>
    </row>
    <row r="88" spans="1:1" x14ac:dyDescent="0.25">
      <c r="A88" s="227" t="s">
        <v>311</v>
      </c>
    </row>
    <row r="89" spans="1:1" x14ac:dyDescent="0.25">
      <c r="A89" s="227"/>
    </row>
    <row r="90" spans="1:1" x14ac:dyDescent="0.25">
      <c r="A90" s="228" t="s">
        <v>312</v>
      </c>
    </row>
    <row r="91" spans="1:1" x14ac:dyDescent="0.25">
      <c r="A91" s="227"/>
    </row>
    <row r="92" spans="1:1" x14ac:dyDescent="0.25">
      <c r="A92" s="227" t="s">
        <v>313</v>
      </c>
    </row>
    <row r="93" spans="1:1" x14ac:dyDescent="0.25">
      <c r="A93" s="227" t="s">
        <v>314</v>
      </c>
    </row>
    <row r="94" spans="1:1" x14ac:dyDescent="0.25">
      <c r="A94" s="227" t="s">
        <v>315</v>
      </c>
    </row>
    <row r="95" spans="1:1" x14ac:dyDescent="0.25">
      <c r="A95" s="227" t="s">
        <v>316</v>
      </c>
    </row>
    <row r="96" spans="1:1" ht="26.25" x14ac:dyDescent="0.25">
      <c r="A96" s="227" t="s">
        <v>317</v>
      </c>
    </row>
    <row r="97" spans="1:1" x14ac:dyDescent="0.25">
      <c r="A97" s="227" t="s">
        <v>318</v>
      </c>
    </row>
    <row r="98" spans="1:1" x14ac:dyDescent="0.25">
      <c r="A98" s="227"/>
    </row>
    <row r="99" spans="1:1" x14ac:dyDescent="0.25">
      <c r="A99" s="228" t="s">
        <v>319</v>
      </c>
    </row>
    <row r="100" spans="1:1" x14ac:dyDescent="0.25">
      <c r="A100" s="227"/>
    </row>
    <row r="101" spans="1:1" x14ac:dyDescent="0.25">
      <c r="A101" s="227" t="s">
        <v>320</v>
      </c>
    </row>
    <row r="102" spans="1:1" x14ac:dyDescent="0.25">
      <c r="A102" s="227" t="s">
        <v>321</v>
      </c>
    </row>
    <row r="103" spans="1:1" x14ac:dyDescent="0.25">
      <c r="A103" s="227" t="s">
        <v>322</v>
      </c>
    </row>
    <row r="104" spans="1:1" x14ac:dyDescent="0.25">
      <c r="A104" s="227" t="s">
        <v>323</v>
      </c>
    </row>
    <row r="105" spans="1:1" ht="26.25" x14ac:dyDescent="0.25">
      <c r="A105" s="227" t="s">
        <v>324</v>
      </c>
    </row>
    <row r="106" spans="1:1" x14ac:dyDescent="0.25">
      <c r="A106" s="227" t="s">
        <v>325</v>
      </c>
    </row>
    <row r="107" spans="1:1" x14ac:dyDescent="0.25">
      <c r="A107" s="227" t="s">
        <v>326</v>
      </c>
    </row>
    <row r="108" spans="1:1" x14ac:dyDescent="0.25">
      <c r="A108" s="227"/>
    </row>
    <row r="109" spans="1:1" x14ac:dyDescent="0.25">
      <c r="A109" s="228" t="s">
        <v>327</v>
      </c>
    </row>
    <row r="110" spans="1:1" x14ac:dyDescent="0.25">
      <c r="A110" s="227"/>
    </row>
    <row r="111" spans="1:1" x14ac:dyDescent="0.25">
      <c r="A111" s="227" t="s">
        <v>328</v>
      </c>
    </row>
    <row r="112" spans="1:1" x14ac:dyDescent="0.25">
      <c r="A112" s="227" t="s">
        <v>329</v>
      </c>
    </row>
    <row r="113" spans="1:1" x14ac:dyDescent="0.25">
      <c r="A113" s="227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Home</vt:lpstr>
      <vt:lpstr>Daily Log</vt:lpstr>
      <vt:lpstr>Cash Ledger</vt:lpstr>
      <vt:lpstr>Weekly Pay</vt:lpstr>
      <vt:lpstr>Payslip</vt:lpstr>
      <vt:lpstr>Worker History</vt:lpstr>
      <vt:lpstr>Workers</vt:lpstr>
      <vt:lpstr>Settings</vt:lpstr>
      <vt:lpstr>Guide</vt:lpstr>
      <vt:lpstr>Weeks</vt:lpstr>
      <vt:lpstr>Checks</vt:lpstr>
      <vt:lpstr>Project Notes</vt:lpstr>
      <vt:lpstr>BreakAllow</vt:lpstr>
      <vt:lpstr>DebtCap</vt:lpstr>
      <vt:lpstr>EntryTypes</vt:lpstr>
      <vt:lpstr>Payslip!Print_Area</vt:lpstr>
      <vt:lpstr>RateDates</vt:lpstr>
      <vt:lpstr>RateValues</vt:lpstr>
      <vt:lpstr>RejectAlarm</vt:lpstr>
      <vt:lpstr>StatusList</vt:lpstr>
      <vt:lpstr>WeekStarts</vt:lpstr>
      <vt:lpstr>WorkerIDs</vt:lpstr>
      <vt:lpstr>WorkerNames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Azizbek Dadabaev</cp:lastModifiedBy>
  <cp:revision>0</cp:revision>
  <dcterms:created xsi:type="dcterms:W3CDTF">2026-09-23T07:56:16Z</dcterms:created>
  <dcterms:modified xsi:type="dcterms:W3CDTF">2026-09-24T03:46:24Z</dcterms:modified>
  <dc:language>en-US</dc:language>
</cp:coreProperties>
</file>